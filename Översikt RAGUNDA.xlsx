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45890</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45890</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45890</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45890</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2288-2025</t>
        </is>
      </c>
      <c r="B6" s="1" t="n">
        <v>45673</v>
      </c>
      <c r="C6" s="1" t="n">
        <v>45890</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45890</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26015-2025</t>
        </is>
      </c>
      <c r="B8" s="1" t="n">
        <v>45804.67787037037</v>
      </c>
      <c r="C8" s="1" t="n">
        <v>45890</v>
      </c>
      <c r="D8" t="inlineStr">
        <is>
          <t>JÄMTLANDS LÄN</t>
        </is>
      </c>
      <c r="E8" t="inlineStr">
        <is>
          <t>RAGUNDA</t>
        </is>
      </c>
      <c r="F8" t="inlineStr">
        <is>
          <t>SCA</t>
        </is>
      </c>
      <c r="G8" t="n">
        <v>24</v>
      </c>
      <c r="H8" t="n">
        <v>9</v>
      </c>
      <c r="I8" t="n">
        <v>4</v>
      </c>
      <c r="J8" t="n">
        <v>12</v>
      </c>
      <c r="K8" t="n">
        <v>2</v>
      </c>
      <c r="L8" t="n">
        <v>0</v>
      </c>
      <c r="M8" t="n">
        <v>0</v>
      </c>
      <c r="N8" t="n">
        <v>0</v>
      </c>
      <c r="O8" t="n">
        <v>14</v>
      </c>
      <c r="P8" t="n">
        <v>2</v>
      </c>
      <c r="Q8" t="n">
        <v>20</v>
      </c>
      <c r="R8" s="2" t="inlineStr">
        <is>
          <t>Knärot
Rynkskinn
Doftskinn
Garnlav
Granticka
Järpe
Lunglav
Rosenticka
Skogshare
Skrovellav
Spillkråka
Talltita
Tretåig hackspett
Ullticka
Korallrot
Norrlandslav
Spindelblomster
Vedticka
Fläcknycklar
Revlummer</t>
        </is>
      </c>
      <c r="S8">
        <f>HYPERLINK("https://klasma.github.io/Logging_2303/artfynd/A 26015-2025 artfynd.xlsx", "A 26015-2025")</f>
        <v/>
      </c>
      <c r="T8">
        <f>HYPERLINK("https://klasma.github.io/Logging_2303/kartor/A 26015-2025 karta.png", "A 26015-2025")</f>
        <v/>
      </c>
      <c r="U8">
        <f>HYPERLINK("https://klasma.github.io/Logging_2303/knärot/A 26015-2025 karta knärot.png", "A 26015-2025")</f>
        <v/>
      </c>
      <c r="V8">
        <f>HYPERLINK("https://klasma.github.io/Logging_2303/klagomål/A 26015-2025 FSC-klagomål.docx", "A 26015-2025")</f>
        <v/>
      </c>
      <c r="W8">
        <f>HYPERLINK("https://klasma.github.io/Logging_2303/klagomålsmail/A 26015-2025 FSC-klagomål mail.docx", "A 26015-2025")</f>
        <v/>
      </c>
      <c r="X8">
        <f>HYPERLINK("https://klasma.github.io/Logging_2303/tillsyn/A 26015-2025 tillsynsbegäran.docx", "A 26015-2025")</f>
        <v/>
      </c>
      <c r="Y8">
        <f>HYPERLINK("https://klasma.github.io/Logging_2303/tillsynsmail/A 26015-2025 tillsynsbegäran mail.docx", "A 26015-2025")</f>
        <v/>
      </c>
      <c r="Z8">
        <f>HYPERLINK("https://klasma.github.io/Logging_2303/fåglar/A 26015-2025 prioriterade fågelarter.docx", "A 26015-2025")</f>
        <v/>
      </c>
    </row>
    <row r="9" ht="15" customHeight="1">
      <c r="A9" t="inlineStr">
        <is>
          <t>A 48264-2024</t>
        </is>
      </c>
      <c r="B9" s="1" t="n">
        <v>45590.42736111111</v>
      </c>
      <c r="C9" s="1" t="n">
        <v>45890</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32651-2025</t>
        </is>
      </c>
      <c r="B10" s="1" t="n">
        <v>45838.67753472222</v>
      </c>
      <c r="C10" s="1" t="n">
        <v>45890</v>
      </c>
      <c r="D10" t="inlineStr">
        <is>
          <t>JÄMTLANDS LÄN</t>
        </is>
      </c>
      <c r="E10" t="inlineStr">
        <is>
          <t>RAGUNDA</t>
        </is>
      </c>
      <c r="G10" t="n">
        <v>27.3</v>
      </c>
      <c r="H10" t="n">
        <v>9</v>
      </c>
      <c r="I10" t="n">
        <v>7</v>
      </c>
      <c r="J10" t="n">
        <v>10</v>
      </c>
      <c r="K10" t="n">
        <v>2</v>
      </c>
      <c r="L10" t="n">
        <v>0</v>
      </c>
      <c r="M10" t="n">
        <v>0</v>
      </c>
      <c r="N10" t="n">
        <v>0</v>
      </c>
      <c r="O10" t="n">
        <v>12</v>
      </c>
      <c r="P10" t="n">
        <v>2</v>
      </c>
      <c r="Q10" t="n">
        <v>20</v>
      </c>
      <c r="R10" s="2" t="inlineStr">
        <is>
          <t>Knärot
Rynkskinn
Garnlav
Granticka
Gultoppig fingersvamp
Harticka
Lunglav
Skogsfru
Spillkråka
Talltita
Tretåig hackspett
Ullticka
Bårdlav
Guckusko
Kransrams
Luddlav
Spindelblomster
Stuplav
Tvåblad
Fläcknycklar</t>
        </is>
      </c>
      <c r="S10">
        <f>HYPERLINK("https://klasma.github.io/Logging_2303/artfynd/A 32651-2025 artfynd.xlsx", "A 32651-2025")</f>
        <v/>
      </c>
      <c r="T10">
        <f>HYPERLINK("https://klasma.github.io/Logging_2303/kartor/A 32651-2025 karta.png", "A 32651-2025")</f>
        <v/>
      </c>
      <c r="U10">
        <f>HYPERLINK("https://klasma.github.io/Logging_2303/knärot/A 32651-2025 karta knärot.png", "A 32651-2025")</f>
        <v/>
      </c>
      <c r="V10">
        <f>HYPERLINK("https://klasma.github.io/Logging_2303/klagomål/A 32651-2025 FSC-klagomål.docx", "A 32651-2025")</f>
        <v/>
      </c>
      <c r="W10">
        <f>HYPERLINK("https://klasma.github.io/Logging_2303/klagomålsmail/A 32651-2025 FSC-klagomål mail.docx", "A 32651-2025")</f>
        <v/>
      </c>
      <c r="X10">
        <f>HYPERLINK("https://klasma.github.io/Logging_2303/tillsyn/A 32651-2025 tillsynsbegäran.docx", "A 32651-2025")</f>
        <v/>
      </c>
      <c r="Y10">
        <f>HYPERLINK("https://klasma.github.io/Logging_2303/tillsynsmail/A 32651-2025 tillsynsbegäran mail.docx", "A 32651-2025")</f>
        <v/>
      </c>
      <c r="Z10">
        <f>HYPERLINK("https://klasma.github.io/Logging_2303/fåglar/A 32651-2025 prioriterade fågelarter.docx", "A 32651-2025")</f>
        <v/>
      </c>
    </row>
    <row r="11" ht="15" customHeight="1">
      <c r="A11" t="inlineStr">
        <is>
          <t>A 62949-2021</t>
        </is>
      </c>
      <c r="B11" s="1" t="n">
        <v>44504</v>
      </c>
      <c r="C11" s="1" t="n">
        <v>45890</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45890</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45890</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41415-2024</t>
        </is>
      </c>
      <c r="B14" s="1" t="n">
        <v>45560.34532407407</v>
      </c>
      <c r="C14" s="1" t="n">
        <v>45890</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45890</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45687-2024</t>
        </is>
      </c>
      <c r="B16" s="1" t="n">
        <v>45579.53179398148</v>
      </c>
      <c r="C16" s="1" t="n">
        <v>45890</v>
      </c>
      <c r="D16" t="inlineStr">
        <is>
          <t>JÄMTLANDS LÄN</t>
        </is>
      </c>
      <c r="E16" t="inlineStr">
        <is>
          <t>RAGUNDA</t>
        </is>
      </c>
      <c r="F16" t="inlineStr">
        <is>
          <t>SCA</t>
        </is>
      </c>
      <c r="G16" t="n">
        <v>8</v>
      </c>
      <c r="H16" t="n">
        <v>2</v>
      </c>
      <c r="I16" t="n">
        <v>2</v>
      </c>
      <c r="J16" t="n">
        <v>8</v>
      </c>
      <c r="K16" t="n">
        <v>2</v>
      </c>
      <c r="L16" t="n">
        <v>1</v>
      </c>
      <c r="M16" t="n">
        <v>1</v>
      </c>
      <c r="N16" t="n">
        <v>0</v>
      </c>
      <c r="O16" t="n">
        <v>12</v>
      </c>
      <c r="P16" t="n">
        <v>4</v>
      </c>
      <c r="Q16" t="n">
        <v>15</v>
      </c>
      <c r="R16" s="2" t="inlineStr">
        <is>
          <t>Kritporing
Urskogsporing
Fläckporing
Smalfotad taggsvamp
Dvärgbägarlav
Garnlav
Kolflarnlav
Mörk kolflarnlav
Nordtagging
Tretåig hackspett
Vedflamlav
Vedskivlav
Dropptaggsvamp
Skarp dropptaggsvamp
Tjäder</t>
        </is>
      </c>
      <c r="S16">
        <f>HYPERLINK("https://klasma.github.io/Logging_2303/artfynd/A 45687-2024 artfynd.xlsx", "A 45687-2024")</f>
        <v/>
      </c>
      <c r="T16">
        <f>HYPERLINK("https://klasma.github.io/Logging_2303/kartor/A 45687-2024 karta.png", "A 45687-2024")</f>
        <v/>
      </c>
      <c r="V16">
        <f>HYPERLINK("https://klasma.github.io/Logging_2303/klagomål/A 45687-2024 FSC-klagomål.docx", "A 45687-2024")</f>
        <v/>
      </c>
      <c r="W16">
        <f>HYPERLINK("https://klasma.github.io/Logging_2303/klagomålsmail/A 45687-2024 FSC-klagomål mail.docx", "A 45687-2024")</f>
        <v/>
      </c>
      <c r="X16">
        <f>HYPERLINK("https://klasma.github.io/Logging_2303/tillsyn/A 45687-2024 tillsynsbegäran.docx", "A 45687-2024")</f>
        <v/>
      </c>
      <c r="Y16">
        <f>HYPERLINK("https://klasma.github.io/Logging_2303/tillsynsmail/A 45687-2024 tillsynsbegäran mail.docx", "A 45687-2024")</f>
        <v/>
      </c>
      <c r="Z16">
        <f>HYPERLINK("https://klasma.github.io/Logging_2303/fåglar/A 45687-2024 prioriterade fågelarter.docx", "A 45687-2024")</f>
        <v/>
      </c>
    </row>
    <row r="17" ht="15" customHeight="1">
      <c r="A17" t="inlineStr">
        <is>
          <t>A 31196-2023</t>
        </is>
      </c>
      <c r="B17" s="1" t="n">
        <v>45113</v>
      </c>
      <c r="C17" s="1" t="n">
        <v>45890</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13308-2022</t>
        </is>
      </c>
      <c r="B18" s="1" t="n">
        <v>44644.93650462963</v>
      </c>
      <c r="C18" s="1" t="n">
        <v>45890</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45890</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38683-2022</t>
        </is>
      </c>
      <c r="B20" s="1" t="n">
        <v>44813</v>
      </c>
      <c r="C20" s="1" t="n">
        <v>45890</v>
      </c>
      <c r="D20" t="inlineStr">
        <is>
          <t>JÄMTLANDS LÄN</t>
        </is>
      </c>
      <c r="E20" t="inlineStr">
        <is>
          <t>RAGUNDA</t>
        </is>
      </c>
      <c r="F20" t="inlineStr">
        <is>
          <t>SCA</t>
        </is>
      </c>
      <c r="G20" t="n">
        <v>4.5</v>
      </c>
      <c r="H20" t="n">
        <v>3</v>
      </c>
      <c r="I20" t="n">
        <v>0</v>
      </c>
      <c r="J20" t="n">
        <v>12</v>
      </c>
      <c r="K20" t="n">
        <v>2</v>
      </c>
      <c r="L20" t="n">
        <v>0</v>
      </c>
      <c r="M20" t="n">
        <v>0</v>
      </c>
      <c r="N20" t="n">
        <v>0</v>
      </c>
      <c r="O20" t="n">
        <v>14</v>
      </c>
      <c r="P20" t="n">
        <v>2</v>
      </c>
      <c r="Q20" t="n">
        <v>14</v>
      </c>
      <c r="R20" s="2" t="inlineStr">
        <is>
          <t>Knärot
Rynkskinn
Gammelgransskål
Garnlav
Kolflarnlav
Lunglav
Nordtagging
Talltita
Tretåig hackspett
Ullticka
Vedflamlav
Vedskivlav
Vedtrappmossa
Vitgrynig nållav</t>
        </is>
      </c>
      <c r="S20">
        <f>HYPERLINK("https://klasma.github.io/Logging_2303/artfynd/A 38683-2022 artfynd.xlsx", "A 38683-2022")</f>
        <v/>
      </c>
      <c r="T20">
        <f>HYPERLINK("https://klasma.github.io/Logging_2303/kartor/A 38683-2022 karta.png", "A 38683-2022")</f>
        <v/>
      </c>
      <c r="U20">
        <f>HYPERLINK("https://klasma.github.io/Logging_2303/knärot/A 38683-2022 karta knärot.png", "A 38683-2022")</f>
        <v/>
      </c>
      <c r="V20">
        <f>HYPERLINK("https://klasma.github.io/Logging_2303/klagomål/A 38683-2022 FSC-klagomål.docx", "A 38683-2022")</f>
        <v/>
      </c>
      <c r="W20">
        <f>HYPERLINK("https://klasma.github.io/Logging_2303/klagomålsmail/A 38683-2022 FSC-klagomål mail.docx", "A 38683-2022")</f>
        <v/>
      </c>
      <c r="X20">
        <f>HYPERLINK("https://klasma.github.io/Logging_2303/tillsyn/A 38683-2022 tillsynsbegäran.docx", "A 38683-2022")</f>
        <v/>
      </c>
      <c r="Y20">
        <f>HYPERLINK("https://klasma.github.io/Logging_2303/tillsynsmail/A 38683-2022 tillsynsbegäran mail.docx", "A 38683-2022")</f>
        <v/>
      </c>
      <c r="Z20">
        <f>HYPERLINK("https://klasma.github.io/Logging_2303/fåglar/A 38683-2022 prioriterade fågelarter.docx", "A 38683-2022")</f>
        <v/>
      </c>
    </row>
    <row r="21" ht="15" customHeight="1">
      <c r="A21" t="inlineStr">
        <is>
          <t>A 54810-2021</t>
        </is>
      </c>
      <c r="B21" s="1" t="n">
        <v>44473</v>
      </c>
      <c r="C21" s="1" t="n">
        <v>45890</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45248-2020</t>
        </is>
      </c>
      <c r="B22" s="1" t="n">
        <v>44088</v>
      </c>
      <c r="C22" s="1" t="n">
        <v>45890</v>
      </c>
      <c r="D22" t="inlineStr">
        <is>
          <t>JÄMTLANDS LÄN</t>
        </is>
      </c>
      <c r="E22" t="inlineStr">
        <is>
          <t>RAGUNDA</t>
        </is>
      </c>
      <c r="F22" t="inlineStr">
        <is>
          <t>SCA</t>
        </is>
      </c>
      <c r="G22" t="n">
        <v>51.7</v>
      </c>
      <c r="H22" t="n">
        <v>5</v>
      </c>
      <c r="I22" t="n">
        <v>5</v>
      </c>
      <c r="J22" t="n">
        <v>5</v>
      </c>
      <c r="K22" t="n">
        <v>1</v>
      </c>
      <c r="L22" t="n">
        <v>0</v>
      </c>
      <c r="M22" t="n">
        <v>0</v>
      </c>
      <c r="N22" t="n">
        <v>0</v>
      </c>
      <c r="O22" t="n">
        <v>6</v>
      </c>
      <c r="P22" t="n">
        <v>1</v>
      </c>
      <c r="Q22" t="n">
        <v>13</v>
      </c>
      <c r="R22" s="2" t="inlineStr">
        <is>
          <t>Knärot
Dvärgbägarlav
Kolflarnlav
Lunglav
Rosenticka
Ullticka
Dropptaggsvamp
Grönkulla
Svart trolldruva
Tvåblad
Vårärt
Nattviol
Blåsippa</t>
        </is>
      </c>
      <c r="S22">
        <f>HYPERLINK("https://klasma.github.io/Logging_2303/artfynd/A 45248-2020 artfynd.xlsx", "A 45248-2020")</f>
        <v/>
      </c>
      <c r="T22">
        <f>HYPERLINK("https://klasma.github.io/Logging_2303/kartor/A 45248-2020 karta.png", "A 45248-2020")</f>
        <v/>
      </c>
      <c r="U22">
        <f>HYPERLINK("https://klasma.github.io/Logging_2303/knärot/A 45248-2020 karta knärot.png", "A 45248-2020")</f>
        <v/>
      </c>
      <c r="V22">
        <f>HYPERLINK("https://klasma.github.io/Logging_2303/klagomål/A 45248-2020 FSC-klagomål.docx", "A 45248-2020")</f>
        <v/>
      </c>
      <c r="W22">
        <f>HYPERLINK("https://klasma.github.io/Logging_2303/klagomålsmail/A 45248-2020 FSC-klagomål mail.docx", "A 45248-2020")</f>
        <v/>
      </c>
      <c r="X22">
        <f>HYPERLINK("https://klasma.github.io/Logging_2303/tillsyn/A 45248-2020 tillsynsbegäran.docx", "A 45248-2020")</f>
        <v/>
      </c>
      <c r="Y22">
        <f>HYPERLINK("https://klasma.github.io/Logging_2303/tillsynsmail/A 45248-2020 tillsynsbegäran mail.docx", "A 45248-2020")</f>
        <v/>
      </c>
    </row>
    <row r="23" ht="15" customHeight="1">
      <c r="A23" t="inlineStr">
        <is>
          <t>A 59762-2024</t>
        </is>
      </c>
      <c r="B23" s="1" t="n">
        <v>45639.55269675926</v>
      </c>
      <c r="C23" s="1" t="n">
        <v>45890</v>
      </c>
      <c r="D23" t="inlineStr">
        <is>
          <t>JÄMTLANDS LÄN</t>
        </is>
      </c>
      <c r="E23" t="inlineStr">
        <is>
          <t>RAGUNDA</t>
        </is>
      </c>
      <c r="F23" t="inlineStr">
        <is>
          <t>SCA</t>
        </is>
      </c>
      <c r="G23" t="n">
        <v>16.9</v>
      </c>
      <c r="H23" t="n">
        <v>3</v>
      </c>
      <c r="I23" t="n">
        <v>7</v>
      </c>
      <c r="J23" t="n">
        <v>4</v>
      </c>
      <c r="K23" t="n">
        <v>0</v>
      </c>
      <c r="L23" t="n">
        <v>0</v>
      </c>
      <c r="M23" t="n">
        <v>0</v>
      </c>
      <c r="N23" t="n">
        <v>0</v>
      </c>
      <c r="O23" t="n">
        <v>4</v>
      </c>
      <c r="P23" t="n">
        <v>0</v>
      </c>
      <c r="Q23" t="n">
        <v>13</v>
      </c>
      <c r="R23" s="2" t="inlineStr">
        <is>
          <t>Kolflarnlav
Lunglav
Mörk kolflarnlav
Skrovellav
Dropptaggsvamp
Guckusko
Kransrams
Norrlandslav
Stuplav
Tibast
Underviol
Nattviol
Blåsippa</t>
        </is>
      </c>
      <c r="S23">
        <f>HYPERLINK("https://klasma.github.io/Logging_2303/artfynd/A 59762-2024 artfynd.xlsx", "A 59762-2024")</f>
        <v/>
      </c>
      <c r="T23">
        <f>HYPERLINK("https://klasma.github.io/Logging_2303/kartor/A 59762-2024 karta.png", "A 59762-2024")</f>
        <v/>
      </c>
      <c r="V23">
        <f>HYPERLINK("https://klasma.github.io/Logging_2303/klagomål/A 59762-2024 FSC-klagomål.docx", "A 59762-2024")</f>
        <v/>
      </c>
      <c r="W23">
        <f>HYPERLINK("https://klasma.github.io/Logging_2303/klagomålsmail/A 59762-2024 FSC-klagomål mail.docx", "A 59762-2024")</f>
        <v/>
      </c>
      <c r="X23">
        <f>HYPERLINK("https://klasma.github.io/Logging_2303/tillsyn/A 59762-2024 tillsynsbegäran.docx", "A 59762-2024")</f>
        <v/>
      </c>
      <c r="Y23">
        <f>HYPERLINK("https://klasma.github.io/Logging_2303/tillsynsmail/A 59762-2024 tillsynsbegäran mail.docx", "A 59762-2024")</f>
        <v/>
      </c>
    </row>
    <row r="24" ht="15" customHeight="1">
      <c r="A24" t="inlineStr">
        <is>
          <t>A 55404-2024</t>
        </is>
      </c>
      <c r="B24" s="1" t="n">
        <v>45622</v>
      </c>
      <c r="C24" s="1" t="n">
        <v>45890</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22985-2025</t>
        </is>
      </c>
      <c r="B25" s="1" t="n">
        <v>45790.57334490741</v>
      </c>
      <c r="C25" s="1" t="n">
        <v>45890</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29209-2024</t>
        </is>
      </c>
      <c r="B26" s="1" t="n">
        <v>45482.63819444444</v>
      </c>
      <c r="C26" s="1" t="n">
        <v>45890</v>
      </c>
      <c r="D26" t="inlineStr">
        <is>
          <t>JÄMTLANDS LÄN</t>
        </is>
      </c>
      <c r="E26" t="inlineStr">
        <is>
          <t>RAGUNDA</t>
        </is>
      </c>
      <c r="G26" t="n">
        <v>8.5</v>
      </c>
      <c r="H26" t="n">
        <v>4</v>
      </c>
      <c r="I26" t="n">
        <v>4</v>
      </c>
      <c r="J26" t="n">
        <v>6</v>
      </c>
      <c r="K26" t="n">
        <v>2</v>
      </c>
      <c r="L26" t="n">
        <v>0</v>
      </c>
      <c r="M26" t="n">
        <v>0</v>
      </c>
      <c r="N26" t="n">
        <v>0</v>
      </c>
      <c r="O26" t="n">
        <v>8</v>
      </c>
      <c r="P26" t="n">
        <v>2</v>
      </c>
      <c r="Q26" t="n">
        <v>12</v>
      </c>
      <c r="R26" s="2" t="inlineStr">
        <is>
          <t>Knärot
Rynkskinn
Garnlav
Kolflarnlav
Lunglav
Rosenticka
Talltita
Ullticka
Bårdlav
Korallblylav
Plattlummer
Spindelblomster</t>
        </is>
      </c>
      <c r="S26">
        <f>HYPERLINK("https://klasma.github.io/Logging_2303/artfynd/A 29209-2024 artfynd.xlsx", "A 29209-2024")</f>
        <v/>
      </c>
      <c r="T26">
        <f>HYPERLINK("https://klasma.github.io/Logging_2303/kartor/A 29209-2024 karta.png", "A 29209-2024")</f>
        <v/>
      </c>
      <c r="U26">
        <f>HYPERLINK("https://klasma.github.io/Logging_2303/knärot/A 29209-2024 karta knärot.png", "A 29209-2024")</f>
        <v/>
      </c>
      <c r="V26">
        <f>HYPERLINK("https://klasma.github.io/Logging_2303/klagomål/A 29209-2024 FSC-klagomål.docx", "A 29209-2024")</f>
        <v/>
      </c>
      <c r="W26">
        <f>HYPERLINK("https://klasma.github.io/Logging_2303/klagomålsmail/A 29209-2024 FSC-klagomål mail.docx", "A 29209-2024")</f>
        <v/>
      </c>
      <c r="X26">
        <f>HYPERLINK("https://klasma.github.io/Logging_2303/tillsyn/A 29209-2024 tillsynsbegäran.docx", "A 29209-2024")</f>
        <v/>
      </c>
      <c r="Y26">
        <f>HYPERLINK("https://klasma.github.io/Logging_2303/tillsynsmail/A 29209-2024 tillsynsbegäran mail.docx", "A 29209-2024")</f>
        <v/>
      </c>
      <c r="Z26">
        <f>HYPERLINK("https://klasma.github.io/Logging_2303/fåglar/A 29209-2024 prioriterade fågelarter.docx", "A 29209-2024")</f>
        <v/>
      </c>
    </row>
    <row r="27" ht="15" customHeight="1">
      <c r="A27" t="inlineStr">
        <is>
          <t>A 21213-2025</t>
        </is>
      </c>
      <c r="B27" s="1" t="n">
        <v>45779.49012731481</v>
      </c>
      <c r="C27" s="1" t="n">
        <v>45890</v>
      </c>
      <c r="D27" t="inlineStr">
        <is>
          <t>JÄMTLANDS LÄN</t>
        </is>
      </c>
      <c r="E27" t="inlineStr">
        <is>
          <t>RAGUNDA</t>
        </is>
      </c>
      <c r="F27" t="inlineStr">
        <is>
          <t>SCA</t>
        </is>
      </c>
      <c r="G27" t="n">
        <v>3.1</v>
      </c>
      <c r="H27" t="n">
        <v>4</v>
      </c>
      <c r="I27" t="n">
        <v>4</v>
      </c>
      <c r="J27" t="n">
        <v>5</v>
      </c>
      <c r="K27" t="n">
        <v>1</v>
      </c>
      <c r="L27" t="n">
        <v>0</v>
      </c>
      <c r="M27" t="n">
        <v>0</v>
      </c>
      <c r="N27" t="n">
        <v>0</v>
      </c>
      <c r="O27" t="n">
        <v>6</v>
      </c>
      <c r="P27" t="n">
        <v>1</v>
      </c>
      <c r="Q27" t="n">
        <v>12</v>
      </c>
      <c r="R27" s="2" t="inlineStr">
        <is>
          <t>Rynkskinn
Garnlav
Lunglav
Skogsfru
Tretåig hackspett
Ullticka
Grönpyrola
Luddlav
Stuplav
Trådticka
Tjäder
Fläcknycklar</t>
        </is>
      </c>
      <c r="S27">
        <f>HYPERLINK("https://klasma.github.io/Logging_2303/artfynd/A 21213-2025 artfynd.xlsx", "A 21213-2025")</f>
        <v/>
      </c>
      <c r="T27">
        <f>HYPERLINK("https://klasma.github.io/Logging_2303/kartor/A 21213-2025 karta.png", "A 21213-2025")</f>
        <v/>
      </c>
      <c r="V27">
        <f>HYPERLINK("https://klasma.github.io/Logging_2303/klagomål/A 21213-2025 FSC-klagomål.docx", "A 21213-2025")</f>
        <v/>
      </c>
      <c r="W27">
        <f>HYPERLINK("https://klasma.github.io/Logging_2303/klagomålsmail/A 21213-2025 FSC-klagomål mail.docx", "A 21213-2025")</f>
        <v/>
      </c>
      <c r="X27">
        <f>HYPERLINK("https://klasma.github.io/Logging_2303/tillsyn/A 21213-2025 tillsynsbegäran.docx", "A 21213-2025")</f>
        <v/>
      </c>
      <c r="Y27">
        <f>HYPERLINK("https://klasma.github.io/Logging_2303/tillsynsmail/A 21213-2025 tillsynsbegäran mail.docx", "A 21213-2025")</f>
        <v/>
      </c>
      <c r="Z27">
        <f>HYPERLINK("https://klasma.github.io/Logging_2303/fåglar/A 21213-2025 prioriterade fågelarter.docx", "A 21213-2025")</f>
        <v/>
      </c>
    </row>
    <row r="28" ht="15" customHeight="1">
      <c r="A28" t="inlineStr">
        <is>
          <t>A 43107-2023</t>
        </is>
      </c>
      <c r="B28" s="1" t="n">
        <v>45182</v>
      </c>
      <c r="C28" s="1" t="n">
        <v>45890</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31839-2022</t>
        </is>
      </c>
      <c r="B29" s="1" t="n">
        <v>44776</v>
      </c>
      <c r="C29" s="1" t="n">
        <v>45890</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25632-2025</t>
        </is>
      </c>
      <c r="B30" s="1" t="n">
        <v>45803.59474537037</v>
      </c>
      <c r="C30" s="1" t="n">
        <v>45890</v>
      </c>
      <c r="D30" t="inlineStr">
        <is>
          <t>JÄMTLANDS LÄN</t>
        </is>
      </c>
      <c r="E30" t="inlineStr">
        <is>
          <t>RAGUNDA</t>
        </is>
      </c>
      <c r="G30" t="n">
        <v>13.3</v>
      </c>
      <c r="H30" t="n">
        <v>6</v>
      </c>
      <c r="I30" t="n">
        <v>3</v>
      </c>
      <c r="J30" t="n">
        <v>5</v>
      </c>
      <c r="K30" t="n">
        <v>1</v>
      </c>
      <c r="L30" t="n">
        <v>0</v>
      </c>
      <c r="M30" t="n">
        <v>0</v>
      </c>
      <c r="N30" t="n">
        <v>0</v>
      </c>
      <c r="O30" t="n">
        <v>6</v>
      </c>
      <c r="P30" t="n">
        <v>1</v>
      </c>
      <c r="Q30" t="n">
        <v>11</v>
      </c>
      <c r="R30" s="2" t="inlineStr">
        <is>
          <t>Knärot
Lunglav
Rödvingetrast
Skrovellav
Spillkråka
Tretåig hackspett
Bårdlav
Stuplav
Svart trolldruva
Blåsippa
Revlummer</t>
        </is>
      </c>
      <c r="S30">
        <f>HYPERLINK("https://klasma.github.io/Logging_2303/artfynd/A 25632-2025 artfynd.xlsx", "A 25632-2025")</f>
        <v/>
      </c>
      <c r="T30">
        <f>HYPERLINK("https://klasma.github.io/Logging_2303/kartor/A 25632-2025 karta.png", "A 25632-2025")</f>
        <v/>
      </c>
      <c r="U30">
        <f>HYPERLINK("https://klasma.github.io/Logging_2303/knärot/A 25632-2025 karta knärot.png", "A 25632-2025")</f>
        <v/>
      </c>
      <c r="V30">
        <f>HYPERLINK("https://klasma.github.io/Logging_2303/klagomål/A 25632-2025 FSC-klagomål.docx", "A 25632-2025")</f>
        <v/>
      </c>
      <c r="W30">
        <f>HYPERLINK("https://klasma.github.io/Logging_2303/klagomålsmail/A 25632-2025 FSC-klagomål mail.docx", "A 25632-2025")</f>
        <v/>
      </c>
      <c r="X30">
        <f>HYPERLINK("https://klasma.github.io/Logging_2303/tillsyn/A 25632-2025 tillsynsbegäran.docx", "A 25632-2025")</f>
        <v/>
      </c>
      <c r="Y30">
        <f>HYPERLINK("https://klasma.github.io/Logging_2303/tillsynsmail/A 25632-2025 tillsynsbegäran mail.docx", "A 25632-2025")</f>
        <v/>
      </c>
      <c r="Z30">
        <f>HYPERLINK("https://klasma.github.io/Logging_2303/fåglar/A 25632-2025 prioriterade fågelarter.docx", "A 25632-2025")</f>
        <v/>
      </c>
    </row>
    <row r="31" ht="15" customHeight="1">
      <c r="A31" t="inlineStr">
        <is>
          <t>A 22986-2025</t>
        </is>
      </c>
      <c r="B31" s="1" t="n">
        <v>45790.57349537037</v>
      </c>
      <c r="C31" s="1" t="n">
        <v>45890</v>
      </c>
      <c r="D31" t="inlineStr">
        <is>
          <t>JÄMTLANDS LÄN</t>
        </is>
      </c>
      <c r="E31" t="inlineStr">
        <is>
          <t>RAGUNDA</t>
        </is>
      </c>
      <c r="F31" t="inlineStr">
        <is>
          <t>SCA</t>
        </is>
      </c>
      <c r="G31" t="n">
        <v>3.3</v>
      </c>
      <c r="H31" t="n">
        <v>6</v>
      </c>
      <c r="I31" t="n">
        <v>1</v>
      </c>
      <c r="J31" t="n">
        <v>6</v>
      </c>
      <c r="K31" t="n">
        <v>2</v>
      </c>
      <c r="L31" t="n">
        <v>0</v>
      </c>
      <c r="M31" t="n">
        <v>0</v>
      </c>
      <c r="N31" t="n">
        <v>0</v>
      </c>
      <c r="O31" t="n">
        <v>8</v>
      </c>
      <c r="P31" t="n">
        <v>2</v>
      </c>
      <c r="Q31" t="n">
        <v>11</v>
      </c>
      <c r="R31" s="2" t="inlineStr">
        <is>
          <t>Doftticka
Knärot
Doftskinn
Garnlav
Lunglav
Talltita
Tretåig hackspett
Ullticka
Stuplav
Fläcknycklar
Mattlummer</t>
        </is>
      </c>
      <c r="S31">
        <f>HYPERLINK("https://klasma.github.io/Logging_2303/artfynd/A 22986-2025 artfynd.xlsx", "A 22986-2025")</f>
        <v/>
      </c>
      <c r="T31">
        <f>HYPERLINK("https://klasma.github.io/Logging_2303/kartor/A 22986-2025 karta.png", "A 22986-2025")</f>
        <v/>
      </c>
      <c r="U31">
        <f>HYPERLINK("https://klasma.github.io/Logging_2303/knärot/A 22986-2025 karta knärot.png", "A 22986-2025")</f>
        <v/>
      </c>
      <c r="V31">
        <f>HYPERLINK("https://klasma.github.io/Logging_2303/klagomål/A 22986-2025 FSC-klagomål.docx", "A 22986-2025")</f>
        <v/>
      </c>
      <c r="W31">
        <f>HYPERLINK("https://klasma.github.io/Logging_2303/klagomålsmail/A 22986-2025 FSC-klagomål mail.docx", "A 22986-2025")</f>
        <v/>
      </c>
      <c r="X31">
        <f>HYPERLINK("https://klasma.github.io/Logging_2303/tillsyn/A 22986-2025 tillsynsbegäran.docx", "A 22986-2025")</f>
        <v/>
      </c>
      <c r="Y31">
        <f>HYPERLINK("https://klasma.github.io/Logging_2303/tillsynsmail/A 22986-2025 tillsynsbegäran mail.docx", "A 22986-2025")</f>
        <v/>
      </c>
      <c r="Z31">
        <f>HYPERLINK("https://klasma.github.io/Logging_2303/fåglar/A 22986-2025 prioriterade fågelarter.docx", "A 22986-2025")</f>
        <v/>
      </c>
    </row>
    <row r="32" ht="15" customHeight="1">
      <c r="A32" t="inlineStr">
        <is>
          <t>A 9347-2024</t>
        </is>
      </c>
      <c r="B32" s="1" t="n">
        <v>45358.99375</v>
      </c>
      <c r="C32" s="1" t="n">
        <v>45890</v>
      </c>
      <c r="D32" t="inlineStr">
        <is>
          <t>JÄMTLANDS LÄN</t>
        </is>
      </c>
      <c r="E32" t="inlineStr">
        <is>
          <t>RAGUNDA</t>
        </is>
      </c>
      <c r="F32" t="inlineStr">
        <is>
          <t>SCA</t>
        </is>
      </c>
      <c r="G32" t="n">
        <v>1.6</v>
      </c>
      <c r="H32" t="n">
        <v>2</v>
      </c>
      <c r="I32" t="n">
        <v>3</v>
      </c>
      <c r="J32" t="n">
        <v>6</v>
      </c>
      <c r="K32" t="n">
        <v>2</v>
      </c>
      <c r="L32" t="n">
        <v>0</v>
      </c>
      <c r="M32" t="n">
        <v>0</v>
      </c>
      <c r="N32" t="n">
        <v>0</v>
      </c>
      <c r="O32" t="n">
        <v>8</v>
      </c>
      <c r="P32" t="n">
        <v>2</v>
      </c>
      <c r="Q32" t="n">
        <v>11</v>
      </c>
      <c r="R32" s="2" t="inlineStr">
        <is>
          <t>Knärot
Rynkskinn
Garnlav
Gultoppig fingersvamp
Kolflarnlav
Mörk kolflarnlav
Rosenticka
Vedskivlav
Rödfläckig zontaggsvamp
Svavelriska
Tvåblad</t>
        </is>
      </c>
      <c r="S32">
        <f>HYPERLINK("https://klasma.github.io/Logging_2303/artfynd/A 9347-2024 artfynd.xlsx", "A 9347-2024")</f>
        <v/>
      </c>
      <c r="T32">
        <f>HYPERLINK("https://klasma.github.io/Logging_2303/kartor/A 9347-2024 karta.png", "A 9347-2024")</f>
        <v/>
      </c>
      <c r="U32">
        <f>HYPERLINK("https://klasma.github.io/Logging_2303/knärot/A 9347-2024 karta knärot.png", "A 9347-2024")</f>
        <v/>
      </c>
      <c r="V32">
        <f>HYPERLINK("https://klasma.github.io/Logging_2303/klagomål/A 9347-2024 FSC-klagomål.docx", "A 9347-2024")</f>
        <v/>
      </c>
      <c r="W32">
        <f>HYPERLINK("https://klasma.github.io/Logging_2303/klagomålsmail/A 9347-2024 FSC-klagomål mail.docx", "A 9347-2024")</f>
        <v/>
      </c>
      <c r="X32">
        <f>HYPERLINK("https://klasma.github.io/Logging_2303/tillsyn/A 9347-2024 tillsynsbegäran.docx", "A 9347-2024")</f>
        <v/>
      </c>
      <c r="Y32">
        <f>HYPERLINK("https://klasma.github.io/Logging_2303/tillsynsmail/A 9347-2024 tillsynsbegäran mail.docx", "A 9347-2024")</f>
        <v/>
      </c>
    </row>
    <row r="33" ht="15" customHeight="1">
      <c r="A33" t="inlineStr">
        <is>
          <t>A 32741-2025</t>
        </is>
      </c>
      <c r="B33" s="1" t="n">
        <v>45839.42482638889</v>
      </c>
      <c r="C33" s="1" t="n">
        <v>45890</v>
      </c>
      <c r="D33" t="inlineStr">
        <is>
          <t>JÄMTLANDS LÄN</t>
        </is>
      </c>
      <c r="E33" t="inlineStr">
        <is>
          <t>RAGUNDA</t>
        </is>
      </c>
      <c r="G33" t="n">
        <v>4.2</v>
      </c>
      <c r="H33" t="n">
        <v>4</v>
      </c>
      <c r="I33" t="n">
        <v>2</v>
      </c>
      <c r="J33" t="n">
        <v>8</v>
      </c>
      <c r="K33" t="n">
        <v>1</v>
      </c>
      <c r="L33" t="n">
        <v>0</v>
      </c>
      <c r="M33" t="n">
        <v>0</v>
      </c>
      <c r="N33" t="n">
        <v>0</v>
      </c>
      <c r="O33" t="n">
        <v>9</v>
      </c>
      <c r="P33" t="n">
        <v>1</v>
      </c>
      <c r="Q33" t="n">
        <v>11</v>
      </c>
      <c r="R33" s="2" t="inlineStr">
        <is>
          <t>Knärot
Garnlav
Kolflarnlav
Lunglav
Talltita
Tretåig hackspett
Ullticka
Vedtrappmossa
Vitgrynig nållav
Spindelblomster
Stuplav</t>
        </is>
      </c>
      <c r="S33">
        <f>HYPERLINK("https://klasma.github.io/Logging_2303/artfynd/A 32741-2025 artfynd.xlsx", "A 32741-2025")</f>
        <v/>
      </c>
      <c r="T33">
        <f>HYPERLINK("https://klasma.github.io/Logging_2303/kartor/A 32741-2025 karta.png", "A 32741-2025")</f>
        <v/>
      </c>
      <c r="U33">
        <f>HYPERLINK("https://klasma.github.io/Logging_2303/knärot/A 32741-2025 karta knärot.png", "A 32741-2025")</f>
        <v/>
      </c>
      <c r="V33">
        <f>HYPERLINK("https://klasma.github.io/Logging_2303/klagomål/A 32741-2025 FSC-klagomål.docx", "A 32741-2025")</f>
        <v/>
      </c>
      <c r="W33">
        <f>HYPERLINK("https://klasma.github.io/Logging_2303/klagomålsmail/A 32741-2025 FSC-klagomål mail.docx", "A 32741-2025")</f>
        <v/>
      </c>
      <c r="X33">
        <f>HYPERLINK("https://klasma.github.io/Logging_2303/tillsyn/A 32741-2025 tillsynsbegäran.docx", "A 32741-2025")</f>
        <v/>
      </c>
      <c r="Y33">
        <f>HYPERLINK("https://klasma.github.io/Logging_2303/tillsynsmail/A 32741-2025 tillsynsbegäran mail.docx", "A 32741-2025")</f>
        <v/>
      </c>
      <c r="Z33">
        <f>HYPERLINK("https://klasma.github.io/Logging_2303/fåglar/A 32741-2025 prioriterade fågelarter.docx", "A 32741-2025")</f>
        <v/>
      </c>
    </row>
    <row r="34" ht="15" customHeight="1">
      <c r="A34" t="inlineStr">
        <is>
          <t>A 36943-2022</t>
        </is>
      </c>
      <c r="B34" s="1" t="n">
        <v>44805</v>
      </c>
      <c r="C34" s="1" t="n">
        <v>45890</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41412-2024</t>
        </is>
      </c>
      <c r="B35" s="1" t="n">
        <v>45560.34484953704</v>
      </c>
      <c r="C35" s="1" t="n">
        <v>45890</v>
      </c>
      <c r="D35" t="inlineStr">
        <is>
          <t>JÄMTLANDS LÄN</t>
        </is>
      </c>
      <c r="E35" t="inlineStr">
        <is>
          <t>RAGUNDA</t>
        </is>
      </c>
      <c r="F35" t="inlineStr">
        <is>
          <t>SCA</t>
        </is>
      </c>
      <c r="G35" t="n">
        <v>1.8</v>
      </c>
      <c r="H35" t="n">
        <v>1</v>
      </c>
      <c r="I35" t="n">
        <v>5</v>
      </c>
      <c r="J35" t="n">
        <v>4</v>
      </c>
      <c r="K35" t="n">
        <v>1</v>
      </c>
      <c r="L35" t="n">
        <v>0</v>
      </c>
      <c r="M35" t="n">
        <v>0</v>
      </c>
      <c r="N35" t="n">
        <v>0</v>
      </c>
      <c r="O35" t="n">
        <v>5</v>
      </c>
      <c r="P35" t="n">
        <v>1</v>
      </c>
      <c r="Q35" t="n">
        <v>10</v>
      </c>
      <c r="R35" s="2" t="inlineStr">
        <is>
          <t>Knärot
Garnlav
Lunglav
Rosenticka
Ullticka
Bårdlav
Korallblylav
Luddlav
Stuplav
Vedticka</t>
        </is>
      </c>
      <c r="S35">
        <f>HYPERLINK("https://klasma.github.io/Logging_2303/artfynd/A 41412-2024 artfynd.xlsx", "A 41412-2024")</f>
        <v/>
      </c>
      <c r="T35">
        <f>HYPERLINK("https://klasma.github.io/Logging_2303/kartor/A 41412-2024 karta.png", "A 41412-2024")</f>
        <v/>
      </c>
      <c r="U35">
        <f>HYPERLINK("https://klasma.github.io/Logging_2303/knärot/A 41412-2024 karta knärot.png", "A 41412-2024")</f>
        <v/>
      </c>
      <c r="V35">
        <f>HYPERLINK("https://klasma.github.io/Logging_2303/klagomål/A 41412-2024 FSC-klagomål.docx", "A 41412-2024")</f>
        <v/>
      </c>
      <c r="W35">
        <f>HYPERLINK("https://klasma.github.io/Logging_2303/klagomålsmail/A 41412-2024 FSC-klagomål mail.docx", "A 41412-2024")</f>
        <v/>
      </c>
      <c r="X35">
        <f>HYPERLINK("https://klasma.github.io/Logging_2303/tillsyn/A 41412-2024 tillsynsbegäran.docx", "A 41412-2024")</f>
        <v/>
      </c>
      <c r="Y35">
        <f>HYPERLINK("https://klasma.github.io/Logging_2303/tillsynsmail/A 41412-2024 tillsynsbegäran mail.docx", "A 41412-2024")</f>
        <v/>
      </c>
    </row>
    <row r="36" ht="15" customHeight="1">
      <c r="A36" t="inlineStr">
        <is>
          <t>A 55894-2022</t>
        </is>
      </c>
      <c r="B36" s="1" t="n">
        <v>44888</v>
      </c>
      <c r="C36" s="1" t="n">
        <v>45890</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4591-2024</t>
        </is>
      </c>
      <c r="B37" s="1" t="n">
        <v>45327</v>
      </c>
      <c r="C37" s="1" t="n">
        <v>45890</v>
      </c>
      <c r="D37" t="inlineStr">
        <is>
          <t>JÄMTLANDS LÄN</t>
        </is>
      </c>
      <c r="E37" t="inlineStr">
        <is>
          <t>RAGUNDA</t>
        </is>
      </c>
      <c r="F37" t="inlineStr">
        <is>
          <t>SCA</t>
        </is>
      </c>
      <c r="G37" t="n">
        <v>5.8</v>
      </c>
      <c r="H37" t="n">
        <v>6</v>
      </c>
      <c r="I37" t="n">
        <v>3</v>
      </c>
      <c r="J37" t="n">
        <v>7</v>
      </c>
      <c r="K37" t="n">
        <v>0</v>
      </c>
      <c r="L37" t="n">
        <v>0</v>
      </c>
      <c r="M37" t="n">
        <v>0</v>
      </c>
      <c r="N37" t="n">
        <v>0</v>
      </c>
      <c r="O37" t="n">
        <v>7</v>
      </c>
      <c r="P37" t="n">
        <v>0</v>
      </c>
      <c r="Q37" t="n">
        <v>10</v>
      </c>
      <c r="R37" s="2" t="inlineStr">
        <is>
          <t>Garnlav
Granticka
Harticka
Lunglav
Spillkråka
Talltita
Tretåig hackspett
Grönkulla
Spindelblomster
Tvåblad</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13483-2022</t>
        </is>
      </c>
      <c r="B38" s="1" t="n">
        <v>44645.99859953704</v>
      </c>
      <c r="C38" s="1" t="n">
        <v>45890</v>
      </c>
      <c r="D38" t="inlineStr">
        <is>
          <t>JÄMTLANDS LÄN</t>
        </is>
      </c>
      <c r="E38" t="inlineStr">
        <is>
          <t>RAGUNDA</t>
        </is>
      </c>
      <c r="F38" t="inlineStr">
        <is>
          <t>SCA</t>
        </is>
      </c>
      <c r="G38" t="n">
        <v>5.7</v>
      </c>
      <c r="H38" t="n">
        <v>1</v>
      </c>
      <c r="I38" t="n">
        <v>3</v>
      </c>
      <c r="J38" t="n">
        <v>6</v>
      </c>
      <c r="K38" t="n">
        <v>1</v>
      </c>
      <c r="L38" t="n">
        <v>0</v>
      </c>
      <c r="M38" t="n">
        <v>0</v>
      </c>
      <c r="N38" t="n">
        <v>0</v>
      </c>
      <c r="O38" t="n">
        <v>7</v>
      </c>
      <c r="P38" t="n">
        <v>1</v>
      </c>
      <c r="Q38" t="n">
        <v>10</v>
      </c>
      <c r="R38" s="2" t="inlineStr">
        <is>
          <t>Knärot
Garnlav
Lunglav
Mörk kolflarnlav
Vedskivlav
Vedtrappmossa
Vitgrynig nållav
Barkkornlav
Dropptaggsvamp
Stuplav</t>
        </is>
      </c>
      <c r="S38">
        <f>HYPERLINK("https://klasma.github.io/Logging_2303/artfynd/A 13483-2022 artfynd.xlsx", "A 13483-2022")</f>
        <v/>
      </c>
      <c r="T38">
        <f>HYPERLINK("https://klasma.github.io/Logging_2303/kartor/A 13483-2022 karta.png", "A 13483-2022")</f>
        <v/>
      </c>
      <c r="U38">
        <f>HYPERLINK("https://klasma.github.io/Logging_2303/knärot/A 13483-2022 karta knärot.png", "A 13483-2022")</f>
        <v/>
      </c>
      <c r="V38">
        <f>HYPERLINK("https://klasma.github.io/Logging_2303/klagomål/A 13483-2022 FSC-klagomål.docx", "A 13483-2022")</f>
        <v/>
      </c>
      <c r="W38">
        <f>HYPERLINK("https://klasma.github.io/Logging_2303/klagomålsmail/A 13483-2022 FSC-klagomål mail.docx", "A 13483-2022")</f>
        <v/>
      </c>
      <c r="X38">
        <f>HYPERLINK("https://klasma.github.io/Logging_2303/tillsyn/A 13483-2022 tillsynsbegäran.docx", "A 13483-2022")</f>
        <v/>
      </c>
      <c r="Y38">
        <f>HYPERLINK("https://klasma.github.io/Logging_2303/tillsynsmail/A 13483-2022 tillsynsbegäran mail.docx", "A 13483-2022")</f>
        <v/>
      </c>
    </row>
    <row r="39" ht="15" customHeight="1">
      <c r="A39" t="inlineStr">
        <is>
          <t>A 21244-2025</t>
        </is>
      </c>
      <c r="B39" s="1" t="n">
        <v>45779.57335648148</v>
      </c>
      <c r="C39" s="1" t="n">
        <v>45890</v>
      </c>
      <c r="D39" t="inlineStr">
        <is>
          <t>JÄMTLANDS LÄN</t>
        </is>
      </c>
      <c r="E39" t="inlineStr">
        <is>
          <t>RAGUNDA</t>
        </is>
      </c>
      <c r="F39" t="inlineStr">
        <is>
          <t>SCA</t>
        </is>
      </c>
      <c r="G39" t="n">
        <v>4.1</v>
      </c>
      <c r="H39" t="n">
        <v>3</v>
      </c>
      <c r="I39" t="n">
        <v>3</v>
      </c>
      <c r="J39" t="n">
        <v>6</v>
      </c>
      <c r="K39" t="n">
        <v>1</v>
      </c>
      <c r="L39" t="n">
        <v>0</v>
      </c>
      <c r="M39" t="n">
        <v>0</v>
      </c>
      <c r="N39" t="n">
        <v>0</v>
      </c>
      <c r="O39" t="n">
        <v>7</v>
      </c>
      <c r="P39" t="n">
        <v>1</v>
      </c>
      <c r="Q39" t="n">
        <v>10</v>
      </c>
      <c r="R39" s="2" t="inlineStr">
        <is>
          <t>Ulltickeporing
Garnlav
Lunglav
Spillkråka
Talltita
Tretåig hackspett
Ullticka
Nästlav
Stuplav
Vedticka</t>
        </is>
      </c>
      <c r="S39">
        <f>HYPERLINK("https://klasma.github.io/Logging_2303/artfynd/A 21244-2025 artfynd.xlsx", "A 21244-2025")</f>
        <v/>
      </c>
      <c r="T39">
        <f>HYPERLINK("https://klasma.github.io/Logging_2303/kartor/A 21244-2025 karta.png", "A 21244-2025")</f>
        <v/>
      </c>
      <c r="V39">
        <f>HYPERLINK("https://klasma.github.io/Logging_2303/klagomål/A 21244-2025 FSC-klagomål.docx", "A 21244-2025")</f>
        <v/>
      </c>
      <c r="W39">
        <f>HYPERLINK("https://klasma.github.io/Logging_2303/klagomålsmail/A 21244-2025 FSC-klagomål mail.docx", "A 21244-2025")</f>
        <v/>
      </c>
      <c r="X39">
        <f>HYPERLINK("https://klasma.github.io/Logging_2303/tillsyn/A 21244-2025 tillsynsbegäran.docx", "A 21244-2025")</f>
        <v/>
      </c>
      <c r="Y39">
        <f>HYPERLINK("https://klasma.github.io/Logging_2303/tillsynsmail/A 21244-2025 tillsynsbegäran mail.docx", "A 21244-2025")</f>
        <v/>
      </c>
      <c r="Z39">
        <f>HYPERLINK("https://klasma.github.io/Logging_2303/fåglar/A 21244-2025 prioriterade fågelarter.docx", "A 21244-2025")</f>
        <v/>
      </c>
    </row>
    <row r="40" ht="15" customHeight="1">
      <c r="A40" t="inlineStr">
        <is>
          <t>A 33822-2023</t>
        </is>
      </c>
      <c r="B40" s="1" t="n">
        <v>45121</v>
      </c>
      <c r="C40" s="1" t="n">
        <v>45890</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4146-2025</t>
        </is>
      </c>
      <c r="B41" s="1" t="n">
        <v>45685.36501157407</v>
      </c>
      <c r="C41" s="1" t="n">
        <v>45890</v>
      </c>
      <c r="D41" t="inlineStr">
        <is>
          <t>JÄMTLANDS LÄN</t>
        </is>
      </c>
      <c r="E41" t="inlineStr">
        <is>
          <t>RAGUNDA</t>
        </is>
      </c>
      <c r="G41" t="n">
        <v>10.7</v>
      </c>
      <c r="H41" t="n">
        <v>1</v>
      </c>
      <c r="I41" t="n">
        <v>5</v>
      </c>
      <c r="J41" t="n">
        <v>2</v>
      </c>
      <c r="K41" t="n">
        <v>2</v>
      </c>
      <c r="L41" t="n">
        <v>0</v>
      </c>
      <c r="M41" t="n">
        <v>0</v>
      </c>
      <c r="N41" t="n">
        <v>0</v>
      </c>
      <c r="O41" t="n">
        <v>4</v>
      </c>
      <c r="P41" t="n">
        <v>2</v>
      </c>
      <c r="Q41" t="n">
        <v>9</v>
      </c>
      <c r="R41" s="2" t="inlineStr">
        <is>
          <t>Knärot
Kopparspindling
Kolflarnlav
Lunglav
Dropptaggsvamp
Dvärgtufs
Korallblylav
Skinnlav
Stuplav</t>
        </is>
      </c>
      <c r="S41">
        <f>HYPERLINK("https://klasma.github.io/Logging_2303/artfynd/A 4146-2025 artfynd.xlsx", "A 4146-2025")</f>
        <v/>
      </c>
      <c r="T41">
        <f>HYPERLINK("https://klasma.github.io/Logging_2303/kartor/A 4146-2025 karta.png", "A 4146-2025")</f>
        <v/>
      </c>
      <c r="U41">
        <f>HYPERLINK("https://klasma.github.io/Logging_2303/knärot/A 4146-2025 karta knärot.png", "A 4146-2025")</f>
        <v/>
      </c>
      <c r="V41">
        <f>HYPERLINK("https://klasma.github.io/Logging_2303/klagomål/A 4146-2025 FSC-klagomål.docx", "A 4146-2025")</f>
        <v/>
      </c>
      <c r="W41">
        <f>HYPERLINK("https://klasma.github.io/Logging_2303/klagomålsmail/A 4146-2025 FSC-klagomål mail.docx", "A 4146-2025")</f>
        <v/>
      </c>
      <c r="X41">
        <f>HYPERLINK("https://klasma.github.io/Logging_2303/tillsyn/A 4146-2025 tillsynsbegäran.docx", "A 4146-2025")</f>
        <v/>
      </c>
      <c r="Y41">
        <f>HYPERLINK("https://klasma.github.io/Logging_2303/tillsynsmail/A 4146-2025 tillsynsbegäran mail.docx", "A 4146-2025")</f>
        <v/>
      </c>
    </row>
    <row r="42" ht="15" customHeight="1">
      <c r="A42" t="inlineStr">
        <is>
          <t>A 32068-2024</t>
        </is>
      </c>
      <c r="B42" s="1" t="n">
        <v>45510</v>
      </c>
      <c r="C42" s="1" t="n">
        <v>45890</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45890</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25016-2025</t>
        </is>
      </c>
      <c r="B44" s="1" t="n">
        <v>45799.63574074074</v>
      </c>
      <c r="C44" s="1" t="n">
        <v>45890</v>
      </c>
      <c r="D44" t="inlineStr">
        <is>
          <t>JÄMTLANDS LÄN</t>
        </is>
      </c>
      <c r="E44" t="inlineStr">
        <is>
          <t>RAGUNDA</t>
        </is>
      </c>
      <c r="F44" t="inlineStr">
        <is>
          <t>SCA</t>
        </is>
      </c>
      <c r="G44" t="n">
        <v>17.9</v>
      </c>
      <c r="H44" t="n">
        <v>2</v>
      </c>
      <c r="I44" t="n">
        <v>3</v>
      </c>
      <c r="J44" t="n">
        <v>6</v>
      </c>
      <c r="K44" t="n">
        <v>0</v>
      </c>
      <c r="L44" t="n">
        <v>0</v>
      </c>
      <c r="M44" t="n">
        <v>0</v>
      </c>
      <c r="N44" t="n">
        <v>0</v>
      </c>
      <c r="O44" t="n">
        <v>6</v>
      </c>
      <c r="P44" t="n">
        <v>0</v>
      </c>
      <c r="Q44" t="n">
        <v>9</v>
      </c>
      <c r="R44" s="2" t="inlineStr">
        <is>
          <t>Garnlav
Granticka
Lunglav
Spillkråka
Tretåig hackspett
Ullticka
Bårdlav
Stuplav
Vedticka</t>
        </is>
      </c>
      <c r="S44">
        <f>HYPERLINK("https://klasma.github.io/Logging_2303/artfynd/A 25016-2025 artfynd.xlsx", "A 25016-2025")</f>
        <v/>
      </c>
      <c r="T44">
        <f>HYPERLINK("https://klasma.github.io/Logging_2303/kartor/A 25016-2025 karta.png", "A 25016-2025")</f>
        <v/>
      </c>
      <c r="V44">
        <f>HYPERLINK("https://klasma.github.io/Logging_2303/klagomål/A 25016-2025 FSC-klagomål.docx", "A 25016-2025")</f>
        <v/>
      </c>
      <c r="W44">
        <f>HYPERLINK("https://klasma.github.io/Logging_2303/klagomålsmail/A 25016-2025 FSC-klagomål mail.docx", "A 25016-2025")</f>
        <v/>
      </c>
      <c r="X44">
        <f>HYPERLINK("https://klasma.github.io/Logging_2303/tillsyn/A 25016-2025 tillsynsbegäran.docx", "A 25016-2025")</f>
        <v/>
      </c>
      <c r="Y44">
        <f>HYPERLINK("https://klasma.github.io/Logging_2303/tillsynsmail/A 25016-2025 tillsynsbegäran mail.docx", "A 25016-2025")</f>
        <v/>
      </c>
      <c r="Z44">
        <f>HYPERLINK("https://klasma.github.io/Logging_2303/fåglar/A 25016-2025 prioriterade fågelarter.docx", "A 25016-2025")</f>
        <v/>
      </c>
    </row>
    <row r="45" ht="15" customHeight="1">
      <c r="A45" t="inlineStr">
        <is>
          <t>A 24735-2025</t>
        </is>
      </c>
      <c r="B45" s="1" t="n">
        <v>45799.34461805555</v>
      </c>
      <c r="C45" s="1" t="n">
        <v>45890</v>
      </c>
      <c r="D45" t="inlineStr">
        <is>
          <t>JÄMTLANDS LÄN</t>
        </is>
      </c>
      <c r="E45" t="inlineStr">
        <is>
          <t>RAGUNDA</t>
        </is>
      </c>
      <c r="F45" t="inlineStr">
        <is>
          <t>SCA</t>
        </is>
      </c>
      <c r="G45" t="n">
        <v>7.1</v>
      </c>
      <c r="H45" t="n">
        <v>1</v>
      </c>
      <c r="I45" t="n">
        <v>4</v>
      </c>
      <c r="J45" t="n">
        <v>5</v>
      </c>
      <c r="K45" t="n">
        <v>0</v>
      </c>
      <c r="L45" t="n">
        <v>0</v>
      </c>
      <c r="M45" t="n">
        <v>0</v>
      </c>
      <c r="N45" t="n">
        <v>0</v>
      </c>
      <c r="O45" t="n">
        <v>5</v>
      </c>
      <c r="P45" t="n">
        <v>0</v>
      </c>
      <c r="Q45" t="n">
        <v>9</v>
      </c>
      <c r="R45" s="2" t="inlineStr">
        <is>
          <t>Garnlav
Lunglav
Mörk kolflarnlav
Tretåig hackspett
Ullticka
Bollvitmossa
Norrlandslav
Skinnlav
Stuplav</t>
        </is>
      </c>
      <c r="S45">
        <f>HYPERLINK("https://klasma.github.io/Logging_2303/artfynd/A 24735-2025 artfynd.xlsx", "A 24735-2025")</f>
        <v/>
      </c>
      <c r="T45">
        <f>HYPERLINK("https://klasma.github.io/Logging_2303/kartor/A 24735-2025 karta.png", "A 24735-2025")</f>
        <v/>
      </c>
      <c r="V45">
        <f>HYPERLINK("https://klasma.github.io/Logging_2303/klagomål/A 24735-2025 FSC-klagomål.docx", "A 24735-2025")</f>
        <v/>
      </c>
      <c r="W45">
        <f>HYPERLINK("https://klasma.github.io/Logging_2303/klagomålsmail/A 24735-2025 FSC-klagomål mail.docx", "A 24735-2025")</f>
        <v/>
      </c>
      <c r="X45">
        <f>HYPERLINK("https://klasma.github.io/Logging_2303/tillsyn/A 24735-2025 tillsynsbegäran.docx", "A 24735-2025")</f>
        <v/>
      </c>
      <c r="Y45">
        <f>HYPERLINK("https://klasma.github.io/Logging_2303/tillsynsmail/A 24735-2025 tillsynsbegäran mail.docx", "A 24735-2025")</f>
        <v/>
      </c>
      <c r="Z45">
        <f>HYPERLINK("https://klasma.github.io/Logging_2303/fåglar/A 24735-2025 prioriterade fågelarter.docx", "A 24735-2025")</f>
        <v/>
      </c>
    </row>
    <row r="46" ht="15" customHeight="1">
      <c r="A46" t="inlineStr">
        <is>
          <t>A 45008-2023</t>
        </is>
      </c>
      <c r="B46" s="1" t="n">
        <v>45190.96092592592</v>
      </c>
      <c r="C46" s="1" t="n">
        <v>45890</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62948-2021</t>
        </is>
      </c>
      <c r="B47" s="1" t="n">
        <v>44504</v>
      </c>
      <c r="C47" s="1" t="n">
        <v>45890</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U47">
        <f>HYPERLINK("https://klasma.github.io/Logging_2303/knärot/A 62948-2021 karta knärot.png",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30876-2025</t>
        </is>
      </c>
      <c r="B48" s="1" t="n">
        <v>45832.34461805555</v>
      </c>
      <c r="C48" s="1" t="n">
        <v>45890</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12372-2024</t>
        </is>
      </c>
      <c r="B49" s="1" t="n">
        <v>45378</v>
      </c>
      <c r="C49" s="1" t="n">
        <v>45890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19278-2025</t>
        </is>
      </c>
      <c r="B50" s="1" t="n">
        <v>45769.53180555555</v>
      </c>
      <c r="C50" s="1" t="n">
        <v>45890</v>
      </c>
      <c r="D50" t="inlineStr">
        <is>
          <t>JÄMTLANDS LÄN</t>
        </is>
      </c>
      <c r="E50" t="inlineStr">
        <is>
          <t>RAGUNDA</t>
        </is>
      </c>
      <c r="F50" t="inlineStr">
        <is>
          <t>SCA</t>
        </is>
      </c>
      <c r="G50" t="n">
        <v>11.8</v>
      </c>
      <c r="H50" t="n">
        <v>3</v>
      </c>
      <c r="I50" t="n">
        <v>2</v>
      </c>
      <c r="J50" t="n">
        <v>6</v>
      </c>
      <c r="K50" t="n">
        <v>1</v>
      </c>
      <c r="L50" t="n">
        <v>0</v>
      </c>
      <c r="M50" t="n">
        <v>0</v>
      </c>
      <c r="N50" t="n">
        <v>0</v>
      </c>
      <c r="O50" t="n">
        <v>7</v>
      </c>
      <c r="P50" t="n">
        <v>1</v>
      </c>
      <c r="Q50" t="n">
        <v>9</v>
      </c>
      <c r="R50" s="2" t="inlineStr">
        <is>
          <t>Knärot
Garnlav
Granticka
Lunglav
Talltita
Tretåig hackspett
Ullticka
Norrlandslav
Skinnlav</t>
        </is>
      </c>
      <c r="S50">
        <f>HYPERLINK("https://klasma.github.io/Logging_2303/artfynd/A 19278-2025 artfynd.xlsx", "A 19278-2025")</f>
        <v/>
      </c>
      <c r="T50">
        <f>HYPERLINK("https://klasma.github.io/Logging_2303/kartor/A 19278-2025 karta.png", "A 19278-2025")</f>
        <v/>
      </c>
      <c r="U50">
        <f>HYPERLINK("https://klasma.github.io/Logging_2303/knärot/A 19278-2025 karta knärot.png", "A 19278-2025")</f>
        <v/>
      </c>
      <c r="V50">
        <f>HYPERLINK("https://klasma.github.io/Logging_2303/klagomål/A 19278-2025 FSC-klagomål.docx", "A 19278-2025")</f>
        <v/>
      </c>
      <c r="W50">
        <f>HYPERLINK("https://klasma.github.io/Logging_2303/klagomålsmail/A 19278-2025 FSC-klagomål mail.docx", "A 19278-2025")</f>
        <v/>
      </c>
      <c r="X50">
        <f>HYPERLINK("https://klasma.github.io/Logging_2303/tillsyn/A 19278-2025 tillsynsbegäran.docx", "A 19278-2025")</f>
        <v/>
      </c>
      <c r="Y50">
        <f>HYPERLINK("https://klasma.github.io/Logging_2303/tillsynsmail/A 19278-2025 tillsynsbegäran mail.docx", "A 19278-2025")</f>
        <v/>
      </c>
      <c r="Z50">
        <f>HYPERLINK("https://klasma.github.io/Logging_2303/fåglar/A 19278-2025 prioriterade fågelarter.docx", "A 19278-2025")</f>
        <v/>
      </c>
    </row>
    <row r="51" ht="15" customHeight="1">
      <c r="A51" t="inlineStr">
        <is>
          <t>A 56215-2020</t>
        </is>
      </c>
      <c r="B51" s="1" t="n">
        <v>44133</v>
      </c>
      <c r="C51" s="1" t="n">
        <v>45890</v>
      </c>
      <c r="D51" t="inlineStr">
        <is>
          <t>JÄMTLANDS LÄN</t>
        </is>
      </c>
      <c r="E51" t="inlineStr">
        <is>
          <t>RAGUNDA</t>
        </is>
      </c>
      <c r="F51" t="inlineStr">
        <is>
          <t>SCA</t>
        </is>
      </c>
      <c r="G51" t="n">
        <v>3.4</v>
      </c>
      <c r="H51" t="n">
        <v>2</v>
      </c>
      <c r="I51" t="n">
        <v>5</v>
      </c>
      <c r="J51" t="n">
        <v>2</v>
      </c>
      <c r="K51" t="n">
        <v>0</v>
      </c>
      <c r="L51" t="n">
        <v>0</v>
      </c>
      <c r="M51" t="n">
        <v>0</v>
      </c>
      <c r="N51" t="n">
        <v>0</v>
      </c>
      <c r="O51" t="n">
        <v>2</v>
      </c>
      <c r="P51" t="n">
        <v>0</v>
      </c>
      <c r="Q51" t="n">
        <v>8</v>
      </c>
      <c r="R51" s="2" t="inlineStr">
        <is>
          <t>Granticka
Lunglav
Guckusko
Kransrams
Svart trolldruva
Tibast
Vårärt
Blåsippa</t>
        </is>
      </c>
      <c r="S51">
        <f>HYPERLINK("https://klasma.github.io/Logging_2303/artfynd/A 56215-2020 artfynd.xlsx", "A 56215-2020")</f>
        <v/>
      </c>
      <c r="T51">
        <f>HYPERLINK("https://klasma.github.io/Logging_2303/kartor/A 56215-2020 karta.png", "A 56215-2020")</f>
        <v/>
      </c>
      <c r="V51">
        <f>HYPERLINK("https://klasma.github.io/Logging_2303/klagomål/A 56215-2020 FSC-klagomål.docx", "A 56215-2020")</f>
        <v/>
      </c>
      <c r="W51">
        <f>HYPERLINK("https://klasma.github.io/Logging_2303/klagomålsmail/A 56215-2020 FSC-klagomål mail.docx", "A 56215-2020")</f>
        <v/>
      </c>
      <c r="X51">
        <f>HYPERLINK("https://klasma.github.io/Logging_2303/tillsyn/A 56215-2020 tillsynsbegäran.docx", "A 56215-2020")</f>
        <v/>
      </c>
      <c r="Y51">
        <f>HYPERLINK("https://klasma.github.io/Logging_2303/tillsynsmail/A 56215-2020 tillsynsbegäran mail.docx", "A 56215-2020")</f>
        <v/>
      </c>
    </row>
    <row r="52" ht="15" customHeight="1">
      <c r="A52" t="inlineStr">
        <is>
          <t>A 3634-2024</t>
        </is>
      </c>
      <c r="B52" s="1" t="n">
        <v>45320</v>
      </c>
      <c r="C52" s="1" t="n">
        <v>45890</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45890</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10982-2025</t>
        </is>
      </c>
      <c r="B54" s="1" t="n">
        <v>45723.40688657408</v>
      </c>
      <c r="C54" s="1" t="n">
        <v>45890</v>
      </c>
      <c r="D54" t="inlineStr">
        <is>
          <t>JÄMTLANDS LÄN</t>
        </is>
      </c>
      <c r="E54" t="inlineStr">
        <is>
          <t>RAGUNDA</t>
        </is>
      </c>
      <c r="F54" t="inlineStr">
        <is>
          <t>SCA</t>
        </is>
      </c>
      <c r="G54" t="n">
        <v>6.4</v>
      </c>
      <c r="H54" t="n">
        <v>0</v>
      </c>
      <c r="I54" t="n">
        <v>6</v>
      </c>
      <c r="J54" t="n">
        <v>2</v>
      </c>
      <c r="K54" t="n">
        <v>0</v>
      </c>
      <c r="L54" t="n">
        <v>0</v>
      </c>
      <c r="M54" t="n">
        <v>0</v>
      </c>
      <c r="N54" t="n">
        <v>0</v>
      </c>
      <c r="O54" t="n">
        <v>2</v>
      </c>
      <c r="P54" t="n">
        <v>0</v>
      </c>
      <c r="Q54" t="n">
        <v>8</v>
      </c>
      <c r="R54" s="2" t="inlineStr">
        <is>
          <t>Orange taggsvamp
Skrovlig taggsvamp
Barrfagerspindling
Bårdlav
Dropptaggsvamp
Skarp dropptaggsvamp
Stuplav
Svart trolldruva</t>
        </is>
      </c>
      <c r="S54">
        <f>HYPERLINK("https://klasma.github.io/Logging_2303/artfynd/A 10982-2025 artfynd.xlsx", "A 10982-2025")</f>
        <v/>
      </c>
      <c r="T54">
        <f>HYPERLINK("https://klasma.github.io/Logging_2303/kartor/A 10982-2025 karta.png", "A 10982-2025")</f>
        <v/>
      </c>
      <c r="V54">
        <f>HYPERLINK("https://klasma.github.io/Logging_2303/klagomål/A 10982-2025 FSC-klagomål.docx", "A 10982-2025")</f>
        <v/>
      </c>
      <c r="W54">
        <f>HYPERLINK("https://klasma.github.io/Logging_2303/klagomålsmail/A 10982-2025 FSC-klagomål mail.docx", "A 10982-2025")</f>
        <v/>
      </c>
      <c r="X54">
        <f>HYPERLINK("https://klasma.github.io/Logging_2303/tillsyn/A 10982-2025 tillsynsbegäran.docx", "A 10982-2025")</f>
        <v/>
      </c>
      <c r="Y54">
        <f>HYPERLINK("https://klasma.github.io/Logging_2303/tillsynsmail/A 10982-2025 tillsynsbegäran mail.docx", "A 10982-2025")</f>
        <v/>
      </c>
    </row>
    <row r="55" ht="15" customHeight="1">
      <c r="A55" t="inlineStr">
        <is>
          <t>A 32475-2023</t>
        </is>
      </c>
      <c r="B55" s="1" t="n">
        <v>45120</v>
      </c>
      <c r="C55" s="1" t="n">
        <v>45890</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30335-2025</t>
        </is>
      </c>
      <c r="B56" s="1" t="n">
        <v>45827.5110300926</v>
      </c>
      <c r="C56" s="1" t="n">
        <v>45890</v>
      </c>
      <c r="D56" t="inlineStr">
        <is>
          <t>JÄMTLANDS LÄN</t>
        </is>
      </c>
      <c r="E56" t="inlineStr">
        <is>
          <t>RAGUNDA</t>
        </is>
      </c>
      <c r="F56" t="inlineStr">
        <is>
          <t>SCA</t>
        </is>
      </c>
      <c r="G56" t="n">
        <v>7.7</v>
      </c>
      <c r="H56" t="n">
        <v>2</v>
      </c>
      <c r="I56" t="n">
        <v>2</v>
      </c>
      <c r="J56" t="n">
        <v>5</v>
      </c>
      <c r="K56" t="n">
        <v>1</v>
      </c>
      <c r="L56" t="n">
        <v>0</v>
      </c>
      <c r="M56" t="n">
        <v>0</v>
      </c>
      <c r="N56" t="n">
        <v>0</v>
      </c>
      <c r="O56" t="n">
        <v>6</v>
      </c>
      <c r="P56" t="n">
        <v>1</v>
      </c>
      <c r="Q56" t="n">
        <v>8</v>
      </c>
      <c r="R56" s="2" t="inlineStr">
        <is>
          <t>Knärot
Garnlav
Granticka
Lunglav
Rosenticka
Vedskivlav
Korallrot
Ögonpyrola</t>
        </is>
      </c>
      <c r="S56">
        <f>HYPERLINK("https://klasma.github.io/Logging_2303/artfynd/A 30335-2025 artfynd.xlsx", "A 30335-2025")</f>
        <v/>
      </c>
      <c r="T56">
        <f>HYPERLINK("https://klasma.github.io/Logging_2303/kartor/A 30335-2025 karta.png", "A 30335-2025")</f>
        <v/>
      </c>
      <c r="U56">
        <f>HYPERLINK("https://klasma.github.io/Logging_2303/knärot/A 30335-2025 karta knärot.png", "A 30335-2025")</f>
        <v/>
      </c>
      <c r="V56">
        <f>HYPERLINK("https://klasma.github.io/Logging_2303/klagomål/A 30335-2025 FSC-klagomål.docx", "A 30335-2025")</f>
        <v/>
      </c>
      <c r="W56">
        <f>HYPERLINK("https://klasma.github.io/Logging_2303/klagomålsmail/A 30335-2025 FSC-klagomål mail.docx", "A 30335-2025")</f>
        <v/>
      </c>
      <c r="X56">
        <f>HYPERLINK("https://klasma.github.io/Logging_2303/tillsyn/A 30335-2025 tillsynsbegäran.docx", "A 30335-2025")</f>
        <v/>
      </c>
      <c r="Y56">
        <f>HYPERLINK("https://klasma.github.io/Logging_2303/tillsynsmail/A 30335-2025 tillsynsbegäran mail.docx", "A 30335-2025")</f>
        <v/>
      </c>
    </row>
    <row r="57" ht="15" customHeight="1">
      <c r="A57" t="inlineStr">
        <is>
          <t>A 31197-2023</t>
        </is>
      </c>
      <c r="B57" s="1" t="n">
        <v>45113</v>
      </c>
      <c r="C57" s="1" t="n">
        <v>45890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56211-2020</t>
        </is>
      </c>
      <c r="B58" s="1" t="n">
        <v>44133</v>
      </c>
      <c r="C58" s="1" t="n">
        <v>45890</v>
      </c>
      <c r="D58" t="inlineStr">
        <is>
          <t>JÄMTLANDS LÄN</t>
        </is>
      </c>
      <c r="E58" t="inlineStr">
        <is>
          <t>RAGUNDA</t>
        </is>
      </c>
      <c r="F58" t="inlineStr">
        <is>
          <t>SCA</t>
        </is>
      </c>
      <c r="G58" t="n">
        <v>7.1</v>
      </c>
      <c r="H58" t="n">
        <v>1</v>
      </c>
      <c r="I58" t="n">
        <v>4</v>
      </c>
      <c r="J58" t="n">
        <v>2</v>
      </c>
      <c r="K58" t="n">
        <v>0</v>
      </c>
      <c r="L58" t="n">
        <v>0</v>
      </c>
      <c r="M58" t="n">
        <v>0</v>
      </c>
      <c r="N58" t="n">
        <v>0</v>
      </c>
      <c r="O58" t="n">
        <v>2</v>
      </c>
      <c r="P58" t="n">
        <v>0</v>
      </c>
      <c r="Q58" t="n">
        <v>7</v>
      </c>
      <c r="R58" s="2" t="inlineStr">
        <is>
          <t>Kolflarnlav
Lunglav
Korallblylav
Skinnlav
Stor aspticka
Vårärt
Blåsippa</t>
        </is>
      </c>
      <c r="S58">
        <f>HYPERLINK("https://klasma.github.io/Logging_2303/artfynd/A 56211-2020 artfynd.xlsx", "A 56211-2020")</f>
        <v/>
      </c>
      <c r="T58">
        <f>HYPERLINK("https://klasma.github.io/Logging_2303/kartor/A 56211-2020 karta.png", "A 56211-2020")</f>
        <v/>
      </c>
      <c r="V58">
        <f>HYPERLINK("https://klasma.github.io/Logging_2303/klagomål/A 56211-2020 FSC-klagomål.docx", "A 56211-2020")</f>
        <v/>
      </c>
      <c r="W58">
        <f>HYPERLINK("https://klasma.github.io/Logging_2303/klagomålsmail/A 56211-2020 FSC-klagomål mail.docx", "A 56211-2020")</f>
        <v/>
      </c>
      <c r="X58">
        <f>HYPERLINK("https://klasma.github.io/Logging_2303/tillsyn/A 56211-2020 tillsynsbegäran.docx", "A 56211-2020")</f>
        <v/>
      </c>
      <c r="Y58">
        <f>HYPERLINK("https://klasma.github.io/Logging_2303/tillsynsmail/A 56211-2020 tillsynsbegäran mail.docx", "A 56211-2020")</f>
        <v/>
      </c>
    </row>
    <row r="59" ht="15" customHeight="1">
      <c r="A59" t="inlineStr">
        <is>
          <t>A 15665-2022</t>
        </is>
      </c>
      <c r="B59" s="1" t="n">
        <v>44662</v>
      </c>
      <c r="C59" s="1" t="n">
        <v>45890</v>
      </c>
      <c r="D59" t="inlineStr">
        <is>
          <t>JÄMTLANDS LÄN</t>
        </is>
      </c>
      <c r="E59" t="inlineStr">
        <is>
          <t>RAGUNDA</t>
        </is>
      </c>
      <c r="F59" t="inlineStr">
        <is>
          <t>SCA</t>
        </is>
      </c>
      <c r="G59" t="n">
        <v>4.8</v>
      </c>
      <c r="H59" t="n">
        <v>3</v>
      </c>
      <c r="I59" t="n">
        <v>1</v>
      </c>
      <c r="J59" t="n">
        <v>5</v>
      </c>
      <c r="K59" t="n">
        <v>0</v>
      </c>
      <c r="L59" t="n">
        <v>0</v>
      </c>
      <c r="M59" t="n">
        <v>0</v>
      </c>
      <c r="N59" t="n">
        <v>0</v>
      </c>
      <c r="O59" t="n">
        <v>5</v>
      </c>
      <c r="P59" t="n">
        <v>0</v>
      </c>
      <c r="Q59" t="n">
        <v>7</v>
      </c>
      <c r="R59" s="2" t="inlineStr">
        <is>
          <t>Garnlav
Granticka
Spillkråka
Tretåig hackspett
Ullticka
Vedticka
Revlummer</t>
        </is>
      </c>
      <c r="S59">
        <f>HYPERLINK("https://klasma.github.io/Logging_2303/artfynd/A 15665-2022 artfynd.xlsx", "A 15665-2022")</f>
        <v/>
      </c>
      <c r="T59">
        <f>HYPERLINK("https://klasma.github.io/Logging_2303/kartor/A 15665-2022 karta.png", "A 15665-2022")</f>
        <v/>
      </c>
      <c r="V59">
        <f>HYPERLINK("https://klasma.github.io/Logging_2303/klagomål/A 15665-2022 FSC-klagomål.docx", "A 15665-2022")</f>
        <v/>
      </c>
      <c r="W59">
        <f>HYPERLINK("https://klasma.github.io/Logging_2303/klagomålsmail/A 15665-2022 FSC-klagomål mail.docx", "A 15665-2022")</f>
        <v/>
      </c>
      <c r="X59">
        <f>HYPERLINK("https://klasma.github.io/Logging_2303/tillsyn/A 15665-2022 tillsynsbegäran.docx", "A 15665-2022")</f>
        <v/>
      </c>
      <c r="Y59">
        <f>HYPERLINK("https://klasma.github.io/Logging_2303/tillsynsmail/A 15665-2022 tillsynsbegäran mail.docx", "A 15665-2022")</f>
        <v/>
      </c>
      <c r="Z59">
        <f>HYPERLINK("https://klasma.github.io/Logging_2303/fåglar/A 15665-2022 prioriterade fågelarter.docx", "A 15665-2022")</f>
        <v/>
      </c>
    </row>
    <row r="60" ht="15" customHeight="1">
      <c r="A60" t="inlineStr">
        <is>
          <t>A 45020-2021</t>
        </is>
      </c>
      <c r="B60" s="1" t="n">
        <v>44438</v>
      </c>
      <c r="C60" s="1" t="n">
        <v>45890</v>
      </c>
      <c r="D60" t="inlineStr">
        <is>
          <t>JÄMTLANDS LÄN</t>
        </is>
      </c>
      <c r="E60" t="inlineStr">
        <is>
          <t>RAGUNDA</t>
        </is>
      </c>
      <c r="F60" t="inlineStr">
        <is>
          <t>SCA</t>
        </is>
      </c>
      <c r="G60" t="n">
        <v>3.1</v>
      </c>
      <c r="H60" t="n">
        <v>0</v>
      </c>
      <c r="I60" t="n">
        <v>0</v>
      </c>
      <c r="J60" t="n">
        <v>6</v>
      </c>
      <c r="K60" t="n">
        <v>1</v>
      </c>
      <c r="L60" t="n">
        <v>0</v>
      </c>
      <c r="M60" t="n">
        <v>0</v>
      </c>
      <c r="N60" t="n">
        <v>0</v>
      </c>
      <c r="O60" t="n">
        <v>7</v>
      </c>
      <c r="P60" t="n">
        <v>1</v>
      </c>
      <c r="Q60" t="n">
        <v>7</v>
      </c>
      <c r="R60" s="2" t="inlineStr">
        <is>
          <t>Fläckporing
Blanksvart spiklav
Dvärgbägarlav
Mörk kolflarnlav
Nordtagging
Vedskivlav
Vitplätt</t>
        </is>
      </c>
      <c r="S60">
        <f>HYPERLINK("https://klasma.github.io/Logging_2303/artfynd/A 45020-2021 artfynd.xlsx", "A 45020-2021")</f>
        <v/>
      </c>
      <c r="T60">
        <f>HYPERLINK("https://klasma.github.io/Logging_2303/kartor/A 45020-2021 karta.png", "A 45020-2021")</f>
        <v/>
      </c>
      <c r="V60">
        <f>HYPERLINK("https://klasma.github.io/Logging_2303/klagomål/A 45020-2021 FSC-klagomål.docx", "A 45020-2021")</f>
        <v/>
      </c>
      <c r="W60">
        <f>HYPERLINK("https://klasma.github.io/Logging_2303/klagomålsmail/A 45020-2021 FSC-klagomål mail.docx", "A 45020-2021")</f>
        <v/>
      </c>
      <c r="X60">
        <f>HYPERLINK("https://klasma.github.io/Logging_2303/tillsyn/A 45020-2021 tillsynsbegäran.docx", "A 45020-2021")</f>
        <v/>
      </c>
      <c r="Y60">
        <f>HYPERLINK("https://klasma.github.io/Logging_2303/tillsynsmail/A 45020-2021 tillsynsbegäran mail.docx", "A 45020-2021")</f>
        <v/>
      </c>
    </row>
    <row r="61" ht="15" customHeight="1">
      <c r="A61" t="inlineStr">
        <is>
          <t>A 20397-2024</t>
        </is>
      </c>
      <c r="B61" s="1" t="n">
        <v>45435.54734953704</v>
      </c>
      <c r="C61" s="1" t="n">
        <v>45890</v>
      </c>
      <c r="D61" t="inlineStr">
        <is>
          <t>JÄMTLANDS LÄN</t>
        </is>
      </c>
      <c r="E61" t="inlineStr">
        <is>
          <t>RAGUNDA</t>
        </is>
      </c>
      <c r="G61" t="n">
        <v>18.5</v>
      </c>
      <c r="H61" t="n">
        <v>1</v>
      </c>
      <c r="I61" t="n">
        <v>4</v>
      </c>
      <c r="J61" t="n">
        <v>2</v>
      </c>
      <c r="K61" t="n">
        <v>1</v>
      </c>
      <c r="L61" t="n">
        <v>0</v>
      </c>
      <c r="M61" t="n">
        <v>0</v>
      </c>
      <c r="N61" t="n">
        <v>0</v>
      </c>
      <c r="O61" t="n">
        <v>3</v>
      </c>
      <c r="P61" t="n">
        <v>1</v>
      </c>
      <c r="Q61" t="n">
        <v>7</v>
      </c>
      <c r="R61" s="2" t="inlineStr">
        <is>
          <t>Lateritticka
Lunglav
Tallticka
Dropptaggsvamp
Finbräken
Guckusko
Svart trolldruva</t>
        </is>
      </c>
      <c r="S61">
        <f>HYPERLINK("https://klasma.github.io/Logging_2303/artfynd/A 20397-2024 artfynd.xlsx", "A 20397-2024")</f>
        <v/>
      </c>
      <c r="T61">
        <f>HYPERLINK("https://klasma.github.io/Logging_2303/kartor/A 20397-2024 karta.png", "A 20397-2024")</f>
        <v/>
      </c>
      <c r="V61">
        <f>HYPERLINK("https://klasma.github.io/Logging_2303/klagomål/A 20397-2024 FSC-klagomål.docx", "A 20397-2024")</f>
        <v/>
      </c>
      <c r="W61">
        <f>HYPERLINK("https://klasma.github.io/Logging_2303/klagomålsmail/A 20397-2024 FSC-klagomål mail.docx", "A 20397-2024")</f>
        <v/>
      </c>
      <c r="X61">
        <f>HYPERLINK("https://klasma.github.io/Logging_2303/tillsyn/A 20397-2024 tillsynsbegäran.docx", "A 20397-2024")</f>
        <v/>
      </c>
      <c r="Y61">
        <f>HYPERLINK("https://klasma.github.io/Logging_2303/tillsynsmail/A 20397-2024 tillsynsbegäran mail.docx", "A 20397-2024")</f>
        <v/>
      </c>
    </row>
    <row r="62" ht="15" customHeight="1">
      <c r="A62" t="inlineStr">
        <is>
          <t>A 41929-2023</t>
        </is>
      </c>
      <c r="B62" s="1" t="n">
        <v>45176</v>
      </c>
      <c r="C62" s="1" t="n">
        <v>45890</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15977-2024</t>
        </is>
      </c>
      <c r="B63" s="1" t="n">
        <v>45405.57392361111</v>
      </c>
      <c r="C63" s="1" t="n">
        <v>45890</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41719-2023</t>
        </is>
      </c>
      <c r="B64" s="1" t="n">
        <v>45176</v>
      </c>
      <c r="C64" s="1" t="n">
        <v>45890</v>
      </c>
      <c r="D64" t="inlineStr">
        <is>
          <t>JÄMTLANDS LÄN</t>
        </is>
      </c>
      <c r="E64" t="inlineStr">
        <is>
          <t>RAGUNDA</t>
        </is>
      </c>
      <c r="G64" t="n">
        <v>14.5</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11829-2023</t>
        </is>
      </c>
      <c r="B65" s="1" t="n">
        <v>44994</v>
      </c>
      <c r="C65" s="1" t="n">
        <v>45890</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45890</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24169-2021</t>
        </is>
      </c>
      <c r="B67" s="1" t="n">
        <v>44336</v>
      </c>
      <c r="C67" s="1" t="n">
        <v>45890</v>
      </c>
      <c r="D67" t="inlineStr">
        <is>
          <t>JÄMTLANDS LÄN</t>
        </is>
      </c>
      <c r="E67" t="inlineStr">
        <is>
          <t>RAGUNDA</t>
        </is>
      </c>
      <c r="G67" t="n">
        <v>9.199999999999999</v>
      </c>
      <c r="H67" t="n">
        <v>3</v>
      </c>
      <c r="I67" t="n">
        <v>5</v>
      </c>
      <c r="J67" t="n">
        <v>2</v>
      </c>
      <c r="K67" t="n">
        <v>0</v>
      </c>
      <c r="L67" t="n">
        <v>0</v>
      </c>
      <c r="M67" t="n">
        <v>0</v>
      </c>
      <c r="N67" t="n">
        <v>0</v>
      </c>
      <c r="O67" t="n">
        <v>2</v>
      </c>
      <c r="P67" t="n">
        <v>0</v>
      </c>
      <c r="Q67" t="n">
        <v>7</v>
      </c>
      <c r="R67" s="2" t="inlineStr">
        <is>
          <t>Lunglav
Tretåig hackspett
Grönkulla
Guckusko
Luddlav
Stuplav
Ögonpyrola</t>
        </is>
      </c>
      <c r="S67">
        <f>HYPERLINK("https://klasma.github.io/Logging_2303/artfynd/A 24169-2021 artfynd.xlsx", "A 24169-2021")</f>
        <v/>
      </c>
      <c r="T67">
        <f>HYPERLINK("https://klasma.github.io/Logging_2303/kartor/A 24169-2021 karta.png", "A 24169-2021")</f>
        <v/>
      </c>
      <c r="V67">
        <f>HYPERLINK("https://klasma.github.io/Logging_2303/klagomål/A 24169-2021 FSC-klagomål.docx", "A 24169-2021")</f>
        <v/>
      </c>
      <c r="W67">
        <f>HYPERLINK("https://klasma.github.io/Logging_2303/klagomålsmail/A 24169-2021 FSC-klagomål mail.docx", "A 24169-2021")</f>
        <v/>
      </c>
      <c r="X67">
        <f>HYPERLINK("https://klasma.github.io/Logging_2303/tillsyn/A 24169-2021 tillsynsbegäran.docx", "A 24169-2021")</f>
        <v/>
      </c>
      <c r="Y67">
        <f>HYPERLINK("https://klasma.github.io/Logging_2303/tillsynsmail/A 24169-2021 tillsynsbegäran mail.docx", "A 24169-2021")</f>
        <v/>
      </c>
      <c r="Z67">
        <f>HYPERLINK("https://klasma.github.io/Logging_2303/fåglar/A 24169-2021 prioriterade fågelarter.docx", "A 24169-2021")</f>
        <v/>
      </c>
    </row>
    <row r="68" ht="15" customHeight="1">
      <c r="A68" t="inlineStr">
        <is>
          <t>A 26750-2025</t>
        </is>
      </c>
      <c r="B68" s="1" t="n">
        <v>45810.55061342593</v>
      </c>
      <c r="C68" s="1" t="n">
        <v>45890</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26750-2025 artfynd.xlsx", "A 26750-2025")</f>
        <v/>
      </c>
      <c r="T68">
        <f>HYPERLINK("https://klasma.github.io/Logging_2303/kartor/A 26750-2025 karta.png", "A 26750-2025")</f>
        <v/>
      </c>
      <c r="V68">
        <f>HYPERLINK("https://klasma.github.io/Logging_2303/klagomål/A 26750-2025 FSC-klagomål.docx", "A 26750-2025")</f>
        <v/>
      </c>
      <c r="W68">
        <f>HYPERLINK("https://klasma.github.io/Logging_2303/klagomålsmail/A 26750-2025 FSC-klagomål mail.docx", "A 26750-2025")</f>
        <v/>
      </c>
      <c r="X68">
        <f>HYPERLINK("https://klasma.github.io/Logging_2303/tillsyn/A 26750-2025 tillsynsbegäran.docx", "A 26750-2025")</f>
        <v/>
      </c>
      <c r="Y68">
        <f>HYPERLINK("https://klasma.github.io/Logging_2303/tillsynsmail/A 26750-2025 tillsynsbegäran mail.docx", "A 26750-2025")</f>
        <v/>
      </c>
    </row>
    <row r="69" ht="15" customHeight="1">
      <c r="A69" t="inlineStr">
        <is>
          <t>A 37237-2023</t>
        </is>
      </c>
      <c r="B69" s="1" t="n">
        <v>45155</v>
      </c>
      <c r="C69" s="1" t="n">
        <v>45890</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37237-2023 artfynd.xlsx", "A 37237-2023")</f>
        <v/>
      </c>
      <c r="T69">
        <f>HYPERLINK("https://klasma.github.io/Logging_2303/kartor/A 37237-2023 karta.png", "A 37237-2023")</f>
        <v/>
      </c>
      <c r="U69">
        <f>HYPERLINK("https://klasma.github.io/Logging_2303/knärot/A 37237-2023 karta knärot.png", "A 37237-2023")</f>
        <v/>
      </c>
      <c r="V69">
        <f>HYPERLINK("https://klasma.github.io/Logging_2303/klagomål/A 37237-2023 FSC-klagomål.docx", "A 37237-2023")</f>
        <v/>
      </c>
      <c r="W69">
        <f>HYPERLINK("https://klasma.github.io/Logging_2303/klagomålsmail/A 37237-2023 FSC-klagomål mail.docx", "A 37237-2023")</f>
        <v/>
      </c>
      <c r="X69">
        <f>HYPERLINK("https://klasma.github.io/Logging_2303/tillsyn/A 37237-2023 tillsynsbegäran.docx", "A 37237-2023")</f>
        <v/>
      </c>
      <c r="Y69">
        <f>HYPERLINK("https://klasma.github.io/Logging_2303/tillsynsmail/A 37237-2023 tillsynsbegäran mail.docx", "A 37237-2023")</f>
        <v/>
      </c>
    </row>
    <row r="70" ht="15" customHeight="1">
      <c r="A70" t="inlineStr">
        <is>
          <t>A 19399-2025</t>
        </is>
      </c>
      <c r="B70" s="1" t="n">
        <v>45769.67740740741</v>
      </c>
      <c r="C70" s="1" t="n">
        <v>45890</v>
      </c>
      <c r="D70" t="inlineStr">
        <is>
          <t>JÄMTLANDS LÄN</t>
        </is>
      </c>
      <c r="E70" t="inlineStr">
        <is>
          <t>RAGUNDA</t>
        </is>
      </c>
      <c r="F70" t="inlineStr">
        <is>
          <t>SCA</t>
        </is>
      </c>
      <c r="G70" t="n">
        <v>3.8</v>
      </c>
      <c r="H70" t="n">
        <v>2</v>
      </c>
      <c r="I70" t="n">
        <v>2</v>
      </c>
      <c r="J70" t="n">
        <v>4</v>
      </c>
      <c r="K70" t="n">
        <v>0</v>
      </c>
      <c r="L70" t="n">
        <v>0</v>
      </c>
      <c r="M70" t="n">
        <v>0</v>
      </c>
      <c r="N70" t="n">
        <v>0</v>
      </c>
      <c r="O70" t="n">
        <v>4</v>
      </c>
      <c r="P70" t="n">
        <v>0</v>
      </c>
      <c r="Q70" t="n">
        <v>7</v>
      </c>
      <c r="R70" s="2" t="inlineStr">
        <is>
          <t>Lunglav
Skrovellav
Tretåig hackspett
Ullticka
Skinnlav
Stuplav
Nattviol</t>
        </is>
      </c>
      <c r="S70">
        <f>HYPERLINK("https://klasma.github.io/Logging_2303/artfynd/A 19399-2025 artfynd.xlsx", "A 19399-2025")</f>
        <v/>
      </c>
      <c r="T70">
        <f>HYPERLINK("https://klasma.github.io/Logging_2303/kartor/A 19399-2025 karta.png", "A 19399-2025")</f>
        <v/>
      </c>
      <c r="V70">
        <f>HYPERLINK("https://klasma.github.io/Logging_2303/klagomål/A 19399-2025 FSC-klagomål.docx", "A 19399-2025")</f>
        <v/>
      </c>
      <c r="W70">
        <f>HYPERLINK("https://klasma.github.io/Logging_2303/klagomålsmail/A 19399-2025 FSC-klagomål mail.docx", "A 19399-2025")</f>
        <v/>
      </c>
      <c r="X70">
        <f>HYPERLINK("https://klasma.github.io/Logging_2303/tillsyn/A 19399-2025 tillsynsbegäran.docx", "A 19399-2025")</f>
        <v/>
      </c>
      <c r="Y70">
        <f>HYPERLINK("https://klasma.github.io/Logging_2303/tillsynsmail/A 19399-2025 tillsynsbegäran mail.docx", "A 19399-2025")</f>
        <v/>
      </c>
      <c r="Z70">
        <f>HYPERLINK("https://klasma.github.io/Logging_2303/fåglar/A 19399-2025 prioriterade fågelarter.docx", "A 19399-2025")</f>
        <v/>
      </c>
    </row>
    <row r="71" ht="15" customHeight="1">
      <c r="A71" t="inlineStr">
        <is>
          <t>A 22466-2025</t>
        </is>
      </c>
      <c r="B71" s="1" t="n">
        <v>45786.61517361111</v>
      </c>
      <c r="C71" s="1" t="n">
        <v>45890</v>
      </c>
      <c r="D71" t="inlineStr">
        <is>
          <t>JÄMTLANDS LÄN</t>
        </is>
      </c>
      <c r="E71" t="inlineStr">
        <is>
          <t>RAGUNDA</t>
        </is>
      </c>
      <c r="F71" t="inlineStr">
        <is>
          <t>SCA</t>
        </is>
      </c>
      <c r="G71" t="n">
        <v>3.2</v>
      </c>
      <c r="H71" t="n">
        <v>3</v>
      </c>
      <c r="I71" t="n">
        <v>1</v>
      </c>
      <c r="J71" t="n">
        <v>4</v>
      </c>
      <c r="K71" t="n">
        <v>0</v>
      </c>
      <c r="L71" t="n">
        <v>0</v>
      </c>
      <c r="M71" t="n">
        <v>0</v>
      </c>
      <c r="N71" t="n">
        <v>0</v>
      </c>
      <c r="O71" t="n">
        <v>4</v>
      </c>
      <c r="P71" t="n">
        <v>0</v>
      </c>
      <c r="Q71" t="n">
        <v>7</v>
      </c>
      <c r="R71" s="2" t="inlineStr">
        <is>
          <t>Gammelgransskål
Garnlav
Lunglav
Tretåig hackspett
Stuplav
Kungsfågel
Revlummer</t>
        </is>
      </c>
      <c r="S71">
        <f>HYPERLINK("https://klasma.github.io/Logging_2303/artfynd/A 22466-2025 artfynd.xlsx", "A 22466-2025")</f>
        <v/>
      </c>
      <c r="T71">
        <f>HYPERLINK("https://klasma.github.io/Logging_2303/kartor/A 22466-2025 karta.png", "A 22466-2025")</f>
        <v/>
      </c>
      <c r="V71">
        <f>HYPERLINK("https://klasma.github.io/Logging_2303/klagomål/A 22466-2025 FSC-klagomål.docx", "A 22466-2025")</f>
        <v/>
      </c>
      <c r="W71">
        <f>HYPERLINK("https://klasma.github.io/Logging_2303/klagomålsmail/A 22466-2025 FSC-klagomål mail.docx", "A 22466-2025")</f>
        <v/>
      </c>
      <c r="X71">
        <f>HYPERLINK("https://klasma.github.io/Logging_2303/tillsyn/A 22466-2025 tillsynsbegäran.docx", "A 22466-2025")</f>
        <v/>
      </c>
      <c r="Y71">
        <f>HYPERLINK("https://klasma.github.io/Logging_2303/tillsynsmail/A 22466-2025 tillsynsbegäran mail.docx", "A 22466-2025")</f>
        <v/>
      </c>
      <c r="Z71">
        <f>HYPERLINK("https://klasma.github.io/Logging_2303/fåglar/A 22466-2025 prioriterade fågelarter.docx", "A 22466-2025")</f>
        <v/>
      </c>
    </row>
    <row r="72" ht="15" customHeight="1">
      <c r="A72" t="inlineStr">
        <is>
          <t>A 61386-2022</t>
        </is>
      </c>
      <c r="B72" s="1" t="n">
        <v>44915</v>
      </c>
      <c r="C72" s="1" t="n">
        <v>45890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27913-2024</t>
        </is>
      </c>
      <c r="B73" s="1" t="n">
        <v>45475.94796296296</v>
      </c>
      <c r="C73" s="1" t="n">
        <v>45890</v>
      </c>
      <c r="D73" t="inlineStr">
        <is>
          <t>JÄMTLANDS LÄN</t>
        </is>
      </c>
      <c r="E73" t="inlineStr">
        <is>
          <t>RAGUNDA</t>
        </is>
      </c>
      <c r="F73" t="inlineStr">
        <is>
          <t>SCA</t>
        </is>
      </c>
      <c r="G73" t="n">
        <v>11.1</v>
      </c>
      <c r="H73" t="n">
        <v>2</v>
      </c>
      <c r="I73" t="n">
        <v>4</v>
      </c>
      <c r="J73" t="n">
        <v>2</v>
      </c>
      <c r="K73" t="n">
        <v>1</v>
      </c>
      <c r="L73" t="n">
        <v>0</v>
      </c>
      <c r="M73" t="n">
        <v>0</v>
      </c>
      <c r="N73" t="n">
        <v>0</v>
      </c>
      <c r="O73" t="n">
        <v>3</v>
      </c>
      <c r="P73" t="n">
        <v>1</v>
      </c>
      <c r="Q73" t="n">
        <v>7</v>
      </c>
      <c r="R73" s="2" t="inlineStr">
        <is>
          <t>Knärot
Kolflarnlav
Lunglav
Bårdlav
Kransrams
Lappranunkel
Skinnlav</t>
        </is>
      </c>
      <c r="S73">
        <f>HYPERLINK("https://klasma.github.io/Logging_2303/artfynd/A 27913-2024 artfynd.xlsx", "A 27913-2024")</f>
        <v/>
      </c>
      <c r="T73">
        <f>HYPERLINK("https://klasma.github.io/Logging_2303/kartor/A 27913-2024 karta.png", "A 27913-2024")</f>
        <v/>
      </c>
      <c r="U73">
        <f>HYPERLINK("https://klasma.github.io/Logging_2303/knärot/A 27913-2024 karta knärot.png", "A 27913-2024")</f>
        <v/>
      </c>
      <c r="V73">
        <f>HYPERLINK("https://klasma.github.io/Logging_2303/klagomål/A 27913-2024 FSC-klagomål.docx", "A 27913-2024")</f>
        <v/>
      </c>
      <c r="W73">
        <f>HYPERLINK("https://klasma.github.io/Logging_2303/klagomålsmail/A 27913-2024 FSC-klagomål mail.docx", "A 27913-2024")</f>
        <v/>
      </c>
      <c r="X73">
        <f>HYPERLINK("https://klasma.github.io/Logging_2303/tillsyn/A 27913-2024 tillsynsbegäran.docx", "A 27913-2024")</f>
        <v/>
      </c>
      <c r="Y73">
        <f>HYPERLINK("https://klasma.github.io/Logging_2303/tillsynsmail/A 27913-2024 tillsynsbegäran mail.docx", "A 27913-2024")</f>
        <v/>
      </c>
    </row>
    <row r="74" ht="15" customHeight="1">
      <c r="A74" t="inlineStr">
        <is>
          <t>A 50987-2020</t>
        </is>
      </c>
      <c r="B74" s="1" t="n">
        <v>44111</v>
      </c>
      <c r="C74" s="1" t="n">
        <v>45890</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45890</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933-2023</t>
        </is>
      </c>
      <c r="B76" s="1" t="n">
        <v>44932</v>
      </c>
      <c r="C76" s="1" t="n">
        <v>45890</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11828-2023</t>
        </is>
      </c>
      <c r="B77" s="1" t="n">
        <v>44994</v>
      </c>
      <c r="C77" s="1" t="n">
        <v>45890</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45890</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12040-2025</t>
        </is>
      </c>
      <c r="B79" s="1" t="n">
        <v>45728.65684027778</v>
      </c>
      <c r="C79" s="1" t="n">
        <v>45890</v>
      </c>
      <c r="D79" t="inlineStr">
        <is>
          <t>JÄMTLANDS LÄN</t>
        </is>
      </c>
      <c r="E79" t="inlineStr">
        <is>
          <t>RAGUNDA</t>
        </is>
      </c>
      <c r="F79" t="inlineStr">
        <is>
          <t>SCA</t>
        </is>
      </c>
      <c r="G79" t="n">
        <v>28.5</v>
      </c>
      <c r="H79" t="n">
        <v>0</v>
      </c>
      <c r="I79" t="n">
        <v>2</v>
      </c>
      <c r="J79" t="n">
        <v>4</v>
      </c>
      <c r="K79" t="n">
        <v>0</v>
      </c>
      <c r="L79" t="n">
        <v>0</v>
      </c>
      <c r="M79" t="n">
        <v>0</v>
      </c>
      <c r="N79" t="n">
        <v>0</v>
      </c>
      <c r="O79" t="n">
        <v>4</v>
      </c>
      <c r="P79" t="n">
        <v>0</v>
      </c>
      <c r="Q79" t="n">
        <v>6</v>
      </c>
      <c r="R79" s="2" t="inlineStr">
        <is>
          <t>Blå taggsvamp
Skrovlig taggsvamp
Tallriska
Äggvaxskivling
Dropptaggsvamp
Skarp dropptaggsvamp</t>
        </is>
      </c>
      <c r="S79">
        <f>HYPERLINK("https://klasma.github.io/Logging_2303/artfynd/A 12040-2025 artfynd.xlsx", "A 12040-2025")</f>
        <v/>
      </c>
      <c r="T79">
        <f>HYPERLINK("https://klasma.github.io/Logging_2303/kartor/A 12040-2025 karta.png", "A 12040-2025")</f>
        <v/>
      </c>
      <c r="V79">
        <f>HYPERLINK("https://klasma.github.io/Logging_2303/klagomål/A 12040-2025 FSC-klagomål.docx", "A 12040-2025")</f>
        <v/>
      </c>
      <c r="W79">
        <f>HYPERLINK("https://klasma.github.io/Logging_2303/klagomålsmail/A 12040-2025 FSC-klagomål mail.docx", "A 12040-2025")</f>
        <v/>
      </c>
      <c r="X79">
        <f>HYPERLINK("https://klasma.github.io/Logging_2303/tillsyn/A 12040-2025 tillsynsbegäran.docx", "A 12040-2025")</f>
        <v/>
      </c>
      <c r="Y79">
        <f>HYPERLINK("https://klasma.github.io/Logging_2303/tillsynsmail/A 12040-2025 tillsynsbegäran mail.docx", "A 12040-2025")</f>
        <v/>
      </c>
    </row>
    <row r="80" ht="15" customHeight="1">
      <c r="A80" t="inlineStr">
        <is>
          <t>A 55646-2023</t>
        </is>
      </c>
      <c r="B80" s="1" t="n">
        <v>45238</v>
      </c>
      <c r="C80" s="1" t="n">
        <v>45890</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60669-2022</t>
        </is>
      </c>
      <c r="B81" s="1" t="n">
        <v>44911</v>
      </c>
      <c r="C81" s="1" t="n">
        <v>45890</v>
      </c>
      <c r="D81" t="inlineStr">
        <is>
          <t>JÄMTLANDS LÄN</t>
        </is>
      </c>
      <c r="E81" t="inlineStr">
        <is>
          <t>RAGUNDA</t>
        </is>
      </c>
      <c r="F81" t="inlineStr">
        <is>
          <t>SCA</t>
        </is>
      </c>
      <c r="G81" t="n">
        <v>2.3</v>
      </c>
      <c r="H81" t="n">
        <v>0</v>
      </c>
      <c r="I81" t="n">
        <v>1</v>
      </c>
      <c r="J81" t="n">
        <v>5</v>
      </c>
      <c r="K81" t="n">
        <v>0</v>
      </c>
      <c r="L81" t="n">
        <v>0</v>
      </c>
      <c r="M81" t="n">
        <v>0</v>
      </c>
      <c r="N81" t="n">
        <v>0</v>
      </c>
      <c r="O81" t="n">
        <v>5</v>
      </c>
      <c r="P81" t="n">
        <v>0</v>
      </c>
      <c r="Q81" t="n">
        <v>6</v>
      </c>
      <c r="R81" s="2" t="inlineStr">
        <is>
          <t>Dvärgbägarlav
Garnlav
Kolflarnlav
Lunglav
Vedskivlav
Dropptaggsvamp</t>
        </is>
      </c>
      <c r="S81">
        <f>HYPERLINK("https://klasma.github.io/Logging_2303/artfynd/A 60669-2022 artfynd.xlsx", "A 60669-2022")</f>
        <v/>
      </c>
      <c r="T81">
        <f>HYPERLINK("https://klasma.github.io/Logging_2303/kartor/A 60669-2022 karta.png", "A 60669-2022")</f>
        <v/>
      </c>
      <c r="V81">
        <f>HYPERLINK("https://klasma.github.io/Logging_2303/klagomål/A 60669-2022 FSC-klagomål.docx", "A 60669-2022")</f>
        <v/>
      </c>
      <c r="W81">
        <f>HYPERLINK("https://klasma.github.io/Logging_2303/klagomålsmail/A 60669-2022 FSC-klagomål mail.docx", "A 60669-2022")</f>
        <v/>
      </c>
      <c r="X81">
        <f>HYPERLINK("https://klasma.github.io/Logging_2303/tillsyn/A 60669-2022 tillsynsbegäran.docx", "A 60669-2022")</f>
        <v/>
      </c>
      <c r="Y81">
        <f>HYPERLINK("https://klasma.github.io/Logging_2303/tillsynsmail/A 60669-2022 tillsynsbegäran mail.docx", "A 60669-2022")</f>
        <v/>
      </c>
    </row>
    <row r="82" ht="15" customHeight="1">
      <c r="A82" t="inlineStr">
        <is>
          <t>A 53021-2022</t>
        </is>
      </c>
      <c r="B82" s="1" t="n">
        <v>44875</v>
      </c>
      <c r="C82" s="1" t="n">
        <v>45890</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36276-2025</t>
        </is>
      </c>
      <c r="B83" s="1" t="n">
        <v>45867.63619212963</v>
      </c>
      <c r="C83" s="1" t="n">
        <v>45890</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19402-2025</t>
        </is>
      </c>
      <c r="B84" s="1" t="n">
        <v>45769.67778935185</v>
      </c>
      <c r="C84" s="1" t="n">
        <v>45890</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30884-2025</t>
        </is>
      </c>
      <c r="B85" s="1" t="n">
        <v>45832.34564814815</v>
      </c>
      <c r="C85" s="1" t="n">
        <v>45890</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49239-2024</t>
        </is>
      </c>
      <c r="B86" s="1" t="n">
        <v>45595.44886574074</v>
      </c>
      <c r="C86" s="1" t="n">
        <v>45890</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26326-2024</t>
        </is>
      </c>
      <c r="B87" s="1" t="n">
        <v>45468.97528935185</v>
      </c>
      <c r="C87" s="1" t="n">
        <v>45890</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45471.94783564815</v>
      </c>
      <c r="C88" s="1" t="n">
        <v>45890</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30637-2024</t>
        </is>
      </c>
      <c r="B89" s="1" t="n">
        <v>45495.56244212963</v>
      </c>
      <c r="C89" s="1" t="n">
        <v>45890</v>
      </c>
      <c r="D89" t="inlineStr">
        <is>
          <t>JÄMTLANDS LÄN</t>
        </is>
      </c>
      <c r="E89" t="inlineStr">
        <is>
          <t>RAGUNDA</t>
        </is>
      </c>
      <c r="G89" t="n">
        <v>4.1</v>
      </c>
      <c r="H89" t="n">
        <v>5</v>
      </c>
      <c r="I89" t="n">
        <v>0</v>
      </c>
      <c r="J89" t="n">
        <v>4</v>
      </c>
      <c r="K89" t="n">
        <v>1</v>
      </c>
      <c r="L89" t="n">
        <v>0</v>
      </c>
      <c r="M89" t="n">
        <v>0</v>
      </c>
      <c r="N89" t="n">
        <v>0</v>
      </c>
      <c r="O89" t="n">
        <v>5</v>
      </c>
      <c r="P89" t="n">
        <v>1</v>
      </c>
      <c r="Q89" t="n">
        <v>6</v>
      </c>
      <c r="R89" s="2" t="inlineStr">
        <is>
          <t>Knärot
Lunglav
Spillkråka
Talltita
Tretåig hackspett
Vanlig groda</t>
        </is>
      </c>
      <c r="S89">
        <f>HYPERLINK("https://klasma.github.io/Logging_2303/artfynd/A 30637-2024 artfynd.xlsx", "A 30637-2024")</f>
        <v/>
      </c>
      <c r="T89">
        <f>HYPERLINK("https://klasma.github.io/Logging_2303/kartor/A 30637-2024 karta.png", "A 30637-2024")</f>
        <v/>
      </c>
      <c r="U89">
        <f>HYPERLINK("https://klasma.github.io/Logging_2303/knärot/A 30637-2024 karta knärot.png", "A 30637-2024")</f>
        <v/>
      </c>
      <c r="V89">
        <f>HYPERLINK("https://klasma.github.io/Logging_2303/klagomål/A 30637-2024 FSC-klagomål.docx", "A 30637-2024")</f>
        <v/>
      </c>
      <c r="W89">
        <f>HYPERLINK("https://klasma.github.io/Logging_2303/klagomålsmail/A 30637-2024 FSC-klagomål mail.docx", "A 30637-2024")</f>
        <v/>
      </c>
      <c r="X89">
        <f>HYPERLINK("https://klasma.github.io/Logging_2303/tillsyn/A 30637-2024 tillsynsbegäran.docx", "A 30637-2024")</f>
        <v/>
      </c>
      <c r="Y89">
        <f>HYPERLINK("https://klasma.github.io/Logging_2303/tillsynsmail/A 30637-2024 tillsynsbegäran mail.docx", "A 30637-2024")</f>
        <v/>
      </c>
      <c r="Z89">
        <f>HYPERLINK("https://klasma.github.io/Logging_2303/fåglar/A 30637-2024 prioriterade fågelarter.docx", "A 30637-2024")</f>
        <v/>
      </c>
    </row>
    <row r="90" ht="15" customHeight="1">
      <c r="A90" t="inlineStr">
        <is>
          <t>A 34317-2025</t>
        </is>
      </c>
      <c r="B90" s="1" t="n">
        <v>45846.41361111111</v>
      </c>
      <c r="C90" s="1" t="n">
        <v>45890</v>
      </c>
      <c r="D90" t="inlineStr">
        <is>
          <t>JÄMTLANDS LÄN</t>
        </is>
      </c>
      <c r="E90" t="inlineStr">
        <is>
          <t>RAGUNDA</t>
        </is>
      </c>
      <c r="G90" t="n">
        <v>8.300000000000001</v>
      </c>
      <c r="H90" t="n">
        <v>2</v>
      </c>
      <c r="I90" t="n">
        <v>1</v>
      </c>
      <c r="J90" t="n">
        <v>4</v>
      </c>
      <c r="K90" t="n">
        <v>1</v>
      </c>
      <c r="L90" t="n">
        <v>0</v>
      </c>
      <c r="M90" t="n">
        <v>0</v>
      </c>
      <c r="N90" t="n">
        <v>0</v>
      </c>
      <c r="O90" t="n">
        <v>5</v>
      </c>
      <c r="P90" t="n">
        <v>1</v>
      </c>
      <c r="Q90" t="n">
        <v>6</v>
      </c>
      <c r="R90" s="2" t="inlineStr">
        <is>
          <t>Knärot
Garnlav
Lunglav
Nordtagging
Talltita
Skinnlav</t>
        </is>
      </c>
      <c r="S90">
        <f>HYPERLINK("https://klasma.github.io/Logging_2303/artfynd/A 34317-2025 artfynd.xlsx", "A 34317-2025")</f>
        <v/>
      </c>
      <c r="T90">
        <f>HYPERLINK("https://klasma.github.io/Logging_2303/kartor/A 34317-2025 karta.png", "A 34317-2025")</f>
        <v/>
      </c>
      <c r="U90">
        <f>HYPERLINK("https://klasma.github.io/Logging_2303/knärot/A 34317-2025 karta knärot.png", "A 34317-2025")</f>
        <v/>
      </c>
      <c r="V90">
        <f>HYPERLINK("https://klasma.github.io/Logging_2303/klagomål/A 34317-2025 FSC-klagomål.docx", "A 34317-2025")</f>
        <v/>
      </c>
      <c r="W90">
        <f>HYPERLINK("https://klasma.github.io/Logging_2303/klagomålsmail/A 34317-2025 FSC-klagomål mail.docx", "A 34317-2025")</f>
        <v/>
      </c>
      <c r="X90">
        <f>HYPERLINK("https://klasma.github.io/Logging_2303/tillsyn/A 34317-2025 tillsynsbegäran.docx", "A 34317-2025")</f>
        <v/>
      </c>
      <c r="Y90">
        <f>HYPERLINK("https://klasma.github.io/Logging_2303/tillsynsmail/A 34317-2025 tillsynsbegäran mail.docx", "A 34317-2025")</f>
        <v/>
      </c>
      <c r="Z90">
        <f>HYPERLINK("https://klasma.github.io/Logging_2303/fåglar/A 34317-2025 prioriterade fågelarter.docx", "A 34317-2025")</f>
        <v/>
      </c>
    </row>
    <row r="91" ht="15" customHeight="1">
      <c r="A91" t="inlineStr">
        <is>
          <t>A 14908-2022</t>
        </is>
      </c>
      <c r="B91" s="1" t="n">
        <v>44656</v>
      </c>
      <c r="C91" s="1" t="n">
        <v>45890</v>
      </c>
      <c r="D91" t="inlineStr">
        <is>
          <t>JÄMTLANDS LÄN</t>
        </is>
      </c>
      <c r="E91" t="inlineStr">
        <is>
          <t>RAGUNDA</t>
        </is>
      </c>
      <c r="F91" t="inlineStr">
        <is>
          <t>SCA</t>
        </is>
      </c>
      <c r="G91" t="n">
        <v>4.6</v>
      </c>
      <c r="H91" t="n">
        <v>0</v>
      </c>
      <c r="I91" t="n">
        <v>3</v>
      </c>
      <c r="J91" t="n">
        <v>2</v>
      </c>
      <c r="K91" t="n">
        <v>0</v>
      </c>
      <c r="L91" t="n">
        <v>0</v>
      </c>
      <c r="M91" t="n">
        <v>0</v>
      </c>
      <c r="N91" t="n">
        <v>0</v>
      </c>
      <c r="O91" t="n">
        <v>2</v>
      </c>
      <c r="P91" t="n">
        <v>0</v>
      </c>
      <c r="Q91" t="n">
        <v>5</v>
      </c>
      <c r="R91" s="2" t="inlineStr">
        <is>
          <t>Garnlav
Skrovellav
Bårdlav
Källmossa
Ögonpyrola</t>
        </is>
      </c>
      <c r="S91">
        <f>HYPERLINK("https://klasma.github.io/Logging_2303/artfynd/A 14908-2022 artfynd.xlsx", "A 14908-2022")</f>
        <v/>
      </c>
      <c r="T91">
        <f>HYPERLINK("https://klasma.github.io/Logging_2303/kartor/A 14908-2022 karta.png", "A 14908-2022")</f>
        <v/>
      </c>
      <c r="V91">
        <f>HYPERLINK("https://klasma.github.io/Logging_2303/klagomål/A 14908-2022 FSC-klagomål.docx", "A 14908-2022")</f>
        <v/>
      </c>
      <c r="W91">
        <f>HYPERLINK("https://klasma.github.io/Logging_2303/klagomålsmail/A 14908-2022 FSC-klagomål mail.docx", "A 14908-2022")</f>
        <v/>
      </c>
      <c r="X91">
        <f>HYPERLINK("https://klasma.github.io/Logging_2303/tillsyn/A 14908-2022 tillsynsbegäran.docx", "A 14908-2022")</f>
        <v/>
      </c>
      <c r="Y91">
        <f>HYPERLINK("https://klasma.github.io/Logging_2303/tillsynsmail/A 14908-2022 tillsynsbegäran mail.docx", "A 14908-2022")</f>
        <v/>
      </c>
    </row>
    <row r="92" ht="15" customHeight="1">
      <c r="A92" t="inlineStr">
        <is>
          <t>A 15379-2024</t>
        </is>
      </c>
      <c r="B92" s="1" t="n">
        <v>45400.94002314815</v>
      </c>
      <c r="C92" s="1" t="n">
        <v>45890</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38169-2024</t>
        </is>
      </c>
      <c r="B93" s="1" t="n">
        <v>45545.45748842593</v>
      </c>
      <c r="C93" s="1" t="n">
        <v>45890</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45969-2023</t>
        </is>
      </c>
      <c r="B94" s="1" t="n">
        <v>45195</v>
      </c>
      <c r="C94" s="1" t="n">
        <v>45890</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22469-2024</t>
        </is>
      </c>
      <c r="B95" s="1" t="n">
        <v>45446.95087962963</v>
      </c>
      <c r="C95" s="1" t="n">
        <v>45890</v>
      </c>
      <c r="D95" t="inlineStr">
        <is>
          <t>JÄMTLANDS LÄN</t>
        </is>
      </c>
      <c r="E95" t="inlineStr">
        <is>
          <t>RAGUNDA</t>
        </is>
      </c>
      <c r="F95" t="inlineStr">
        <is>
          <t>SCA</t>
        </is>
      </c>
      <c r="G95" t="n">
        <v>5.2</v>
      </c>
      <c r="H95" t="n">
        <v>1</v>
      </c>
      <c r="I95" t="n">
        <v>2</v>
      </c>
      <c r="J95" t="n">
        <v>3</v>
      </c>
      <c r="K95" t="n">
        <v>0</v>
      </c>
      <c r="L95" t="n">
        <v>0</v>
      </c>
      <c r="M95" t="n">
        <v>0</v>
      </c>
      <c r="N95" t="n">
        <v>0</v>
      </c>
      <c r="O95" t="n">
        <v>3</v>
      </c>
      <c r="P95" t="n">
        <v>0</v>
      </c>
      <c r="Q95" t="n">
        <v>5</v>
      </c>
      <c r="R95" s="2" t="inlineStr">
        <is>
          <t>Gammelgransskål
Garnlav
Lunglav
Gytterlav
Tvåblad</t>
        </is>
      </c>
      <c r="S95">
        <f>HYPERLINK("https://klasma.github.io/Logging_2303/artfynd/A 22469-2024 artfynd.xlsx", "A 22469-2024")</f>
        <v/>
      </c>
      <c r="T95">
        <f>HYPERLINK("https://klasma.github.io/Logging_2303/kartor/A 22469-2024 karta.png", "A 22469-2024")</f>
        <v/>
      </c>
      <c r="V95">
        <f>HYPERLINK("https://klasma.github.io/Logging_2303/klagomål/A 22469-2024 FSC-klagomål.docx", "A 22469-2024")</f>
        <v/>
      </c>
      <c r="W95">
        <f>HYPERLINK("https://klasma.github.io/Logging_2303/klagomålsmail/A 22469-2024 FSC-klagomål mail.docx", "A 22469-2024")</f>
        <v/>
      </c>
      <c r="X95">
        <f>HYPERLINK("https://klasma.github.io/Logging_2303/tillsyn/A 22469-2024 tillsynsbegäran.docx", "A 22469-2024")</f>
        <v/>
      </c>
      <c r="Y95">
        <f>HYPERLINK("https://klasma.github.io/Logging_2303/tillsynsmail/A 22469-2024 tillsynsbegäran mail.docx", "A 22469-2024")</f>
        <v/>
      </c>
    </row>
    <row r="96" ht="15" customHeight="1">
      <c r="A96" t="inlineStr">
        <is>
          <t>A 39365-2024</t>
        </is>
      </c>
      <c r="B96" s="1" t="n">
        <v>45551.46912037037</v>
      </c>
      <c r="C96" s="1" t="n">
        <v>45890</v>
      </c>
      <c r="D96" t="inlineStr">
        <is>
          <t>JÄMTLANDS LÄN</t>
        </is>
      </c>
      <c r="E96" t="inlineStr">
        <is>
          <t>RAGUNDA</t>
        </is>
      </c>
      <c r="F96" t="inlineStr">
        <is>
          <t>SCA</t>
        </is>
      </c>
      <c r="G96" t="n">
        <v>7.3</v>
      </c>
      <c r="H96" t="n">
        <v>0</v>
      </c>
      <c r="I96" t="n">
        <v>3</v>
      </c>
      <c r="J96" t="n">
        <v>2</v>
      </c>
      <c r="K96" t="n">
        <v>0</v>
      </c>
      <c r="L96" t="n">
        <v>0</v>
      </c>
      <c r="M96" t="n">
        <v>0</v>
      </c>
      <c r="N96" t="n">
        <v>0</v>
      </c>
      <c r="O96" t="n">
        <v>2</v>
      </c>
      <c r="P96" t="n">
        <v>0</v>
      </c>
      <c r="Q96" t="n">
        <v>5</v>
      </c>
      <c r="R96" s="2" t="inlineStr">
        <is>
          <t>Lunglav
Ullticka
Korallblylav
Stor aspticka
Vedticka</t>
        </is>
      </c>
      <c r="S96">
        <f>HYPERLINK("https://klasma.github.io/Logging_2303/artfynd/A 39365-2024 artfynd.xlsx", "A 39365-2024")</f>
        <v/>
      </c>
      <c r="T96">
        <f>HYPERLINK("https://klasma.github.io/Logging_2303/kartor/A 39365-2024 karta.png", "A 39365-2024")</f>
        <v/>
      </c>
      <c r="U96">
        <f>HYPERLINK("https://klasma.github.io/Logging_2303/knärot/A 39365-2024 karta knärot.png", "A 39365-2024")</f>
        <v/>
      </c>
      <c r="V96">
        <f>HYPERLINK("https://klasma.github.io/Logging_2303/klagomål/A 39365-2024 FSC-klagomål.docx", "A 39365-2024")</f>
        <v/>
      </c>
      <c r="W96">
        <f>HYPERLINK("https://klasma.github.io/Logging_2303/klagomålsmail/A 39365-2024 FSC-klagomål mail.docx", "A 39365-2024")</f>
        <v/>
      </c>
      <c r="X96">
        <f>HYPERLINK("https://klasma.github.io/Logging_2303/tillsyn/A 39365-2024 tillsynsbegäran.docx", "A 39365-2024")</f>
        <v/>
      </c>
      <c r="Y96">
        <f>HYPERLINK("https://klasma.github.io/Logging_2303/tillsynsmail/A 39365-2024 tillsynsbegäran mail.docx", "A 39365-2024")</f>
        <v/>
      </c>
    </row>
    <row r="97" ht="15" customHeight="1">
      <c r="A97" t="inlineStr">
        <is>
          <t>A 15244-2025</t>
        </is>
      </c>
      <c r="B97" s="1" t="n">
        <v>45744.61550925926</v>
      </c>
      <c r="C97" s="1" t="n">
        <v>45890</v>
      </c>
      <c r="D97" t="inlineStr">
        <is>
          <t>JÄMTLANDS LÄN</t>
        </is>
      </c>
      <c r="E97" t="inlineStr">
        <is>
          <t>RAGUNDA</t>
        </is>
      </c>
      <c r="F97" t="inlineStr">
        <is>
          <t>SCA</t>
        </is>
      </c>
      <c r="G97" t="n">
        <v>2.6</v>
      </c>
      <c r="H97" t="n">
        <v>0</v>
      </c>
      <c r="I97" t="n">
        <v>2</v>
      </c>
      <c r="J97" t="n">
        <v>3</v>
      </c>
      <c r="K97" t="n">
        <v>0</v>
      </c>
      <c r="L97" t="n">
        <v>0</v>
      </c>
      <c r="M97" t="n">
        <v>0</v>
      </c>
      <c r="N97" t="n">
        <v>0</v>
      </c>
      <c r="O97" t="n">
        <v>3</v>
      </c>
      <c r="P97" t="n">
        <v>0</v>
      </c>
      <c r="Q97" t="n">
        <v>5</v>
      </c>
      <c r="R97" s="2" t="inlineStr">
        <is>
          <t>Garnlav
Rosenticka
Ullticka
Stuplav
Vedticka</t>
        </is>
      </c>
      <c r="S97">
        <f>HYPERLINK("https://klasma.github.io/Logging_2303/artfynd/A 15244-2025 artfynd.xlsx", "A 15244-2025")</f>
        <v/>
      </c>
      <c r="T97">
        <f>HYPERLINK("https://klasma.github.io/Logging_2303/kartor/A 15244-2025 karta.png", "A 15244-2025")</f>
        <v/>
      </c>
      <c r="V97">
        <f>HYPERLINK("https://klasma.github.io/Logging_2303/klagomål/A 15244-2025 FSC-klagomål.docx", "A 15244-2025")</f>
        <v/>
      </c>
      <c r="W97">
        <f>HYPERLINK("https://klasma.github.io/Logging_2303/klagomålsmail/A 15244-2025 FSC-klagomål mail.docx", "A 15244-2025")</f>
        <v/>
      </c>
      <c r="X97">
        <f>HYPERLINK("https://klasma.github.io/Logging_2303/tillsyn/A 15244-2025 tillsynsbegäran.docx", "A 15244-2025")</f>
        <v/>
      </c>
      <c r="Y97">
        <f>HYPERLINK("https://klasma.github.io/Logging_2303/tillsynsmail/A 15244-2025 tillsynsbegäran mail.docx", "A 15244-2025")</f>
        <v/>
      </c>
    </row>
    <row r="98" ht="15" customHeight="1">
      <c r="A98" t="inlineStr">
        <is>
          <t>A 43106-2023</t>
        </is>
      </c>
      <c r="B98" s="1" t="n">
        <v>45182</v>
      </c>
      <c r="C98" s="1" t="n">
        <v>45890</v>
      </c>
      <c r="D98" t="inlineStr">
        <is>
          <t>JÄMTLANDS LÄN</t>
        </is>
      </c>
      <c r="E98" t="inlineStr">
        <is>
          <t>RAGUNDA</t>
        </is>
      </c>
      <c r="F98" t="inlineStr">
        <is>
          <t>SCA</t>
        </is>
      </c>
      <c r="G98" t="n">
        <v>7.6</v>
      </c>
      <c r="H98" t="n">
        <v>0</v>
      </c>
      <c r="I98" t="n">
        <v>0</v>
      </c>
      <c r="J98" t="n">
        <v>5</v>
      </c>
      <c r="K98" t="n">
        <v>0</v>
      </c>
      <c r="L98" t="n">
        <v>0</v>
      </c>
      <c r="M98" t="n">
        <v>0</v>
      </c>
      <c r="N98" t="n">
        <v>0</v>
      </c>
      <c r="O98" t="n">
        <v>5</v>
      </c>
      <c r="P98" t="n">
        <v>0</v>
      </c>
      <c r="Q98" t="n">
        <v>5</v>
      </c>
      <c r="R98" s="2" t="inlineStr">
        <is>
          <t>Blanksvart spiklav
Blågrå svartspik
Harticka
Rosenticka
Ullticka</t>
        </is>
      </c>
      <c r="S98">
        <f>HYPERLINK("https://klasma.github.io/Logging_2303/artfynd/A 43106-2023 artfynd.xlsx", "A 43106-2023")</f>
        <v/>
      </c>
      <c r="T98">
        <f>HYPERLINK("https://klasma.github.io/Logging_2303/kartor/A 43106-2023 karta.png", "A 43106-2023")</f>
        <v/>
      </c>
      <c r="V98">
        <f>HYPERLINK("https://klasma.github.io/Logging_2303/klagomål/A 43106-2023 FSC-klagomål.docx", "A 43106-2023")</f>
        <v/>
      </c>
      <c r="W98">
        <f>HYPERLINK("https://klasma.github.io/Logging_2303/klagomålsmail/A 43106-2023 FSC-klagomål mail.docx", "A 43106-2023")</f>
        <v/>
      </c>
      <c r="X98">
        <f>HYPERLINK("https://klasma.github.io/Logging_2303/tillsyn/A 43106-2023 tillsynsbegäran.docx", "A 43106-2023")</f>
        <v/>
      </c>
      <c r="Y98">
        <f>HYPERLINK("https://klasma.github.io/Logging_2303/tillsynsmail/A 43106-2023 tillsynsbegäran mail.docx", "A 43106-2023")</f>
        <v/>
      </c>
    </row>
    <row r="99" ht="15" customHeight="1">
      <c r="A99" t="inlineStr">
        <is>
          <t>A 27313-2024</t>
        </is>
      </c>
      <c r="B99" s="1" t="n">
        <v>45471.94623842592</v>
      </c>
      <c r="C99" s="1" t="n">
        <v>45890</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57073-2023</t>
        </is>
      </c>
      <c r="B100" s="1" t="n">
        <v>45244</v>
      </c>
      <c r="C100" s="1" t="n">
        <v>45890</v>
      </c>
      <c r="D100" t="inlineStr">
        <is>
          <t>JÄMTLANDS LÄN</t>
        </is>
      </c>
      <c r="E100" t="inlineStr">
        <is>
          <t>RAGUNDA</t>
        </is>
      </c>
      <c r="F100" t="inlineStr">
        <is>
          <t>SCA</t>
        </is>
      </c>
      <c r="G100" t="n">
        <v>4.1</v>
      </c>
      <c r="H100" t="n">
        <v>1</v>
      </c>
      <c r="I100" t="n">
        <v>0</v>
      </c>
      <c r="J100" t="n">
        <v>4</v>
      </c>
      <c r="K100" t="n">
        <v>1</v>
      </c>
      <c r="L100" t="n">
        <v>0</v>
      </c>
      <c r="M100" t="n">
        <v>0</v>
      </c>
      <c r="N100" t="n">
        <v>0</v>
      </c>
      <c r="O100" t="n">
        <v>5</v>
      </c>
      <c r="P100" t="n">
        <v>1</v>
      </c>
      <c r="Q100" t="n">
        <v>5</v>
      </c>
      <c r="R100" s="2" t="inlineStr">
        <is>
          <t>Aspgelélav
Granticka
Lunglav
Tretåig hackspett
Ullticka</t>
        </is>
      </c>
      <c r="S100">
        <f>HYPERLINK("https://klasma.github.io/Logging_2303/artfynd/A 57073-2023 artfynd.xlsx", "A 57073-2023")</f>
        <v/>
      </c>
      <c r="T100">
        <f>HYPERLINK("https://klasma.github.io/Logging_2303/kartor/A 57073-2023 karta.png", "A 57073-2023")</f>
        <v/>
      </c>
      <c r="V100">
        <f>HYPERLINK("https://klasma.github.io/Logging_2303/klagomål/A 57073-2023 FSC-klagomål.docx", "A 57073-2023")</f>
        <v/>
      </c>
      <c r="W100">
        <f>HYPERLINK("https://klasma.github.io/Logging_2303/klagomålsmail/A 57073-2023 FSC-klagomål mail.docx", "A 57073-2023")</f>
        <v/>
      </c>
      <c r="X100">
        <f>HYPERLINK("https://klasma.github.io/Logging_2303/tillsyn/A 57073-2023 tillsynsbegäran.docx", "A 57073-2023")</f>
        <v/>
      </c>
      <c r="Y100">
        <f>HYPERLINK("https://klasma.github.io/Logging_2303/tillsynsmail/A 57073-2023 tillsynsbegäran mail.docx", "A 57073-2023")</f>
        <v/>
      </c>
      <c r="Z100">
        <f>HYPERLINK("https://klasma.github.io/Logging_2303/fåglar/A 57073-2023 prioriterade fågelarter.docx", "A 57073-2023")</f>
        <v/>
      </c>
    </row>
    <row r="101" ht="15" customHeight="1">
      <c r="A101" t="inlineStr">
        <is>
          <t>A 30886-2025</t>
        </is>
      </c>
      <c r="B101" s="1" t="n">
        <v>45832.34578703704</v>
      </c>
      <c r="C101" s="1" t="n">
        <v>45890</v>
      </c>
      <c r="D101" t="inlineStr">
        <is>
          <t>JÄMTLANDS LÄN</t>
        </is>
      </c>
      <c r="E101" t="inlineStr">
        <is>
          <t>RAGUNDA</t>
        </is>
      </c>
      <c r="F101" t="inlineStr">
        <is>
          <t>SCA</t>
        </is>
      </c>
      <c r="G101" t="n">
        <v>4.4</v>
      </c>
      <c r="H101" t="n">
        <v>3</v>
      </c>
      <c r="I101" t="n">
        <v>1</v>
      </c>
      <c r="J101" t="n">
        <v>2</v>
      </c>
      <c r="K101" t="n">
        <v>1</v>
      </c>
      <c r="L101" t="n">
        <v>0</v>
      </c>
      <c r="M101" t="n">
        <v>0</v>
      </c>
      <c r="N101" t="n">
        <v>0</v>
      </c>
      <c r="O101" t="n">
        <v>3</v>
      </c>
      <c r="P101" t="n">
        <v>1</v>
      </c>
      <c r="Q101" t="n">
        <v>5</v>
      </c>
      <c r="R101" s="2" t="inlineStr">
        <is>
          <t>Knärot
Järpe
Lunglav
Ögonpyrola
Nattviol</t>
        </is>
      </c>
      <c r="S101">
        <f>HYPERLINK("https://klasma.github.io/Logging_2303/artfynd/A 30886-2025 artfynd.xlsx", "A 30886-2025")</f>
        <v/>
      </c>
      <c r="T101">
        <f>HYPERLINK("https://klasma.github.io/Logging_2303/kartor/A 30886-2025 karta.png", "A 30886-2025")</f>
        <v/>
      </c>
      <c r="U101">
        <f>HYPERLINK("https://klasma.github.io/Logging_2303/knärot/A 30886-2025 karta knärot.png", "A 30886-2025")</f>
        <v/>
      </c>
      <c r="V101">
        <f>HYPERLINK("https://klasma.github.io/Logging_2303/klagomål/A 30886-2025 FSC-klagomål.docx", "A 30886-2025")</f>
        <v/>
      </c>
      <c r="W101">
        <f>HYPERLINK("https://klasma.github.io/Logging_2303/klagomålsmail/A 30886-2025 FSC-klagomål mail.docx", "A 30886-2025")</f>
        <v/>
      </c>
      <c r="X101">
        <f>HYPERLINK("https://klasma.github.io/Logging_2303/tillsyn/A 30886-2025 tillsynsbegäran.docx", "A 30886-2025")</f>
        <v/>
      </c>
      <c r="Y101">
        <f>HYPERLINK("https://klasma.github.io/Logging_2303/tillsynsmail/A 30886-2025 tillsynsbegäran mail.docx", "A 30886-2025")</f>
        <v/>
      </c>
      <c r="Z101">
        <f>HYPERLINK("https://klasma.github.io/Logging_2303/fåglar/A 30886-2025 prioriterade fågelarter.docx", "A 30886-2025")</f>
        <v/>
      </c>
    </row>
    <row r="102" ht="15" customHeight="1">
      <c r="A102" t="inlineStr">
        <is>
          <t>A 60683-2022</t>
        </is>
      </c>
      <c r="B102" s="1" t="n">
        <v>44911</v>
      </c>
      <c r="C102" s="1" t="n">
        <v>45890</v>
      </c>
      <c r="D102" t="inlineStr">
        <is>
          <t>JÄMTLANDS LÄN</t>
        </is>
      </c>
      <c r="E102" t="inlineStr">
        <is>
          <t>RAGUNDA</t>
        </is>
      </c>
      <c r="F102" t="inlineStr">
        <is>
          <t>SCA</t>
        </is>
      </c>
      <c r="G102" t="n">
        <v>2.4</v>
      </c>
      <c r="H102" t="n">
        <v>2</v>
      </c>
      <c r="I102" t="n">
        <v>2</v>
      </c>
      <c r="J102" t="n">
        <v>1</v>
      </c>
      <c r="K102" t="n">
        <v>0</v>
      </c>
      <c r="L102" t="n">
        <v>0</v>
      </c>
      <c r="M102" t="n">
        <v>0</v>
      </c>
      <c r="N102" t="n">
        <v>0</v>
      </c>
      <c r="O102" t="n">
        <v>1</v>
      </c>
      <c r="P102" t="n">
        <v>0</v>
      </c>
      <c r="Q102" t="n">
        <v>5</v>
      </c>
      <c r="R102" s="2" t="inlineStr">
        <is>
          <t>Granticka
Blodticka
Diskvaxskivling
Fläcknycklar
Blåsippa</t>
        </is>
      </c>
      <c r="S102">
        <f>HYPERLINK("https://klasma.github.io/Logging_2303/artfynd/A 60683-2022 artfynd.xlsx", "A 60683-2022")</f>
        <v/>
      </c>
      <c r="T102">
        <f>HYPERLINK("https://klasma.github.io/Logging_2303/kartor/A 60683-2022 karta.png", "A 60683-2022")</f>
        <v/>
      </c>
      <c r="V102">
        <f>HYPERLINK("https://klasma.github.io/Logging_2303/klagomål/A 60683-2022 FSC-klagomål.docx", "A 60683-2022")</f>
        <v/>
      </c>
      <c r="W102">
        <f>HYPERLINK("https://klasma.github.io/Logging_2303/klagomålsmail/A 60683-2022 FSC-klagomål mail.docx", "A 60683-2022")</f>
        <v/>
      </c>
      <c r="X102">
        <f>HYPERLINK("https://klasma.github.io/Logging_2303/tillsyn/A 60683-2022 tillsynsbegäran.docx", "A 60683-2022")</f>
        <v/>
      </c>
      <c r="Y102">
        <f>HYPERLINK("https://klasma.github.io/Logging_2303/tillsynsmail/A 60683-2022 tillsynsbegäran mail.docx", "A 60683-2022")</f>
        <v/>
      </c>
    </row>
    <row r="103" ht="15" customHeight="1">
      <c r="A103" t="inlineStr">
        <is>
          <t>A 2579-2025</t>
        </is>
      </c>
      <c r="B103" s="1" t="n">
        <v>45674.67744212963</v>
      </c>
      <c r="C103" s="1" t="n">
        <v>45890</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18629-2024</t>
        </is>
      </c>
      <c r="B104" s="1" t="n">
        <v>45425.96472222222</v>
      </c>
      <c r="C104" s="1" t="n">
        <v>45890</v>
      </c>
      <c r="D104" t="inlineStr">
        <is>
          <t>JÄMTLANDS LÄN</t>
        </is>
      </c>
      <c r="E104" t="inlineStr">
        <is>
          <t>RAGUNDA</t>
        </is>
      </c>
      <c r="F104" t="inlineStr">
        <is>
          <t>SCA</t>
        </is>
      </c>
      <c r="G104" t="n">
        <v>1.6</v>
      </c>
      <c r="H104" t="n">
        <v>2</v>
      </c>
      <c r="I104" t="n">
        <v>1</v>
      </c>
      <c r="J104" t="n">
        <v>3</v>
      </c>
      <c r="K104" t="n">
        <v>0</v>
      </c>
      <c r="L104" t="n">
        <v>0</v>
      </c>
      <c r="M104" t="n">
        <v>0</v>
      </c>
      <c r="N104" t="n">
        <v>0</v>
      </c>
      <c r="O104" t="n">
        <v>3</v>
      </c>
      <c r="P104" t="n">
        <v>0</v>
      </c>
      <c r="Q104" t="n">
        <v>5</v>
      </c>
      <c r="R104" s="2" t="inlineStr">
        <is>
          <t>Garnlav
Lunglav
Tretåig hackspett
Stuplav
Fläcknycklar</t>
        </is>
      </c>
      <c r="S104">
        <f>HYPERLINK("https://klasma.github.io/Logging_2303/artfynd/A 18629-2024 artfynd.xlsx", "A 18629-2024")</f>
        <v/>
      </c>
      <c r="T104">
        <f>HYPERLINK("https://klasma.github.io/Logging_2303/kartor/A 18629-2024 karta.png", "A 18629-2024")</f>
        <v/>
      </c>
      <c r="V104">
        <f>HYPERLINK("https://klasma.github.io/Logging_2303/klagomål/A 18629-2024 FSC-klagomål.docx", "A 18629-2024")</f>
        <v/>
      </c>
      <c r="W104">
        <f>HYPERLINK("https://klasma.github.io/Logging_2303/klagomålsmail/A 18629-2024 FSC-klagomål mail.docx", "A 18629-2024")</f>
        <v/>
      </c>
      <c r="X104">
        <f>HYPERLINK("https://klasma.github.io/Logging_2303/tillsyn/A 18629-2024 tillsynsbegäran.docx", "A 18629-2024")</f>
        <v/>
      </c>
      <c r="Y104">
        <f>HYPERLINK("https://klasma.github.io/Logging_2303/tillsynsmail/A 18629-2024 tillsynsbegäran mail.docx", "A 18629-2024")</f>
        <v/>
      </c>
      <c r="Z104">
        <f>HYPERLINK("https://klasma.github.io/Logging_2303/fåglar/A 18629-2024 prioriterade fågelarter.docx", "A 18629-2024")</f>
        <v/>
      </c>
    </row>
    <row r="105" ht="15" customHeight="1">
      <c r="A105" t="inlineStr">
        <is>
          <t>A 13266-2023</t>
        </is>
      </c>
      <c r="B105" s="1" t="n">
        <v>45002.94356481481</v>
      </c>
      <c r="C105" s="1" t="n">
        <v>45890</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8636-2021</t>
        </is>
      </c>
      <c r="B106" s="1" t="n">
        <v>44245</v>
      </c>
      <c r="C106" s="1" t="n">
        <v>45890</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45890</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45890</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45890</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45890</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45890</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17092-2022</t>
        </is>
      </c>
      <c r="B112" s="1" t="n">
        <v>44677</v>
      </c>
      <c r="C112" s="1" t="n">
        <v>45890</v>
      </c>
      <c r="D112" t="inlineStr">
        <is>
          <t>JÄMTLANDS LÄN</t>
        </is>
      </c>
      <c r="E112" t="inlineStr">
        <is>
          <t>RAGUNDA</t>
        </is>
      </c>
      <c r="G112" t="n">
        <v>21.2</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17092-2022 artfynd.xlsx", "A 17092-2022")</f>
        <v/>
      </c>
      <c r="T112">
        <f>HYPERLINK("https://klasma.github.io/Logging_2303/kartor/A 17092-2022 karta.png", "A 17092-2022")</f>
        <v/>
      </c>
      <c r="U112">
        <f>HYPERLINK("https://klasma.github.io/Logging_2303/knärot/A 17092-2022 karta knärot.png", "A 17092-2022")</f>
        <v/>
      </c>
      <c r="V112">
        <f>HYPERLINK("https://klasma.github.io/Logging_2303/klagomål/A 17092-2022 FSC-klagomål.docx", "A 17092-2022")</f>
        <v/>
      </c>
      <c r="W112">
        <f>HYPERLINK("https://klasma.github.io/Logging_2303/klagomålsmail/A 17092-2022 FSC-klagomål mail.docx", "A 17092-2022")</f>
        <v/>
      </c>
      <c r="X112">
        <f>HYPERLINK("https://klasma.github.io/Logging_2303/tillsyn/A 17092-2022 tillsynsbegäran.docx", "A 17092-2022")</f>
        <v/>
      </c>
      <c r="Y112">
        <f>HYPERLINK("https://klasma.github.io/Logging_2303/tillsynsmail/A 17092-2022 tillsynsbegäran mail.docx", "A 17092-2022")</f>
        <v/>
      </c>
    </row>
    <row r="113" ht="15" customHeight="1">
      <c r="A113" t="inlineStr">
        <is>
          <t>A 60670-2022</t>
        </is>
      </c>
      <c r="B113" s="1" t="n">
        <v>44911</v>
      </c>
      <c r="C113" s="1" t="n">
        <v>45890</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21372-2025</t>
        </is>
      </c>
      <c r="B114" s="1" t="n">
        <v>45782.44871527778</v>
      </c>
      <c r="C114" s="1" t="n">
        <v>45890</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45890</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52644-2024</t>
        </is>
      </c>
      <c r="B116" s="1" t="n">
        <v>45610.34415509259</v>
      </c>
      <c r="C116" s="1" t="n">
        <v>45890</v>
      </c>
      <c r="D116" t="inlineStr">
        <is>
          <t>JÄMTLANDS LÄN</t>
        </is>
      </c>
      <c r="E116" t="inlineStr">
        <is>
          <t>RAGUNDA</t>
        </is>
      </c>
      <c r="F116" t="inlineStr">
        <is>
          <t>SCA</t>
        </is>
      </c>
      <c r="G116" t="n">
        <v>6.6</v>
      </c>
      <c r="H116" t="n">
        <v>2</v>
      </c>
      <c r="I116" t="n">
        <v>1</v>
      </c>
      <c r="J116" t="n">
        <v>2</v>
      </c>
      <c r="K116" t="n">
        <v>1</v>
      </c>
      <c r="L116" t="n">
        <v>0</v>
      </c>
      <c r="M116" t="n">
        <v>0</v>
      </c>
      <c r="N116" t="n">
        <v>0</v>
      </c>
      <c r="O116" t="n">
        <v>3</v>
      </c>
      <c r="P116" t="n">
        <v>1</v>
      </c>
      <c r="Q116" t="n">
        <v>4</v>
      </c>
      <c r="R116" s="2" t="inlineStr">
        <is>
          <t>Doftticka
Gammelgransskål
Lunglav
Guckusko</t>
        </is>
      </c>
      <c r="S116">
        <f>HYPERLINK("https://klasma.github.io/Logging_2303/artfynd/A 52644-2024 artfynd.xlsx", "A 52644-2024")</f>
        <v/>
      </c>
      <c r="T116">
        <f>HYPERLINK("https://klasma.github.io/Logging_2303/kartor/A 52644-2024 karta.png", "A 52644-2024")</f>
        <v/>
      </c>
      <c r="V116">
        <f>HYPERLINK("https://klasma.github.io/Logging_2303/klagomål/A 52644-2024 FSC-klagomål.docx", "A 52644-2024")</f>
        <v/>
      </c>
      <c r="W116">
        <f>HYPERLINK("https://klasma.github.io/Logging_2303/klagomålsmail/A 52644-2024 FSC-klagomål mail.docx", "A 52644-2024")</f>
        <v/>
      </c>
      <c r="X116">
        <f>HYPERLINK("https://klasma.github.io/Logging_2303/tillsyn/A 52644-2024 tillsynsbegäran.docx", "A 52644-2024")</f>
        <v/>
      </c>
      <c r="Y116">
        <f>HYPERLINK("https://klasma.github.io/Logging_2303/tillsynsmail/A 52644-2024 tillsynsbegäran mail.docx", "A 52644-2024")</f>
        <v/>
      </c>
    </row>
    <row r="117" ht="15" customHeight="1">
      <c r="A117" t="inlineStr">
        <is>
          <t>A 12268-2024</t>
        </is>
      </c>
      <c r="B117" s="1" t="n">
        <v>45378</v>
      </c>
      <c r="C117" s="1" t="n">
        <v>45890</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43960-2023</t>
        </is>
      </c>
      <c r="B118" s="1" t="n">
        <v>45187</v>
      </c>
      <c r="C118" s="1" t="n">
        <v>45890</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30483-2024</t>
        </is>
      </c>
      <c r="B119" s="1" t="n">
        <v>45491</v>
      </c>
      <c r="C119" s="1" t="n">
        <v>45890</v>
      </c>
      <c r="D119" t="inlineStr">
        <is>
          <t>JÄMTLANDS LÄN</t>
        </is>
      </c>
      <c r="E119" t="inlineStr">
        <is>
          <t>RAGUNDA</t>
        </is>
      </c>
      <c r="F119" t="inlineStr">
        <is>
          <t>SCA</t>
        </is>
      </c>
      <c r="G119" t="n">
        <v>1.6</v>
      </c>
      <c r="H119" t="n">
        <v>1</v>
      </c>
      <c r="I119" t="n">
        <v>0</v>
      </c>
      <c r="J119" t="n">
        <v>4</v>
      </c>
      <c r="K119" t="n">
        <v>0</v>
      </c>
      <c r="L119" t="n">
        <v>0</v>
      </c>
      <c r="M119" t="n">
        <v>0</v>
      </c>
      <c r="N119" t="n">
        <v>0</v>
      </c>
      <c r="O119" t="n">
        <v>4</v>
      </c>
      <c r="P119" t="n">
        <v>0</v>
      </c>
      <c r="Q119" t="n">
        <v>4</v>
      </c>
      <c r="R119" s="2" t="inlineStr">
        <is>
          <t>Dvärgbägarlav
Järpe
Kolflarnlav
Vedskivlav</t>
        </is>
      </c>
      <c r="S119">
        <f>HYPERLINK("https://klasma.github.io/Logging_2303/artfynd/A 30483-2024 artfynd.xlsx", "A 30483-2024")</f>
        <v/>
      </c>
      <c r="T119">
        <f>HYPERLINK("https://klasma.github.io/Logging_2303/kartor/A 30483-2024 karta.png", "A 30483-2024")</f>
        <v/>
      </c>
      <c r="V119">
        <f>HYPERLINK("https://klasma.github.io/Logging_2303/klagomål/A 30483-2024 FSC-klagomål.docx", "A 30483-2024")</f>
        <v/>
      </c>
      <c r="W119">
        <f>HYPERLINK("https://klasma.github.io/Logging_2303/klagomålsmail/A 30483-2024 FSC-klagomål mail.docx", "A 30483-2024")</f>
        <v/>
      </c>
      <c r="X119">
        <f>HYPERLINK("https://klasma.github.io/Logging_2303/tillsyn/A 30483-2024 tillsynsbegäran.docx", "A 30483-2024")</f>
        <v/>
      </c>
      <c r="Y119">
        <f>HYPERLINK("https://klasma.github.io/Logging_2303/tillsynsmail/A 30483-2024 tillsynsbegäran mail.docx", "A 30483-2024")</f>
        <v/>
      </c>
      <c r="Z119">
        <f>HYPERLINK("https://klasma.github.io/Logging_2303/fåglar/A 30483-2024 prioriterade fågelarter.docx", "A 30483-2024")</f>
        <v/>
      </c>
    </row>
    <row r="120" ht="15" customHeight="1">
      <c r="A120" t="inlineStr">
        <is>
          <t>A 23931-2024</t>
        </is>
      </c>
      <c r="B120" s="1" t="n">
        <v>45455.96195601852</v>
      </c>
      <c r="C120" s="1" t="n">
        <v>45890</v>
      </c>
      <c r="D120" t="inlineStr">
        <is>
          <t>JÄMTLANDS LÄN</t>
        </is>
      </c>
      <c r="E120" t="inlineStr">
        <is>
          <t>RAGUNDA</t>
        </is>
      </c>
      <c r="F120" t="inlineStr">
        <is>
          <t>SCA</t>
        </is>
      </c>
      <c r="G120" t="n">
        <v>4</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23931-2024 artfynd.xlsx", "A 23931-2024")</f>
        <v/>
      </c>
      <c r="T120">
        <f>HYPERLINK("https://klasma.github.io/Logging_2303/kartor/A 23931-2024 karta.png", "A 23931-2024")</f>
        <v/>
      </c>
      <c r="U120">
        <f>HYPERLINK("https://klasma.github.io/Logging_2303/knärot/A 23931-2024 karta knärot.png", "A 23931-2024")</f>
        <v/>
      </c>
      <c r="V120">
        <f>HYPERLINK("https://klasma.github.io/Logging_2303/klagomål/A 23931-2024 FSC-klagomål.docx", "A 23931-2024")</f>
        <v/>
      </c>
      <c r="W120">
        <f>HYPERLINK("https://klasma.github.io/Logging_2303/klagomålsmail/A 23931-2024 FSC-klagomål mail.docx", "A 23931-2024")</f>
        <v/>
      </c>
      <c r="X120">
        <f>HYPERLINK("https://klasma.github.io/Logging_2303/tillsyn/A 23931-2024 tillsynsbegäran.docx", "A 23931-2024")</f>
        <v/>
      </c>
      <c r="Y120">
        <f>HYPERLINK("https://klasma.github.io/Logging_2303/tillsynsmail/A 23931-2024 tillsynsbegäran mail.docx", "A 23931-2024")</f>
        <v/>
      </c>
    </row>
    <row r="121" ht="15" customHeight="1">
      <c r="A121" t="inlineStr">
        <is>
          <t>A 26082-2025</t>
        </is>
      </c>
      <c r="B121" s="1" t="n">
        <v>45805.34415509259</v>
      </c>
      <c r="C121" s="1" t="n">
        <v>45890</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45890</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30465-2024</t>
        </is>
      </c>
      <c r="B123" s="1" t="n">
        <v>45491</v>
      </c>
      <c r="C123" s="1" t="n">
        <v>45890</v>
      </c>
      <c r="D123" t="inlineStr">
        <is>
          <t>JÄMTLANDS LÄN</t>
        </is>
      </c>
      <c r="E123" t="inlineStr">
        <is>
          <t>RAGUNDA</t>
        </is>
      </c>
      <c r="F123" t="inlineStr">
        <is>
          <t>SCA</t>
        </is>
      </c>
      <c r="G123" t="n">
        <v>3.7</v>
      </c>
      <c r="H123" t="n">
        <v>1</v>
      </c>
      <c r="I123" t="n">
        <v>0</v>
      </c>
      <c r="J123" t="n">
        <v>4</v>
      </c>
      <c r="K123" t="n">
        <v>0</v>
      </c>
      <c r="L123" t="n">
        <v>0</v>
      </c>
      <c r="M123" t="n">
        <v>0</v>
      </c>
      <c r="N123" t="n">
        <v>0</v>
      </c>
      <c r="O123" t="n">
        <v>4</v>
      </c>
      <c r="P123" t="n">
        <v>0</v>
      </c>
      <c r="Q123" t="n">
        <v>4</v>
      </c>
      <c r="R123" s="2" t="inlineStr">
        <is>
          <t>Granticka
Tretåig hackspett
Ullticka
Violmussling</t>
        </is>
      </c>
      <c r="S123">
        <f>HYPERLINK("https://klasma.github.io/Logging_2303/artfynd/A 30465-2024 artfynd.xlsx", "A 30465-2024")</f>
        <v/>
      </c>
      <c r="T123">
        <f>HYPERLINK("https://klasma.github.io/Logging_2303/kartor/A 30465-2024 karta.png", "A 30465-2024")</f>
        <v/>
      </c>
      <c r="V123">
        <f>HYPERLINK("https://klasma.github.io/Logging_2303/klagomål/A 30465-2024 FSC-klagomål.docx", "A 30465-2024")</f>
        <v/>
      </c>
      <c r="W123">
        <f>HYPERLINK("https://klasma.github.io/Logging_2303/klagomålsmail/A 30465-2024 FSC-klagomål mail.docx", "A 30465-2024")</f>
        <v/>
      </c>
      <c r="X123">
        <f>HYPERLINK("https://klasma.github.io/Logging_2303/tillsyn/A 30465-2024 tillsynsbegäran.docx", "A 30465-2024")</f>
        <v/>
      </c>
      <c r="Y123">
        <f>HYPERLINK("https://klasma.github.io/Logging_2303/tillsynsmail/A 30465-2024 tillsynsbegäran mail.docx", "A 30465-2024")</f>
        <v/>
      </c>
      <c r="Z123">
        <f>HYPERLINK("https://klasma.github.io/Logging_2303/fåglar/A 30465-2024 prioriterade fågelarter.docx", "A 30465-2024")</f>
        <v/>
      </c>
    </row>
    <row r="124" ht="15" customHeight="1">
      <c r="A124" t="inlineStr">
        <is>
          <t>A 32067-2024</t>
        </is>
      </c>
      <c r="B124" s="1" t="n">
        <v>45510</v>
      </c>
      <c r="C124" s="1" t="n">
        <v>45890</v>
      </c>
      <c r="D124" t="inlineStr">
        <is>
          <t>JÄMTLANDS LÄN</t>
        </is>
      </c>
      <c r="E124" t="inlineStr">
        <is>
          <t>RAGUNDA</t>
        </is>
      </c>
      <c r="F124" t="inlineStr">
        <is>
          <t>SCA</t>
        </is>
      </c>
      <c r="G124" t="n">
        <v>4.1</v>
      </c>
      <c r="H124" t="n">
        <v>0</v>
      </c>
      <c r="I124" t="n">
        <v>2</v>
      </c>
      <c r="J124" t="n">
        <v>2</v>
      </c>
      <c r="K124" t="n">
        <v>0</v>
      </c>
      <c r="L124" t="n">
        <v>0</v>
      </c>
      <c r="M124" t="n">
        <v>0</v>
      </c>
      <c r="N124" t="n">
        <v>0</v>
      </c>
      <c r="O124" t="n">
        <v>2</v>
      </c>
      <c r="P124" t="n">
        <v>0</v>
      </c>
      <c r="Q124" t="n">
        <v>4</v>
      </c>
      <c r="R124" s="2" t="inlineStr">
        <is>
          <t>Vedflikmossa
Vedtrappmossa
Stor aspticka
Vedticka</t>
        </is>
      </c>
      <c r="S124">
        <f>HYPERLINK("https://klasma.github.io/Logging_2303/artfynd/A 32067-2024 artfynd.xlsx", "A 32067-2024")</f>
        <v/>
      </c>
      <c r="T124">
        <f>HYPERLINK("https://klasma.github.io/Logging_2303/kartor/A 32067-2024 karta.png", "A 32067-2024")</f>
        <v/>
      </c>
      <c r="U124">
        <f>HYPERLINK("https://klasma.github.io/Logging_2303/knärot/A 32067-2024 karta knärot.png", "A 32067-2024")</f>
        <v/>
      </c>
      <c r="V124">
        <f>HYPERLINK("https://klasma.github.io/Logging_2303/klagomål/A 32067-2024 FSC-klagomål.docx", "A 32067-2024")</f>
        <v/>
      </c>
      <c r="W124">
        <f>HYPERLINK("https://klasma.github.io/Logging_2303/klagomålsmail/A 32067-2024 FSC-klagomål mail.docx", "A 32067-2024")</f>
        <v/>
      </c>
      <c r="X124">
        <f>HYPERLINK("https://klasma.github.io/Logging_2303/tillsyn/A 32067-2024 tillsynsbegäran.docx", "A 32067-2024")</f>
        <v/>
      </c>
      <c r="Y124">
        <f>HYPERLINK("https://klasma.github.io/Logging_2303/tillsynsmail/A 32067-2024 tillsynsbegäran mail.docx", "A 32067-2024")</f>
        <v/>
      </c>
    </row>
    <row r="125" ht="15" customHeight="1">
      <c r="A125" t="inlineStr">
        <is>
          <t>A 15836-2024</t>
        </is>
      </c>
      <c r="B125" s="1" t="n">
        <v>45404</v>
      </c>
      <c r="C125" s="1" t="n">
        <v>45890</v>
      </c>
      <c r="D125" t="inlineStr">
        <is>
          <t>JÄMTLANDS LÄN</t>
        </is>
      </c>
      <c r="E125" t="inlineStr">
        <is>
          <t>RAGUNDA</t>
        </is>
      </c>
      <c r="F125" t="inlineStr">
        <is>
          <t>Kommuner</t>
        </is>
      </c>
      <c r="G125" t="n">
        <v>3.1</v>
      </c>
      <c r="H125" t="n">
        <v>0</v>
      </c>
      <c r="I125" t="n">
        <v>2</v>
      </c>
      <c r="J125" t="n">
        <v>1</v>
      </c>
      <c r="K125" t="n">
        <v>0</v>
      </c>
      <c r="L125" t="n">
        <v>1</v>
      </c>
      <c r="M125" t="n">
        <v>0</v>
      </c>
      <c r="N125" t="n">
        <v>0</v>
      </c>
      <c r="O125" t="n">
        <v>2</v>
      </c>
      <c r="P125" t="n">
        <v>1</v>
      </c>
      <c r="Q125" t="n">
        <v>4</v>
      </c>
      <c r="R125" s="2" t="inlineStr">
        <is>
          <t>Trolldruvemätare
Lunglav
Stor aspticka
Svart trolldruva</t>
        </is>
      </c>
      <c r="S125">
        <f>HYPERLINK("https://klasma.github.io/Logging_2303/artfynd/A 15836-2024 artfynd.xlsx", "A 15836-2024")</f>
        <v/>
      </c>
      <c r="T125">
        <f>HYPERLINK("https://klasma.github.io/Logging_2303/kartor/A 15836-2024 karta.png", "A 15836-2024")</f>
        <v/>
      </c>
      <c r="V125">
        <f>HYPERLINK("https://klasma.github.io/Logging_2303/klagomål/A 15836-2024 FSC-klagomål.docx", "A 15836-2024")</f>
        <v/>
      </c>
      <c r="W125">
        <f>HYPERLINK("https://klasma.github.io/Logging_2303/klagomålsmail/A 15836-2024 FSC-klagomål mail.docx", "A 15836-2024")</f>
        <v/>
      </c>
      <c r="X125">
        <f>HYPERLINK("https://klasma.github.io/Logging_2303/tillsyn/A 15836-2024 tillsynsbegäran.docx", "A 15836-2024")</f>
        <v/>
      </c>
      <c r="Y125">
        <f>HYPERLINK("https://klasma.github.io/Logging_2303/tillsynsmail/A 15836-2024 tillsynsbegäran mail.docx", "A 15836-2024")</f>
        <v/>
      </c>
    </row>
    <row r="126" ht="15" customHeight="1">
      <c r="A126" t="inlineStr">
        <is>
          <t>A 22467-2025</t>
        </is>
      </c>
      <c r="B126" s="1" t="n">
        <v>45786.61534722222</v>
      </c>
      <c r="C126" s="1" t="n">
        <v>45890</v>
      </c>
      <c r="D126" t="inlineStr">
        <is>
          <t>JÄMTLANDS LÄN</t>
        </is>
      </c>
      <c r="E126" t="inlineStr">
        <is>
          <t>RAGUNDA</t>
        </is>
      </c>
      <c r="F126" t="inlineStr">
        <is>
          <t>SCA</t>
        </is>
      </c>
      <c r="G126" t="n">
        <v>1.7</v>
      </c>
      <c r="H126" t="n">
        <v>1</v>
      </c>
      <c r="I126" t="n">
        <v>1</v>
      </c>
      <c r="J126" t="n">
        <v>3</v>
      </c>
      <c r="K126" t="n">
        <v>0</v>
      </c>
      <c r="L126" t="n">
        <v>0</v>
      </c>
      <c r="M126" t="n">
        <v>0</v>
      </c>
      <c r="N126" t="n">
        <v>0</v>
      </c>
      <c r="O126" t="n">
        <v>3</v>
      </c>
      <c r="P126" t="n">
        <v>0</v>
      </c>
      <c r="Q126" t="n">
        <v>4</v>
      </c>
      <c r="R126" s="2" t="inlineStr">
        <is>
          <t>Garnlav
Järpe
Lunglav
Bårdlav</t>
        </is>
      </c>
      <c r="S126">
        <f>HYPERLINK("https://klasma.github.io/Logging_2303/artfynd/A 22467-2025 artfynd.xlsx", "A 22467-2025")</f>
        <v/>
      </c>
      <c r="T126">
        <f>HYPERLINK("https://klasma.github.io/Logging_2303/kartor/A 22467-2025 karta.png", "A 22467-2025")</f>
        <v/>
      </c>
      <c r="V126">
        <f>HYPERLINK("https://klasma.github.io/Logging_2303/klagomål/A 22467-2025 FSC-klagomål.docx", "A 22467-2025")</f>
        <v/>
      </c>
      <c r="W126">
        <f>HYPERLINK("https://klasma.github.io/Logging_2303/klagomålsmail/A 22467-2025 FSC-klagomål mail.docx", "A 22467-2025")</f>
        <v/>
      </c>
      <c r="X126">
        <f>HYPERLINK("https://klasma.github.io/Logging_2303/tillsyn/A 22467-2025 tillsynsbegäran.docx", "A 22467-2025")</f>
        <v/>
      </c>
      <c r="Y126">
        <f>HYPERLINK("https://klasma.github.io/Logging_2303/tillsynsmail/A 22467-2025 tillsynsbegäran mail.docx", "A 22467-2025")</f>
        <v/>
      </c>
      <c r="Z126">
        <f>HYPERLINK("https://klasma.github.io/Logging_2303/fåglar/A 22467-2025 prioriterade fågelarter.docx", "A 22467-2025")</f>
        <v/>
      </c>
    </row>
    <row r="127" ht="15" customHeight="1">
      <c r="A127" t="inlineStr">
        <is>
          <t>A 48052-2022</t>
        </is>
      </c>
      <c r="B127" s="1" t="n">
        <v>44855</v>
      </c>
      <c r="C127" s="1" t="n">
        <v>45890</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45890</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58368-2024</t>
        </is>
      </c>
      <c r="B129" s="1" t="n">
        <v>45632.69822916666</v>
      </c>
      <c r="C129" s="1" t="n">
        <v>45890</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12737-2025</t>
        </is>
      </c>
      <c r="B130" s="1" t="n">
        <v>45733</v>
      </c>
      <c r="C130" s="1" t="n">
        <v>45890</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5048-2025</t>
        </is>
      </c>
      <c r="B131" s="1" t="n">
        <v>45691.44769675926</v>
      </c>
      <c r="C131" s="1" t="n">
        <v>45890</v>
      </c>
      <c r="D131" t="inlineStr">
        <is>
          <t>JÄMTLANDS LÄN</t>
        </is>
      </c>
      <c r="E131" t="inlineStr">
        <is>
          <t>RAGUNDA</t>
        </is>
      </c>
      <c r="F131" t="inlineStr">
        <is>
          <t>SCA</t>
        </is>
      </c>
      <c r="G131" t="n">
        <v>1.8</v>
      </c>
      <c r="H131" t="n">
        <v>3</v>
      </c>
      <c r="I131" t="n">
        <v>2</v>
      </c>
      <c r="J131" t="n">
        <v>0</v>
      </c>
      <c r="K131" t="n">
        <v>0</v>
      </c>
      <c r="L131" t="n">
        <v>0</v>
      </c>
      <c r="M131" t="n">
        <v>0</v>
      </c>
      <c r="N131" t="n">
        <v>0</v>
      </c>
      <c r="O131" t="n">
        <v>0</v>
      </c>
      <c r="P131" t="n">
        <v>0</v>
      </c>
      <c r="Q131" t="n">
        <v>3</v>
      </c>
      <c r="R131" s="2" t="inlineStr">
        <is>
          <t>Guckusko
Tvåblad
Fläcknycklar</t>
        </is>
      </c>
      <c r="S131">
        <f>HYPERLINK("https://klasma.github.io/Logging_2303/artfynd/A 5048-2025 artfynd.xlsx", "A 5048-2025")</f>
        <v/>
      </c>
      <c r="T131">
        <f>HYPERLINK("https://klasma.github.io/Logging_2303/kartor/A 5048-2025 karta.png", "A 5048-2025")</f>
        <v/>
      </c>
      <c r="V131">
        <f>HYPERLINK("https://klasma.github.io/Logging_2303/klagomål/A 5048-2025 FSC-klagomål.docx", "A 5048-2025")</f>
        <v/>
      </c>
      <c r="W131">
        <f>HYPERLINK("https://klasma.github.io/Logging_2303/klagomålsmail/A 5048-2025 FSC-klagomål mail.docx", "A 5048-2025")</f>
        <v/>
      </c>
      <c r="X131">
        <f>HYPERLINK("https://klasma.github.io/Logging_2303/tillsyn/A 5048-2025 tillsynsbegäran.docx", "A 5048-2025")</f>
        <v/>
      </c>
      <c r="Y131">
        <f>HYPERLINK("https://klasma.github.io/Logging_2303/tillsynsmail/A 5048-2025 tillsynsbegäran mail.docx", "A 5048-2025")</f>
        <v/>
      </c>
    </row>
    <row r="132" ht="15" customHeight="1">
      <c r="A132" t="inlineStr">
        <is>
          <t>A 18616-2024</t>
        </is>
      </c>
      <c r="B132" s="1" t="n">
        <v>45425.96285879629</v>
      </c>
      <c r="C132" s="1" t="n">
        <v>45890</v>
      </c>
      <c r="D132" t="inlineStr">
        <is>
          <t>JÄMTLANDS LÄN</t>
        </is>
      </c>
      <c r="E132" t="inlineStr">
        <is>
          <t>RAGUNDA</t>
        </is>
      </c>
      <c r="F132" t="inlineStr">
        <is>
          <t>SCA</t>
        </is>
      </c>
      <c r="G132" t="n">
        <v>3.4</v>
      </c>
      <c r="H132" t="n">
        <v>0</v>
      </c>
      <c r="I132" t="n">
        <v>0</v>
      </c>
      <c r="J132" t="n">
        <v>3</v>
      </c>
      <c r="K132" t="n">
        <v>0</v>
      </c>
      <c r="L132" t="n">
        <v>0</v>
      </c>
      <c r="M132" t="n">
        <v>0</v>
      </c>
      <c r="N132" t="n">
        <v>0</v>
      </c>
      <c r="O132" t="n">
        <v>3</v>
      </c>
      <c r="P132" t="n">
        <v>0</v>
      </c>
      <c r="Q132" t="n">
        <v>3</v>
      </c>
      <c r="R132" s="2" t="inlineStr">
        <is>
          <t>Granticka
Orange taggsvamp
Ullticka</t>
        </is>
      </c>
      <c r="S132">
        <f>HYPERLINK("https://klasma.github.io/Logging_2303/artfynd/A 18616-2024 artfynd.xlsx", "A 18616-2024")</f>
        <v/>
      </c>
      <c r="T132">
        <f>HYPERLINK("https://klasma.github.io/Logging_2303/kartor/A 18616-2024 karta.png", "A 18616-2024")</f>
        <v/>
      </c>
      <c r="V132">
        <f>HYPERLINK("https://klasma.github.io/Logging_2303/klagomål/A 18616-2024 FSC-klagomål.docx", "A 18616-2024")</f>
        <v/>
      </c>
      <c r="W132">
        <f>HYPERLINK("https://klasma.github.io/Logging_2303/klagomålsmail/A 18616-2024 FSC-klagomål mail.docx", "A 18616-2024")</f>
        <v/>
      </c>
      <c r="X132">
        <f>HYPERLINK("https://klasma.github.io/Logging_2303/tillsyn/A 18616-2024 tillsynsbegäran.docx", "A 18616-2024")</f>
        <v/>
      </c>
      <c r="Y132">
        <f>HYPERLINK("https://klasma.github.io/Logging_2303/tillsynsmail/A 18616-2024 tillsynsbegäran mail.docx", "A 18616-2024")</f>
        <v/>
      </c>
    </row>
    <row r="133" ht="15" customHeight="1">
      <c r="A133" t="inlineStr">
        <is>
          <t>A 32903-2024</t>
        </is>
      </c>
      <c r="B133" s="1" t="n">
        <v>45516.94723379629</v>
      </c>
      <c r="C133" s="1" t="n">
        <v>45890</v>
      </c>
      <c r="D133" t="inlineStr">
        <is>
          <t>JÄMTLANDS LÄN</t>
        </is>
      </c>
      <c r="E133" t="inlineStr">
        <is>
          <t>RAGUNDA</t>
        </is>
      </c>
      <c r="F133" t="inlineStr">
        <is>
          <t>SCA</t>
        </is>
      </c>
      <c r="G133" t="n">
        <v>4.7</v>
      </c>
      <c r="H133" t="n">
        <v>0</v>
      </c>
      <c r="I133" t="n">
        <v>2</v>
      </c>
      <c r="J133" t="n">
        <v>1</v>
      </c>
      <c r="K133" t="n">
        <v>0</v>
      </c>
      <c r="L133" t="n">
        <v>0</v>
      </c>
      <c r="M133" t="n">
        <v>0</v>
      </c>
      <c r="N133" t="n">
        <v>0</v>
      </c>
      <c r="O133" t="n">
        <v>1</v>
      </c>
      <c r="P133" t="n">
        <v>0</v>
      </c>
      <c r="Q133" t="n">
        <v>3</v>
      </c>
      <c r="R133" s="2" t="inlineStr">
        <is>
          <t>Lunglav
Bollvitmossa
Luddlav</t>
        </is>
      </c>
      <c r="S133">
        <f>HYPERLINK("https://klasma.github.io/Logging_2303/artfynd/A 32903-2024 artfynd.xlsx", "A 32903-2024")</f>
        <v/>
      </c>
      <c r="T133">
        <f>HYPERLINK("https://klasma.github.io/Logging_2303/kartor/A 32903-2024 karta.png", "A 32903-2024")</f>
        <v/>
      </c>
      <c r="V133">
        <f>HYPERLINK("https://klasma.github.io/Logging_2303/klagomål/A 32903-2024 FSC-klagomål.docx", "A 32903-2024")</f>
        <v/>
      </c>
      <c r="W133">
        <f>HYPERLINK("https://klasma.github.io/Logging_2303/klagomålsmail/A 32903-2024 FSC-klagomål mail.docx", "A 32903-2024")</f>
        <v/>
      </c>
      <c r="X133">
        <f>HYPERLINK("https://klasma.github.io/Logging_2303/tillsyn/A 32903-2024 tillsynsbegäran.docx", "A 32903-2024")</f>
        <v/>
      </c>
      <c r="Y133">
        <f>HYPERLINK("https://klasma.github.io/Logging_2303/tillsynsmail/A 32903-2024 tillsynsbegäran mail.docx", "A 32903-2024")</f>
        <v/>
      </c>
    </row>
    <row r="134" ht="15" customHeight="1">
      <c r="A134" t="inlineStr">
        <is>
          <t>A 21248-2025</t>
        </is>
      </c>
      <c r="B134" s="1" t="n">
        <v>45779.57392361111</v>
      </c>
      <c r="C134" s="1" t="n">
        <v>45890</v>
      </c>
      <c r="D134" t="inlineStr">
        <is>
          <t>JÄMTLANDS LÄN</t>
        </is>
      </c>
      <c r="E134" t="inlineStr">
        <is>
          <t>RAGUNDA</t>
        </is>
      </c>
      <c r="F134" t="inlineStr">
        <is>
          <t>SCA</t>
        </is>
      </c>
      <c r="G134" t="n">
        <v>2.9</v>
      </c>
      <c r="H134" t="n">
        <v>1</v>
      </c>
      <c r="I134" t="n">
        <v>1</v>
      </c>
      <c r="J134" t="n">
        <v>2</v>
      </c>
      <c r="K134" t="n">
        <v>0</v>
      </c>
      <c r="L134" t="n">
        <v>0</v>
      </c>
      <c r="M134" t="n">
        <v>0</v>
      </c>
      <c r="N134" t="n">
        <v>0</v>
      </c>
      <c r="O134" t="n">
        <v>2</v>
      </c>
      <c r="P134" t="n">
        <v>0</v>
      </c>
      <c r="Q134" t="n">
        <v>3</v>
      </c>
      <c r="R134" s="2" t="inlineStr">
        <is>
          <t>Garnlav
Tretåig hackspett
Vedticka</t>
        </is>
      </c>
      <c r="S134">
        <f>HYPERLINK("https://klasma.github.io/Logging_2303/artfynd/A 21248-2025 artfynd.xlsx", "A 21248-2025")</f>
        <v/>
      </c>
      <c r="T134">
        <f>HYPERLINK("https://klasma.github.io/Logging_2303/kartor/A 21248-2025 karta.png", "A 21248-2025")</f>
        <v/>
      </c>
      <c r="V134">
        <f>HYPERLINK("https://klasma.github.io/Logging_2303/klagomål/A 21248-2025 FSC-klagomål.docx", "A 21248-2025")</f>
        <v/>
      </c>
      <c r="W134">
        <f>HYPERLINK("https://klasma.github.io/Logging_2303/klagomålsmail/A 21248-2025 FSC-klagomål mail.docx", "A 21248-2025")</f>
        <v/>
      </c>
      <c r="X134">
        <f>HYPERLINK("https://klasma.github.io/Logging_2303/tillsyn/A 21248-2025 tillsynsbegäran.docx", "A 21248-2025")</f>
        <v/>
      </c>
      <c r="Y134">
        <f>HYPERLINK("https://klasma.github.io/Logging_2303/tillsynsmail/A 21248-2025 tillsynsbegäran mail.docx", "A 21248-2025")</f>
        <v/>
      </c>
      <c r="Z134">
        <f>HYPERLINK("https://klasma.github.io/Logging_2303/fåglar/A 21248-2025 prioriterade fågelarter.docx", "A 21248-2025")</f>
        <v/>
      </c>
    </row>
    <row r="135" ht="15" customHeight="1">
      <c r="A135" t="inlineStr">
        <is>
          <t>A 61790-2023</t>
        </is>
      </c>
      <c r="B135" s="1" t="n">
        <v>45265</v>
      </c>
      <c r="C135" s="1" t="n">
        <v>45890</v>
      </c>
      <c r="D135" t="inlineStr">
        <is>
          <t>JÄMTLANDS LÄN</t>
        </is>
      </c>
      <c r="E135" t="inlineStr">
        <is>
          <t>RAGUNDA</t>
        </is>
      </c>
      <c r="F135" t="inlineStr">
        <is>
          <t>SCA</t>
        </is>
      </c>
      <c r="G135" t="n">
        <v>6.1</v>
      </c>
      <c r="H135" t="n">
        <v>0</v>
      </c>
      <c r="I135" t="n">
        <v>0</v>
      </c>
      <c r="J135" t="n">
        <v>3</v>
      </c>
      <c r="K135" t="n">
        <v>0</v>
      </c>
      <c r="L135" t="n">
        <v>0</v>
      </c>
      <c r="M135" t="n">
        <v>0</v>
      </c>
      <c r="N135" t="n">
        <v>0</v>
      </c>
      <c r="O135" t="n">
        <v>3</v>
      </c>
      <c r="P135" t="n">
        <v>0</v>
      </c>
      <c r="Q135" t="n">
        <v>3</v>
      </c>
      <c r="R135" s="2" t="inlineStr">
        <is>
          <t>Gammelgransskål
Lunglav
Skrovellav</t>
        </is>
      </c>
      <c r="S135">
        <f>HYPERLINK("https://klasma.github.io/Logging_2303/artfynd/A 61790-2023 artfynd.xlsx", "A 61790-2023")</f>
        <v/>
      </c>
      <c r="T135">
        <f>HYPERLINK("https://klasma.github.io/Logging_2303/kartor/A 61790-2023 karta.png", "A 61790-2023")</f>
        <v/>
      </c>
      <c r="V135">
        <f>HYPERLINK("https://klasma.github.io/Logging_2303/klagomål/A 61790-2023 FSC-klagomål.docx", "A 61790-2023")</f>
        <v/>
      </c>
      <c r="W135">
        <f>HYPERLINK("https://klasma.github.io/Logging_2303/klagomålsmail/A 61790-2023 FSC-klagomål mail.docx", "A 61790-2023")</f>
        <v/>
      </c>
      <c r="X135">
        <f>HYPERLINK("https://klasma.github.io/Logging_2303/tillsyn/A 61790-2023 tillsynsbegäran.docx", "A 61790-2023")</f>
        <v/>
      </c>
      <c r="Y135">
        <f>HYPERLINK("https://klasma.github.io/Logging_2303/tillsynsmail/A 61790-2023 tillsynsbegäran mail.docx", "A 61790-2023")</f>
        <v/>
      </c>
    </row>
    <row r="136" ht="15" customHeight="1">
      <c r="A136" t="inlineStr">
        <is>
          <t>A 53022-2022</t>
        </is>
      </c>
      <c r="B136" s="1" t="n">
        <v>44875</v>
      </c>
      <c r="C136" s="1" t="n">
        <v>45890</v>
      </c>
      <c r="D136" t="inlineStr">
        <is>
          <t>JÄMTLANDS LÄN</t>
        </is>
      </c>
      <c r="E136" t="inlineStr">
        <is>
          <t>RAGUNDA</t>
        </is>
      </c>
      <c r="F136" t="inlineStr">
        <is>
          <t>SCA</t>
        </is>
      </c>
      <c r="G136" t="n">
        <v>2.7</v>
      </c>
      <c r="H136" t="n">
        <v>0</v>
      </c>
      <c r="I136" t="n">
        <v>1</v>
      </c>
      <c r="J136" t="n">
        <v>2</v>
      </c>
      <c r="K136" t="n">
        <v>0</v>
      </c>
      <c r="L136" t="n">
        <v>0</v>
      </c>
      <c r="M136" t="n">
        <v>0</v>
      </c>
      <c r="N136" t="n">
        <v>0</v>
      </c>
      <c r="O136" t="n">
        <v>2</v>
      </c>
      <c r="P136" t="n">
        <v>0</v>
      </c>
      <c r="Q136" t="n">
        <v>3</v>
      </c>
      <c r="R136" s="2" t="inlineStr">
        <is>
          <t>Garnlav
Lunglav
Dropptaggsvamp</t>
        </is>
      </c>
      <c r="S136">
        <f>HYPERLINK("https://klasma.github.io/Logging_2303/artfynd/A 53022-2022 artfynd.xlsx", "A 53022-2022")</f>
        <v/>
      </c>
      <c r="T136">
        <f>HYPERLINK("https://klasma.github.io/Logging_2303/kartor/A 53022-2022 karta.png", "A 53022-2022")</f>
        <v/>
      </c>
      <c r="V136">
        <f>HYPERLINK("https://klasma.github.io/Logging_2303/klagomål/A 53022-2022 FSC-klagomål.docx", "A 53022-2022")</f>
        <v/>
      </c>
      <c r="W136">
        <f>HYPERLINK("https://klasma.github.io/Logging_2303/klagomålsmail/A 53022-2022 FSC-klagomål mail.docx", "A 53022-2022")</f>
        <v/>
      </c>
      <c r="X136">
        <f>HYPERLINK("https://klasma.github.io/Logging_2303/tillsyn/A 53022-2022 tillsynsbegäran.docx", "A 53022-2022")</f>
        <v/>
      </c>
      <c r="Y136">
        <f>HYPERLINK("https://klasma.github.io/Logging_2303/tillsynsmail/A 53022-2022 tillsynsbegäran mail.docx", "A 53022-2022")</f>
        <v/>
      </c>
    </row>
    <row r="137" ht="15" customHeight="1">
      <c r="A137" t="inlineStr">
        <is>
          <t>A 44302-2023</t>
        </is>
      </c>
      <c r="B137" s="1" t="n">
        <v>45188</v>
      </c>
      <c r="C137" s="1" t="n">
        <v>45890</v>
      </c>
      <c r="D137" t="inlineStr">
        <is>
          <t>JÄMTLANDS LÄN</t>
        </is>
      </c>
      <c r="E137" t="inlineStr">
        <is>
          <t>RAGUNDA</t>
        </is>
      </c>
      <c r="G137" t="n">
        <v>9.1</v>
      </c>
      <c r="H137" t="n">
        <v>1</v>
      </c>
      <c r="I137" t="n">
        <v>1</v>
      </c>
      <c r="J137" t="n">
        <v>2</v>
      </c>
      <c r="K137" t="n">
        <v>0</v>
      </c>
      <c r="L137" t="n">
        <v>0</v>
      </c>
      <c r="M137" t="n">
        <v>0</v>
      </c>
      <c r="N137" t="n">
        <v>0</v>
      </c>
      <c r="O137" t="n">
        <v>2</v>
      </c>
      <c r="P137" t="n">
        <v>0</v>
      </c>
      <c r="Q137" t="n">
        <v>3</v>
      </c>
      <c r="R137" s="2" t="inlineStr">
        <is>
          <t>Lunglav
Skrovellav
Korallrot</t>
        </is>
      </c>
      <c r="S137">
        <f>HYPERLINK("https://klasma.github.io/Logging_2303/artfynd/A 44302-2023 artfynd.xlsx", "A 44302-2023")</f>
        <v/>
      </c>
      <c r="T137">
        <f>HYPERLINK("https://klasma.github.io/Logging_2303/kartor/A 44302-2023 karta.png", "A 44302-2023")</f>
        <v/>
      </c>
      <c r="V137">
        <f>HYPERLINK("https://klasma.github.io/Logging_2303/klagomål/A 44302-2023 FSC-klagomål.docx", "A 44302-2023")</f>
        <v/>
      </c>
      <c r="W137">
        <f>HYPERLINK("https://klasma.github.io/Logging_2303/klagomålsmail/A 44302-2023 FSC-klagomål mail.docx", "A 44302-2023")</f>
        <v/>
      </c>
      <c r="X137">
        <f>HYPERLINK("https://klasma.github.io/Logging_2303/tillsyn/A 44302-2023 tillsynsbegäran.docx", "A 44302-2023")</f>
        <v/>
      </c>
      <c r="Y137">
        <f>HYPERLINK("https://klasma.github.io/Logging_2303/tillsynsmail/A 44302-2023 tillsynsbegäran mail.docx", "A 44302-2023")</f>
        <v/>
      </c>
    </row>
    <row r="138" ht="15" customHeight="1">
      <c r="A138" t="inlineStr">
        <is>
          <t>A 30470-2024</t>
        </is>
      </c>
      <c r="B138" s="1" t="n">
        <v>45491.94715277778</v>
      </c>
      <c r="C138" s="1" t="n">
        <v>45890</v>
      </c>
      <c r="D138" t="inlineStr">
        <is>
          <t>JÄMTLANDS LÄN</t>
        </is>
      </c>
      <c r="E138" t="inlineStr">
        <is>
          <t>RAGUNDA</t>
        </is>
      </c>
      <c r="F138" t="inlineStr">
        <is>
          <t>SCA</t>
        </is>
      </c>
      <c r="G138" t="n">
        <v>1.4</v>
      </c>
      <c r="H138" t="n">
        <v>2</v>
      </c>
      <c r="I138" t="n">
        <v>0</v>
      </c>
      <c r="J138" t="n">
        <v>2</v>
      </c>
      <c r="K138" t="n">
        <v>1</v>
      </c>
      <c r="L138" t="n">
        <v>0</v>
      </c>
      <c r="M138" t="n">
        <v>0</v>
      </c>
      <c r="N138" t="n">
        <v>0</v>
      </c>
      <c r="O138" t="n">
        <v>3</v>
      </c>
      <c r="P138" t="n">
        <v>1</v>
      </c>
      <c r="Q138" t="n">
        <v>3</v>
      </c>
      <c r="R138" s="2" t="inlineStr">
        <is>
          <t>Knärot
Lunglav
Tretåig hackspett</t>
        </is>
      </c>
      <c r="S138">
        <f>HYPERLINK("https://klasma.github.io/Logging_2303/artfynd/A 30470-2024 artfynd.xlsx", "A 30470-2024")</f>
        <v/>
      </c>
      <c r="T138">
        <f>HYPERLINK("https://klasma.github.io/Logging_2303/kartor/A 30470-2024 karta.png", "A 30470-2024")</f>
        <v/>
      </c>
      <c r="U138">
        <f>HYPERLINK("https://klasma.github.io/Logging_2303/knärot/A 30470-2024 karta knärot.png", "A 30470-2024")</f>
        <v/>
      </c>
      <c r="V138">
        <f>HYPERLINK("https://klasma.github.io/Logging_2303/klagomål/A 30470-2024 FSC-klagomål.docx", "A 30470-2024")</f>
        <v/>
      </c>
      <c r="W138">
        <f>HYPERLINK("https://klasma.github.io/Logging_2303/klagomålsmail/A 30470-2024 FSC-klagomål mail.docx", "A 30470-2024")</f>
        <v/>
      </c>
      <c r="X138">
        <f>HYPERLINK("https://klasma.github.io/Logging_2303/tillsyn/A 30470-2024 tillsynsbegäran.docx", "A 30470-2024")</f>
        <v/>
      </c>
      <c r="Y138">
        <f>HYPERLINK("https://klasma.github.io/Logging_2303/tillsynsmail/A 30470-2024 tillsynsbegäran mail.docx", "A 30470-2024")</f>
        <v/>
      </c>
      <c r="Z138">
        <f>HYPERLINK("https://klasma.github.io/Logging_2303/fåglar/A 30470-2024 prioriterade fågelarter.docx", "A 30470-2024")</f>
        <v/>
      </c>
    </row>
    <row r="139" ht="15" customHeight="1">
      <c r="A139" t="inlineStr">
        <is>
          <t>A 57941-2024</t>
        </is>
      </c>
      <c r="B139" s="1" t="n">
        <v>45631</v>
      </c>
      <c r="C139" s="1" t="n">
        <v>45890</v>
      </c>
      <c r="D139" t="inlineStr">
        <is>
          <t>JÄMTLANDS LÄN</t>
        </is>
      </c>
      <c r="E139" t="inlineStr">
        <is>
          <t>RAGUNDA</t>
        </is>
      </c>
      <c r="F139" t="inlineStr">
        <is>
          <t>SCA</t>
        </is>
      </c>
      <c r="G139" t="n">
        <v>4.2</v>
      </c>
      <c r="H139" t="n">
        <v>1</v>
      </c>
      <c r="I139" t="n">
        <v>0</v>
      </c>
      <c r="J139" t="n">
        <v>3</v>
      </c>
      <c r="K139" t="n">
        <v>0</v>
      </c>
      <c r="L139" t="n">
        <v>0</v>
      </c>
      <c r="M139" t="n">
        <v>0</v>
      </c>
      <c r="N139" t="n">
        <v>0</v>
      </c>
      <c r="O139" t="n">
        <v>3</v>
      </c>
      <c r="P139" t="n">
        <v>0</v>
      </c>
      <c r="Q139" t="n">
        <v>3</v>
      </c>
      <c r="R139" s="2" t="inlineStr">
        <is>
          <t>Garnlav
Lunglav
Tretåig hackspett</t>
        </is>
      </c>
      <c r="S139">
        <f>HYPERLINK("https://klasma.github.io/Logging_2303/artfynd/A 57941-2024 artfynd.xlsx", "A 57941-2024")</f>
        <v/>
      </c>
      <c r="T139">
        <f>HYPERLINK("https://klasma.github.io/Logging_2303/kartor/A 57941-2024 karta.png", "A 57941-2024")</f>
        <v/>
      </c>
      <c r="V139">
        <f>HYPERLINK("https://klasma.github.io/Logging_2303/klagomål/A 57941-2024 FSC-klagomål.docx", "A 57941-2024")</f>
        <v/>
      </c>
      <c r="W139">
        <f>HYPERLINK("https://klasma.github.io/Logging_2303/klagomålsmail/A 57941-2024 FSC-klagomål mail.docx", "A 57941-2024")</f>
        <v/>
      </c>
      <c r="X139">
        <f>HYPERLINK("https://klasma.github.io/Logging_2303/tillsyn/A 57941-2024 tillsynsbegäran.docx", "A 57941-2024")</f>
        <v/>
      </c>
      <c r="Y139">
        <f>HYPERLINK("https://klasma.github.io/Logging_2303/tillsynsmail/A 57941-2024 tillsynsbegäran mail.docx", "A 57941-2024")</f>
        <v/>
      </c>
      <c r="Z139">
        <f>HYPERLINK("https://klasma.github.io/Logging_2303/fåglar/A 57941-2024 prioriterade fågelarter.docx", "A 57941-2024")</f>
        <v/>
      </c>
    </row>
    <row r="140" ht="15" customHeight="1">
      <c r="A140" t="inlineStr">
        <is>
          <t>A 48054-2022</t>
        </is>
      </c>
      <c r="B140" s="1" t="n">
        <v>44855</v>
      </c>
      <c r="C140" s="1" t="n">
        <v>45890</v>
      </c>
      <c r="D140" t="inlineStr">
        <is>
          <t>JÄMTLANDS LÄN</t>
        </is>
      </c>
      <c r="E140" t="inlineStr">
        <is>
          <t>RAGUNDA</t>
        </is>
      </c>
      <c r="F140" t="inlineStr">
        <is>
          <t>SCA</t>
        </is>
      </c>
      <c r="G140" t="n">
        <v>1.5</v>
      </c>
      <c r="H140" t="n">
        <v>2</v>
      </c>
      <c r="I140" t="n">
        <v>0</v>
      </c>
      <c r="J140" t="n">
        <v>1</v>
      </c>
      <c r="K140" t="n">
        <v>1</v>
      </c>
      <c r="L140" t="n">
        <v>0</v>
      </c>
      <c r="M140" t="n">
        <v>0</v>
      </c>
      <c r="N140" t="n">
        <v>0</v>
      </c>
      <c r="O140" t="n">
        <v>2</v>
      </c>
      <c r="P140" t="n">
        <v>1</v>
      </c>
      <c r="Q140" t="n">
        <v>3</v>
      </c>
      <c r="R140" s="2" t="inlineStr">
        <is>
          <t>Knärot
Lunglav
Blåsippa</t>
        </is>
      </c>
      <c r="S140">
        <f>HYPERLINK("https://klasma.github.io/Logging_2303/artfynd/A 48054-2022 artfynd.xlsx", "A 48054-2022")</f>
        <v/>
      </c>
      <c r="T140">
        <f>HYPERLINK("https://klasma.github.io/Logging_2303/kartor/A 48054-2022 karta.png", "A 48054-2022")</f>
        <v/>
      </c>
      <c r="U140">
        <f>HYPERLINK("https://klasma.github.io/Logging_2303/knärot/A 48054-2022 karta knärot.png", "A 48054-2022")</f>
        <v/>
      </c>
      <c r="V140">
        <f>HYPERLINK("https://klasma.github.io/Logging_2303/klagomål/A 48054-2022 FSC-klagomål.docx", "A 48054-2022")</f>
        <v/>
      </c>
      <c r="W140">
        <f>HYPERLINK("https://klasma.github.io/Logging_2303/klagomålsmail/A 48054-2022 FSC-klagomål mail.docx", "A 48054-2022")</f>
        <v/>
      </c>
      <c r="X140">
        <f>HYPERLINK("https://klasma.github.io/Logging_2303/tillsyn/A 48054-2022 tillsynsbegäran.docx", "A 48054-2022")</f>
        <v/>
      </c>
      <c r="Y140">
        <f>HYPERLINK("https://klasma.github.io/Logging_2303/tillsynsmail/A 48054-2022 tillsynsbegäran mail.docx", "A 48054-2022")</f>
        <v/>
      </c>
    </row>
    <row r="141" ht="15" customHeight="1">
      <c r="A141" t="inlineStr">
        <is>
          <t>A 58737-2022</t>
        </is>
      </c>
      <c r="B141" s="1" t="n">
        <v>44902</v>
      </c>
      <c r="C141" s="1" t="n">
        <v>45890</v>
      </c>
      <c r="D141" t="inlineStr">
        <is>
          <t>JÄMTLANDS LÄN</t>
        </is>
      </c>
      <c r="E141" t="inlineStr">
        <is>
          <t>RAGUNDA</t>
        </is>
      </c>
      <c r="F141" t="inlineStr">
        <is>
          <t>SCA</t>
        </is>
      </c>
      <c r="G141" t="n">
        <v>2.7</v>
      </c>
      <c r="H141" t="n">
        <v>0</v>
      </c>
      <c r="I141" t="n">
        <v>2</v>
      </c>
      <c r="J141" t="n">
        <v>1</v>
      </c>
      <c r="K141" t="n">
        <v>0</v>
      </c>
      <c r="L141" t="n">
        <v>0</v>
      </c>
      <c r="M141" t="n">
        <v>0</v>
      </c>
      <c r="N141" t="n">
        <v>0</v>
      </c>
      <c r="O141" t="n">
        <v>1</v>
      </c>
      <c r="P141" t="n">
        <v>0</v>
      </c>
      <c r="Q141" t="n">
        <v>3</v>
      </c>
      <c r="R141" s="2" t="inlineStr">
        <is>
          <t>Garnlav
Källmossor
Stuplav</t>
        </is>
      </c>
      <c r="S141">
        <f>HYPERLINK("https://klasma.github.io/Logging_2303/artfynd/A 58737-2022 artfynd.xlsx", "A 58737-2022")</f>
        <v/>
      </c>
      <c r="T141">
        <f>HYPERLINK("https://klasma.github.io/Logging_2303/kartor/A 58737-2022 karta.png", "A 58737-2022")</f>
        <v/>
      </c>
      <c r="V141">
        <f>HYPERLINK("https://klasma.github.io/Logging_2303/klagomål/A 58737-2022 FSC-klagomål.docx", "A 58737-2022")</f>
        <v/>
      </c>
      <c r="W141">
        <f>HYPERLINK("https://klasma.github.io/Logging_2303/klagomålsmail/A 58737-2022 FSC-klagomål mail.docx", "A 58737-2022")</f>
        <v/>
      </c>
      <c r="X141">
        <f>HYPERLINK("https://klasma.github.io/Logging_2303/tillsyn/A 58737-2022 tillsynsbegäran.docx", "A 58737-2022")</f>
        <v/>
      </c>
      <c r="Y141">
        <f>HYPERLINK("https://klasma.github.io/Logging_2303/tillsynsmail/A 58737-2022 tillsynsbegäran mail.docx", "A 58737-2022")</f>
        <v/>
      </c>
    </row>
    <row r="142" ht="15" customHeight="1">
      <c r="A142" t="inlineStr">
        <is>
          <t>A 25769-2025</t>
        </is>
      </c>
      <c r="B142" s="1" t="n">
        <v>45804.34474537037</v>
      </c>
      <c r="C142" s="1" t="n">
        <v>45890</v>
      </c>
      <c r="D142" t="inlineStr">
        <is>
          <t>JÄMTLANDS LÄN</t>
        </is>
      </c>
      <c r="E142" t="inlineStr">
        <is>
          <t>RAGUNDA</t>
        </is>
      </c>
      <c r="F142" t="inlineStr">
        <is>
          <t>SCA</t>
        </is>
      </c>
      <c r="G142" t="n">
        <v>5.3</v>
      </c>
      <c r="H142" t="n">
        <v>2</v>
      </c>
      <c r="I142" t="n">
        <v>0</v>
      </c>
      <c r="J142" t="n">
        <v>3</v>
      </c>
      <c r="K142" t="n">
        <v>0</v>
      </c>
      <c r="L142" t="n">
        <v>0</v>
      </c>
      <c r="M142" t="n">
        <v>0</v>
      </c>
      <c r="N142" t="n">
        <v>0</v>
      </c>
      <c r="O142" t="n">
        <v>3</v>
      </c>
      <c r="P142" t="n">
        <v>0</v>
      </c>
      <c r="Q142" t="n">
        <v>3</v>
      </c>
      <c r="R142" s="2" t="inlineStr">
        <is>
          <t>Garnlav
Rödvingetrast
Tretåig hackspett</t>
        </is>
      </c>
      <c r="S142">
        <f>HYPERLINK("https://klasma.github.io/Logging_2303/artfynd/A 25769-2025 artfynd.xlsx", "A 25769-2025")</f>
        <v/>
      </c>
      <c r="T142">
        <f>HYPERLINK("https://klasma.github.io/Logging_2303/kartor/A 25769-2025 karta.png", "A 25769-2025")</f>
        <v/>
      </c>
      <c r="V142">
        <f>HYPERLINK("https://klasma.github.io/Logging_2303/klagomål/A 25769-2025 FSC-klagomål.docx", "A 25769-2025")</f>
        <v/>
      </c>
      <c r="W142">
        <f>HYPERLINK("https://klasma.github.io/Logging_2303/klagomålsmail/A 25769-2025 FSC-klagomål mail.docx", "A 25769-2025")</f>
        <v/>
      </c>
      <c r="X142">
        <f>HYPERLINK("https://klasma.github.io/Logging_2303/tillsyn/A 25769-2025 tillsynsbegäran.docx", "A 25769-2025")</f>
        <v/>
      </c>
      <c r="Y142">
        <f>HYPERLINK("https://klasma.github.io/Logging_2303/tillsynsmail/A 25769-2025 tillsynsbegäran mail.docx", "A 25769-2025")</f>
        <v/>
      </c>
      <c r="Z142">
        <f>HYPERLINK("https://klasma.github.io/Logging_2303/fåglar/A 25769-2025 prioriterade fågelarter.docx", "A 25769-2025")</f>
        <v/>
      </c>
    </row>
    <row r="143" ht="15" customHeight="1">
      <c r="A143" t="inlineStr">
        <is>
          <t>A 20776-2024</t>
        </is>
      </c>
      <c r="B143" s="1" t="n">
        <v>45436.94686342592</v>
      </c>
      <c r="C143" s="1" t="n">
        <v>45890</v>
      </c>
      <c r="D143" t="inlineStr">
        <is>
          <t>JÄMTLANDS LÄN</t>
        </is>
      </c>
      <c r="E143" t="inlineStr">
        <is>
          <t>RAGUNDA</t>
        </is>
      </c>
      <c r="F143" t="inlineStr">
        <is>
          <t>SCA</t>
        </is>
      </c>
      <c r="G143" t="n">
        <v>5.2</v>
      </c>
      <c r="H143" t="n">
        <v>0</v>
      </c>
      <c r="I143" t="n">
        <v>0</v>
      </c>
      <c r="J143" t="n">
        <v>2</v>
      </c>
      <c r="K143" t="n">
        <v>1</v>
      </c>
      <c r="L143" t="n">
        <v>0</v>
      </c>
      <c r="M143" t="n">
        <v>0</v>
      </c>
      <c r="N143" t="n">
        <v>0</v>
      </c>
      <c r="O143" t="n">
        <v>3</v>
      </c>
      <c r="P143" t="n">
        <v>1</v>
      </c>
      <c r="Q143" t="n">
        <v>3</v>
      </c>
      <c r="R143" s="2" t="inlineStr">
        <is>
          <t>Liten hornflikmossa
Garnlav
Vedtrappmossa</t>
        </is>
      </c>
      <c r="S143">
        <f>HYPERLINK("https://klasma.github.io/Logging_2303/artfynd/A 20776-2024 artfynd.xlsx", "A 20776-2024")</f>
        <v/>
      </c>
      <c r="T143">
        <f>HYPERLINK("https://klasma.github.io/Logging_2303/kartor/A 20776-2024 karta.png", "A 20776-2024")</f>
        <v/>
      </c>
      <c r="V143">
        <f>HYPERLINK("https://klasma.github.io/Logging_2303/klagomål/A 20776-2024 FSC-klagomål.docx", "A 20776-2024")</f>
        <v/>
      </c>
      <c r="W143">
        <f>HYPERLINK("https://klasma.github.io/Logging_2303/klagomålsmail/A 20776-2024 FSC-klagomål mail.docx", "A 20776-2024")</f>
        <v/>
      </c>
      <c r="X143">
        <f>HYPERLINK("https://klasma.github.io/Logging_2303/tillsyn/A 20776-2024 tillsynsbegäran.docx", "A 20776-2024")</f>
        <v/>
      </c>
      <c r="Y143">
        <f>HYPERLINK("https://klasma.github.io/Logging_2303/tillsynsmail/A 20776-2024 tillsynsbegäran mail.docx", "A 20776-2024")</f>
        <v/>
      </c>
    </row>
    <row r="144" ht="15" customHeight="1">
      <c r="A144" t="inlineStr">
        <is>
          <t>A 36504-2023</t>
        </is>
      </c>
      <c r="B144" s="1" t="n">
        <v>45152</v>
      </c>
      <c r="C144" s="1" t="n">
        <v>45890</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28178-2023</t>
        </is>
      </c>
      <c r="B145" s="1" t="n">
        <v>45093</v>
      </c>
      <c r="C145" s="1" t="n">
        <v>45890</v>
      </c>
      <c r="D145" t="inlineStr">
        <is>
          <t>JÄMTLANDS LÄN</t>
        </is>
      </c>
      <c r="E145" t="inlineStr">
        <is>
          <t>RAGUNDA</t>
        </is>
      </c>
      <c r="G145" t="n">
        <v>5.6</v>
      </c>
      <c r="H145" t="n">
        <v>0</v>
      </c>
      <c r="I145" t="n">
        <v>0</v>
      </c>
      <c r="J145" t="n">
        <v>3</v>
      </c>
      <c r="K145" t="n">
        <v>0</v>
      </c>
      <c r="L145" t="n">
        <v>0</v>
      </c>
      <c r="M145" t="n">
        <v>0</v>
      </c>
      <c r="N145" t="n">
        <v>0</v>
      </c>
      <c r="O145" t="n">
        <v>3</v>
      </c>
      <c r="P145" t="n">
        <v>0</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49047-2023</t>
        </is>
      </c>
      <c r="B146" s="1" t="n">
        <v>45209</v>
      </c>
      <c r="C146" s="1" t="n">
        <v>45890</v>
      </c>
      <c r="D146" t="inlineStr">
        <is>
          <t>JÄMTLANDS LÄN</t>
        </is>
      </c>
      <c r="E146" t="inlineStr">
        <is>
          <t>RAGUNDA</t>
        </is>
      </c>
      <c r="F146" t="inlineStr">
        <is>
          <t>SCA</t>
        </is>
      </c>
      <c r="G146" t="n">
        <v>6.9</v>
      </c>
      <c r="H146" t="n">
        <v>0</v>
      </c>
      <c r="I146" t="n">
        <v>0</v>
      </c>
      <c r="J146" t="n">
        <v>3</v>
      </c>
      <c r="K146" t="n">
        <v>0</v>
      </c>
      <c r="L146" t="n">
        <v>0</v>
      </c>
      <c r="M146" t="n">
        <v>0</v>
      </c>
      <c r="N146" t="n">
        <v>0</v>
      </c>
      <c r="O146" t="n">
        <v>3</v>
      </c>
      <c r="P146" t="n">
        <v>0</v>
      </c>
      <c r="Q146" t="n">
        <v>3</v>
      </c>
      <c r="R146" s="2" t="inlineStr">
        <is>
          <t>Lunglav
Rosenticka
Skrovellav</t>
        </is>
      </c>
      <c r="S146">
        <f>HYPERLINK("https://klasma.github.io/Logging_2303/artfynd/A 49047-2023 artfynd.xlsx", "A 49047-2023")</f>
        <v/>
      </c>
      <c r="T146">
        <f>HYPERLINK("https://klasma.github.io/Logging_2303/kartor/A 49047-2023 karta.png", "A 49047-2023")</f>
        <v/>
      </c>
      <c r="V146">
        <f>HYPERLINK("https://klasma.github.io/Logging_2303/klagomål/A 49047-2023 FSC-klagomål.docx", "A 49047-2023")</f>
        <v/>
      </c>
      <c r="W146">
        <f>HYPERLINK("https://klasma.github.io/Logging_2303/klagomålsmail/A 49047-2023 FSC-klagomål mail.docx", "A 49047-2023")</f>
        <v/>
      </c>
      <c r="X146">
        <f>HYPERLINK("https://klasma.github.io/Logging_2303/tillsyn/A 49047-2023 tillsynsbegäran.docx", "A 49047-2023")</f>
        <v/>
      </c>
      <c r="Y146">
        <f>HYPERLINK("https://klasma.github.io/Logging_2303/tillsynsmail/A 49047-2023 tillsynsbegäran mail.docx", "A 49047-2023")</f>
        <v/>
      </c>
    </row>
    <row r="147" ht="15" customHeight="1">
      <c r="A147" t="inlineStr">
        <is>
          <t>A 16305-2025</t>
        </is>
      </c>
      <c r="B147" s="1" t="n">
        <v>45751.34650462963</v>
      </c>
      <c r="C147" s="1" t="n">
        <v>45890</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22571-2025</t>
        </is>
      </c>
      <c r="B148" s="1" t="n">
        <v>45789.36503472222</v>
      </c>
      <c r="C148" s="1" t="n">
        <v>45890</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22730-2023</t>
        </is>
      </c>
      <c r="B149" s="1" t="n">
        <v>45071</v>
      </c>
      <c r="C149" s="1" t="n">
        <v>45890</v>
      </c>
      <c r="D149" t="inlineStr">
        <is>
          <t>JÄMTLANDS LÄN</t>
        </is>
      </c>
      <c r="E149" t="inlineStr">
        <is>
          <t>RAGUNDA</t>
        </is>
      </c>
      <c r="G149" t="n">
        <v>3.6</v>
      </c>
      <c r="H149" t="n">
        <v>0</v>
      </c>
      <c r="I149" t="n">
        <v>0</v>
      </c>
      <c r="J149" t="n">
        <v>3</v>
      </c>
      <c r="K149" t="n">
        <v>0</v>
      </c>
      <c r="L149" t="n">
        <v>0</v>
      </c>
      <c r="M149" t="n">
        <v>0</v>
      </c>
      <c r="N149" t="n">
        <v>0</v>
      </c>
      <c r="O149" t="n">
        <v>3</v>
      </c>
      <c r="P149" t="n">
        <v>0</v>
      </c>
      <c r="Q149" t="n">
        <v>3</v>
      </c>
      <c r="R149" s="2" t="inlineStr">
        <is>
          <t>Garnlav
Lunglav
Vitgrynig nållav</t>
        </is>
      </c>
      <c r="S149">
        <f>HYPERLINK("https://klasma.github.io/Logging_2303/artfynd/A 22730-2023 artfynd.xlsx", "A 22730-2023")</f>
        <v/>
      </c>
      <c r="T149">
        <f>HYPERLINK("https://klasma.github.io/Logging_2303/kartor/A 22730-2023 karta.png", "A 22730-2023")</f>
        <v/>
      </c>
      <c r="V149">
        <f>HYPERLINK("https://klasma.github.io/Logging_2303/klagomål/A 22730-2023 FSC-klagomål.docx", "A 22730-2023")</f>
        <v/>
      </c>
      <c r="W149">
        <f>HYPERLINK("https://klasma.github.io/Logging_2303/klagomålsmail/A 22730-2023 FSC-klagomål mail.docx", "A 22730-2023")</f>
        <v/>
      </c>
      <c r="X149">
        <f>HYPERLINK("https://klasma.github.io/Logging_2303/tillsyn/A 22730-2023 tillsynsbegäran.docx", "A 22730-2023")</f>
        <v/>
      </c>
      <c r="Y149">
        <f>HYPERLINK("https://klasma.github.io/Logging_2303/tillsynsmail/A 22730-2023 tillsynsbegäran mail.docx", "A 22730-2023")</f>
        <v/>
      </c>
    </row>
    <row r="150" ht="15" customHeight="1">
      <c r="A150" t="inlineStr">
        <is>
          <t>A 32416-2025</t>
        </is>
      </c>
      <c r="B150" s="1" t="n">
        <v>45838</v>
      </c>
      <c r="C150" s="1" t="n">
        <v>45890</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51010-2020</t>
        </is>
      </c>
      <c r="B151" s="1" t="n">
        <v>44111</v>
      </c>
      <c r="C151" s="1" t="n">
        <v>45890</v>
      </c>
      <c r="D151" t="inlineStr">
        <is>
          <t>JÄMTLANDS LÄN</t>
        </is>
      </c>
      <c r="E151" t="inlineStr">
        <is>
          <t>RAGUNDA</t>
        </is>
      </c>
      <c r="F151" t="inlineStr">
        <is>
          <t>SCA</t>
        </is>
      </c>
      <c r="G151" t="n">
        <v>4.1</v>
      </c>
      <c r="H151" t="n">
        <v>0</v>
      </c>
      <c r="I151" t="n">
        <v>0</v>
      </c>
      <c r="J151" t="n">
        <v>3</v>
      </c>
      <c r="K151" t="n">
        <v>0</v>
      </c>
      <c r="L151" t="n">
        <v>0</v>
      </c>
      <c r="M151" t="n">
        <v>0</v>
      </c>
      <c r="N151" t="n">
        <v>0</v>
      </c>
      <c r="O151" t="n">
        <v>3</v>
      </c>
      <c r="P151" t="n">
        <v>0</v>
      </c>
      <c r="Q151" t="n">
        <v>3</v>
      </c>
      <c r="R151" s="2" t="inlineStr">
        <is>
          <t>Garnlav
Lunglav
Ullticka</t>
        </is>
      </c>
      <c r="S151">
        <f>HYPERLINK("https://klasma.github.io/Logging_2303/artfynd/A 51010-2020 artfynd.xlsx", "A 51010-2020")</f>
        <v/>
      </c>
      <c r="T151">
        <f>HYPERLINK("https://klasma.github.io/Logging_2303/kartor/A 51010-2020 karta.png", "A 51010-2020")</f>
        <v/>
      </c>
      <c r="V151">
        <f>HYPERLINK("https://klasma.github.io/Logging_2303/klagomål/A 51010-2020 FSC-klagomål.docx", "A 51010-2020")</f>
        <v/>
      </c>
      <c r="W151">
        <f>HYPERLINK("https://klasma.github.io/Logging_2303/klagomålsmail/A 51010-2020 FSC-klagomål mail.docx", "A 51010-2020")</f>
        <v/>
      </c>
      <c r="X151">
        <f>HYPERLINK("https://klasma.github.io/Logging_2303/tillsyn/A 51010-2020 tillsynsbegäran.docx", "A 51010-2020")</f>
        <v/>
      </c>
      <c r="Y151">
        <f>HYPERLINK("https://klasma.github.io/Logging_2303/tillsynsmail/A 51010-2020 tillsynsbegäran mail.docx", "A 51010-2020")</f>
        <v/>
      </c>
    </row>
    <row r="152" ht="15" customHeight="1">
      <c r="A152" t="inlineStr">
        <is>
          <t>A 34585-2025</t>
        </is>
      </c>
      <c r="B152" s="1" t="n">
        <v>45847.61498842593</v>
      </c>
      <c r="C152" s="1" t="n">
        <v>45890</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14814-2024</t>
        </is>
      </c>
      <c r="B153" s="1" t="n">
        <v>45397.95748842593</v>
      </c>
      <c r="C153" s="1" t="n">
        <v>45890</v>
      </c>
      <c r="D153" t="inlineStr">
        <is>
          <t>JÄMTLANDS LÄN</t>
        </is>
      </c>
      <c r="E153" t="inlineStr">
        <is>
          <t>RAGUNDA</t>
        </is>
      </c>
      <c r="F153" t="inlineStr">
        <is>
          <t>SCA</t>
        </is>
      </c>
      <c r="G153" t="n">
        <v>10.5</v>
      </c>
      <c r="H153" t="n">
        <v>0</v>
      </c>
      <c r="I153" t="n">
        <v>2</v>
      </c>
      <c r="J153" t="n">
        <v>1</v>
      </c>
      <c r="K153" t="n">
        <v>0</v>
      </c>
      <c r="L153" t="n">
        <v>0</v>
      </c>
      <c r="M153" t="n">
        <v>0</v>
      </c>
      <c r="N153" t="n">
        <v>0</v>
      </c>
      <c r="O153" t="n">
        <v>1</v>
      </c>
      <c r="P153" t="n">
        <v>0</v>
      </c>
      <c r="Q153" t="n">
        <v>3</v>
      </c>
      <c r="R153" s="2" t="inlineStr">
        <is>
          <t>Rosenticka
Svart trolldruva
Tibast</t>
        </is>
      </c>
      <c r="S153">
        <f>HYPERLINK("https://klasma.github.io/Logging_2303/artfynd/A 14814-2024 artfynd.xlsx", "A 14814-2024")</f>
        <v/>
      </c>
      <c r="T153">
        <f>HYPERLINK("https://klasma.github.io/Logging_2303/kartor/A 14814-2024 karta.png", "A 14814-2024")</f>
        <v/>
      </c>
      <c r="V153">
        <f>HYPERLINK("https://klasma.github.io/Logging_2303/klagomål/A 14814-2024 FSC-klagomål.docx", "A 14814-2024")</f>
        <v/>
      </c>
      <c r="W153">
        <f>HYPERLINK("https://klasma.github.io/Logging_2303/klagomålsmail/A 14814-2024 FSC-klagomål mail.docx", "A 14814-2024")</f>
        <v/>
      </c>
      <c r="X153">
        <f>HYPERLINK("https://klasma.github.io/Logging_2303/tillsyn/A 14814-2024 tillsynsbegäran.docx", "A 14814-2024")</f>
        <v/>
      </c>
      <c r="Y153">
        <f>HYPERLINK("https://klasma.github.io/Logging_2303/tillsynsmail/A 14814-2024 tillsynsbegäran mail.docx", "A 14814-2024")</f>
        <v/>
      </c>
    </row>
    <row r="154" ht="15" customHeight="1">
      <c r="A154" t="inlineStr">
        <is>
          <t>A 33278-2022</t>
        </is>
      </c>
      <c r="B154" s="1" t="n">
        <v>44788</v>
      </c>
      <c r="C154" s="1" t="n">
        <v>45890</v>
      </c>
      <c r="D154" t="inlineStr">
        <is>
          <t>JÄMTLANDS LÄN</t>
        </is>
      </c>
      <c r="E154" t="inlineStr">
        <is>
          <t>RAGUNDA</t>
        </is>
      </c>
      <c r="G154" t="n">
        <v>3.2</v>
      </c>
      <c r="H154" t="n">
        <v>2</v>
      </c>
      <c r="I154" t="n">
        <v>0</v>
      </c>
      <c r="J154" t="n">
        <v>2</v>
      </c>
      <c r="K154" t="n">
        <v>1</v>
      </c>
      <c r="L154" t="n">
        <v>0</v>
      </c>
      <c r="M154" t="n">
        <v>0</v>
      </c>
      <c r="N154" t="n">
        <v>0</v>
      </c>
      <c r="O154" t="n">
        <v>3</v>
      </c>
      <c r="P154" t="n">
        <v>1</v>
      </c>
      <c r="Q154" t="n">
        <v>3</v>
      </c>
      <c r="R154" s="2" t="inlineStr">
        <is>
          <t>Knärot
Tretåig hackspett
Ullticka</t>
        </is>
      </c>
      <c r="S154">
        <f>HYPERLINK("https://klasma.github.io/Logging_2303/artfynd/A 33278-2022 artfynd.xlsx", "A 33278-2022")</f>
        <v/>
      </c>
      <c r="T154">
        <f>HYPERLINK("https://klasma.github.io/Logging_2303/kartor/A 33278-2022 karta.png", "A 33278-2022")</f>
        <v/>
      </c>
      <c r="U154">
        <f>HYPERLINK("https://klasma.github.io/Logging_2303/knärot/A 33278-2022 karta knärot.png", "A 33278-2022")</f>
        <v/>
      </c>
      <c r="V154">
        <f>HYPERLINK("https://klasma.github.io/Logging_2303/klagomål/A 33278-2022 FSC-klagomål.docx", "A 33278-2022")</f>
        <v/>
      </c>
      <c r="W154">
        <f>HYPERLINK("https://klasma.github.io/Logging_2303/klagomålsmail/A 33278-2022 FSC-klagomål mail.docx", "A 33278-2022")</f>
        <v/>
      </c>
      <c r="X154">
        <f>HYPERLINK("https://klasma.github.io/Logging_2303/tillsyn/A 33278-2022 tillsynsbegäran.docx", "A 33278-2022")</f>
        <v/>
      </c>
      <c r="Y154">
        <f>HYPERLINK("https://klasma.github.io/Logging_2303/tillsynsmail/A 33278-2022 tillsynsbegäran mail.docx", "A 33278-2022")</f>
        <v/>
      </c>
      <c r="Z154">
        <f>HYPERLINK("https://klasma.github.io/Logging_2303/fåglar/A 33278-2022 prioriterade fågelarter.docx", "A 33278-2022")</f>
        <v/>
      </c>
    </row>
    <row r="155" ht="15" customHeight="1">
      <c r="A155" t="inlineStr">
        <is>
          <t>A 7519-2023</t>
        </is>
      </c>
      <c r="B155" s="1" t="n">
        <v>44971</v>
      </c>
      <c r="C155" s="1" t="n">
        <v>45890</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17043-2022</t>
        </is>
      </c>
      <c r="B156" s="1" t="n">
        <v>44676</v>
      </c>
      <c r="C156" s="1" t="n">
        <v>45890</v>
      </c>
      <c r="D156" t="inlineStr">
        <is>
          <t>JÄMTLANDS LÄN</t>
        </is>
      </c>
      <c r="E156" t="inlineStr">
        <is>
          <t>RAGUNDA</t>
        </is>
      </c>
      <c r="F156" t="inlineStr">
        <is>
          <t>SCA</t>
        </is>
      </c>
      <c r="G156" t="n">
        <v>3</v>
      </c>
      <c r="H156" t="n">
        <v>0</v>
      </c>
      <c r="I156" t="n">
        <v>2</v>
      </c>
      <c r="J156" t="n">
        <v>0</v>
      </c>
      <c r="K156" t="n">
        <v>0</v>
      </c>
      <c r="L156" t="n">
        <v>0</v>
      </c>
      <c r="M156" t="n">
        <v>0</v>
      </c>
      <c r="N156" t="n">
        <v>0</v>
      </c>
      <c r="O156" t="n">
        <v>0</v>
      </c>
      <c r="P156" t="n">
        <v>0</v>
      </c>
      <c r="Q156" t="n">
        <v>2</v>
      </c>
      <c r="R156" s="2" t="inlineStr">
        <is>
          <t>Skinnlav
Vedticka</t>
        </is>
      </c>
      <c r="S156">
        <f>HYPERLINK("https://klasma.github.io/Logging_2303/artfynd/A 17043-2022 artfynd.xlsx", "A 17043-2022")</f>
        <v/>
      </c>
      <c r="T156">
        <f>HYPERLINK("https://klasma.github.io/Logging_2303/kartor/A 17043-2022 karta.png", "A 17043-2022")</f>
        <v/>
      </c>
      <c r="V156">
        <f>HYPERLINK("https://klasma.github.io/Logging_2303/klagomål/A 17043-2022 FSC-klagomål.docx", "A 17043-2022")</f>
        <v/>
      </c>
      <c r="W156">
        <f>HYPERLINK("https://klasma.github.io/Logging_2303/klagomålsmail/A 17043-2022 FSC-klagomål mail.docx", "A 17043-2022")</f>
        <v/>
      </c>
      <c r="X156">
        <f>HYPERLINK("https://klasma.github.io/Logging_2303/tillsyn/A 17043-2022 tillsynsbegäran.docx", "A 17043-2022")</f>
        <v/>
      </c>
      <c r="Y156">
        <f>HYPERLINK("https://klasma.github.io/Logging_2303/tillsynsmail/A 17043-2022 tillsynsbegäran mail.docx", "A 17043-2022")</f>
        <v/>
      </c>
    </row>
    <row r="157" ht="15" customHeight="1">
      <c r="A157" t="inlineStr">
        <is>
          <t>A 48059-2022</t>
        </is>
      </c>
      <c r="B157" s="1" t="n">
        <v>44855</v>
      </c>
      <c r="C157" s="1" t="n">
        <v>45890</v>
      </c>
      <c r="D157" t="inlineStr">
        <is>
          <t>JÄMTLANDS LÄN</t>
        </is>
      </c>
      <c r="E157" t="inlineStr">
        <is>
          <t>RAGUNDA</t>
        </is>
      </c>
      <c r="F157" t="inlineStr">
        <is>
          <t>SCA</t>
        </is>
      </c>
      <c r="G157" t="n">
        <v>3.2</v>
      </c>
      <c r="H157" t="n">
        <v>0</v>
      </c>
      <c r="I157" t="n">
        <v>0</v>
      </c>
      <c r="J157" t="n">
        <v>2</v>
      </c>
      <c r="K157" t="n">
        <v>0</v>
      </c>
      <c r="L157" t="n">
        <v>0</v>
      </c>
      <c r="M157" t="n">
        <v>0</v>
      </c>
      <c r="N157" t="n">
        <v>0</v>
      </c>
      <c r="O157" t="n">
        <v>2</v>
      </c>
      <c r="P157" t="n">
        <v>0</v>
      </c>
      <c r="Q157" t="n">
        <v>2</v>
      </c>
      <c r="R157" s="2" t="inlineStr">
        <is>
          <t>Garnlav
Lunglav</t>
        </is>
      </c>
      <c r="S157">
        <f>HYPERLINK("https://klasma.github.io/Logging_2303/artfynd/A 48059-2022 artfynd.xlsx", "A 48059-2022")</f>
        <v/>
      </c>
      <c r="T157">
        <f>HYPERLINK("https://klasma.github.io/Logging_2303/kartor/A 48059-2022 karta.png", "A 48059-2022")</f>
        <v/>
      </c>
      <c r="V157">
        <f>HYPERLINK("https://klasma.github.io/Logging_2303/klagomål/A 48059-2022 FSC-klagomål.docx", "A 48059-2022")</f>
        <v/>
      </c>
      <c r="W157">
        <f>HYPERLINK("https://klasma.github.io/Logging_2303/klagomålsmail/A 48059-2022 FSC-klagomål mail.docx", "A 48059-2022")</f>
        <v/>
      </c>
      <c r="X157">
        <f>HYPERLINK("https://klasma.github.io/Logging_2303/tillsyn/A 48059-2022 tillsynsbegäran.docx", "A 48059-2022")</f>
        <v/>
      </c>
      <c r="Y157">
        <f>HYPERLINK("https://klasma.github.io/Logging_2303/tillsynsmail/A 48059-2022 tillsynsbegäran mail.docx", "A 48059-2022")</f>
        <v/>
      </c>
    </row>
    <row r="158" ht="15" customHeight="1">
      <c r="A158" t="inlineStr">
        <is>
          <t>A 14502-2024</t>
        </is>
      </c>
      <c r="B158" s="1" t="n">
        <v>45394</v>
      </c>
      <c r="C158" s="1" t="n">
        <v>45890</v>
      </c>
      <c r="D158" t="inlineStr">
        <is>
          <t>JÄMTLANDS LÄN</t>
        </is>
      </c>
      <c r="E158" t="inlineStr">
        <is>
          <t>RAGUNDA</t>
        </is>
      </c>
      <c r="G158" t="n">
        <v>11.6</v>
      </c>
      <c r="H158" t="n">
        <v>0</v>
      </c>
      <c r="I158" t="n">
        <v>0</v>
      </c>
      <c r="J158" t="n">
        <v>2</v>
      </c>
      <c r="K158" t="n">
        <v>0</v>
      </c>
      <c r="L158" t="n">
        <v>0</v>
      </c>
      <c r="M158" t="n">
        <v>0</v>
      </c>
      <c r="N158" t="n">
        <v>0</v>
      </c>
      <c r="O158" t="n">
        <v>2</v>
      </c>
      <c r="P158" t="n">
        <v>0</v>
      </c>
      <c r="Q158" t="n">
        <v>2</v>
      </c>
      <c r="R158" s="2" t="inlineStr">
        <is>
          <t>Garnlav
Stjärntagging</t>
        </is>
      </c>
      <c r="S158">
        <f>HYPERLINK("https://klasma.github.io/Logging_2303/artfynd/A 14502-2024 artfynd.xlsx", "A 14502-2024")</f>
        <v/>
      </c>
      <c r="T158">
        <f>HYPERLINK("https://klasma.github.io/Logging_2303/kartor/A 14502-2024 karta.png", "A 14502-2024")</f>
        <v/>
      </c>
      <c r="V158">
        <f>HYPERLINK("https://klasma.github.io/Logging_2303/klagomål/A 14502-2024 FSC-klagomål.docx", "A 14502-2024")</f>
        <v/>
      </c>
      <c r="W158">
        <f>HYPERLINK("https://klasma.github.io/Logging_2303/klagomålsmail/A 14502-2024 FSC-klagomål mail.docx", "A 14502-2024")</f>
        <v/>
      </c>
      <c r="X158">
        <f>HYPERLINK("https://klasma.github.io/Logging_2303/tillsyn/A 14502-2024 tillsynsbegäran.docx", "A 14502-2024")</f>
        <v/>
      </c>
      <c r="Y158">
        <f>HYPERLINK("https://klasma.github.io/Logging_2303/tillsynsmail/A 14502-2024 tillsynsbegäran mail.docx", "A 14502-2024")</f>
        <v/>
      </c>
    </row>
    <row r="159" ht="15" customHeight="1">
      <c r="A159" t="inlineStr">
        <is>
          <t>A 46771-2024</t>
        </is>
      </c>
      <c r="B159" s="1" t="n">
        <v>45583.49642361111</v>
      </c>
      <c r="C159" s="1" t="n">
        <v>45890</v>
      </c>
      <c r="D159" t="inlineStr">
        <is>
          <t>JÄMTLANDS LÄN</t>
        </is>
      </c>
      <c r="E159" t="inlineStr">
        <is>
          <t>RAGUNDA</t>
        </is>
      </c>
      <c r="F159" t="inlineStr">
        <is>
          <t>SCA</t>
        </is>
      </c>
      <c r="G159" t="n">
        <v>3.1</v>
      </c>
      <c r="H159" t="n">
        <v>0</v>
      </c>
      <c r="I159" t="n">
        <v>0</v>
      </c>
      <c r="J159" t="n">
        <v>2</v>
      </c>
      <c r="K159" t="n">
        <v>0</v>
      </c>
      <c r="L159" t="n">
        <v>0</v>
      </c>
      <c r="M159" t="n">
        <v>0</v>
      </c>
      <c r="N159" t="n">
        <v>0</v>
      </c>
      <c r="O159" t="n">
        <v>2</v>
      </c>
      <c r="P159" t="n">
        <v>0</v>
      </c>
      <c r="Q159" t="n">
        <v>2</v>
      </c>
      <c r="R159" s="2" t="inlineStr">
        <is>
          <t>Doftskinn
Gammelgransskål</t>
        </is>
      </c>
      <c r="S159">
        <f>HYPERLINK("https://klasma.github.io/Logging_2303/artfynd/A 46771-2024 artfynd.xlsx", "A 46771-2024")</f>
        <v/>
      </c>
      <c r="T159">
        <f>HYPERLINK("https://klasma.github.io/Logging_2303/kartor/A 46771-2024 karta.png", "A 46771-2024")</f>
        <v/>
      </c>
      <c r="V159">
        <f>HYPERLINK("https://klasma.github.io/Logging_2303/klagomål/A 46771-2024 FSC-klagomål.docx", "A 46771-2024")</f>
        <v/>
      </c>
      <c r="W159">
        <f>HYPERLINK("https://klasma.github.io/Logging_2303/klagomålsmail/A 46771-2024 FSC-klagomål mail.docx", "A 46771-2024")</f>
        <v/>
      </c>
      <c r="X159">
        <f>HYPERLINK("https://klasma.github.io/Logging_2303/tillsyn/A 46771-2024 tillsynsbegäran.docx", "A 46771-2024")</f>
        <v/>
      </c>
      <c r="Y159">
        <f>HYPERLINK("https://klasma.github.io/Logging_2303/tillsynsmail/A 46771-2024 tillsynsbegäran mail.docx", "A 46771-2024")</f>
        <v/>
      </c>
    </row>
    <row r="160" ht="15" customHeight="1">
      <c r="A160" t="inlineStr">
        <is>
          <t>A 44409-2023</t>
        </is>
      </c>
      <c r="B160" s="1" t="n">
        <v>45188</v>
      </c>
      <c r="C160" s="1" t="n">
        <v>45890</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Garnlav
Norrlandslav</t>
        </is>
      </c>
      <c r="S160">
        <f>HYPERLINK("https://klasma.github.io/Logging_2303/artfynd/A 44409-2023 artfynd.xlsx", "A 44409-2023")</f>
        <v/>
      </c>
      <c r="T160">
        <f>HYPERLINK("https://klasma.github.io/Logging_2303/kartor/A 44409-2023 karta.png", "A 44409-2023")</f>
        <v/>
      </c>
      <c r="V160">
        <f>HYPERLINK("https://klasma.github.io/Logging_2303/klagomål/A 44409-2023 FSC-klagomål.docx", "A 44409-2023")</f>
        <v/>
      </c>
      <c r="W160">
        <f>HYPERLINK("https://klasma.github.io/Logging_2303/klagomålsmail/A 44409-2023 FSC-klagomål mail.docx", "A 44409-2023")</f>
        <v/>
      </c>
      <c r="X160">
        <f>HYPERLINK("https://klasma.github.io/Logging_2303/tillsyn/A 44409-2023 tillsynsbegäran.docx", "A 44409-2023")</f>
        <v/>
      </c>
      <c r="Y160">
        <f>HYPERLINK("https://klasma.github.io/Logging_2303/tillsynsmail/A 44409-2023 tillsynsbegäran mail.docx", "A 44409-2023")</f>
        <v/>
      </c>
    </row>
    <row r="161" ht="15" customHeight="1">
      <c r="A161" t="inlineStr">
        <is>
          <t>A 19384-2025</t>
        </is>
      </c>
      <c r="B161" s="1" t="n">
        <v>45769.65692129629</v>
      </c>
      <c r="C161" s="1" t="n">
        <v>45890</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12271-2024</t>
        </is>
      </c>
      <c r="B162" s="1" t="n">
        <v>45378</v>
      </c>
      <c r="C162" s="1" t="n">
        <v>45890</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34715-2024</t>
        </is>
      </c>
      <c r="B163" s="1" t="n">
        <v>45526.56393518519</v>
      </c>
      <c r="C163" s="1" t="n">
        <v>45890</v>
      </c>
      <c r="D163" t="inlineStr">
        <is>
          <t>JÄMTLANDS LÄN</t>
        </is>
      </c>
      <c r="E163" t="inlineStr">
        <is>
          <t>RAGUNDA</t>
        </is>
      </c>
      <c r="F163" t="inlineStr">
        <is>
          <t>SCA</t>
        </is>
      </c>
      <c r="G163" t="n">
        <v>3</v>
      </c>
      <c r="H163" t="n">
        <v>0</v>
      </c>
      <c r="I163" t="n">
        <v>1</v>
      </c>
      <c r="J163" t="n">
        <v>1</v>
      </c>
      <c r="K163" t="n">
        <v>0</v>
      </c>
      <c r="L163" t="n">
        <v>0</v>
      </c>
      <c r="M163" t="n">
        <v>0</v>
      </c>
      <c r="N163" t="n">
        <v>0</v>
      </c>
      <c r="O163" t="n">
        <v>1</v>
      </c>
      <c r="P163" t="n">
        <v>0</v>
      </c>
      <c r="Q163" t="n">
        <v>2</v>
      </c>
      <c r="R163" s="2" t="inlineStr">
        <is>
          <t>Garnlav
Vedticka</t>
        </is>
      </c>
      <c r="S163">
        <f>HYPERLINK("https://klasma.github.io/Logging_2303/artfynd/A 34715-2024 artfynd.xlsx", "A 34715-2024")</f>
        <v/>
      </c>
      <c r="T163">
        <f>HYPERLINK("https://klasma.github.io/Logging_2303/kartor/A 34715-2024 karta.png", "A 34715-2024")</f>
        <v/>
      </c>
      <c r="V163">
        <f>HYPERLINK("https://klasma.github.io/Logging_2303/klagomål/A 34715-2024 FSC-klagomål.docx", "A 34715-2024")</f>
        <v/>
      </c>
      <c r="W163">
        <f>HYPERLINK("https://klasma.github.io/Logging_2303/klagomålsmail/A 34715-2024 FSC-klagomål mail.docx", "A 34715-2024")</f>
        <v/>
      </c>
      <c r="X163">
        <f>HYPERLINK("https://klasma.github.io/Logging_2303/tillsyn/A 34715-2024 tillsynsbegäran.docx", "A 34715-2024")</f>
        <v/>
      </c>
      <c r="Y163">
        <f>HYPERLINK("https://klasma.github.io/Logging_2303/tillsynsmail/A 34715-2024 tillsynsbegäran mail.docx", "A 34715-2024")</f>
        <v/>
      </c>
    </row>
    <row r="164" ht="15" customHeight="1">
      <c r="A164" t="inlineStr">
        <is>
          <t>A 48084-2022</t>
        </is>
      </c>
      <c r="B164" s="1" t="n">
        <v>44855</v>
      </c>
      <c r="C164" s="1" t="n">
        <v>45890</v>
      </c>
      <c r="D164" t="inlineStr">
        <is>
          <t>JÄMTLANDS LÄN</t>
        </is>
      </c>
      <c r="E164" t="inlineStr">
        <is>
          <t>RAGUNDA</t>
        </is>
      </c>
      <c r="F164" t="inlineStr">
        <is>
          <t>SCA</t>
        </is>
      </c>
      <c r="G164" t="n">
        <v>4.7</v>
      </c>
      <c r="H164" t="n">
        <v>1</v>
      </c>
      <c r="I164" t="n">
        <v>0</v>
      </c>
      <c r="J164" t="n">
        <v>2</v>
      </c>
      <c r="K164" t="n">
        <v>0</v>
      </c>
      <c r="L164" t="n">
        <v>0</v>
      </c>
      <c r="M164" t="n">
        <v>0</v>
      </c>
      <c r="N164" t="n">
        <v>0</v>
      </c>
      <c r="O164" t="n">
        <v>2</v>
      </c>
      <c r="P164" t="n">
        <v>0</v>
      </c>
      <c r="Q164" t="n">
        <v>2</v>
      </c>
      <c r="R164" s="2" t="inlineStr">
        <is>
          <t>Rosenticka
Tretåig hackspett</t>
        </is>
      </c>
      <c r="S164">
        <f>HYPERLINK("https://klasma.github.io/Logging_2303/artfynd/A 48084-2022 artfynd.xlsx", "A 48084-2022")</f>
        <v/>
      </c>
      <c r="T164">
        <f>HYPERLINK("https://klasma.github.io/Logging_2303/kartor/A 48084-2022 karta.png", "A 48084-2022")</f>
        <v/>
      </c>
      <c r="V164">
        <f>HYPERLINK("https://klasma.github.io/Logging_2303/klagomål/A 48084-2022 FSC-klagomål.docx", "A 48084-2022")</f>
        <v/>
      </c>
      <c r="W164">
        <f>HYPERLINK("https://klasma.github.io/Logging_2303/klagomålsmail/A 48084-2022 FSC-klagomål mail.docx", "A 48084-2022")</f>
        <v/>
      </c>
      <c r="X164">
        <f>HYPERLINK("https://klasma.github.io/Logging_2303/tillsyn/A 48084-2022 tillsynsbegäran.docx", "A 48084-2022")</f>
        <v/>
      </c>
      <c r="Y164">
        <f>HYPERLINK("https://klasma.github.io/Logging_2303/tillsynsmail/A 48084-2022 tillsynsbegäran mail.docx", "A 48084-2022")</f>
        <v/>
      </c>
      <c r="Z164">
        <f>HYPERLINK("https://klasma.github.io/Logging_2303/fåglar/A 48084-2022 prioriterade fågelarter.docx", "A 48084-2022")</f>
        <v/>
      </c>
    </row>
    <row r="165" ht="15" customHeight="1">
      <c r="A165" t="inlineStr">
        <is>
          <t>A 26324-2024</t>
        </is>
      </c>
      <c r="B165" s="1" t="n">
        <v>45468.97495370371</v>
      </c>
      <c r="C165" s="1" t="n">
        <v>45890</v>
      </c>
      <c r="D165" t="inlineStr">
        <is>
          <t>JÄMTLANDS LÄN</t>
        </is>
      </c>
      <c r="E165" t="inlineStr">
        <is>
          <t>RAGUNDA</t>
        </is>
      </c>
      <c r="F165" t="inlineStr">
        <is>
          <t>SCA</t>
        </is>
      </c>
      <c r="G165" t="n">
        <v>2</v>
      </c>
      <c r="H165" t="n">
        <v>1</v>
      </c>
      <c r="I165" t="n">
        <v>0</v>
      </c>
      <c r="J165" t="n">
        <v>1</v>
      </c>
      <c r="K165" t="n">
        <v>1</v>
      </c>
      <c r="L165" t="n">
        <v>0</v>
      </c>
      <c r="M165" t="n">
        <v>0</v>
      </c>
      <c r="N165" t="n">
        <v>0</v>
      </c>
      <c r="O165" t="n">
        <v>2</v>
      </c>
      <c r="P165" t="n">
        <v>1</v>
      </c>
      <c r="Q165" t="n">
        <v>2</v>
      </c>
      <c r="R165" s="2" t="inlineStr">
        <is>
          <t>Knärot
Vedtrappmossa</t>
        </is>
      </c>
      <c r="S165">
        <f>HYPERLINK("https://klasma.github.io/Logging_2303/artfynd/A 26324-2024 artfynd.xlsx", "A 26324-2024")</f>
        <v/>
      </c>
      <c r="T165">
        <f>HYPERLINK("https://klasma.github.io/Logging_2303/kartor/A 26324-2024 karta.png", "A 26324-2024")</f>
        <v/>
      </c>
      <c r="U165">
        <f>HYPERLINK("https://klasma.github.io/Logging_2303/knärot/A 26324-2024 karta knärot.png", "A 26324-2024")</f>
        <v/>
      </c>
      <c r="V165">
        <f>HYPERLINK("https://klasma.github.io/Logging_2303/klagomål/A 26324-2024 FSC-klagomål.docx", "A 26324-2024")</f>
        <v/>
      </c>
      <c r="W165">
        <f>HYPERLINK("https://klasma.github.io/Logging_2303/klagomålsmail/A 26324-2024 FSC-klagomål mail.docx", "A 26324-2024")</f>
        <v/>
      </c>
      <c r="X165">
        <f>HYPERLINK("https://klasma.github.io/Logging_2303/tillsyn/A 26324-2024 tillsynsbegäran.docx", "A 26324-2024")</f>
        <v/>
      </c>
      <c r="Y165">
        <f>HYPERLINK("https://klasma.github.io/Logging_2303/tillsynsmail/A 26324-2024 tillsynsbegäran mail.docx", "A 26324-2024")</f>
        <v/>
      </c>
    </row>
    <row r="166" ht="15" customHeight="1">
      <c r="A166" t="inlineStr">
        <is>
          <t>A 10866-2025</t>
        </is>
      </c>
      <c r="B166" s="1" t="n">
        <v>45722.61543981481</v>
      </c>
      <c r="C166" s="1" t="n">
        <v>45890</v>
      </c>
      <c r="D166" t="inlineStr">
        <is>
          <t>JÄMTLANDS LÄN</t>
        </is>
      </c>
      <c r="E166" t="inlineStr">
        <is>
          <t>RAGUNDA</t>
        </is>
      </c>
      <c r="F166" t="inlineStr">
        <is>
          <t>SCA</t>
        </is>
      </c>
      <c r="G166" t="n">
        <v>15.9</v>
      </c>
      <c r="H166" t="n">
        <v>0</v>
      </c>
      <c r="I166" t="n">
        <v>1</v>
      </c>
      <c r="J166" t="n">
        <v>1</v>
      </c>
      <c r="K166" t="n">
        <v>0</v>
      </c>
      <c r="L166" t="n">
        <v>0</v>
      </c>
      <c r="M166" t="n">
        <v>0</v>
      </c>
      <c r="N166" t="n">
        <v>0</v>
      </c>
      <c r="O166" t="n">
        <v>1</v>
      </c>
      <c r="P166" t="n">
        <v>0</v>
      </c>
      <c r="Q166" t="n">
        <v>2</v>
      </c>
      <c r="R166" s="2" t="inlineStr">
        <is>
          <t>Garnlav
Norrlandslav</t>
        </is>
      </c>
      <c r="S166">
        <f>HYPERLINK("https://klasma.github.io/Logging_2303/artfynd/A 10866-2025 artfynd.xlsx", "A 10866-2025")</f>
        <v/>
      </c>
      <c r="T166">
        <f>HYPERLINK("https://klasma.github.io/Logging_2303/kartor/A 10866-2025 karta.png", "A 10866-2025")</f>
        <v/>
      </c>
      <c r="V166">
        <f>HYPERLINK("https://klasma.github.io/Logging_2303/klagomål/A 10866-2025 FSC-klagomål.docx", "A 10866-2025")</f>
        <v/>
      </c>
      <c r="W166">
        <f>HYPERLINK("https://klasma.github.io/Logging_2303/klagomålsmail/A 10866-2025 FSC-klagomål mail.docx", "A 10866-2025")</f>
        <v/>
      </c>
      <c r="X166">
        <f>HYPERLINK("https://klasma.github.io/Logging_2303/tillsyn/A 10866-2025 tillsynsbegäran.docx", "A 10866-2025")</f>
        <v/>
      </c>
      <c r="Y166">
        <f>HYPERLINK("https://klasma.github.io/Logging_2303/tillsynsmail/A 10866-2025 tillsynsbegäran mail.docx", "A 10866-2025")</f>
        <v/>
      </c>
    </row>
    <row r="167" ht="15" customHeight="1">
      <c r="A167" t="inlineStr">
        <is>
          <t>A 21245-2025</t>
        </is>
      </c>
      <c r="B167" s="1" t="n">
        <v>45779.57350694444</v>
      </c>
      <c r="C167" s="1" t="n">
        <v>45890</v>
      </c>
      <c r="D167" t="inlineStr">
        <is>
          <t>JÄMTLANDS LÄN</t>
        </is>
      </c>
      <c r="E167" t="inlineStr">
        <is>
          <t>RAGUNDA</t>
        </is>
      </c>
      <c r="F167" t="inlineStr">
        <is>
          <t>SCA</t>
        </is>
      </c>
      <c r="G167" t="n">
        <v>3.7</v>
      </c>
      <c r="H167" t="n">
        <v>1</v>
      </c>
      <c r="I167" t="n">
        <v>0</v>
      </c>
      <c r="J167" t="n">
        <v>1</v>
      </c>
      <c r="K167" t="n">
        <v>0</v>
      </c>
      <c r="L167" t="n">
        <v>0</v>
      </c>
      <c r="M167" t="n">
        <v>0</v>
      </c>
      <c r="N167" t="n">
        <v>0</v>
      </c>
      <c r="O167" t="n">
        <v>1</v>
      </c>
      <c r="P167" t="n">
        <v>0</v>
      </c>
      <c r="Q167" t="n">
        <v>2</v>
      </c>
      <c r="R167" s="2" t="inlineStr">
        <is>
          <t>Garnlav
Tjäder</t>
        </is>
      </c>
      <c r="S167">
        <f>HYPERLINK("https://klasma.github.io/Logging_2303/artfynd/A 21245-2025 artfynd.xlsx", "A 21245-2025")</f>
        <v/>
      </c>
      <c r="T167">
        <f>HYPERLINK("https://klasma.github.io/Logging_2303/kartor/A 21245-2025 karta.png", "A 21245-2025")</f>
        <v/>
      </c>
      <c r="V167">
        <f>HYPERLINK("https://klasma.github.io/Logging_2303/klagomål/A 21245-2025 FSC-klagomål.docx", "A 21245-2025")</f>
        <v/>
      </c>
      <c r="W167">
        <f>HYPERLINK("https://klasma.github.io/Logging_2303/klagomålsmail/A 21245-2025 FSC-klagomål mail.docx", "A 21245-2025")</f>
        <v/>
      </c>
      <c r="X167">
        <f>HYPERLINK("https://klasma.github.io/Logging_2303/tillsyn/A 21245-2025 tillsynsbegäran.docx", "A 21245-2025")</f>
        <v/>
      </c>
      <c r="Y167">
        <f>HYPERLINK("https://klasma.github.io/Logging_2303/tillsynsmail/A 21245-2025 tillsynsbegäran mail.docx", "A 21245-2025")</f>
        <v/>
      </c>
      <c r="Z167">
        <f>HYPERLINK("https://klasma.github.io/Logging_2303/fåglar/A 21245-2025 prioriterade fågelarter.docx", "A 21245-2025")</f>
        <v/>
      </c>
    </row>
    <row r="168" ht="15" customHeight="1">
      <c r="A168" t="inlineStr">
        <is>
          <t>A 57940-2024</t>
        </is>
      </c>
      <c r="B168" s="1" t="n">
        <v>45631</v>
      </c>
      <c r="C168" s="1" t="n">
        <v>45890</v>
      </c>
      <c r="D168" t="inlineStr">
        <is>
          <t>JÄMTLANDS LÄN</t>
        </is>
      </c>
      <c r="E168" t="inlineStr">
        <is>
          <t>RAGUNDA</t>
        </is>
      </c>
      <c r="F168" t="inlineStr">
        <is>
          <t>SCA</t>
        </is>
      </c>
      <c r="G168" t="n">
        <v>1.9</v>
      </c>
      <c r="H168" t="n">
        <v>1</v>
      </c>
      <c r="I168" t="n">
        <v>0</v>
      </c>
      <c r="J168" t="n">
        <v>2</v>
      </c>
      <c r="K168" t="n">
        <v>0</v>
      </c>
      <c r="L168" t="n">
        <v>0</v>
      </c>
      <c r="M168" t="n">
        <v>0</v>
      </c>
      <c r="N168" t="n">
        <v>0</v>
      </c>
      <c r="O168" t="n">
        <v>2</v>
      </c>
      <c r="P168" t="n">
        <v>0</v>
      </c>
      <c r="Q168" t="n">
        <v>2</v>
      </c>
      <c r="R168" s="2" t="inlineStr">
        <is>
          <t>Lunglav
Tretåig hackspett</t>
        </is>
      </c>
      <c r="S168">
        <f>HYPERLINK("https://klasma.github.io/Logging_2303/artfynd/A 57940-2024 artfynd.xlsx", "A 57940-2024")</f>
        <v/>
      </c>
      <c r="T168">
        <f>HYPERLINK("https://klasma.github.io/Logging_2303/kartor/A 57940-2024 karta.png", "A 57940-2024")</f>
        <v/>
      </c>
      <c r="V168">
        <f>HYPERLINK("https://klasma.github.io/Logging_2303/klagomål/A 57940-2024 FSC-klagomål.docx", "A 57940-2024")</f>
        <v/>
      </c>
      <c r="W168">
        <f>HYPERLINK("https://klasma.github.io/Logging_2303/klagomålsmail/A 57940-2024 FSC-klagomål mail.docx", "A 57940-2024")</f>
        <v/>
      </c>
      <c r="X168">
        <f>HYPERLINK("https://klasma.github.io/Logging_2303/tillsyn/A 57940-2024 tillsynsbegäran.docx", "A 57940-2024")</f>
        <v/>
      </c>
      <c r="Y168">
        <f>HYPERLINK("https://klasma.github.io/Logging_2303/tillsynsmail/A 57940-2024 tillsynsbegäran mail.docx", "A 57940-2024")</f>
        <v/>
      </c>
      <c r="Z168">
        <f>HYPERLINK("https://klasma.github.io/Logging_2303/fåglar/A 57940-2024 prioriterade fågelarter.docx", "A 57940-2024")</f>
        <v/>
      </c>
    </row>
    <row r="169" ht="15" customHeight="1">
      <c r="A169" t="inlineStr">
        <is>
          <t>A 3838-2024</t>
        </is>
      </c>
      <c r="B169" s="1" t="n">
        <v>45321</v>
      </c>
      <c r="C169" s="1" t="n">
        <v>45890</v>
      </c>
      <c r="D169" t="inlineStr">
        <is>
          <t>JÄMTLANDS LÄN</t>
        </is>
      </c>
      <c r="E169" t="inlineStr">
        <is>
          <t>RAGUNDA</t>
        </is>
      </c>
      <c r="F169" t="inlineStr">
        <is>
          <t>SCA</t>
        </is>
      </c>
      <c r="G169" t="n">
        <v>2</v>
      </c>
      <c r="H169" t="n">
        <v>1</v>
      </c>
      <c r="I169" t="n">
        <v>1</v>
      </c>
      <c r="J169" t="n">
        <v>1</v>
      </c>
      <c r="K169" t="n">
        <v>0</v>
      </c>
      <c r="L169" t="n">
        <v>0</v>
      </c>
      <c r="M169" t="n">
        <v>0</v>
      </c>
      <c r="N169" t="n">
        <v>0</v>
      </c>
      <c r="O169" t="n">
        <v>1</v>
      </c>
      <c r="P169" t="n">
        <v>0</v>
      </c>
      <c r="Q169" t="n">
        <v>2</v>
      </c>
      <c r="R169" s="2" t="inlineStr">
        <is>
          <t>Garnlav
Guckusko</t>
        </is>
      </c>
      <c r="S169">
        <f>HYPERLINK("https://klasma.github.io/Logging_2303/artfynd/A 3838-2024 artfynd.xlsx", "A 3838-2024")</f>
        <v/>
      </c>
      <c r="T169">
        <f>HYPERLINK("https://klasma.github.io/Logging_2303/kartor/A 3838-2024 karta.png", "A 3838-2024")</f>
        <v/>
      </c>
      <c r="V169">
        <f>HYPERLINK("https://klasma.github.io/Logging_2303/klagomål/A 3838-2024 FSC-klagomål.docx", "A 3838-2024")</f>
        <v/>
      </c>
      <c r="W169">
        <f>HYPERLINK("https://klasma.github.io/Logging_2303/klagomålsmail/A 3838-2024 FSC-klagomål mail.docx", "A 3838-2024")</f>
        <v/>
      </c>
      <c r="X169">
        <f>HYPERLINK("https://klasma.github.io/Logging_2303/tillsyn/A 3838-2024 tillsynsbegäran.docx", "A 3838-2024")</f>
        <v/>
      </c>
      <c r="Y169">
        <f>HYPERLINK("https://klasma.github.io/Logging_2303/tillsynsmail/A 3838-2024 tillsynsbegäran mail.docx", "A 3838-2024")</f>
        <v/>
      </c>
    </row>
    <row r="170" ht="15" customHeight="1">
      <c r="A170" t="inlineStr">
        <is>
          <t>A 32736-2023</t>
        </is>
      </c>
      <c r="B170" s="1" t="n">
        <v>45121</v>
      </c>
      <c r="C170" s="1" t="n">
        <v>45890</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36756-2023</t>
        </is>
      </c>
      <c r="B171" s="1" t="n">
        <v>45153</v>
      </c>
      <c r="C171" s="1" t="n">
        <v>45890</v>
      </c>
      <c r="D171" t="inlineStr">
        <is>
          <t>JÄMTLANDS LÄN</t>
        </is>
      </c>
      <c r="E171" t="inlineStr">
        <is>
          <t>RAGUNDA</t>
        </is>
      </c>
      <c r="G171" t="n">
        <v>3.5</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HYPERLINK("https://klasma.github.io/Logging_2303/artfynd/A 36756-2023 artfynd.xlsx", "A 36756-2023")</f>
        <v/>
      </c>
      <c r="T171">
        <f>HYPERLINK("https://klasma.github.io/Logging_2303/kartor/A 36756-2023 karta.png", "A 36756-2023")</f>
        <v/>
      </c>
      <c r="V171">
        <f>HYPERLINK("https://klasma.github.io/Logging_2303/klagomål/A 36756-2023 FSC-klagomål.docx", "A 36756-2023")</f>
        <v/>
      </c>
      <c r="W171">
        <f>HYPERLINK("https://klasma.github.io/Logging_2303/klagomålsmail/A 36756-2023 FSC-klagomål mail.docx", "A 36756-2023")</f>
        <v/>
      </c>
      <c r="X171">
        <f>HYPERLINK("https://klasma.github.io/Logging_2303/tillsyn/A 36756-2023 tillsynsbegäran.docx", "A 36756-2023")</f>
        <v/>
      </c>
      <c r="Y171">
        <f>HYPERLINK("https://klasma.github.io/Logging_2303/tillsynsmail/A 36756-2023 tillsynsbegäran mail.docx", "A 36756-2023")</f>
        <v/>
      </c>
      <c r="Z171">
        <f>HYPERLINK("https://klasma.github.io/Logging_2303/fåglar/A 36756-2023 prioriterade fågelarter.docx", "A 36756-2023")</f>
        <v/>
      </c>
    </row>
    <row r="172" ht="15" customHeight="1">
      <c r="A172" t="inlineStr">
        <is>
          <t>A 56285-2023</t>
        </is>
      </c>
      <c r="B172" s="1" t="n">
        <v>45241</v>
      </c>
      <c r="C172" s="1" t="n">
        <v>45890</v>
      </c>
      <c r="D172" t="inlineStr">
        <is>
          <t>JÄMTLANDS LÄN</t>
        </is>
      </c>
      <c r="E172" t="inlineStr">
        <is>
          <t>RAGUNDA</t>
        </is>
      </c>
      <c r="F172" t="inlineStr">
        <is>
          <t>SCA</t>
        </is>
      </c>
      <c r="G172" t="n">
        <v>5.5</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56285-2023 artfynd.xlsx", "A 56285-2023")</f>
        <v/>
      </c>
      <c r="T172">
        <f>HYPERLINK("https://klasma.github.io/Logging_2303/kartor/A 56285-2023 karta.png", "A 56285-2023")</f>
        <v/>
      </c>
      <c r="V172">
        <f>HYPERLINK("https://klasma.github.io/Logging_2303/klagomål/A 56285-2023 FSC-klagomål.docx", "A 56285-2023")</f>
        <v/>
      </c>
      <c r="W172">
        <f>HYPERLINK("https://klasma.github.io/Logging_2303/klagomålsmail/A 56285-2023 FSC-klagomål mail.docx", "A 56285-2023")</f>
        <v/>
      </c>
      <c r="X172">
        <f>HYPERLINK("https://klasma.github.io/Logging_2303/tillsyn/A 56285-2023 tillsynsbegäran.docx", "A 56285-2023")</f>
        <v/>
      </c>
      <c r="Y172">
        <f>HYPERLINK("https://klasma.github.io/Logging_2303/tillsynsmail/A 56285-2023 tillsynsbegäran mail.docx", "A 56285-2023")</f>
        <v/>
      </c>
    </row>
    <row r="173" ht="15" customHeight="1">
      <c r="A173" t="inlineStr">
        <is>
          <t>A 55647-2023</t>
        </is>
      </c>
      <c r="B173" s="1" t="n">
        <v>45238</v>
      </c>
      <c r="C173" s="1" t="n">
        <v>45890</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39495-2024</t>
        </is>
      </c>
      <c r="B174" s="1" t="n">
        <v>45551.65726851852</v>
      </c>
      <c r="C174" s="1" t="n">
        <v>45890</v>
      </c>
      <c r="D174" t="inlineStr">
        <is>
          <t>JÄMTLANDS LÄN</t>
        </is>
      </c>
      <c r="E174" t="inlineStr">
        <is>
          <t>RAGUNDA</t>
        </is>
      </c>
      <c r="F174" t="inlineStr">
        <is>
          <t>SCA</t>
        </is>
      </c>
      <c r="G174" t="n">
        <v>6.6</v>
      </c>
      <c r="H174" t="n">
        <v>0</v>
      </c>
      <c r="I174" t="n">
        <v>0</v>
      </c>
      <c r="J174" t="n">
        <v>2</v>
      </c>
      <c r="K174" t="n">
        <v>0</v>
      </c>
      <c r="L174" t="n">
        <v>0</v>
      </c>
      <c r="M174" t="n">
        <v>0</v>
      </c>
      <c r="N174" t="n">
        <v>0</v>
      </c>
      <c r="O174" t="n">
        <v>2</v>
      </c>
      <c r="P174" t="n">
        <v>0</v>
      </c>
      <c r="Q174" t="n">
        <v>2</v>
      </c>
      <c r="R174" s="2" t="inlineStr">
        <is>
          <t>Garnlav
Ullticka</t>
        </is>
      </c>
      <c r="S174">
        <f>HYPERLINK("https://klasma.github.io/Logging_2303/artfynd/A 39495-2024 artfynd.xlsx", "A 39495-2024")</f>
        <v/>
      </c>
      <c r="T174">
        <f>HYPERLINK("https://klasma.github.io/Logging_2303/kartor/A 39495-2024 karta.png", "A 39495-2024")</f>
        <v/>
      </c>
      <c r="V174">
        <f>HYPERLINK("https://klasma.github.io/Logging_2303/klagomål/A 39495-2024 FSC-klagomål.docx", "A 39495-2024")</f>
        <v/>
      </c>
      <c r="W174">
        <f>HYPERLINK("https://klasma.github.io/Logging_2303/klagomålsmail/A 39495-2024 FSC-klagomål mail.docx", "A 39495-2024")</f>
        <v/>
      </c>
      <c r="X174">
        <f>HYPERLINK("https://klasma.github.io/Logging_2303/tillsyn/A 39495-2024 tillsynsbegäran.docx", "A 39495-2024")</f>
        <v/>
      </c>
      <c r="Y174">
        <f>HYPERLINK("https://klasma.github.io/Logging_2303/tillsynsmail/A 39495-2024 tillsynsbegäran mail.docx", "A 39495-2024")</f>
        <v/>
      </c>
    </row>
    <row r="175" ht="15" customHeight="1">
      <c r="A175" t="inlineStr">
        <is>
          <t>A 25155-2025</t>
        </is>
      </c>
      <c r="B175" s="1" t="n">
        <v>45800.42782407408</v>
      </c>
      <c r="C175" s="1" t="n">
        <v>45890</v>
      </c>
      <c r="D175" t="inlineStr">
        <is>
          <t>JÄMTLANDS LÄN</t>
        </is>
      </c>
      <c r="E175" t="inlineStr">
        <is>
          <t>RAGUNDA</t>
        </is>
      </c>
      <c r="F175" t="inlineStr">
        <is>
          <t>SCA</t>
        </is>
      </c>
      <c r="G175" t="n">
        <v>1.7</v>
      </c>
      <c r="H175" t="n">
        <v>1</v>
      </c>
      <c r="I175" t="n">
        <v>0</v>
      </c>
      <c r="J175" t="n">
        <v>1</v>
      </c>
      <c r="K175" t="n">
        <v>0</v>
      </c>
      <c r="L175" t="n">
        <v>0</v>
      </c>
      <c r="M175" t="n">
        <v>0</v>
      </c>
      <c r="N175" t="n">
        <v>0</v>
      </c>
      <c r="O175" t="n">
        <v>1</v>
      </c>
      <c r="P175" t="n">
        <v>0</v>
      </c>
      <c r="Q175" t="n">
        <v>2</v>
      </c>
      <c r="R175" s="2" t="inlineStr">
        <is>
          <t>Leptoporus mollis
Fläcknycklar</t>
        </is>
      </c>
      <c r="S175">
        <f>HYPERLINK("https://klasma.github.io/Logging_2303/artfynd/A 25155-2025 artfynd.xlsx", "A 25155-2025")</f>
        <v/>
      </c>
      <c r="T175">
        <f>HYPERLINK("https://klasma.github.io/Logging_2303/kartor/A 25155-2025 karta.png", "A 25155-2025")</f>
        <v/>
      </c>
      <c r="V175">
        <f>HYPERLINK("https://klasma.github.io/Logging_2303/klagomål/A 25155-2025 FSC-klagomål.docx", "A 25155-2025")</f>
        <v/>
      </c>
      <c r="W175">
        <f>HYPERLINK("https://klasma.github.io/Logging_2303/klagomålsmail/A 25155-2025 FSC-klagomål mail.docx", "A 25155-2025")</f>
        <v/>
      </c>
      <c r="X175">
        <f>HYPERLINK("https://klasma.github.io/Logging_2303/tillsyn/A 25155-2025 tillsynsbegäran.docx", "A 25155-2025")</f>
        <v/>
      </c>
      <c r="Y175">
        <f>HYPERLINK("https://klasma.github.io/Logging_2303/tillsynsmail/A 25155-2025 tillsynsbegäran mail.docx", "A 25155-2025")</f>
        <v/>
      </c>
    </row>
    <row r="176" ht="15" customHeight="1">
      <c r="A176" t="inlineStr">
        <is>
          <t>A 47267-2022</t>
        </is>
      </c>
      <c r="B176" s="1" t="n">
        <v>44852</v>
      </c>
      <c r="C176" s="1" t="n">
        <v>45890</v>
      </c>
      <c r="D176" t="inlineStr">
        <is>
          <t>JÄMTLANDS LÄN</t>
        </is>
      </c>
      <c r="E176" t="inlineStr">
        <is>
          <t>RAGUNDA</t>
        </is>
      </c>
      <c r="F176" t="inlineStr">
        <is>
          <t>SCA</t>
        </is>
      </c>
      <c r="G176" t="n">
        <v>82.8</v>
      </c>
      <c r="H176" t="n">
        <v>0</v>
      </c>
      <c r="I176" t="n">
        <v>0</v>
      </c>
      <c r="J176" t="n">
        <v>2</v>
      </c>
      <c r="K176" t="n">
        <v>0</v>
      </c>
      <c r="L176" t="n">
        <v>0</v>
      </c>
      <c r="M176" t="n">
        <v>0</v>
      </c>
      <c r="N176" t="n">
        <v>0</v>
      </c>
      <c r="O176" t="n">
        <v>2</v>
      </c>
      <c r="P176" t="n">
        <v>0</v>
      </c>
      <c r="Q176" t="n">
        <v>2</v>
      </c>
      <c r="R176" s="2" t="inlineStr">
        <is>
          <t>Dvärgbägarlav
Garnlav</t>
        </is>
      </c>
      <c r="S176">
        <f>HYPERLINK("https://klasma.github.io/Logging_2303/artfynd/A 47267-2022 artfynd.xlsx", "A 47267-2022")</f>
        <v/>
      </c>
      <c r="T176">
        <f>HYPERLINK("https://klasma.github.io/Logging_2303/kartor/A 47267-2022 karta.png", "A 47267-2022")</f>
        <v/>
      </c>
      <c r="V176">
        <f>HYPERLINK("https://klasma.github.io/Logging_2303/klagomål/A 47267-2022 FSC-klagomål.docx", "A 47267-2022")</f>
        <v/>
      </c>
      <c r="W176">
        <f>HYPERLINK("https://klasma.github.io/Logging_2303/klagomålsmail/A 47267-2022 FSC-klagomål mail.docx", "A 47267-2022")</f>
        <v/>
      </c>
      <c r="X176">
        <f>HYPERLINK("https://klasma.github.io/Logging_2303/tillsyn/A 47267-2022 tillsynsbegäran.docx", "A 47267-2022")</f>
        <v/>
      </c>
      <c r="Y176">
        <f>HYPERLINK("https://klasma.github.io/Logging_2303/tillsynsmail/A 47267-2022 tillsynsbegäran mail.docx", "A 47267-2022")</f>
        <v/>
      </c>
    </row>
    <row r="177" ht="15" customHeight="1">
      <c r="A177" t="inlineStr">
        <is>
          <t>A 45021-2023</t>
        </is>
      </c>
      <c r="B177" s="1" t="n">
        <v>45190</v>
      </c>
      <c r="C177" s="1" t="n">
        <v>45890</v>
      </c>
      <c r="D177" t="inlineStr">
        <is>
          <t>JÄMTLANDS LÄN</t>
        </is>
      </c>
      <c r="E177" t="inlineStr">
        <is>
          <t>RAGUNDA</t>
        </is>
      </c>
      <c r="F177" t="inlineStr">
        <is>
          <t>SCA</t>
        </is>
      </c>
      <c r="G177" t="n">
        <v>1.6</v>
      </c>
      <c r="H177" t="n">
        <v>1</v>
      </c>
      <c r="I177" t="n">
        <v>0</v>
      </c>
      <c r="J177" t="n">
        <v>1</v>
      </c>
      <c r="K177" t="n">
        <v>0</v>
      </c>
      <c r="L177" t="n">
        <v>0</v>
      </c>
      <c r="M177" t="n">
        <v>0</v>
      </c>
      <c r="N177" t="n">
        <v>0</v>
      </c>
      <c r="O177" t="n">
        <v>1</v>
      </c>
      <c r="P177" t="n">
        <v>0</v>
      </c>
      <c r="Q177" t="n">
        <v>2</v>
      </c>
      <c r="R177" s="2" t="inlineStr">
        <is>
          <t>Lunglav
Fläcknycklar</t>
        </is>
      </c>
      <c r="S177">
        <f>HYPERLINK("https://klasma.github.io/Logging_2303/artfynd/A 45021-2023 artfynd.xlsx", "A 45021-2023")</f>
        <v/>
      </c>
      <c r="T177">
        <f>HYPERLINK("https://klasma.github.io/Logging_2303/kartor/A 45021-2023 karta.png", "A 45021-2023")</f>
        <v/>
      </c>
      <c r="V177">
        <f>HYPERLINK("https://klasma.github.io/Logging_2303/klagomål/A 45021-2023 FSC-klagomål.docx", "A 45021-2023")</f>
        <v/>
      </c>
      <c r="W177">
        <f>HYPERLINK("https://klasma.github.io/Logging_2303/klagomålsmail/A 45021-2023 FSC-klagomål mail.docx", "A 45021-2023")</f>
        <v/>
      </c>
      <c r="X177">
        <f>HYPERLINK("https://klasma.github.io/Logging_2303/tillsyn/A 45021-2023 tillsynsbegäran.docx", "A 45021-2023")</f>
        <v/>
      </c>
      <c r="Y177">
        <f>HYPERLINK("https://klasma.github.io/Logging_2303/tillsynsmail/A 45021-2023 tillsynsbegäran mail.docx", "A 45021-2023")</f>
        <v/>
      </c>
    </row>
    <row r="178" ht="15" customHeight="1">
      <c r="A178" t="inlineStr">
        <is>
          <t>A 35131-2025</t>
        </is>
      </c>
      <c r="B178" s="1" t="n">
        <v>45852.63597222222</v>
      </c>
      <c r="C178" s="1" t="n">
        <v>45890</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35344-2025</t>
        </is>
      </c>
      <c r="B179" s="1" t="n">
        <v>45854.61494212963</v>
      </c>
      <c r="C179" s="1" t="n">
        <v>45890</v>
      </c>
      <c r="D179" t="inlineStr">
        <is>
          <t>JÄMTLANDS LÄN</t>
        </is>
      </c>
      <c r="E179" t="inlineStr">
        <is>
          <t>RAGUNDA</t>
        </is>
      </c>
      <c r="F179" t="inlineStr">
        <is>
          <t>SCA</t>
        </is>
      </c>
      <c r="G179" t="n">
        <v>6.1</v>
      </c>
      <c r="H179" t="n">
        <v>0</v>
      </c>
      <c r="I179" t="n">
        <v>0</v>
      </c>
      <c r="J179" t="n">
        <v>2</v>
      </c>
      <c r="K179" t="n">
        <v>0</v>
      </c>
      <c r="L179" t="n">
        <v>0</v>
      </c>
      <c r="M179" t="n">
        <v>0</v>
      </c>
      <c r="N179" t="n">
        <v>0</v>
      </c>
      <c r="O179" t="n">
        <v>2</v>
      </c>
      <c r="P179" t="n">
        <v>0</v>
      </c>
      <c r="Q179" t="n">
        <v>2</v>
      </c>
      <c r="R179" s="2" t="inlineStr">
        <is>
          <t>Svart taggsvamp
Vedtrappmossa</t>
        </is>
      </c>
      <c r="S179">
        <f>HYPERLINK("https://klasma.github.io/Logging_2303/artfynd/A 35344-2025 artfynd.xlsx", "A 35344-2025")</f>
        <v/>
      </c>
      <c r="T179">
        <f>HYPERLINK("https://klasma.github.io/Logging_2303/kartor/A 35344-2025 karta.png", "A 35344-2025")</f>
        <v/>
      </c>
      <c r="V179">
        <f>HYPERLINK("https://klasma.github.io/Logging_2303/klagomål/A 35344-2025 FSC-klagomål.docx", "A 35344-2025")</f>
        <v/>
      </c>
      <c r="W179">
        <f>HYPERLINK("https://klasma.github.io/Logging_2303/klagomålsmail/A 35344-2025 FSC-klagomål mail.docx", "A 35344-2025")</f>
        <v/>
      </c>
      <c r="X179">
        <f>HYPERLINK("https://klasma.github.io/Logging_2303/tillsyn/A 35344-2025 tillsynsbegäran.docx", "A 35344-2025")</f>
        <v/>
      </c>
      <c r="Y179">
        <f>HYPERLINK("https://klasma.github.io/Logging_2303/tillsynsmail/A 35344-2025 tillsynsbegäran mail.docx", "A 35344-2025")</f>
        <v/>
      </c>
    </row>
    <row r="180" ht="15" customHeight="1">
      <c r="A180" t="inlineStr">
        <is>
          <t>A 45035-2023</t>
        </is>
      </c>
      <c r="B180" s="1" t="n">
        <v>45191</v>
      </c>
      <c r="C180" s="1" t="n">
        <v>45890</v>
      </c>
      <c r="D180" t="inlineStr">
        <is>
          <t>JÄMTLANDS LÄN</t>
        </is>
      </c>
      <c r="E180" t="inlineStr">
        <is>
          <t>RAGUNDA</t>
        </is>
      </c>
      <c r="G180" t="n">
        <v>2.9</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45035-2023 artfynd.xlsx", "A 45035-2023")</f>
        <v/>
      </c>
      <c r="T180">
        <f>HYPERLINK("https://klasma.github.io/Logging_2303/kartor/A 45035-2023 karta.png", "A 45035-2023")</f>
        <v/>
      </c>
      <c r="V180">
        <f>HYPERLINK("https://klasma.github.io/Logging_2303/klagomål/A 45035-2023 FSC-klagomål.docx", "A 45035-2023")</f>
        <v/>
      </c>
      <c r="W180">
        <f>HYPERLINK("https://klasma.github.io/Logging_2303/klagomålsmail/A 45035-2023 FSC-klagomål mail.docx", "A 45035-2023")</f>
        <v/>
      </c>
      <c r="X180">
        <f>HYPERLINK("https://klasma.github.io/Logging_2303/tillsyn/A 45035-2023 tillsynsbegäran.docx", "A 45035-2023")</f>
        <v/>
      </c>
      <c r="Y180">
        <f>HYPERLINK("https://klasma.github.io/Logging_2303/tillsynsmail/A 45035-2023 tillsynsbegäran mail.docx", "A 45035-2023")</f>
        <v/>
      </c>
    </row>
    <row r="181" ht="15" customHeight="1">
      <c r="A181" t="inlineStr">
        <is>
          <t>A 11544-2024</t>
        </is>
      </c>
      <c r="B181" s="1" t="n">
        <v>45372.95680555556</v>
      </c>
      <c r="C181" s="1" t="n">
        <v>45890</v>
      </c>
      <c r="D181" t="inlineStr">
        <is>
          <t>JÄMTLANDS LÄN</t>
        </is>
      </c>
      <c r="E181" t="inlineStr">
        <is>
          <t>RAGUNDA</t>
        </is>
      </c>
      <c r="F181" t="inlineStr">
        <is>
          <t>SCA</t>
        </is>
      </c>
      <c r="G181" t="n">
        <v>15.5</v>
      </c>
      <c r="H181" t="n">
        <v>0</v>
      </c>
      <c r="I181" t="n">
        <v>0</v>
      </c>
      <c r="J181" t="n">
        <v>2</v>
      </c>
      <c r="K181" t="n">
        <v>0</v>
      </c>
      <c r="L181" t="n">
        <v>0</v>
      </c>
      <c r="M181" t="n">
        <v>0</v>
      </c>
      <c r="N181" t="n">
        <v>0</v>
      </c>
      <c r="O181" t="n">
        <v>2</v>
      </c>
      <c r="P181" t="n">
        <v>0</v>
      </c>
      <c r="Q181" t="n">
        <v>2</v>
      </c>
      <c r="R181" s="2" t="inlineStr">
        <is>
          <t>Granticka
Mörk kolflarnlav</t>
        </is>
      </c>
      <c r="S181">
        <f>HYPERLINK("https://klasma.github.io/Logging_2303/artfynd/A 11544-2024 artfynd.xlsx", "A 11544-2024")</f>
        <v/>
      </c>
      <c r="T181">
        <f>HYPERLINK("https://klasma.github.io/Logging_2303/kartor/A 11544-2024 karta.png", "A 11544-2024")</f>
        <v/>
      </c>
      <c r="V181">
        <f>HYPERLINK("https://klasma.github.io/Logging_2303/klagomål/A 11544-2024 FSC-klagomål.docx", "A 11544-2024")</f>
        <v/>
      </c>
      <c r="W181">
        <f>HYPERLINK("https://klasma.github.io/Logging_2303/klagomålsmail/A 11544-2024 FSC-klagomål mail.docx", "A 11544-2024")</f>
        <v/>
      </c>
      <c r="X181">
        <f>HYPERLINK("https://klasma.github.io/Logging_2303/tillsyn/A 11544-2024 tillsynsbegäran.docx", "A 11544-2024")</f>
        <v/>
      </c>
      <c r="Y181">
        <f>HYPERLINK("https://klasma.github.io/Logging_2303/tillsynsmail/A 11544-2024 tillsynsbegäran mail.docx", "A 11544-2024")</f>
        <v/>
      </c>
    </row>
    <row r="182" ht="15" customHeight="1">
      <c r="A182" t="inlineStr">
        <is>
          <t>A 48427-2023</t>
        </is>
      </c>
      <c r="B182" s="1" t="n">
        <v>45205</v>
      </c>
      <c r="C182" s="1" t="n">
        <v>45890</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50089-2022</t>
        </is>
      </c>
      <c r="B183" s="1" t="n">
        <v>44865</v>
      </c>
      <c r="C183" s="1" t="n">
        <v>45890</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11843-2023</t>
        </is>
      </c>
      <c r="B184" s="1" t="n">
        <v>44993</v>
      </c>
      <c r="C184" s="1" t="n">
        <v>45890</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17733-2022</t>
        </is>
      </c>
      <c r="B185" s="1" t="n">
        <v>44680</v>
      </c>
      <c r="C185" s="1" t="n">
        <v>45890</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31960-2025</t>
        </is>
      </c>
      <c r="B186" s="1" t="n">
        <v>45835.344375</v>
      </c>
      <c r="C186" s="1" t="n">
        <v>45890</v>
      </c>
      <c r="D186" t="inlineStr">
        <is>
          <t>JÄMTLANDS LÄN</t>
        </is>
      </c>
      <c r="E186" t="inlineStr">
        <is>
          <t>RAGUNDA</t>
        </is>
      </c>
      <c r="F186" t="inlineStr">
        <is>
          <t>SCA</t>
        </is>
      </c>
      <c r="G186" t="n">
        <v>1.6</v>
      </c>
      <c r="H186" t="n">
        <v>0</v>
      </c>
      <c r="I186" t="n">
        <v>0</v>
      </c>
      <c r="J186" t="n">
        <v>2</v>
      </c>
      <c r="K186" t="n">
        <v>0</v>
      </c>
      <c r="L186" t="n">
        <v>0</v>
      </c>
      <c r="M186" t="n">
        <v>0</v>
      </c>
      <c r="N186" t="n">
        <v>0</v>
      </c>
      <c r="O186" t="n">
        <v>2</v>
      </c>
      <c r="P186" t="n">
        <v>0</v>
      </c>
      <c r="Q186" t="n">
        <v>2</v>
      </c>
      <c r="R186" s="2" t="inlineStr">
        <is>
          <t>Gammelgransskål
Garnlav</t>
        </is>
      </c>
      <c r="S186">
        <f>HYPERLINK("https://klasma.github.io/Logging_2303/artfynd/A 31960-2025 artfynd.xlsx", "A 31960-2025")</f>
        <v/>
      </c>
      <c r="T186">
        <f>HYPERLINK("https://klasma.github.io/Logging_2303/kartor/A 31960-2025 karta.png", "A 31960-2025")</f>
        <v/>
      </c>
      <c r="V186">
        <f>HYPERLINK("https://klasma.github.io/Logging_2303/klagomål/A 31960-2025 FSC-klagomål.docx", "A 31960-2025")</f>
        <v/>
      </c>
      <c r="W186">
        <f>HYPERLINK("https://klasma.github.io/Logging_2303/klagomålsmail/A 31960-2025 FSC-klagomål mail.docx", "A 31960-2025")</f>
        <v/>
      </c>
      <c r="X186">
        <f>HYPERLINK("https://klasma.github.io/Logging_2303/tillsyn/A 31960-2025 tillsynsbegäran.docx", "A 31960-2025")</f>
        <v/>
      </c>
      <c r="Y186">
        <f>HYPERLINK("https://klasma.github.io/Logging_2303/tillsynsmail/A 31960-2025 tillsynsbegäran mail.docx", "A 31960-2025")</f>
        <v/>
      </c>
    </row>
    <row r="187" ht="15" customHeight="1">
      <c r="A187" t="inlineStr">
        <is>
          <t>A 11086-2025</t>
        </is>
      </c>
      <c r="B187" s="1" t="n">
        <v>45723.57329861111</v>
      </c>
      <c r="C187" s="1" t="n">
        <v>45890</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40826-2023</t>
        </is>
      </c>
      <c r="B188" s="1" t="n">
        <v>45171</v>
      </c>
      <c r="C188" s="1" t="n">
        <v>45890</v>
      </c>
      <c r="D188" t="inlineStr">
        <is>
          <t>JÄMTLANDS LÄN</t>
        </is>
      </c>
      <c r="E188" t="inlineStr">
        <is>
          <t>RAGUNDA</t>
        </is>
      </c>
      <c r="F188" t="inlineStr">
        <is>
          <t>SCA</t>
        </is>
      </c>
      <c r="G188" t="n">
        <v>4.5</v>
      </c>
      <c r="H188" t="n">
        <v>0</v>
      </c>
      <c r="I188" t="n">
        <v>1</v>
      </c>
      <c r="J188" t="n">
        <v>1</v>
      </c>
      <c r="K188" t="n">
        <v>0</v>
      </c>
      <c r="L188" t="n">
        <v>0</v>
      </c>
      <c r="M188" t="n">
        <v>0</v>
      </c>
      <c r="N188" t="n">
        <v>0</v>
      </c>
      <c r="O188" t="n">
        <v>1</v>
      </c>
      <c r="P188" t="n">
        <v>0</v>
      </c>
      <c r="Q188" t="n">
        <v>2</v>
      </c>
      <c r="R188" s="2" t="inlineStr">
        <is>
          <t>Lunglav
Stuplav</t>
        </is>
      </c>
      <c r="S188">
        <f>HYPERLINK("https://klasma.github.io/Logging_2303/artfynd/A 40826-2023 artfynd.xlsx", "A 40826-2023")</f>
        <v/>
      </c>
      <c r="T188">
        <f>HYPERLINK("https://klasma.github.io/Logging_2303/kartor/A 40826-2023 karta.png", "A 40826-2023")</f>
        <v/>
      </c>
      <c r="V188">
        <f>HYPERLINK("https://klasma.github.io/Logging_2303/klagomål/A 40826-2023 FSC-klagomål.docx", "A 40826-2023")</f>
        <v/>
      </c>
      <c r="W188">
        <f>HYPERLINK("https://klasma.github.io/Logging_2303/klagomålsmail/A 40826-2023 FSC-klagomål mail.docx", "A 40826-2023")</f>
        <v/>
      </c>
      <c r="X188">
        <f>HYPERLINK("https://klasma.github.io/Logging_2303/tillsyn/A 40826-2023 tillsynsbegäran.docx", "A 40826-2023")</f>
        <v/>
      </c>
      <c r="Y188">
        <f>HYPERLINK("https://klasma.github.io/Logging_2303/tillsynsmail/A 40826-2023 tillsynsbegäran mail.docx", "A 40826-2023")</f>
        <v/>
      </c>
    </row>
    <row r="189" ht="15" customHeight="1">
      <c r="A189" t="inlineStr">
        <is>
          <t>A 26482-2023</t>
        </is>
      </c>
      <c r="B189" s="1" t="n">
        <v>45089</v>
      </c>
      <c r="C189" s="1" t="n">
        <v>45890</v>
      </c>
      <c r="D189" t="inlineStr">
        <is>
          <t>JÄMTLANDS LÄN</t>
        </is>
      </c>
      <c r="E189" t="inlineStr">
        <is>
          <t>RAGUNDA</t>
        </is>
      </c>
      <c r="G189" t="n">
        <v>2</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HYPERLINK("https://klasma.github.io/Logging_2303/artfynd/A 26482-2023 artfynd.xlsx", "A 26482-2023")</f>
        <v/>
      </c>
      <c r="T189">
        <f>HYPERLINK("https://klasma.github.io/Logging_2303/kartor/A 26482-2023 karta.png", "A 26482-2023")</f>
        <v/>
      </c>
      <c r="V189">
        <f>HYPERLINK("https://klasma.github.io/Logging_2303/klagomål/A 26482-2023 FSC-klagomål.docx", "A 26482-2023")</f>
        <v/>
      </c>
      <c r="W189">
        <f>HYPERLINK("https://klasma.github.io/Logging_2303/klagomålsmail/A 26482-2023 FSC-klagomål mail.docx", "A 26482-2023")</f>
        <v/>
      </c>
      <c r="X189">
        <f>HYPERLINK("https://klasma.github.io/Logging_2303/tillsyn/A 26482-2023 tillsynsbegäran.docx", "A 26482-2023")</f>
        <v/>
      </c>
      <c r="Y189">
        <f>HYPERLINK("https://klasma.github.io/Logging_2303/tillsynsmail/A 26482-2023 tillsynsbegäran mail.docx", "A 26482-2023")</f>
        <v/>
      </c>
      <c r="Z189">
        <f>HYPERLINK("https://klasma.github.io/Logging_2303/fåglar/A 26482-2023 prioriterade fågelarter.docx", "A 26482-2023")</f>
        <v/>
      </c>
    </row>
    <row r="190" ht="15" customHeight="1">
      <c r="A190" t="inlineStr">
        <is>
          <t>A 41490-2022</t>
        </is>
      </c>
      <c r="B190" s="1" t="n">
        <v>44826.94976851852</v>
      </c>
      <c r="C190" s="1" t="n">
        <v>45890</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51916-2021</t>
        </is>
      </c>
      <c r="B191" s="1" t="n">
        <v>44462</v>
      </c>
      <c r="C191" s="1" t="n">
        <v>45890</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64363-2020</t>
        </is>
      </c>
      <c r="B192" s="1" t="n">
        <v>44166</v>
      </c>
      <c r="C192" s="1" t="n">
        <v>45890</v>
      </c>
      <c r="D192" t="inlineStr">
        <is>
          <t>JÄMTLANDS LÄN</t>
        </is>
      </c>
      <c r="E192" t="inlineStr">
        <is>
          <t>RAGUNDA</t>
        </is>
      </c>
      <c r="G192" t="n">
        <v>4.5</v>
      </c>
      <c r="H192" t="n">
        <v>1</v>
      </c>
      <c r="I192" t="n">
        <v>0</v>
      </c>
      <c r="J192" t="n">
        <v>0</v>
      </c>
      <c r="K192" t="n">
        <v>1</v>
      </c>
      <c r="L192" t="n">
        <v>0</v>
      </c>
      <c r="M192" t="n">
        <v>0</v>
      </c>
      <c r="N192" t="n">
        <v>0</v>
      </c>
      <c r="O192" t="n">
        <v>1</v>
      </c>
      <c r="P192" t="n">
        <v>1</v>
      </c>
      <c r="Q192" t="n">
        <v>1</v>
      </c>
      <c r="R192" s="2" t="inlineStr">
        <is>
          <t>Bombmurkla</t>
        </is>
      </c>
      <c r="S192">
        <f>HYPERLINK("https://klasma.github.io/Logging_2303/artfynd/A 64363-2020 artfynd.xlsx", "A 64363-2020")</f>
        <v/>
      </c>
      <c r="T192">
        <f>HYPERLINK("https://klasma.github.io/Logging_2303/kartor/A 64363-2020 karta.png", "A 64363-2020")</f>
        <v/>
      </c>
      <c r="V192">
        <f>HYPERLINK("https://klasma.github.io/Logging_2303/klagomål/A 64363-2020 FSC-klagomål.docx", "A 64363-2020")</f>
        <v/>
      </c>
      <c r="W192">
        <f>HYPERLINK("https://klasma.github.io/Logging_2303/klagomålsmail/A 64363-2020 FSC-klagomål mail.docx", "A 64363-2020")</f>
        <v/>
      </c>
      <c r="X192">
        <f>HYPERLINK("https://klasma.github.io/Logging_2303/tillsyn/A 64363-2020 tillsynsbegäran.docx", "A 64363-2020")</f>
        <v/>
      </c>
      <c r="Y192">
        <f>HYPERLINK("https://klasma.github.io/Logging_2303/tillsynsmail/A 64363-2020 tillsynsbegäran mail.docx", "A 64363-2020")</f>
        <v/>
      </c>
    </row>
    <row r="193" ht="15" customHeight="1">
      <c r="A193" t="inlineStr">
        <is>
          <t>A 21037-2021</t>
        </is>
      </c>
      <c r="B193" s="1" t="n">
        <v>44319</v>
      </c>
      <c r="C193" s="1" t="n">
        <v>45890</v>
      </c>
      <c r="D193" t="inlineStr">
        <is>
          <t>JÄMTLANDS LÄN</t>
        </is>
      </c>
      <c r="E193" t="inlineStr">
        <is>
          <t>RAGUNDA</t>
        </is>
      </c>
      <c r="F193" t="inlineStr">
        <is>
          <t>Kyrkan</t>
        </is>
      </c>
      <c r="G193" t="n">
        <v>0.8</v>
      </c>
      <c r="H193" t="n">
        <v>0</v>
      </c>
      <c r="I193" t="n">
        <v>0</v>
      </c>
      <c r="J193" t="n">
        <v>1</v>
      </c>
      <c r="K193" t="n">
        <v>0</v>
      </c>
      <c r="L193" t="n">
        <v>0</v>
      </c>
      <c r="M193" t="n">
        <v>0</v>
      </c>
      <c r="N193" t="n">
        <v>0</v>
      </c>
      <c r="O193" t="n">
        <v>1</v>
      </c>
      <c r="P193" t="n">
        <v>0</v>
      </c>
      <c r="Q193" t="n">
        <v>1</v>
      </c>
      <c r="R193" s="2" t="inlineStr">
        <is>
          <t>Olivbrun gytterlav</t>
        </is>
      </c>
      <c r="S193">
        <f>HYPERLINK("https://klasma.github.io/Logging_2303/artfynd/A 21037-2021 artfynd.xlsx", "A 21037-2021")</f>
        <v/>
      </c>
      <c r="T193">
        <f>HYPERLINK("https://klasma.github.io/Logging_2303/kartor/A 21037-2021 karta.png", "A 21037-2021")</f>
        <v/>
      </c>
      <c r="V193">
        <f>HYPERLINK("https://klasma.github.io/Logging_2303/klagomål/A 21037-2021 FSC-klagomål.docx", "A 21037-2021")</f>
        <v/>
      </c>
      <c r="W193">
        <f>HYPERLINK("https://klasma.github.io/Logging_2303/klagomålsmail/A 21037-2021 FSC-klagomål mail.docx", "A 21037-2021")</f>
        <v/>
      </c>
      <c r="X193">
        <f>HYPERLINK("https://klasma.github.io/Logging_2303/tillsyn/A 21037-2021 tillsynsbegäran.docx", "A 21037-2021")</f>
        <v/>
      </c>
      <c r="Y193">
        <f>HYPERLINK("https://klasma.github.io/Logging_2303/tillsynsmail/A 21037-2021 tillsynsbegäran mail.docx", "A 21037-2021")</f>
        <v/>
      </c>
    </row>
    <row r="194" ht="15" customHeight="1">
      <c r="A194" t="inlineStr">
        <is>
          <t>A 21275-2022</t>
        </is>
      </c>
      <c r="B194" s="1" t="n">
        <v>44705</v>
      </c>
      <c r="C194" s="1" t="n">
        <v>45890</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45890</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42899-2022</t>
        </is>
      </c>
      <c r="B196" s="1" t="n">
        <v>44832</v>
      </c>
      <c r="C196" s="1" t="n">
        <v>45890</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31477-2022</t>
        </is>
      </c>
      <c r="B197" s="1" t="n">
        <v>44774.94347222222</v>
      </c>
      <c r="C197" s="1" t="n">
        <v>45890</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45890</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6703-2024</t>
        </is>
      </c>
      <c r="B199" s="1" t="n">
        <v>45341</v>
      </c>
      <c r="C199" s="1" t="n">
        <v>45890</v>
      </c>
      <c r="D199" t="inlineStr">
        <is>
          <t>JÄMTLANDS LÄN</t>
        </is>
      </c>
      <c r="E199" t="inlineStr">
        <is>
          <t>RAGUNDA</t>
        </is>
      </c>
      <c r="F199" t="inlineStr">
        <is>
          <t>SCA</t>
        </is>
      </c>
      <c r="G199" t="n">
        <v>2.4</v>
      </c>
      <c r="H199" t="n">
        <v>0</v>
      </c>
      <c r="I199" t="n">
        <v>0</v>
      </c>
      <c r="J199" t="n">
        <v>1</v>
      </c>
      <c r="K199" t="n">
        <v>0</v>
      </c>
      <c r="L199" t="n">
        <v>0</v>
      </c>
      <c r="M199" t="n">
        <v>0</v>
      </c>
      <c r="N199" t="n">
        <v>0</v>
      </c>
      <c r="O199" t="n">
        <v>1</v>
      </c>
      <c r="P199" t="n">
        <v>0</v>
      </c>
      <c r="Q199" t="n">
        <v>1</v>
      </c>
      <c r="R199" s="2" t="inlineStr">
        <is>
          <t>Vitgrynig nållav</t>
        </is>
      </c>
      <c r="S199">
        <f>HYPERLINK("https://klasma.github.io/Logging_2303/artfynd/A 6703-2024 artfynd.xlsx", "A 6703-2024")</f>
        <v/>
      </c>
      <c r="T199">
        <f>HYPERLINK("https://klasma.github.io/Logging_2303/kartor/A 6703-2024 karta.png", "A 6703-2024")</f>
        <v/>
      </c>
      <c r="V199">
        <f>HYPERLINK("https://klasma.github.io/Logging_2303/klagomål/A 6703-2024 FSC-klagomål.docx", "A 6703-2024")</f>
        <v/>
      </c>
      <c r="W199">
        <f>HYPERLINK("https://klasma.github.io/Logging_2303/klagomålsmail/A 6703-2024 FSC-klagomål mail.docx", "A 6703-2024")</f>
        <v/>
      </c>
      <c r="X199">
        <f>HYPERLINK("https://klasma.github.io/Logging_2303/tillsyn/A 6703-2024 tillsynsbegäran.docx", "A 6703-2024")</f>
        <v/>
      </c>
      <c r="Y199">
        <f>HYPERLINK("https://klasma.github.io/Logging_2303/tillsynsmail/A 6703-2024 tillsynsbegäran mail.docx", "A 6703-2024")</f>
        <v/>
      </c>
    </row>
    <row r="200" ht="15" customHeight="1">
      <c r="A200" t="inlineStr">
        <is>
          <t>A 16316-2025</t>
        </is>
      </c>
      <c r="B200" s="1" t="n">
        <v>45751.34795138889</v>
      </c>
      <c r="C200" s="1" t="n">
        <v>45890</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20575-2025</t>
        </is>
      </c>
      <c r="B201" s="1" t="n">
        <v>45775.67769675926</v>
      </c>
      <c r="C201" s="1" t="n">
        <v>45890</v>
      </c>
      <c r="D201" t="inlineStr">
        <is>
          <t>JÄMTLANDS LÄN</t>
        </is>
      </c>
      <c r="E201" t="inlineStr">
        <is>
          <t>RAGUNDA</t>
        </is>
      </c>
      <c r="F201" t="inlineStr">
        <is>
          <t>SCA</t>
        </is>
      </c>
      <c r="G201" t="n">
        <v>8.1</v>
      </c>
      <c r="H201" t="n">
        <v>1</v>
      </c>
      <c r="I201" t="n">
        <v>0</v>
      </c>
      <c r="J201" t="n">
        <v>1</v>
      </c>
      <c r="K201" t="n">
        <v>0</v>
      </c>
      <c r="L201" t="n">
        <v>0</v>
      </c>
      <c r="M201" t="n">
        <v>0</v>
      </c>
      <c r="N201" t="n">
        <v>0</v>
      </c>
      <c r="O201" t="n">
        <v>1</v>
      </c>
      <c r="P201" t="n">
        <v>0</v>
      </c>
      <c r="Q201" t="n">
        <v>1</v>
      </c>
      <c r="R201" s="2" t="inlineStr">
        <is>
          <t>Skogsfru</t>
        </is>
      </c>
      <c r="S201">
        <f>HYPERLINK("https://klasma.github.io/Logging_2303/artfynd/A 20575-2025 artfynd.xlsx", "A 20575-2025")</f>
        <v/>
      </c>
      <c r="T201">
        <f>HYPERLINK("https://klasma.github.io/Logging_2303/kartor/A 20575-2025 karta.png", "A 20575-2025")</f>
        <v/>
      </c>
      <c r="V201">
        <f>HYPERLINK("https://klasma.github.io/Logging_2303/klagomål/A 20575-2025 FSC-klagomål.docx", "A 20575-2025")</f>
        <v/>
      </c>
      <c r="W201">
        <f>HYPERLINK("https://klasma.github.io/Logging_2303/klagomålsmail/A 20575-2025 FSC-klagomål mail.docx", "A 20575-2025")</f>
        <v/>
      </c>
      <c r="X201">
        <f>HYPERLINK("https://klasma.github.io/Logging_2303/tillsyn/A 20575-2025 tillsynsbegäran.docx", "A 20575-2025")</f>
        <v/>
      </c>
      <c r="Y201">
        <f>HYPERLINK("https://klasma.github.io/Logging_2303/tillsynsmail/A 20575-2025 tillsynsbegäran mail.docx", "A 20575-2025")</f>
        <v/>
      </c>
    </row>
    <row r="202" ht="15" customHeight="1">
      <c r="A202" t="inlineStr">
        <is>
          <t>A 59104-2023</t>
        </is>
      </c>
      <c r="B202" s="1" t="n">
        <v>45252</v>
      </c>
      <c r="C202" s="1" t="n">
        <v>45890</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48477-2023</t>
        </is>
      </c>
      <c r="B203" s="1" t="n">
        <v>45206</v>
      </c>
      <c r="C203" s="1" t="n">
        <v>45890</v>
      </c>
      <c r="D203" t="inlineStr">
        <is>
          <t>JÄMTLANDS LÄN</t>
        </is>
      </c>
      <c r="E203" t="inlineStr">
        <is>
          <t>RAGUNDA</t>
        </is>
      </c>
      <c r="F203" t="inlineStr">
        <is>
          <t>SCA</t>
        </is>
      </c>
      <c r="G203" t="n">
        <v>1.8</v>
      </c>
      <c r="H203" t="n">
        <v>0</v>
      </c>
      <c r="I203" t="n">
        <v>1</v>
      </c>
      <c r="J203" t="n">
        <v>0</v>
      </c>
      <c r="K203" t="n">
        <v>0</v>
      </c>
      <c r="L203" t="n">
        <v>0</v>
      </c>
      <c r="M203" t="n">
        <v>0</v>
      </c>
      <c r="N203" t="n">
        <v>0</v>
      </c>
      <c r="O203" t="n">
        <v>0</v>
      </c>
      <c r="P203" t="n">
        <v>0</v>
      </c>
      <c r="Q203" t="n">
        <v>1</v>
      </c>
      <c r="R203" s="2" t="inlineStr">
        <is>
          <t>Dropptaggsvamp</t>
        </is>
      </c>
      <c r="S203">
        <f>HYPERLINK("https://klasma.github.io/Logging_2303/artfynd/A 48477-2023 artfynd.xlsx", "A 48477-2023")</f>
        <v/>
      </c>
      <c r="T203">
        <f>HYPERLINK("https://klasma.github.io/Logging_2303/kartor/A 48477-2023 karta.png", "A 48477-2023")</f>
        <v/>
      </c>
      <c r="V203">
        <f>HYPERLINK("https://klasma.github.io/Logging_2303/klagomål/A 48477-2023 FSC-klagomål.docx", "A 48477-2023")</f>
        <v/>
      </c>
      <c r="W203">
        <f>HYPERLINK("https://klasma.github.io/Logging_2303/klagomålsmail/A 48477-2023 FSC-klagomål mail.docx", "A 48477-2023")</f>
        <v/>
      </c>
      <c r="X203">
        <f>HYPERLINK("https://klasma.github.io/Logging_2303/tillsyn/A 48477-2023 tillsynsbegäran.docx", "A 48477-2023")</f>
        <v/>
      </c>
      <c r="Y203">
        <f>HYPERLINK("https://klasma.github.io/Logging_2303/tillsynsmail/A 48477-2023 tillsynsbegäran mail.docx", "A 48477-2023")</f>
        <v/>
      </c>
    </row>
    <row r="204" ht="15" customHeight="1">
      <c r="A204" t="inlineStr">
        <is>
          <t>A 16724-2025</t>
        </is>
      </c>
      <c r="B204" s="1" t="n">
        <v>45754.51064814815</v>
      </c>
      <c r="C204" s="1" t="n">
        <v>45890</v>
      </c>
      <c r="D204" t="inlineStr">
        <is>
          <t>JÄMTLANDS LÄN</t>
        </is>
      </c>
      <c r="E204" t="inlineStr">
        <is>
          <t>RAGUNDA</t>
        </is>
      </c>
      <c r="G204" t="n">
        <v>3.5</v>
      </c>
      <c r="H204" t="n">
        <v>0</v>
      </c>
      <c r="I204" t="n">
        <v>0</v>
      </c>
      <c r="J204" t="n">
        <v>1</v>
      </c>
      <c r="K204" t="n">
        <v>0</v>
      </c>
      <c r="L204" t="n">
        <v>0</v>
      </c>
      <c r="M204" t="n">
        <v>0</v>
      </c>
      <c r="N204" t="n">
        <v>0</v>
      </c>
      <c r="O204" t="n">
        <v>1</v>
      </c>
      <c r="P204" t="n">
        <v>0</v>
      </c>
      <c r="Q204" t="n">
        <v>1</v>
      </c>
      <c r="R204" s="2" t="inlineStr">
        <is>
          <t>Kolflarnlav</t>
        </is>
      </c>
      <c r="S204">
        <f>HYPERLINK("https://klasma.github.io/Logging_2303/artfynd/A 16724-2025 artfynd.xlsx", "A 16724-2025")</f>
        <v/>
      </c>
      <c r="T204">
        <f>HYPERLINK("https://klasma.github.io/Logging_2303/kartor/A 16724-2025 karta.png", "A 16724-2025")</f>
        <v/>
      </c>
      <c r="V204">
        <f>HYPERLINK("https://klasma.github.io/Logging_2303/klagomål/A 16724-2025 FSC-klagomål.docx", "A 16724-2025")</f>
        <v/>
      </c>
      <c r="W204">
        <f>HYPERLINK("https://klasma.github.io/Logging_2303/klagomålsmail/A 16724-2025 FSC-klagomål mail.docx", "A 16724-2025")</f>
        <v/>
      </c>
      <c r="X204">
        <f>HYPERLINK("https://klasma.github.io/Logging_2303/tillsyn/A 16724-2025 tillsynsbegäran.docx", "A 16724-2025")</f>
        <v/>
      </c>
      <c r="Y204">
        <f>HYPERLINK("https://klasma.github.io/Logging_2303/tillsynsmail/A 16724-2025 tillsynsbegäran mail.docx", "A 16724-2025")</f>
        <v/>
      </c>
    </row>
    <row r="205" ht="15" customHeight="1">
      <c r="A205" t="inlineStr">
        <is>
          <t>A 49770-2024</t>
        </is>
      </c>
      <c r="B205" s="1" t="n">
        <v>45597.34461805555</v>
      </c>
      <c r="C205" s="1" t="n">
        <v>45890</v>
      </c>
      <c r="D205" t="inlineStr">
        <is>
          <t>JÄMTLANDS LÄN</t>
        </is>
      </c>
      <c r="E205" t="inlineStr">
        <is>
          <t>RAGUNDA</t>
        </is>
      </c>
      <c r="F205" t="inlineStr">
        <is>
          <t>Naturvårdsverket</t>
        </is>
      </c>
      <c r="G205" t="n">
        <v>8.9</v>
      </c>
      <c r="H205" t="n">
        <v>1</v>
      </c>
      <c r="I205" t="n">
        <v>0</v>
      </c>
      <c r="J205" t="n">
        <v>0</v>
      </c>
      <c r="K205" t="n">
        <v>1</v>
      </c>
      <c r="L205" t="n">
        <v>0</v>
      </c>
      <c r="M205" t="n">
        <v>0</v>
      </c>
      <c r="N205" t="n">
        <v>0</v>
      </c>
      <c r="O205" t="n">
        <v>1</v>
      </c>
      <c r="P205" t="n">
        <v>1</v>
      </c>
      <c r="Q205" t="n">
        <v>1</v>
      </c>
      <c r="R205" s="2" t="inlineStr">
        <is>
          <t>Doftticka</t>
        </is>
      </c>
      <c r="S205">
        <f>HYPERLINK("https://klasma.github.io/Logging_2303/artfynd/A 49770-2024 artfynd.xlsx", "A 49770-2024")</f>
        <v/>
      </c>
      <c r="T205">
        <f>HYPERLINK("https://klasma.github.io/Logging_2303/kartor/A 49770-2024 karta.png", "A 49770-2024")</f>
        <v/>
      </c>
      <c r="V205">
        <f>HYPERLINK("https://klasma.github.io/Logging_2303/klagomål/A 49770-2024 FSC-klagomål.docx", "A 49770-2024")</f>
        <v/>
      </c>
      <c r="W205">
        <f>HYPERLINK("https://klasma.github.io/Logging_2303/klagomålsmail/A 49770-2024 FSC-klagomål mail.docx", "A 49770-2024")</f>
        <v/>
      </c>
      <c r="X205">
        <f>HYPERLINK("https://klasma.github.io/Logging_2303/tillsyn/A 49770-2024 tillsynsbegäran.docx", "A 49770-2024")</f>
        <v/>
      </c>
      <c r="Y205">
        <f>HYPERLINK("https://klasma.github.io/Logging_2303/tillsynsmail/A 49770-2024 tillsynsbegäran mail.docx", "A 49770-2024")</f>
        <v/>
      </c>
    </row>
    <row r="206" ht="15" customHeight="1">
      <c r="A206" t="inlineStr">
        <is>
          <t>A 25694-2023</t>
        </is>
      </c>
      <c r="B206" s="1" t="n">
        <v>45089</v>
      </c>
      <c r="C206" s="1" t="n">
        <v>45890</v>
      </c>
      <c r="D206" t="inlineStr">
        <is>
          <t>JÄMTLANDS LÄN</t>
        </is>
      </c>
      <c r="E206" t="inlineStr">
        <is>
          <t>RAGUNDA</t>
        </is>
      </c>
      <c r="F206" t="inlineStr">
        <is>
          <t>SCA</t>
        </is>
      </c>
      <c r="G206" t="n">
        <v>1.5</v>
      </c>
      <c r="H206" t="n">
        <v>0</v>
      </c>
      <c r="I206" t="n">
        <v>0</v>
      </c>
      <c r="J206" t="n">
        <v>1</v>
      </c>
      <c r="K206" t="n">
        <v>0</v>
      </c>
      <c r="L206" t="n">
        <v>0</v>
      </c>
      <c r="M206" t="n">
        <v>0</v>
      </c>
      <c r="N206" t="n">
        <v>0</v>
      </c>
      <c r="O206" t="n">
        <v>1</v>
      </c>
      <c r="P206" t="n">
        <v>0</v>
      </c>
      <c r="Q206" t="n">
        <v>1</v>
      </c>
      <c r="R206" s="2" t="inlineStr">
        <is>
          <t>Ullticka</t>
        </is>
      </c>
      <c r="S206">
        <f>HYPERLINK("https://klasma.github.io/Logging_2303/artfynd/A 25694-2023 artfynd.xlsx", "A 25694-2023")</f>
        <v/>
      </c>
      <c r="T206">
        <f>HYPERLINK("https://klasma.github.io/Logging_2303/kartor/A 25694-2023 karta.png", "A 25694-2023")</f>
        <v/>
      </c>
      <c r="V206">
        <f>HYPERLINK("https://klasma.github.io/Logging_2303/klagomål/A 25694-2023 FSC-klagomål.docx", "A 25694-2023")</f>
        <v/>
      </c>
      <c r="W206">
        <f>HYPERLINK("https://klasma.github.io/Logging_2303/klagomålsmail/A 25694-2023 FSC-klagomål mail.docx", "A 25694-2023")</f>
        <v/>
      </c>
      <c r="X206">
        <f>HYPERLINK("https://klasma.github.io/Logging_2303/tillsyn/A 25694-2023 tillsynsbegäran.docx", "A 25694-2023")</f>
        <v/>
      </c>
      <c r="Y206">
        <f>HYPERLINK("https://klasma.github.io/Logging_2303/tillsynsmail/A 25694-2023 tillsynsbegäran mail.docx", "A 25694-2023")</f>
        <v/>
      </c>
    </row>
    <row r="207" ht="15" customHeight="1">
      <c r="A207" t="inlineStr">
        <is>
          <t>A 11040-2023</t>
        </is>
      </c>
      <c r="B207" s="1" t="n">
        <v>44991</v>
      </c>
      <c r="C207" s="1" t="n">
        <v>45890</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29921-2024</t>
        </is>
      </c>
      <c r="B208" s="1" t="n">
        <v>45487.92863425926</v>
      </c>
      <c r="C208" s="1" t="n">
        <v>45890</v>
      </c>
      <c r="D208" t="inlineStr">
        <is>
          <t>JÄMTLANDS LÄN</t>
        </is>
      </c>
      <c r="E208" t="inlineStr">
        <is>
          <t>RAGUNDA</t>
        </is>
      </c>
      <c r="G208" t="n">
        <v>1.6</v>
      </c>
      <c r="H208" t="n">
        <v>1</v>
      </c>
      <c r="I208" t="n">
        <v>0</v>
      </c>
      <c r="J208" t="n">
        <v>0</v>
      </c>
      <c r="K208" t="n">
        <v>1</v>
      </c>
      <c r="L208" t="n">
        <v>0</v>
      </c>
      <c r="M208" t="n">
        <v>0</v>
      </c>
      <c r="N208" t="n">
        <v>0</v>
      </c>
      <c r="O208" t="n">
        <v>1</v>
      </c>
      <c r="P208" t="n">
        <v>1</v>
      </c>
      <c r="Q208" t="n">
        <v>1</v>
      </c>
      <c r="R208" s="2" t="inlineStr">
        <is>
          <t>Knärot</t>
        </is>
      </c>
      <c r="S208">
        <f>HYPERLINK("https://klasma.github.io/Logging_2303/artfynd/A 29921-2024 artfynd.xlsx", "A 29921-2024")</f>
        <v/>
      </c>
      <c r="T208">
        <f>HYPERLINK("https://klasma.github.io/Logging_2303/kartor/A 29921-2024 karta.png", "A 29921-2024")</f>
        <v/>
      </c>
      <c r="U208">
        <f>HYPERLINK("https://klasma.github.io/Logging_2303/knärot/A 29921-2024 karta knärot.png", "A 29921-2024")</f>
        <v/>
      </c>
      <c r="V208">
        <f>HYPERLINK("https://klasma.github.io/Logging_2303/klagomål/A 29921-2024 FSC-klagomål.docx", "A 29921-2024")</f>
        <v/>
      </c>
      <c r="W208">
        <f>HYPERLINK("https://klasma.github.io/Logging_2303/klagomålsmail/A 29921-2024 FSC-klagomål mail.docx", "A 29921-2024")</f>
        <v/>
      </c>
      <c r="X208">
        <f>HYPERLINK("https://klasma.github.io/Logging_2303/tillsyn/A 29921-2024 tillsynsbegäran.docx", "A 29921-2024")</f>
        <v/>
      </c>
      <c r="Y208">
        <f>HYPERLINK("https://klasma.github.io/Logging_2303/tillsynsmail/A 29921-2024 tillsynsbegäran mail.docx", "A 29921-2024")</f>
        <v/>
      </c>
    </row>
    <row r="209" ht="15" customHeight="1">
      <c r="A209" t="inlineStr">
        <is>
          <t>A 36975-2023</t>
        </is>
      </c>
      <c r="B209" s="1" t="n">
        <v>45154</v>
      </c>
      <c r="C209" s="1" t="n">
        <v>45890</v>
      </c>
      <c r="D209" t="inlineStr">
        <is>
          <t>JÄMTLANDS LÄN</t>
        </is>
      </c>
      <c r="E209" t="inlineStr">
        <is>
          <t>RAGUNDA</t>
        </is>
      </c>
      <c r="F209" t="inlineStr">
        <is>
          <t>SCA</t>
        </is>
      </c>
      <c r="G209" t="n">
        <v>3.8</v>
      </c>
      <c r="H209" t="n">
        <v>0</v>
      </c>
      <c r="I209" t="n">
        <v>0</v>
      </c>
      <c r="J209" t="n">
        <v>0</v>
      </c>
      <c r="K209" t="n">
        <v>1</v>
      </c>
      <c r="L209" t="n">
        <v>0</v>
      </c>
      <c r="M209" t="n">
        <v>0</v>
      </c>
      <c r="N209" t="n">
        <v>0</v>
      </c>
      <c r="O209" t="n">
        <v>1</v>
      </c>
      <c r="P209" t="n">
        <v>1</v>
      </c>
      <c r="Q209" t="n">
        <v>1</v>
      </c>
      <c r="R209" s="2" t="inlineStr">
        <is>
          <t>Gräddporing</t>
        </is>
      </c>
      <c r="S209">
        <f>HYPERLINK("https://klasma.github.io/Logging_2303/artfynd/A 36975-2023 artfynd.xlsx", "A 36975-2023")</f>
        <v/>
      </c>
      <c r="T209">
        <f>HYPERLINK("https://klasma.github.io/Logging_2303/kartor/A 36975-2023 karta.png", "A 36975-2023")</f>
        <v/>
      </c>
      <c r="V209">
        <f>HYPERLINK("https://klasma.github.io/Logging_2303/klagomål/A 36975-2023 FSC-klagomål.docx", "A 36975-2023")</f>
        <v/>
      </c>
      <c r="W209">
        <f>HYPERLINK("https://klasma.github.io/Logging_2303/klagomålsmail/A 36975-2023 FSC-klagomål mail.docx", "A 36975-2023")</f>
        <v/>
      </c>
      <c r="X209">
        <f>HYPERLINK("https://klasma.github.io/Logging_2303/tillsyn/A 36975-2023 tillsynsbegäran.docx", "A 36975-2023")</f>
        <v/>
      </c>
      <c r="Y209">
        <f>HYPERLINK("https://klasma.github.io/Logging_2303/tillsynsmail/A 36975-2023 tillsynsbegäran mail.docx", "A 36975-2023")</f>
        <v/>
      </c>
    </row>
    <row r="210" ht="15" customHeight="1">
      <c r="A210" t="inlineStr">
        <is>
          <t>A 20774-2024</t>
        </is>
      </c>
      <c r="B210" s="1" t="n">
        <v>45436.94644675926</v>
      </c>
      <c r="C210" s="1" t="n">
        <v>45890</v>
      </c>
      <c r="D210" t="inlineStr">
        <is>
          <t>JÄMTLANDS LÄN</t>
        </is>
      </c>
      <c r="E210" t="inlineStr">
        <is>
          <t>RAGUNDA</t>
        </is>
      </c>
      <c r="F210" t="inlineStr">
        <is>
          <t>SCA</t>
        </is>
      </c>
      <c r="G210" t="n">
        <v>2.3</v>
      </c>
      <c r="H210" t="n">
        <v>0</v>
      </c>
      <c r="I210" t="n">
        <v>1</v>
      </c>
      <c r="J210" t="n">
        <v>0</v>
      </c>
      <c r="K210" t="n">
        <v>0</v>
      </c>
      <c r="L210" t="n">
        <v>0</v>
      </c>
      <c r="M210" t="n">
        <v>0</v>
      </c>
      <c r="N210" t="n">
        <v>0</v>
      </c>
      <c r="O210" t="n">
        <v>0</v>
      </c>
      <c r="P210" t="n">
        <v>0</v>
      </c>
      <c r="Q210" t="n">
        <v>1</v>
      </c>
      <c r="R210" s="2" t="inlineStr">
        <is>
          <t>Fjällig taggsvamp s.str.</t>
        </is>
      </c>
      <c r="S210">
        <f>HYPERLINK("https://klasma.github.io/Logging_2303/artfynd/A 20774-2024 artfynd.xlsx", "A 20774-2024")</f>
        <v/>
      </c>
      <c r="T210">
        <f>HYPERLINK("https://klasma.github.io/Logging_2303/kartor/A 20774-2024 karta.png", "A 20774-2024")</f>
        <v/>
      </c>
      <c r="V210">
        <f>HYPERLINK("https://klasma.github.io/Logging_2303/klagomål/A 20774-2024 FSC-klagomål.docx", "A 20774-2024")</f>
        <v/>
      </c>
      <c r="W210">
        <f>HYPERLINK("https://klasma.github.io/Logging_2303/klagomålsmail/A 20774-2024 FSC-klagomål mail.docx", "A 20774-2024")</f>
        <v/>
      </c>
      <c r="X210">
        <f>HYPERLINK("https://klasma.github.io/Logging_2303/tillsyn/A 20774-2024 tillsynsbegäran.docx", "A 20774-2024")</f>
        <v/>
      </c>
      <c r="Y210">
        <f>HYPERLINK("https://klasma.github.io/Logging_2303/tillsynsmail/A 20774-2024 tillsynsbegäran mail.docx", "A 20774-2024")</f>
        <v/>
      </c>
    </row>
    <row r="211" ht="15" customHeight="1">
      <c r="A211" t="inlineStr">
        <is>
          <t>A 50233-2024</t>
        </is>
      </c>
      <c r="B211" s="1" t="n">
        <v>45600.55265046296</v>
      </c>
      <c r="C211" s="1" t="n">
        <v>45890</v>
      </c>
      <c r="D211" t="inlineStr">
        <is>
          <t>JÄMTLANDS LÄN</t>
        </is>
      </c>
      <c r="E211" t="inlineStr">
        <is>
          <t>RAGUNDA</t>
        </is>
      </c>
      <c r="F211" t="inlineStr">
        <is>
          <t>SCA</t>
        </is>
      </c>
      <c r="G211" t="n">
        <v>5.6</v>
      </c>
      <c r="H211" t="n">
        <v>0</v>
      </c>
      <c r="I211" t="n">
        <v>0</v>
      </c>
      <c r="J211" t="n">
        <v>1</v>
      </c>
      <c r="K211" t="n">
        <v>0</v>
      </c>
      <c r="L211" t="n">
        <v>0</v>
      </c>
      <c r="M211" t="n">
        <v>0</v>
      </c>
      <c r="N211" t="n">
        <v>0</v>
      </c>
      <c r="O211" t="n">
        <v>1</v>
      </c>
      <c r="P211" t="n">
        <v>0</v>
      </c>
      <c r="Q211" t="n">
        <v>1</v>
      </c>
      <c r="R211" s="2" t="inlineStr">
        <is>
          <t>Granticka</t>
        </is>
      </c>
      <c r="S211">
        <f>HYPERLINK("https://klasma.github.io/Logging_2303/artfynd/A 50233-2024 artfynd.xlsx", "A 50233-2024")</f>
        <v/>
      </c>
      <c r="T211">
        <f>HYPERLINK("https://klasma.github.io/Logging_2303/kartor/A 50233-2024 karta.png", "A 50233-2024")</f>
        <v/>
      </c>
      <c r="V211">
        <f>HYPERLINK("https://klasma.github.io/Logging_2303/klagomål/A 50233-2024 FSC-klagomål.docx", "A 50233-2024")</f>
        <v/>
      </c>
      <c r="W211">
        <f>HYPERLINK("https://klasma.github.io/Logging_2303/klagomålsmail/A 50233-2024 FSC-klagomål mail.docx", "A 50233-2024")</f>
        <v/>
      </c>
      <c r="X211">
        <f>HYPERLINK("https://klasma.github.io/Logging_2303/tillsyn/A 50233-2024 tillsynsbegäran.docx", "A 50233-2024")</f>
        <v/>
      </c>
      <c r="Y211">
        <f>HYPERLINK("https://klasma.github.io/Logging_2303/tillsynsmail/A 50233-2024 tillsynsbegäran mail.docx", "A 50233-2024")</f>
        <v/>
      </c>
    </row>
    <row r="212" ht="15" customHeight="1">
      <c r="A212" t="inlineStr">
        <is>
          <t>A 10884-2025</t>
        </is>
      </c>
      <c r="B212" s="1" t="n">
        <v>45722.65670138889</v>
      </c>
      <c r="C212" s="1" t="n">
        <v>45890</v>
      </c>
      <c r="D212" t="inlineStr">
        <is>
          <t>JÄMTLANDS LÄN</t>
        </is>
      </c>
      <c r="E212" t="inlineStr">
        <is>
          <t>RAGUNDA</t>
        </is>
      </c>
      <c r="F212" t="inlineStr">
        <is>
          <t>SCA</t>
        </is>
      </c>
      <c r="G212" t="n">
        <v>5.4</v>
      </c>
      <c r="H212" t="n">
        <v>0</v>
      </c>
      <c r="I212" t="n">
        <v>1</v>
      </c>
      <c r="J212" t="n">
        <v>0</v>
      </c>
      <c r="K212" t="n">
        <v>0</v>
      </c>
      <c r="L212" t="n">
        <v>0</v>
      </c>
      <c r="M212" t="n">
        <v>0</v>
      </c>
      <c r="N212" t="n">
        <v>0</v>
      </c>
      <c r="O212" t="n">
        <v>0</v>
      </c>
      <c r="P212" t="n">
        <v>0</v>
      </c>
      <c r="Q212" t="n">
        <v>1</v>
      </c>
      <c r="R212" s="2" t="inlineStr">
        <is>
          <t>Dropptaggsvamp</t>
        </is>
      </c>
      <c r="S212">
        <f>HYPERLINK("https://klasma.github.io/Logging_2303/artfynd/A 10884-2025 artfynd.xlsx", "A 10884-2025")</f>
        <v/>
      </c>
      <c r="T212">
        <f>HYPERLINK("https://klasma.github.io/Logging_2303/kartor/A 10884-2025 karta.png", "A 10884-2025")</f>
        <v/>
      </c>
      <c r="V212">
        <f>HYPERLINK("https://klasma.github.io/Logging_2303/klagomål/A 10884-2025 FSC-klagomål.docx", "A 10884-2025")</f>
        <v/>
      </c>
      <c r="W212">
        <f>HYPERLINK("https://klasma.github.io/Logging_2303/klagomålsmail/A 10884-2025 FSC-klagomål mail.docx", "A 10884-2025")</f>
        <v/>
      </c>
      <c r="X212">
        <f>HYPERLINK("https://klasma.github.io/Logging_2303/tillsyn/A 10884-2025 tillsynsbegäran.docx", "A 10884-2025")</f>
        <v/>
      </c>
      <c r="Y212">
        <f>HYPERLINK("https://klasma.github.io/Logging_2303/tillsynsmail/A 10884-2025 tillsynsbegäran mail.docx", "A 10884-2025")</f>
        <v/>
      </c>
    </row>
    <row r="213" ht="15" customHeight="1">
      <c r="A213" t="inlineStr">
        <is>
          <t>A 36757-2023</t>
        </is>
      </c>
      <c r="B213" s="1" t="n">
        <v>45153</v>
      </c>
      <c r="C213" s="1" t="n">
        <v>45890</v>
      </c>
      <c r="D213" t="inlineStr">
        <is>
          <t>JÄMTLANDS LÄN</t>
        </is>
      </c>
      <c r="E213" t="inlineStr">
        <is>
          <t>RAGUNDA</t>
        </is>
      </c>
      <c r="G213" t="n">
        <v>0.7</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36757-2023 artfynd.xlsx", "A 36757-2023")</f>
        <v/>
      </c>
      <c r="T213">
        <f>HYPERLINK("https://klasma.github.io/Logging_2303/kartor/A 36757-2023 karta.png", "A 36757-2023")</f>
        <v/>
      </c>
      <c r="V213">
        <f>HYPERLINK("https://klasma.github.io/Logging_2303/klagomål/A 36757-2023 FSC-klagomål.docx", "A 36757-2023")</f>
        <v/>
      </c>
      <c r="W213">
        <f>HYPERLINK("https://klasma.github.io/Logging_2303/klagomålsmail/A 36757-2023 FSC-klagomål mail.docx", "A 36757-2023")</f>
        <v/>
      </c>
      <c r="X213">
        <f>HYPERLINK("https://klasma.github.io/Logging_2303/tillsyn/A 36757-2023 tillsynsbegäran.docx", "A 36757-2023")</f>
        <v/>
      </c>
      <c r="Y213">
        <f>HYPERLINK("https://klasma.github.io/Logging_2303/tillsynsmail/A 36757-2023 tillsynsbegäran mail.docx", "A 36757-2023")</f>
        <v/>
      </c>
      <c r="Z213">
        <f>HYPERLINK("https://klasma.github.io/Logging_2303/fåglar/A 36757-2023 prioriterade fågelarter.docx", "A 36757-2023")</f>
        <v/>
      </c>
    </row>
    <row r="214" ht="15" customHeight="1">
      <c r="A214" t="inlineStr">
        <is>
          <t>A 61324-2024</t>
        </is>
      </c>
      <c r="B214" s="1" t="n">
        <v>45646.34438657408</v>
      </c>
      <c r="C214" s="1" t="n">
        <v>45890</v>
      </c>
      <c r="D214" t="inlineStr">
        <is>
          <t>JÄMTLANDS LÄN</t>
        </is>
      </c>
      <c r="E214" t="inlineStr">
        <is>
          <t>RAGUNDA</t>
        </is>
      </c>
      <c r="F214" t="inlineStr">
        <is>
          <t>SCA</t>
        </is>
      </c>
      <c r="G214" t="n">
        <v>11.2</v>
      </c>
      <c r="H214" t="n">
        <v>1</v>
      </c>
      <c r="I214" t="n">
        <v>0</v>
      </c>
      <c r="J214" t="n">
        <v>0</v>
      </c>
      <c r="K214" t="n">
        <v>0</v>
      </c>
      <c r="L214" t="n">
        <v>0</v>
      </c>
      <c r="M214" t="n">
        <v>0</v>
      </c>
      <c r="N214" t="n">
        <v>0</v>
      </c>
      <c r="O214" t="n">
        <v>0</v>
      </c>
      <c r="P214" t="n">
        <v>0</v>
      </c>
      <c r="Q214" t="n">
        <v>1</v>
      </c>
      <c r="R214" s="2" t="inlineStr">
        <is>
          <t>Trana</t>
        </is>
      </c>
      <c r="S214">
        <f>HYPERLINK("https://klasma.github.io/Logging_2303/artfynd/A 61324-2024 artfynd.xlsx", "A 61324-2024")</f>
        <v/>
      </c>
      <c r="T214">
        <f>HYPERLINK("https://klasma.github.io/Logging_2303/kartor/A 61324-2024 karta.png", "A 61324-2024")</f>
        <v/>
      </c>
      <c r="V214">
        <f>HYPERLINK("https://klasma.github.io/Logging_2303/klagomål/A 61324-2024 FSC-klagomål.docx", "A 61324-2024")</f>
        <v/>
      </c>
      <c r="W214">
        <f>HYPERLINK("https://klasma.github.io/Logging_2303/klagomålsmail/A 61324-2024 FSC-klagomål mail.docx", "A 61324-2024")</f>
        <v/>
      </c>
      <c r="X214">
        <f>HYPERLINK("https://klasma.github.io/Logging_2303/tillsyn/A 61324-2024 tillsynsbegäran.docx", "A 61324-2024")</f>
        <v/>
      </c>
      <c r="Y214">
        <f>HYPERLINK("https://klasma.github.io/Logging_2303/tillsynsmail/A 61324-2024 tillsynsbegäran mail.docx", "A 61324-2024")</f>
        <v/>
      </c>
      <c r="Z214">
        <f>HYPERLINK("https://klasma.github.io/Logging_2303/fåglar/A 61324-2024 prioriterade fågelarter.docx", "A 61324-2024")</f>
        <v/>
      </c>
    </row>
    <row r="215" ht="15" customHeight="1">
      <c r="A215" t="inlineStr">
        <is>
          <t>A 21212-2025</t>
        </is>
      </c>
      <c r="B215" s="1" t="n">
        <v>45779.48993055556</v>
      </c>
      <c r="C215" s="1" t="n">
        <v>45890</v>
      </c>
      <c r="D215" t="inlineStr">
        <is>
          <t>JÄMTLANDS LÄN</t>
        </is>
      </c>
      <c r="E215" t="inlineStr">
        <is>
          <t>RAGUNDA</t>
        </is>
      </c>
      <c r="F215" t="inlineStr">
        <is>
          <t>SCA</t>
        </is>
      </c>
      <c r="G215" t="n">
        <v>2.6</v>
      </c>
      <c r="H215" t="n">
        <v>0</v>
      </c>
      <c r="I215" t="n">
        <v>0</v>
      </c>
      <c r="J215" t="n">
        <v>1</v>
      </c>
      <c r="K215" t="n">
        <v>0</v>
      </c>
      <c r="L215" t="n">
        <v>0</v>
      </c>
      <c r="M215" t="n">
        <v>0</v>
      </c>
      <c r="N215" t="n">
        <v>0</v>
      </c>
      <c r="O215" t="n">
        <v>1</v>
      </c>
      <c r="P215" t="n">
        <v>0</v>
      </c>
      <c r="Q215" t="n">
        <v>1</v>
      </c>
      <c r="R215" s="2" t="inlineStr">
        <is>
          <t>Garnlav</t>
        </is>
      </c>
      <c r="S215">
        <f>HYPERLINK("https://klasma.github.io/Logging_2303/artfynd/A 21212-2025 artfynd.xlsx", "A 21212-2025")</f>
        <v/>
      </c>
      <c r="T215">
        <f>HYPERLINK("https://klasma.github.io/Logging_2303/kartor/A 21212-2025 karta.png", "A 21212-2025")</f>
        <v/>
      </c>
      <c r="V215">
        <f>HYPERLINK("https://klasma.github.io/Logging_2303/klagomål/A 21212-2025 FSC-klagomål.docx", "A 21212-2025")</f>
        <v/>
      </c>
      <c r="W215">
        <f>HYPERLINK("https://klasma.github.io/Logging_2303/klagomålsmail/A 21212-2025 FSC-klagomål mail.docx", "A 21212-2025")</f>
        <v/>
      </c>
      <c r="X215">
        <f>HYPERLINK("https://klasma.github.io/Logging_2303/tillsyn/A 21212-2025 tillsynsbegäran.docx", "A 21212-2025")</f>
        <v/>
      </c>
      <c r="Y215">
        <f>HYPERLINK("https://klasma.github.io/Logging_2303/tillsynsmail/A 21212-2025 tillsynsbegäran mail.docx", "A 21212-2025")</f>
        <v/>
      </c>
    </row>
    <row r="216" ht="15" customHeight="1">
      <c r="A216" t="inlineStr">
        <is>
          <t>A 36224-2023</t>
        </is>
      </c>
      <c r="B216" s="1" t="n">
        <v>45149</v>
      </c>
      <c r="C216" s="1" t="n">
        <v>45890</v>
      </c>
      <c r="D216" t="inlineStr">
        <is>
          <t>JÄMTLANDS LÄN</t>
        </is>
      </c>
      <c r="E216" t="inlineStr">
        <is>
          <t>RAGUNDA</t>
        </is>
      </c>
      <c r="F216" t="inlineStr">
        <is>
          <t>SCA</t>
        </is>
      </c>
      <c r="G216" t="n">
        <v>8.1</v>
      </c>
      <c r="H216" t="n">
        <v>0</v>
      </c>
      <c r="I216" t="n">
        <v>0</v>
      </c>
      <c r="J216" t="n">
        <v>1</v>
      </c>
      <c r="K216" t="n">
        <v>0</v>
      </c>
      <c r="L216" t="n">
        <v>0</v>
      </c>
      <c r="M216" t="n">
        <v>0</v>
      </c>
      <c r="N216" t="n">
        <v>0</v>
      </c>
      <c r="O216" t="n">
        <v>1</v>
      </c>
      <c r="P216" t="n">
        <v>0</v>
      </c>
      <c r="Q216" t="n">
        <v>1</v>
      </c>
      <c r="R216" s="2" t="inlineStr">
        <is>
          <t>Garnlav</t>
        </is>
      </c>
      <c r="S216">
        <f>HYPERLINK("https://klasma.github.io/Logging_2303/artfynd/A 36224-2023 artfynd.xlsx", "A 36224-2023")</f>
        <v/>
      </c>
      <c r="T216">
        <f>HYPERLINK("https://klasma.github.io/Logging_2303/kartor/A 36224-2023 karta.png", "A 36224-2023")</f>
        <v/>
      </c>
      <c r="V216">
        <f>HYPERLINK("https://klasma.github.io/Logging_2303/klagomål/A 36224-2023 FSC-klagomål.docx", "A 36224-2023")</f>
        <v/>
      </c>
      <c r="W216">
        <f>HYPERLINK("https://klasma.github.io/Logging_2303/klagomålsmail/A 36224-2023 FSC-klagomål mail.docx", "A 36224-2023")</f>
        <v/>
      </c>
      <c r="X216">
        <f>HYPERLINK("https://klasma.github.io/Logging_2303/tillsyn/A 36224-2023 tillsynsbegäran.docx", "A 36224-2023")</f>
        <v/>
      </c>
      <c r="Y216">
        <f>HYPERLINK("https://klasma.github.io/Logging_2303/tillsynsmail/A 36224-2023 tillsynsbegäran mail.docx", "A 36224-2023")</f>
        <v/>
      </c>
    </row>
    <row r="217" ht="15" customHeight="1">
      <c r="A217" t="inlineStr">
        <is>
          <t>A 32069-2024</t>
        </is>
      </c>
      <c r="B217" s="1" t="n">
        <v>45510</v>
      </c>
      <c r="C217" s="1" t="n">
        <v>45890</v>
      </c>
      <c r="D217" t="inlineStr">
        <is>
          <t>JÄMTLANDS LÄN</t>
        </is>
      </c>
      <c r="E217" t="inlineStr">
        <is>
          <t>RAGUNDA</t>
        </is>
      </c>
      <c r="F217" t="inlineStr">
        <is>
          <t>SCA</t>
        </is>
      </c>
      <c r="G217" t="n">
        <v>1.8</v>
      </c>
      <c r="H217" t="n">
        <v>0</v>
      </c>
      <c r="I217" t="n">
        <v>0</v>
      </c>
      <c r="J217" t="n">
        <v>1</v>
      </c>
      <c r="K217" t="n">
        <v>0</v>
      </c>
      <c r="L217" t="n">
        <v>0</v>
      </c>
      <c r="M217" t="n">
        <v>0</v>
      </c>
      <c r="N217" t="n">
        <v>0</v>
      </c>
      <c r="O217" t="n">
        <v>1</v>
      </c>
      <c r="P217" t="n">
        <v>0</v>
      </c>
      <c r="Q217" t="n">
        <v>1</v>
      </c>
      <c r="R217" s="2" t="inlineStr">
        <is>
          <t>Lunglav</t>
        </is>
      </c>
      <c r="S217">
        <f>HYPERLINK("https://klasma.github.io/Logging_2303/artfynd/A 32069-2024 artfynd.xlsx", "A 32069-2024")</f>
        <v/>
      </c>
      <c r="T217">
        <f>HYPERLINK("https://klasma.github.io/Logging_2303/kartor/A 32069-2024 karta.png", "A 32069-2024")</f>
        <v/>
      </c>
      <c r="V217">
        <f>HYPERLINK("https://klasma.github.io/Logging_2303/klagomål/A 32069-2024 FSC-klagomål.docx", "A 32069-2024")</f>
        <v/>
      </c>
      <c r="W217">
        <f>HYPERLINK("https://klasma.github.io/Logging_2303/klagomålsmail/A 32069-2024 FSC-klagomål mail.docx", "A 32069-2024")</f>
        <v/>
      </c>
      <c r="X217">
        <f>HYPERLINK("https://klasma.github.io/Logging_2303/tillsyn/A 32069-2024 tillsynsbegäran.docx", "A 32069-2024")</f>
        <v/>
      </c>
      <c r="Y217">
        <f>HYPERLINK("https://klasma.github.io/Logging_2303/tillsynsmail/A 32069-2024 tillsynsbegäran mail.docx", "A 32069-2024")</f>
        <v/>
      </c>
    </row>
    <row r="218" ht="15" customHeight="1">
      <c r="A218" t="inlineStr">
        <is>
          <t>A 19751-2025</t>
        </is>
      </c>
      <c r="B218" s="1" t="n">
        <v>45771.3859837963</v>
      </c>
      <c r="C218" s="1" t="n">
        <v>45890</v>
      </c>
      <c r="D218" t="inlineStr">
        <is>
          <t>JÄMTLANDS LÄN</t>
        </is>
      </c>
      <c r="E218" t="inlineStr">
        <is>
          <t>RAGUNDA</t>
        </is>
      </c>
      <c r="F218" t="inlineStr">
        <is>
          <t>SCA</t>
        </is>
      </c>
      <c r="G218" t="n">
        <v>1.1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19751-2025 artfynd.xlsx", "A 19751-2025")</f>
        <v/>
      </c>
      <c r="T218">
        <f>HYPERLINK("https://klasma.github.io/Logging_2303/kartor/A 19751-2025 karta.png", "A 19751-2025")</f>
        <v/>
      </c>
      <c r="V218">
        <f>HYPERLINK("https://klasma.github.io/Logging_2303/klagomål/A 19751-2025 FSC-klagomål.docx", "A 19751-2025")</f>
        <v/>
      </c>
      <c r="W218">
        <f>HYPERLINK("https://klasma.github.io/Logging_2303/klagomålsmail/A 19751-2025 FSC-klagomål mail.docx", "A 19751-2025")</f>
        <v/>
      </c>
      <c r="X218">
        <f>HYPERLINK("https://klasma.github.io/Logging_2303/tillsyn/A 19751-2025 tillsynsbegäran.docx", "A 19751-2025")</f>
        <v/>
      </c>
      <c r="Y218">
        <f>HYPERLINK("https://klasma.github.io/Logging_2303/tillsynsmail/A 19751-2025 tillsynsbegäran mail.docx", "A 19751-2025")</f>
        <v/>
      </c>
      <c r="Z218">
        <f>HYPERLINK("https://klasma.github.io/Logging_2303/fåglar/A 19751-2025 prioriterade fågelarter.docx", "A 19751-2025")</f>
        <v/>
      </c>
    </row>
    <row r="219" ht="15" customHeight="1">
      <c r="A219" t="inlineStr">
        <is>
          <t>A 43404-2023</t>
        </is>
      </c>
      <c r="B219" s="1" t="n">
        <v>45183</v>
      </c>
      <c r="C219" s="1" t="n">
        <v>45890</v>
      </c>
      <c r="D219" t="inlineStr">
        <is>
          <t>JÄMTLANDS LÄN</t>
        </is>
      </c>
      <c r="E219" t="inlineStr">
        <is>
          <t>RAGUNDA</t>
        </is>
      </c>
      <c r="F219" t="inlineStr">
        <is>
          <t>SCA</t>
        </is>
      </c>
      <c r="G219" t="n">
        <v>0.9</v>
      </c>
      <c r="H219" t="n">
        <v>0</v>
      </c>
      <c r="I219" t="n">
        <v>1</v>
      </c>
      <c r="J219" t="n">
        <v>0</v>
      </c>
      <c r="K219" t="n">
        <v>0</v>
      </c>
      <c r="L219" t="n">
        <v>0</v>
      </c>
      <c r="M219" t="n">
        <v>0</v>
      </c>
      <c r="N219" t="n">
        <v>0</v>
      </c>
      <c r="O219" t="n">
        <v>0</v>
      </c>
      <c r="P219" t="n">
        <v>0</v>
      </c>
      <c r="Q219" t="n">
        <v>1</v>
      </c>
      <c r="R219" s="2" t="inlineStr">
        <is>
          <t>Kryddspindling</t>
        </is>
      </c>
      <c r="S219">
        <f>HYPERLINK("https://klasma.github.io/Logging_2303/artfynd/A 43404-2023 artfynd.xlsx", "A 43404-2023")</f>
        <v/>
      </c>
      <c r="T219">
        <f>HYPERLINK("https://klasma.github.io/Logging_2303/kartor/A 43404-2023 karta.png", "A 43404-2023")</f>
        <v/>
      </c>
      <c r="V219">
        <f>HYPERLINK("https://klasma.github.io/Logging_2303/klagomål/A 43404-2023 FSC-klagomål.docx", "A 43404-2023")</f>
        <v/>
      </c>
      <c r="W219">
        <f>HYPERLINK("https://klasma.github.io/Logging_2303/klagomålsmail/A 43404-2023 FSC-klagomål mail.docx", "A 43404-2023")</f>
        <v/>
      </c>
      <c r="X219">
        <f>HYPERLINK("https://klasma.github.io/Logging_2303/tillsyn/A 43404-2023 tillsynsbegäran.docx", "A 43404-2023")</f>
        <v/>
      </c>
      <c r="Y219">
        <f>HYPERLINK("https://klasma.github.io/Logging_2303/tillsynsmail/A 43404-2023 tillsynsbegäran mail.docx", "A 43404-2023")</f>
        <v/>
      </c>
    </row>
    <row r="220" ht="15" customHeight="1">
      <c r="A220" t="inlineStr">
        <is>
          <t>A 52898-2020</t>
        </is>
      </c>
      <c r="B220" s="1" t="n">
        <v>44119</v>
      </c>
      <c r="C220" s="1" t="n">
        <v>45890</v>
      </c>
      <c r="D220" t="inlineStr">
        <is>
          <t>JÄMTLANDS LÄN</t>
        </is>
      </c>
      <c r="E220" t="inlineStr">
        <is>
          <t>RAGUNDA</t>
        </is>
      </c>
      <c r="G220" t="n">
        <v>1.4</v>
      </c>
      <c r="H220" t="n">
        <v>1</v>
      </c>
      <c r="I220" t="n">
        <v>0</v>
      </c>
      <c r="J220" t="n">
        <v>0</v>
      </c>
      <c r="K220" t="n">
        <v>0</v>
      </c>
      <c r="L220" t="n">
        <v>0</v>
      </c>
      <c r="M220" t="n">
        <v>0</v>
      </c>
      <c r="N220" t="n">
        <v>0</v>
      </c>
      <c r="O220" t="n">
        <v>0</v>
      </c>
      <c r="P220" t="n">
        <v>0</v>
      </c>
      <c r="Q220" t="n">
        <v>1</v>
      </c>
      <c r="R220" s="2" t="inlineStr">
        <is>
          <t>Revlummer</t>
        </is>
      </c>
      <c r="S220">
        <f>HYPERLINK("https://klasma.github.io/Logging_2303/artfynd/A 52898-2020 artfynd.xlsx", "A 52898-2020")</f>
        <v/>
      </c>
      <c r="T220">
        <f>HYPERLINK("https://klasma.github.io/Logging_2303/kartor/A 52898-2020 karta.png", "A 52898-2020")</f>
        <v/>
      </c>
      <c r="V220">
        <f>HYPERLINK("https://klasma.github.io/Logging_2303/klagomål/A 52898-2020 FSC-klagomål.docx", "A 52898-2020")</f>
        <v/>
      </c>
      <c r="W220">
        <f>HYPERLINK("https://klasma.github.io/Logging_2303/klagomålsmail/A 52898-2020 FSC-klagomål mail.docx", "A 52898-2020")</f>
        <v/>
      </c>
      <c r="X220">
        <f>HYPERLINK("https://klasma.github.io/Logging_2303/tillsyn/A 52898-2020 tillsynsbegäran.docx", "A 52898-2020")</f>
        <v/>
      </c>
      <c r="Y220">
        <f>HYPERLINK("https://klasma.github.io/Logging_2303/tillsynsmail/A 52898-2020 tillsynsbegäran mail.docx", "A 52898-2020")</f>
        <v/>
      </c>
    </row>
    <row r="221" ht="15" customHeight="1">
      <c r="A221" t="inlineStr">
        <is>
          <t>A 24443-2024</t>
        </is>
      </c>
      <c r="B221" s="1" t="n">
        <v>45457.9640625</v>
      </c>
      <c r="C221" s="1" t="n">
        <v>45890</v>
      </c>
      <c r="D221" t="inlineStr">
        <is>
          <t>JÄMTLANDS LÄN</t>
        </is>
      </c>
      <c r="E221" t="inlineStr">
        <is>
          <t>RAGUNDA</t>
        </is>
      </c>
      <c r="F221" t="inlineStr">
        <is>
          <t>SCA</t>
        </is>
      </c>
      <c r="G221" t="n">
        <v>2.1</v>
      </c>
      <c r="H221" t="n">
        <v>0</v>
      </c>
      <c r="I221" t="n">
        <v>0</v>
      </c>
      <c r="J221" t="n">
        <v>1</v>
      </c>
      <c r="K221" t="n">
        <v>0</v>
      </c>
      <c r="L221" t="n">
        <v>0</v>
      </c>
      <c r="M221" t="n">
        <v>0</v>
      </c>
      <c r="N221" t="n">
        <v>0</v>
      </c>
      <c r="O221" t="n">
        <v>1</v>
      </c>
      <c r="P221" t="n">
        <v>0</v>
      </c>
      <c r="Q221" t="n">
        <v>1</v>
      </c>
      <c r="R221" s="2" t="inlineStr">
        <is>
          <t>Lunglav</t>
        </is>
      </c>
      <c r="S221">
        <f>HYPERLINK("https://klasma.github.io/Logging_2303/artfynd/A 24443-2024 artfynd.xlsx", "A 24443-2024")</f>
        <v/>
      </c>
      <c r="T221">
        <f>HYPERLINK("https://klasma.github.io/Logging_2303/kartor/A 24443-2024 karta.png", "A 24443-2024")</f>
        <v/>
      </c>
      <c r="U221">
        <f>HYPERLINK("https://klasma.github.io/Logging_2303/knärot/A 24443-2024 karta knärot.png", "A 24443-2024")</f>
        <v/>
      </c>
      <c r="V221">
        <f>HYPERLINK("https://klasma.github.io/Logging_2303/klagomål/A 24443-2024 FSC-klagomål.docx", "A 24443-2024")</f>
        <v/>
      </c>
      <c r="W221">
        <f>HYPERLINK("https://klasma.github.io/Logging_2303/klagomålsmail/A 24443-2024 FSC-klagomål mail.docx", "A 24443-2024")</f>
        <v/>
      </c>
      <c r="X221">
        <f>HYPERLINK("https://klasma.github.io/Logging_2303/tillsyn/A 24443-2024 tillsynsbegäran.docx", "A 24443-2024")</f>
        <v/>
      </c>
      <c r="Y221">
        <f>HYPERLINK("https://klasma.github.io/Logging_2303/tillsynsmail/A 24443-2024 tillsynsbegäran mail.docx", "A 24443-2024")</f>
        <v/>
      </c>
    </row>
    <row r="222" ht="15" customHeight="1">
      <c r="A222" t="inlineStr">
        <is>
          <t>A 23930-2024</t>
        </is>
      </c>
      <c r="B222" s="1" t="n">
        <v>45455.96184027778</v>
      </c>
      <c r="C222" s="1" t="n">
        <v>45890</v>
      </c>
      <c r="D222" t="inlineStr">
        <is>
          <t>JÄMTLANDS LÄN</t>
        </is>
      </c>
      <c r="E222" t="inlineStr">
        <is>
          <t>RAGUNDA</t>
        </is>
      </c>
      <c r="F222" t="inlineStr">
        <is>
          <t>SCA</t>
        </is>
      </c>
      <c r="G222" t="n">
        <v>4.2</v>
      </c>
      <c r="H222" t="n">
        <v>1</v>
      </c>
      <c r="I222" t="n">
        <v>1</v>
      </c>
      <c r="J222" t="n">
        <v>0</v>
      </c>
      <c r="K222" t="n">
        <v>0</v>
      </c>
      <c r="L222" t="n">
        <v>0</v>
      </c>
      <c r="M222" t="n">
        <v>0</v>
      </c>
      <c r="N222" t="n">
        <v>0</v>
      </c>
      <c r="O222" t="n">
        <v>0</v>
      </c>
      <c r="P222" t="n">
        <v>0</v>
      </c>
      <c r="Q222" t="n">
        <v>1</v>
      </c>
      <c r="R222" s="2" t="inlineStr">
        <is>
          <t>Guckusko</t>
        </is>
      </c>
      <c r="S222">
        <f>HYPERLINK("https://klasma.github.io/Logging_2303/artfynd/A 23930-2024 artfynd.xlsx", "A 23930-2024")</f>
        <v/>
      </c>
      <c r="T222">
        <f>HYPERLINK("https://klasma.github.io/Logging_2303/kartor/A 23930-2024 karta.png", "A 23930-2024")</f>
        <v/>
      </c>
      <c r="V222">
        <f>HYPERLINK("https://klasma.github.io/Logging_2303/klagomål/A 23930-2024 FSC-klagomål.docx", "A 23930-2024")</f>
        <v/>
      </c>
      <c r="W222">
        <f>HYPERLINK("https://klasma.github.io/Logging_2303/klagomålsmail/A 23930-2024 FSC-klagomål mail.docx", "A 23930-2024")</f>
        <v/>
      </c>
      <c r="X222">
        <f>HYPERLINK("https://klasma.github.io/Logging_2303/tillsyn/A 23930-2024 tillsynsbegäran.docx", "A 23930-2024")</f>
        <v/>
      </c>
      <c r="Y222">
        <f>HYPERLINK("https://klasma.github.io/Logging_2303/tillsynsmail/A 23930-2024 tillsynsbegäran mail.docx", "A 23930-2024")</f>
        <v/>
      </c>
    </row>
    <row r="223" ht="15" customHeight="1">
      <c r="A223" t="inlineStr">
        <is>
          <t>A 19387-2025</t>
        </is>
      </c>
      <c r="B223" s="1" t="n">
        <v>45769.65736111111</v>
      </c>
      <c r="C223" s="1" t="n">
        <v>45890</v>
      </c>
      <c r="D223" t="inlineStr">
        <is>
          <t>JÄMTLANDS LÄN</t>
        </is>
      </c>
      <c r="E223" t="inlineStr">
        <is>
          <t>RAGUNDA</t>
        </is>
      </c>
      <c r="F223" t="inlineStr">
        <is>
          <t>SCA</t>
        </is>
      </c>
      <c r="G223" t="n">
        <v>16.4</v>
      </c>
      <c r="H223" t="n">
        <v>1</v>
      </c>
      <c r="I223" t="n">
        <v>0</v>
      </c>
      <c r="J223" t="n">
        <v>0</v>
      </c>
      <c r="K223" t="n">
        <v>1</v>
      </c>
      <c r="L223" t="n">
        <v>0</v>
      </c>
      <c r="M223" t="n">
        <v>0</v>
      </c>
      <c r="N223" t="n">
        <v>0</v>
      </c>
      <c r="O223" t="n">
        <v>1</v>
      </c>
      <c r="P223" t="n">
        <v>1</v>
      </c>
      <c r="Q223" t="n">
        <v>1</v>
      </c>
      <c r="R223" s="2" t="inlineStr">
        <is>
          <t>Norna</t>
        </is>
      </c>
      <c r="S223">
        <f>HYPERLINK("https://klasma.github.io/Logging_2303/artfynd/A 19387-2025 artfynd.xlsx", "A 19387-2025")</f>
        <v/>
      </c>
      <c r="T223">
        <f>HYPERLINK("https://klasma.github.io/Logging_2303/kartor/A 19387-2025 karta.png", "A 19387-2025")</f>
        <v/>
      </c>
      <c r="V223">
        <f>HYPERLINK("https://klasma.github.io/Logging_2303/klagomål/A 19387-2025 FSC-klagomål.docx", "A 19387-2025")</f>
        <v/>
      </c>
      <c r="W223">
        <f>HYPERLINK("https://klasma.github.io/Logging_2303/klagomålsmail/A 19387-2025 FSC-klagomål mail.docx", "A 19387-2025")</f>
        <v/>
      </c>
      <c r="X223">
        <f>HYPERLINK("https://klasma.github.io/Logging_2303/tillsyn/A 19387-2025 tillsynsbegäran.docx", "A 19387-2025")</f>
        <v/>
      </c>
      <c r="Y223">
        <f>HYPERLINK("https://klasma.github.io/Logging_2303/tillsynsmail/A 19387-2025 tillsynsbegäran mail.docx", "A 19387-2025")</f>
        <v/>
      </c>
    </row>
    <row r="224" ht="15" customHeight="1">
      <c r="A224" t="inlineStr">
        <is>
          <t>A 2929-2024</t>
        </is>
      </c>
      <c r="B224" s="1" t="n">
        <v>45315</v>
      </c>
      <c r="C224" s="1" t="n">
        <v>45890</v>
      </c>
      <c r="D224" t="inlineStr">
        <is>
          <t>JÄMTLANDS LÄN</t>
        </is>
      </c>
      <c r="E224" t="inlineStr">
        <is>
          <t>RAGUNDA</t>
        </is>
      </c>
      <c r="G224" t="n">
        <v>1</v>
      </c>
      <c r="H224" t="n">
        <v>0</v>
      </c>
      <c r="I224" t="n">
        <v>0</v>
      </c>
      <c r="J224" t="n">
        <v>1</v>
      </c>
      <c r="K224" t="n">
        <v>0</v>
      </c>
      <c r="L224" t="n">
        <v>0</v>
      </c>
      <c r="M224" t="n">
        <v>0</v>
      </c>
      <c r="N224" t="n">
        <v>0</v>
      </c>
      <c r="O224" t="n">
        <v>1</v>
      </c>
      <c r="P224" t="n">
        <v>0</v>
      </c>
      <c r="Q224" t="n">
        <v>1</v>
      </c>
      <c r="R224" s="2" t="inlineStr">
        <is>
          <t>Klådris</t>
        </is>
      </c>
      <c r="S224">
        <f>HYPERLINK("https://klasma.github.io/Logging_2303/artfynd/A 2929-2024 artfynd.xlsx", "A 2929-2024")</f>
        <v/>
      </c>
      <c r="T224">
        <f>HYPERLINK("https://klasma.github.io/Logging_2303/kartor/A 2929-2024 karta.png", "A 2929-2024")</f>
        <v/>
      </c>
      <c r="V224">
        <f>HYPERLINK("https://klasma.github.io/Logging_2303/klagomål/A 2929-2024 FSC-klagomål.docx", "A 2929-2024")</f>
        <v/>
      </c>
      <c r="W224">
        <f>HYPERLINK("https://klasma.github.io/Logging_2303/klagomålsmail/A 2929-2024 FSC-klagomål mail.docx", "A 2929-2024")</f>
        <v/>
      </c>
      <c r="X224">
        <f>HYPERLINK("https://klasma.github.io/Logging_2303/tillsyn/A 2929-2024 tillsynsbegäran.docx", "A 2929-2024")</f>
        <v/>
      </c>
      <c r="Y224">
        <f>HYPERLINK("https://klasma.github.io/Logging_2303/tillsynsmail/A 2929-2024 tillsynsbegäran mail.docx", "A 2929-2024")</f>
        <v/>
      </c>
    </row>
    <row r="225" ht="15" customHeight="1">
      <c r="A225" t="inlineStr">
        <is>
          <t>A 19728-2025</t>
        </is>
      </c>
      <c r="B225" s="1" t="n">
        <v>45771.36548611111</v>
      </c>
      <c r="C225" s="1" t="n">
        <v>45890</v>
      </c>
      <c r="D225" t="inlineStr">
        <is>
          <t>JÄMTLANDS LÄN</t>
        </is>
      </c>
      <c r="E225" t="inlineStr">
        <is>
          <t>RAGUNDA</t>
        </is>
      </c>
      <c r="F225" t="inlineStr">
        <is>
          <t>SCA</t>
        </is>
      </c>
      <c r="G225" t="n">
        <v>6.2</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19728-2025 artfynd.xlsx", "A 19728-2025")</f>
        <v/>
      </c>
      <c r="T225">
        <f>HYPERLINK("https://klasma.github.io/Logging_2303/kartor/A 19728-2025 karta.png", "A 19728-2025")</f>
        <v/>
      </c>
      <c r="V225">
        <f>HYPERLINK("https://klasma.github.io/Logging_2303/klagomål/A 19728-2025 FSC-klagomål.docx", "A 19728-2025")</f>
        <v/>
      </c>
      <c r="W225">
        <f>HYPERLINK("https://klasma.github.io/Logging_2303/klagomålsmail/A 19728-2025 FSC-klagomål mail.docx", "A 19728-2025")</f>
        <v/>
      </c>
      <c r="X225">
        <f>HYPERLINK("https://klasma.github.io/Logging_2303/tillsyn/A 19728-2025 tillsynsbegäran.docx", "A 19728-2025")</f>
        <v/>
      </c>
      <c r="Y225">
        <f>HYPERLINK("https://klasma.github.io/Logging_2303/tillsynsmail/A 19728-2025 tillsynsbegäran mail.docx", "A 19728-2025")</f>
        <v/>
      </c>
      <c r="Z225">
        <f>HYPERLINK("https://klasma.github.io/Logging_2303/fåglar/A 19728-2025 prioriterade fågelarter.docx", "A 19728-2025")</f>
        <v/>
      </c>
    </row>
    <row r="226" ht="15" customHeight="1">
      <c r="A226" t="inlineStr">
        <is>
          <t>A 58846-2024</t>
        </is>
      </c>
      <c r="B226" s="1" t="n">
        <v>45636.3863425926</v>
      </c>
      <c r="C226" s="1" t="n">
        <v>45890</v>
      </c>
      <c r="D226" t="inlineStr">
        <is>
          <t>JÄMTLANDS LÄN</t>
        </is>
      </c>
      <c r="E226" t="inlineStr">
        <is>
          <t>RAGUNDA</t>
        </is>
      </c>
      <c r="F226" t="inlineStr">
        <is>
          <t>SCA</t>
        </is>
      </c>
      <c r="G226" t="n">
        <v>1.5</v>
      </c>
      <c r="H226" t="n">
        <v>0</v>
      </c>
      <c r="I226" t="n">
        <v>0</v>
      </c>
      <c r="J226" t="n">
        <v>0</v>
      </c>
      <c r="K226" t="n">
        <v>1</v>
      </c>
      <c r="L226" t="n">
        <v>0</v>
      </c>
      <c r="M226" t="n">
        <v>0</v>
      </c>
      <c r="N226" t="n">
        <v>0</v>
      </c>
      <c r="O226" t="n">
        <v>1</v>
      </c>
      <c r="P226" t="n">
        <v>1</v>
      </c>
      <c r="Q226" t="n">
        <v>1</v>
      </c>
      <c r="R226" s="2" t="inlineStr">
        <is>
          <t>Rynkskinn</t>
        </is>
      </c>
      <c r="S226">
        <f>HYPERLINK("https://klasma.github.io/Logging_2303/artfynd/A 58846-2024 artfynd.xlsx", "A 58846-2024")</f>
        <v/>
      </c>
      <c r="T226">
        <f>HYPERLINK("https://klasma.github.io/Logging_2303/kartor/A 58846-2024 karta.png", "A 58846-2024")</f>
        <v/>
      </c>
      <c r="V226">
        <f>HYPERLINK("https://klasma.github.io/Logging_2303/klagomål/A 58846-2024 FSC-klagomål.docx", "A 58846-2024")</f>
        <v/>
      </c>
      <c r="W226">
        <f>HYPERLINK("https://klasma.github.io/Logging_2303/klagomålsmail/A 58846-2024 FSC-klagomål mail.docx", "A 58846-2024")</f>
        <v/>
      </c>
      <c r="X226">
        <f>HYPERLINK("https://klasma.github.io/Logging_2303/tillsyn/A 58846-2024 tillsynsbegäran.docx", "A 58846-2024")</f>
        <v/>
      </c>
      <c r="Y226">
        <f>HYPERLINK("https://klasma.github.io/Logging_2303/tillsynsmail/A 58846-2024 tillsynsbegäran mail.docx", "A 58846-2024")</f>
        <v/>
      </c>
    </row>
    <row r="227" ht="15" customHeight="1">
      <c r="A227" t="inlineStr">
        <is>
          <t>A 978-2024</t>
        </is>
      </c>
      <c r="B227" s="1" t="n">
        <v>45301</v>
      </c>
      <c r="C227" s="1" t="n">
        <v>45890</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45890</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36854-2023</t>
        </is>
      </c>
      <c r="B229" s="1" t="n">
        <v>45153</v>
      </c>
      <c r="C229" s="1" t="n">
        <v>45890</v>
      </c>
      <c r="D229" t="inlineStr">
        <is>
          <t>JÄMTLANDS LÄN</t>
        </is>
      </c>
      <c r="E229" t="inlineStr">
        <is>
          <t>RAGUNDA</t>
        </is>
      </c>
      <c r="G229" t="n">
        <v>4</v>
      </c>
      <c r="H229" t="n">
        <v>1</v>
      </c>
      <c r="I229" t="n">
        <v>0</v>
      </c>
      <c r="J229" t="n">
        <v>1</v>
      </c>
      <c r="K229" t="n">
        <v>0</v>
      </c>
      <c r="L229" t="n">
        <v>0</v>
      </c>
      <c r="M229" t="n">
        <v>0</v>
      </c>
      <c r="N229" t="n">
        <v>0</v>
      </c>
      <c r="O229" t="n">
        <v>1</v>
      </c>
      <c r="P229" t="n">
        <v>0</v>
      </c>
      <c r="Q229" t="n">
        <v>1</v>
      </c>
      <c r="R229" s="2" t="inlineStr">
        <is>
          <t>Talltita</t>
        </is>
      </c>
      <c r="S229">
        <f>HYPERLINK("https://klasma.github.io/Logging_2303/artfynd/A 36854-2023 artfynd.xlsx", "A 36854-2023")</f>
        <v/>
      </c>
      <c r="T229">
        <f>HYPERLINK("https://klasma.github.io/Logging_2303/kartor/A 36854-2023 karta.png", "A 36854-2023")</f>
        <v/>
      </c>
      <c r="V229">
        <f>HYPERLINK("https://klasma.github.io/Logging_2303/klagomål/A 36854-2023 FSC-klagomål.docx", "A 36854-2023")</f>
        <v/>
      </c>
      <c r="W229">
        <f>HYPERLINK("https://klasma.github.io/Logging_2303/klagomålsmail/A 36854-2023 FSC-klagomål mail.docx", "A 36854-2023")</f>
        <v/>
      </c>
      <c r="X229">
        <f>HYPERLINK("https://klasma.github.io/Logging_2303/tillsyn/A 36854-2023 tillsynsbegäran.docx", "A 36854-2023")</f>
        <v/>
      </c>
      <c r="Y229">
        <f>HYPERLINK("https://klasma.github.io/Logging_2303/tillsynsmail/A 36854-2023 tillsynsbegäran mail.docx", "A 36854-2023")</f>
        <v/>
      </c>
      <c r="Z229">
        <f>HYPERLINK("https://klasma.github.io/Logging_2303/fåglar/A 36854-2023 prioriterade fågelarter.docx", "A 36854-2023")</f>
        <v/>
      </c>
    </row>
    <row r="230" ht="15" customHeight="1">
      <c r="A230" t="inlineStr">
        <is>
          <t>A 27573-2025</t>
        </is>
      </c>
      <c r="B230" s="1" t="n">
        <v>45813.49061342593</v>
      </c>
      <c r="C230" s="1" t="n">
        <v>45890</v>
      </c>
      <c r="D230" t="inlineStr">
        <is>
          <t>JÄMTLANDS LÄN</t>
        </is>
      </c>
      <c r="E230" t="inlineStr">
        <is>
          <t>RAGUNDA</t>
        </is>
      </c>
      <c r="F230" t="inlineStr">
        <is>
          <t>SCA</t>
        </is>
      </c>
      <c r="G230" t="n">
        <v>14.9</v>
      </c>
      <c r="H230" t="n">
        <v>0</v>
      </c>
      <c r="I230" t="n">
        <v>1</v>
      </c>
      <c r="J230" t="n">
        <v>0</v>
      </c>
      <c r="K230" t="n">
        <v>0</v>
      </c>
      <c r="L230" t="n">
        <v>0</v>
      </c>
      <c r="M230" t="n">
        <v>0</v>
      </c>
      <c r="N230" t="n">
        <v>0</v>
      </c>
      <c r="O230" t="n">
        <v>0</v>
      </c>
      <c r="P230" t="n">
        <v>0</v>
      </c>
      <c r="Q230" t="n">
        <v>1</v>
      </c>
      <c r="R230" s="2" t="inlineStr">
        <is>
          <t>Skinnlav</t>
        </is>
      </c>
      <c r="S230">
        <f>HYPERLINK("https://klasma.github.io/Logging_2303/artfynd/A 27573-2025 artfynd.xlsx", "A 27573-2025")</f>
        <v/>
      </c>
      <c r="T230">
        <f>HYPERLINK("https://klasma.github.io/Logging_2303/kartor/A 27573-2025 karta.png", "A 27573-2025")</f>
        <v/>
      </c>
      <c r="U230">
        <f>HYPERLINK("https://klasma.github.io/Logging_2303/knärot/A 27573-2025 karta knärot.png", "A 27573-2025")</f>
        <v/>
      </c>
      <c r="V230">
        <f>HYPERLINK("https://klasma.github.io/Logging_2303/klagomål/A 27573-2025 FSC-klagomål.docx", "A 27573-2025")</f>
        <v/>
      </c>
      <c r="W230">
        <f>HYPERLINK("https://klasma.github.io/Logging_2303/klagomålsmail/A 27573-2025 FSC-klagomål mail.docx", "A 27573-2025")</f>
        <v/>
      </c>
      <c r="X230">
        <f>HYPERLINK("https://klasma.github.io/Logging_2303/tillsyn/A 27573-2025 tillsynsbegäran.docx", "A 27573-2025")</f>
        <v/>
      </c>
      <c r="Y230">
        <f>HYPERLINK("https://klasma.github.io/Logging_2303/tillsynsmail/A 27573-2025 tillsynsbegäran mail.docx", "A 27573-2025")</f>
        <v/>
      </c>
    </row>
    <row r="231" ht="15" customHeight="1">
      <c r="A231" t="inlineStr">
        <is>
          <t>A 18985-2023</t>
        </is>
      </c>
      <c r="B231" s="1" t="n">
        <v>45044</v>
      </c>
      <c r="C231" s="1" t="n">
        <v>45890</v>
      </c>
      <c r="D231" t="inlineStr">
        <is>
          <t>JÄMTLANDS LÄN</t>
        </is>
      </c>
      <c r="E231" t="inlineStr">
        <is>
          <t>RAGUNDA</t>
        </is>
      </c>
      <c r="F231" t="inlineStr">
        <is>
          <t>SCA</t>
        </is>
      </c>
      <c r="G231" t="n">
        <v>2.6</v>
      </c>
      <c r="H231" t="n">
        <v>0</v>
      </c>
      <c r="I231" t="n">
        <v>0</v>
      </c>
      <c r="J231" t="n">
        <v>1</v>
      </c>
      <c r="K231" t="n">
        <v>0</v>
      </c>
      <c r="L231" t="n">
        <v>0</v>
      </c>
      <c r="M231" t="n">
        <v>0</v>
      </c>
      <c r="N231" t="n">
        <v>0</v>
      </c>
      <c r="O231" t="n">
        <v>1</v>
      </c>
      <c r="P231" t="n">
        <v>0</v>
      </c>
      <c r="Q231" t="n">
        <v>1</v>
      </c>
      <c r="R231" s="2" t="inlineStr">
        <is>
          <t>Doftskinn</t>
        </is>
      </c>
      <c r="S231">
        <f>HYPERLINK("https://klasma.github.io/Logging_2303/artfynd/A 18985-2023 artfynd.xlsx", "A 18985-2023")</f>
        <v/>
      </c>
      <c r="T231">
        <f>HYPERLINK("https://klasma.github.io/Logging_2303/kartor/A 18985-2023 karta.png", "A 18985-2023")</f>
        <v/>
      </c>
      <c r="V231">
        <f>HYPERLINK("https://klasma.github.io/Logging_2303/klagomål/A 18985-2023 FSC-klagomål.docx", "A 18985-2023")</f>
        <v/>
      </c>
      <c r="W231">
        <f>HYPERLINK("https://klasma.github.io/Logging_2303/klagomålsmail/A 18985-2023 FSC-klagomål mail.docx", "A 18985-2023")</f>
        <v/>
      </c>
      <c r="X231">
        <f>HYPERLINK("https://klasma.github.io/Logging_2303/tillsyn/A 18985-2023 tillsynsbegäran.docx", "A 18985-2023")</f>
        <v/>
      </c>
      <c r="Y231">
        <f>HYPERLINK("https://klasma.github.io/Logging_2303/tillsynsmail/A 18985-2023 tillsynsbegäran mail.docx", "A 18985-2023")</f>
        <v/>
      </c>
    </row>
    <row r="232" ht="15" customHeight="1">
      <c r="A232" t="inlineStr">
        <is>
          <t>A 30485-2024</t>
        </is>
      </c>
      <c r="B232" s="1" t="n">
        <v>45491.95008101852</v>
      </c>
      <c r="C232" s="1" t="n">
        <v>45890</v>
      </c>
      <c r="D232" t="inlineStr">
        <is>
          <t>JÄMTLANDS LÄN</t>
        </is>
      </c>
      <c r="E232" t="inlineStr">
        <is>
          <t>RAGUNDA</t>
        </is>
      </c>
      <c r="F232" t="inlineStr">
        <is>
          <t>SCA</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HYPERLINK("https://klasma.github.io/Logging_2303/artfynd/A 30485-2024 artfynd.xlsx", "A 30485-2024")</f>
        <v/>
      </c>
      <c r="T232">
        <f>HYPERLINK("https://klasma.github.io/Logging_2303/kartor/A 30485-2024 karta.png", "A 30485-2024")</f>
        <v/>
      </c>
      <c r="V232">
        <f>HYPERLINK("https://klasma.github.io/Logging_2303/klagomål/A 30485-2024 FSC-klagomål.docx", "A 30485-2024")</f>
        <v/>
      </c>
      <c r="W232">
        <f>HYPERLINK("https://klasma.github.io/Logging_2303/klagomålsmail/A 30485-2024 FSC-klagomål mail.docx", "A 30485-2024")</f>
        <v/>
      </c>
      <c r="X232">
        <f>HYPERLINK("https://klasma.github.io/Logging_2303/tillsyn/A 30485-2024 tillsynsbegäran.docx", "A 30485-2024")</f>
        <v/>
      </c>
      <c r="Y232">
        <f>HYPERLINK("https://klasma.github.io/Logging_2303/tillsynsmail/A 30485-2024 tillsynsbegäran mail.docx", "A 30485-2024")</f>
        <v/>
      </c>
    </row>
    <row r="233" ht="15" customHeight="1">
      <c r="A233" t="inlineStr">
        <is>
          <t>A 35750-2023</t>
        </is>
      </c>
      <c r="B233" s="1" t="n">
        <v>45147</v>
      </c>
      <c r="C233" s="1" t="n">
        <v>45890</v>
      </c>
      <c r="D233" t="inlineStr">
        <is>
          <t>JÄMTLANDS LÄN</t>
        </is>
      </c>
      <c r="E233" t="inlineStr">
        <is>
          <t>RAGUNDA</t>
        </is>
      </c>
      <c r="F233" t="inlineStr">
        <is>
          <t>SCA</t>
        </is>
      </c>
      <c r="G233" t="n">
        <v>4.8</v>
      </c>
      <c r="H233" t="n">
        <v>0</v>
      </c>
      <c r="I233" t="n">
        <v>0</v>
      </c>
      <c r="J233" t="n">
        <v>1</v>
      </c>
      <c r="K233" t="n">
        <v>0</v>
      </c>
      <c r="L233" t="n">
        <v>0</v>
      </c>
      <c r="M233" t="n">
        <v>0</v>
      </c>
      <c r="N233" t="n">
        <v>0</v>
      </c>
      <c r="O233" t="n">
        <v>1</v>
      </c>
      <c r="P233" t="n">
        <v>0</v>
      </c>
      <c r="Q233" t="n">
        <v>1</v>
      </c>
      <c r="R233" s="2" t="inlineStr">
        <is>
          <t>Grantaggsvamp</t>
        </is>
      </c>
      <c r="S233">
        <f>HYPERLINK("https://klasma.github.io/Logging_2303/artfynd/A 35750-2023 artfynd.xlsx", "A 35750-2023")</f>
        <v/>
      </c>
      <c r="T233">
        <f>HYPERLINK("https://klasma.github.io/Logging_2303/kartor/A 35750-2023 karta.png", "A 35750-2023")</f>
        <v/>
      </c>
      <c r="V233">
        <f>HYPERLINK("https://klasma.github.io/Logging_2303/klagomål/A 35750-2023 FSC-klagomål.docx", "A 35750-2023")</f>
        <v/>
      </c>
      <c r="W233">
        <f>HYPERLINK("https://klasma.github.io/Logging_2303/klagomålsmail/A 35750-2023 FSC-klagomål mail.docx", "A 35750-2023")</f>
        <v/>
      </c>
      <c r="X233">
        <f>HYPERLINK("https://klasma.github.io/Logging_2303/tillsyn/A 35750-2023 tillsynsbegäran.docx", "A 35750-2023")</f>
        <v/>
      </c>
      <c r="Y233">
        <f>HYPERLINK("https://klasma.github.io/Logging_2303/tillsynsmail/A 35750-2023 tillsynsbegäran mail.docx", "A 35750-2023")</f>
        <v/>
      </c>
    </row>
    <row r="234" ht="15" customHeight="1">
      <c r="A234" t="inlineStr">
        <is>
          <t>A 31773-2021</t>
        </is>
      </c>
      <c r="B234" s="1" t="n">
        <v>44369</v>
      </c>
      <c r="C234" s="1" t="n">
        <v>45890</v>
      </c>
      <c r="D234" t="inlineStr">
        <is>
          <t>JÄMTLANDS LÄN</t>
        </is>
      </c>
      <c r="E234" t="inlineStr">
        <is>
          <t>RAGUNDA</t>
        </is>
      </c>
      <c r="G234" t="n">
        <v>0.8</v>
      </c>
      <c r="H234" t="n">
        <v>0</v>
      </c>
      <c r="I234" t="n">
        <v>0</v>
      </c>
      <c r="J234" t="n">
        <v>0</v>
      </c>
      <c r="K234" t="n">
        <v>1</v>
      </c>
      <c r="L234" t="n">
        <v>0</v>
      </c>
      <c r="M234" t="n">
        <v>0</v>
      </c>
      <c r="N234" t="n">
        <v>0</v>
      </c>
      <c r="O234" t="n">
        <v>1</v>
      </c>
      <c r="P234" t="n">
        <v>1</v>
      </c>
      <c r="Q234" t="n">
        <v>1</v>
      </c>
      <c r="R234" s="2" t="inlineStr">
        <is>
          <t>Strandsandjägare</t>
        </is>
      </c>
      <c r="S234">
        <f>HYPERLINK("https://klasma.github.io/Logging_2303/artfynd/A 31773-2021 artfynd.xlsx", "A 31773-2021")</f>
        <v/>
      </c>
      <c r="T234">
        <f>HYPERLINK("https://klasma.github.io/Logging_2303/kartor/A 31773-2021 karta.png", "A 31773-2021")</f>
        <v/>
      </c>
      <c r="V234">
        <f>HYPERLINK("https://klasma.github.io/Logging_2303/klagomål/A 31773-2021 FSC-klagomål.docx", "A 31773-2021")</f>
        <v/>
      </c>
      <c r="W234">
        <f>HYPERLINK("https://klasma.github.io/Logging_2303/klagomålsmail/A 31773-2021 FSC-klagomål mail.docx", "A 31773-2021")</f>
        <v/>
      </c>
      <c r="X234">
        <f>HYPERLINK("https://klasma.github.io/Logging_2303/tillsyn/A 31773-2021 tillsynsbegäran.docx", "A 31773-2021")</f>
        <v/>
      </c>
      <c r="Y234">
        <f>HYPERLINK("https://klasma.github.io/Logging_2303/tillsynsmail/A 31773-2021 tillsynsbegäran mail.docx", "A 31773-2021")</f>
        <v/>
      </c>
    </row>
    <row r="235" ht="15" customHeight="1">
      <c r="A235" t="inlineStr">
        <is>
          <t>A 30390-2025</t>
        </is>
      </c>
      <c r="B235" s="1" t="n">
        <v>45827.57371527778</v>
      </c>
      <c r="C235" s="1" t="n">
        <v>45890</v>
      </c>
      <c r="D235" t="inlineStr">
        <is>
          <t>JÄMTLANDS LÄN</t>
        </is>
      </c>
      <c r="E235" t="inlineStr">
        <is>
          <t>RAGUNDA</t>
        </is>
      </c>
      <c r="F235" t="inlineStr">
        <is>
          <t>SCA</t>
        </is>
      </c>
      <c r="G235" t="n">
        <v>11.2</v>
      </c>
      <c r="H235" t="n">
        <v>0</v>
      </c>
      <c r="I235" t="n">
        <v>0</v>
      </c>
      <c r="J235" t="n">
        <v>1</v>
      </c>
      <c r="K235" t="n">
        <v>0</v>
      </c>
      <c r="L235" t="n">
        <v>0</v>
      </c>
      <c r="M235" t="n">
        <v>0</v>
      </c>
      <c r="N235" t="n">
        <v>0</v>
      </c>
      <c r="O235" t="n">
        <v>1</v>
      </c>
      <c r="P235" t="n">
        <v>0</v>
      </c>
      <c r="Q235" t="n">
        <v>1</v>
      </c>
      <c r="R235" s="2" t="inlineStr">
        <is>
          <t>Lunglav</t>
        </is>
      </c>
      <c r="S235">
        <f>HYPERLINK("https://klasma.github.io/Logging_2303/artfynd/A 30390-2025 artfynd.xlsx", "A 30390-2025")</f>
        <v/>
      </c>
      <c r="T235">
        <f>HYPERLINK("https://klasma.github.io/Logging_2303/kartor/A 30390-2025 karta.png", "A 30390-2025")</f>
        <v/>
      </c>
      <c r="U235">
        <f>HYPERLINK("https://klasma.github.io/Logging_2303/knärot/A 30390-2025 karta knärot.png", "A 30390-2025")</f>
        <v/>
      </c>
      <c r="V235">
        <f>HYPERLINK("https://klasma.github.io/Logging_2303/klagomål/A 30390-2025 FSC-klagomål.docx", "A 30390-2025")</f>
        <v/>
      </c>
      <c r="W235">
        <f>HYPERLINK("https://klasma.github.io/Logging_2303/klagomålsmail/A 30390-2025 FSC-klagomål mail.docx", "A 30390-2025")</f>
        <v/>
      </c>
      <c r="X235">
        <f>HYPERLINK("https://klasma.github.io/Logging_2303/tillsyn/A 30390-2025 tillsynsbegäran.docx", "A 30390-2025")</f>
        <v/>
      </c>
      <c r="Y235">
        <f>HYPERLINK("https://klasma.github.io/Logging_2303/tillsynsmail/A 30390-2025 tillsynsbegäran mail.docx", "A 30390-2025")</f>
        <v/>
      </c>
    </row>
    <row r="236" ht="15" customHeight="1">
      <c r="A236" t="inlineStr">
        <is>
          <t>A 26317-2024</t>
        </is>
      </c>
      <c r="B236" s="1" t="n">
        <v>45468</v>
      </c>
      <c r="C236" s="1" t="n">
        <v>45890</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22054-2025</t>
        </is>
      </c>
      <c r="B237" s="1" t="n">
        <v>45785.36525462963</v>
      </c>
      <c r="C237" s="1" t="n">
        <v>45890</v>
      </c>
      <c r="D237" t="inlineStr">
        <is>
          <t>JÄMTLANDS LÄN</t>
        </is>
      </c>
      <c r="E237" t="inlineStr">
        <is>
          <t>RAGUNDA</t>
        </is>
      </c>
      <c r="F237" t="inlineStr">
        <is>
          <t>SCA</t>
        </is>
      </c>
      <c r="G237" t="n">
        <v>4</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22054-2025 artfynd.xlsx", "A 22054-2025")</f>
        <v/>
      </c>
      <c r="T237">
        <f>HYPERLINK("https://klasma.github.io/Logging_2303/kartor/A 22054-2025 karta.png", "A 22054-2025")</f>
        <v/>
      </c>
      <c r="V237">
        <f>HYPERLINK("https://klasma.github.io/Logging_2303/klagomål/A 22054-2025 FSC-klagomål.docx", "A 22054-2025")</f>
        <v/>
      </c>
      <c r="W237">
        <f>HYPERLINK("https://klasma.github.io/Logging_2303/klagomålsmail/A 22054-2025 FSC-klagomål mail.docx", "A 22054-2025")</f>
        <v/>
      </c>
      <c r="X237">
        <f>HYPERLINK("https://klasma.github.io/Logging_2303/tillsyn/A 22054-2025 tillsynsbegäran.docx", "A 22054-2025")</f>
        <v/>
      </c>
      <c r="Y237">
        <f>HYPERLINK("https://klasma.github.io/Logging_2303/tillsynsmail/A 22054-2025 tillsynsbegäran mail.docx", "A 22054-2025")</f>
        <v/>
      </c>
      <c r="Z237">
        <f>HYPERLINK("https://klasma.github.io/Logging_2303/fåglar/A 22054-2025 prioriterade fågelarter.docx", "A 22054-2025")</f>
        <v/>
      </c>
    </row>
    <row r="238" ht="15" customHeight="1">
      <c r="A238" t="inlineStr">
        <is>
          <t>A 49091-2022</t>
        </is>
      </c>
      <c r="B238" s="1" t="n">
        <v>44860</v>
      </c>
      <c r="C238" s="1" t="n">
        <v>45890</v>
      </c>
      <c r="D238" t="inlineStr">
        <is>
          <t>JÄMTLANDS LÄN</t>
        </is>
      </c>
      <c r="E238" t="inlineStr">
        <is>
          <t>RAGUNDA</t>
        </is>
      </c>
      <c r="G238" t="n">
        <v>3.5</v>
      </c>
      <c r="H238" t="n">
        <v>1</v>
      </c>
      <c r="I238" t="n">
        <v>0</v>
      </c>
      <c r="J238" t="n">
        <v>0</v>
      </c>
      <c r="K238" t="n">
        <v>1</v>
      </c>
      <c r="L238" t="n">
        <v>0</v>
      </c>
      <c r="M238" t="n">
        <v>0</v>
      </c>
      <c r="N238" t="n">
        <v>0</v>
      </c>
      <c r="O238" t="n">
        <v>1</v>
      </c>
      <c r="P238" t="n">
        <v>1</v>
      </c>
      <c r="Q238" t="n">
        <v>1</v>
      </c>
      <c r="R238" s="2" t="inlineStr">
        <is>
          <t>Doftticka</t>
        </is>
      </c>
      <c r="S238">
        <f>HYPERLINK("https://klasma.github.io/Logging_2303/artfynd/A 49091-2022 artfynd.xlsx", "A 49091-2022")</f>
        <v/>
      </c>
      <c r="T238">
        <f>HYPERLINK("https://klasma.github.io/Logging_2303/kartor/A 49091-2022 karta.png", "A 49091-2022")</f>
        <v/>
      </c>
      <c r="V238">
        <f>HYPERLINK("https://klasma.github.io/Logging_2303/klagomål/A 49091-2022 FSC-klagomål.docx", "A 49091-2022")</f>
        <v/>
      </c>
      <c r="W238">
        <f>HYPERLINK("https://klasma.github.io/Logging_2303/klagomålsmail/A 49091-2022 FSC-klagomål mail.docx", "A 49091-2022")</f>
        <v/>
      </c>
      <c r="X238">
        <f>HYPERLINK("https://klasma.github.io/Logging_2303/tillsyn/A 49091-2022 tillsynsbegäran.docx", "A 49091-2022")</f>
        <v/>
      </c>
      <c r="Y238">
        <f>HYPERLINK("https://klasma.github.io/Logging_2303/tillsynsmail/A 49091-2022 tillsynsbegäran mail.docx", "A 49091-2022")</f>
        <v/>
      </c>
    </row>
    <row r="239" ht="15" customHeight="1">
      <c r="A239" t="inlineStr">
        <is>
          <t>A 32445-2025</t>
        </is>
      </c>
      <c r="B239" s="1" t="n">
        <v>45838.38627314815</v>
      </c>
      <c r="C239" s="1" t="n">
        <v>45890</v>
      </c>
      <c r="D239" t="inlineStr">
        <is>
          <t>JÄMTLANDS LÄN</t>
        </is>
      </c>
      <c r="E239" t="inlineStr">
        <is>
          <t>RAGUNDA</t>
        </is>
      </c>
      <c r="F239" t="inlineStr">
        <is>
          <t>SCA</t>
        </is>
      </c>
      <c r="G239" t="n">
        <v>1.6</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32445-2025 artfynd.xlsx", "A 32445-2025")</f>
        <v/>
      </c>
      <c r="T239">
        <f>HYPERLINK("https://klasma.github.io/Logging_2303/kartor/A 32445-2025 karta.png", "A 32445-2025")</f>
        <v/>
      </c>
      <c r="V239">
        <f>HYPERLINK("https://klasma.github.io/Logging_2303/klagomål/A 32445-2025 FSC-klagomål.docx", "A 32445-2025")</f>
        <v/>
      </c>
      <c r="W239">
        <f>HYPERLINK("https://klasma.github.io/Logging_2303/klagomålsmail/A 32445-2025 FSC-klagomål mail.docx", "A 32445-2025")</f>
        <v/>
      </c>
      <c r="X239">
        <f>HYPERLINK("https://klasma.github.io/Logging_2303/tillsyn/A 32445-2025 tillsynsbegäran.docx", "A 32445-2025")</f>
        <v/>
      </c>
      <c r="Y239">
        <f>HYPERLINK("https://klasma.github.io/Logging_2303/tillsynsmail/A 32445-2025 tillsynsbegäran mail.docx", "A 32445-2025")</f>
        <v/>
      </c>
      <c r="Z239">
        <f>HYPERLINK("https://klasma.github.io/Logging_2303/fåglar/A 32445-2025 prioriterade fågelarter.docx", "A 32445-2025")</f>
        <v/>
      </c>
    </row>
    <row r="240" ht="15" customHeight="1">
      <c r="A240" t="inlineStr">
        <is>
          <t>A 50164-2023</t>
        </is>
      </c>
      <c r="B240" s="1" t="n">
        <v>45208</v>
      </c>
      <c r="C240" s="1" t="n">
        <v>45890</v>
      </c>
      <c r="D240" t="inlineStr">
        <is>
          <t>JÄMTLANDS LÄN</t>
        </is>
      </c>
      <c r="E240" t="inlineStr">
        <is>
          <t>RAGUNDA</t>
        </is>
      </c>
      <c r="G240" t="n">
        <v>2.9</v>
      </c>
      <c r="H240" t="n">
        <v>0</v>
      </c>
      <c r="I240" t="n">
        <v>0</v>
      </c>
      <c r="J240" t="n">
        <v>0</v>
      </c>
      <c r="K240" t="n">
        <v>1</v>
      </c>
      <c r="L240" t="n">
        <v>0</v>
      </c>
      <c r="M240" t="n">
        <v>0</v>
      </c>
      <c r="N240" t="n">
        <v>0</v>
      </c>
      <c r="O240" t="n">
        <v>1</v>
      </c>
      <c r="P240" t="n">
        <v>1</v>
      </c>
      <c r="Q240" t="n">
        <v>1</v>
      </c>
      <c r="R240" s="2" t="inlineStr">
        <is>
          <t>Mindre barkplattbagge</t>
        </is>
      </c>
      <c r="S240">
        <f>HYPERLINK("https://klasma.github.io/Logging_2303/artfynd/A 50164-2023 artfynd.xlsx", "A 50164-2023")</f>
        <v/>
      </c>
      <c r="T240">
        <f>HYPERLINK("https://klasma.github.io/Logging_2303/kartor/A 50164-2023 karta.png", "A 50164-2023")</f>
        <v/>
      </c>
      <c r="V240">
        <f>HYPERLINK("https://klasma.github.io/Logging_2303/klagomål/A 50164-2023 FSC-klagomål.docx", "A 50164-2023")</f>
        <v/>
      </c>
      <c r="W240">
        <f>HYPERLINK("https://klasma.github.io/Logging_2303/klagomålsmail/A 50164-2023 FSC-klagomål mail.docx", "A 50164-2023")</f>
        <v/>
      </c>
      <c r="X240">
        <f>HYPERLINK("https://klasma.github.io/Logging_2303/tillsyn/A 50164-2023 tillsynsbegäran.docx", "A 50164-2023")</f>
        <v/>
      </c>
      <c r="Y240">
        <f>HYPERLINK("https://klasma.github.io/Logging_2303/tillsynsmail/A 50164-2023 tillsynsbegäran mail.docx", "A 50164-2023")</f>
        <v/>
      </c>
    </row>
    <row r="241" ht="15" customHeight="1">
      <c r="A241" t="inlineStr">
        <is>
          <t>A 48429-2023</t>
        </is>
      </c>
      <c r="B241" s="1" t="n">
        <v>45205</v>
      </c>
      <c r="C241" s="1" t="n">
        <v>45890</v>
      </c>
      <c r="D241" t="inlineStr">
        <is>
          <t>JÄMTLANDS LÄN</t>
        </is>
      </c>
      <c r="E241" t="inlineStr">
        <is>
          <t>RAGUNDA</t>
        </is>
      </c>
      <c r="F241" t="inlineStr">
        <is>
          <t>SCA</t>
        </is>
      </c>
      <c r="G241" t="n">
        <v>1.8</v>
      </c>
      <c r="H241" t="n">
        <v>0</v>
      </c>
      <c r="I241" t="n">
        <v>1</v>
      </c>
      <c r="J241" t="n">
        <v>0</v>
      </c>
      <c r="K241" t="n">
        <v>0</v>
      </c>
      <c r="L241" t="n">
        <v>0</v>
      </c>
      <c r="M241" t="n">
        <v>0</v>
      </c>
      <c r="N241" t="n">
        <v>0</v>
      </c>
      <c r="O241" t="n">
        <v>0</v>
      </c>
      <c r="P241" t="n">
        <v>0</v>
      </c>
      <c r="Q241" t="n">
        <v>1</v>
      </c>
      <c r="R241" s="2" t="inlineStr">
        <is>
          <t>Dropptaggsvamp</t>
        </is>
      </c>
      <c r="S241">
        <f>HYPERLINK("https://klasma.github.io/Logging_2303/artfynd/A 48429-2023 artfynd.xlsx", "A 48429-2023")</f>
        <v/>
      </c>
      <c r="T241">
        <f>HYPERLINK("https://klasma.github.io/Logging_2303/kartor/A 48429-2023 karta.png", "A 48429-2023")</f>
        <v/>
      </c>
      <c r="V241">
        <f>HYPERLINK("https://klasma.github.io/Logging_2303/klagomål/A 48429-2023 FSC-klagomål.docx", "A 48429-2023")</f>
        <v/>
      </c>
      <c r="W241">
        <f>HYPERLINK("https://klasma.github.io/Logging_2303/klagomålsmail/A 48429-2023 FSC-klagomål mail.docx", "A 48429-2023")</f>
        <v/>
      </c>
      <c r="X241">
        <f>HYPERLINK("https://klasma.github.io/Logging_2303/tillsyn/A 48429-2023 tillsynsbegäran.docx", "A 48429-2023")</f>
        <v/>
      </c>
      <c r="Y241">
        <f>HYPERLINK("https://klasma.github.io/Logging_2303/tillsynsmail/A 48429-2023 tillsynsbegäran mail.docx", "A 48429-2023")</f>
        <v/>
      </c>
    </row>
    <row r="242" ht="15" customHeight="1">
      <c r="A242" t="inlineStr">
        <is>
          <t>A 34474-2025</t>
        </is>
      </c>
      <c r="B242" s="1" t="n">
        <v>45847.36528935185</v>
      </c>
      <c r="C242" s="1" t="n">
        <v>45890</v>
      </c>
      <c r="D242" t="inlineStr">
        <is>
          <t>JÄMTLANDS LÄN</t>
        </is>
      </c>
      <c r="E242" t="inlineStr">
        <is>
          <t>RAGUNDA</t>
        </is>
      </c>
      <c r="F242" t="inlineStr">
        <is>
          <t>SCA</t>
        </is>
      </c>
      <c r="G242" t="n">
        <v>9.699999999999999</v>
      </c>
      <c r="H242" t="n">
        <v>1</v>
      </c>
      <c r="I242" t="n">
        <v>0</v>
      </c>
      <c r="J242" t="n">
        <v>1</v>
      </c>
      <c r="K242" t="n">
        <v>0</v>
      </c>
      <c r="L242" t="n">
        <v>0</v>
      </c>
      <c r="M242" t="n">
        <v>0</v>
      </c>
      <c r="N242" t="n">
        <v>0</v>
      </c>
      <c r="O242" t="n">
        <v>1</v>
      </c>
      <c r="P242" t="n">
        <v>0</v>
      </c>
      <c r="Q242" t="n">
        <v>1</v>
      </c>
      <c r="R242" s="2" t="inlineStr">
        <is>
          <t>Fjällvråk</t>
        </is>
      </c>
      <c r="S242">
        <f>HYPERLINK("https://klasma.github.io/Logging_2303/artfynd/A 34474-2025 artfynd.xlsx", "A 34474-2025")</f>
        <v/>
      </c>
      <c r="T242">
        <f>HYPERLINK("https://klasma.github.io/Logging_2303/kartor/A 34474-2025 karta.png", "A 34474-2025")</f>
        <v/>
      </c>
      <c r="V242">
        <f>HYPERLINK("https://klasma.github.io/Logging_2303/klagomål/A 34474-2025 FSC-klagomål.docx", "A 34474-2025")</f>
        <v/>
      </c>
      <c r="W242">
        <f>HYPERLINK("https://klasma.github.io/Logging_2303/klagomålsmail/A 34474-2025 FSC-klagomål mail.docx", "A 34474-2025")</f>
        <v/>
      </c>
      <c r="X242">
        <f>HYPERLINK("https://klasma.github.io/Logging_2303/tillsyn/A 34474-2025 tillsynsbegäran.docx", "A 34474-2025")</f>
        <v/>
      </c>
      <c r="Y242">
        <f>HYPERLINK("https://klasma.github.io/Logging_2303/tillsynsmail/A 34474-2025 tillsynsbegäran mail.docx", "A 34474-2025")</f>
        <v/>
      </c>
      <c r="Z242">
        <f>HYPERLINK("https://klasma.github.io/Logging_2303/fåglar/A 34474-2025 prioriterade fågelarter.docx", "A 34474-2025")</f>
        <v/>
      </c>
    </row>
    <row r="243" ht="15" customHeight="1">
      <c r="A243" t="inlineStr">
        <is>
          <t>A 62072-2023</t>
        </is>
      </c>
      <c r="B243" s="1" t="n">
        <v>45266</v>
      </c>
      <c r="C243" s="1" t="n">
        <v>45890</v>
      </c>
      <c r="D243" t="inlineStr">
        <is>
          <t>JÄMTLANDS LÄN</t>
        </is>
      </c>
      <c r="E243" t="inlineStr">
        <is>
          <t>RAGUNDA</t>
        </is>
      </c>
      <c r="G243" t="n">
        <v>4.5</v>
      </c>
      <c r="H243" t="n">
        <v>1</v>
      </c>
      <c r="I243" t="n">
        <v>0</v>
      </c>
      <c r="J243" t="n">
        <v>0</v>
      </c>
      <c r="K243" t="n">
        <v>1</v>
      </c>
      <c r="L243" t="n">
        <v>0</v>
      </c>
      <c r="M243" t="n">
        <v>0</v>
      </c>
      <c r="N243" t="n">
        <v>0</v>
      </c>
      <c r="O243" t="n">
        <v>1</v>
      </c>
      <c r="P243" t="n">
        <v>1</v>
      </c>
      <c r="Q243" t="n">
        <v>1</v>
      </c>
      <c r="R243" s="2" t="inlineStr">
        <is>
          <t>Lappuggla</t>
        </is>
      </c>
      <c r="S243">
        <f>HYPERLINK("https://klasma.github.io/Logging_2303/artfynd/A 62072-2023 artfynd.xlsx", "A 62072-2023")</f>
        <v/>
      </c>
      <c r="T243">
        <f>HYPERLINK("https://klasma.github.io/Logging_2303/kartor/A 62072-2023 karta.png", "A 62072-2023")</f>
        <v/>
      </c>
      <c r="V243">
        <f>HYPERLINK("https://klasma.github.io/Logging_2303/klagomål/A 62072-2023 FSC-klagomål.docx", "A 62072-2023")</f>
        <v/>
      </c>
      <c r="W243">
        <f>HYPERLINK("https://klasma.github.io/Logging_2303/klagomålsmail/A 62072-2023 FSC-klagomål mail.docx", "A 62072-2023")</f>
        <v/>
      </c>
      <c r="X243">
        <f>HYPERLINK("https://klasma.github.io/Logging_2303/tillsyn/A 62072-2023 tillsynsbegäran.docx", "A 62072-2023")</f>
        <v/>
      </c>
      <c r="Y243">
        <f>HYPERLINK("https://klasma.github.io/Logging_2303/tillsynsmail/A 62072-2023 tillsynsbegäran mail.docx", "A 62072-2023")</f>
        <v/>
      </c>
      <c r="Z243">
        <f>HYPERLINK("https://klasma.github.io/Logging_2303/fåglar/A 62072-2023 prioriterade fågelarter.docx", "A 62072-2023")</f>
        <v/>
      </c>
    </row>
    <row r="244" ht="15" customHeight="1">
      <c r="A244" t="inlineStr">
        <is>
          <t>A 17340-2023</t>
        </is>
      </c>
      <c r="B244" s="1" t="n">
        <v>45033</v>
      </c>
      <c r="C244" s="1" t="n">
        <v>45890</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26322-2024</t>
        </is>
      </c>
      <c r="B245" s="1" t="n">
        <v>45468.97461805555</v>
      </c>
      <c r="C245" s="1" t="n">
        <v>45890</v>
      </c>
      <c r="D245" t="inlineStr">
        <is>
          <t>JÄMTLANDS LÄN</t>
        </is>
      </c>
      <c r="E245" t="inlineStr">
        <is>
          <t>RAGUNDA</t>
        </is>
      </c>
      <c r="F245" t="inlineStr">
        <is>
          <t>SCA</t>
        </is>
      </c>
      <c r="G245" t="n">
        <v>9.6</v>
      </c>
      <c r="H245" t="n">
        <v>0</v>
      </c>
      <c r="I245" t="n">
        <v>0</v>
      </c>
      <c r="J245" t="n">
        <v>1</v>
      </c>
      <c r="K245" t="n">
        <v>0</v>
      </c>
      <c r="L245" t="n">
        <v>0</v>
      </c>
      <c r="M245" t="n">
        <v>0</v>
      </c>
      <c r="N245" t="n">
        <v>0</v>
      </c>
      <c r="O245" t="n">
        <v>1</v>
      </c>
      <c r="P245" t="n">
        <v>0</v>
      </c>
      <c r="Q245" t="n">
        <v>1</v>
      </c>
      <c r="R245" s="2" t="inlineStr">
        <is>
          <t>Rosenticka</t>
        </is>
      </c>
      <c r="S245">
        <f>HYPERLINK("https://klasma.github.io/Logging_2303/artfynd/A 26322-2024 artfynd.xlsx", "A 26322-2024")</f>
        <v/>
      </c>
      <c r="T245">
        <f>HYPERLINK("https://klasma.github.io/Logging_2303/kartor/A 26322-2024 karta.png", "A 26322-2024")</f>
        <v/>
      </c>
      <c r="U245">
        <f>HYPERLINK("https://klasma.github.io/Logging_2303/knärot/A 26322-2024 karta knärot.png", "A 26322-2024")</f>
        <v/>
      </c>
      <c r="V245">
        <f>HYPERLINK("https://klasma.github.io/Logging_2303/klagomål/A 26322-2024 FSC-klagomål.docx", "A 26322-2024")</f>
        <v/>
      </c>
      <c r="W245">
        <f>HYPERLINK("https://klasma.github.io/Logging_2303/klagomålsmail/A 26322-2024 FSC-klagomål mail.docx", "A 26322-2024")</f>
        <v/>
      </c>
      <c r="X245">
        <f>HYPERLINK("https://klasma.github.io/Logging_2303/tillsyn/A 26322-2024 tillsynsbegäran.docx", "A 26322-2024")</f>
        <v/>
      </c>
      <c r="Y245">
        <f>HYPERLINK("https://klasma.github.io/Logging_2303/tillsynsmail/A 26322-2024 tillsynsbegäran mail.docx", "A 26322-2024")</f>
        <v/>
      </c>
    </row>
    <row r="246" ht="15" customHeight="1">
      <c r="A246" t="inlineStr">
        <is>
          <t>A 57941-2020</t>
        </is>
      </c>
      <c r="B246" s="1" t="n">
        <v>44141</v>
      </c>
      <c r="C246" s="1" t="n">
        <v>45890</v>
      </c>
      <c r="D246" t="inlineStr">
        <is>
          <t>JÄMTLANDS LÄN</t>
        </is>
      </c>
      <c r="E246" t="inlineStr">
        <is>
          <t>RAGUNDA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61441-2020</t>
        </is>
      </c>
      <c r="B247" s="1" t="n">
        <v>44157</v>
      </c>
      <c r="C247" s="1" t="n">
        <v>45890</v>
      </c>
      <c r="D247" t="inlineStr">
        <is>
          <t>JÄMTLANDS LÄN</t>
        </is>
      </c>
      <c r="E247" t="inlineStr">
        <is>
          <t>RAGUNDA</t>
        </is>
      </c>
      <c r="G247" t="n">
        <v>0.4</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45890</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45890</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64386-2020</t>
        </is>
      </c>
      <c r="B250" s="1" t="n">
        <v>44168</v>
      </c>
      <c r="C250" s="1" t="n">
        <v>45890</v>
      </c>
      <c r="D250" t="inlineStr">
        <is>
          <t>JÄMTLANDS LÄN</t>
        </is>
      </c>
      <c r="E250" t="inlineStr">
        <is>
          <t>RAGUNDA</t>
        </is>
      </c>
      <c r="G250" t="n">
        <v>2.5</v>
      </c>
      <c r="H250" t="n">
        <v>0</v>
      </c>
      <c r="I250" t="n">
        <v>0</v>
      </c>
      <c r="J250" t="n">
        <v>0</v>
      </c>
      <c r="K250" t="n">
        <v>0</v>
      </c>
      <c r="L250" t="n">
        <v>0</v>
      </c>
      <c r="M250" t="n">
        <v>0</v>
      </c>
      <c r="N250" t="n">
        <v>0</v>
      </c>
      <c r="O250" t="n">
        <v>0</v>
      </c>
      <c r="P250" t="n">
        <v>0</v>
      </c>
      <c r="Q250" t="n">
        <v>0</v>
      </c>
      <c r="R250" s="2" t="inlineStr"/>
    </row>
    <row r="251" ht="15" customHeight="1">
      <c r="A251" t="inlineStr">
        <is>
          <t>A 46050-2022</t>
        </is>
      </c>
      <c r="B251" s="1" t="n">
        <v>44846</v>
      </c>
      <c r="C251" s="1" t="n">
        <v>45890</v>
      </c>
      <c r="D251" t="inlineStr">
        <is>
          <t>JÄMTLANDS LÄN</t>
        </is>
      </c>
      <c r="E251" t="inlineStr">
        <is>
          <t>RAGUNDA</t>
        </is>
      </c>
      <c r="F251" t="inlineStr">
        <is>
          <t>SCA</t>
        </is>
      </c>
      <c r="G251" t="n">
        <v>3.4</v>
      </c>
      <c r="H251" t="n">
        <v>0</v>
      </c>
      <c r="I251" t="n">
        <v>0</v>
      </c>
      <c r="J251" t="n">
        <v>0</v>
      </c>
      <c r="K251" t="n">
        <v>0</v>
      </c>
      <c r="L251" t="n">
        <v>0</v>
      </c>
      <c r="M251" t="n">
        <v>0</v>
      </c>
      <c r="N251" t="n">
        <v>0</v>
      </c>
      <c r="O251" t="n">
        <v>0</v>
      </c>
      <c r="P251" t="n">
        <v>0</v>
      </c>
      <c r="Q251" t="n">
        <v>0</v>
      </c>
      <c r="R251" s="2" t="inlineStr"/>
    </row>
    <row r="252" ht="15" customHeight="1">
      <c r="A252" t="inlineStr">
        <is>
          <t>A 66059-2021</t>
        </is>
      </c>
      <c r="B252" s="1" t="n">
        <v>44517</v>
      </c>
      <c r="C252" s="1" t="n">
        <v>45890</v>
      </c>
      <c r="D252" t="inlineStr">
        <is>
          <t>JÄMTLANDS LÄN</t>
        </is>
      </c>
      <c r="E252" t="inlineStr">
        <is>
          <t>RAGUNDA</t>
        </is>
      </c>
      <c r="G252" t="n">
        <v>0.6</v>
      </c>
      <c r="H252" t="n">
        <v>0</v>
      </c>
      <c r="I252" t="n">
        <v>0</v>
      </c>
      <c r="J252" t="n">
        <v>0</v>
      </c>
      <c r="K252" t="n">
        <v>0</v>
      </c>
      <c r="L252" t="n">
        <v>0</v>
      </c>
      <c r="M252" t="n">
        <v>0</v>
      </c>
      <c r="N252" t="n">
        <v>0</v>
      </c>
      <c r="O252" t="n">
        <v>0</v>
      </c>
      <c r="P252" t="n">
        <v>0</v>
      </c>
      <c r="Q252" t="n">
        <v>0</v>
      </c>
      <c r="R252" s="2" t="inlineStr"/>
    </row>
    <row r="253" ht="15" customHeight="1">
      <c r="A253" t="inlineStr">
        <is>
          <t>A 53951-2022</t>
        </is>
      </c>
      <c r="B253" s="1" t="n">
        <v>44880.95712962963</v>
      </c>
      <c r="C253" s="1" t="n">
        <v>45890</v>
      </c>
      <c r="D253" t="inlineStr">
        <is>
          <t>JÄMTLANDS LÄN</t>
        </is>
      </c>
      <c r="E253" t="inlineStr">
        <is>
          <t>RAGUNDA</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53952-2022</t>
        </is>
      </c>
      <c r="B254" s="1" t="n">
        <v>44880.95719907407</v>
      </c>
      <c r="C254" s="1" t="n">
        <v>45890</v>
      </c>
      <c r="D254" t="inlineStr">
        <is>
          <t>JÄMTLANDS LÄN</t>
        </is>
      </c>
      <c r="E254" t="inlineStr">
        <is>
          <t>RAGUNDA</t>
        </is>
      </c>
      <c r="F254" t="inlineStr">
        <is>
          <t>SCA</t>
        </is>
      </c>
      <c r="G254" t="n">
        <v>1.8</v>
      </c>
      <c r="H254" t="n">
        <v>0</v>
      </c>
      <c r="I254" t="n">
        <v>0</v>
      </c>
      <c r="J254" t="n">
        <v>0</v>
      </c>
      <c r="K254" t="n">
        <v>0</v>
      </c>
      <c r="L254" t="n">
        <v>0</v>
      </c>
      <c r="M254" t="n">
        <v>0</v>
      </c>
      <c r="N254" t="n">
        <v>0</v>
      </c>
      <c r="O254" t="n">
        <v>0</v>
      </c>
      <c r="P254" t="n">
        <v>0</v>
      </c>
      <c r="Q254" t="n">
        <v>0</v>
      </c>
      <c r="R254" s="2" t="inlineStr"/>
    </row>
    <row r="255" ht="15" customHeight="1">
      <c r="A255" t="inlineStr">
        <is>
          <t>A 39408-2022</t>
        </is>
      </c>
      <c r="B255" s="1" t="n">
        <v>44817</v>
      </c>
      <c r="C255" s="1" t="n">
        <v>45890</v>
      </c>
      <c r="D255" t="inlineStr">
        <is>
          <t>JÄMTLANDS LÄN</t>
        </is>
      </c>
      <c r="E255" t="inlineStr">
        <is>
          <t>RAGUNDA</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45890</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45890</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45890</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45890</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45890</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45890</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45890</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45890</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14790-2021</t>
        </is>
      </c>
      <c r="B264" s="1" t="n">
        <v>44280</v>
      </c>
      <c r="C264" s="1" t="n">
        <v>45890</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45890</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45890</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16379-2021</t>
        </is>
      </c>
      <c r="B267" s="1" t="n">
        <v>44292</v>
      </c>
      <c r="C267" s="1" t="n">
        <v>45890</v>
      </c>
      <c r="D267" t="inlineStr">
        <is>
          <t>JÄMTLANDS LÄN</t>
        </is>
      </c>
      <c r="E267" t="inlineStr">
        <is>
          <t>RAGUNDA</t>
        </is>
      </c>
      <c r="G267" t="n">
        <v>2</v>
      </c>
      <c r="H267" t="n">
        <v>0</v>
      </c>
      <c r="I267" t="n">
        <v>0</v>
      </c>
      <c r="J267" t="n">
        <v>0</v>
      </c>
      <c r="K267" t="n">
        <v>0</v>
      </c>
      <c r="L267" t="n">
        <v>0</v>
      </c>
      <c r="M267" t="n">
        <v>0</v>
      </c>
      <c r="N267" t="n">
        <v>0</v>
      </c>
      <c r="O267" t="n">
        <v>0</v>
      </c>
      <c r="P267" t="n">
        <v>0</v>
      </c>
      <c r="Q267" t="n">
        <v>0</v>
      </c>
      <c r="R267" s="2" t="inlineStr"/>
    </row>
    <row r="268" ht="15" customHeight="1">
      <c r="A268" t="inlineStr">
        <is>
          <t>A 21413-2022</t>
        </is>
      </c>
      <c r="B268" s="1" t="n">
        <v>44705</v>
      </c>
      <c r="C268" s="1" t="n">
        <v>45890</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66472-2021</t>
        </is>
      </c>
      <c r="B269" s="1" t="n">
        <v>44518.94394675926</v>
      </c>
      <c r="C269" s="1" t="n">
        <v>45890</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30438-2021</t>
        </is>
      </c>
      <c r="B270" s="1" t="n">
        <v>44362</v>
      </c>
      <c r="C270" s="1" t="n">
        <v>45890</v>
      </c>
      <c r="D270" t="inlineStr">
        <is>
          <t>JÄMTLANDS LÄN</t>
        </is>
      </c>
      <c r="E270" t="inlineStr">
        <is>
          <t>RAGUNDA</t>
        </is>
      </c>
      <c r="G270" t="n">
        <v>5</v>
      </c>
      <c r="H270" t="n">
        <v>0</v>
      </c>
      <c r="I270" t="n">
        <v>0</v>
      </c>
      <c r="J270" t="n">
        <v>0</v>
      </c>
      <c r="K270" t="n">
        <v>0</v>
      </c>
      <c r="L270" t="n">
        <v>0</v>
      </c>
      <c r="M270" t="n">
        <v>0</v>
      </c>
      <c r="N270" t="n">
        <v>0</v>
      </c>
      <c r="O270" t="n">
        <v>0</v>
      </c>
      <c r="P270" t="n">
        <v>0</v>
      </c>
      <c r="Q270" t="n">
        <v>0</v>
      </c>
      <c r="R270" s="2" t="inlineStr"/>
    </row>
    <row r="271" ht="15" customHeight="1">
      <c r="A271" t="inlineStr">
        <is>
          <t>A 46047-2022</t>
        </is>
      </c>
      <c r="B271" s="1" t="n">
        <v>44846.9522337963</v>
      </c>
      <c r="C271" s="1" t="n">
        <v>45890</v>
      </c>
      <c r="D271" t="inlineStr">
        <is>
          <t>JÄMTLANDS LÄN</t>
        </is>
      </c>
      <c r="E271" t="inlineStr">
        <is>
          <t>RAGUNDA</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45890</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37562-2021</t>
        </is>
      </c>
      <c r="B273" s="1" t="n">
        <v>44399</v>
      </c>
      <c r="C273" s="1" t="n">
        <v>45890</v>
      </c>
      <c r="D273" t="inlineStr">
        <is>
          <t>JÄMTLANDS LÄN</t>
        </is>
      </c>
      <c r="E273" t="inlineStr">
        <is>
          <t>RAGUNDA</t>
        </is>
      </c>
      <c r="G273" t="n">
        <v>1.1</v>
      </c>
      <c r="H273" t="n">
        <v>0</v>
      </c>
      <c r="I273" t="n">
        <v>0</v>
      </c>
      <c r="J273" t="n">
        <v>0</v>
      </c>
      <c r="K273" t="n">
        <v>0</v>
      </c>
      <c r="L273" t="n">
        <v>0</v>
      </c>
      <c r="M273" t="n">
        <v>0</v>
      </c>
      <c r="N273" t="n">
        <v>0</v>
      </c>
      <c r="O273" t="n">
        <v>0</v>
      </c>
      <c r="P273" t="n">
        <v>0</v>
      </c>
      <c r="Q273" t="n">
        <v>0</v>
      </c>
      <c r="R273" s="2" t="inlineStr"/>
    </row>
    <row r="274" ht="15" customHeight="1">
      <c r="A274" t="inlineStr">
        <is>
          <t>A 39693-2022</t>
        </is>
      </c>
      <c r="B274" s="1" t="n">
        <v>44818.94929398148</v>
      </c>
      <c r="C274" s="1" t="n">
        <v>45890</v>
      </c>
      <c r="D274" t="inlineStr">
        <is>
          <t>JÄMTLANDS LÄN</t>
        </is>
      </c>
      <c r="E274" t="inlineStr">
        <is>
          <t>RAGUNDA</t>
        </is>
      </c>
      <c r="F274" t="inlineStr">
        <is>
          <t>SCA</t>
        </is>
      </c>
      <c r="G274" t="n">
        <v>0.3</v>
      </c>
      <c r="H274" t="n">
        <v>0</v>
      </c>
      <c r="I274" t="n">
        <v>0</v>
      </c>
      <c r="J274" t="n">
        <v>0</v>
      </c>
      <c r="K274" t="n">
        <v>0</v>
      </c>
      <c r="L274" t="n">
        <v>0</v>
      </c>
      <c r="M274" t="n">
        <v>0</v>
      </c>
      <c r="N274" t="n">
        <v>0</v>
      </c>
      <c r="O274" t="n">
        <v>0</v>
      </c>
      <c r="P274" t="n">
        <v>0</v>
      </c>
      <c r="Q274" t="n">
        <v>0</v>
      </c>
      <c r="R274" s="2" t="inlineStr"/>
    </row>
    <row r="275" ht="15" customHeight="1">
      <c r="A275" t="inlineStr">
        <is>
          <t>A 49197-2022</t>
        </is>
      </c>
      <c r="B275" s="1" t="n">
        <v>44860</v>
      </c>
      <c r="C275" s="1" t="n">
        <v>45890</v>
      </c>
      <c r="D275" t="inlineStr">
        <is>
          <t>JÄMTLANDS LÄN</t>
        </is>
      </c>
      <c r="E275" t="inlineStr">
        <is>
          <t>RAGUNDA</t>
        </is>
      </c>
      <c r="F275" t="inlineStr">
        <is>
          <t>SCA</t>
        </is>
      </c>
      <c r="G275" t="n">
        <v>2.9</v>
      </c>
      <c r="H275" t="n">
        <v>0</v>
      </c>
      <c r="I275" t="n">
        <v>0</v>
      </c>
      <c r="J275" t="n">
        <v>0</v>
      </c>
      <c r="K275" t="n">
        <v>0</v>
      </c>
      <c r="L275" t="n">
        <v>0</v>
      </c>
      <c r="M275" t="n">
        <v>0</v>
      </c>
      <c r="N275" t="n">
        <v>0</v>
      </c>
      <c r="O275" t="n">
        <v>0</v>
      </c>
      <c r="P275" t="n">
        <v>0</v>
      </c>
      <c r="Q275" t="n">
        <v>0</v>
      </c>
      <c r="R275" s="2" t="inlineStr"/>
    </row>
    <row r="276" ht="15" customHeight="1">
      <c r="A276" t="inlineStr">
        <is>
          <t>A 51016-2020</t>
        </is>
      </c>
      <c r="B276" s="1" t="n">
        <v>44111</v>
      </c>
      <c r="C276" s="1" t="n">
        <v>45890</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45890</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41609-2021</t>
        </is>
      </c>
      <c r="B278" s="1" t="n">
        <v>44425</v>
      </c>
      <c r="C278" s="1" t="n">
        <v>45890</v>
      </c>
      <c r="D278" t="inlineStr">
        <is>
          <t>JÄMTLANDS LÄN</t>
        </is>
      </c>
      <c r="E278" t="inlineStr">
        <is>
          <t>RAGUNDA</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15808-2022</t>
        </is>
      </c>
      <c r="B279" s="1" t="n">
        <v>44663</v>
      </c>
      <c r="C279" s="1" t="n">
        <v>45890</v>
      </c>
      <c r="D279" t="inlineStr">
        <is>
          <t>JÄMTLANDS LÄN</t>
        </is>
      </c>
      <c r="E279" t="inlineStr">
        <is>
          <t>RAGUNDA</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45890</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52720-2022</t>
        </is>
      </c>
      <c r="B281" s="1" t="n">
        <v>44874.95553240741</v>
      </c>
      <c r="C281" s="1" t="n">
        <v>45890</v>
      </c>
      <c r="D281" t="inlineStr">
        <is>
          <t>JÄMTLANDS LÄN</t>
        </is>
      </c>
      <c r="E281" t="inlineStr">
        <is>
          <t>RAGUNDA</t>
        </is>
      </c>
      <c r="F281" t="inlineStr">
        <is>
          <t>SCA</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32979-2022</t>
        </is>
      </c>
      <c r="B282" s="1" t="n">
        <v>44784.9408912037</v>
      </c>
      <c r="C282" s="1" t="n">
        <v>45890</v>
      </c>
      <c r="D282" t="inlineStr">
        <is>
          <t>JÄMTLANDS LÄN</t>
        </is>
      </c>
      <c r="E282" t="inlineStr">
        <is>
          <t>RAGUNDA</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22695-2022</t>
        </is>
      </c>
      <c r="B283" s="1" t="n">
        <v>44714</v>
      </c>
      <c r="C283" s="1" t="n">
        <v>45890</v>
      </c>
      <c r="D283" t="inlineStr">
        <is>
          <t>JÄMTLANDS LÄN</t>
        </is>
      </c>
      <c r="E283" t="inlineStr">
        <is>
          <t>RAGUNDA</t>
        </is>
      </c>
      <c r="G283" t="n">
        <v>1.8</v>
      </c>
      <c r="H283" t="n">
        <v>0</v>
      </c>
      <c r="I283" t="n">
        <v>0</v>
      </c>
      <c r="J283" t="n">
        <v>0</v>
      </c>
      <c r="K283" t="n">
        <v>0</v>
      </c>
      <c r="L283" t="n">
        <v>0</v>
      </c>
      <c r="M283" t="n">
        <v>0</v>
      </c>
      <c r="N283" t="n">
        <v>0</v>
      </c>
      <c r="O283" t="n">
        <v>0</v>
      </c>
      <c r="P283" t="n">
        <v>0</v>
      </c>
      <c r="Q283" t="n">
        <v>0</v>
      </c>
      <c r="R283" s="2" t="inlineStr"/>
    </row>
    <row r="284" ht="15" customHeight="1">
      <c r="A284" t="inlineStr">
        <is>
          <t>A 43794-2022</t>
        </is>
      </c>
      <c r="B284" s="1" t="n">
        <v>44837</v>
      </c>
      <c r="C284" s="1" t="n">
        <v>45890</v>
      </c>
      <c r="D284" t="inlineStr">
        <is>
          <t>JÄMTLANDS LÄN</t>
        </is>
      </c>
      <c r="E284" t="inlineStr">
        <is>
          <t>RAGUNDA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16246-2022</t>
        </is>
      </c>
      <c r="B285" s="1" t="n">
        <v>44670</v>
      </c>
      <c r="C285" s="1" t="n">
        <v>45890</v>
      </c>
      <c r="D285" t="inlineStr">
        <is>
          <t>JÄMTLANDS LÄN</t>
        </is>
      </c>
      <c r="E285" t="inlineStr">
        <is>
          <t>RAGUNDA</t>
        </is>
      </c>
      <c r="G285" t="n">
        <v>4.1</v>
      </c>
      <c r="H285" t="n">
        <v>0</v>
      </c>
      <c r="I285" t="n">
        <v>0</v>
      </c>
      <c r="J285" t="n">
        <v>0</v>
      </c>
      <c r="K285" t="n">
        <v>0</v>
      </c>
      <c r="L285" t="n">
        <v>0</v>
      </c>
      <c r="M285" t="n">
        <v>0</v>
      </c>
      <c r="N285" t="n">
        <v>0</v>
      </c>
      <c r="O285" t="n">
        <v>0</v>
      </c>
      <c r="P285" t="n">
        <v>0</v>
      </c>
      <c r="Q285" t="n">
        <v>0</v>
      </c>
      <c r="R285" s="2" t="inlineStr"/>
    </row>
    <row r="286" ht="15" customHeight="1">
      <c r="A286" t="inlineStr">
        <is>
          <t>A 21196-2022</t>
        </is>
      </c>
      <c r="B286" s="1" t="n">
        <v>44704.94234953704</v>
      </c>
      <c r="C286" s="1" t="n">
        <v>45890</v>
      </c>
      <c r="D286" t="inlineStr">
        <is>
          <t>JÄMTLANDS LÄN</t>
        </is>
      </c>
      <c r="E286" t="inlineStr">
        <is>
          <t>RAGUNDA</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45890</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48075-2022</t>
        </is>
      </c>
      <c r="B288" s="1" t="n">
        <v>44855</v>
      </c>
      <c r="C288" s="1" t="n">
        <v>45890</v>
      </c>
      <c r="D288" t="inlineStr">
        <is>
          <t>JÄMTLANDS LÄN</t>
        </is>
      </c>
      <c r="E288" t="inlineStr">
        <is>
          <t>RAGUNDA</t>
        </is>
      </c>
      <c r="F288" t="inlineStr">
        <is>
          <t>SCA</t>
        </is>
      </c>
      <c r="G288" t="n">
        <v>7.5</v>
      </c>
      <c r="H288" t="n">
        <v>0</v>
      </c>
      <c r="I288" t="n">
        <v>0</v>
      </c>
      <c r="J288" t="n">
        <v>0</v>
      </c>
      <c r="K288" t="n">
        <v>0</v>
      </c>
      <c r="L288" t="n">
        <v>0</v>
      </c>
      <c r="M288" t="n">
        <v>0</v>
      </c>
      <c r="N288" t="n">
        <v>0</v>
      </c>
      <c r="O288" t="n">
        <v>0</v>
      </c>
      <c r="P288" t="n">
        <v>0</v>
      </c>
      <c r="Q288" t="n">
        <v>0</v>
      </c>
      <c r="R288" s="2" t="inlineStr"/>
    </row>
    <row r="289" ht="15" customHeight="1">
      <c r="A289" t="inlineStr">
        <is>
          <t>A 42899-2020</t>
        </is>
      </c>
      <c r="B289" s="1" t="n">
        <v>44078</v>
      </c>
      <c r="C289" s="1" t="n">
        <v>45890</v>
      </c>
      <c r="D289" t="inlineStr">
        <is>
          <t>JÄMTLANDS LÄN</t>
        </is>
      </c>
      <c r="E289" t="inlineStr">
        <is>
          <t>RAGUNDA</t>
        </is>
      </c>
      <c r="G289" t="n">
        <v>0.6</v>
      </c>
      <c r="H289" t="n">
        <v>0</v>
      </c>
      <c r="I289" t="n">
        <v>0</v>
      </c>
      <c r="J289" t="n">
        <v>0</v>
      </c>
      <c r="K289" t="n">
        <v>0</v>
      </c>
      <c r="L289" t="n">
        <v>0</v>
      </c>
      <c r="M289" t="n">
        <v>0</v>
      </c>
      <c r="N289" t="n">
        <v>0</v>
      </c>
      <c r="O289" t="n">
        <v>0</v>
      </c>
      <c r="P289" t="n">
        <v>0</v>
      </c>
      <c r="Q289" t="n">
        <v>0</v>
      </c>
      <c r="R289" s="2" t="inlineStr"/>
    </row>
    <row r="290" ht="15" customHeight="1">
      <c r="A290" t="inlineStr">
        <is>
          <t>A 66248-2020</t>
        </is>
      </c>
      <c r="B290" s="1" t="n">
        <v>44175</v>
      </c>
      <c r="C290" s="1" t="n">
        <v>45890</v>
      </c>
      <c r="D290" t="inlineStr">
        <is>
          <t>JÄMTLANDS LÄN</t>
        </is>
      </c>
      <c r="E290" t="inlineStr">
        <is>
          <t>RAGUNDA</t>
        </is>
      </c>
      <c r="F290" t="inlineStr">
        <is>
          <t>SCA</t>
        </is>
      </c>
      <c r="G290" t="n">
        <v>5.6</v>
      </c>
      <c r="H290" t="n">
        <v>0</v>
      </c>
      <c r="I290" t="n">
        <v>0</v>
      </c>
      <c r="J290" t="n">
        <v>0</v>
      </c>
      <c r="K290" t="n">
        <v>0</v>
      </c>
      <c r="L290" t="n">
        <v>0</v>
      </c>
      <c r="M290" t="n">
        <v>0</v>
      </c>
      <c r="N290" t="n">
        <v>0</v>
      </c>
      <c r="O290" t="n">
        <v>0</v>
      </c>
      <c r="P290" t="n">
        <v>0</v>
      </c>
      <c r="Q290" t="n">
        <v>0</v>
      </c>
      <c r="R290" s="2" t="inlineStr"/>
    </row>
    <row r="291" ht="15" customHeight="1">
      <c r="A291" t="inlineStr">
        <is>
          <t>A 69481-2020</t>
        </is>
      </c>
      <c r="B291" s="1" t="n">
        <v>44194</v>
      </c>
      <c r="C291" s="1" t="n">
        <v>45890</v>
      </c>
      <c r="D291" t="inlineStr">
        <is>
          <t>JÄMTLANDS LÄN</t>
        </is>
      </c>
      <c r="E291" t="inlineStr">
        <is>
          <t>RAGUNDA</t>
        </is>
      </c>
      <c r="G291" t="n">
        <v>1</v>
      </c>
      <c r="H291" t="n">
        <v>0</v>
      </c>
      <c r="I291" t="n">
        <v>0</v>
      </c>
      <c r="J291" t="n">
        <v>0</v>
      </c>
      <c r="K291" t="n">
        <v>0</v>
      </c>
      <c r="L291" t="n">
        <v>0</v>
      </c>
      <c r="M291" t="n">
        <v>0</v>
      </c>
      <c r="N291" t="n">
        <v>0</v>
      </c>
      <c r="O291" t="n">
        <v>0</v>
      </c>
      <c r="P291" t="n">
        <v>0</v>
      </c>
      <c r="Q291" t="n">
        <v>0</v>
      </c>
      <c r="R291" s="2" t="inlineStr"/>
    </row>
    <row r="292" ht="15" customHeight="1">
      <c r="A292" t="inlineStr">
        <is>
          <t>A 7575-2021</t>
        </is>
      </c>
      <c r="B292" s="1" t="n">
        <v>44239</v>
      </c>
      <c r="C292" s="1" t="n">
        <v>45890</v>
      </c>
      <c r="D292" t="inlineStr">
        <is>
          <t>JÄMTLANDS LÄN</t>
        </is>
      </c>
      <c r="E292" t="inlineStr">
        <is>
          <t>RAGUNDA</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45890</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13571-2021</t>
        </is>
      </c>
      <c r="B294" s="1" t="n">
        <v>44273.92081018518</v>
      </c>
      <c r="C294" s="1" t="n">
        <v>45890</v>
      </c>
      <c r="D294" t="inlineStr">
        <is>
          <t>JÄMTLANDS LÄN</t>
        </is>
      </c>
      <c r="E294" t="inlineStr">
        <is>
          <t>RAGUNDA</t>
        </is>
      </c>
      <c r="G294" t="n">
        <v>1.9</v>
      </c>
      <c r="H294" t="n">
        <v>0</v>
      </c>
      <c r="I294" t="n">
        <v>0</v>
      </c>
      <c r="J294" t="n">
        <v>0</v>
      </c>
      <c r="K294" t="n">
        <v>0</v>
      </c>
      <c r="L294" t="n">
        <v>0</v>
      </c>
      <c r="M294" t="n">
        <v>0</v>
      </c>
      <c r="N294" t="n">
        <v>0</v>
      </c>
      <c r="O294" t="n">
        <v>0</v>
      </c>
      <c r="P294" t="n">
        <v>0</v>
      </c>
      <c r="Q294" t="n">
        <v>0</v>
      </c>
      <c r="R294" s="2" t="inlineStr"/>
    </row>
    <row r="295" ht="15" customHeight="1">
      <c r="A295" t="inlineStr">
        <is>
          <t>A 55926-2020</t>
        </is>
      </c>
      <c r="B295" s="1" t="n">
        <v>44132</v>
      </c>
      <c r="C295" s="1" t="n">
        <v>45890</v>
      </c>
      <c r="D295" t="inlineStr">
        <is>
          <t>JÄMTLANDS LÄN</t>
        </is>
      </c>
      <c r="E295" t="inlineStr">
        <is>
          <t>RAGUNDA</t>
        </is>
      </c>
      <c r="F295" t="inlineStr">
        <is>
          <t>SCA</t>
        </is>
      </c>
      <c r="G295" t="n">
        <v>11.5</v>
      </c>
      <c r="H295" t="n">
        <v>0</v>
      </c>
      <c r="I295" t="n">
        <v>0</v>
      </c>
      <c r="J295" t="n">
        <v>0</v>
      </c>
      <c r="K295" t="n">
        <v>0</v>
      </c>
      <c r="L295" t="n">
        <v>0</v>
      </c>
      <c r="M295" t="n">
        <v>0</v>
      </c>
      <c r="N295" t="n">
        <v>0</v>
      </c>
      <c r="O295" t="n">
        <v>0</v>
      </c>
      <c r="P295" t="n">
        <v>0</v>
      </c>
      <c r="Q295" t="n">
        <v>0</v>
      </c>
      <c r="R295" s="2" t="inlineStr"/>
    </row>
    <row r="296" ht="15" customHeight="1">
      <c r="A296" t="inlineStr">
        <is>
          <t>A 54580-2020</t>
        </is>
      </c>
      <c r="B296" s="1" t="n">
        <v>44126</v>
      </c>
      <c r="C296" s="1" t="n">
        <v>45890</v>
      </c>
      <c r="D296" t="inlineStr">
        <is>
          <t>JÄMTLANDS LÄN</t>
        </is>
      </c>
      <c r="E296" t="inlineStr">
        <is>
          <t>RAGUNDA</t>
        </is>
      </c>
      <c r="G296" t="n">
        <v>2.8</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45890</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47801-2022</t>
        </is>
      </c>
      <c r="B298" s="1" t="n">
        <v>44854</v>
      </c>
      <c r="C298" s="1" t="n">
        <v>45890</v>
      </c>
      <c r="D298" t="inlineStr">
        <is>
          <t>JÄMTLANDS LÄN</t>
        </is>
      </c>
      <c r="E298" t="inlineStr">
        <is>
          <t>RAGUNDA</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48938-2022</t>
        </is>
      </c>
      <c r="B299" s="1" t="n">
        <v>44859.95710648148</v>
      </c>
      <c r="C299" s="1" t="n">
        <v>45890</v>
      </c>
      <c r="D299" t="inlineStr">
        <is>
          <t>JÄMTLANDS LÄN</t>
        </is>
      </c>
      <c r="E299" t="inlineStr">
        <is>
          <t>RAGUNDA</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69316-2021</t>
        </is>
      </c>
      <c r="B300" s="1" t="n">
        <v>44530</v>
      </c>
      <c r="C300" s="1" t="n">
        <v>45890</v>
      </c>
      <c r="D300" t="inlineStr">
        <is>
          <t>JÄMTLANDS LÄN</t>
        </is>
      </c>
      <c r="E300" t="inlineStr">
        <is>
          <t>RAGUNDA</t>
        </is>
      </c>
      <c r="G300" t="n">
        <v>2.3</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45890</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45890</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54199-2020</t>
        </is>
      </c>
      <c r="B303" s="1" t="n">
        <v>44125.94493055555</v>
      </c>
      <c r="C303" s="1" t="n">
        <v>45890</v>
      </c>
      <c r="D303" t="inlineStr">
        <is>
          <t>JÄMTLANDS LÄN</t>
        </is>
      </c>
      <c r="E303" t="inlineStr">
        <is>
          <t>RAGUNDA</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40612-2022</t>
        </is>
      </c>
      <c r="B304" s="1" t="n">
        <v>44823.94993055556</v>
      </c>
      <c r="C304" s="1" t="n">
        <v>45890</v>
      </c>
      <c r="D304" t="inlineStr">
        <is>
          <t>JÄMTLANDS LÄN</t>
        </is>
      </c>
      <c r="E304" t="inlineStr">
        <is>
          <t>RAGUNDA</t>
        </is>
      </c>
      <c r="F304" t="inlineStr">
        <is>
          <t>SCA</t>
        </is>
      </c>
      <c r="G304" t="n">
        <v>0.7</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45890</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45890</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45890</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45890</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45890</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45890</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45890</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45890</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45890</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11217-2022</t>
        </is>
      </c>
      <c r="B314" s="1" t="n">
        <v>44629.56258101852</v>
      </c>
      <c r="C314" s="1" t="n">
        <v>45890</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48832-2021</t>
        </is>
      </c>
      <c r="B315" s="1" t="n">
        <v>44452</v>
      </c>
      <c r="C315" s="1" t="n">
        <v>45890</v>
      </c>
      <c r="D315" t="inlineStr">
        <is>
          <t>JÄMTLANDS LÄN</t>
        </is>
      </c>
      <c r="E315" t="inlineStr">
        <is>
          <t>RAGUNDA</t>
        </is>
      </c>
      <c r="G315" t="n">
        <v>1.7</v>
      </c>
      <c r="H315" t="n">
        <v>0</v>
      </c>
      <c r="I315" t="n">
        <v>0</v>
      </c>
      <c r="J315" t="n">
        <v>0</v>
      </c>
      <c r="K315" t="n">
        <v>0</v>
      </c>
      <c r="L315" t="n">
        <v>0</v>
      </c>
      <c r="M315" t="n">
        <v>0</v>
      </c>
      <c r="N315" t="n">
        <v>0</v>
      </c>
      <c r="O315" t="n">
        <v>0</v>
      </c>
      <c r="P315" t="n">
        <v>0</v>
      </c>
      <c r="Q315" t="n">
        <v>0</v>
      </c>
      <c r="R315" s="2" t="inlineStr"/>
    </row>
    <row r="316" ht="15" customHeight="1">
      <c r="A316" t="inlineStr">
        <is>
          <t>A 15102-2021</t>
        </is>
      </c>
      <c r="B316" s="1" t="n">
        <v>44281</v>
      </c>
      <c r="C316" s="1" t="n">
        <v>45890</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41062-2021</t>
        </is>
      </c>
      <c r="B317" s="1" t="n">
        <v>44421.97322916667</v>
      </c>
      <c r="C317" s="1" t="n">
        <v>45890</v>
      </c>
      <c r="D317" t="inlineStr">
        <is>
          <t>JÄMTLANDS LÄN</t>
        </is>
      </c>
      <c r="E317" t="inlineStr">
        <is>
          <t>RAGUNDA</t>
        </is>
      </c>
      <c r="F317" t="inlineStr">
        <is>
          <t>SCA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45890</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40742-2020</t>
        </is>
      </c>
      <c r="B319" s="1" t="n">
        <v>44069</v>
      </c>
      <c r="C319" s="1" t="n">
        <v>45890</v>
      </c>
      <c r="D319" t="inlineStr">
        <is>
          <t>JÄMTLANDS LÄN</t>
        </is>
      </c>
      <c r="E319" t="inlineStr">
        <is>
          <t>RAGUNDA</t>
        </is>
      </c>
      <c r="F319" t="inlineStr">
        <is>
          <t>SCA</t>
        </is>
      </c>
      <c r="G319" t="n">
        <v>5.6</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45890</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45890</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45890</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45890</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45890</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45890</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51004-2020</t>
        </is>
      </c>
      <c r="B326" s="1" t="n">
        <v>44111</v>
      </c>
      <c r="C326" s="1" t="n">
        <v>45890</v>
      </c>
      <c r="D326" t="inlineStr">
        <is>
          <t>JÄMTLANDS LÄN</t>
        </is>
      </c>
      <c r="E326" t="inlineStr">
        <is>
          <t>RAGUNDA</t>
        </is>
      </c>
      <c r="G326" t="n">
        <v>2.8</v>
      </c>
      <c r="H326" t="n">
        <v>0</v>
      </c>
      <c r="I326" t="n">
        <v>0</v>
      </c>
      <c r="J326" t="n">
        <v>0</v>
      </c>
      <c r="K326" t="n">
        <v>0</v>
      </c>
      <c r="L326" t="n">
        <v>0</v>
      </c>
      <c r="M326" t="n">
        <v>0</v>
      </c>
      <c r="N326" t="n">
        <v>0</v>
      </c>
      <c r="O326" t="n">
        <v>0</v>
      </c>
      <c r="P326" t="n">
        <v>0</v>
      </c>
      <c r="Q326" t="n">
        <v>0</v>
      </c>
      <c r="R326" s="2" t="inlineStr"/>
    </row>
    <row r="327" ht="15" customHeight="1">
      <c r="A327" t="inlineStr">
        <is>
          <t>A 55932-2021</t>
        </is>
      </c>
      <c r="B327" s="1" t="n">
        <v>44476</v>
      </c>
      <c r="C327" s="1" t="n">
        <v>45890</v>
      </c>
      <c r="D327" t="inlineStr">
        <is>
          <t>JÄMTLANDS LÄN</t>
        </is>
      </c>
      <c r="E327" t="inlineStr">
        <is>
          <t>RAGUNDA</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45890</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45890</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45890</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28887-2021</t>
        </is>
      </c>
      <c r="B331" s="1" t="n">
        <v>44357</v>
      </c>
      <c r="C331" s="1" t="n">
        <v>45890</v>
      </c>
      <c r="D331" t="inlineStr">
        <is>
          <t>JÄMTLANDS LÄN</t>
        </is>
      </c>
      <c r="E331" t="inlineStr">
        <is>
          <t>RAGUNDA</t>
        </is>
      </c>
      <c r="G331" t="n">
        <v>1.8</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45890</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19850-2022</t>
        </is>
      </c>
      <c r="B333" s="1" t="n">
        <v>44696.93986111111</v>
      </c>
      <c r="C333" s="1" t="n">
        <v>45890</v>
      </c>
      <c r="D333" t="inlineStr">
        <is>
          <t>JÄMTLANDS LÄN</t>
        </is>
      </c>
      <c r="E333" t="inlineStr">
        <is>
          <t>RAGUNDA</t>
        </is>
      </c>
      <c r="F333" t="inlineStr">
        <is>
          <t>SCA</t>
        </is>
      </c>
      <c r="G333" t="n">
        <v>1.3</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45890</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5130-2021</t>
        </is>
      </c>
      <c r="B335" s="1" t="n">
        <v>44228</v>
      </c>
      <c r="C335" s="1" t="n">
        <v>45890</v>
      </c>
      <c r="D335" t="inlineStr">
        <is>
          <t>JÄMTLANDS LÄN</t>
        </is>
      </c>
      <c r="E335" t="inlineStr">
        <is>
          <t>RAGUNDA</t>
        </is>
      </c>
      <c r="G335" t="n">
        <v>1.6</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45890</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36084-2022</t>
        </is>
      </c>
      <c r="B337" s="1" t="n">
        <v>44802</v>
      </c>
      <c r="C337" s="1" t="n">
        <v>45890</v>
      </c>
      <c r="D337" t="inlineStr">
        <is>
          <t>JÄMTLANDS LÄN</t>
        </is>
      </c>
      <c r="E337" t="inlineStr">
        <is>
          <t>RAGUNDA</t>
        </is>
      </c>
      <c r="F337" t="inlineStr">
        <is>
          <t>SCA</t>
        </is>
      </c>
      <c r="G337" t="n">
        <v>5.7</v>
      </c>
      <c r="H337" t="n">
        <v>0</v>
      </c>
      <c r="I337" t="n">
        <v>0</v>
      </c>
      <c r="J337" t="n">
        <v>0</v>
      </c>
      <c r="K337" t="n">
        <v>0</v>
      </c>
      <c r="L337" t="n">
        <v>0</v>
      </c>
      <c r="M337" t="n">
        <v>0</v>
      </c>
      <c r="N337" t="n">
        <v>0</v>
      </c>
      <c r="O337" t="n">
        <v>0</v>
      </c>
      <c r="P337" t="n">
        <v>0</v>
      </c>
      <c r="Q337" t="n">
        <v>0</v>
      </c>
      <c r="R337" s="2" t="inlineStr"/>
    </row>
    <row r="338" ht="15" customHeight="1">
      <c r="A338" t="inlineStr">
        <is>
          <t>A 36941-2022</t>
        </is>
      </c>
      <c r="B338" s="1" t="n">
        <v>44805</v>
      </c>
      <c r="C338" s="1" t="n">
        <v>45890</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20548-2021</t>
        </is>
      </c>
      <c r="B339" s="1" t="n">
        <v>44315</v>
      </c>
      <c r="C339" s="1" t="n">
        <v>45890</v>
      </c>
      <c r="D339" t="inlineStr">
        <is>
          <t>JÄMTLANDS LÄN</t>
        </is>
      </c>
      <c r="E339" t="inlineStr">
        <is>
          <t>RAGUNDA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45890</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49904-2022</t>
        </is>
      </c>
      <c r="B341" s="1" t="n">
        <v>44864.94835648148</v>
      </c>
      <c r="C341" s="1" t="n">
        <v>45890</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42882-2022</t>
        </is>
      </c>
      <c r="B342" s="1" t="n">
        <v>44832.95300925926</v>
      </c>
      <c r="C342" s="1" t="n">
        <v>45890</v>
      </c>
      <c r="D342" t="inlineStr">
        <is>
          <t>JÄMTLANDS LÄN</t>
        </is>
      </c>
      <c r="E342" t="inlineStr">
        <is>
          <t>RAGUNDA</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31854-2022</t>
        </is>
      </c>
      <c r="B343" s="1" t="n">
        <v>44776</v>
      </c>
      <c r="C343" s="1" t="n">
        <v>45890</v>
      </c>
      <c r="D343" t="inlineStr">
        <is>
          <t>JÄMTLANDS LÄN</t>
        </is>
      </c>
      <c r="E343" t="inlineStr">
        <is>
          <t>RAGUNDA</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42267-2022</t>
        </is>
      </c>
      <c r="B344" s="1" t="n">
        <v>44830</v>
      </c>
      <c r="C344" s="1" t="n">
        <v>45890</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19595-2021</t>
        </is>
      </c>
      <c r="B345" s="1" t="n">
        <v>44308</v>
      </c>
      <c r="C345" s="1" t="n">
        <v>45890</v>
      </c>
      <c r="D345" t="inlineStr">
        <is>
          <t>JÄMTLANDS LÄN</t>
        </is>
      </c>
      <c r="E345" t="inlineStr">
        <is>
          <t>RAGUNDA</t>
        </is>
      </c>
      <c r="G345" t="n">
        <v>5.4</v>
      </c>
      <c r="H345" t="n">
        <v>0</v>
      </c>
      <c r="I345" t="n">
        <v>0</v>
      </c>
      <c r="J345" t="n">
        <v>0</v>
      </c>
      <c r="K345" t="n">
        <v>0</v>
      </c>
      <c r="L345" t="n">
        <v>0</v>
      </c>
      <c r="M345" t="n">
        <v>0</v>
      </c>
      <c r="N345" t="n">
        <v>0</v>
      </c>
      <c r="O345" t="n">
        <v>0</v>
      </c>
      <c r="P345" t="n">
        <v>0</v>
      </c>
      <c r="Q345" t="n">
        <v>0</v>
      </c>
      <c r="R345" s="2" t="inlineStr"/>
    </row>
    <row r="346" ht="15" customHeight="1">
      <c r="A346" t="inlineStr">
        <is>
          <t>A 47568-2022</t>
        </is>
      </c>
      <c r="B346" s="1" t="n">
        <v>44853.9499537037</v>
      </c>
      <c r="C346" s="1" t="n">
        <v>45890</v>
      </c>
      <c r="D346" t="inlineStr">
        <is>
          <t>JÄMTLANDS LÄN</t>
        </is>
      </c>
      <c r="E346" t="inlineStr">
        <is>
          <t>RAGUNDA</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65017-2021</t>
        </is>
      </c>
      <c r="B347" s="1" t="n">
        <v>44512</v>
      </c>
      <c r="C347" s="1" t="n">
        <v>45890</v>
      </c>
      <c r="D347" t="inlineStr">
        <is>
          <t>JÄMTLANDS LÄN</t>
        </is>
      </c>
      <c r="E347" t="inlineStr">
        <is>
          <t>RAGUNDA</t>
        </is>
      </c>
      <c r="G347" t="n">
        <v>2.3</v>
      </c>
      <c r="H347" t="n">
        <v>0</v>
      </c>
      <c r="I347" t="n">
        <v>0</v>
      </c>
      <c r="J347" t="n">
        <v>0</v>
      </c>
      <c r="K347" t="n">
        <v>0</v>
      </c>
      <c r="L347" t="n">
        <v>0</v>
      </c>
      <c r="M347" t="n">
        <v>0</v>
      </c>
      <c r="N347" t="n">
        <v>0</v>
      </c>
      <c r="O347" t="n">
        <v>0</v>
      </c>
      <c r="P347" t="n">
        <v>0</v>
      </c>
      <c r="Q347" t="n">
        <v>0</v>
      </c>
      <c r="R347" s="2" t="inlineStr"/>
    </row>
    <row r="348" ht="15" customHeight="1">
      <c r="A348" t="inlineStr">
        <is>
          <t>A 15664-2022</t>
        </is>
      </c>
      <c r="B348" s="1" t="n">
        <v>44662</v>
      </c>
      <c r="C348" s="1" t="n">
        <v>45890</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21984-2022</t>
        </is>
      </c>
      <c r="B349" s="1" t="n">
        <v>44704</v>
      </c>
      <c r="C349" s="1" t="n">
        <v>45890</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26945-2021</t>
        </is>
      </c>
      <c r="B350" s="1" t="n">
        <v>44349.91995370371</v>
      </c>
      <c r="C350" s="1" t="n">
        <v>45890</v>
      </c>
      <c r="D350" t="inlineStr">
        <is>
          <t>JÄMTLANDS LÄN</t>
        </is>
      </c>
      <c r="E350" t="inlineStr">
        <is>
          <t>RAGUNDA</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26948-2021</t>
        </is>
      </c>
      <c r="B351" s="1" t="n">
        <v>44349.92013888889</v>
      </c>
      <c r="C351" s="1" t="n">
        <v>45890</v>
      </c>
      <c r="D351" t="inlineStr">
        <is>
          <t>JÄMTLANDS LÄN</t>
        </is>
      </c>
      <c r="E351" t="inlineStr">
        <is>
          <t>RAGUNDA</t>
        </is>
      </c>
      <c r="G351" t="n">
        <v>2.5</v>
      </c>
      <c r="H351" t="n">
        <v>0</v>
      </c>
      <c r="I351" t="n">
        <v>0</v>
      </c>
      <c r="J351" t="n">
        <v>0</v>
      </c>
      <c r="K351" t="n">
        <v>0</v>
      </c>
      <c r="L351" t="n">
        <v>0</v>
      </c>
      <c r="M351" t="n">
        <v>0</v>
      </c>
      <c r="N351" t="n">
        <v>0</v>
      </c>
      <c r="O351" t="n">
        <v>0</v>
      </c>
      <c r="P351" t="n">
        <v>0</v>
      </c>
      <c r="Q351" t="n">
        <v>0</v>
      </c>
      <c r="R351" s="2" t="inlineStr"/>
    </row>
    <row r="352" ht="15" customHeight="1">
      <c r="A352" t="inlineStr">
        <is>
          <t>A 57194-2021</t>
        </is>
      </c>
      <c r="B352" s="1" t="n">
        <v>44482.92271990741</v>
      </c>
      <c r="C352" s="1" t="n">
        <v>45890</v>
      </c>
      <c r="D352" t="inlineStr">
        <is>
          <t>JÄMTLANDS LÄN</t>
        </is>
      </c>
      <c r="E352" t="inlineStr">
        <is>
          <t>RAGUNDA</t>
        </is>
      </c>
      <c r="G352" t="n">
        <v>7.3</v>
      </c>
      <c r="H352" t="n">
        <v>0</v>
      </c>
      <c r="I352" t="n">
        <v>0</v>
      </c>
      <c r="J352" t="n">
        <v>0</v>
      </c>
      <c r="K352" t="n">
        <v>0</v>
      </c>
      <c r="L352" t="n">
        <v>0</v>
      </c>
      <c r="M352" t="n">
        <v>0</v>
      </c>
      <c r="N352" t="n">
        <v>0</v>
      </c>
      <c r="O352" t="n">
        <v>0</v>
      </c>
      <c r="P352" t="n">
        <v>0</v>
      </c>
      <c r="Q352" t="n">
        <v>0</v>
      </c>
      <c r="R352" s="2" t="inlineStr"/>
    </row>
    <row r="353" ht="15" customHeight="1">
      <c r="A353" t="inlineStr">
        <is>
          <t>A 19600-2021</t>
        </is>
      </c>
      <c r="B353" s="1" t="n">
        <v>44308</v>
      </c>
      <c r="C353" s="1" t="n">
        <v>45890</v>
      </c>
      <c r="D353" t="inlineStr">
        <is>
          <t>JÄMTLANDS LÄN</t>
        </is>
      </c>
      <c r="E353" t="inlineStr">
        <is>
          <t>RAGUNDA</t>
        </is>
      </c>
      <c r="G353" t="n">
        <v>4.3</v>
      </c>
      <c r="H353" t="n">
        <v>0</v>
      </c>
      <c r="I353" t="n">
        <v>0</v>
      </c>
      <c r="J353" t="n">
        <v>0</v>
      </c>
      <c r="K353" t="n">
        <v>0</v>
      </c>
      <c r="L353" t="n">
        <v>0</v>
      </c>
      <c r="M353" t="n">
        <v>0</v>
      </c>
      <c r="N353" t="n">
        <v>0</v>
      </c>
      <c r="O353" t="n">
        <v>0</v>
      </c>
      <c r="P353" t="n">
        <v>0</v>
      </c>
      <c r="Q353" t="n">
        <v>0</v>
      </c>
      <c r="R353" s="2" t="inlineStr"/>
    </row>
    <row r="354" ht="15" customHeight="1">
      <c r="A354" t="inlineStr">
        <is>
          <t>A 18341-2022</t>
        </is>
      </c>
      <c r="B354" s="1" t="n">
        <v>44685</v>
      </c>
      <c r="C354" s="1" t="n">
        <v>45890</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16460-2022</t>
        </is>
      </c>
      <c r="B355" s="1" t="n">
        <v>44671</v>
      </c>
      <c r="C355" s="1" t="n">
        <v>45890</v>
      </c>
      <c r="D355" t="inlineStr">
        <is>
          <t>JÄMTLANDS LÄN</t>
        </is>
      </c>
      <c r="E355" t="inlineStr">
        <is>
          <t>RAGUNDA</t>
        </is>
      </c>
      <c r="G355" t="n">
        <v>1.7</v>
      </c>
      <c r="H355" t="n">
        <v>0</v>
      </c>
      <c r="I355" t="n">
        <v>0</v>
      </c>
      <c r="J355" t="n">
        <v>0</v>
      </c>
      <c r="K355" t="n">
        <v>0</v>
      </c>
      <c r="L355" t="n">
        <v>0</v>
      </c>
      <c r="M355" t="n">
        <v>0</v>
      </c>
      <c r="N355" t="n">
        <v>0</v>
      </c>
      <c r="O355" t="n">
        <v>0</v>
      </c>
      <c r="P355" t="n">
        <v>0</v>
      </c>
      <c r="Q355" t="n">
        <v>0</v>
      </c>
      <c r="R355" s="2" t="inlineStr"/>
    </row>
    <row r="356" ht="15" customHeight="1">
      <c r="A356" t="inlineStr">
        <is>
          <t>A 9185-2022</t>
        </is>
      </c>
      <c r="B356" s="1" t="n">
        <v>44615</v>
      </c>
      <c r="C356" s="1" t="n">
        <v>45890</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42208-2020</t>
        </is>
      </c>
      <c r="B357" s="1" t="n">
        <v>44075</v>
      </c>
      <c r="C357" s="1" t="n">
        <v>45890</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40829-2022</t>
        </is>
      </c>
      <c r="B358" s="1" t="n">
        <v>44824.94635416667</v>
      </c>
      <c r="C358" s="1" t="n">
        <v>45890</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41346-2020</t>
        </is>
      </c>
      <c r="B359" s="1" t="n">
        <v>44071</v>
      </c>
      <c r="C359" s="1" t="n">
        <v>45890</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44241-2021</t>
        </is>
      </c>
      <c r="B360" s="1" t="n">
        <v>44434.94517361111</v>
      </c>
      <c r="C360" s="1" t="n">
        <v>45890</v>
      </c>
      <c r="D360" t="inlineStr">
        <is>
          <t>JÄMTLANDS LÄN</t>
        </is>
      </c>
      <c r="E360" t="inlineStr">
        <is>
          <t>RAGUNDA</t>
        </is>
      </c>
      <c r="G360" t="n">
        <v>0.8</v>
      </c>
      <c r="H360" t="n">
        <v>0</v>
      </c>
      <c r="I360" t="n">
        <v>0</v>
      </c>
      <c r="J360" t="n">
        <v>0</v>
      </c>
      <c r="K360" t="n">
        <v>0</v>
      </c>
      <c r="L360" t="n">
        <v>0</v>
      </c>
      <c r="M360" t="n">
        <v>0</v>
      </c>
      <c r="N360" t="n">
        <v>0</v>
      </c>
      <c r="O360" t="n">
        <v>0</v>
      </c>
      <c r="P360" t="n">
        <v>0</v>
      </c>
      <c r="Q360" t="n">
        <v>0</v>
      </c>
      <c r="R360" s="2" t="inlineStr"/>
    </row>
    <row r="361" ht="15" customHeight="1">
      <c r="A361" t="inlineStr">
        <is>
          <t>A 46992-2022</t>
        </is>
      </c>
      <c r="B361" s="1" t="n">
        <v>44851.95488425926</v>
      </c>
      <c r="C361" s="1" t="n">
        <v>45890</v>
      </c>
      <c r="D361" t="inlineStr">
        <is>
          <t>JÄMTLANDS LÄN</t>
        </is>
      </c>
      <c r="E361" t="inlineStr">
        <is>
          <t>RAGUNDA</t>
        </is>
      </c>
      <c r="F361" t="inlineStr">
        <is>
          <t>SCA</t>
        </is>
      </c>
      <c r="G361" t="n">
        <v>26.4</v>
      </c>
      <c r="H361" t="n">
        <v>0</v>
      </c>
      <c r="I361" t="n">
        <v>0</v>
      </c>
      <c r="J361" t="n">
        <v>0</v>
      </c>
      <c r="K361" t="n">
        <v>0</v>
      </c>
      <c r="L361" t="n">
        <v>0</v>
      </c>
      <c r="M361" t="n">
        <v>0</v>
      </c>
      <c r="N361" t="n">
        <v>0</v>
      </c>
      <c r="O361" t="n">
        <v>0</v>
      </c>
      <c r="P361" t="n">
        <v>0</v>
      </c>
      <c r="Q361" t="n">
        <v>0</v>
      </c>
      <c r="R361" s="2" t="inlineStr"/>
    </row>
    <row r="362" ht="15" customHeight="1">
      <c r="A362" t="inlineStr">
        <is>
          <t>A 34348-2021</t>
        </is>
      </c>
      <c r="B362" s="1" t="n">
        <v>44379</v>
      </c>
      <c r="C362" s="1" t="n">
        <v>45890</v>
      </c>
      <c r="D362" t="inlineStr">
        <is>
          <t>JÄMTLANDS LÄN</t>
        </is>
      </c>
      <c r="E362" t="inlineStr">
        <is>
          <t>RAGUNDA</t>
        </is>
      </c>
      <c r="G362" t="n">
        <v>8.1</v>
      </c>
      <c r="H362" t="n">
        <v>0</v>
      </c>
      <c r="I362" t="n">
        <v>0</v>
      </c>
      <c r="J362" t="n">
        <v>0</v>
      </c>
      <c r="K362" t="n">
        <v>0</v>
      </c>
      <c r="L362" t="n">
        <v>0</v>
      </c>
      <c r="M362" t="n">
        <v>0</v>
      </c>
      <c r="N362" t="n">
        <v>0</v>
      </c>
      <c r="O362" t="n">
        <v>0</v>
      </c>
      <c r="P362" t="n">
        <v>0</v>
      </c>
      <c r="Q362" t="n">
        <v>0</v>
      </c>
      <c r="R362" s="2" t="inlineStr"/>
    </row>
    <row r="363" ht="15" customHeight="1">
      <c r="A363" t="inlineStr">
        <is>
          <t>A 21195-2022</t>
        </is>
      </c>
      <c r="B363" s="1" t="n">
        <v>44704.94229166667</v>
      </c>
      <c r="C363" s="1" t="n">
        <v>45890</v>
      </c>
      <c r="D363" t="inlineStr">
        <is>
          <t>JÄMTLANDS LÄN</t>
        </is>
      </c>
      <c r="E363" t="inlineStr">
        <is>
          <t>RAGUNDA</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49531-2022</t>
        </is>
      </c>
      <c r="B364" s="1" t="n">
        <v>44861</v>
      </c>
      <c r="C364" s="1" t="n">
        <v>45890</v>
      </c>
      <c r="D364" t="inlineStr">
        <is>
          <t>JÄMTLANDS LÄN</t>
        </is>
      </c>
      <c r="E364" t="inlineStr">
        <is>
          <t>RAGUNDA</t>
        </is>
      </c>
      <c r="F364" t="inlineStr">
        <is>
          <t>SCA</t>
        </is>
      </c>
      <c r="G364" t="n">
        <v>0.9</v>
      </c>
      <c r="H364" t="n">
        <v>0</v>
      </c>
      <c r="I364" t="n">
        <v>0</v>
      </c>
      <c r="J364" t="n">
        <v>0</v>
      </c>
      <c r="K364" t="n">
        <v>0</v>
      </c>
      <c r="L364" t="n">
        <v>0</v>
      </c>
      <c r="M364" t="n">
        <v>0</v>
      </c>
      <c r="N364" t="n">
        <v>0</v>
      </c>
      <c r="O364" t="n">
        <v>0</v>
      </c>
      <c r="P364" t="n">
        <v>0</v>
      </c>
      <c r="Q364" t="n">
        <v>0</v>
      </c>
      <c r="R364" s="2" t="inlineStr"/>
    </row>
    <row r="365" ht="15" customHeight="1">
      <c r="A365" t="inlineStr">
        <is>
          <t>A 31972-2022</t>
        </is>
      </c>
      <c r="B365" s="1" t="n">
        <v>44777.95504629629</v>
      </c>
      <c r="C365" s="1" t="n">
        <v>45890</v>
      </c>
      <c r="D365" t="inlineStr">
        <is>
          <t>JÄMTLANDS LÄN</t>
        </is>
      </c>
      <c r="E365" t="inlineStr">
        <is>
          <t>RAGUNDA</t>
        </is>
      </c>
      <c r="F365" t="inlineStr">
        <is>
          <t>Naturvårdsverket</t>
        </is>
      </c>
      <c r="G365" t="n">
        <v>0.8</v>
      </c>
      <c r="H365" t="n">
        <v>0</v>
      </c>
      <c r="I365" t="n">
        <v>0</v>
      </c>
      <c r="J365" t="n">
        <v>0</v>
      </c>
      <c r="K365" t="n">
        <v>0</v>
      </c>
      <c r="L365" t="n">
        <v>0</v>
      </c>
      <c r="M365" t="n">
        <v>0</v>
      </c>
      <c r="N365" t="n">
        <v>0</v>
      </c>
      <c r="O365" t="n">
        <v>0</v>
      </c>
      <c r="P365" t="n">
        <v>0</v>
      </c>
      <c r="Q365" t="n">
        <v>0</v>
      </c>
      <c r="R365" s="2" t="inlineStr"/>
    </row>
    <row r="366" ht="15" customHeight="1">
      <c r="A366" t="inlineStr">
        <is>
          <t>A 48086-2022</t>
        </is>
      </c>
      <c r="B366" s="1" t="n">
        <v>44855.9471875</v>
      </c>
      <c r="C366" s="1" t="n">
        <v>45890</v>
      </c>
      <c r="D366" t="inlineStr">
        <is>
          <t>JÄMTLANDS LÄN</t>
        </is>
      </c>
      <c r="E366" t="inlineStr">
        <is>
          <t>RAGUNDA</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39698-2022</t>
        </is>
      </c>
      <c r="B367" s="1" t="n">
        <v>44818</v>
      </c>
      <c r="C367" s="1" t="n">
        <v>45890</v>
      </c>
      <c r="D367" t="inlineStr">
        <is>
          <t>JÄMTLANDS LÄN</t>
        </is>
      </c>
      <c r="E367" t="inlineStr">
        <is>
          <t>RAGUNDA</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43147-2022</t>
        </is>
      </c>
      <c r="B368" s="1" t="n">
        <v>44833.9519212963</v>
      </c>
      <c r="C368" s="1" t="n">
        <v>45890</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25253-2022</t>
        </is>
      </c>
      <c r="B369" s="1" t="n">
        <v>44729.94136574074</v>
      </c>
      <c r="C369" s="1" t="n">
        <v>45890</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57246-2020</t>
        </is>
      </c>
      <c r="B370" s="1" t="n">
        <v>44138</v>
      </c>
      <c r="C370" s="1" t="n">
        <v>45890</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40213-2021</t>
        </is>
      </c>
      <c r="B371" s="1" t="n">
        <v>44418.9369212963</v>
      </c>
      <c r="C371" s="1" t="n">
        <v>45890</v>
      </c>
      <c r="D371" t="inlineStr">
        <is>
          <t>JÄMTLANDS LÄN</t>
        </is>
      </c>
      <c r="E371" t="inlineStr">
        <is>
          <t>RAGUNDA</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48056-2020</t>
        </is>
      </c>
      <c r="B372" s="1" t="n">
        <v>44099</v>
      </c>
      <c r="C372" s="1" t="n">
        <v>45890</v>
      </c>
      <c r="D372" t="inlineStr">
        <is>
          <t>JÄMTLANDS LÄN</t>
        </is>
      </c>
      <c r="E372" t="inlineStr">
        <is>
          <t>RAGUNDA</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33279-2022</t>
        </is>
      </c>
      <c r="B373" s="1" t="n">
        <v>44788</v>
      </c>
      <c r="C373" s="1" t="n">
        <v>45890</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47567-2022</t>
        </is>
      </c>
      <c r="B374" s="1" t="n">
        <v>44853</v>
      </c>
      <c r="C374" s="1" t="n">
        <v>45890</v>
      </c>
      <c r="D374" t="inlineStr">
        <is>
          <t>JÄMTLANDS LÄN</t>
        </is>
      </c>
      <c r="E374" t="inlineStr">
        <is>
          <t>RAGUNDA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10120-2022</t>
        </is>
      </c>
      <c r="B375" s="1" t="n">
        <v>44621</v>
      </c>
      <c r="C375" s="1" t="n">
        <v>45890</v>
      </c>
      <c r="D375" t="inlineStr">
        <is>
          <t>JÄMTLANDS LÄN</t>
        </is>
      </c>
      <c r="E375" t="inlineStr">
        <is>
          <t>RAGUNDA</t>
        </is>
      </c>
      <c r="G375" t="n">
        <v>0.4</v>
      </c>
      <c r="H375" t="n">
        <v>0</v>
      </c>
      <c r="I375" t="n">
        <v>0</v>
      </c>
      <c r="J375" t="n">
        <v>0</v>
      </c>
      <c r="K375" t="n">
        <v>0</v>
      </c>
      <c r="L375" t="n">
        <v>0</v>
      </c>
      <c r="M375" t="n">
        <v>0</v>
      </c>
      <c r="N375" t="n">
        <v>0</v>
      </c>
      <c r="O375" t="n">
        <v>0</v>
      </c>
      <c r="P375" t="n">
        <v>0</v>
      </c>
      <c r="Q375" t="n">
        <v>0</v>
      </c>
      <c r="R375" s="2" t="inlineStr"/>
    </row>
    <row r="376" ht="15" customHeight="1">
      <c r="A376" t="inlineStr">
        <is>
          <t>A 41875-2020</t>
        </is>
      </c>
      <c r="B376" s="1" t="n">
        <v>44074</v>
      </c>
      <c r="C376" s="1" t="n">
        <v>45890</v>
      </c>
      <c r="D376" t="inlineStr">
        <is>
          <t>JÄMTLANDS LÄN</t>
        </is>
      </c>
      <c r="E376" t="inlineStr">
        <is>
          <t>RAGUNDA</t>
        </is>
      </c>
      <c r="F376" t="inlineStr">
        <is>
          <t>Naturvårdsverket</t>
        </is>
      </c>
      <c r="G376" t="n">
        <v>3.3</v>
      </c>
      <c r="H376" t="n">
        <v>0</v>
      </c>
      <c r="I376" t="n">
        <v>0</v>
      </c>
      <c r="J376" t="n">
        <v>0</v>
      </c>
      <c r="K376" t="n">
        <v>0</v>
      </c>
      <c r="L376" t="n">
        <v>0</v>
      </c>
      <c r="M376" t="n">
        <v>0</v>
      </c>
      <c r="N376" t="n">
        <v>0</v>
      </c>
      <c r="O376" t="n">
        <v>0</v>
      </c>
      <c r="P376" t="n">
        <v>0</v>
      </c>
      <c r="Q376" t="n">
        <v>0</v>
      </c>
      <c r="R376" s="2" t="inlineStr"/>
    </row>
    <row r="377" ht="15" customHeight="1">
      <c r="A377" t="inlineStr">
        <is>
          <t>A 41887-2020</t>
        </is>
      </c>
      <c r="B377" s="1" t="n">
        <v>44074</v>
      </c>
      <c r="C377" s="1" t="n">
        <v>45890</v>
      </c>
      <c r="D377" t="inlineStr">
        <is>
          <t>JÄMTLANDS LÄN</t>
        </is>
      </c>
      <c r="E377" t="inlineStr">
        <is>
          <t>RAGUNDA</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13964-2022</t>
        </is>
      </c>
      <c r="B378" s="1" t="n">
        <v>44650</v>
      </c>
      <c r="C378" s="1" t="n">
        <v>45890</v>
      </c>
      <c r="D378" t="inlineStr">
        <is>
          <t>JÄMTLANDS LÄN</t>
        </is>
      </c>
      <c r="E378" t="inlineStr">
        <is>
          <t>RAGUNDA</t>
        </is>
      </c>
      <c r="G378" t="n">
        <v>2.6</v>
      </c>
      <c r="H378" t="n">
        <v>0</v>
      </c>
      <c r="I378" t="n">
        <v>0</v>
      </c>
      <c r="J378" t="n">
        <v>0</v>
      </c>
      <c r="K378" t="n">
        <v>0</v>
      </c>
      <c r="L378" t="n">
        <v>0</v>
      </c>
      <c r="M378" t="n">
        <v>0</v>
      </c>
      <c r="N378" t="n">
        <v>0</v>
      </c>
      <c r="O378" t="n">
        <v>0</v>
      </c>
      <c r="P378" t="n">
        <v>0</v>
      </c>
      <c r="Q378" t="n">
        <v>0</v>
      </c>
      <c r="R378" s="2" t="inlineStr"/>
    </row>
    <row r="379" ht="15" customHeight="1">
      <c r="A379" t="inlineStr">
        <is>
          <t>A 43040-2021</t>
        </is>
      </c>
      <c r="B379" s="1" t="n">
        <v>44431</v>
      </c>
      <c r="C379" s="1" t="n">
        <v>45890</v>
      </c>
      <c r="D379" t="inlineStr">
        <is>
          <t>JÄMTLANDS LÄN</t>
        </is>
      </c>
      <c r="E379" t="inlineStr">
        <is>
          <t>RAGUNDA</t>
        </is>
      </c>
      <c r="G379" t="n">
        <v>4.9</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45890</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9187-2022</t>
        </is>
      </c>
      <c r="B381" s="1" t="n">
        <v>44615</v>
      </c>
      <c r="C381" s="1" t="n">
        <v>45890</v>
      </c>
      <c r="D381" t="inlineStr">
        <is>
          <t>JÄMTLANDS LÄN</t>
        </is>
      </c>
      <c r="E381" t="inlineStr">
        <is>
          <t>RAGUNDA</t>
        </is>
      </c>
      <c r="G381" t="n">
        <v>2</v>
      </c>
      <c r="H381" t="n">
        <v>0</v>
      </c>
      <c r="I381" t="n">
        <v>0</v>
      </c>
      <c r="J381" t="n">
        <v>0</v>
      </c>
      <c r="K381" t="n">
        <v>0</v>
      </c>
      <c r="L381" t="n">
        <v>0</v>
      </c>
      <c r="M381" t="n">
        <v>0</v>
      </c>
      <c r="N381" t="n">
        <v>0</v>
      </c>
      <c r="O381" t="n">
        <v>0</v>
      </c>
      <c r="P381" t="n">
        <v>0</v>
      </c>
      <c r="Q381" t="n">
        <v>0</v>
      </c>
      <c r="R381" s="2" t="inlineStr"/>
    </row>
    <row r="382" ht="15" customHeight="1">
      <c r="A382" t="inlineStr">
        <is>
          <t>A 57730-2020</t>
        </is>
      </c>
      <c r="B382" s="1" t="n">
        <v>44140</v>
      </c>
      <c r="C382" s="1" t="n">
        <v>45890</v>
      </c>
      <c r="D382" t="inlineStr">
        <is>
          <t>JÄMTLANDS LÄN</t>
        </is>
      </c>
      <c r="E382" t="inlineStr">
        <is>
          <t>RAGUNDA</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38733-2022</t>
        </is>
      </c>
      <c r="B383" s="1" t="n">
        <v>44815</v>
      </c>
      <c r="C383" s="1" t="n">
        <v>45890</v>
      </c>
      <c r="D383" t="inlineStr">
        <is>
          <t>JÄMTLANDS LÄN</t>
        </is>
      </c>
      <c r="E383" t="inlineStr">
        <is>
          <t>RAGUNDA</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2336-2022</t>
        </is>
      </c>
      <c r="B384" s="1" t="n">
        <v>44578.92284722222</v>
      </c>
      <c r="C384" s="1" t="n">
        <v>45890</v>
      </c>
      <c r="D384" t="inlineStr">
        <is>
          <t>JÄMTLANDS LÄN</t>
        </is>
      </c>
      <c r="E384" t="inlineStr">
        <is>
          <t>RAGUNDA</t>
        </is>
      </c>
      <c r="G384" t="n">
        <v>0.5</v>
      </c>
      <c r="H384" t="n">
        <v>0</v>
      </c>
      <c r="I384" t="n">
        <v>0</v>
      </c>
      <c r="J384" t="n">
        <v>0</v>
      </c>
      <c r="K384" t="n">
        <v>0</v>
      </c>
      <c r="L384" t="n">
        <v>0</v>
      </c>
      <c r="M384" t="n">
        <v>0</v>
      </c>
      <c r="N384" t="n">
        <v>0</v>
      </c>
      <c r="O384" t="n">
        <v>0</v>
      </c>
      <c r="P384" t="n">
        <v>0</v>
      </c>
      <c r="Q384" t="n">
        <v>0</v>
      </c>
      <c r="R384" s="2" t="inlineStr"/>
    </row>
    <row r="385" ht="15" customHeight="1">
      <c r="A385" t="inlineStr">
        <is>
          <t>A 57713-2020</t>
        </is>
      </c>
      <c r="B385" s="1" t="n">
        <v>44140</v>
      </c>
      <c r="C385" s="1" t="n">
        <v>45890</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35749-2022</t>
        </is>
      </c>
      <c r="B386" s="1" t="n">
        <v>44799.94394675926</v>
      </c>
      <c r="C386" s="1" t="n">
        <v>45890</v>
      </c>
      <c r="D386" t="inlineStr">
        <is>
          <t>JÄMTLANDS LÄN</t>
        </is>
      </c>
      <c r="E386" t="inlineStr">
        <is>
          <t>RAGUNDA</t>
        </is>
      </c>
      <c r="F386" t="inlineStr">
        <is>
          <t>SCA</t>
        </is>
      </c>
      <c r="G386" t="n">
        <v>2.9</v>
      </c>
      <c r="H386" t="n">
        <v>0</v>
      </c>
      <c r="I386" t="n">
        <v>0</v>
      </c>
      <c r="J386" t="n">
        <v>0</v>
      </c>
      <c r="K386" t="n">
        <v>0</v>
      </c>
      <c r="L386" t="n">
        <v>0</v>
      </c>
      <c r="M386" t="n">
        <v>0</v>
      </c>
      <c r="N386" t="n">
        <v>0</v>
      </c>
      <c r="O386" t="n">
        <v>0</v>
      </c>
      <c r="P386" t="n">
        <v>0</v>
      </c>
      <c r="Q386" t="n">
        <v>0</v>
      </c>
      <c r="R386" s="2" t="inlineStr"/>
    </row>
    <row r="387" ht="15" customHeight="1">
      <c r="A387" t="inlineStr">
        <is>
          <t>A 1858-2022</t>
        </is>
      </c>
      <c r="B387" s="1" t="n">
        <v>44574</v>
      </c>
      <c r="C387" s="1" t="n">
        <v>45890</v>
      </c>
      <c r="D387" t="inlineStr">
        <is>
          <t>JÄMTLANDS LÄN</t>
        </is>
      </c>
      <c r="E387" t="inlineStr">
        <is>
          <t>RAGUNDA</t>
        </is>
      </c>
      <c r="G387" t="n">
        <v>5.7</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45890</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54836-2022</t>
        </is>
      </c>
      <c r="B389" s="1" t="n">
        <v>44883.94918981481</v>
      </c>
      <c r="C389" s="1" t="n">
        <v>45890</v>
      </c>
      <c r="D389" t="inlineStr">
        <is>
          <t>JÄMTLANDS LÄN</t>
        </is>
      </c>
      <c r="E389" t="inlineStr">
        <is>
          <t>RAGUNDA</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53522-2020</t>
        </is>
      </c>
      <c r="B390" s="1" t="n">
        <v>44124</v>
      </c>
      <c r="C390" s="1" t="n">
        <v>45890</v>
      </c>
      <c r="D390" t="inlineStr">
        <is>
          <t>JÄMTLANDS LÄN</t>
        </is>
      </c>
      <c r="E390" t="inlineStr">
        <is>
          <t>RAGUNDA</t>
        </is>
      </c>
      <c r="G390" t="n">
        <v>1.3</v>
      </c>
      <c r="H390" t="n">
        <v>0</v>
      </c>
      <c r="I390" t="n">
        <v>0</v>
      </c>
      <c r="J390" t="n">
        <v>0</v>
      </c>
      <c r="K390" t="n">
        <v>0</v>
      </c>
      <c r="L390" t="n">
        <v>0</v>
      </c>
      <c r="M390" t="n">
        <v>0</v>
      </c>
      <c r="N390" t="n">
        <v>0</v>
      </c>
      <c r="O390" t="n">
        <v>0</v>
      </c>
      <c r="P390" t="n">
        <v>0</v>
      </c>
      <c r="Q390" t="n">
        <v>0</v>
      </c>
      <c r="R390" s="2" t="inlineStr"/>
    </row>
    <row r="391" ht="15" customHeight="1">
      <c r="A391" t="inlineStr">
        <is>
          <t>A 59996-2021</t>
        </is>
      </c>
      <c r="B391" s="1" t="n">
        <v>44494.93930555556</v>
      </c>
      <c r="C391" s="1" t="n">
        <v>45890</v>
      </c>
      <c r="D391" t="inlineStr">
        <is>
          <t>JÄMTLANDS LÄN</t>
        </is>
      </c>
      <c r="E391" t="inlineStr">
        <is>
          <t>RAGUNDA</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46048-2022</t>
        </is>
      </c>
      <c r="B392" s="1" t="n">
        <v>44846</v>
      </c>
      <c r="C392" s="1" t="n">
        <v>45890</v>
      </c>
      <c r="D392" t="inlineStr">
        <is>
          <t>JÄMTLANDS LÄN</t>
        </is>
      </c>
      <c r="E392" t="inlineStr">
        <is>
          <t>RAGUNDA</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40316-2020</t>
        </is>
      </c>
      <c r="B393" s="1" t="n">
        <v>44068.62614583333</v>
      </c>
      <c r="C393" s="1" t="n">
        <v>45890</v>
      </c>
      <c r="D393" t="inlineStr">
        <is>
          <t>JÄMTLANDS LÄN</t>
        </is>
      </c>
      <c r="E393" t="inlineStr">
        <is>
          <t>RAGUNDA</t>
        </is>
      </c>
      <c r="G393" t="n">
        <v>2.4</v>
      </c>
      <c r="H393" t="n">
        <v>0</v>
      </c>
      <c r="I393" t="n">
        <v>0</v>
      </c>
      <c r="J393" t="n">
        <v>0</v>
      </c>
      <c r="K393" t="n">
        <v>0</v>
      </c>
      <c r="L393" t="n">
        <v>0</v>
      </c>
      <c r="M393" t="n">
        <v>0</v>
      </c>
      <c r="N393" t="n">
        <v>0</v>
      </c>
      <c r="O393" t="n">
        <v>0</v>
      </c>
      <c r="P393" t="n">
        <v>0</v>
      </c>
      <c r="Q393" t="n">
        <v>0</v>
      </c>
      <c r="R393" s="2" t="inlineStr"/>
    </row>
    <row r="394" ht="15" customHeight="1">
      <c r="A394" t="inlineStr">
        <is>
          <t>A 58984-2021</t>
        </is>
      </c>
      <c r="B394" s="1" t="n">
        <v>44489.94711805556</v>
      </c>
      <c r="C394" s="1" t="n">
        <v>45890</v>
      </c>
      <c r="D394" t="inlineStr">
        <is>
          <t>JÄMTLANDS LÄN</t>
        </is>
      </c>
      <c r="E394" t="inlineStr">
        <is>
          <t>RAGUNDA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40978-2022</t>
        </is>
      </c>
      <c r="B395" s="1" t="n">
        <v>44823</v>
      </c>
      <c r="C395" s="1" t="n">
        <v>45890</v>
      </c>
      <c r="D395" t="inlineStr">
        <is>
          <t>JÄMTLANDS LÄN</t>
        </is>
      </c>
      <c r="E395" t="inlineStr">
        <is>
          <t>RAGUNDA</t>
        </is>
      </c>
      <c r="G395" t="n">
        <v>1.5</v>
      </c>
      <c r="H395" t="n">
        <v>0</v>
      </c>
      <c r="I395" t="n">
        <v>0</v>
      </c>
      <c r="J395" t="n">
        <v>0</v>
      </c>
      <c r="K395" t="n">
        <v>0</v>
      </c>
      <c r="L395" t="n">
        <v>0</v>
      </c>
      <c r="M395" t="n">
        <v>0</v>
      </c>
      <c r="N395" t="n">
        <v>0</v>
      </c>
      <c r="O395" t="n">
        <v>0</v>
      </c>
      <c r="P395" t="n">
        <v>0</v>
      </c>
      <c r="Q395" t="n">
        <v>0</v>
      </c>
      <c r="R395" s="2" t="inlineStr"/>
    </row>
    <row r="396" ht="15" customHeight="1">
      <c r="A396" t="inlineStr">
        <is>
          <t>A 32288-2022</t>
        </is>
      </c>
      <c r="B396" s="1" t="n">
        <v>44781</v>
      </c>
      <c r="C396" s="1" t="n">
        <v>45890</v>
      </c>
      <c r="D396" t="inlineStr">
        <is>
          <t>JÄMTLANDS LÄN</t>
        </is>
      </c>
      <c r="E396" t="inlineStr">
        <is>
          <t>RAGUNDA</t>
        </is>
      </c>
      <c r="G396" t="n">
        <v>0.8</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45890</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24741-2022</t>
        </is>
      </c>
      <c r="B398" s="1" t="n">
        <v>44727</v>
      </c>
      <c r="C398" s="1" t="n">
        <v>45890</v>
      </c>
      <c r="D398" t="inlineStr">
        <is>
          <t>JÄMTLANDS LÄN</t>
        </is>
      </c>
      <c r="E398" t="inlineStr">
        <is>
          <t>RAGUNDA</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47803-2022</t>
        </is>
      </c>
      <c r="B399" s="1" t="n">
        <v>44854.95390046296</v>
      </c>
      <c r="C399" s="1" t="n">
        <v>45890</v>
      </c>
      <c r="D399" t="inlineStr">
        <is>
          <t>JÄMTLANDS LÄN</t>
        </is>
      </c>
      <c r="E399" t="inlineStr">
        <is>
          <t>RAGUNDA</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48536-2022</t>
        </is>
      </c>
      <c r="B400" s="1" t="n">
        <v>44858</v>
      </c>
      <c r="C400" s="1" t="n">
        <v>45890</v>
      </c>
      <c r="D400" t="inlineStr">
        <is>
          <t>JÄMTLANDS LÄN</t>
        </is>
      </c>
      <c r="E400" t="inlineStr">
        <is>
          <t>RAGUNDA</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41613-2021</t>
        </is>
      </c>
      <c r="B401" s="1" t="n">
        <v>44425</v>
      </c>
      <c r="C401" s="1" t="n">
        <v>45890</v>
      </c>
      <c r="D401" t="inlineStr">
        <is>
          <t>JÄMTLANDS LÄN</t>
        </is>
      </c>
      <c r="E401" t="inlineStr">
        <is>
          <t>RAGUNDA</t>
        </is>
      </c>
      <c r="F401" t="inlineStr">
        <is>
          <t>Kommuner</t>
        </is>
      </c>
      <c r="G401" t="n">
        <v>1.5</v>
      </c>
      <c r="H401" t="n">
        <v>0</v>
      </c>
      <c r="I401" t="n">
        <v>0</v>
      </c>
      <c r="J401" t="n">
        <v>0</v>
      </c>
      <c r="K401" t="n">
        <v>0</v>
      </c>
      <c r="L401" t="n">
        <v>0</v>
      </c>
      <c r="M401" t="n">
        <v>0</v>
      </c>
      <c r="N401" t="n">
        <v>0</v>
      </c>
      <c r="O401" t="n">
        <v>0</v>
      </c>
      <c r="P401" t="n">
        <v>0</v>
      </c>
      <c r="Q401" t="n">
        <v>0</v>
      </c>
      <c r="R401" s="2" t="inlineStr"/>
    </row>
    <row r="402" ht="15" customHeight="1">
      <c r="A402" t="inlineStr">
        <is>
          <t>A 42652-2022</t>
        </is>
      </c>
      <c r="B402" s="1" t="n">
        <v>44831.94846064815</v>
      </c>
      <c r="C402" s="1" t="n">
        <v>45890</v>
      </c>
      <c r="D402" t="inlineStr">
        <is>
          <t>JÄMTLANDS LÄN</t>
        </is>
      </c>
      <c r="E402" t="inlineStr">
        <is>
          <t>RAGUNDA</t>
        </is>
      </c>
      <c r="F402" t="inlineStr">
        <is>
          <t>SCA</t>
        </is>
      </c>
      <c r="G402" t="n">
        <v>5.6</v>
      </c>
      <c r="H402" t="n">
        <v>0</v>
      </c>
      <c r="I402" t="n">
        <v>0</v>
      </c>
      <c r="J402" t="n">
        <v>0</v>
      </c>
      <c r="K402" t="n">
        <v>0</v>
      </c>
      <c r="L402" t="n">
        <v>0</v>
      </c>
      <c r="M402" t="n">
        <v>0</v>
      </c>
      <c r="N402" t="n">
        <v>0</v>
      </c>
      <c r="O402" t="n">
        <v>0</v>
      </c>
      <c r="P402" t="n">
        <v>0</v>
      </c>
      <c r="Q402" t="n">
        <v>0</v>
      </c>
      <c r="R402" s="2" t="inlineStr"/>
    </row>
    <row r="403" ht="15" customHeight="1">
      <c r="A403" t="inlineStr">
        <is>
          <t>A 42653-2022</t>
        </is>
      </c>
      <c r="B403" s="1" t="n">
        <v>44831.9485300926</v>
      </c>
      <c r="C403" s="1" t="n">
        <v>45890</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32986-2022</t>
        </is>
      </c>
      <c r="B404" s="1" t="n">
        <v>44784.94157407407</v>
      </c>
      <c r="C404" s="1" t="n">
        <v>45890</v>
      </c>
      <c r="D404" t="inlineStr">
        <is>
          <t>JÄMTLANDS LÄN</t>
        </is>
      </c>
      <c r="E404" t="inlineStr">
        <is>
          <t>RAGUNDA</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21194-2022</t>
        </is>
      </c>
      <c r="B405" s="1" t="n">
        <v>44704.9422337963</v>
      </c>
      <c r="C405" s="1" t="n">
        <v>45890</v>
      </c>
      <c r="D405" t="inlineStr">
        <is>
          <t>JÄMTLANDS LÄN</t>
        </is>
      </c>
      <c r="E405" t="inlineStr">
        <is>
          <t>RAGUNDA</t>
        </is>
      </c>
      <c r="F405" t="inlineStr">
        <is>
          <t>SCA</t>
        </is>
      </c>
      <c r="G405" t="n">
        <v>10.6</v>
      </c>
      <c r="H405" t="n">
        <v>0</v>
      </c>
      <c r="I405" t="n">
        <v>0</v>
      </c>
      <c r="J405" t="n">
        <v>0</v>
      </c>
      <c r="K405" t="n">
        <v>0</v>
      </c>
      <c r="L405" t="n">
        <v>0</v>
      </c>
      <c r="M405" t="n">
        <v>0</v>
      </c>
      <c r="N405" t="n">
        <v>0</v>
      </c>
      <c r="O405" t="n">
        <v>0</v>
      </c>
      <c r="P405" t="n">
        <v>0</v>
      </c>
      <c r="Q405" t="n">
        <v>0</v>
      </c>
      <c r="R405" s="2" t="inlineStr"/>
    </row>
    <row r="406" ht="15" customHeight="1">
      <c r="A406" t="inlineStr">
        <is>
          <t>A 21193-2022</t>
        </is>
      </c>
      <c r="B406" s="1" t="n">
        <v>44704.94217592593</v>
      </c>
      <c r="C406" s="1" t="n">
        <v>45890</v>
      </c>
      <c r="D406" t="inlineStr">
        <is>
          <t>JÄMTLANDS LÄN</t>
        </is>
      </c>
      <c r="E406" t="inlineStr">
        <is>
          <t>RAGUNDA</t>
        </is>
      </c>
      <c r="F406" t="inlineStr">
        <is>
          <t>SCA</t>
        </is>
      </c>
      <c r="G406" t="n">
        <v>1.5</v>
      </c>
      <c r="H406" t="n">
        <v>0</v>
      </c>
      <c r="I406" t="n">
        <v>0</v>
      </c>
      <c r="J406" t="n">
        <v>0</v>
      </c>
      <c r="K406" t="n">
        <v>0</v>
      </c>
      <c r="L406" t="n">
        <v>0</v>
      </c>
      <c r="M406" t="n">
        <v>0</v>
      </c>
      <c r="N406" t="n">
        <v>0</v>
      </c>
      <c r="O406" t="n">
        <v>0</v>
      </c>
      <c r="P406" t="n">
        <v>0</v>
      </c>
      <c r="Q406" t="n">
        <v>0</v>
      </c>
      <c r="R406" s="2" t="inlineStr"/>
    </row>
    <row r="407" ht="15" customHeight="1">
      <c r="A407" t="inlineStr">
        <is>
          <t>A 60313-2021</t>
        </is>
      </c>
      <c r="B407" s="1" t="n">
        <v>44495</v>
      </c>
      <c r="C407" s="1" t="n">
        <v>45890</v>
      </c>
      <c r="D407" t="inlineStr">
        <is>
          <t>JÄMTLANDS LÄN</t>
        </is>
      </c>
      <c r="E407" t="inlineStr">
        <is>
          <t>RAGUNDA</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29409-2021</t>
        </is>
      </c>
      <c r="B408" s="1" t="n">
        <v>44361.55445601852</v>
      </c>
      <c r="C408" s="1" t="n">
        <v>45890</v>
      </c>
      <c r="D408" t="inlineStr">
        <is>
          <t>JÄMTLANDS LÄN</t>
        </is>
      </c>
      <c r="E408" t="inlineStr">
        <is>
          <t>RAGUNDA</t>
        </is>
      </c>
      <c r="G408" t="n">
        <v>0.3</v>
      </c>
      <c r="H408" t="n">
        <v>0</v>
      </c>
      <c r="I408" t="n">
        <v>0</v>
      </c>
      <c r="J408" t="n">
        <v>0</v>
      </c>
      <c r="K408" t="n">
        <v>0</v>
      </c>
      <c r="L408" t="n">
        <v>0</v>
      </c>
      <c r="M408" t="n">
        <v>0</v>
      </c>
      <c r="N408" t="n">
        <v>0</v>
      </c>
      <c r="O408" t="n">
        <v>0</v>
      </c>
      <c r="P408" t="n">
        <v>0</v>
      </c>
      <c r="Q408" t="n">
        <v>0</v>
      </c>
      <c r="R408" s="2" t="inlineStr"/>
    </row>
    <row r="409" ht="15" customHeight="1">
      <c r="A409" t="inlineStr">
        <is>
          <t>A 24197-2024</t>
        </is>
      </c>
      <c r="B409" s="1" t="n">
        <v>45456.96601851852</v>
      </c>
      <c r="C409" s="1" t="n">
        <v>45890</v>
      </c>
      <c r="D409" t="inlineStr">
        <is>
          <t>JÄMTLANDS LÄN</t>
        </is>
      </c>
      <c r="E409" t="inlineStr">
        <is>
          <t>RAGUNDA</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37806-2021</t>
        </is>
      </c>
      <c r="B410" s="1" t="n">
        <v>44402.42243055555</v>
      </c>
      <c r="C410" s="1" t="n">
        <v>45890</v>
      </c>
      <c r="D410" t="inlineStr">
        <is>
          <t>JÄMTLANDS LÄN</t>
        </is>
      </c>
      <c r="E410" t="inlineStr">
        <is>
          <t>RAGUNDA</t>
        </is>
      </c>
      <c r="G410" t="n">
        <v>0.3</v>
      </c>
      <c r="H410" t="n">
        <v>0</v>
      </c>
      <c r="I410" t="n">
        <v>0</v>
      </c>
      <c r="J410" t="n">
        <v>0</v>
      </c>
      <c r="K410" t="n">
        <v>0</v>
      </c>
      <c r="L410" t="n">
        <v>0</v>
      </c>
      <c r="M410" t="n">
        <v>0</v>
      </c>
      <c r="N410" t="n">
        <v>0</v>
      </c>
      <c r="O410" t="n">
        <v>0</v>
      </c>
      <c r="P410" t="n">
        <v>0</v>
      </c>
      <c r="Q410" t="n">
        <v>0</v>
      </c>
      <c r="R410" s="2" t="inlineStr"/>
    </row>
    <row r="411" ht="15" customHeight="1">
      <c r="A411" t="inlineStr">
        <is>
          <t>A 5175-2023</t>
        </is>
      </c>
      <c r="B411" s="1" t="n">
        <v>44958.94298611111</v>
      </c>
      <c r="C411" s="1" t="n">
        <v>45890</v>
      </c>
      <c r="D411" t="inlineStr">
        <is>
          <t>JÄMTLANDS LÄN</t>
        </is>
      </c>
      <c r="E411" t="inlineStr">
        <is>
          <t>RAGUNDA</t>
        </is>
      </c>
      <c r="F411" t="inlineStr">
        <is>
          <t>SCA</t>
        </is>
      </c>
      <c r="G411" t="n">
        <v>17.9</v>
      </c>
      <c r="H411" t="n">
        <v>0</v>
      </c>
      <c r="I411" t="n">
        <v>0</v>
      </c>
      <c r="J411" t="n">
        <v>0</v>
      </c>
      <c r="K411" t="n">
        <v>0</v>
      </c>
      <c r="L411" t="n">
        <v>0</v>
      </c>
      <c r="M411" t="n">
        <v>0</v>
      </c>
      <c r="N411" t="n">
        <v>0</v>
      </c>
      <c r="O411" t="n">
        <v>0</v>
      </c>
      <c r="P411" t="n">
        <v>0</v>
      </c>
      <c r="Q411" t="n">
        <v>0</v>
      </c>
      <c r="R411" s="2" t="inlineStr"/>
    </row>
    <row r="412" ht="15" customHeight="1">
      <c r="A412" t="inlineStr">
        <is>
          <t>A 14896-2022</t>
        </is>
      </c>
      <c r="B412" s="1" t="n">
        <v>44656</v>
      </c>
      <c r="C412" s="1" t="n">
        <v>45890</v>
      </c>
      <c r="D412" t="inlineStr">
        <is>
          <t>JÄMTLANDS LÄN</t>
        </is>
      </c>
      <c r="E412" t="inlineStr">
        <is>
          <t>RAGUNDA</t>
        </is>
      </c>
      <c r="F412" t="inlineStr">
        <is>
          <t>SCA</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20574-2025</t>
        </is>
      </c>
      <c r="B413" s="1" t="n">
        <v>45775.67747685185</v>
      </c>
      <c r="C413" s="1" t="n">
        <v>45890</v>
      </c>
      <c r="D413" t="inlineStr">
        <is>
          <t>JÄMTLANDS LÄN</t>
        </is>
      </c>
      <c r="E413" t="inlineStr">
        <is>
          <t>RAGUNDA</t>
        </is>
      </c>
      <c r="F413" t="inlineStr">
        <is>
          <t>SCA</t>
        </is>
      </c>
      <c r="G413" t="n">
        <v>5.1</v>
      </c>
      <c r="H413" t="n">
        <v>0</v>
      </c>
      <c r="I413" t="n">
        <v>0</v>
      </c>
      <c r="J413" t="n">
        <v>0</v>
      </c>
      <c r="K413" t="n">
        <v>0</v>
      </c>
      <c r="L413" t="n">
        <v>0</v>
      </c>
      <c r="M413" t="n">
        <v>0</v>
      </c>
      <c r="N413" t="n">
        <v>0</v>
      </c>
      <c r="O413" t="n">
        <v>0</v>
      </c>
      <c r="P413" t="n">
        <v>0</v>
      </c>
      <c r="Q413" t="n">
        <v>0</v>
      </c>
      <c r="R413" s="2" t="inlineStr"/>
    </row>
    <row r="414" ht="15" customHeight="1">
      <c r="A414" t="inlineStr">
        <is>
          <t>A 25027-2022</t>
        </is>
      </c>
      <c r="B414" s="1" t="n">
        <v>44728.94392361111</v>
      </c>
      <c r="C414" s="1" t="n">
        <v>45890</v>
      </c>
      <c r="D414" t="inlineStr">
        <is>
          <t>JÄMTLANDS LÄN</t>
        </is>
      </c>
      <c r="E414" t="inlineStr">
        <is>
          <t>RAGUNDA</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56193-2022</t>
        </is>
      </c>
      <c r="B415" s="1" t="n">
        <v>44889</v>
      </c>
      <c r="C415" s="1" t="n">
        <v>45890</v>
      </c>
      <c r="D415" t="inlineStr">
        <is>
          <t>JÄMTLANDS LÄN</t>
        </is>
      </c>
      <c r="E415" t="inlineStr">
        <is>
          <t>RAGUNDA</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5515-2022</t>
        </is>
      </c>
      <c r="B416" s="1" t="n">
        <v>44595</v>
      </c>
      <c r="C416" s="1" t="n">
        <v>45890</v>
      </c>
      <c r="D416" t="inlineStr">
        <is>
          <t>JÄMTLANDS LÄN</t>
        </is>
      </c>
      <c r="E416" t="inlineStr">
        <is>
          <t>RAGUNDA</t>
        </is>
      </c>
      <c r="G416" t="n">
        <v>1</v>
      </c>
      <c r="H416" t="n">
        <v>0</v>
      </c>
      <c r="I416" t="n">
        <v>0</v>
      </c>
      <c r="J416" t="n">
        <v>0</v>
      </c>
      <c r="K416" t="n">
        <v>0</v>
      </c>
      <c r="L416" t="n">
        <v>0</v>
      </c>
      <c r="M416" t="n">
        <v>0</v>
      </c>
      <c r="N416" t="n">
        <v>0</v>
      </c>
      <c r="O416" t="n">
        <v>0</v>
      </c>
      <c r="P416" t="n">
        <v>0</v>
      </c>
      <c r="Q416" t="n">
        <v>0</v>
      </c>
      <c r="R416" s="2" t="inlineStr"/>
    </row>
    <row r="417" ht="15" customHeight="1">
      <c r="A417" t="inlineStr">
        <is>
          <t>A 26942-2021</t>
        </is>
      </c>
      <c r="B417" s="1" t="n">
        <v>44349.91978009259</v>
      </c>
      <c r="C417" s="1" t="n">
        <v>45890</v>
      </c>
      <c r="D417" t="inlineStr">
        <is>
          <t>JÄMTLANDS LÄN</t>
        </is>
      </c>
      <c r="E417" t="inlineStr">
        <is>
          <t>RAGUNDA</t>
        </is>
      </c>
      <c r="G417" t="n">
        <v>6.2</v>
      </c>
      <c r="H417" t="n">
        <v>0</v>
      </c>
      <c r="I417" t="n">
        <v>0</v>
      </c>
      <c r="J417" t="n">
        <v>0</v>
      </c>
      <c r="K417" t="n">
        <v>0</v>
      </c>
      <c r="L417" t="n">
        <v>0</v>
      </c>
      <c r="M417" t="n">
        <v>0</v>
      </c>
      <c r="N417" t="n">
        <v>0</v>
      </c>
      <c r="O417" t="n">
        <v>0</v>
      </c>
      <c r="P417" t="n">
        <v>0</v>
      </c>
      <c r="Q417" t="n">
        <v>0</v>
      </c>
      <c r="R417" s="2" t="inlineStr"/>
    </row>
    <row r="418" ht="15" customHeight="1">
      <c r="A418" t="inlineStr">
        <is>
          <t>A 58537-2022</t>
        </is>
      </c>
      <c r="B418" s="1" t="n">
        <v>44894</v>
      </c>
      <c r="C418" s="1" t="n">
        <v>45890</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35153-2024</t>
        </is>
      </c>
      <c r="B419" s="1" t="n">
        <v>45530</v>
      </c>
      <c r="C419" s="1" t="n">
        <v>45890</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46546-2023</t>
        </is>
      </c>
      <c r="B420" s="1" t="n">
        <v>45197.94152777778</v>
      </c>
      <c r="C420" s="1" t="n">
        <v>45890</v>
      </c>
      <c r="D420" t="inlineStr">
        <is>
          <t>JÄMTLANDS LÄN</t>
        </is>
      </c>
      <c r="E420" t="inlineStr">
        <is>
          <t>RAGUNDA</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60957-2021</t>
        </is>
      </c>
      <c r="B421" s="1" t="n">
        <v>44496</v>
      </c>
      <c r="C421" s="1" t="n">
        <v>45890</v>
      </c>
      <c r="D421" t="inlineStr">
        <is>
          <t>JÄMTLANDS LÄN</t>
        </is>
      </c>
      <c r="E421" t="inlineStr">
        <is>
          <t>RAGUNDA</t>
        </is>
      </c>
      <c r="G421" t="n">
        <v>1.6</v>
      </c>
      <c r="H421" t="n">
        <v>0</v>
      </c>
      <c r="I421" t="n">
        <v>0</v>
      </c>
      <c r="J421" t="n">
        <v>0</v>
      </c>
      <c r="K421" t="n">
        <v>0</v>
      </c>
      <c r="L421" t="n">
        <v>0</v>
      </c>
      <c r="M421" t="n">
        <v>0</v>
      </c>
      <c r="N421" t="n">
        <v>0</v>
      </c>
      <c r="O421" t="n">
        <v>0</v>
      </c>
      <c r="P421" t="n">
        <v>0</v>
      </c>
      <c r="Q421" t="n">
        <v>0</v>
      </c>
      <c r="R421" s="2" t="inlineStr"/>
    </row>
    <row r="422" ht="15" customHeight="1">
      <c r="A422" t="inlineStr">
        <is>
          <t>A 26122-2022</t>
        </is>
      </c>
      <c r="B422" s="1" t="n">
        <v>44734.94193287037</v>
      </c>
      <c r="C422" s="1" t="n">
        <v>45890</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28597-2021</t>
        </is>
      </c>
      <c r="B423" s="1" t="n">
        <v>44356.91935185185</v>
      </c>
      <c r="C423" s="1" t="n">
        <v>45890</v>
      </c>
      <c r="D423" t="inlineStr">
        <is>
          <t>JÄMTLANDS LÄN</t>
        </is>
      </c>
      <c r="E423" t="inlineStr">
        <is>
          <t>RAGUNDA</t>
        </is>
      </c>
      <c r="G423" t="n">
        <v>3.1</v>
      </c>
      <c r="H423" t="n">
        <v>0</v>
      </c>
      <c r="I423" t="n">
        <v>0</v>
      </c>
      <c r="J423" t="n">
        <v>0</v>
      </c>
      <c r="K423" t="n">
        <v>0</v>
      </c>
      <c r="L423" t="n">
        <v>0</v>
      </c>
      <c r="M423" t="n">
        <v>0</v>
      </c>
      <c r="N423" t="n">
        <v>0</v>
      </c>
      <c r="O423" t="n">
        <v>0</v>
      </c>
      <c r="P423" t="n">
        <v>0</v>
      </c>
      <c r="Q423" t="n">
        <v>0</v>
      </c>
      <c r="R423" s="2" t="inlineStr"/>
    </row>
    <row r="424" ht="15" customHeight="1">
      <c r="A424" t="inlineStr">
        <is>
          <t>A 19865-2023</t>
        </is>
      </c>
      <c r="B424" s="1" t="n">
        <v>45053.94305555556</v>
      </c>
      <c r="C424" s="1" t="n">
        <v>45890</v>
      </c>
      <c r="D424" t="inlineStr">
        <is>
          <t>JÄMTLANDS LÄN</t>
        </is>
      </c>
      <c r="E424" t="inlineStr">
        <is>
          <t>RAGUNDA</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36246-2024</t>
        </is>
      </c>
      <c r="B425" s="1" t="n">
        <v>45534</v>
      </c>
      <c r="C425" s="1" t="n">
        <v>45890</v>
      </c>
      <c r="D425" t="inlineStr">
        <is>
          <t>JÄMTLANDS LÄN</t>
        </is>
      </c>
      <c r="E425" t="inlineStr">
        <is>
          <t>RAGUNDA</t>
        </is>
      </c>
      <c r="G425" t="n">
        <v>1.6</v>
      </c>
      <c r="H425" t="n">
        <v>0</v>
      </c>
      <c r="I425" t="n">
        <v>0</v>
      </c>
      <c r="J425" t="n">
        <v>0</v>
      </c>
      <c r="K425" t="n">
        <v>0</v>
      </c>
      <c r="L425" t="n">
        <v>0</v>
      </c>
      <c r="M425" t="n">
        <v>0</v>
      </c>
      <c r="N425" t="n">
        <v>0</v>
      </c>
      <c r="O425" t="n">
        <v>0</v>
      </c>
      <c r="P425" t="n">
        <v>0</v>
      </c>
      <c r="Q425" t="n">
        <v>0</v>
      </c>
      <c r="R425" s="2" t="inlineStr"/>
    </row>
    <row r="426" ht="15" customHeight="1">
      <c r="A426" t="inlineStr">
        <is>
          <t>A 24196-2024</t>
        </is>
      </c>
      <c r="B426" s="1" t="n">
        <v>45456.96569444444</v>
      </c>
      <c r="C426" s="1" t="n">
        <v>45890</v>
      </c>
      <c r="D426" t="inlineStr">
        <is>
          <t>JÄMTLANDS LÄN</t>
        </is>
      </c>
      <c r="E426" t="inlineStr">
        <is>
          <t>RAGUNDA</t>
        </is>
      </c>
      <c r="F426" t="inlineStr">
        <is>
          <t>SCA</t>
        </is>
      </c>
      <c r="G426" t="n">
        <v>1.9</v>
      </c>
      <c r="H426" t="n">
        <v>0</v>
      </c>
      <c r="I426" t="n">
        <v>0</v>
      </c>
      <c r="J426" t="n">
        <v>0</v>
      </c>
      <c r="K426" t="n">
        <v>0</v>
      </c>
      <c r="L426" t="n">
        <v>0</v>
      </c>
      <c r="M426" t="n">
        <v>0</v>
      </c>
      <c r="N426" t="n">
        <v>0</v>
      </c>
      <c r="O426" t="n">
        <v>0</v>
      </c>
      <c r="P426" t="n">
        <v>0</v>
      </c>
      <c r="Q426" t="n">
        <v>0</v>
      </c>
      <c r="R426" s="2" t="inlineStr"/>
    </row>
    <row r="427" ht="15" customHeight="1">
      <c r="A427" t="inlineStr">
        <is>
          <t>A 11558-2023</t>
        </is>
      </c>
      <c r="B427" s="1" t="n">
        <v>44993.94958333333</v>
      </c>
      <c r="C427" s="1" t="n">
        <v>45890</v>
      </c>
      <c r="D427" t="inlineStr">
        <is>
          <t>JÄMTLANDS LÄN</t>
        </is>
      </c>
      <c r="E427" t="inlineStr">
        <is>
          <t>RAGUNDA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4212-2024</t>
        </is>
      </c>
      <c r="B428" s="1" t="n">
        <v>45324</v>
      </c>
      <c r="C428" s="1" t="n">
        <v>45890</v>
      </c>
      <c r="D428" t="inlineStr">
        <is>
          <t>JÄMTLANDS LÄN</t>
        </is>
      </c>
      <c r="E428" t="inlineStr">
        <is>
          <t>RAGUNDA</t>
        </is>
      </c>
      <c r="G428" t="n">
        <v>2</v>
      </c>
      <c r="H428" t="n">
        <v>0</v>
      </c>
      <c r="I428" t="n">
        <v>0</v>
      </c>
      <c r="J428" t="n">
        <v>0</v>
      </c>
      <c r="K428" t="n">
        <v>0</v>
      </c>
      <c r="L428" t="n">
        <v>0</v>
      </c>
      <c r="M428" t="n">
        <v>0</v>
      </c>
      <c r="N428" t="n">
        <v>0</v>
      </c>
      <c r="O428" t="n">
        <v>0</v>
      </c>
      <c r="P428" t="n">
        <v>0</v>
      </c>
      <c r="Q428" t="n">
        <v>0</v>
      </c>
      <c r="R428" s="2" t="inlineStr"/>
    </row>
    <row r="429" ht="15" customHeight="1">
      <c r="A429" t="inlineStr">
        <is>
          <t>A 9262-2025</t>
        </is>
      </c>
      <c r="B429" s="1" t="n">
        <v>45714.60649305556</v>
      </c>
      <c r="C429" s="1" t="n">
        <v>45890</v>
      </c>
      <c r="D429" t="inlineStr">
        <is>
          <t>JÄMTLANDS LÄN</t>
        </is>
      </c>
      <c r="E429" t="inlineStr">
        <is>
          <t>RAGUNDA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44630-2023</t>
        </is>
      </c>
      <c r="B430" s="1" t="n">
        <v>45184</v>
      </c>
      <c r="C430" s="1" t="n">
        <v>45890</v>
      </c>
      <c r="D430" t="inlineStr">
        <is>
          <t>JÄMTLANDS LÄN</t>
        </is>
      </c>
      <c r="E430" t="inlineStr">
        <is>
          <t>RAGUNDA</t>
        </is>
      </c>
      <c r="G430" t="n">
        <v>3.4</v>
      </c>
      <c r="H430" t="n">
        <v>0</v>
      </c>
      <c r="I430" t="n">
        <v>0</v>
      </c>
      <c r="J430" t="n">
        <v>0</v>
      </c>
      <c r="K430" t="n">
        <v>0</v>
      </c>
      <c r="L430" t="n">
        <v>0</v>
      </c>
      <c r="M430" t="n">
        <v>0</v>
      </c>
      <c r="N430" t="n">
        <v>0</v>
      </c>
      <c r="O430" t="n">
        <v>0</v>
      </c>
      <c r="P430" t="n">
        <v>0</v>
      </c>
      <c r="Q430" t="n">
        <v>0</v>
      </c>
      <c r="R430" s="2" t="inlineStr"/>
    </row>
    <row r="431" ht="15" customHeight="1">
      <c r="A431" t="inlineStr">
        <is>
          <t>A 564-2025</t>
        </is>
      </c>
      <c r="B431" s="1" t="n">
        <v>45664.55241898148</v>
      </c>
      <c r="C431" s="1" t="n">
        <v>45890</v>
      </c>
      <c r="D431" t="inlineStr">
        <is>
          <t>JÄMTLANDS LÄN</t>
        </is>
      </c>
      <c r="E431" t="inlineStr">
        <is>
          <t>RAGUNDA</t>
        </is>
      </c>
      <c r="F431" t="inlineStr">
        <is>
          <t>SCA</t>
        </is>
      </c>
      <c r="G431" t="n">
        <v>7</v>
      </c>
      <c r="H431" t="n">
        <v>0</v>
      </c>
      <c r="I431" t="n">
        <v>0</v>
      </c>
      <c r="J431" t="n">
        <v>0</v>
      </c>
      <c r="K431" t="n">
        <v>0</v>
      </c>
      <c r="L431" t="n">
        <v>0</v>
      </c>
      <c r="M431" t="n">
        <v>0</v>
      </c>
      <c r="N431" t="n">
        <v>0</v>
      </c>
      <c r="O431" t="n">
        <v>0</v>
      </c>
      <c r="P431" t="n">
        <v>0</v>
      </c>
      <c r="Q431" t="n">
        <v>0</v>
      </c>
      <c r="R431" s="2" t="inlineStr"/>
    </row>
    <row r="432" ht="15" customHeight="1">
      <c r="A432" t="inlineStr">
        <is>
          <t>A 50555-2024</t>
        </is>
      </c>
      <c r="B432" s="1" t="n">
        <v>45601.59518518519</v>
      </c>
      <c r="C432" s="1" t="n">
        <v>45890</v>
      </c>
      <c r="D432" t="inlineStr">
        <is>
          <t>JÄMTLANDS LÄN</t>
        </is>
      </c>
      <c r="E432" t="inlineStr">
        <is>
          <t>RAGUNDA</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59658-2023</t>
        </is>
      </c>
      <c r="B433" s="1" t="n">
        <v>45254.96402777778</v>
      </c>
      <c r="C433" s="1" t="n">
        <v>45890</v>
      </c>
      <c r="D433" t="inlineStr">
        <is>
          <t>JÄMTLANDS LÄN</t>
        </is>
      </c>
      <c r="E433" t="inlineStr">
        <is>
          <t>RAGUNDA</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14156-2024</t>
        </is>
      </c>
      <c r="B434" s="1" t="n">
        <v>45392</v>
      </c>
      <c r="C434" s="1" t="n">
        <v>45890</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14157-2024</t>
        </is>
      </c>
      <c r="B435" s="1" t="n">
        <v>45392.92903935185</v>
      </c>
      <c r="C435" s="1" t="n">
        <v>45890</v>
      </c>
      <c r="D435" t="inlineStr">
        <is>
          <t>JÄMTLANDS LÄN</t>
        </is>
      </c>
      <c r="E435" t="inlineStr">
        <is>
          <t>RAGUNDA</t>
        </is>
      </c>
      <c r="G435" t="n">
        <v>1.7</v>
      </c>
      <c r="H435" t="n">
        <v>0</v>
      </c>
      <c r="I435" t="n">
        <v>0</v>
      </c>
      <c r="J435" t="n">
        <v>0</v>
      </c>
      <c r="K435" t="n">
        <v>0</v>
      </c>
      <c r="L435" t="n">
        <v>0</v>
      </c>
      <c r="M435" t="n">
        <v>0</v>
      </c>
      <c r="N435" t="n">
        <v>0</v>
      </c>
      <c r="O435" t="n">
        <v>0</v>
      </c>
      <c r="P435" t="n">
        <v>0</v>
      </c>
      <c r="Q435" t="n">
        <v>0</v>
      </c>
      <c r="R435" s="2" t="inlineStr"/>
    </row>
    <row r="436" ht="15" customHeight="1">
      <c r="A436" t="inlineStr">
        <is>
          <t>A 60012-2023</t>
        </is>
      </c>
      <c r="B436" s="1" t="n">
        <v>45257</v>
      </c>
      <c r="C436" s="1" t="n">
        <v>45890</v>
      </c>
      <c r="D436" t="inlineStr">
        <is>
          <t>JÄMTLANDS LÄN</t>
        </is>
      </c>
      <c r="E436" t="inlineStr">
        <is>
          <t>RAGUNDA</t>
        </is>
      </c>
      <c r="F436" t="inlineStr">
        <is>
          <t>SCA</t>
        </is>
      </c>
      <c r="G436" t="n">
        <v>5</v>
      </c>
      <c r="H436" t="n">
        <v>0</v>
      </c>
      <c r="I436" t="n">
        <v>0</v>
      </c>
      <c r="J436" t="n">
        <v>0</v>
      </c>
      <c r="K436" t="n">
        <v>0</v>
      </c>
      <c r="L436" t="n">
        <v>0</v>
      </c>
      <c r="M436" t="n">
        <v>0</v>
      </c>
      <c r="N436" t="n">
        <v>0</v>
      </c>
      <c r="O436" t="n">
        <v>0</v>
      </c>
      <c r="P436" t="n">
        <v>0</v>
      </c>
      <c r="Q436" t="n">
        <v>0</v>
      </c>
      <c r="R436" s="2" t="inlineStr"/>
    </row>
    <row r="437" ht="15" customHeight="1">
      <c r="A437" t="inlineStr">
        <is>
          <t>A 49649-2024</t>
        </is>
      </c>
      <c r="B437" s="1" t="n">
        <v>45596.61553240741</v>
      </c>
      <c r="C437" s="1" t="n">
        <v>45890</v>
      </c>
      <c r="D437" t="inlineStr">
        <is>
          <t>JÄMTLANDS LÄN</t>
        </is>
      </c>
      <c r="E437" t="inlineStr">
        <is>
          <t>RAGUNDA</t>
        </is>
      </c>
      <c r="F437" t="inlineStr">
        <is>
          <t>SCA</t>
        </is>
      </c>
      <c r="G437" t="n">
        <v>4</v>
      </c>
      <c r="H437" t="n">
        <v>0</v>
      </c>
      <c r="I437" t="n">
        <v>0</v>
      </c>
      <c r="J437" t="n">
        <v>0</v>
      </c>
      <c r="K437" t="n">
        <v>0</v>
      </c>
      <c r="L437" t="n">
        <v>0</v>
      </c>
      <c r="M437" t="n">
        <v>0</v>
      </c>
      <c r="N437" t="n">
        <v>0</v>
      </c>
      <c r="O437" t="n">
        <v>0</v>
      </c>
      <c r="P437" t="n">
        <v>0</v>
      </c>
      <c r="Q437" t="n">
        <v>0</v>
      </c>
      <c r="R437" s="2" t="inlineStr"/>
    </row>
    <row r="438" ht="15" customHeight="1">
      <c r="A438" t="inlineStr">
        <is>
          <t>A 53676-2022</t>
        </is>
      </c>
      <c r="B438" s="1" t="n">
        <v>44879</v>
      </c>
      <c r="C438" s="1" t="n">
        <v>45890</v>
      </c>
      <c r="D438" t="inlineStr">
        <is>
          <t>JÄMTLANDS LÄN</t>
        </is>
      </c>
      <c r="E438" t="inlineStr">
        <is>
          <t>RAGUNDA</t>
        </is>
      </c>
      <c r="F438" t="inlineStr">
        <is>
          <t>Sveaskog</t>
        </is>
      </c>
      <c r="G438" t="n">
        <v>2.5</v>
      </c>
      <c r="H438" t="n">
        <v>0</v>
      </c>
      <c r="I438" t="n">
        <v>0</v>
      </c>
      <c r="J438" t="n">
        <v>0</v>
      </c>
      <c r="K438" t="n">
        <v>0</v>
      </c>
      <c r="L438" t="n">
        <v>0</v>
      </c>
      <c r="M438" t="n">
        <v>0</v>
      </c>
      <c r="N438" t="n">
        <v>0</v>
      </c>
      <c r="O438" t="n">
        <v>0</v>
      </c>
      <c r="P438" t="n">
        <v>0</v>
      </c>
      <c r="Q438" t="n">
        <v>0</v>
      </c>
      <c r="R438" s="2" t="inlineStr"/>
    </row>
    <row r="439" ht="15" customHeight="1">
      <c r="A439" t="inlineStr">
        <is>
          <t>A 2831-2024</t>
        </is>
      </c>
      <c r="B439" s="1" t="n">
        <v>45314.92758101852</v>
      </c>
      <c r="C439" s="1" t="n">
        <v>45890</v>
      </c>
      <c r="D439" t="inlineStr">
        <is>
          <t>JÄMTLANDS LÄN</t>
        </is>
      </c>
      <c r="E439" t="inlineStr">
        <is>
          <t>RAGUNDA</t>
        </is>
      </c>
      <c r="G439" t="n">
        <v>0.6</v>
      </c>
      <c r="H439" t="n">
        <v>0</v>
      </c>
      <c r="I439" t="n">
        <v>0</v>
      </c>
      <c r="J439" t="n">
        <v>0</v>
      </c>
      <c r="K439" t="n">
        <v>0</v>
      </c>
      <c r="L439" t="n">
        <v>0</v>
      </c>
      <c r="M439" t="n">
        <v>0</v>
      </c>
      <c r="N439" t="n">
        <v>0</v>
      </c>
      <c r="O439" t="n">
        <v>0</v>
      </c>
      <c r="P439" t="n">
        <v>0</v>
      </c>
      <c r="Q439" t="n">
        <v>0</v>
      </c>
      <c r="R439" s="2" t="inlineStr"/>
    </row>
    <row r="440" ht="15" customHeight="1">
      <c r="A440" t="inlineStr">
        <is>
          <t>A 12024-2022</t>
        </is>
      </c>
      <c r="B440" s="1" t="n">
        <v>44635</v>
      </c>
      <c r="C440" s="1" t="n">
        <v>45890</v>
      </c>
      <c r="D440" t="inlineStr">
        <is>
          <t>JÄMTLANDS LÄN</t>
        </is>
      </c>
      <c r="E440" t="inlineStr">
        <is>
          <t>RAGUNDA</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53740-2024</t>
        </is>
      </c>
      <c r="B441" s="1" t="n">
        <v>45615.47091435185</v>
      </c>
      <c r="C441" s="1" t="n">
        <v>45890</v>
      </c>
      <c r="D441" t="inlineStr">
        <is>
          <t>JÄMTLANDS LÄN</t>
        </is>
      </c>
      <c r="E441" t="inlineStr">
        <is>
          <t>RAGUNDA</t>
        </is>
      </c>
      <c r="G441" t="n">
        <v>2.7</v>
      </c>
      <c r="H441" t="n">
        <v>0</v>
      </c>
      <c r="I441" t="n">
        <v>0</v>
      </c>
      <c r="J441" t="n">
        <v>0</v>
      </c>
      <c r="K441" t="n">
        <v>0</v>
      </c>
      <c r="L441" t="n">
        <v>0</v>
      </c>
      <c r="M441" t="n">
        <v>0</v>
      </c>
      <c r="N441" t="n">
        <v>0</v>
      </c>
      <c r="O441" t="n">
        <v>0</v>
      </c>
      <c r="P441" t="n">
        <v>0</v>
      </c>
      <c r="Q441" t="n">
        <v>0</v>
      </c>
      <c r="R441" s="2" t="inlineStr"/>
    </row>
    <row r="442" ht="15" customHeight="1">
      <c r="A442" t="inlineStr">
        <is>
          <t>A 59372-2024</t>
        </is>
      </c>
      <c r="B442" s="1" t="n">
        <v>45638.34431712963</v>
      </c>
      <c r="C442" s="1" t="n">
        <v>45890</v>
      </c>
      <c r="D442" t="inlineStr">
        <is>
          <t>JÄMTLANDS LÄN</t>
        </is>
      </c>
      <c r="E442" t="inlineStr">
        <is>
          <t>RAGUNDA</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56504-2024</t>
        </is>
      </c>
      <c r="B443" s="1" t="n">
        <v>45625.51068287037</v>
      </c>
      <c r="C443" s="1" t="n">
        <v>45890</v>
      </c>
      <c r="D443" t="inlineStr">
        <is>
          <t>JÄMTLANDS LÄN</t>
        </is>
      </c>
      <c r="E443" t="inlineStr">
        <is>
          <t>RAGUNDA</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20088-2023</t>
        </is>
      </c>
      <c r="B444" s="1" t="n">
        <v>45054</v>
      </c>
      <c r="C444" s="1" t="n">
        <v>45890</v>
      </c>
      <c r="D444" t="inlineStr">
        <is>
          <t>JÄMTLANDS LÄN</t>
        </is>
      </c>
      <c r="E444" t="inlineStr">
        <is>
          <t>RAGUNDA</t>
        </is>
      </c>
      <c r="F444" t="inlineStr">
        <is>
          <t>SCA</t>
        </is>
      </c>
      <c r="G444" t="n">
        <v>23.4</v>
      </c>
      <c r="H444" t="n">
        <v>0</v>
      </c>
      <c r="I444" t="n">
        <v>0</v>
      </c>
      <c r="J444" t="n">
        <v>0</v>
      </c>
      <c r="K444" t="n">
        <v>0</v>
      </c>
      <c r="L444" t="n">
        <v>0</v>
      </c>
      <c r="M444" t="n">
        <v>0</v>
      </c>
      <c r="N444" t="n">
        <v>0</v>
      </c>
      <c r="O444" t="n">
        <v>0</v>
      </c>
      <c r="P444" t="n">
        <v>0</v>
      </c>
      <c r="Q444" t="n">
        <v>0</v>
      </c>
      <c r="R444" s="2" t="inlineStr"/>
    </row>
    <row r="445" ht="15" customHeight="1">
      <c r="A445" t="inlineStr">
        <is>
          <t>A 934-2023</t>
        </is>
      </c>
      <c r="B445" s="1" t="n">
        <v>44932.93927083333</v>
      </c>
      <c r="C445" s="1" t="n">
        <v>45890</v>
      </c>
      <c r="D445" t="inlineStr">
        <is>
          <t>JÄMTLANDS LÄN</t>
        </is>
      </c>
      <c r="E445" t="inlineStr">
        <is>
          <t>RAGUNDA</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36106-2022</t>
        </is>
      </c>
      <c r="B446" s="1" t="n">
        <v>44802.94811342593</v>
      </c>
      <c r="C446" s="1" t="n">
        <v>45890</v>
      </c>
      <c r="D446" t="inlineStr">
        <is>
          <t>JÄMTLANDS LÄN</t>
        </is>
      </c>
      <c r="E446" t="inlineStr">
        <is>
          <t>RAGUNDA</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57839-2022</t>
        </is>
      </c>
      <c r="B447" s="1" t="n">
        <v>44897</v>
      </c>
      <c r="C447" s="1" t="n">
        <v>45890</v>
      </c>
      <c r="D447" t="inlineStr">
        <is>
          <t>JÄMTLANDS LÄN</t>
        </is>
      </c>
      <c r="E447" t="inlineStr">
        <is>
          <t>RAGUNDA</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41693-2023</t>
        </is>
      </c>
      <c r="B448" s="1" t="n">
        <v>45176</v>
      </c>
      <c r="C448" s="1" t="n">
        <v>45890</v>
      </c>
      <c r="D448" t="inlineStr">
        <is>
          <t>JÄMTLANDS LÄN</t>
        </is>
      </c>
      <c r="E448" t="inlineStr">
        <is>
          <t>RAGUNDA</t>
        </is>
      </c>
      <c r="G448" t="n">
        <v>5.5</v>
      </c>
      <c r="H448" t="n">
        <v>0</v>
      </c>
      <c r="I448" t="n">
        <v>0</v>
      </c>
      <c r="J448" t="n">
        <v>0</v>
      </c>
      <c r="K448" t="n">
        <v>0</v>
      </c>
      <c r="L448" t="n">
        <v>0</v>
      </c>
      <c r="M448" t="n">
        <v>0</v>
      </c>
      <c r="N448" t="n">
        <v>0</v>
      </c>
      <c r="O448" t="n">
        <v>0</v>
      </c>
      <c r="P448" t="n">
        <v>0</v>
      </c>
      <c r="Q448" t="n">
        <v>0</v>
      </c>
      <c r="R448" s="2" t="inlineStr"/>
    </row>
    <row r="449" ht="15" customHeight="1">
      <c r="A449" t="inlineStr">
        <is>
          <t>A 4882-2023</t>
        </is>
      </c>
      <c r="B449" s="1" t="n">
        <v>44957.94075231482</v>
      </c>
      <c r="C449" s="1" t="n">
        <v>45890</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15554-2025</t>
        </is>
      </c>
      <c r="B450" s="1" t="n">
        <v>45747.67739583334</v>
      </c>
      <c r="C450" s="1" t="n">
        <v>45890</v>
      </c>
      <c r="D450" t="inlineStr">
        <is>
          <t>JÄMTLANDS LÄN</t>
        </is>
      </c>
      <c r="E450" t="inlineStr">
        <is>
          <t>RAGUNDA</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12522-2023</t>
        </is>
      </c>
      <c r="B451" s="1" t="n">
        <v>45000</v>
      </c>
      <c r="C451" s="1" t="n">
        <v>45890</v>
      </c>
      <c r="D451" t="inlineStr">
        <is>
          <t>JÄMTLANDS LÄN</t>
        </is>
      </c>
      <c r="E451" t="inlineStr">
        <is>
          <t>RAGUNDA</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12523-2023</t>
        </is>
      </c>
      <c r="B452" s="1" t="n">
        <v>45000</v>
      </c>
      <c r="C452" s="1" t="n">
        <v>45890</v>
      </c>
      <c r="D452" t="inlineStr">
        <is>
          <t>JÄMTLANDS LÄN</t>
        </is>
      </c>
      <c r="E452" t="inlineStr">
        <is>
          <t>RAGUNDA</t>
        </is>
      </c>
      <c r="F452" t="inlineStr">
        <is>
          <t>SCA</t>
        </is>
      </c>
      <c r="G452" t="n">
        <v>14.3</v>
      </c>
      <c r="H452" t="n">
        <v>0</v>
      </c>
      <c r="I452" t="n">
        <v>0</v>
      </c>
      <c r="J452" t="n">
        <v>0</v>
      </c>
      <c r="K452" t="n">
        <v>0</v>
      </c>
      <c r="L452" t="n">
        <v>0</v>
      </c>
      <c r="M452" t="n">
        <v>0</v>
      </c>
      <c r="N452" t="n">
        <v>0</v>
      </c>
      <c r="O452" t="n">
        <v>0</v>
      </c>
      <c r="P452" t="n">
        <v>0</v>
      </c>
      <c r="Q452" t="n">
        <v>0</v>
      </c>
      <c r="R452" s="2" t="inlineStr"/>
    </row>
    <row r="453" ht="15" customHeight="1">
      <c r="A453" t="inlineStr">
        <is>
          <t>A 65216-2023</t>
        </is>
      </c>
      <c r="B453" s="1" t="n">
        <v>45289</v>
      </c>
      <c r="C453" s="1" t="n">
        <v>45890</v>
      </c>
      <c r="D453" t="inlineStr">
        <is>
          <t>JÄMTLANDS LÄN</t>
        </is>
      </c>
      <c r="E453" t="inlineStr">
        <is>
          <t>RAGUNDA</t>
        </is>
      </c>
      <c r="G453" t="n">
        <v>2.9</v>
      </c>
      <c r="H453" t="n">
        <v>0</v>
      </c>
      <c r="I453" t="n">
        <v>0</v>
      </c>
      <c r="J453" t="n">
        <v>0</v>
      </c>
      <c r="K453" t="n">
        <v>0</v>
      </c>
      <c r="L453" t="n">
        <v>0</v>
      </c>
      <c r="M453" t="n">
        <v>0</v>
      </c>
      <c r="N453" t="n">
        <v>0</v>
      </c>
      <c r="O453" t="n">
        <v>0</v>
      </c>
      <c r="P453" t="n">
        <v>0</v>
      </c>
      <c r="Q453" t="n">
        <v>0</v>
      </c>
      <c r="R453" s="2" t="inlineStr"/>
    </row>
    <row r="454" ht="15" customHeight="1">
      <c r="A454" t="inlineStr">
        <is>
          <t>A 24861-2023</t>
        </is>
      </c>
      <c r="B454" s="1" t="n">
        <v>45078</v>
      </c>
      <c r="C454" s="1" t="n">
        <v>45890</v>
      </c>
      <c r="D454" t="inlineStr">
        <is>
          <t>JÄMTLANDS LÄN</t>
        </is>
      </c>
      <c r="E454" t="inlineStr">
        <is>
          <t>RAGUNDA</t>
        </is>
      </c>
      <c r="G454" t="n">
        <v>1.3</v>
      </c>
      <c r="H454" t="n">
        <v>0</v>
      </c>
      <c r="I454" t="n">
        <v>0</v>
      </c>
      <c r="J454" t="n">
        <v>0</v>
      </c>
      <c r="K454" t="n">
        <v>0</v>
      </c>
      <c r="L454" t="n">
        <v>0</v>
      </c>
      <c r="M454" t="n">
        <v>0</v>
      </c>
      <c r="N454" t="n">
        <v>0</v>
      </c>
      <c r="O454" t="n">
        <v>0</v>
      </c>
      <c r="P454" t="n">
        <v>0</v>
      </c>
      <c r="Q454" t="n">
        <v>0</v>
      </c>
      <c r="R454" s="2" t="inlineStr"/>
    </row>
    <row r="455" ht="15" customHeight="1">
      <c r="A455" t="inlineStr">
        <is>
          <t>A 52148-2024</t>
        </is>
      </c>
      <c r="B455" s="1" t="n">
        <v>45608.52354166667</v>
      </c>
      <c r="C455" s="1" t="n">
        <v>45890</v>
      </c>
      <c r="D455" t="inlineStr">
        <is>
          <t>JÄMTLANDS LÄN</t>
        </is>
      </c>
      <c r="E455" t="inlineStr">
        <is>
          <t>RAGUNDA</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53678-2022</t>
        </is>
      </c>
      <c r="B456" s="1" t="n">
        <v>44879.95768518518</v>
      </c>
      <c r="C456" s="1" t="n">
        <v>45890</v>
      </c>
      <c r="D456" t="inlineStr">
        <is>
          <t>JÄMTLANDS LÄN</t>
        </is>
      </c>
      <c r="E456" t="inlineStr">
        <is>
          <t>RAGUNDA</t>
        </is>
      </c>
      <c r="F456" t="inlineStr">
        <is>
          <t>Sveaskog</t>
        </is>
      </c>
      <c r="G456" t="n">
        <v>2.3</v>
      </c>
      <c r="H456" t="n">
        <v>0</v>
      </c>
      <c r="I456" t="n">
        <v>0</v>
      </c>
      <c r="J456" t="n">
        <v>0</v>
      </c>
      <c r="K456" t="n">
        <v>0</v>
      </c>
      <c r="L456" t="n">
        <v>0</v>
      </c>
      <c r="M456" t="n">
        <v>0</v>
      </c>
      <c r="N456" t="n">
        <v>0</v>
      </c>
      <c r="O456" t="n">
        <v>0</v>
      </c>
      <c r="P456" t="n">
        <v>0</v>
      </c>
      <c r="Q456" t="n">
        <v>0</v>
      </c>
      <c r="R456" s="2" t="inlineStr"/>
    </row>
    <row r="457" ht="15" customHeight="1">
      <c r="A457" t="inlineStr">
        <is>
          <t>A 13905-2025</t>
        </is>
      </c>
      <c r="B457" s="1" t="n">
        <v>45737.63574074074</v>
      </c>
      <c r="C457" s="1" t="n">
        <v>45890</v>
      </c>
      <c r="D457" t="inlineStr">
        <is>
          <t>JÄMTLANDS LÄN</t>
        </is>
      </c>
      <c r="E457" t="inlineStr">
        <is>
          <t>RAGUNDA</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13941-2025</t>
        </is>
      </c>
      <c r="B458" s="1" t="n">
        <v>45737.69822916666</v>
      </c>
      <c r="C458" s="1" t="n">
        <v>45890</v>
      </c>
      <c r="D458" t="inlineStr">
        <is>
          <t>JÄMTLANDS LÄN</t>
        </is>
      </c>
      <c r="E458" t="inlineStr">
        <is>
          <t>RAGUNDA</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50160-2023</t>
        </is>
      </c>
      <c r="B459" s="1" t="n">
        <v>45208</v>
      </c>
      <c r="C459" s="1" t="n">
        <v>45890</v>
      </c>
      <c r="D459" t="inlineStr">
        <is>
          <t>JÄMTLANDS LÄN</t>
        </is>
      </c>
      <c r="E459" t="inlineStr">
        <is>
          <t>RAGUNDA</t>
        </is>
      </c>
      <c r="G459" t="n">
        <v>4.6</v>
      </c>
      <c r="H459" t="n">
        <v>0</v>
      </c>
      <c r="I459" t="n">
        <v>0</v>
      </c>
      <c r="J459" t="n">
        <v>0</v>
      </c>
      <c r="K459" t="n">
        <v>0</v>
      </c>
      <c r="L459" t="n">
        <v>0</v>
      </c>
      <c r="M459" t="n">
        <v>0</v>
      </c>
      <c r="N459" t="n">
        <v>0</v>
      </c>
      <c r="O459" t="n">
        <v>0</v>
      </c>
      <c r="P459" t="n">
        <v>0</v>
      </c>
      <c r="Q459" t="n">
        <v>0</v>
      </c>
      <c r="R459" s="2" t="inlineStr"/>
    </row>
    <row r="460" ht="15" customHeight="1">
      <c r="A460" t="inlineStr">
        <is>
          <t>A 23305-2023</t>
        </is>
      </c>
      <c r="B460" s="1" t="n">
        <v>45075.94506944445</v>
      </c>
      <c r="C460" s="1" t="n">
        <v>45890</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18194-2025</t>
        </is>
      </c>
      <c r="B461" s="1" t="n">
        <v>45761.67744212963</v>
      </c>
      <c r="C461" s="1" t="n">
        <v>45890</v>
      </c>
      <c r="D461" t="inlineStr">
        <is>
          <t>JÄMTLANDS LÄN</t>
        </is>
      </c>
      <c r="E461" t="inlineStr">
        <is>
          <t>RAGUNDA</t>
        </is>
      </c>
      <c r="F461" t="inlineStr">
        <is>
          <t>SCA</t>
        </is>
      </c>
      <c r="G461" t="n">
        <v>4.2</v>
      </c>
      <c r="H461" t="n">
        <v>0</v>
      </c>
      <c r="I461" t="n">
        <v>0</v>
      </c>
      <c r="J461" t="n">
        <v>0</v>
      </c>
      <c r="K461" t="n">
        <v>0</v>
      </c>
      <c r="L461" t="n">
        <v>0</v>
      </c>
      <c r="M461" t="n">
        <v>0</v>
      </c>
      <c r="N461" t="n">
        <v>0</v>
      </c>
      <c r="O461" t="n">
        <v>0</v>
      </c>
      <c r="P461" t="n">
        <v>0</v>
      </c>
      <c r="Q461" t="n">
        <v>0</v>
      </c>
      <c r="R461" s="2" t="inlineStr"/>
    </row>
    <row r="462" ht="15" customHeight="1">
      <c r="A462" t="inlineStr">
        <is>
          <t>A 18225-2024</t>
        </is>
      </c>
      <c r="B462" s="1" t="n">
        <v>45420</v>
      </c>
      <c r="C462" s="1" t="n">
        <v>45890</v>
      </c>
      <c r="D462" t="inlineStr">
        <is>
          <t>JÄMTLANDS LÄN</t>
        </is>
      </c>
      <c r="E462" t="inlineStr">
        <is>
          <t>RAGUNDA</t>
        </is>
      </c>
      <c r="F462" t="inlineStr">
        <is>
          <t>SCA</t>
        </is>
      </c>
      <c r="G462" t="n">
        <v>4.8</v>
      </c>
      <c r="H462" t="n">
        <v>0</v>
      </c>
      <c r="I462" t="n">
        <v>0</v>
      </c>
      <c r="J462" t="n">
        <v>0</v>
      </c>
      <c r="K462" t="n">
        <v>0</v>
      </c>
      <c r="L462" t="n">
        <v>0</v>
      </c>
      <c r="M462" t="n">
        <v>0</v>
      </c>
      <c r="N462" t="n">
        <v>0</v>
      </c>
      <c r="O462" t="n">
        <v>0</v>
      </c>
      <c r="P462" t="n">
        <v>0</v>
      </c>
      <c r="Q462" t="n">
        <v>0</v>
      </c>
      <c r="R462" s="2" t="inlineStr"/>
    </row>
    <row r="463" ht="15" customHeight="1">
      <c r="A463" t="inlineStr">
        <is>
          <t>A 51245-2024</t>
        </is>
      </c>
      <c r="B463" s="1" t="n">
        <v>45603.67850694444</v>
      </c>
      <c r="C463" s="1" t="n">
        <v>45890</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54764-2024</t>
        </is>
      </c>
      <c r="B464" s="1" t="n">
        <v>45618.46921296296</v>
      </c>
      <c r="C464" s="1" t="n">
        <v>45890</v>
      </c>
      <c r="D464" t="inlineStr">
        <is>
          <t>JÄMTLANDS LÄN</t>
        </is>
      </c>
      <c r="E464" t="inlineStr">
        <is>
          <t>RAGUNDA</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13276-2025</t>
        </is>
      </c>
      <c r="B465" s="1" t="n">
        <v>45735.5517824074</v>
      </c>
      <c r="C465" s="1" t="n">
        <v>45890</v>
      </c>
      <c r="D465" t="inlineStr">
        <is>
          <t>JÄMTLANDS LÄN</t>
        </is>
      </c>
      <c r="E465" t="inlineStr">
        <is>
          <t>RAGUNDA</t>
        </is>
      </c>
      <c r="G465" t="n">
        <v>16.6</v>
      </c>
      <c r="H465" t="n">
        <v>0</v>
      </c>
      <c r="I465" t="n">
        <v>0</v>
      </c>
      <c r="J465" t="n">
        <v>0</v>
      </c>
      <c r="K465" t="n">
        <v>0</v>
      </c>
      <c r="L465" t="n">
        <v>0</v>
      </c>
      <c r="M465" t="n">
        <v>0</v>
      </c>
      <c r="N465" t="n">
        <v>0</v>
      </c>
      <c r="O465" t="n">
        <v>0</v>
      </c>
      <c r="P465" t="n">
        <v>0</v>
      </c>
      <c r="Q465" t="n">
        <v>0</v>
      </c>
      <c r="R465" s="2" t="inlineStr"/>
    </row>
    <row r="466" ht="15" customHeight="1">
      <c r="A466" t="inlineStr">
        <is>
          <t>A 32904-2024</t>
        </is>
      </c>
      <c r="B466" s="1" t="n">
        <v>45516.94732638889</v>
      </c>
      <c r="C466" s="1" t="n">
        <v>45890</v>
      </c>
      <c r="D466" t="inlineStr">
        <is>
          <t>JÄMTLANDS LÄN</t>
        </is>
      </c>
      <c r="E466" t="inlineStr">
        <is>
          <t>RAGUNDA</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12976-2025</t>
        </is>
      </c>
      <c r="B467" s="1" t="n">
        <v>45734.45268518518</v>
      </c>
      <c r="C467" s="1" t="n">
        <v>45890</v>
      </c>
      <c r="D467" t="inlineStr">
        <is>
          <t>JÄMTLANDS LÄN</t>
        </is>
      </c>
      <c r="E467" t="inlineStr">
        <is>
          <t>RAGUNDA</t>
        </is>
      </c>
      <c r="G467" t="n">
        <v>24.2</v>
      </c>
      <c r="H467" t="n">
        <v>0</v>
      </c>
      <c r="I467" t="n">
        <v>0</v>
      </c>
      <c r="J467" t="n">
        <v>0</v>
      </c>
      <c r="K467" t="n">
        <v>0</v>
      </c>
      <c r="L467" t="n">
        <v>0</v>
      </c>
      <c r="M467" t="n">
        <v>0</v>
      </c>
      <c r="N467" t="n">
        <v>0</v>
      </c>
      <c r="O467" t="n">
        <v>0</v>
      </c>
      <c r="P467" t="n">
        <v>0</v>
      </c>
      <c r="Q467" t="n">
        <v>0</v>
      </c>
      <c r="R467" s="2" t="inlineStr"/>
    </row>
    <row r="468" ht="15" customHeight="1">
      <c r="A468" t="inlineStr">
        <is>
          <t>A 59286-2023</t>
        </is>
      </c>
      <c r="B468" s="1" t="n">
        <v>45253</v>
      </c>
      <c r="C468" s="1" t="n">
        <v>45890</v>
      </c>
      <c r="D468" t="inlineStr">
        <is>
          <t>JÄMTLANDS LÄN</t>
        </is>
      </c>
      <c r="E468" t="inlineStr">
        <is>
          <t>RAGUNDA</t>
        </is>
      </c>
      <c r="G468" t="n">
        <v>1</v>
      </c>
      <c r="H468" t="n">
        <v>0</v>
      </c>
      <c r="I468" t="n">
        <v>0</v>
      </c>
      <c r="J468" t="n">
        <v>0</v>
      </c>
      <c r="K468" t="n">
        <v>0</v>
      </c>
      <c r="L468" t="n">
        <v>0</v>
      </c>
      <c r="M468" t="n">
        <v>0</v>
      </c>
      <c r="N468" t="n">
        <v>0</v>
      </c>
      <c r="O468" t="n">
        <v>0</v>
      </c>
      <c r="P468" t="n">
        <v>0</v>
      </c>
      <c r="Q468" t="n">
        <v>0</v>
      </c>
      <c r="R468" s="2" t="inlineStr"/>
    </row>
    <row r="469" ht="15" customHeight="1">
      <c r="A469" t="inlineStr">
        <is>
          <t>A 15672-2021</t>
        </is>
      </c>
      <c r="B469" s="1" t="n">
        <v>44286</v>
      </c>
      <c r="C469" s="1" t="n">
        <v>45890</v>
      </c>
      <c r="D469" t="inlineStr">
        <is>
          <t>JÄMTLANDS LÄN</t>
        </is>
      </c>
      <c r="E469" t="inlineStr">
        <is>
          <t>RAGUNDA</t>
        </is>
      </c>
      <c r="G469" t="n">
        <v>1.7</v>
      </c>
      <c r="H469" t="n">
        <v>0</v>
      </c>
      <c r="I469" t="n">
        <v>0</v>
      </c>
      <c r="J469" t="n">
        <v>0</v>
      </c>
      <c r="K469" t="n">
        <v>0</v>
      </c>
      <c r="L469" t="n">
        <v>0</v>
      </c>
      <c r="M469" t="n">
        <v>0</v>
      </c>
      <c r="N469" t="n">
        <v>0</v>
      </c>
      <c r="O469" t="n">
        <v>0</v>
      </c>
      <c r="P469" t="n">
        <v>0</v>
      </c>
      <c r="Q469" t="n">
        <v>0</v>
      </c>
      <c r="R469" s="2" t="inlineStr"/>
    </row>
    <row r="470" ht="15" customHeight="1">
      <c r="A470" t="inlineStr">
        <is>
          <t>A 6688-2024</t>
        </is>
      </c>
      <c r="B470" s="1" t="n">
        <v>45341</v>
      </c>
      <c r="C470" s="1" t="n">
        <v>45890</v>
      </c>
      <c r="D470" t="inlineStr">
        <is>
          <t>JÄMTLANDS LÄN</t>
        </is>
      </c>
      <c r="E470" t="inlineStr">
        <is>
          <t>RAGUNDA</t>
        </is>
      </c>
      <c r="G470" t="n">
        <v>2</v>
      </c>
      <c r="H470" t="n">
        <v>0</v>
      </c>
      <c r="I470" t="n">
        <v>0</v>
      </c>
      <c r="J470" t="n">
        <v>0</v>
      </c>
      <c r="K470" t="n">
        <v>0</v>
      </c>
      <c r="L470" t="n">
        <v>0</v>
      </c>
      <c r="M470" t="n">
        <v>0</v>
      </c>
      <c r="N470" t="n">
        <v>0</v>
      </c>
      <c r="O470" t="n">
        <v>0</v>
      </c>
      <c r="P470" t="n">
        <v>0</v>
      </c>
      <c r="Q470" t="n">
        <v>0</v>
      </c>
      <c r="R470" s="2" t="inlineStr"/>
    </row>
    <row r="471" ht="15" customHeight="1">
      <c r="A471" t="inlineStr">
        <is>
          <t>A 53955-2022</t>
        </is>
      </c>
      <c r="B471" s="1" t="n">
        <v>44880.95741898148</v>
      </c>
      <c r="C471" s="1" t="n">
        <v>45890</v>
      </c>
      <c r="D471" t="inlineStr">
        <is>
          <t>JÄMTLANDS LÄN</t>
        </is>
      </c>
      <c r="E471" t="inlineStr">
        <is>
          <t>RAGUNDA</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45335-2023</t>
        </is>
      </c>
      <c r="B472" s="1" t="n">
        <v>45191</v>
      </c>
      <c r="C472" s="1" t="n">
        <v>45890</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61088-2020</t>
        </is>
      </c>
      <c r="B473" s="1" t="n">
        <v>44153</v>
      </c>
      <c r="C473" s="1" t="n">
        <v>45890</v>
      </c>
      <c r="D473" t="inlineStr">
        <is>
          <t>JÄMTLANDS LÄN</t>
        </is>
      </c>
      <c r="E473" t="inlineStr">
        <is>
          <t>RAGUNDA</t>
        </is>
      </c>
      <c r="G473" t="n">
        <v>1.2</v>
      </c>
      <c r="H473" t="n">
        <v>0</v>
      </c>
      <c r="I473" t="n">
        <v>0</v>
      </c>
      <c r="J473" t="n">
        <v>0</v>
      </c>
      <c r="K473" t="n">
        <v>0</v>
      </c>
      <c r="L473" t="n">
        <v>0</v>
      </c>
      <c r="M473" t="n">
        <v>0</v>
      </c>
      <c r="N473" t="n">
        <v>0</v>
      </c>
      <c r="O473" t="n">
        <v>0</v>
      </c>
      <c r="P473" t="n">
        <v>0</v>
      </c>
      <c r="Q473" t="n">
        <v>0</v>
      </c>
      <c r="R473" s="2" t="inlineStr"/>
    </row>
    <row r="474" ht="15" customHeight="1">
      <c r="A474" t="inlineStr">
        <is>
          <t>A 50650-2023</t>
        </is>
      </c>
      <c r="B474" s="1" t="n">
        <v>45210</v>
      </c>
      <c r="C474" s="1" t="n">
        <v>45890</v>
      </c>
      <c r="D474" t="inlineStr">
        <is>
          <t>JÄMTLANDS LÄN</t>
        </is>
      </c>
      <c r="E474" t="inlineStr">
        <is>
          <t>RAGUNDA</t>
        </is>
      </c>
      <c r="G474" t="n">
        <v>1.3</v>
      </c>
      <c r="H474" t="n">
        <v>0</v>
      </c>
      <c r="I474" t="n">
        <v>0</v>
      </c>
      <c r="J474" t="n">
        <v>0</v>
      </c>
      <c r="K474" t="n">
        <v>0</v>
      </c>
      <c r="L474" t="n">
        <v>0</v>
      </c>
      <c r="M474" t="n">
        <v>0</v>
      </c>
      <c r="N474" t="n">
        <v>0</v>
      </c>
      <c r="O474" t="n">
        <v>0</v>
      </c>
      <c r="P474" t="n">
        <v>0</v>
      </c>
      <c r="Q474" t="n">
        <v>0</v>
      </c>
      <c r="R474" s="2" t="inlineStr"/>
    </row>
    <row r="475" ht="15" customHeight="1">
      <c r="A475" t="inlineStr">
        <is>
          <t>A 41344-2024</t>
        </is>
      </c>
      <c r="B475" s="1" t="n">
        <v>45559.67759259259</v>
      </c>
      <c r="C475" s="1" t="n">
        <v>45890</v>
      </c>
      <c r="D475" t="inlineStr">
        <is>
          <t>JÄMTLANDS LÄN</t>
        </is>
      </c>
      <c r="E475" t="inlineStr">
        <is>
          <t>RAGUNDA</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55487-2023</t>
        </is>
      </c>
      <c r="B476" s="1" t="n">
        <v>45238</v>
      </c>
      <c r="C476" s="1" t="n">
        <v>45890</v>
      </c>
      <c r="D476" t="inlineStr">
        <is>
          <t>JÄMTLANDS LÄN</t>
        </is>
      </c>
      <c r="E476" t="inlineStr">
        <is>
          <t>RAGUNDA</t>
        </is>
      </c>
      <c r="G476" t="n">
        <v>3</v>
      </c>
      <c r="H476" t="n">
        <v>0</v>
      </c>
      <c r="I476" t="n">
        <v>0</v>
      </c>
      <c r="J476" t="n">
        <v>0</v>
      </c>
      <c r="K476" t="n">
        <v>0</v>
      </c>
      <c r="L476" t="n">
        <v>0</v>
      </c>
      <c r="M476" t="n">
        <v>0</v>
      </c>
      <c r="N476" t="n">
        <v>0</v>
      </c>
      <c r="O476" t="n">
        <v>0</v>
      </c>
      <c r="P476" t="n">
        <v>0</v>
      </c>
      <c r="Q476" t="n">
        <v>0</v>
      </c>
      <c r="R476" s="2" t="inlineStr"/>
    </row>
    <row r="477" ht="15" customHeight="1">
      <c r="A477" t="inlineStr">
        <is>
          <t>A 18454-2021</t>
        </is>
      </c>
      <c r="B477" s="1" t="n">
        <v>44305.92047453704</v>
      </c>
      <c r="C477" s="1" t="n">
        <v>45890</v>
      </c>
      <c r="D477" t="inlineStr">
        <is>
          <t>JÄMTLANDS LÄN</t>
        </is>
      </c>
      <c r="E477" t="inlineStr">
        <is>
          <t>RAGUNDA</t>
        </is>
      </c>
      <c r="G477" t="n">
        <v>1.3</v>
      </c>
      <c r="H477" t="n">
        <v>0</v>
      </c>
      <c r="I477" t="n">
        <v>0</v>
      </c>
      <c r="J477" t="n">
        <v>0</v>
      </c>
      <c r="K477" t="n">
        <v>0</v>
      </c>
      <c r="L477" t="n">
        <v>0</v>
      </c>
      <c r="M477" t="n">
        <v>0</v>
      </c>
      <c r="N477" t="n">
        <v>0</v>
      </c>
      <c r="O477" t="n">
        <v>0</v>
      </c>
      <c r="P477" t="n">
        <v>0</v>
      </c>
      <c r="Q477" t="n">
        <v>0</v>
      </c>
      <c r="R477" s="2" t="inlineStr"/>
    </row>
    <row r="478" ht="15" customHeight="1">
      <c r="A478" t="inlineStr">
        <is>
          <t>A 41772-2024</t>
        </is>
      </c>
      <c r="B478" s="1" t="n">
        <v>45561.34663194444</v>
      </c>
      <c r="C478" s="1" t="n">
        <v>45890</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9360-2023</t>
        </is>
      </c>
      <c r="B479" s="1" t="n">
        <v>44980.93865740741</v>
      </c>
      <c r="C479" s="1" t="n">
        <v>45890</v>
      </c>
      <c r="D479" t="inlineStr">
        <is>
          <t>JÄMTLANDS LÄN</t>
        </is>
      </c>
      <c r="E479" t="inlineStr">
        <is>
          <t>RAGUNDA</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10972-2022</t>
        </is>
      </c>
      <c r="B480" s="1" t="n">
        <v>44628</v>
      </c>
      <c r="C480" s="1" t="n">
        <v>45890</v>
      </c>
      <c r="D480" t="inlineStr">
        <is>
          <t>JÄMTLANDS LÄN</t>
        </is>
      </c>
      <c r="E480" t="inlineStr">
        <is>
          <t>RAGUNDA</t>
        </is>
      </c>
      <c r="G480" t="n">
        <v>9.5</v>
      </c>
      <c r="H480" t="n">
        <v>0</v>
      </c>
      <c r="I480" t="n">
        <v>0</v>
      </c>
      <c r="J480" t="n">
        <v>0</v>
      </c>
      <c r="K480" t="n">
        <v>0</v>
      </c>
      <c r="L480" t="n">
        <v>0</v>
      </c>
      <c r="M480" t="n">
        <v>0</v>
      </c>
      <c r="N480" t="n">
        <v>0</v>
      </c>
      <c r="O480" t="n">
        <v>0</v>
      </c>
      <c r="P480" t="n">
        <v>0</v>
      </c>
      <c r="Q480" t="n">
        <v>0</v>
      </c>
      <c r="R480" s="2" t="inlineStr"/>
    </row>
    <row r="481" ht="15" customHeight="1">
      <c r="A481" t="inlineStr">
        <is>
          <t>A 13767-2022</t>
        </is>
      </c>
      <c r="B481" s="1" t="n">
        <v>44649.47048611111</v>
      </c>
      <c r="C481" s="1" t="n">
        <v>45890</v>
      </c>
      <c r="D481" t="inlineStr">
        <is>
          <t>JÄMTLANDS LÄN</t>
        </is>
      </c>
      <c r="E481" t="inlineStr">
        <is>
          <t>RAGUNDA</t>
        </is>
      </c>
      <c r="F481" t="inlineStr">
        <is>
          <t>Kommuner</t>
        </is>
      </c>
      <c r="G481" t="n">
        <v>3.1</v>
      </c>
      <c r="H481" t="n">
        <v>0</v>
      </c>
      <c r="I481" t="n">
        <v>0</v>
      </c>
      <c r="J481" t="n">
        <v>0</v>
      </c>
      <c r="K481" t="n">
        <v>0</v>
      </c>
      <c r="L481" t="n">
        <v>0</v>
      </c>
      <c r="M481" t="n">
        <v>0</v>
      </c>
      <c r="N481" t="n">
        <v>0</v>
      </c>
      <c r="O481" t="n">
        <v>0</v>
      </c>
      <c r="P481" t="n">
        <v>0</v>
      </c>
      <c r="Q481" t="n">
        <v>0</v>
      </c>
      <c r="R481" s="2" t="inlineStr"/>
    </row>
    <row r="482" ht="15" customHeight="1">
      <c r="A482" t="inlineStr">
        <is>
          <t>A 11834-2023</t>
        </is>
      </c>
      <c r="B482" s="1" t="n">
        <v>44994.94296296296</v>
      </c>
      <c r="C482" s="1" t="n">
        <v>45890</v>
      </c>
      <c r="D482" t="inlineStr">
        <is>
          <t>JÄMTLANDS LÄN</t>
        </is>
      </c>
      <c r="E482" t="inlineStr">
        <is>
          <t>RAGUNDA</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59670-2023</t>
        </is>
      </c>
      <c r="B483" s="1" t="n">
        <v>45254.96516203704</v>
      </c>
      <c r="C483" s="1" t="n">
        <v>45890</v>
      </c>
      <c r="D483" t="inlineStr">
        <is>
          <t>JÄMTLANDS LÄN</t>
        </is>
      </c>
      <c r="E483" t="inlineStr">
        <is>
          <t>RAGUNDA</t>
        </is>
      </c>
      <c r="F483" t="inlineStr">
        <is>
          <t>SCA</t>
        </is>
      </c>
      <c r="G483" t="n">
        <v>7.6</v>
      </c>
      <c r="H483" t="n">
        <v>0</v>
      </c>
      <c r="I483" t="n">
        <v>0</v>
      </c>
      <c r="J483" t="n">
        <v>0</v>
      </c>
      <c r="K483" t="n">
        <v>0</v>
      </c>
      <c r="L483" t="n">
        <v>0</v>
      </c>
      <c r="M483" t="n">
        <v>0</v>
      </c>
      <c r="N483" t="n">
        <v>0</v>
      </c>
      <c r="O483" t="n">
        <v>0</v>
      </c>
      <c r="P483" t="n">
        <v>0</v>
      </c>
      <c r="Q483" t="n">
        <v>0</v>
      </c>
      <c r="R483" s="2" t="inlineStr"/>
    </row>
    <row r="484" ht="15" customHeight="1">
      <c r="A484" t="inlineStr">
        <is>
          <t>A 1308-2025</t>
        </is>
      </c>
      <c r="B484" s="1" t="n">
        <v>45667.55239583334</v>
      </c>
      <c r="C484" s="1" t="n">
        <v>45890</v>
      </c>
      <c r="D484" t="inlineStr">
        <is>
          <t>JÄMTLANDS LÄN</t>
        </is>
      </c>
      <c r="E484" t="inlineStr">
        <is>
          <t>RAGUNDA</t>
        </is>
      </c>
      <c r="F484" t="inlineStr">
        <is>
          <t>SCA</t>
        </is>
      </c>
      <c r="G484" t="n">
        <v>6.4</v>
      </c>
      <c r="H484" t="n">
        <v>0</v>
      </c>
      <c r="I484" t="n">
        <v>0</v>
      </c>
      <c r="J484" t="n">
        <v>0</v>
      </c>
      <c r="K484" t="n">
        <v>0</v>
      </c>
      <c r="L484" t="n">
        <v>0</v>
      </c>
      <c r="M484" t="n">
        <v>0</v>
      </c>
      <c r="N484" t="n">
        <v>0</v>
      </c>
      <c r="O484" t="n">
        <v>0</v>
      </c>
      <c r="P484" t="n">
        <v>0</v>
      </c>
      <c r="Q484" t="n">
        <v>0</v>
      </c>
      <c r="R484" s="2" t="inlineStr"/>
    </row>
    <row r="485" ht="15" customHeight="1">
      <c r="A485" t="inlineStr">
        <is>
          <t>A 11252-2025</t>
        </is>
      </c>
      <c r="B485" s="1" t="n">
        <v>45726.38615740741</v>
      </c>
      <c r="C485" s="1" t="n">
        <v>45890</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11253-2025</t>
        </is>
      </c>
      <c r="B486" s="1" t="n">
        <v>45726.3862037037</v>
      </c>
      <c r="C486" s="1" t="n">
        <v>45890</v>
      </c>
      <c r="D486" t="inlineStr">
        <is>
          <t>JÄMTLANDS LÄN</t>
        </is>
      </c>
      <c r="E486" t="inlineStr">
        <is>
          <t>RAGUNDA</t>
        </is>
      </c>
      <c r="G486" t="n">
        <v>1.5</v>
      </c>
      <c r="H486" t="n">
        <v>0</v>
      </c>
      <c r="I486" t="n">
        <v>0</v>
      </c>
      <c r="J486" t="n">
        <v>0</v>
      </c>
      <c r="K486" t="n">
        <v>0</v>
      </c>
      <c r="L486" t="n">
        <v>0</v>
      </c>
      <c r="M486" t="n">
        <v>0</v>
      </c>
      <c r="N486" t="n">
        <v>0</v>
      </c>
      <c r="O486" t="n">
        <v>0</v>
      </c>
      <c r="P486" t="n">
        <v>0</v>
      </c>
      <c r="Q486" t="n">
        <v>0</v>
      </c>
      <c r="R486" s="2" t="inlineStr"/>
    </row>
    <row r="487" ht="15" customHeight="1">
      <c r="A487" t="inlineStr">
        <is>
          <t>A 22569-2023</t>
        </is>
      </c>
      <c r="B487" s="1" t="n">
        <v>45069</v>
      </c>
      <c r="C487" s="1" t="n">
        <v>45890</v>
      </c>
      <c r="D487" t="inlineStr">
        <is>
          <t>JÄMTLANDS LÄN</t>
        </is>
      </c>
      <c r="E487" t="inlineStr">
        <is>
          <t>RAGUNDA</t>
        </is>
      </c>
      <c r="G487" t="n">
        <v>6.6</v>
      </c>
      <c r="H487" t="n">
        <v>0</v>
      </c>
      <c r="I487" t="n">
        <v>0</v>
      </c>
      <c r="J487" t="n">
        <v>0</v>
      </c>
      <c r="K487" t="n">
        <v>0</v>
      </c>
      <c r="L487" t="n">
        <v>0</v>
      </c>
      <c r="M487" t="n">
        <v>0</v>
      </c>
      <c r="N487" t="n">
        <v>0</v>
      </c>
      <c r="O487" t="n">
        <v>0</v>
      </c>
      <c r="P487" t="n">
        <v>0</v>
      </c>
      <c r="Q487" t="n">
        <v>0</v>
      </c>
      <c r="R487" s="2" t="inlineStr"/>
    </row>
    <row r="488" ht="15" customHeight="1">
      <c r="A488" t="inlineStr">
        <is>
          <t>A 17559-2023</t>
        </is>
      </c>
      <c r="B488" s="1" t="n">
        <v>45034</v>
      </c>
      <c r="C488" s="1" t="n">
        <v>45890</v>
      </c>
      <c r="D488" t="inlineStr">
        <is>
          <t>JÄMTLANDS LÄN</t>
        </is>
      </c>
      <c r="E488" t="inlineStr">
        <is>
          <t>RAGUNDA</t>
        </is>
      </c>
      <c r="G488" t="n">
        <v>7.5</v>
      </c>
      <c r="H488" t="n">
        <v>0</v>
      </c>
      <c r="I488" t="n">
        <v>0</v>
      </c>
      <c r="J488" t="n">
        <v>0</v>
      </c>
      <c r="K488" t="n">
        <v>0</v>
      </c>
      <c r="L488" t="n">
        <v>0</v>
      </c>
      <c r="M488" t="n">
        <v>0</v>
      </c>
      <c r="N488" t="n">
        <v>0</v>
      </c>
      <c r="O488" t="n">
        <v>0</v>
      </c>
      <c r="P488" t="n">
        <v>0</v>
      </c>
      <c r="Q488" t="n">
        <v>0</v>
      </c>
      <c r="R488" s="2" t="inlineStr"/>
    </row>
    <row r="489" ht="15" customHeight="1">
      <c r="A489" t="inlineStr">
        <is>
          <t>A 55508-2024</t>
        </is>
      </c>
      <c r="B489" s="1" t="n">
        <v>45622.46200231482</v>
      </c>
      <c r="C489" s="1" t="n">
        <v>45890</v>
      </c>
      <c r="D489" t="inlineStr">
        <is>
          <t>JÄMTLANDS LÄN</t>
        </is>
      </c>
      <c r="E489" t="inlineStr">
        <is>
          <t>RAGUNDA</t>
        </is>
      </c>
      <c r="G489" t="n">
        <v>1.8</v>
      </c>
      <c r="H489" t="n">
        <v>0</v>
      </c>
      <c r="I489" t="n">
        <v>0</v>
      </c>
      <c r="J489" t="n">
        <v>0</v>
      </c>
      <c r="K489" t="n">
        <v>0</v>
      </c>
      <c r="L489" t="n">
        <v>0</v>
      </c>
      <c r="M489" t="n">
        <v>0</v>
      </c>
      <c r="N489" t="n">
        <v>0</v>
      </c>
      <c r="O489" t="n">
        <v>0</v>
      </c>
      <c r="P489" t="n">
        <v>0</v>
      </c>
      <c r="Q489" t="n">
        <v>0</v>
      </c>
      <c r="R489" s="2" t="inlineStr"/>
    </row>
    <row r="490" ht="15" customHeight="1">
      <c r="A490" t="inlineStr">
        <is>
          <t>A 38312-2024</t>
        </is>
      </c>
      <c r="B490" s="1" t="n">
        <v>45545.64957175926</v>
      </c>
      <c r="C490" s="1" t="n">
        <v>45890</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11048-2023</t>
        </is>
      </c>
      <c r="B491" s="1" t="n">
        <v>44991</v>
      </c>
      <c r="C491" s="1" t="n">
        <v>45890</v>
      </c>
      <c r="D491" t="inlineStr">
        <is>
          <t>JÄMTLANDS LÄN</t>
        </is>
      </c>
      <c r="E491" t="inlineStr">
        <is>
          <t>RAGUNDA</t>
        </is>
      </c>
      <c r="F491" t="inlineStr">
        <is>
          <t>SCA</t>
        </is>
      </c>
      <c r="G491" t="n">
        <v>13.5</v>
      </c>
      <c r="H491" t="n">
        <v>0</v>
      </c>
      <c r="I491" t="n">
        <v>0</v>
      </c>
      <c r="J491" t="n">
        <v>0</v>
      </c>
      <c r="K491" t="n">
        <v>0</v>
      </c>
      <c r="L491" t="n">
        <v>0</v>
      </c>
      <c r="M491" t="n">
        <v>0</v>
      </c>
      <c r="N491" t="n">
        <v>0</v>
      </c>
      <c r="O491" t="n">
        <v>0</v>
      </c>
      <c r="P491" t="n">
        <v>0</v>
      </c>
      <c r="Q491" t="n">
        <v>0</v>
      </c>
      <c r="R491" s="2" t="inlineStr"/>
    </row>
    <row r="492" ht="15" customHeight="1">
      <c r="A492" t="inlineStr">
        <is>
          <t>A 11062-2023</t>
        </is>
      </c>
      <c r="B492" s="1" t="n">
        <v>44991</v>
      </c>
      <c r="C492" s="1" t="n">
        <v>45890</v>
      </c>
      <c r="D492" t="inlineStr">
        <is>
          <t>JÄMTLANDS LÄN</t>
        </is>
      </c>
      <c r="E492" t="inlineStr">
        <is>
          <t>RAGUNDA</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32832-2021</t>
        </is>
      </c>
      <c r="B493" s="1" t="n">
        <v>44375</v>
      </c>
      <c r="C493" s="1" t="n">
        <v>45890</v>
      </c>
      <c r="D493" t="inlineStr">
        <is>
          <t>JÄMTLANDS LÄN</t>
        </is>
      </c>
      <c r="E493" t="inlineStr">
        <is>
          <t>RAGUNDA</t>
        </is>
      </c>
      <c r="G493" t="n">
        <v>3</v>
      </c>
      <c r="H493" t="n">
        <v>0</v>
      </c>
      <c r="I493" t="n">
        <v>0</v>
      </c>
      <c r="J493" t="n">
        <v>0</v>
      </c>
      <c r="K493" t="n">
        <v>0</v>
      </c>
      <c r="L493" t="n">
        <v>0</v>
      </c>
      <c r="M493" t="n">
        <v>0</v>
      </c>
      <c r="N493" t="n">
        <v>0</v>
      </c>
      <c r="O493" t="n">
        <v>0</v>
      </c>
      <c r="P493" t="n">
        <v>0</v>
      </c>
      <c r="Q493" t="n">
        <v>0</v>
      </c>
      <c r="R493" s="2" t="inlineStr"/>
    </row>
    <row r="494" ht="15" customHeight="1">
      <c r="A494" t="inlineStr">
        <is>
          <t>A 57064-2024</t>
        </is>
      </c>
      <c r="B494" s="1" t="n">
        <v>45629.35326388889</v>
      </c>
      <c r="C494" s="1" t="n">
        <v>45890</v>
      </c>
      <c r="D494" t="inlineStr">
        <is>
          <t>JÄMTLANDS LÄN</t>
        </is>
      </c>
      <c r="E494" t="inlineStr">
        <is>
          <t>RAGUNDA</t>
        </is>
      </c>
      <c r="F494" t="inlineStr">
        <is>
          <t>Naturvårdsverket</t>
        </is>
      </c>
      <c r="G494" t="n">
        <v>0.5</v>
      </c>
      <c r="H494" t="n">
        <v>0</v>
      </c>
      <c r="I494" t="n">
        <v>0</v>
      </c>
      <c r="J494" t="n">
        <v>0</v>
      </c>
      <c r="K494" t="n">
        <v>0</v>
      </c>
      <c r="L494" t="n">
        <v>0</v>
      </c>
      <c r="M494" t="n">
        <v>0</v>
      </c>
      <c r="N494" t="n">
        <v>0</v>
      </c>
      <c r="O494" t="n">
        <v>0</v>
      </c>
      <c r="P494" t="n">
        <v>0</v>
      </c>
      <c r="Q494" t="n">
        <v>0</v>
      </c>
      <c r="R494" s="2" t="inlineStr"/>
    </row>
    <row r="495" ht="15" customHeight="1">
      <c r="A495" t="inlineStr">
        <is>
          <t>A 22011-2023</t>
        </is>
      </c>
      <c r="B495" s="1" t="n">
        <v>45068</v>
      </c>
      <c r="C495" s="1" t="n">
        <v>45890</v>
      </c>
      <c r="D495" t="inlineStr">
        <is>
          <t>JÄMTLANDS LÄN</t>
        </is>
      </c>
      <c r="E495" t="inlineStr">
        <is>
          <t>RAGUNDA</t>
        </is>
      </c>
      <c r="F495" t="inlineStr">
        <is>
          <t>SCA</t>
        </is>
      </c>
      <c r="G495" t="n">
        <v>12.2</v>
      </c>
      <c r="H495" t="n">
        <v>0</v>
      </c>
      <c r="I495" t="n">
        <v>0</v>
      </c>
      <c r="J495" t="n">
        <v>0</v>
      </c>
      <c r="K495" t="n">
        <v>0</v>
      </c>
      <c r="L495" t="n">
        <v>0</v>
      </c>
      <c r="M495" t="n">
        <v>0</v>
      </c>
      <c r="N495" t="n">
        <v>0</v>
      </c>
      <c r="O495" t="n">
        <v>0</v>
      </c>
      <c r="P495" t="n">
        <v>0</v>
      </c>
      <c r="Q495" t="n">
        <v>0</v>
      </c>
      <c r="R495" s="2" t="inlineStr"/>
    </row>
    <row r="496" ht="15" customHeight="1">
      <c r="A496" t="inlineStr">
        <is>
          <t>A 59492-2024</t>
        </is>
      </c>
      <c r="B496" s="1" t="n">
        <v>45638</v>
      </c>
      <c r="C496" s="1" t="n">
        <v>45890</v>
      </c>
      <c r="D496" t="inlineStr">
        <is>
          <t>JÄMTLANDS LÄN</t>
        </is>
      </c>
      <c r="E496" t="inlineStr">
        <is>
          <t>RAGUNDA</t>
        </is>
      </c>
      <c r="G496" t="n">
        <v>1.2</v>
      </c>
      <c r="H496" t="n">
        <v>0</v>
      </c>
      <c r="I496" t="n">
        <v>0</v>
      </c>
      <c r="J496" t="n">
        <v>0</v>
      </c>
      <c r="K496" t="n">
        <v>0</v>
      </c>
      <c r="L496" t="n">
        <v>0</v>
      </c>
      <c r="M496" t="n">
        <v>0</v>
      </c>
      <c r="N496" t="n">
        <v>0</v>
      </c>
      <c r="O496" t="n">
        <v>0</v>
      </c>
      <c r="P496" t="n">
        <v>0</v>
      </c>
      <c r="Q496" t="n">
        <v>0</v>
      </c>
      <c r="R496" s="2" t="inlineStr"/>
    </row>
    <row r="497" ht="15" customHeight="1">
      <c r="A497" t="inlineStr">
        <is>
          <t>A 20772-2024</t>
        </is>
      </c>
      <c r="B497" s="1" t="n">
        <v>45436.94628472222</v>
      </c>
      <c r="C497" s="1" t="n">
        <v>45890</v>
      </c>
      <c r="D497" t="inlineStr">
        <is>
          <t>JÄMTLANDS LÄN</t>
        </is>
      </c>
      <c r="E497" t="inlineStr">
        <is>
          <t>RAGUNDA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55524-2024</t>
        </is>
      </c>
      <c r="B498" s="1" t="n">
        <v>45622.47435185185</v>
      </c>
      <c r="C498" s="1" t="n">
        <v>45890</v>
      </c>
      <c r="D498" t="inlineStr">
        <is>
          <t>JÄMTLANDS LÄN</t>
        </is>
      </c>
      <c r="E498" t="inlineStr">
        <is>
          <t>RAGUNDA</t>
        </is>
      </c>
      <c r="G498" t="n">
        <v>1.4</v>
      </c>
      <c r="H498" t="n">
        <v>0</v>
      </c>
      <c r="I498" t="n">
        <v>0</v>
      </c>
      <c r="J498" t="n">
        <v>0</v>
      </c>
      <c r="K498" t="n">
        <v>0</v>
      </c>
      <c r="L498" t="n">
        <v>0</v>
      </c>
      <c r="M498" t="n">
        <v>0</v>
      </c>
      <c r="N498" t="n">
        <v>0</v>
      </c>
      <c r="O498" t="n">
        <v>0</v>
      </c>
      <c r="P498" t="n">
        <v>0</v>
      </c>
      <c r="Q498" t="n">
        <v>0</v>
      </c>
      <c r="R498" s="2" t="inlineStr"/>
    </row>
    <row r="499" ht="15" customHeight="1">
      <c r="A499" t="inlineStr">
        <is>
          <t>A 9504-2025</t>
        </is>
      </c>
      <c r="B499" s="1" t="n">
        <v>45714</v>
      </c>
      <c r="C499" s="1" t="n">
        <v>45890</v>
      </c>
      <c r="D499" t="inlineStr">
        <is>
          <t>JÄMTLANDS LÄN</t>
        </is>
      </c>
      <c r="E499" t="inlineStr">
        <is>
          <t>RAGUNDA</t>
        </is>
      </c>
      <c r="G499" t="n">
        <v>6</v>
      </c>
      <c r="H499" t="n">
        <v>0</v>
      </c>
      <c r="I499" t="n">
        <v>0</v>
      </c>
      <c r="J499" t="n">
        <v>0</v>
      </c>
      <c r="K499" t="n">
        <v>0</v>
      </c>
      <c r="L499" t="n">
        <v>0</v>
      </c>
      <c r="M499" t="n">
        <v>0</v>
      </c>
      <c r="N499" t="n">
        <v>0</v>
      </c>
      <c r="O499" t="n">
        <v>0</v>
      </c>
      <c r="P499" t="n">
        <v>0</v>
      </c>
      <c r="Q499" t="n">
        <v>0</v>
      </c>
      <c r="R499" s="2" t="inlineStr"/>
    </row>
    <row r="500" ht="15" customHeight="1">
      <c r="A500" t="inlineStr">
        <is>
          <t>A 53757-2024</t>
        </is>
      </c>
      <c r="B500" s="1" t="n">
        <v>45615.50034722222</v>
      </c>
      <c r="C500" s="1" t="n">
        <v>45890</v>
      </c>
      <c r="D500" t="inlineStr">
        <is>
          <t>JÄMTLANDS LÄN</t>
        </is>
      </c>
      <c r="E500" t="inlineStr">
        <is>
          <t>RAGUNDA</t>
        </is>
      </c>
      <c r="G500" t="n">
        <v>2</v>
      </c>
      <c r="H500" t="n">
        <v>0</v>
      </c>
      <c r="I500" t="n">
        <v>0</v>
      </c>
      <c r="J500" t="n">
        <v>0</v>
      </c>
      <c r="K500" t="n">
        <v>0</v>
      </c>
      <c r="L500" t="n">
        <v>0</v>
      </c>
      <c r="M500" t="n">
        <v>0</v>
      </c>
      <c r="N500" t="n">
        <v>0</v>
      </c>
      <c r="O500" t="n">
        <v>0</v>
      </c>
      <c r="P500" t="n">
        <v>0</v>
      </c>
      <c r="Q500" t="n">
        <v>0</v>
      </c>
      <c r="R500" s="2" t="inlineStr"/>
    </row>
    <row r="501" ht="15" customHeight="1">
      <c r="A501" t="inlineStr">
        <is>
          <t>A 25332-2023</t>
        </is>
      </c>
      <c r="B501" s="1" t="n">
        <v>45086.94010416666</v>
      </c>
      <c r="C501" s="1" t="n">
        <v>45890</v>
      </c>
      <c r="D501" t="inlineStr">
        <is>
          <t>JÄMTLANDS LÄN</t>
        </is>
      </c>
      <c r="E501" t="inlineStr">
        <is>
          <t>RAGUNDA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12475-2025</t>
        </is>
      </c>
      <c r="B502" s="1" t="n">
        <v>45730.56346064815</v>
      </c>
      <c r="C502" s="1" t="n">
        <v>45890</v>
      </c>
      <c r="D502" t="inlineStr">
        <is>
          <t>JÄMTLANDS LÄN</t>
        </is>
      </c>
      <c r="E502" t="inlineStr">
        <is>
          <t>RAGUNDA</t>
        </is>
      </c>
      <c r="F502" t="inlineStr">
        <is>
          <t>SCA</t>
        </is>
      </c>
      <c r="G502" t="n">
        <v>7.1</v>
      </c>
      <c r="H502" t="n">
        <v>0</v>
      </c>
      <c r="I502" t="n">
        <v>0</v>
      </c>
      <c r="J502" t="n">
        <v>0</v>
      </c>
      <c r="K502" t="n">
        <v>0</v>
      </c>
      <c r="L502" t="n">
        <v>0</v>
      </c>
      <c r="M502" t="n">
        <v>0</v>
      </c>
      <c r="N502" t="n">
        <v>0</v>
      </c>
      <c r="O502" t="n">
        <v>0</v>
      </c>
      <c r="P502" t="n">
        <v>0</v>
      </c>
      <c r="Q502" t="n">
        <v>0</v>
      </c>
      <c r="R502" s="2" t="inlineStr"/>
    </row>
    <row r="503" ht="15" customHeight="1">
      <c r="A503" t="inlineStr">
        <is>
          <t>A 29920-2024</t>
        </is>
      </c>
      <c r="B503" s="1" t="n">
        <v>45487.92856481481</v>
      </c>
      <c r="C503" s="1" t="n">
        <v>45890</v>
      </c>
      <c r="D503" t="inlineStr">
        <is>
          <t>JÄMTLANDS LÄN</t>
        </is>
      </c>
      <c r="E503" t="inlineStr">
        <is>
          <t>RAGUNDA</t>
        </is>
      </c>
      <c r="G503" t="n">
        <v>3.4</v>
      </c>
      <c r="H503" t="n">
        <v>0</v>
      </c>
      <c r="I503" t="n">
        <v>0</v>
      </c>
      <c r="J503" t="n">
        <v>0</v>
      </c>
      <c r="K503" t="n">
        <v>0</v>
      </c>
      <c r="L503" t="n">
        <v>0</v>
      </c>
      <c r="M503" t="n">
        <v>0</v>
      </c>
      <c r="N503" t="n">
        <v>0</v>
      </c>
      <c r="O503" t="n">
        <v>0</v>
      </c>
      <c r="P503" t="n">
        <v>0</v>
      </c>
      <c r="Q503" t="n">
        <v>0</v>
      </c>
      <c r="R503" s="2" t="inlineStr"/>
    </row>
    <row r="504" ht="15" customHeight="1">
      <c r="A504" t="inlineStr">
        <is>
          <t>A 32910-2024</t>
        </is>
      </c>
      <c r="B504" s="1" t="n">
        <v>45516.94934027778</v>
      </c>
      <c r="C504" s="1" t="n">
        <v>45890</v>
      </c>
      <c r="D504" t="inlineStr">
        <is>
          <t>JÄMTLANDS LÄN</t>
        </is>
      </c>
      <c r="E504" t="inlineStr">
        <is>
          <t>RAGUNDA</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14158-2024</t>
        </is>
      </c>
      <c r="B505" s="1" t="n">
        <v>45392</v>
      </c>
      <c r="C505" s="1" t="n">
        <v>45890</v>
      </c>
      <c r="D505" t="inlineStr">
        <is>
          <t>JÄMTLANDS LÄN</t>
        </is>
      </c>
      <c r="E505" t="inlineStr">
        <is>
          <t>RAGUNDA</t>
        </is>
      </c>
      <c r="G505" t="n">
        <v>0.7</v>
      </c>
      <c r="H505" t="n">
        <v>0</v>
      </c>
      <c r="I505" t="n">
        <v>0</v>
      </c>
      <c r="J505" t="n">
        <v>0</v>
      </c>
      <c r="K505" t="n">
        <v>0</v>
      </c>
      <c r="L505" t="n">
        <v>0</v>
      </c>
      <c r="M505" t="n">
        <v>0</v>
      </c>
      <c r="N505" t="n">
        <v>0</v>
      </c>
      <c r="O505" t="n">
        <v>0</v>
      </c>
      <c r="P505" t="n">
        <v>0</v>
      </c>
      <c r="Q505" t="n">
        <v>0</v>
      </c>
      <c r="R505" s="2" t="inlineStr"/>
    </row>
    <row r="506" ht="15" customHeight="1">
      <c r="A506" t="inlineStr">
        <is>
          <t>A 3767-2025</t>
        </is>
      </c>
      <c r="B506" s="1" t="n">
        <v>45681.60203703704</v>
      </c>
      <c r="C506" s="1" t="n">
        <v>45890</v>
      </c>
      <c r="D506" t="inlineStr">
        <is>
          <t>JÄMTLANDS LÄN</t>
        </is>
      </c>
      <c r="E506" t="inlineStr">
        <is>
          <t>RAGUNDA</t>
        </is>
      </c>
      <c r="G506" t="n">
        <v>4.9</v>
      </c>
      <c r="H506" t="n">
        <v>0</v>
      </c>
      <c r="I506" t="n">
        <v>0</v>
      </c>
      <c r="J506" t="n">
        <v>0</v>
      </c>
      <c r="K506" t="n">
        <v>0</v>
      </c>
      <c r="L506" t="n">
        <v>0</v>
      </c>
      <c r="M506" t="n">
        <v>0</v>
      </c>
      <c r="N506" t="n">
        <v>0</v>
      </c>
      <c r="O506" t="n">
        <v>0</v>
      </c>
      <c r="P506" t="n">
        <v>0</v>
      </c>
      <c r="Q506" t="n">
        <v>0</v>
      </c>
      <c r="R506" s="2" t="inlineStr"/>
    </row>
    <row r="507" ht="15" customHeight="1">
      <c r="A507" t="inlineStr">
        <is>
          <t>A 7280-2024</t>
        </is>
      </c>
      <c r="B507" s="1" t="n">
        <v>45344</v>
      </c>
      <c r="C507" s="1" t="n">
        <v>45890</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6716-2025</t>
        </is>
      </c>
      <c r="B508" s="1" t="n">
        <v>45700.57324074074</v>
      </c>
      <c r="C508" s="1" t="n">
        <v>45890</v>
      </c>
      <c r="D508" t="inlineStr">
        <is>
          <t>JÄMTLANDS LÄN</t>
        </is>
      </c>
      <c r="E508" t="inlineStr">
        <is>
          <t>RAGUNDA</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42508-2023</t>
        </is>
      </c>
      <c r="B509" s="1" t="n">
        <v>45180.95907407408</v>
      </c>
      <c r="C509" s="1" t="n">
        <v>45890</v>
      </c>
      <c r="D509" t="inlineStr">
        <is>
          <t>JÄMTLANDS LÄN</t>
        </is>
      </c>
      <c r="E509" t="inlineStr">
        <is>
          <t>RAGUNDA</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35274-2023</t>
        </is>
      </c>
      <c r="B510" s="1" t="n">
        <v>45145</v>
      </c>
      <c r="C510" s="1" t="n">
        <v>45890</v>
      </c>
      <c r="D510" t="inlineStr">
        <is>
          <t>JÄMTLANDS LÄN</t>
        </is>
      </c>
      <c r="E510" t="inlineStr">
        <is>
          <t>RAGUNDA</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44778-2024</t>
        </is>
      </c>
      <c r="B511" s="1" t="n">
        <v>45574.63355324074</v>
      </c>
      <c r="C511" s="1" t="n">
        <v>45890</v>
      </c>
      <c r="D511" t="inlineStr">
        <is>
          <t>JÄMTLANDS LÄN</t>
        </is>
      </c>
      <c r="E511" t="inlineStr">
        <is>
          <t>RAGUNDA</t>
        </is>
      </c>
      <c r="G511" t="n">
        <v>5.5</v>
      </c>
      <c r="H511" t="n">
        <v>0</v>
      </c>
      <c r="I511" t="n">
        <v>0</v>
      </c>
      <c r="J511" t="n">
        <v>0</v>
      </c>
      <c r="K511" t="n">
        <v>0</v>
      </c>
      <c r="L511" t="n">
        <v>0</v>
      </c>
      <c r="M511" t="n">
        <v>0</v>
      </c>
      <c r="N511" t="n">
        <v>0</v>
      </c>
      <c r="O511" t="n">
        <v>0</v>
      </c>
      <c r="P511" t="n">
        <v>0</v>
      </c>
      <c r="Q511" t="n">
        <v>0</v>
      </c>
      <c r="R511" s="2" t="inlineStr"/>
    </row>
    <row r="512" ht="15" customHeight="1">
      <c r="A512" t="inlineStr">
        <is>
          <t>A 19866-2023</t>
        </is>
      </c>
      <c r="B512" s="1" t="n">
        <v>45053.94313657407</v>
      </c>
      <c r="C512" s="1" t="n">
        <v>45890</v>
      </c>
      <c r="D512" t="inlineStr">
        <is>
          <t>JÄMTLANDS LÄN</t>
        </is>
      </c>
      <c r="E512" t="inlineStr">
        <is>
          <t>RAGUNDA</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2673-2024</t>
        </is>
      </c>
      <c r="B513" s="1" t="n">
        <v>45314</v>
      </c>
      <c r="C513" s="1" t="n">
        <v>45890</v>
      </c>
      <c r="D513" t="inlineStr">
        <is>
          <t>JÄMTLANDS LÄN</t>
        </is>
      </c>
      <c r="E513" t="inlineStr">
        <is>
          <t>RAGUNDA</t>
        </is>
      </c>
      <c r="G513" t="n">
        <v>0.9</v>
      </c>
      <c r="H513" t="n">
        <v>0</v>
      </c>
      <c r="I513" t="n">
        <v>0</v>
      </c>
      <c r="J513" t="n">
        <v>0</v>
      </c>
      <c r="K513" t="n">
        <v>0</v>
      </c>
      <c r="L513" t="n">
        <v>0</v>
      </c>
      <c r="M513" t="n">
        <v>0</v>
      </c>
      <c r="N513" t="n">
        <v>0</v>
      </c>
      <c r="O513" t="n">
        <v>0</v>
      </c>
      <c r="P513" t="n">
        <v>0</v>
      </c>
      <c r="Q513" t="n">
        <v>0</v>
      </c>
      <c r="R513" s="2" t="inlineStr"/>
    </row>
    <row r="514" ht="15" customHeight="1">
      <c r="A514" t="inlineStr">
        <is>
          <t>A 64492-2023</t>
        </is>
      </c>
      <c r="B514" s="1" t="n">
        <v>45280.92645833334</v>
      </c>
      <c r="C514" s="1" t="n">
        <v>45890</v>
      </c>
      <c r="D514" t="inlineStr">
        <is>
          <t>JÄMTLANDS LÄN</t>
        </is>
      </c>
      <c r="E514" t="inlineStr">
        <is>
          <t>RAGUNDA</t>
        </is>
      </c>
      <c r="G514" t="n">
        <v>0.6</v>
      </c>
      <c r="H514" t="n">
        <v>0</v>
      </c>
      <c r="I514" t="n">
        <v>0</v>
      </c>
      <c r="J514" t="n">
        <v>0</v>
      </c>
      <c r="K514" t="n">
        <v>0</v>
      </c>
      <c r="L514" t="n">
        <v>0</v>
      </c>
      <c r="M514" t="n">
        <v>0</v>
      </c>
      <c r="N514" t="n">
        <v>0</v>
      </c>
      <c r="O514" t="n">
        <v>0</v>
      </c>
      <c r="P514" t="n">
        <v>0</v>
      </c>
      <c r="Q514" t="n">
        <v>0</v>
      </c>
      <c r="R514" s="2" t="inlineStr"/>
    </row>
    <row r="515" ht="15" customHeight="1">
      <c r="A515" t="inlineStr">
        <is>
          <t>A 21853-2024</t>
        </is>
      </c>
      <c r="B515" s="1" t="n">
        <v>45442.96296296296</v>
      </c>
      <c r="C515" s="1" t="n">
        <v>45890</v>
      </c>
      <c r="D515" t="inlineStr">
        <is>
          <t>JÄMTLANDS LÄN</t>
        </is>
      </c>
      <c r="E515" t="inlineStr">
        <is>
          <t>RAGUNDA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8241-2024</t>
        </is>
      </c>
      <c r="B516" s="1" t="n">
        <v>45351.98496527778</v>
      </c>
      <c r="C516" s="1" t="n">
        <v>45890</v>
      </c>
      <c r="D516" t="inlineStr">
        <is>
          <t>JÄMTLANDS LÄN</t>
        </is>
      </c>
      <c r="E516" t="inlineStr">
        <is>
          <t>RAGUNDA</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40365-2024</t>
        </is>
      </c>
      <c r="B517" s="1" t="n">
        <v>45555.38509259259</v>
      </c>
      <c r="C517" s="1" t="n">
        <v>45890</v>
      </c>
      <c r="D517" t="inlineStr">
        <is>
          <t>JÄMTLANDS LÄN</t>
        </is>
      </c>
      <c r="E517" t="inlineStr">
        <is>
          <t>RAGUNDA</t>
        </is>
      </c>
      <c r="G517" t="n">
        <v>7.8</v>
      </c>
      <c r="H517" t="n">
        <v>0</v>
      </c>
      <c r="I517" t="n">
        <v>0</v>
      </c>
      <c r="J517" t="n">
        <v>0</v>
      </c>
      <c r="K517" t="n">
        <v>0</v>
      </c>
      <c r="L517" t="n">
        <v>0</v>
      </c>
      <c r="M517" t="n">
        <v>0</v>
      </c>
      <c r="N517" t="n">
        <v>0</v>
      </c>
      <c r="O517" t="n">
        <v>0</v>
      </c>
      <c r="P517" t="n">
        <v>0</v>
      </c>
      <c r="Q517" t="n">
        <v>0</v>
      </c>
      <c r="R517" s="2" t="inlineStr"/>
    </row>
    <row r="518" ht="15" customHeight="1">
      <c r="A518" t="inlineStr">
        <is>
          <t>A 20770-2024</t>
        </is>
      </c>
      <c r="B518" s="1" t="n">
        <v>45436.94613425926</v>
      </c>
      <c r="C518" s="1" t="n">
        <v>45890</v>
      </c>
      <c r="D518" t="inlineStr">
        <is>
          <t>JÄMTLANDS LÄN</t>
        </is>
      </c>
      <c r="E518" t="inlineStr">
        <is>
          <t>RAGUNDA</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14368-2024</t>
        </is>
      </c>
      <c r="B519" s="1" t="n">
        <v>45393.94431712963</v>
      </c>
      <c r="C519" s="1" t="n">
        <v>45890</v>
      </c>
      <c r="D519" t="inlineStr">
        <is>
          <t>JÄMTLANDS LÄN</t>
        </is>
      </c>
      <c r="E519" t="inlineStr">
        <is>
          <t>RAGUNDA</t>
        </is>
      </c>
      <c r="F519" t="inlineStr">
        <is>
          <t>Naturvårdsverket</t>
        </is>
      </c>
      <c r="G519" t="n">
        <v>1.6</v>
      </c>
      <c r="H519" t="n">
        <v>0</v>
      </c>
      <c r="I519" t="n">
        <v>0</v>
      </c>
      <c r="J519" t="n">
        <v>0</v>
      </c>
      <c r="K519" t="n">
        <v>0</v>
      </c>
      <c r="L519" t="n">
        <v>0</v>
      </c>
      <c r="M519" t="n">
        <v>0</v>
      </c>
      <c r="N519" t="n">
        <v>0</v>
      </c>
      <c r="O519" t="n">
        <v>0</v>
      </c>
      <c r="P519" t="n">
        <v>0</v>
      </c>
      <c r="Q519" t="n">
        <v>0</v>
      </c>
      <c r="R519" s="2" t="inlineStr"/>
    </row>
    <row r="520" ht="15" customHeight="1">
      <c r="A520" t="inlineStr">
        <is>
          <t>A 12983-2025</t>
        </is>
      </c>
      <c r="B520" s="1" t="n">
        <v>45734.4633912037</v>
      </c>
      <c r="C520" s="1" t="n">
        <v>45890</v>
      </c>
      <c r="D520" t="inlineStr">
        <is>
          <t>JÄMTLANDS LÄN</t>
        </is>
      </c>
      <c r="E520" t="inlineStr">
        <is>
          <t>RAGUNDA</t>
        </is>
      </c>
      <c r="G520" t="n">
        <v>5.2</v>
      </c>
      <c r="H520" t="n">
        <v>0</v>
      </c>
      <c r="I520" t="n">
        <v>0</v>
      </c>
      <c r="J520" t="n">
        <v>0</v>
      </c>
      <c r="K520" t="n">
        <v>0</v>
      </c>
      <c r="L520" t="n">
        <v>0</v>
      </c>
      <c r="M520" t="n">
        <v>0</v>
      </c>
      <c r="N520" t="n">
        <v>0</v>
      </c>
      <c r="O520" t="n">
        <v>0</v>
      </c>
      <c r="P520" t="n">
        <v>0</v>
      </c>
      <c r="Q520" t="n">
        <v>0</v>
      </c>
      <c r="R520" s="2" t="inlineStr"/>
    </row>
    <row r="521" ht="15" customHeight="1">
      <c r="A521" t="inlineStr">
        <is>
          <t>A 17598-2021</t>
        </is>
      </c>
      <c r="B521" s="1" t="n">
        <v>44299</v>
      </c>
      <c r="C521" s="1" t="n">
        <v>45890</v>
      </c>
      <c r="D521" t="inlineStr">
        <is>
          <t>JÄMTLANDS LÄN</t>
        </is>
      </c>
      <c r="E521" t="inlineStr">
        <is>
          <t>RAGUNDA</t>
        </is>
      </c>
      <c r="G521" t="n">
        <v>4.6</v>
      </c>
      <c r="H521" t="n">
        <v>0</v>
      </c>
      <c r="I521" t="n">
        <v>0</v>
      </c>
      <c r="J521" t="n">
        <v>0</v>
      </c>
      <c r="K521" t="n">
        <v>0</v>
      </c>
      <c r="L521" t="n">
        <v>0</v>
      </c>
      <c r="M521" t="n">
        <v>0</v>
      </c>
      <c r="N521" t="n">
        <v>0</v>
      </c>
      <c r="O521" t="n">
        <v>0</v>
      </c>
      <c r="P521" t="n">
        <v>0</v>
      </c>
      <c r="Q521" t="n">
        <v>0</v>
      </c>
      <c r="R521" s="2" t="inlineStr"/>
    </row>
    <row r="522" ht="15" customHeight="1">
      <c r="A522" t="inlineStr">
        <is>
          <t>A 7281-2024</t>
        </is>
      </c>
      <c r="B522" s="1" t="n">
        <v>45344</v>
      </c>
      <c r="C522" s="1" t="n">
        <v>45890</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7284-2024</t>
        </is>
      </c>
      <c r="B523" s="1" t="n">
        <v>45344.92865740741</v>
      </c>
      <c r="C523" s="1" t="n">
        <v>45890</v>
      </c>
      <c r="D523" t="inlineStr">
        <is>
          <t>JÄMTLANDS LÄN</t>
        </is>
      </c>
      <c r="E523" t="inlineStr">
        <is>
          <t>RAGUNDA</t>
        </is>
      </c>
      <c r="G523" t="n">
        <v>2.1</v>
      </c>
      <c r="H523" t="n">
        <v>0</v>
      </c>
      <c r="I523" t="n">
        <v>0</v>
      </c>
      <c r="J523" t="n">
        <v>0</v>
      </c>
      <c r="K523" t="n">
        <v>0</v>
      </c>
      <c r="L523" t="n">
        <v>0</v>
      </c>
      <c r="M523" t="n">
        <v>0</v>
      </c>
      <c r="N523" t="n">
        <v>0</v>
      </c>
      <c r="O523" t="n">
        <v>0</v>
      </c>
      <c r="P523" t="n">
        <v>0</v>
      </c>
      <c r="Q523" t="n">
        <v>0</v>
      </c>
      <c r="R523" s="2" t="inlineStr"/>
    </row>
    <row r="524" ht="15" customHeight="1">
      <c r="A524" t="inlineStr">
        <is>
          <t>A 7285-2024</t>
        </is>
      </c>
      <c r="B524" s="1" t="n">
        <v>45344.92873842592</v>
      </c>
      <c r="C524" s="1" t="n">
        <v>45890</v>
      </c>
      <c r="D524" t="inlineStr">
        <is>
          <t>JÄMTLANDS LÄN</t>
        </is>
      </c>
      <c r="E524" t="inlineStr">
        <is>
          <t>RAGUNDA</t>
        </is>
      </c>
      <c r="G524" t="n">
        <v>0.5</v>
      </c>
      <c r="H524" t="n">
        <v>0</v>
      </c>
      <c r="I524" t="n">
        <v>0</v>
      </c>
      <c r="J524" t="n">
        <v>0</v>
      </c>
      <c r="K524" t="n">
        <v>0</v>
      </c>
      <c r="L524" t="n">
        <v>0</v>
      </c>
      <c r="M524" t="n">
        <v>0</v>
      </c>
      <c r="N524" t="n">
        <v>0</v>
      </c>
      <c r="O524" t="n">
        <v>0</v>
      </c>
      <c r="P524" t="n">
        <v>0</v>
      </c>
      <c r="Q524" t="n">
        <v>0</v>
      </c>
      <c r="R524" s="2" t="inlineStr"/>
    </row>
    <row r="525" ht="15" customHeight="1">
      <c r="A525" t="inlineStr">
        <is>
          <t>A 19438-2023</t>
        </is>
      </c>
      <c r="B525" s="1" t="n">
        <v>45049</v>
      </c>
      <c r="C525" s="1" t="n">
        <v>45890</v>
      </c>
      <c r="D525" t="inlineStr">
        <is>
          <t>JÄMTLANDS LÄN</t>
        </is>
      </c>
      <c r="E525" t="inlineStr">
        <is>
          <t>RAGUNDA</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3938-2024</t>
        </is>
      </c>
      <c r="B526" s="1" t="n">
        <v>45322</v>
      </c>
      <c r="C526" s="1" t="n">
        <v>45890</v>
      </c>
      <c r="D526" t="inlineStr">
        <is>
          <t>JÄMTLANDS LÄN</t>
        </is>
      </c>
      <c r="E526" t="inlineStr">
        <is>
          <t>RAGUNDA</t>
        </is>
      </c>
      <c r="G526" t="n">
        <v>3.2</v>
      </c>
      <c r="H526" t="n">
        <v>0</v>
      </c>
      <c r="I526" t="n">
        <v>0</v>
      </c>
      <c r="J526" t="n">
        <v>0</v>
      </c>
      <c r="K526" t="n">
        <v>0</v>
      </c>
      <c r="L526" t="n">
        <v>0</v>
      </c>
      <c r="M526" t="n">
        <v>0</v>
      </c>
      <c r="N526" t="n">
        <v>0</v>
      </c>
      <c r="O526" t="n">
        <v>0</v>
      </c>
      <c r="P526" t="n">
        <v>0</v>
      </c>
      <c r="Q526" t="n">
        <v>0</v>
      </c>
      <c r="R526" s="2" t="inlineStr"/>
    </row>
    <row r="527" ht="15" customHeight="1">
      <c r="A527" t="inlineStr">
        <is>
          <t>A 12783-2023</t>
        </is>
      </c>
      <c r="B527" s="1" t="n">
        <v>45000</v>
      </c>
      <c r="C527" s="1" t="n">
        <v>45890</v>
      </c>
      <c r="D527" t="inlineStr">
        <is>
          <t>JÄMTLANDS LÄN</t>
        </is>
      </c>
      <c r="E527" t="inlineStr">
        <is>
          <t>RAGUNDA</t>
        </is>
      </c>
      <c r="G527" t="n">
        <v>0.9</v>
      </c>
      <c r="H527" t="n">
        <v>0</v>
      </c>
      <c r="I527" t="n">
        <v>0</v>
      </c>
      <c r="J527" t="n">
        <v>0</v>
      </c>
      <c r="K527" t="n">
        <v>0</v>
      </c>
      <c r="L527" t="n">
        <v>0</v>
      </c>
      <c r="M527" t="n">
        <v>0</v>
      </c>
      <c r="N527" t="n">
        <v>0</v>
      </c>
      <c r="O527" t="n">
        <v>0</v>
      </c>
      <c r="P527" t="n">
        <v>0</v>
      </c>
      <c r="Q527" t="n">
        <v>0</v>
      </c>
      <c r="R527" s="2" t="inlineStr"/>
    </row>
    <row r="528" ht="15" customHeight="1">
      <c r="A528" t="inlineStr">
        <is>
          <t>A 53347-2023</t>
        </is>
      </c>
      <c r="B528" s="1" t="n">
        <v>45223</v>
      </c>
      <c r="C528" s="1" t="n">
        <v>45890</v>
      </c>
      <c r="D528" t="inlineStr">
        <is>
          <t>JÄMTLANDS LÄN</t>
        </is>
      </c>
      <c r="E528" t="inlineStr">
        <is>
          <t>RAGUNDA</t>
        </is>
      </c>
      <c r="G528" t="n">
        <v>1.6</v>
      </c>
      <c r="H528" t="n">
        <v>0</v>
      </c>
      <c r="I528" t="n">
        <v>0</v>
      </c>
      <c r="J528" t="n">
        <v>0</v>
      </c>
      <c r="K528" t="n">
        <v>0</v>
      </c>
      <c r="L528" t="n">
        <v>0</v>
      </c>
      <c r="M528" t="n">
        <v>0</v>
      </c>
      <c r="N528" t="n">
        <v>0</v>
      </c>
      <c r="O528" t="n">
        <v>0</v>
      </c>
      <c r="P528" t="n">
        <v>0</v>
      </c>
      <c r="Q528" t="n">
        <v>0</v>
      </c>
      <c r="R528" s="2" t="inlineStr"/>
    </row>
    <row r="529" ht="15" customHeight="1">
      <c r="A529" t="inlineStr">
        <is>
          <t>A 53171-2024</t>
        </is>
      </c>
      <c r="B529" s="1" t="n">
        <v>45611.65679398148</v>
      </c>
      <c r="C529" s="1" t="n">
        <v>45890</v>
      </c>
      <c r="D529" t="inlineStr">
        <is>
          <t>JÄMTLANDS LÄN</t>
        </is>
      </c>
      <c r="E529" t="inlineStr">
        <is>
          <t>RAGUNDA</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7279-2024</t>
        </is>
      </c>
      <c r="B530" s="1" t="n">
        <v>45344.92822916667</v>
      </c>
      <c r="C530" s="1" t="n">
        <v>45890</v>
      </c>
      <c r="D530" t="inlineStr">
        <is>
          <t>JÄMTLANDS LÄN</t>
        </is>
      </c>
      <c r="E530" t="inlineStr">
        <is>
          <t>RAGUNDA</t>
        </is>
      </c>
      <c r="G530" t="n">
        <v>2.1</v>
      </c>
      <c r="H530" t="n">
        <v>0</v>
      </c>
      <c r="I530" t="n">
        <v>0</v>
      </c>
      <c r="J530" t="n">
        <v>0</v>
      </c>
      <c r="K530" t="n">
        <v>0</v>
      </c>
      <c r="L530" t="n">
        <v>0</v>
      </c>
      <c r="M530" t="n">
        <v>0</v>
      </c>
      <c r="N530" t="n">
        <v>0</v>
      </c>
      <c r="O530" t="n">
        <v>0</v>
      </c>
      <c r="P530" t="n">
        <v>0</v>
      </c>
      <c r="Q530" t="n">
        <v>0</v>
      </c>
      <c r="R530" s="2" t="inlineStr"/>
    </row>
    <row r="531" ht="15" customHeight="1">
      <c r="A531" t="inlineStr">
        <is>
          <t>A 60838-2023</t>
        </is>
      </c>
      <c r="B531" s="1" t="n">
        <v>45260.92561342593</v>
      </c>
      <c r="C531" s="1" t="n">
        <v>45890</v>
      </c>
      <c r="D531" t="inlineStr">
        <is>
          <t>JÄMTLANDS LÄN</t>
        </is>
      </c>
      <c r="E531" t="inlineStr">
        <is>
          <t>RAGUNDA</t>
        </is>
      </c>
      <c r="G531" t="n">
        <v>2.7</v>
      </c>
      <c r="H531" t="n">
        <v>0</v>
      </c>
      <c r="I531" t="n">
        <v>0</v>
      </c>
      <c r="J531" t="n">
        <v>0</v>
      </c>
      <c r="K531" t="n">
        <v>0</v>
      </c>
      <c r="L531" t="n">
        <v>0</v>
      </c>
      <c r="M531" t="n">
        <v>0</v>
      </c>
      <c r="N531" t="n">
        <v>0</v>
      </c>
      <c r="O531" t="n">
        <v>0</v>
      </c>
      <c r="P531" t="n">
        <v>0</v>
      </c>
      <c r="Q531" t="n">
        <v>0</v>
      </c>
      <c r="R531" s="2" t="inlineStr"/>
    </row>
    <row r="532" ht="15" customHeight="1">
      <c r="A532" t="inlineStr">
        <is>
          <t>A 53144-2024</t>
        </is>
      </c>
      <c r="B532" s="1" t="n">
        <v>45611</v>
      </c>
      <c r="C532" s="1" t="n">
        <v>45890</v>
      </c>
      <c r="D532" t="inlineStr">
        <is>
          <t>JÄMTLANDS LÄN</t>
        </is>
      </c>
      <c r="E532" t="inlineStr">
        <is>
          <t>RAGUNDA</t>
        </is>
      </c>
      <c r="F532" t="inlineStr">
        <is>
          <t>SCA</t>
        </is>
      </c>
      <c r="G532" t="n">
        <v>5.4</v>
      </c>
      <c r="H532" t="n">
        <v>0</v>
      </c>
      <c r="I532" t="n">
        <v>0</v>
      </c>
      <c r="J532" t="n">
        <v>0</v>
      </c>
      <c r="K532" t="n">
        <v>0</v>
      </c>
      <c r="L532" t="n">
        <v>0</v>
      </c>
      <c r="M532" t="n">
        <v>0</v>
      </c>
      <c r="N532" t="n">
        <v>0</v>
      </c>
      <c r="O532" t="n">
        <v>0</v>
      </c>
      <c r="P532" t="n">
        <v>0</v>
      </c>
      <c r="Q532" t="n">
        <v>0</v>
      </c>
      <c r="R532" s="2" t="inlineStr"/>
    </row>
    <row r="533" ht="15" customHeight="1">
      <c r="A533" t="inlineStr">
        <is>
          <t>A 33432-2023</t>
        </is>
      </c>
      <c r="B533" s="1" t="n">
        <v>45128</v>
      </c>
      <c r="C533" s="1" t="n">
        <v>45890</v>
      </c>
      <c r="D533" t="inlineStr">
        <is>
          <t>JÄMTLANDS LÄN</t>
        </is>
      </c>
      <c r="E533" t="inlineStr">
        <is>
          <t>RAGUNDA</t>
        </is>
      </c>
      <c r="F533" t="inlineStr">
        <is>
          <t>SCA</t>
        </is>
      </c>
      <c r="G533" t="n">
        <v>10</v>
      </c>
      <c r="H533" t="n">
        <v>0</v>
      </c>
      <c r="I533" t="n">
        <v>0</v>
      </c>
      <c r="J533" t="n">
        <v>0</v>
      </c>
      <c r="K533" t="n">
        <v>0</v>
      </c>
      <c r="L533" t="n">
        <v>0</v>
      </c>
      <c r="M533" t="n">
        <v>0</v>
      </c>
      <c r="N533" t="n">
        <v>0</v>
      </c>
      <c r="O533" t="n">
        <v>0</v>
      </c>
      <c r="P533" t="n">
        <v>0</v>
      </c>
      <c r="Q533" t="n">
        <v>0</v>
      </c>
      <c r="R533" s="2" t="inlineStr"/>
    </row>
    <row r="534" ht="15" customHeight="1">
      <c r="A534" t="inlineStr">
        <is>
          <t>A 54599-2023</t>
        </is>
      </c>
      <c r="B534" s="1" t="n">
        <v>45233.92591435185</v>
      </c>
      <c r="C534" s="1" t="n">
        <v>45890</v>
      </c>
      <c r="D534" t="inlineStr">
        <is>
          <t>JÄMTLANDS LÄN</t>
        </is>
      </c>
      <c r="E534" t="inlineStr">
        <is>
          <t>RAGUNDA</t>
        </is>
      </c>
      <c r="G534" t="n">
        <v>3.7</v>
      </c>
      <c r="H534" t="n">
        <v>0</v>
      </c>
      <c r="I534" t="n">
        <v>0</v>
      </c>
      <c r="J534" t="n">
        <v>0</v>
      </c>
      <c r="K534" t="n">
        <v>0</v>
      </c>
      <c r="L534" t="n">
        <v>0</v>
      </c>
      <c r="M534" t="n">
        <v>0</v>
      </c>
      <c r="N534" t="n">
        <v>0</v>
      </c>
      <c r="O534" t="n">
        <v>0</v>
      </c>
      <c r="P534" t="n">
        <v>0</v>
      </c>
      <c r="Q534" t="n">
        <v>0</v>
      </c>
      <c r="R534" s="2" t="inlineStr"/>
    </row>
    <row r="535" ht="15" customHeight="1">
      <c r="A535" t="inlineStr">
        <is>
          <t>A 9548-2025</t>
        </is>
      </c>
      <c r="B535" s="1" t="n">
        <v>45715.59405092592</v>
      </c>
      <c r="C535" s="1" t="n">
        <v>45890</v>
      </c>
      <c r="D535" t="inlineStr">
        <is>
          <t>JÄMTLANDS LÄN</t>
        </is>
      </c>
      <c r="E535" t="inlineStr">
        <is>
          <t>RAGUNDA</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53989-2024</t>
        </is>
      </c>
      <c r="B536" s="1" t="n">
        <v>45616.34479166667</v>
      </c>
      <c r="C536" s="1" t="n">
        <v>45890</v>
      </c>
      <c r="D536" t="inlineStr">
        <is>
          <t>JÄMTLANDS LÄN</t>
        </is>
      </c>
      <c r="E536" t="inlineStr">
        <is>
          <t>RAGUNDA</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22311-2024</t>
        </is>
      </c>
      <c r="B537" s="1" t="n">
        <v>45446.57052083333</v>
      </c>
      <c r="C537" s="1" t="n">
        <v>45890</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12660-2024</t>
        </is>
      </c>
      <c r="B538" s="1" t="n">
        <v>45384</v>
      </c>
      <c r="C538" s="1" t="n">
        <v>45890</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15581-2024</t>
        </is>
      </c>
      <c r="B539" s="1" t="n">
        <v>45401</v>
      </c>
      <c r="C539" s="1" t="n">
        <v>45890</v>
      </c>
      <c r="D539" t="inlineStr">
        <is>
          <t>JÄMTLANDS LÄN</t>
        </is>
      </c>
      <c r="E539" t="inlineStr">
        <is>
          <t>RAGUNDA</t>
        </is>
      </c>
      <c r="F539" t="inlineStr">
        <is>
          <t>Kommuner</t>
        </is>
      </c>
      <c r="G539" t="n">
        <v>2.2</v>
      </c>
      <c r="H539" t="n">
        <v>0</v>
      </c>
      <c r="I539" t="n">
        <v>0</v>
      </c>
      <c r="J539" t="n">
        <v>0</v>
      </c>
      <c r="K539" t="n">
        <v>0</v>
      </c>
      <c r="L539" t="n">
        <v>0</v>
      </c>
      <c r="M539" t="n">
        <v>0</v>
      </c>
      <c r="N539" t="n">
        <v>0</v>
      </c>
      <c r="O539" t="n">
        <v>0</v>
      </c>
      <c r="P539" t="n">
        <v>0</v>
      </c>
      <c r="Q539" t="n">
        <v>0</v>
      </c>
      <c r="R539" s="2" t="inlineStr"/>
    </row>
    <row r="540" ht="15" customHeight="1">
      <c r="A540" t="inlineStr">
        <is>
          <t>A 15611-2024</t>
        </is>
      </c>
      <c r="B540" s="1" t="n">
        <v>45401</v>
      </c>
      <c r="C540" s="1" t="n">
        <v>45890</v>
      </c>
      <c r="D540" t="inlineStr">
        <is>
          <t>JÄMTLANDS LÄN</t>
        </is>
      </c>
      <c r="E540" t="inlineStr">
        <is>
          <t>RAGUNDA</t>
        </is>
      </c>
      <c r="F540" t="inlineStr">
        <is>
          <t>SCA</t>
        </is>
      </c>
      <c r="G540" t="n">
        <v>10.3</v>
      </c>
      <c r="H540" t="n">
        <v>0</v>
      </c>
      <c r="I540" t="n">
        <v>0</v>
      </c>
      <c r="J540" t="n">
        <v>0</v>
      </c>
      <c r="K540" t="n">
        <v>0</v>
      </c>
      <c r="L540" t="n">
        <v>0</v>
      </c>
      <c r="M540" t="n">
        <v>0</v>
      </c>
      <c r="N540" t="n">
        <v>0</v>
      </c>
      <c r="O540" t="n">
        <v>0</v>
      </c>
      <c r="P540" t="n">
        <v>0</v>
      </c>
      <c r="Q540" t="n">
        <v>0</v>
      </c>
      <c r="R540" s="2" t="inlineStr"/>
    </row>
    <row r="541" ht="15" customHeight="1">
      <c r="A541" t="inlineStr">
        <is>
          <t>A 55649-2023</t>
        </is>
      </c>
      <c r="B541" s="1" t="n">
        <v>45238</v>
      </c>
      <c r="C541" s="1" t="n">
        <v>45890</v>
      </c>
      <c r="D541" t="inlineStr">
        <is>
          <t>JÄMTLANDS LÄN</t>
        </is>
      </c>
      <c r="E541" t="inlineStr">
        <is>
          <t>RAGUNDA</t>
        </is>
      </c>
      <c r="F541" t="inlineStr">
        <is>
          <t>SCA</t>
        </is>
      </c>
      <c r="G541" t="n">
        <v>6</v>
      </c>
      <c r="H541" t="n">
        <v>0</v>
      </c>
      <c r="I541" t="n">
        <v>0</v>
      </c>
      <c r="J541" t="n">
        <v>0</v>
      </c>
      <c r="K541" t="n">
        <v>0</v>
      </c>
      <c r="L541" t="n">
        <v>0</v>
      </c>
      <c r="M541" t="n">
        <v>0</v>
      </c>
      <c r="N541" t="n">
        <v>0</v>
      </c>
      <c r="O541" t="n">
        <v>0</v>
      </c>
      <c r="P541" t="n">
        <v>0</v>
      </c>
      <c r="Q541" t="n">
        <v>0</v>
      </c>
      <c r="R541" s="2" t="inlineStr"/>
    </row>
    <row r="542" ht="15" customHeight="1">
      <c r="A542" t="inlineStr">
        <is>
          <t>A 23528-2024</t>
        </is>
      </c>
      <c r="B542" s="1" t="n">
        <v>45453.95016203704</v>
      </c>
      <c r="C542" s="1" t="n">
        <v>45890</v>
      </c>
      <c r="D542" t="inlineStr">
        <is>
          <t>JÄMTLANDS LÄN</t>
        </is>
      </c>
      <c r="E542" t="inlineStr">
        <is>
          <t>RAGUNDA</t>
        </is>
      </c>
      <c r="F542" t="inlineStr">
        <is>
          <t>SCA</t>
        </is>
      </c>
      <c r="G542" t="n">
        <v>4.7</v>
      </c>
      <c r="H542" t="n">
        <v>0</v>
      </c>
      <c r="I542" t="n">
        <v>0</v>
      </c>
      <c r="J542" t="n">
        <v>0</v>
      </c>
      <c r="K542" t="n">
        <v>0</v>
      </c>
      <c r="L542" t="n">
        <v>0</v>
      </c>
      <c r="M542" t="n">
        <v>0</v>
      </c>
      <c r="N542" t="n">
        <v>0</v>
      </c>
      <c r="O542" t="n">
        <v>0</v>
      </c>
      <c r="P542" t="n">
        <v>0</v>
      </c>
      <c r="Q542" t="n">
        <v>0</v>
      </c>
      <c r="R542" s="2" t="inlineStr"/>
    </row>
    <row r="543" ht="15" customHeight="1">
      <c r="A543" t="inlineStr">
        <is>
          <t>A 52345-2024</t>
        </is>
      </c>
      <c r="B543" s="1" t="n">
        <v>45609.34412037037</v>
      </c>
      <c r="C543" s="1" t="n">
        <v>45890</v>
      </c>
      <c r="D543" t="inlineStr">
        <is>
          <t>JÄMTLANDS LÄN</t>
        </is>
      </c>
      <c r="E543" t="inlineStr">
        <is>
          <t>RAGUNDA</t>
        </is>
      </c>
      <c r="F543" t="inlineStr">
        <is>
          <t>SCA</t>
        </is>
      </c>
      <c r="G543" t="n">
        <v>10.3</v>
      </c>
      <c r="H543" t="n">
        <v>0</v>
      </c>
      <c r="I543" t="n">
        <v>0</v>
      </c>
      <c r="J543" t="n">
        <v>0</v>
      </c>
      <c r="K543" t="n">
        <v>0</v>
      </c>
      <c r="L543" t="n">
        <v>0</v>
      </c>
      <c r="M543" t="n">
        <v>0</v>
      </c>
      <c r="N543" t="n">
        <v>0</v>
      </c>
      <c r="O543" t="n">
        <v>0</v>
      </c>
      <c r="P543" t="n">
        <v>0</v>
      </c>
      <c r="Q543" t="n">
        <v>0</v>
      </c>
      <c r="R543" s="2" t="inlineStr"/>
    </row>
    <row r="544" ht="15" customHeight="1">
      <c r="A544" t="inlineStr">
        <is>
          <t>A 4594-2024</t>
        </is>
      </c>
      <c r="B544" s="1" t="n">
        <v>45327.94459490741</v>
      </c>
      <c r="C544" s="1" t="n">
        <v>45890</v>
      </c>
      <c r="D544" t="inlineStr">
        <is>
          <t>JÄMTLANDS LÄN</t>
        </is>
      </c>
      <c r="E544" t="inlineStr">
        <is>
          <t>RAGUNDA</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30824-2023</t>
        </is>
      </c>
      <c r="B545" s="1" t="n">
        <v>45112.94303240741</v>
      </c>
      <c r="C545" s="1" t="n">
        <v>45890</v>
      </c>
      <c r="D545" t="inlineStr">
        <is>
          <t>JÄMTLANDS LÄN</t>
        </is>
      </c>
      <c r="E545" t="inlineStr">
        <is>
          <t>RAGUNDA</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12521-2023</t>
        </is>
      </c>
      <c r="B546" s="1" t="n">
        <v>45000</v>
      </c>
      <c r="C546" s="1" t="n">
        <v>45890</v>
      </c>
      <c r="D546" t="inlineStr">
        <is>
          <t>JÄMTLANDS LÄN</t>
        </is>
      </c>
      <c r="E546" t="inlineStr">
        <is>
          <t>RAGUNDA</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19403-2025</t>
        </is>
      </c>
      <c r="B547" s="1" t="n">
        <v>45769.67790509259</v>
      </c>
      <c r="C547" s="1" t="n">
        <v>45890</v>
      </c>
      <c r="D547" t="inlineStr">
        <is>
          <t>JÄMTLANDS LÄN</t>
        </is>
      </c>
      <c r="E547" t="inlineStr">
        <is>
          <t>RAGUNDA</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16635-2025</t>
        </is>
      </c>
      <c r="B548" s="1" t="n">
        <v>45754</v>
      </c>
      <c r="C548" s="1" t="n">
        <v>45890</v>
      </c>
      <c r="D548" t="inlineStr">
        <is>
          <t>JÄMTLANDS LÄN</t>
        </is>
      </c>
      <c r="E548" t="inlineStr">
        <is>
          <t>RAGUNDA</t>
        </is>
      </c>
      <c r="F548" t="inlineStr">
        <is>
          <t>SCA</t>
        </is>
      </c>
      <c r="G548" t="n">
        <v>55.4</v>
      </c>
      <c r="H548" t="n">
        <v>0</v>
      </c>
      <c r="I548" t="n">
        <v>0</v>
      </c>
      <c r="J548" t="n">
        <v>0</v>
      </c>
      <c r="K548" t="n">
        <v>0</v>
      </c>
      <c r="L548" t="n">
        <v>0</v>
      </c>
      <c r="M548" t="n">
        <v>0</v>
      </c>
      <c r="N548" t="n">
        <v>0</v>
      </c>
      <c r="O548" t="n">
        <v>0</v>
      </c>
      <c r="P548" t="n">
        <v>0</v>
      </c>
      <c r="Q548" t="n">
        <v>0</v>
      </c>
      <c r="R548" s="2" t="inlineStr"/>
    </row>
    <row r="549" ht="15" customHeight="1">
      <c r="A549" t="inlineStr">
        <is>
          <t>A 4014-2022</t>
        </is>
      </c>
      <c r="B549" s="1" t="n">
        <v>44587.92144675926</v>
      </c>
      <c r="C549" s="1" t="n">
        <v>45890</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29319-2023</t>
        </is>
      </c>
      <c r="B550" s="1" t="n">
        <v>45105</v>
      </c>
      <c r="C550" s="1" t="n">
        <v>45890</v>
      </c>
      <c r="D550" t="inlineStr">
        <is>
          <t>JÄMTLANDS LÄN</t>
        </is>
      </c>
      <c r="E550" t="inlineStr">
        <is>
          <t>RAGUNDA</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18612-2024</t>
        </is>
      </c>
      <c r="B551" s="1" t="n">
        <v>45425.96239583333</v>
      </c>
      <c r="C551" s="1" t="n">
        <v>45890</v>
      </c>
      <c r="D551" t="inlineStr">
        <is>
          <t>JÄMTLANDS LÄN</t>
        </is>
      </c>
      <c r="E551" t="inlineStr">
        <is>
          <t>RAGUNDA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11147-2025</t>
        </is>
      </c>
      <c r="B552" s="1" t="n">
        <v>45723.67777777778</v>
      </c>
      <c r="C552" s="1" t="n">
        <v>45890</v>
      </c>
      <c r="D552" t="inlineStr">
        <is>
          <t>JÄMTLANDS LÄN</t>
        </is>
      </c>
      <c r="E552" t="inlineStr">
        <is>
          <t>RAGUNDA</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1554-2024</t>
        </is>
      </c>
      <c r="B553" s="1" t="n">
        <v>45306</v>
      </c>
      <c r="C553" s="1" t="n">
        <v>45890</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464-2023</t>
        </is>
      </c>
      <c r="B554" s="1" t="n">
        <v>44929.92489583333</v>
      </c>
      <c r="C554" s="1" t="n">
        <v>45890</v>
      </c>
      <c r="D554" t="inlineStr">
        <is>
          <t>JÄMTLANDS LÄN</t>
        </is>
      </c>
      <c r="E554" t="inlineStr">
        <is>
          <t>RAGUNDA</t>
        </is>
      </c>
      <c r="G554" t="n">
        <v>1.4</v>
      </c>
      <c r="H554" t="n">
        <v>0</v>
      </c>
      <c r="I554" t="n">
        <v>0</v>
      </c>
      <c r="J554" t="n">
        <v>0</v>
      </c>
      <c r="K554" t="n">
        <v>0</v>
      </c>
      <c r="L554" t="n">
        <v>0</v>
      </c>
      <c r="M554" t="n">
        <v>0</v>
      </c>
      <c r="N554" t="n">
        <v>0</v>
      </c>
      <c r="O554" t="n">
        <v>0</v>
      </c>
      <c r="P554" t="n">
        <v>0</v>
      </c>
      <c r="Q554" t="n">
        <v>0</v>
      </c>
      <c r="R554" s="2" t="inlineStr"/>
    </row>
    <row r="555" ht="15" customHeight="1">
      <c r="A555" t="inlineStr">
        <is>
          <t>A 9847-2025</t>
        </is>
      </c>
      <c r="B555" s="1" t="n">
        <v>45716.61487268518</v>
      </c>
      <c r="C555" s="1" t="n">
        <v>45890</v>
      </c>
      <c r="D555" t="inlineStr">
        <is>
          <t>JÄMTLANDS LÄN</t>
        </is>
      </c>
      <c r="E555" t="inlineStr">
        <is>
          <t>RAGUNDA</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53769-2023</t>
        </is>
      </c>
      <c r="B556" s="1" t="n">
        <v>45230</v>
      </c>
      <c r="C556" s="1" t="n">
        <v>45890</v>
      </c>
      <c r="D556" t="inlineStr">
        <is>
          <t>JÄMTLANDS LÄN</t>
        </is>
      </c>
      <c r="E556" t="inlineStr">
        <is>
          <t>RAGUNDA</t>
        </is>
      </c>
      <c r="F556" t="inlineStr">
        <is>
          <t>SCA</t>
        </is>
      </c>
      <c r="G556" t="n">
        <v>11.6</v>
      </c>
      <c r="H556" t="n">
        <v>0</v>
      </c>
      <c r="I556" t="n">
        <v>0</v>
      </c>
      <c r="J556" t="n">
        <v>0</v>
      </c>
      <c r="K556" t="n">
        <v>0</v>
      </c>
      <c r="L556" t="n">
        <v>0</v>
      </c>
      <c r="M556" t="n">
        <v>0</v>
      </c>
      <c r="N556" t="n">
        <v>0</v>
      </c>
      <c r="O556" t="n">
        <v>0</v>
      </c>
      <c r="P556" t="n">
        <v>0</v>
      </c>
      <c r="Q556" t="n">
        <v>0</v>
      </c>
      <c r="R556" s="2" t="inlineStr"/>
    </row>
    <row r="557" ht="15" customHeight="1">
      <c r="A557" t="inlineStr">
        <is>
          <t>A 52228-2024</t>
        </is>
      </c>
      <c r="B557" s="1" t="n">
        <v>45608.6078587963</v>
      </c>
      <c r="C557" s="1" t="n">
        <v>45890</v>
      </c>
      <c r="D557" t="inlineStr">
        <is>
          <t>JÄMTLANDS LÄN</t>
        </is>
      </c>
      <c r="E557" t="inlineStr">
        <is>
          <t>RAGUNDA</t>
        </is>
      </c>
      <c r="F557" t="inlineStr">
        <is>
          <t>SCA</t>
        </is>
      </c>
      <c r="G557" t="n">
        <v>1.7</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45890</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28173-2024</t>
        </is>
      </c>
      <c r="B559" s="1" t="n">
        <v>45476.94533564815</v>
      </c>
      <c r="C559" s="1" t="n">
        <v>45890</v>
      </c>
      <c r="D559" t="inlineStr">
        <is>
          <t>JÄMTLANDS LÄN</t>
        </is>
      </c>
      <c r="E559" t="inlineStr">
        <is>
          <t>RAGUNDA</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20728-2025</t>
        </is>
      </c>
      <c r="B560" s="1" t="n">
        <v>45776.51130787037</v>
      </c>
      <c r="C560" s="1" t="n">
        <v>45890</v>
      </c>
      <c r="D560" t="inlineStr">
        <is>
          <t>JÄMTLANDS LÄN</t>
        </is>
      </c>
      <c r="E560" t="inlineStr">
        <is>
          <t>RAGUNDA</t>
        </is>
      </c>
      <c r="F560" t="inlineStr">
        <is>
          <t>Kommuner</t>
        </is>
      </c>
      <c r="G560" t="n">
        <v>1.1</v>
      </c>
      <c r="H560" t="n">
        <v>0</v>
      </c>
      <c r="I560" t="n">
        <v>0</v>
      </c>
      <c r="J560" t="n">
        <v>0</v>
      </c>
      <c r="K560" t="n">
        <v>0</v>
      </c>
      <c r="L560" t="n">
        <v>0</v>
      </c>
      <c r="M560" t="n">
        <v>0</v>
      </c>
      <c r="N560" t="n">
        <v>0</v>
      </c>
      <c r="O560" t="n">
        <v>0</v>
      </c>
      <c r="P560" t="n">
        <v>0</v>
      </c>
      <c r="Q560" t="n">
        <v>0</v>
      </c>
      <c r="R560" s="2" t="inlineStr"/>
    </row>
    <row r="561" ht="15" customHeight="1">
      <c r="A561" t="inlineStr">
        <is>
          <t>A 23734-2024</t>
        </is>
      </c>
      <c r="B561" s="1" t="n">
        <v>45454.95960648148</v>
      </c>
      <c r="C561" s="1" t="n">
        <v>45890</v>
      </c>
      <c r="D561" t="inlineStr">
        <is>
          <t>JÄMTLANDS LÄN</t>
        </is>
      </c>
      <c r="E561" t="inlineStr">
        <is>
          <t>RAGUNDA</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38425-2022</t>
        </is>
      </c>
      <c r="B562" s="1" t="n">
        <v>44812.94709490741</v>
      </c>
      <c r="C562" s="1" t="n">
        <v>45890</v>
      </c>
      <c r="D562" t="inlineStr">
        <is>
          <t>JÄMTLANDS LÄN</t>
        </is>
      </c>
      <c r="E562" t="inlineStr">
        <is>
          <t>RAGUNDA</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12995-2023</t>
        </is>
      </c>
      <c r="B563" s="1" t="n">
        <v>45002.0328125</v>
      </c>
      <c r="C563" s="1" t="n">
        <v>45890</v>
      </c>
      <c r="D563" t="inlineStr">
        <is>
          <t>JÄMTLANDS LÄN</t>
        </is>
      </c>
      <c r="E563" t="inlineStr">
        <is>
          <t>RAGUNDA</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44755-2024</t>
        </is>
      </c>
      <c r="B564" s="1" t="n">
        <v>45574.61184027778</v>
      </c>
      <c r="C564" s="1" t="n">
        <v>45890</v>
      </c>
      <c r="D564" t="inlineStr">
        <is>
          <t>JÄMTLANDS LÄN</t>
        </is>
      </c>
      <c r="E564" t="inlineStr">
        <is>
          <t>RAGUNDA</t>
        </is>
      </c>
      <c r="G564" t="n">
        <v>4.4</v>
      </c>
      <c r="H564" t="n">
        <v>0</v>
      </c>
      <c r="I564" t="n">
        <v>0</v>
      </c>
      <c r="J564" t="n">
        <v>0</v>
      </c>
      <c r="K564" t="n">
        <v>0</v>
      </c>
      <c r="L564" t="n">
        <v>0</v>
      </c>
      <c r="M564" t="n">
        <v>0</v>
      </c>
      <c r="N564" t="n">
        <v>0</v>
      </c>
      <c r="O564" t="n">
        <v>0</v>
      </c>
      <c r="P564" t="n">
        <v>0</v>
      </c>
      <c r="Q564" t="n">
        <v>0</v>
      </c>
      <c r="R564" s="2" t="inlineStr"/>
    </row>
    <row r="565" ht="15" customHeight="1">
      <c r="A565" t="inlineStr">
        <is>
          <t>A 44766-2024</t>
        </is>
      </c>
      <c r="B565" s="1" t="n">
        <v>45574.62297453704</v>
      </c>
      <c r="C565" s="1" t="n">
        <v>45890</v>
      </c>
      <c r="D565" t="inlineStr">
        <is>
          <t>JÄMTLANDS LÄN</t>
        </is>
      </c>
      <c r="E565" t="inlineStr">
        <is>
          <t>RAGUNDA</t>
        </is>
      </c>
      <c r="G565" t="n">
        <v>3.2</v>
      </c>
      <c r="H565" t="n">
        <v>0</v>
      </c>
      <c r="I565" t="n">
        <v>0</v>
      </c>
      <c r="J565" t="n">
        <v>0</v>
      </c>
      <c r="K565" t="n">
        <v>0</v>
      </c>
      <c r="L565" t="n">
        <v>0</v>
      </c>
      <c r="M565" t="n">
        <v>0</v>
      </c>
      <c r="N565" t="n">
        <v>0</v>
      </c>
      <c r="O565" t="n">
        <v>0</v>
      </c>
      <c r="P565" t="n">
        <v>0</v>
      </c>
      <c r="Q565" t="n">
        <v>0</v>
      </c>
      <c r="R565" s="2" t="inlineStr"/>
    </row>
    <row r="566" ht="15" customHeight="1">
      <c r="A566" t="inlineStr">
        <is>
          <t>A 20653-2025</t>
        </is>
      </c>
      <c r="B566" s="1" t="n">
        <v>45776.40311342593</v>
      </c>
      <c r="C566" s="1" t="n">
        <v>45890</v>
      </c>
      <c r="D566" t="inlineStr">
        <is>
          <t>JÄMTLANDS LÄN</t>
        </is>
      </c>
      <c r="E566" t="inlineStr">
        <is>
          <t>RAGUNDA</t>
        </is>
      </c>
      <c r="G566" t="n">
        <v>10.8</v>
      </c>
      <c r="H566" t="n">
        <v>0</v>
      </c>
      <c r="I566" t="n">
        <v>0</v>
      </c>
      <c r="J566" t="n">
        <v>0</v>
      </c>
      <c r="K566" t="n">
        <v>0</v>
      </c>
      <c r="L566" t="n">
        <v>0</v>
      </c>
      <c r="M566" t="n">
        <v>0</v>
      </c>
      <c r="N566" t="n">
        <v>0</v>
      </c>
      <c r="O566" t="n">
        <v>0</v>
      </c>
      <c r="P566" t="n">
        <v>0</v>
      </c>
      <c r="Q566" t="n">
        <v>0</v>
      </c>
      <c r="R566" s="2" t="inlineStr"/>
    </row>
    <row r="567" ht="15" customHeight="1">
      <c r="A567" t="inlineStr">
        <is>
          <t>A 16676-2022</t>
        </is>
      </c>
      <c r="B567" s="1" t="n">
        <v>44672.94018518519</v>
      </c>
      <c r="C567" s="1" t="n">
        <v>45890</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20722-2025</t>
        </is>
      </c>
      <c r="B568" s="1" t="n">
        <v>45776.50651620371</v>
      </c>
      <c r="C568" s="1" t="n">
        <v>45890</v>
      </c>
      <c r="D568" t="inlineStr">
        <is>
          <t>JÄMTLANDS LÄN</t>
        </is>
      </c>
      <c r="E568" t="inlineStr">
        <is>
          <t>RAGUNDA</t>
        </is>
      </c>
      <c r="F568" t="inlineStr">
        <is>
          <t>Kommuner</t>
        </is>
      </c>
      <c r="G568" t="n">
        <v>0.8</v>
      </c>
      <c r="H568" t="n">
        <v>0</v>
      </c>
      <c r="I568" t="n">
        <v>0</v>
      </c>
      <c r="J568" t="n">
        <v>0</v>
      </c>
      <c r="K568" t="n">
        <v>0</v>
      </c>
      <c r="L568" t="n">
        <v>0</v>
      </c>
      <c r="M568" t="n">
        <v>0</v>
      </c>
      <c r="N568" t="n">
        <v>0</v>
      </c>
      <c r="O568" t="n">
        <v>0</v>
      </c>
      <c r="P568" t="n">
        <v>0</v>
      </c>
      <c r="Q568" t="n">
        <v>0</v>
      </c>
      <c r="R568" s="2" t="inlineStr"/>
    </row>
    <row r="569" ht="15" customHeight="1">
      <c r="A569" t="inlineStr">
        <is>
          <t>A 2242-2024</t>
        </is>
      </c>
      <c r="B569" s="1" t="n">
        <v>45309</v>
      </c>
      <c r="C569" s="1" t="n">
        <v>45890</v>
      </c>
      <c r="D569" t="inlineStr">
        <is>
          <t>JÄMTLANDS LÄN</t>
        </is>
      </c>
      <c r="E569" t="inlineStr">
        <is>
          <t>RAGUNDA</t>
        </is>
      </c>
      <c r="G569" t="n">
        <v>0.9</v>
      </c>
      <c r="H569" t="n">
        <v>0</v>
      </c>
      <c r="I569" t="n">
        <v>0</v>
      </c>
      <c r="J569" t="n">
        <v>0</v>
      </c>
      <c r="K569" t="n">
        <v>0</v>
      </c>
      <c r="L569" t="n">
        <v>0</v>
      </c>
      <c r="M569" t="n">
        <v>0</v>
      </c>
      <c r="N569" t="n">
        <v>0</v>
      </c>
      <c r="O569" t="n">
        <v>0</v>
      </c>
      <c r="P569" t="n">
        <v>0</v>
      </c>
      <c r="Q569" t="n">
        <v>0</v>
      </c>
      <c r="R569" s="2" t="inlineStr"/>
    </row>
    <row r="570" ht="15" customHeight="1">
      <c r="A570" t="inlineStr">
        <is>
          <t>A 2248-2024</t>
        </is>
      </c>
      <c r="B570" s="1" t="n">
        <v>45309</v>
      </c>
      <c r="C570" s="1" t="n">
        <v>45890</v>
      </c>
      <c r="D570" t="inlineStr">
        <is>
          <t>JÄMTLANDS LÄN</t>
        </is>
      </c>
      <c r="E570" t="inlineStr">
        <is>
          <t>RAGUNDA</t>
        </is>
      </c>
      <c r="G570" t="n">
        <v>4.2</v>
      </c>
      <c r="H570" t="n">
        <v>0</v>
      </c>
      <c r="I570" t="n">
        <v>0</v>
      </c>
      <c r="J570" t="n">
        <v>0</v>
      </c>
      <c r="K570" t="n">
        <v>0</v>
      </c>
      <c r="L570" t="n">
        <v>0</v>
      </c>
      <c r="M570" t="n">
        <v>0</v>
      </c>
      <c r="N570" t="n">
        <v>0</v>
      </c>
      <c r="O570" t="n">
        <v>0</v>
      </c>
      <c r="P570" t="n">
        <v>0</v>
      </c>
      <c r="Q570" t="n">
        <v>0</v>
      </c>
      <c r="R570" s="2" t="inlineStr"/>
    </row>
    <row r="571" ht="15" customHeight="1">
      <c r="A571" t="inlineStr">
        <is>
          <t>A 20777-2025</t>
        </is>
      </c>
      <c r="B571" s="1" t="n">
        <v>45776.59422453704</v>
      </c>
      <c r="C571" s="1" t="n">
        <v>45890</v>
      </c>
      <c r="D571" t="inlineStr">
        <is>
          <t>JÄMTLANDS LÄN</t>
        </is>
      </c>
      <c r="E571" t="inlineStr">
        <is>
          <t>RAGUNDA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21150-2025</t>
        </is>
      </c>
      <c r="B572" s="1" t="n">
        <v>45779.34417824074</v>
      </c>
      <c r="C572" s="1" t="n">
        <v>45890</v>
      </c>
      <c r="D572" t="inlineStr">
        <is>
          <t>JÄMTLANDS LÄN</t>
        </is>
      </c>
      <c r="E572" t="inlineStr">
        <is>
          <t>RAGUNDA</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21177-2025</t>
        </is>
      </c>
      <c r="B573" s="1" t="n">
        <v>45779.4281712963</v>
      </c>
      <c r="C573" s="1" t="n">
        <v>45890</v>
      </c>
      <c r="D573" t="inlineStr">
        <is>
          <t>JÄMTLANDS LÄN</t>
        </is>
      </c>
      <c r="E573" t="inlineStr">
        <is>
          <t>RAGUNDA</t>
        </is>
      </c>
      <c r="F573" t="inlineStr">
        <is>
          <t>SCA</t>
        </is>
      </c>
      <c r="G573" t="n">
        <v>16.1</v>
      </c>
      <c r="H573" t="n">
        <v>0</v>
      </c>
      <c r="I573" t="n">
        <v>0</v>
      </c>
      <c r="J573" t="n">
        <v>0</v>
      </c>
      <c r="K573" t="n">
        <v>0</v>
      </c>
      <c r="L573" t="n">
        <v>0</v>
      </c>
      <c r="M573" t="n">
        <v>0</v>
      </c>
      <c r="N573" t="n">
        <v>0</v>
      </c>
      <c r="O573" t="n">
        <v>0</v>
      </c>
      <c r="P573" t="n">
        <v>0</v>
      </c>
      <c r="Q573" t="n">
        <v>0</v>
      </c>
      <c r="R573" s="2" t="inlineStr"/>
    </row>
    <row r="574" ht="15" customHeight="1">
      <c r="A574" t="inlineStr">
        <is>
          <t>A 21214-2025</t>
        </is>
      </c>
      <c r="B574" s="1" t="n">
        <v>45779.49025462963</v>
      </c>
      <c r="C574" s="1" t="n">
        <v>45890</v>
      </c>
      <c r="D574" t="inlineStr">
        <is>
          <t>JÄMTLANDS LÄN</t>
        </is>
      </c>
      <c r="E574" t="inlineStr">
        <is>
          <t>RAGUNDA</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22941-2024</t>
        </is>
      </c>
      <c r="B575" s="1" t="n">
        <v>45448.94520833333</v>
      </c>
      <c r="C575" s="1" t="n">
        <v>45890</v>
      </c>
      <c r="D575" t="inlineStr">
        <is>
          <t>JÄMTLANDS LÄN</t>
        </is>
      </c>
      <c r="E575" t="inlineStr">
        <is>
          <t>RAGUNDA</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21430-2025</t>
        </is>
      </c>
      <c r="B576" s="1" t="n">
        <v>45782.51099537037</v>
      </c>
      <c r="C576" s="1" t="n">
        <v>45890</v>
      </c>
      <c r="D576" t="inlineStr">
        <is>
          <t>JÄMTLANDS LÄN</t>
        </is>
      </c>
      <c r="E576" t="inlineStr">
        <is>
          <t>RAGUNDA</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44881-2023</t>
        </is>
      </c>
      <c r="B577" s="1" t="n">
        <v>45187</v>
      </c>
      <c r="C577" s="1" t="n">
        <v>45890</v>
      </c>
      <c r="D577" t="inlineStr">
        <is>
          <t>JÄMTLANDS LÄN</t>
        </is>
      </c>
      <c r="E577" t="inlineStr">
        <is>
          <t>RAGUNDA</t>
        </is>
      </c>
      <c r="G577" t="n">
        <v>2.4</v>
      </c>
      <c r="H577" t="n">
        <v>0</v>
      </c>
      <c r="I577" t="n">
        <v>0</v>
      </c>
      <c r="J577" t="n">
        <v>0</v>
      </c>
      <c r="K577" t="n">
        <v>0</v>
      </c>
      <c r="L577" t="n">
        <v>0</v>
      </c>
      <c r="M577" t="n">
        <v>0</v>
      </c>
      <c r="N577" t="n">
        <v>0</v>
      </c>
      <c r="O577" t="n">
        <v>0</v>
      </c>
      <c r="P577" t="n">
        <v>0</v>
      </c>
      <c r="Q577" t="n">
        <v>0</v>
      </c>
      <c r="R577" s="2" t="inlineStr"/>
    </row>
    <row r="578" ht="15" customHeight="1">
      <c r="A578" t="inlineStr">
        <is>
          <t>A 19264-2025</t>
        </is>
      </c>
      <c r="B578" s="1" t="n">
        <v>45769.51087962963</v>
      </c>
      <c r="C578" s="1" t="n">
        <v>45890</v>
      </c>
      <c r="D578" t="inlineStr">
        <is>
          <t>JÄMTLANDS LÄN</t>
        </is>
      </c>
      <c r="E578" t="inlineStr">
        <is>
          <t>RAGUNDA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21451-2025</t>
        </is>
      </c>
      <c r="B579" s="1" t="n">
        <v>45782.55287037037</v>
      </c>
      <c r="C579" s="1" t="n">
        <v>45890</v>
      </c>
      <c r="D579" t="inlineStr">
        <is>
          <t>JÄMTLANDS LÄN</t>
        </is>
      </c>
      <c r="E579" t="inlineStr">
        <is>
          <t>RAGUNDA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55536-2024</t>
        </is>
      </c>
      <c r="B580" s="1" t="n">
        <v>45622</v>
      </c>
      <c r="C580" s="1" t="n">
        <v>45890</v>
      </c>
      <c r="D580" t="inlineStr">
        <is>
          <t>JÄMTLANDS LÄN</t>
        </is>
      </c>
      <c r="E580" t="inlineStr">
        <is>
          <t>RAGUNDA</t>
        </is>
      </c>
      <c r="G580" t="n">
        <v>0.8</v>
      </c>
      <c r="H580" t="n">
        <v>0</v>
      </c>
      <c r="I580" t="n">
        <v>0</v>
      </c>
      <c r="J580" t="n">
        <v>0</v>
      </c>
      <c r="K580" t="n">
        <v>0</v>
      </c>
      <c r="L580" t="n">
        <v>0</v>
      </c>
      <c r="M580" t="n">
        <v>0</v>
      </c>
      <c r="N580" t="n">
        <v>0</v>
      </c>
      <c r="O580" t="n">
        <v>0</v>
      </c>
      <c r="P580" t="n">
        <v>0</v>
      </c>
      <c r="Q580" t="n">
        <v>0</v>
      </c>
      <c r="R580" s="2" t="inlineStr"/>
    </row>
    <row r="581" ht="15" customHeight="1">
      <c r="A581" t="inlineStr">
        <is>
          <t>A 21332-2025</t>
        </is>
      </c>
      <c r="B581" s="1" t="n">
        <v>45782.36506944444</v>
      </c>
      <c r="C581" s="1" t="n">
        <v>45890</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44597-2024</t>
        </is>
      </c>
      <c r="B582" s="1" t="n">
        <v>45574.51087962963</v>
      </c>
      <c r="C582" s="1" t="n">
        <v>45890</v>
      </c>
      <c r="D582" t="inlineStr">
        <is>
          <t>JÄMTLANDS LÄN</t>
        </is>
      </c>
      <c r="E582" t="inlineStr">
        <is>
          <t>RAGUNDA</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44598-2024</t>
        </is>
      </c>
      <c r="B583" s="1" t="n">
        <v>45574.51090277778</v>
      </c>
      <c r="C583" s="1" t="n">
        <v>45890</v>
      </c>
      <c r="D583" t="inlineStr">
        <is>
          <t>JÄMTLANDS LÄN</t>
        </is>
      </c>
      <c r="E583" t="inlineStr">
        <is>
          <t>RAGUNDA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21405-2025</t>
        </is>
      </c>
      <c r="B584" s="1" t="n">
        <v>45782.49032407408</v>
      </c>
      <c r="C584" s="1" t="n">
        <v>45890</v>
      </c>
      <c r="D584" t="inlineStr">
        <is>
          <t>JÄMTLANDS LÄN</t>
        </is>
      </c>
      <c r="E584" t="inlineStr">
        <is>
          <t>RAGUNDA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21406-2025</t>
        </is>
      </c>
      <c r="B585" s="1" t="n">
        <v>45782.49046296296</v>
      </c>
      <c r="C585" s="1" t="n">
        <v>45890</v>
      </c>
      <c r="D585" t="inlineStr">
        <is>
          <t>JÄMTLANDS LÄN</t>
        </is>
      </c>
      <c r="E585" t="inlineStr">
        <is>
          <t>RAGUNDA</t>
        </is>
      </c>
      <c r="F585" t="inlineStr">
        <is>
          <t>SCA</t>
        </is>
      </c>
      <c r="G585" t="n">
        <v>8.6</v>
      </c>
      <c r="H585" t="n">
        <v>0</v>
      </c>
      <c r="I585" t="n">
        <v>0</v>
      </c>
      <c r="J585" t="n">
        <v>0</v>
      </c>
      <c r="K585" t="n">
        <v>0</v>
      </c>
      <c r="L585" t="n">
        <v>0</v>
      </c>
      <c r="M585" t="n">
        <v>0</v>
      </c>
      <c r="N585" t="n">
        <v>0</v>
      </c>
      <c r="O585" t="n">
        <v>0</v>
      </c>
      <c r="P585" t="n">
        <v>0</v>
      </c>
      <c r="Q585" t="n">
        <v>0</v>
      </c>
      <c r="R585" s="2" t="inlineStr"/>
    </row>
    <row r="586" ht="15" customHeight="1">
      <c r="A586" t="inlineStr">
        <is>
          <t>A 29263-2024</t>
        </is>
      </c>
      <c r="B586" s="1" t="n">
        <v>45482.94891203703</v>
      </c>
      <c r="C586" s="1" t="n">
        <v>45890</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21432-2025</t>
        </is>
      </c>
      <c r="B587" s="1" t="n">
        <v>45782.51109953703</v>
      </c>
      <c r="C587" s="1" t="n">
        <v>45890</v>
      </c>
      <c r="D587" t="inlineStr">
        <is>
          <t>JÄMTLANDS LÄN</t>
        </is>
      </c>
      <c r="E587" t="inlineStr">
        <is>
          <t>RAGUNDA</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21331-2025</t>
        </is>
      </c>
      <c r="B588" s="1" t="n">
        <v>45782.36494212963</v>
      </c>
      <c r="C588" s="1" t="n">
        <v>45890</v>
      </c>
      <c r="D588" t="inlineStr">
        <is>
          <t>JÄMTLANDS LÄN</t>
        </is>
      </c>
      <c r="E588" t="inlineStr">
        <is>
          <t>RAGUNDA</t>
        </is>
      </c>
      <c r="F588" t="inlineStr">
        <is>
          <t>SCA</t>
        </is>
      </c>
      <c r="G588" t="n">
        <v>23.1</v>
      </c>
      <c r="H588" t="n">
        <v>0</v>
      </c>
      <c r="I588" t="n">
        <v>0</v>
      </c>
      <c r="J588" t="n">
        <v>0</v>
      </c>
      <c r="K588" t="n">
        <v>0</v>
      </c>
      <c r="L588" t="n">
        <v>0</v>
      </c>
      <c r="M588" t="n">
        <v>0</v>
      </c>
      <c r="N588" t="n">
        <v>0</v>
      </c>
      <c r="O588" t="n">
        <v>0</v>
      </c>
      <c r="P588" t="n">
        <v>0</v>
      </c>
      <c r="Q588" t="n">
        <v>0</v>
      </c>
      <c r="R588" s="2" t="inlineStr"/>
    </row>
    <row r="589" ht="15" customHeight="1">
      <c r="A589" t="inlineStr">
        <is>
          <t>A 8800-2025</t>
        </is>
      </c>
      <c r="B589" s="1" t="n">
        <v>45712.65671296296</v>
      </c>
      <c r="C589" s="1" t="n">
        <v>45890</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29265-2024</t>
        </is>
      </c>
      <c r="B590" s="1" t="n">
        <v>45482.9491087963</v>
      </c>
      <c r="C590" s="1" t="n">
        <v>45890</v>
      </c>
      <c r="D590" t="inlineStr">
        <is>
          <t>JÄMTLANDS LÄN</t>
        </is>
      </c>
      <c r="E590" t="inlineStr">
        <is>
          <t>RAGUNDA</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27291-2022</t>
        </is>
      </c>
      <c r="B591" s="1" t="n">
        <v>44741.94070601852</v>
      </c>
      <c r="C591" s="1" t="n">
        <v>45890</v>
      </c>
      <c r="D591" t="inlineStr">
        <is>
          <t>JÄMTLANDS LÄN</t>
        </is>
      </c>
      <c r="E591" t="inlineStr">
        <is>
          <t>RAGUNDA</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21550-2025</t>
        </is>
      </c>
      <c r="B592" s="1" t="n">
        <v>45782.67758101852</v>
      </c>
      <c r="C592" s="1" t="n">
        <v>45890</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8776-2025</t>
        </is>
      </c>
      <c r="B593" s="1" t="n">
        <v>45712.61510416667</v>
      </c>
      <c r="C593" s="1" t="n">
        <v>45890</v>
      </c>
      <c r="D593" t="inlineStr">
        <is>
          <t>JÄMTLANDS LÄN</t>
        </is>
      </c>
      <c r="E593" t="inlineStr">
        <is>
          <t>RAGUNDA</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14821-2025</t>
        </is>
      </c>
      <c r="B594" s="1" t="n">
        <v>45743.36</v>
      </c>
      <c r="C594" s="1" t="n">
        <v>45890</v>
      </c>
      <c r="D594" t="inlineStr">
        <is>
          <t>JÄMTLANDS LÄN</t>
        </is>
      </c>
      <c r="E594" t="inlineStr">
        <is>
          <t>RAGUNDA</t>
        </is>
      </c>
      <c r="F594" t="inlineStr">
        <is>
          <t>Kyrkan</t>
        </is>
      </c>
      <c r="G594" t="n">
        <v>6.4</v>
      </c>
      <c r="H594" t="n">
        <v>0</v>
      </c>
      <c r="I594" t="n">
        <v>0</v>
      </c>
      <c r="J594" t="n">
        <v>0</v>
      </c>
      <c r="K594" t="n">
        <v>0</v>
      </c>
      <c r="L594" t="n">
        <v>0</v>
      </c>
      <c r="M594" t="n">
        <v>0</v>
      </c>
      <c r="N594" t="n">
        <v>0</v>
      </c>
      <c r="O594" t="n">
        <v>0</v>
      </c>
      <c r="P594" t="n">
        <v>0</v>
      </c>
      <c r="Q594" t="n">
        <v>0</v>
      </c>
      <c r="R594" s="2" t="inlineStr"/>
    </row>
    <row r="595" ht="15" customHeight="1">
      <c r="A595" t="inlineStr">
        <is>
          <t>A 18610-2024</t>
        </is>
      </c>
      <c r="B595" s="1" t="n">
        <v>45425.96230324074</v>
      </c>
      <c r="C595" s="1" t="n">
        <v>45890</v>
      </c>
      <c r="D595" t="inlineStr">
        <is>
          <t>JÄMTLANDS LÄN</t>
        </is>
      </c>
      <c r="E595" t="inlineStr">
        <is>
          <t>RAGUNDA</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57116-2024</t>
        </is>
      </c>
      <c r="B596" s="1" t="n">
        <v>45629.36513888889</v>
      </c>
      <c r="C596" s="1" t="n">
        <v>45890</v>
      </c>
      <c r="D596" t="inlineStr">
        <is>
          <t>JÄMTLANDS LÄN</t>
        </is>
      </c>
      <c r="E596" t="inlineStr">
        <is>
          <t>RAGUNDA</t>
        </is>
      </c>
      <c r="G596" t="n">
        <v>0.6</v>
      </c>
      <c r="H596" t="n">
        <v>0</v>
      </c>
      <c r="I596" t="n">
        <v>0</v>
      </c>
      <c r="J596" t="n">
        <v>0</v>
      </c>
      <c r="K596" t="n">
        <v>0</v>
      </c>
      <c r="L596" t="n">
        <v>0</v>
      </c>
      <c r="M596" t="n">
        <v>0</v>
      </c>
      <c r="N596" t="n">
        <v>0</v>
      </c>
      <c r="O596" t="n">
        <v>0</v>
      </c>
      <c r="P596" t="n">
        <v>0</v>
      </c>
      <c r="Q596" t="n">
        <v>0</v>
      </c>
      <c r="R596" s="2" t="inlineStr"/>
    </row>
    <row r="597" ht="15" customHeight="1">
      <c r="A597" t="inlineStr">
        <is>
          <t>A 3104-2025</t>
        </is>
      </c>
      <c r="B597" s="1" t="n">
        <v>45678.67761574074</v>
      </c>
      <c r="C597" s="1" t="n">
        <v>45890</v>
      </c>
      <c r="D597" t="inlineStr">
        <is>
          <t>JÄMTLANDS LÄN</t>
        </is>
      </c>
      <c r="E597" t="inlineStr">
        <is>
          <t>RAGUNDA</t>
        </is>
      </c>
      <c r="F597" t="inlineStr">
        <is>
          <t>SCA</t>
        </is>
      </c>
      <c r="G597" t="n">
        <v>46.2</v>
      </c>
      <c r="H597" t="n">
        <v>0</v>
      </c>
      <c r="I597" t="n">
        <v>0</v>
      </c>
      <c r="J597" t="n">
        <v>0</v>
      </c>
      <c r="K597" t="n">
        <v>0</v>
      </c>
      <c r="L597" t="n">
        <v>0</v>
      </c>
      <c r="M597" t="n">
        <v>0</v>
      </c>
      <c r="N597" t="n">
        <v>0</v>
      </c>
      <c r="O597" t="n">
        <v>0</v>
      </c>
      <c r="P597" t="n">
        <v>0</v>
      </c>
      <c r="Q597" t="n">
        <v>0</v>
      </c>
      <c r="R597" s="2" t="inlineStr"/>
    </row>
    <row r="598" ht="15" customHeight="1">
      <c r="A598" t="inlineStr">
        <is>
          <t>A 36375-2022</t>
        </is>
      </c>
      <c r="B598" s="1" t="n">
        <v>44803.94351851852</v>
      </c>
      <c r="C598" s="1" t="n">
        <v>45890</v>
      </c>
      <c r="D598" t="inlineStr">
        <is>
          <t>JÄMTLANDS LÄN</t>
        </is>
      </c>
      <c r="E598" t="inlineStr">
        <is>
          <t>RAGUNDA</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8679-2023</t>
        </is>
      </c>
      <c r="B599" s="1" t="n">
        <v>44977.98670138889</v>
      </c>
      <c r="C599" s="1" t="n">
        <v>45890</v>
      </c>
      <c r="D599" t="inlineStr">
        <is>
          <t>JÄMTLANDS LÄN</t>
        </is>
      </c>
      <c r="E599" t="inlineStr">
        <is>
          <t>RAGUNDA</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9325-2024</t>
        </is>
      </c>
      <c r="B600" s="1" t="n">
        <v>45358.95813657407</v>
      </c>
      <c r="C600" s="1" t="n">
        <v>45890</v>
      </c>
      <c r="D600" t="inlineStr">
        <is>
          <t>JÄMTLANDS LÄN</t>
        </is>
      </c>
      <c r="E600" t="inlineStr">
        <is>
          <t>RAGUNDA</t>
        </is>
      </c>
      <c r="G600" t="n">
        <v>3.1</v>
      </c>
      <c r="H600" t="n">
        <v>0</v>
      </c>
      <c r="I600" t="n">
        <v>0</v>
      </c>
      <c r="J600" t="n">
        <v>0</v>
      </c>
      <c r="K600" t="n">
        <v>0</v>
      </c>
      <c r="L600" t="n">
        <v>0</v>
      </c>
      <c r="M600" t="n">
        <v>0</v>
      </c>
      <c r="N600" t="n">
        <v>0</v>
      </c>
      <c r="O600" t="n">
        <v>0</v>
      </c>
      <c r="P600" t="n">
        <v>0</v>
      </c>
      <c r="Q600" t="n">
        <v>0</v>
      </c>
      <c r="R600" s="2" t="inlineStr"/>
    </row>
    <row r="601" ht="15" customHeight="1">
      <c r="A601" t="inlineStr">
        <is>
          <t>A 5930-2025</t>
        </is>
      </c>
      <c r="B601" s="1" t="n">
        <v>45695.44724537037</v>
      </c>
      <c r="C601" s="1" t="n">
        <v>45890</v>
      </c>
      <c r="D601" t="inlineStr">
        <is>
          <t>JÄMTLANDS LÄN</t>
        </is>
      </c>
      <c r="E601" t="inlineStr">
        <is>
          <t>RAGUNDA</t>
        </is>
      </c>
      <c r="G601" t="n">
        <v>0.7</v>
      </c>
      <c r="H601" t="n">
        <v>0</v>
      </c>
      <c r="I601" t="n">
        <v>0</v>
      </c>
      <c r="J601" t="n">
        <v>0</v>
      </c>
      <c r="K601" t="n">
        <v>0</v>
      </c>
      <c r="L601" t="n">
        <v>0</v>
      </c>
      <c r="M601" t="n">
        <v>0</v>
      </c>
      <c r="N601" t="n">
        <v>0</v>
      </c>
      <c r="O601" t="n">
        <v>0</v>
      </c>
      <c r="P601" t="n">
        <v>0</v>
      </c>
      <c r="Q601" t="n">
        <v>0</v>
      </c>
      <c r="R601" s="2" t="inlineStr"/>
    </row>
    <row r="602" ht="15" customHeight="1">
      <c r="A602" t="inlineStr">
        <is>
          <t>A 40246-2024</t>
        </is>
      </c>
      <c r="B602" s="1" t="n">
        <v>45554.61583333334</v>
      </c>
      <c r="C602" s="1" t="n">
        <v>45890</v>
      </c>
      <c r="D602" t="inlineStr">
        <is>
          <t>JÄMTLANDS LÄN</t>
        </is>
      </c>
      <c r="E602" t="inlineStr">
        <is>
          <t>RAGUNDA</t>
        </is>
      </c>
      <c r="G602" t="n">
        <v>1</v>
      </c>
      <c r="H602" t="n">
        <v>0</v>
      </c>
      <c r="I602" t="n">
        <v>0</v>
      </c>
      <c r="J602" t="n">
        <v>0</v>
      </c>
      <c r="K602" t="n">
        <v>0</v>
      </c>
      <c r="L602" t="n">
        <v>0</v>
      </c>
      <c r="M602" t="n">
        <v>0</v>
      </c>
      <c r="N602" t="n">
        <v>0</v>
      </c>
      <c r="O602" t="n">
        <v>0</v>
      </c>
      <c r="P602" t="n">
        <v>0</v>
      </c>
      <c r="Q602" t="n">
        <v>0</v>
      </c>
      <c r="R602" s="2" t="inlineStr"/>
    </row>
    <row r="603" ht="15" customHeight="1">
      <c r="A603" t="inlineStr">
        <is>
          <t>A 4878-2022</t>
        </is>
      </c>
      <c r="B603" s="1" t="n">
        <v>44593</v>
      </c>
      <c r="C603" s="1" t="n">
        <v>45890</v>
      </c>
      <c r="D603" t="inlineStr">
        <is>
          <t>JÄMTLANDS LÄN</t>
        </is>
      </c>
      <c r="E603" t="inlineStr">
        <is>
          <t>RAGUNDA</t>
        </is>
      </c>
      <c r="G603" t="n">
        <v>21.7</v>
      </c>
      <c r="H603" t="n">
        <v>0</v>
      </c>
      <c r="I603" t="n">
        <v>0</v>
      </c>
      <c r="J603" t="n">
        <v>0</v>
      </c>
      <c r="K603" t="n">
        <v>0</v>
      </c>
      <c r="L603" t="n">
        <v>0</v>
      </c>
      <c r="M603" t="n">
        <v>0</v>
      </c>
      <c r="N603" t="n">
        <v>0</v>
      </c>
      <c r="O603" t="n">
        <v>0</v>
      </c>
      <c r="P603" t="n">
        <v>0</v>
      </c>
      <c r="Q603" t="n">
        <v>0</v>
      </c>
      <c r="R603" s="2" t="inlineStr"/>
    </row>
    <row r="604" ht="15" customHeight="1">
      <c r="A604" t="inlineStr">
        <is>
          <t>A 57170-2024</t>
        </is>
      </c>
      <c r="B604" s="1" t="n">
        <v>45629.42759259259</v>
      </c>
      <c r="C604" s="1" t="n">
        <v>45890</v>
      </c>
      <c r="D604" t="inlineStr">
        <is>
          <t>JÄMTLANDS LÄN</t>
        </is>
      </c>
      <c r="E604" t="inlineStr">
        <is>
          <t>RAGUNDA</t>
        </is>
      </c>
      <c r="F604" t="inlineStr">
        <is>
          <t>SCA</t>
        </is>
      </c>
      <c r="G604" t="n">
        <v>4.4</v>
      </c>
      <c r="H604" t="n">
        <v>0</v>
      </c>
      <c r="I604" t="n">
        <v>0</v>
      </c>
      <c r="J604" t="n">
        <v>0</v>
      </c>
      <c r="K604" t="n">
        <v>0</v>
      </c>
      <c r="L604" t="n">
        <v>0</v>
      </c>
      <c r="M604" t="n">
        <v>0</v>
      </c>
      <c r="N604" t="n">
        <v>0</v>
      </c>
      <c r="O604" t="n">
        <v>0</v>
      </c>
      <c r="P604" t="n">
        <v>0</v>
      </c>
      <c r="Q604" t="n">
        <v>0</v>
      </c>
      <c r="R604" s="2" t="inlineStr"/>
    </row>
    <row r="605" ht="15" customHeight="1">
      <c r="A605" t="inlineStr">
        <is>
          <t>A 57237-2022</t>
        </is>
      </c>
      <c r="B605" s="1" t="n">
        <v>44889</v>
      </c>
      <c r="C605" s="1" t="n">
        <v>45890</v>
      </c>
      <c r="D605" t="inlineStr">
        <is>
          <t>JÄMTLANDS LÄN</t>
        </is>
      </c>
      <c r="E605" t="inlineStr">
        <is>
          <t>RAGUNDA</t>
        </is>
      </c>
      <c r="G605" t="n">
        <v>2.2</v>
      </c>
      <c r="H605" t="n">
        <v>0</v>
      </c>
      <c r="I605" t="n">
        <v>0</v>
      </c>
      <c r="J605" t="n">
        <v>0</v>
      </c>
      <c r="K605" t="n">
        <v>0</v>
      </c>
      <c r="L605" t="n">
        <v>0</v>
      </c>
      <c r="M605" t="n">
        <v>0</v>
      </c>
      <c r="N605" t="n">
        <v>0</v>
      </c>
      <c r="O605" t="n">
        <v>0</v>
      </c>
      <c r="P605" t="n">
        <v>0</v>
      </c>
      <c r="Q605" t="n">
        <v>0</v>
      </c>
      <c r="R605" s="2" t="inlineStr"/>
    </row>
    <row r="606" ht="15" customHeight="1">
      <c r="A606" t="inlineStr">
        <is>
          <t>A 57889-2024</t>
        </is>
      </c>
      <c r="B606" s="1" t="n">
        <v>45631.46665509259</v>
      </c>
      <c r="C606" s="1" t="n">
        <v>45890</v>
      </c>
      <c r="D606" t="inlineStr">
        <is>
          <t>JÄMTLANDS LÄN</t>
        </is>
      </c>
      <c r="E606" t="inlineStr">
        <is>
          <t>RAGUNDA</t>
        </is>
      </c>
      <c r="G606" t="n">
        <v>11.1</v>
      </c>
      <c r="H606" t="n">
        <v>0</v>
      </c>
      <c r="I606" t="n">
        <v>0</v>
      </c>
      <c r="J606" t="n">
        <v>0</v>
      </c>
      <c r="K606" t="n">
        <v>0</v>
      </c>
      <c r="L606" t="n">
        <v>0</v>
      </c>
      <c r="M606" t="n">
        <v>0</v>
      </c>
      <c r="N606" t="n">
        <v>0</v>
      </c>
      <c r="O606" t="n">
        <v>0</v>
      </c>
      <c r="P606" t="n">
        <v>0</v>
      </c>
      <c r="Q606" t="n">
        <v>0</v>
      </c>
      <c r="R606" s="2" t="inlineStr"/>
    </row>
    <row r="607" ht="15" customHeight="1">
      <c r="A607" t="inlineStr">
        <is>
          <t>A 2133-2023</t>
        </is>
      </c>
      <c r="B607" s="1" t="n">
        <v>44939</v>
      </c>
      <c r="C607" s="1" t="n">
        <v>45890</v>
      </c>
      <c r="D607" t="inlineStr">
        <is>
          <t>JÄMTLANDS LÄN</t>
        </is>
      </c>
      <c r="E607" t="inlineStr">
        <is>
          <t>RAGUNDA</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19419-2024</t>
        </is>
      </c>
      <c r="B608" s="1" t="n">
        <v>45429</v>
      </c>
      <c r="C608" s="1" t="n">
        <v>45890</v>
      </c>
      <c r="D608" t="inlineStr">
        <is>
          <t>JÄMTLANDS LÄN</t>
        </is>
      </c>
      <c r="E608" t="inlineStr">
        <is>
          <t>RAGUNDA</t>
        </is>
      </c>
      <c r="G608" t="n">
        <v>3.5</v>
      </c>
      <c r="H608" t="n">
        <v>0</v>
      </c>
      <c r="I608" t="n">
        <v>0</v>
      </c>
      <c r="J608" t="n">
        <v>0</v>
      </c>
      <c r="K608" t="n">
        <v>0</v>
      </c>
      <c r="L608" t="n">
        <v>0</v>
      </c>
      <c r="M608" t="n">
        <v>0</v>
      </c>
      <c r="N608" t="n">
        <v>0</v>
      </c>
      <c r="O608" t="n">
        <v>0</v>
      </c>
      <c r="P608" t="n">
        <v>0</v>
      </c>
      <c r="Q608" t="n">
        <v>0</v>
      </c>
      <c r="R608" s="2" t="inlineStr"/>
    </row>
    <row r="609" ht="15" customHeight="1">
      <c r="A609" t="inlineStr">
        <is>
          <t>A 65341-2020</t>
        </is>
      </c>
      <c r="B609" s="1" t="n">
        <v>44173</v>
      </c>
      <c r="C609" s="1" t="n">
        <v>45890</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60629-2023</t>
        </is>
      </c>
      <c r="B610" s="1" t="n">
        <v>45259</v>
      </c>
      <c r="C610" s="1" t="n">
        <v>45890</v>
      </c>
      <c r="D610" t="inlineStr">
        <is>
          <t>JÄMTLANDS LÄN</t>
        </is>
      </c>
      <c r="E610" t="inlineStr">
        <is>
          <t>RAGUNDA</t>
        </is>
      </c>
      <c r="G610" t="n">
        <v>3.4</v>
      </c>
      <c r="H610" t="n">
        <v>0</v>
      </c>
      <c r="I610" t="n">
        <v>0</v>
      </c>
      <c r="J610" t="n">
        <v>0</v>
      </c>
      <c r="K610" t="n">
        <v>0</v>
      </c>
      <c r="L610" t="n">
        <v>0</v>
      </c>
      <c r="M610" t="n">
        <v>0</v>
      </c>
      <c r="N610" t="n">
        <v>0</v>
      </c>
      <c r="O610" t="n">
        <v>0</v>
      </c>
      <c r="P610" t="n">
        <v>0</v>
      </c>
      <c r="Q610" t="n">
        <v>0</v>
      </c>
      <c r="R610" s="2" t="inlineStr"/>
    </row>
    <row r="611" ht="15" customHeight="1">
      <c r="A611" t="inlineStr">
        <is>
          <t>A 8795-2022</t>
        </is>
      </c>
      <c r="B611" s="1" t="n">
        <v>44614</v>
      </c>
      <c r="C611" s="1" t="n">
        <v>45890</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19383-2025</t>
        </is>
      </c>
      <c r="B612" s="1" t="n">
        <v>45769.65688657408</v>
      </c>
      <c r="C612" s="1" t="n">
        <v>45890</v>
      </c>
      <c r="D612" t="inlineStr">
        <is>
          <t>JÄMTLANDS LÄN</t>
        </is>
      </c>
      <c r="E612" t="inlineStr">
        <is>
          <t>RAGUNDA</t>
        </is>
      </c>
      <c r="F612" t="inlineStr">
        <is>
          <t>SCA</t>
        </is>
      </c>
      <c r="G612" t="n">
        <v>6</v>
      </c>
      <c r="H612" t="n">
        <v>0</v>
      </c>
      <c r="I612" t="n">
        <v>0</v>
      </c>
      <c r="J612" t="n">
        <v>0</v>
      </c>
      <c r="K612" t="n">
        <v>0</v>
      </c>
      <c r="L612" t="n">
        <v>0</v>
      </c>
      <c r="M612" t="n">
        <v>0</v>
      </c>
      <c r="N612" t="n">
        <v>0</v>
      </c>
      <c r="O612" t="n">
        <v>0</v>
      </c>
      <c r="P612" t="n">
        <v>0</v>
      </c>
      <c r="Q612" t="n">
        <v>0</v>
      </c>
      <c r="R612" s="2" t="inlineStr"/>
    </row>
    <row r="613" ht="15" customHeight="1">
      <c r="A613" t="inlineStr">
        <is>
          <t>A 49229-2024</t>
        </is>
      </c>
      <c r="B613" s="1" t="n">
        <v>45595.42738425926</v>
      </c>
      <c r="C613" s="1" t="n">
        <v>45890</v>
      </c>
      <c r="D613" t="inlineStr">
        <is>
          <t>JÄMTLANDS LÄN</t>
        </is>
      </c>
      <c r="E613" t="inlineStr">
        <is>
          <t>RAGUNDA</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13700-2023</t>
        </is>
      </c>
      <c r="B614" s="1" t="n">
        <v>45006</v>
      </c>
      <c r="C614" s="1" t="n">
        <v>45890</v>
      </c>
      <c r="D614" t="inlineStr">
        <is>
          <t>JÄMTLANDS LÄN</t>
        </is>
      </c>
      <c r="E614" t="inlineStr">
        <is>
          <t>RAGUNDA</t>
        </is>
      </c>
      <c r="F614" t="inlineStr">
        <is>
          <t>SCA</t>
        </is>
      </c>
      <c r="G614" t="n">
        <v>50.3</v>
      </c>
      <c r="H614" t="n">
        <v>0</v>
      </c>
      <c r="I614" t="n">
        <v>0</v>
      </c>
      <c r="J614" t="n">
        <v>0</v>
      </c>
      <c r="K614" t="n">
        <v>0</v>
      </c>
      <c r="L614" t="n">
        <v>0</v>
      </c>
      <c r="M614" t="n">
        <v>0</v>
      </c>
      <c r="N614" t="n">
        <v>0</v>
      </c>
      <c r="O614" t="n">
        <v>0</v>
      </c>
      <c r="P614" t="n">
        <v>0</v>
      </c>
      <c r="Q614" t="n">
        <v>0</v>
      </c>
      <c r="R614" s="2" t="inlineStr"/>
    </row>
    <row r="615" ht="15" customHeight="1">
      <c r="A615" t="inlineStr">
        <is>
          <t>A 51389-2024</t>
        </is>
      </c>
      <c r="B615" s="1" t="n">
        <v>45604.40540509259</v>
      </c>
      <c r="C615" s="1" t="n">
        <v>45890</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51393-2024</t>
        </is>
      </c>
      <c r="B616" s="1" t="n">
        <v>45604.41625</v>
      </c>
      <c r="C616" s="1" t="n">
        <v>45890</v>
      </c>
      <c r="D616" t="inlineStr">
        <is>
          <t>JÄMTLANDS LÄN</t>
        </is>
      </c>
      <c r="E616" t="inlineStr">
        <is>
          <t>RAGUNDA</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44066-2024</t>
        </is>
      </c>
      <c r="B617" s="1" t="n">
        <v>45572.60363425926</v>
      </c>
      <c r="C617" s="1" t="n">
        <v>45890</v>
      </c>
      <c r="D617" t="inlineStr">
        <is>
          <t>JÄMTLANDS LÄN</t>
        </is>
      </c>
      <c r="E617" t="inlineStr">
        <is>
          <t>RAGUNDA</t>
        </is>
      </c>
      <c r="G617" t="n">
        <v>6.4</v>
      </c>
      <c r="H617" t="n">
        <v>0</v>
      </c>
      <c r="I617" t="n">
        <v>0</v>
      </c>
      <c r="J617" t="n">
        <v>0</v>
      </c>
      <c r="K617" t="n">
        <v>0</v>
      </c>
      <c r="L617" t="n">
        <v>0</v>
      </c>
      <c r="M617" t="n">
        <v>0</v>
      </c>
      <c r="N617" t="n">
        <v>0</v>
      </c>
      <c r="O617" t="n">
        <v>0</v>
      </c>
      <c r="P617" t="n">
        <v>0</v>
      </c>
      <c r="Q617" t="n">
        <v>0</v>
      </c>
      <c r="R617" s="2" t="inlineStr"/>
    </row>
    <row r="618" ht="15" customHeight="1">
      <c r="A618" t="inlineStr">
        <is>
          <t>A 35265-2023</t>
        </is>
      </c>
      <c r="B618" s="1" t="n">
        <v>45145.95326388889</v>
      </c>
      <c r="C618" s="1" t="n">
        <v>45890</v>
      </c>
      <c r="D618" t="inlineStr">
        <is>
          <t>JÄMTLANDS LÄN</t>
        </is>
      </c>
      <c r="E618" t="inlineStr">
        <is>
          <t>RAGUNDA</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5148-2023</t>
        </is>
      </c>
      <c r="B619" s="1" t="n">
        <v>44958</v>
      </c>
      <c r="C619" s="1" t="n">
        <v>45890</v>
      </c>
      <c r="D619" t="inlineStr">
        <is>
          <t>JÄMTLANDS LÄN</t>
        </is>
      </c>
      <c r="E619" t="inlineStr">
        <is>
          <t>RAGUNDA</t>
        </is>
      </c>
      <c r="G619" t="n">
        <v>2.9</v>
      </c>
      <c r="H619" t="n">
        <v>0</v>
      </c>
      <c r="I619" t="n">
        <v>0</v>
      </c>
      <c r="J619" t="n">
        <v>0</v>
      </c>
      <c r="K619" t="n">
        <v>0</v>
      </c>
      <c r="L619" t="n">
        <v>0</v>
      </c>
      <c r="M619" t="n">
        <v>0</v>
      </c>
      <c r="N619" t="n">
        <v>0</v>
      </c>
      <c r="O619" t="n">
        <v>0</v>
      </c>
      <c r="P619" t="n">
        <v>0</v>
      </c>
      <c r="Q619" t="n">
        <v>0</v>
      </c>
      <c r="R619" s="2" t="inlineStr"/>
    </row>
    <row r="620" ht="15" customHeight="1">
      <c r="A620" t="inlineStr">
        <is>
          <t>A 66471-2021</t>
        </is>
      </c>
      <c r="B620" s="1" t="n">
        <v>44518</v>
      </c>
      <c r="C620" s="1" t="n">
        <v>45890</v>
      </c>
      <c r="D620" t="inlineStr">
        <is>
          <t>JÄMTLANDS LÄN</t>
        </is>
      </c>
      <c r="E620" t="inlineStr">
        <is>
          <t>RAGUNDA</t>
        </is>
      </c>
      <c r="G620" t="n">
        <v>13.4</v>
      </c>
      <c r="H620" t="n">
        <v>0</v>
      </c>
      <c r="I620" t="n">
        <v>0</v>
      </c>
      <c r="J620" t="n">
        <v>0</v>
      </c>
      <c r="K620" t="n">
        <v>0</v>
      </c>
      <c r="L620" t="n">
        <v>0</v>
      </c>
      <c r="M620" t="n">
        <v>0</v>
      </c>
      <c r="N620" t="n">
        <v>0</v>
      </c>
      <c r="O620" t="n">
        <v>0</v>
      </c>
      <c r="P620" t="n">
        <v>0</v>
      </c>
      <c r="Q620" t="n">
        <v>0</v>
      </c>
      <c r="R620" s="2" t="inlineStr"/>
    </row>
    <row r="621" ht="15" customHeight="1">
      <c r="A621" t="inlineStr">
        <is>
          <t>A 18778-2024</t>
        </is>
      </c>
      <c r="B621" s="1" t="n">
        <v>45426</v>
      </c>
      <c r="C621" s="1" t="n">
        <v>45890</v>
      </c>
      <c r="D621" t="inlineStr">
        <is>
          <t>JÄMTLANDS LÄN</t>
        </is>
      </c>
      <c r="E621" t="inlineStr">
        <is>
          <t>RAGUNDA</t>
        </is>
      </c>
      <c r="G621" t="n">
        <v>0.9</v>
      </c>
      <c r="H621" t="n">
        <v>0</v>
      </c>
      <c r="I621" t="n">
        <v>0</v>
      </c>
      <c r="J621" t="n">
        <v>0</v>
      </c>
      <c r="K621" t="n">
        <v>0</v>
      </c>
      <c r="L621" t="n">
        <v>0</v>
      </c>
      <c r="M621" t="n">
        <v>0</v>
      </c>
      <c r="N621" t="n">
        <v>0</v>
      </c>
      <c r="O621" t="n">
        <v>0</v>
      </c>
      <c r="P621" t="n">
        <v>0</v>
      </c>
      <c r="Q621" t="n">
        <v>0</v>
      </c>
      <c r="R621" s="2" t="inlineStr"/>
    </row>
    <row r="622" ht="15" customHeight="1">
      <c r="A622" t="inlineStr">
        <is>
          <t>A 59556-2024</t>
        </is>
      </c>
      <c r="B622" s="1" t="n">
        <v>45638.63600694444</v>
      </c>
      <c r="C622" s="1" t="n">
        <v>45890</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22388-2025</t>
        </is>
      </c>
      <c r="B623" s="1" t="n">
        <v>45786.51077546296</v>
      </c>
      <c r="C623" s="1" t="n">
        <v>45890</v>
      </c>
      <c r="D623" t="inlineStr">
        <is>
          <t>JÄMTLANDS LÄN</t>
        </is>
      </c>
      <c r="E623" t="inlineStr">
        <is>
          <t>RAGUNDA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20987-2023</t>
        </is>
      </c>
      <c r="B624" s="1" t="n">
        <v>45056</v>
      </c>
      <c r="C624" s="1" t="n">
        <v>45890</v>
      </c>
      <c r="D624" t="inlineStr">
        <is>
          <t>JÄMTLANDS LÄN</t>
        </is>
      </c>
      <c r="E624" t="inlineStr">
        <is>
          <t>RAGUNDA</t>
        </is>
      </c>
      <c r="G624" t="n">
        <v>1.1</v>
      </c>
      <c r="H624" t="n">
        <v>0</v>
      </c>
      <c r="I624" t="n">
        <v>0</v>
      </c>
      <c r="J624" t="n">
        <v>0</v>
      </c>
      <c r="K624" t="n">
        <v>0</v>
      </c>
      <c r="L624" t="n">
        <v>0</v>
      </c>
      <c r="M624" t="n">
        <v>0</v>
      </c>
      <c r="N624" t="n">
        <v>0</v>
      </c>
      <c r="O624" t="n">
        <v>0</v>
      </c>
      <c r="P624" t="n">
        <v>0</v>
      </c>
      <c r="Q624" t="n">
        <v>0</v>
      </c>
      <c r="R624" s="2" t="inlineStr"/>
    </row>
    <row r="625" ht="15" customHeight="1">
      <c r="A625" t="inlineStr">
        <is>
          <t>A 20994-2023</t>
        </is>
      </c>
      <c r="B625" s="1" t="n">
        <v>45056</v>
      </c>
      <c r="C625" s="1" t="n">
        <v>45890</v>
      </c>
      <c r="D625" t="inlineStr">
        <is>
          <t>JÄMTLANDS LÄN</t>
        </is>
      </c>
      <c r="E625" t="inlineStr">
        <is>
          <t>RAGUNDA</t>
        </is>
      </c>
      <c r="G625" t="n">
        <v>1.3</v>
      </c>
      <c r="H625" t="n">
        <v>0</v>
      </c>
      <c r="I625" t="n">
        <v>0</v>
      </c>
      <c r="J625" t="n">
        <v>0</v>
      </c>
      <c r="K625" t="n">
        <v>0</v>
      </c>
      <c r="L625" t="n">
        <v>0</v>
      </c>
      <c r="M625" t="n">
        <v>0</v>
      </c>
      <c r="N625" t="n">
        <v>0</v>
      </c>
      <c r="O625" t="n">
        <v>0</v>
      </c>
      <c r="P625" t="n">
        <v>0</v>
      </c>
      <c r="Q625" t="n">
        <v>0</v>
      </c>
      <c r="R625" s="2" t="inlineStr"/>
    </row>
    <row r="626" ht="15" customHeight="1">
      <c r="A626" t="inlineStr">
        <is>
          <t>A 55669-2023</t>
        </is>
      </c>
      <c r="B626" s="1" t="n">
        <v>45238.96797453704</v>
      </c>
      <c r="C626" s="1" t="n">
        <v>45890</v>
      </c>
      <c r="D626" t="inlineStr">
        <is>
          <t>JÄMTLANDS LÄN</t>
        </is>
      </c>
      <c r="E626" t="inlineStr">
        <is>
          <t>RAGUNDA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32063-2024</t>
        </is>
      </c>
      <c r="B627" s="1" t="n">
        <v>45510</v>
      </c>
      <c r="C627" s="1" t="n">
        <v>45890</v>
      </c>
      <c r="D627" t="inlineStr">
        <is>
          <t>JÄMTLANDS LÄN</t>
        </is>
      </c>
      <c r="E627" t="inlineStr">
        <is>
          <t>RAGUNDA</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10641-2024</t>
        </is>
      </c>
      <c r="B628" s="1" t="n">
        <v>45367.69850694444</v>
      </c>
      <c r="C628" s="1" t="n">
        <v>45890</v>
      </c>
      <c r="D628" t="inlineStr">
        <is>
          <t>JÄMTLANDS LÄN</t>
        </is>
      </c>
      <c r="E628" t="inlineStr">
        <is>
          <t>RAGUNDA</t>
        </is>
      </c>
      <c r="G628" t="n">
        <v>0.9</v>
      </c>
      <c r="H628" t="n">
        <v>0</v>
      </c>
      <c r="I628" t="n">
        <v>0</v>
      </c>
      <c r="J628" t="n">
        <v>0</v>
      </c>
      <c r="K628" t="n">
        <v>0</v>
      </c>
      <c r="L628" t="n">
        <v>0</v>
      </c>
      <c r="M628" t="n">
        <v>0</v>
      </c>
      <c r="N628" t="n">
        <v>0</v>
      </c>
      <c r="O628" t="n">
        <v>0</v>
      </c>
      <c r="P628" t="n">
        <v>0</v>
      </c>
      <c r="Q628" t="n">
        <v>0</v>
      </c>
      <c r="R628" s="2" t="inlineStr"/>
    </row>
    <row r="629" ht="15" customHeight="1">
      <c r="A629" t="inlineStr">
        <is>
          <t>A 10644-2024</t>
        </is>
      </c>
      <c r="B629" s="1" t="n">
        <v>45367.71348379629</v>
      </c>
      <c r="C629" s="1" t="n">
        <v>45890</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20426-2024</t>
        </is>
      </c>
      <c r="B630" s="1" t="n">
        <v>45435</v>
      </c>
      <c r="C630" s="1" t="n">
        <v>45890</v>
      </c>
      <c r="D630" t="inlineStr">
        <is>
          <t>JÄMTLANDS LÄN</t>
        </is>
      </c>
      <c r="E630" t="inlineStr">
        <is>
          <t>RAGUNDA</t>
        </is>
      </c>
      <c r="G630" t="n">
        <v>2.1</v>
      </c>
      <c r="H630" t="n">
        <v>0</v>
      </c>
      <c r="I630" t="n">
        <v>0</v>
      </c>
      <c r="J630" t="n">
        <v>0</v>
      </c>
      <c r="K630" t="n">
        <v>0</v>
      </c>
      <c r="L630" t="n">
        <v>0</v>
      </c>
      <c r="M630" t="n">
        <v>0</v>
      </c>
      <c r="N630" t="n">
        <v>0</v>
      </c>
      <c r="O630" t="n">
        <v>0</v>
      </c>
      <c r="P630" t="n">
        <v>0</v>
      </c>
      <c r="Q630" t="n">
        <v>0</v>
      </c>
      <c r="R630" s="2" t="inlineStr"/>
    </row>
    <row r="631" ht="15" customHeight="1">
      <c r="A631" t="inlineStr">
        <is>
          <t>A 17742-2022</t>
        </is>
      </c>
      <c r="B631" s="1" t="n">
        <v>44680.95246527778</v>
      </c>
      <c r="C631" s="1" t="n">
        <v>45890</v>
      </c>
      <c r="D631" t="inlineStr">
        <is>
          <t>JÄMTLANDS LÄN</t>
        </is>
      </c>
      <c r="E631" t="inlineStr">
        <is>
          <t>RAGUNDA</t>
        </is>
      </c>
      <c r="F631" t="inlineStr">
        <is>
          <t>SCA</t>
        </is>
      </c>
      <c r="G631" t="n">
        <v>7.2</v>
      </c>
      <c r="H631" t="n">
        <v>0</v>
      </c>
      <c r="I631" t="n">
        <v>0</v>
      </c>
      <c r="J631" t="n">
        <v>0</v>
      </c>
      <c r="K631" t="n">
        <v>0</v>
      </c>
      <c r="L631" t="n">
        <v>0</v>
      </c>
      <c r="M631" t="n">
        <v>0</v>
      </c>
      <c r="N631" t="n">
        <v>0</v>
      </c>
      <c r="O631" t="n">
        <v>0</v>
      </c>
      <c r="P631" t="n">
        <v>0</v>
      </c>
      <c r="Q631" t="n">
        <v>0</v>
      </c>
      <c r="R631" s="2" t="inlineStr"/>
    </row>
    <row r="632" ht="15" customHeight="1">
      <c r="A632" t="inlineStr">
        <is>
          <t>A 16529-2022</t>
        </is>
      </c>
      <c r="B632" s="1" t="n">
        <v>44671</v>
      </c>
      <c r="C632" s="1" t="n">
        <v>45890</v>
      </c>
      <c r="D632" t="inlineStr">
        <is>
          <t>JÄMTLANDS LÄN</t>
        </is>
      </c>
      <c r="E632" t="inlineStr">
        <is>
          <t>RAGUNDA</t>
        </is>
      </c>
      <c r="G632" t="n">
        <v>1.5</v>
      </c>
      <c r="H632" t="n">
        <v>0</v>
      </c>
      <c r="I632" t="n">
        <v>0</v>
      </c>
      <c r="J632" t="n">
        <v>0</v>
      </c>
      <c r="K632" t="n">
        <v>0</v>
      </c>
      <c r="L632" t="n">
        <v>0</v>
      </c>
      <c r="M632" t="n">
        <v>0</v>
      </c>
      <c r="N632" t="n">
        <v>0</v>
      </c>
      <c r="O632" t="n">
        <v>0</v>
      </c>
      <c r="P632" t="n">
        <v>0</v>
      </c>
      <c r="Q632" t="n">
        <v>0</v>
      </c>
      <c r="R632" s="2" t="inlineStr"/>
    </row>
    <row r="633" ht="15" customHeight="1">
      <c r="A633" t="inlineStr">
        <is>
          <t>A 30825-2023</t>
        </is>
      </c>
      <c r="B633" s="1" t="n">
        <v>45112.94310185185</v>
      </c>
      <c r="C633" s="1" t="n">
        <v>45890</v>
      </c>
      <c r="D633" t="inlineStr">
        <is>
          <t>JÄMTLANDS LÄN</t>
        </is>
      </c>
      <c r="E633" t="inlineStr">
        <is>
          <t>RAGUNDA</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61934-2022</t>
        </is>
      </c>
      <c r="B634" s="1" t="n">
        <v>44917</v>
      </c>
      <c r="C634" s="1" t="n">
        <v>45890</v>
      </c>
      <c r="D634" t="inlineStr">
        <is>
          <t>JÄMTLANDS LÄN</t>
        </is>
      </c>
      <c r="E634" t="inlineStr">
        <is>
          <t>RAGUNDA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8678-2023</t>
        </is>
      </c>
      <c r="B635" s="1" t="n">
        <v>44977.98660879629</v>
      </c>
      <c r="C635" s="1" t="n">
        <v>45890</v>
      </c>
      <c r="D635" t="inlineStr">
        <is>
          <t>JÄMTLANDS LÄN</t>
        </is>
      </c>
      <c r="E635" t="inlineStr">
        <is>
          <t>RAGUNDA</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9084-2023</t>
        </is>
      </c>
      <c r="B636" s="1" t="n">
        <v>44979</v>
      </c>
      <c r="C636" s="1" t="n">
        <v>45890</v>
      </c>
      <c r="D636" t="inlineStr">
        <is>
          <t>JÄMTLANDS LÄN</t>
        </is>
      </c>
      <c r="E636" t="inlineStr">
        <is>
          <t>RAGUNDA</t>
        </is>
      </c>
      <c r="G636" t="n">
        <v>1.9</v>
      </c>
      <c r="H636" t="n">
        <v>0</v>
      </c>
      <c r="I636" t="n">
        <v>0</v>
      </c>
      <c r="J636" t="n">
        <v>0</v>
      </c>
      <c r="K636" t="n">
        <v>0</v>
      </c>
      <c r="L636" t="n">
        <v>0</v>
      </c>
      <c r="M636" t="n">
        <v>0</v>
      </c>
      <c r="N636" t="n">
        <v>0</v>
      </c>
      <c r="O636" t="n">
        <v>0</v>
      </c>
      <c r="P636" t="n">
        <v>0</v>
      </c>
      <c r="Q636" t="n">
        <v>0</v>
      </c>
      <c r="R636" s="2" t="inlineStr"/>
    </row>
    <row r="637" ht="15" customHeight="1">
      <c r="A637" t="inlineStr">
        <is>
          <t>A 28742-2023</t>
        </is>
      </c>
      <c r="B637" s="1" t="n">
        <v>45103</v>
      </c>
      <c r="C637" s="1" t="n">
        <v>45890</v>
      </c>
      <c r="D637" t="inlineStr">
        <is>
          <t>JÄMTLANDS LÄN</t>
        </is>
      </c>
      <c r="E637" t="inlineStr">
        <is>
          <t>RAGUNDA</t>
        </is>
      </c>
      <c r="G637" t="n">
        <v>1.8</v>
      </c>
      <c r="H637" t="n">
        <v>0</v>
      </c>
      <c r="I637" t="n">
        <v>0</v>
      </c>
      <c r="J637" t="n">
        <v>0</v>
      </c>
      <c r="K637" t="n">
        <v>0</v>
      </c>
      <c r="L637" t="n">
        <v>0</v>
      </c>
      <c r="M637" t="n">
        <v>0</v>
      </c>
      <c r="N637" t="n">
        <v>0</v>
      </c>
      <c r="O637" t="n">
        <v>0</v>
      </c>
      <c r="P637" t="n">
        <v>0</v>
      </c>
      <c r="Q637" t="n">
        <v>0</v>
      </c>
      <c r="R637" s="2" t="inlineStr"/>
    </row>
    <row r="638" ht="15" customHeight="1">
      <c r="A638" t="inlineStr">
        <is>
          <t>A 9326-2024</t>
        </is>
      </c>
      <c r="B638" s="1" t="n">
        <v>45358.95818287037</v>
      </c>
      <c r="C638" s="1" t="n">
        <v>45890</v>
      </c>
      <c r="D638" t="inlineStr">
        <is>
          <t>JÄMTLANDS LÄN</t>
        </is>
      </c>
      <c r="E638" t="inlineStr">
        <is>
          <t>RAGUNDA</t>
        </is>
      </c>
      <c r="G638" t="n">
        <v>0.7</v>
      </c>
      <c r="H638" t="n">
        <v>0</v>
      </c>
      <c r="I638" t="n">
        <v>0</v>
      </c>
      <c r="J638" t="n">
        <v>0</v>
      </c>
      <c r="K638" t="n">
        <v>0</v>
      </c>
      <c r="L638" t="n">
        <v>0</v>
      </c>
      <c r="M638" t="n">
        <v>0</v>
      </c>
      <c r="N638" t="n">
        <v>0</v>
      </c>
      <c r="O638" t="n">
        <v>0</v>
      </c>
      <c r="P638" t="n">
        <v>0</v>
      </c>
      <c r="Q638" t="n">
        <v>0</v>
      </c>
      <c r="R638" s="2" t="inlineStr"/>
    </row>
    <row r="639" ht="15" customHeight="1">
      <c r="A639" t="inlineStr">
        <is>
          <t>A 17323-2025</t>
        </is>
      </c>
      <c r="B639" s="1" t="n">
        <v>45756.63601851852</v>
      </c>
      <c r="C639" s="1" t="n">
        <v>45890</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7520-2023</t>
        </is>
      </c>
      <c r="B640" s="1" t="n">
        <v>44971</v>
      </c>
      <c r="C640" s="1" t="n">
        <v>45890</v>
      </c>
      <c r="D640" t="inlineStr">
        <is>
          <t>JÄMTLANDS LÄN</t>
        </is>
      </c>
      <c r="E640" t="inlineStr">
        <is>
          <t>RAGUNDA</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21662-2023</t>
        </is>
      </c>
      <c r="B641" s="1" t="n">
        <v>45063</v>
      </c>
      <c r="C641" s="1" t="n">
        <v>45890</v>
      </c>
      <c r="D641" t="inlineStr">
        <is>
          <t>JÄMTLANDS LÄN</t>
        </is>
      </c>
      <c r="E641" t="inlineStr">
        <is>
          <t>RAGUNDA</t>
        </is>
      </c>
      <c r="G641" t="n">
        <v>1.8</v>
      </c>
      <c r="H641" t="n">
        <v>0</v>
      </c>
      <c r="I641" t="n">
        <v>0</v>
      </c>
      <c r="J641" t="n">
        <v>0</v>
      </c>
      <c r="K641" t="n">
        <v>0</v>
      </c>
      <c r="L641" t="n">
        <v>0</v>
      </c>
      <c r="M641" t="n">
        <v>0</v>
      </c>
      <c r="N641" t="n">
        <v>0</v>
      </c>
      <c r="O641" t="n">
        <v>0</v>
      </c>
      <c r="P641" t="n">
        <v>0</v>
      </c>
      <c r="Q641" t="n">
        <v>0</v>
      </c>
      <c r="R641" s="2" t="inlineStr"/>
    </row>
    <row r="642" ht="15" customHeight="1">
      <c r="A642" t="inlineStr">
        <is>
          <t>A 16364-2023</t>
        </is>
      </c>
      <c r="B642" s="1" t="n">
        <v>45028</v>
      </c>
      <c r="C642" s="1" t="n">
        <v>45890</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59136-2023</t>
        </is>
      </c>
      <c r="B643" s="1" t="n">
        <v>45251</v>
      </c>
      <c r="C643" s="1" t="n">
        <v>45890</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44727-2024</t>
        </is>
      </c>
      <c r="B644" s="1" t="n">
        <v>45574.57967592592</v>
      </c>
      <c r="C644" s="1" t="n">
        <v>45890</v>
      </c>
      <c r="D644" t="inlineStr">
        <is>
          <t>JÄMTLANDS LÄN</t>
        </is>
      </c>
      <c r="E644" t="inlineStr">
        <is>
          <t>RAGUNDA</t>
        </is>
      </c>
      <c r="G644" t="n">
        <v>4.7</v>
      </c>
      <c r="H644" t="n">
        <v>0</v>
      </c>
      <c r="I644" t="n">
        <v>0</v>
      </c>
      <c r="J644" t="n">
        <v>0</v>
      </c>
      <c r="K644" t="n">
        <v>0</v>
      </c>
      <c r="L644" t="n">
        <v>0</v>
      </c>
      <c r="M644" t="n">
        <v>0</v>
      </c>
      <c r="N644" t="n">
        <v>0</v>
      </c>
      <c r="O644" t="n">
        <v>0</v>
      </c>
      <c r="P644" t="n">
        <v>0</v>
      </c>
      <c r="Q644" t="n">
        <v>0</v>
      </c>
      <c r="R644" s="2" t="inlineStr"/>
    </row>
    <row r="645" ht="15" customHeight="1">
      <c r="A645" t="inlineStr">
        <is>
          <t>A 49659-2023</t>
        </is>
      </c>
      <c r="B645" s="1" t="n">
        <v>45211.95134259259</v>
      </c>
      <c r="C645" s="1" t="n">
        <v>45890</v>
      </c>
      <c r="D645" t="inlineStr">
        <is>
          <t>JÄMTLANDS LÄN</t>
        </is>
      </c>
      <c r="E645" t="inlineStr">
        <is>
          <t>RAGUNDA</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22898-2025</t>
        </is>
      </c>
      <c r="B646" s="1" t="n">
        <v>45790.40670138889</v>
      </c>
      <c r="C646" s="1" t="n">
        <v>45890</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21083-2024</t>
        </is>
      </c>
      <c r="B647" s="1" t="n">
        <v>45439.92752314815</v>
      </c>
      <c r="C647" s="1" t="n">
        <v>45890</v>
      </c>
      <c r="D647" t="inlineStr">
        <is>
          <t>JÄMTLANDS LÄN</t>
        </is>
      </c>
      <c r="E647" t="inlineStr">
        <is>
          <t>RAGUNDA</t>
        </is>
      </c>
      <c r="G647" t="n">
        <v>1.5</v>
      </c>
      <c r="H647" t="n">
        <v>0</v>
      </c>
      <c r="I647" t="n">
        <v>0</v>
      </c>
      <c r="J647" t="n">
        <v>0</v>
      </c>
      <c r="K647" t="n">
        <v>0</v>
      </c>
      <c r="L647" t="n">
        <v>0</v>
      </c>
      <c r="M647" t="n">
        <v>0</v>
      </c>
      <c r="N647" t="n">
        <v>0</v>
      </c>
      <c r="O647" t="n">
        <v>0</v>
      </c>
      <c r="P647" t="n">
        <v>0</v>
      </c>
      <c r="Q647" t="n">
        <v>0</v>
      </c>
      <c r="R647" s="2" t="inlineStr"/>
    </row>
    <row r="648" ht="15" customHeight="1">
      <c r="A648" t="inlineStr">
        <is>
          <t>A 462-2023</t>
        </is>
      </c>
      <c r="B648" s="1" t="n">
        <v>44929</v>
      </c>
      <c r="C648" s="1" t="n">
        <v>45890</v>
      </c>
      <c r="D648" t="inlineStr">
        <is>
          <t>JÄMTLANDS LÄN</t>
        </is>
      </c>
      <c r="E648" t="inlineStr">
        <is>
          <t>RAGUNDA</t>
        </is>
      </c>
      <c r="G648" t="n">
        <v>4.5</v>
      </c>
      <c r="H648" t="n">
        <v>0</v>
      </c>
      <c r="I648" t="n">
        <v>0</v>
      </c>
      <c r="J648" t="n">
        <v>0</v>
      </c>
      <c r="K648" t="n">
        <v>0</v>
      </c>
      <c r="L648" t="n">
        <v>0</v>
      </c>
      <c r="M648" t="n">
        <v>0</v>
      </c>
      <c r="N648" t="n">
        <v>0</v>
      </c>
      <c r="O648" t="n">
        <v>0</v>
      </c>
      <c r="P648" t="n">
        <v>0</v>
      </c>
      <c r="Q648" t="n">
        <v>0</v>
      </c>
      <c r="R648" s="2" t="inlineStr"/>
    </row>
    <row r="649" ht="15" customHeight="1">
      <c r="A649" t="inlineStr">
        <is>
          <t>A 23253-2025</t>
        </is>
      </c>
      <c r="B649" s="1" t="n">
        <v>45791.53238425926</v>
      </c>
      <c r="C649" s="1" t="n">
        <v>45890</v>
      </c>
      <c r="D649" t="inlineStr">
        <is>
          <t>JÄMTLANDS LÄN</t>
        </is>
      </c>
      <c r="E649" t="inlineStr">
        <is>
          <t>RAGUNDA</t>
        </is>
      </c>
      <c r="G649" t="n">
        <v>0.7</v>
      </c>
      <c r="H649" t="n">
        <v>0</v>
      </c>
      <c r="I649" t="n">
        <v>0</v>
      </c>
      <c r="J649" t="n">
        <v>0</v>
      </c>
      <c r="K649" t="n">
        <v>0</v>
      </c>
      <c r="L649" t="n">
        <v>0</v>
      </c>
      <c r="M649" t="n">
        <v>0</v>
      </c>
      <c r="N649" t="n">
        <v>0</v>
      </c>
      <c r="O649" t="n">
        <v>0</v>
      </c>
      <c r="P649" t="n">
        <v>0</v>
      </c>
      <c r="Q649" t="n">
        <v>0</v>
      </c>
      <c r="R649" s="2" t="inlineStr"/>
    </row>
    <row r="650" ht="15" customHeight="1">
      <c r="A650" t="inlineStr">
        <is>
          <t>A 50521-2024</t>
        </is>
      </c>
      <c r="B650" s="1" t="n">
        <v>45601.55331018518</v>
      </c>
      <c r="C650" s="1" t="n">
        <v>45890</v>
      </c>
      <c r="D650" t="inlineStr">
        <is>
          <t>JÄMTLANDS LÄN</t>
        </is>
      </c>
      <c r="E650" t="inlineStr">
        <is>
          <t>RAGUNDA</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4916-2025</t>
        </is>
      </c>
      <c r="B651" s="1" t="n">
        <v>45688.68196759259</v>
      </c>
      <c r="C651" s="1" t="n">
        <v>45890</v>
      </c>
      <c r="D651" t="inlineStr">
        <is>
          <t>JÄMTLANDS LÄN</t>
        </is>
      </c>
      <c r="E651" t="inlineStr">
        <is>
          <t>RAGUNDA</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12050-2023</t>
        </is>
      </c>
      <c r="B652" s="1" t="n">
        <v>44995.98644675926</v>
      </c>
      <c r="C652" s="1" t="n">
        <v>45890</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62358-2023</t>
        </is>
      </c>
      <c r="B653" s="1" t="n">
        <v>45267</v>
      </c>
      <c r="C653" s="1" t="n">
        <v>45890</v>
      </c>
      <c r="D653" t="inlineStr">
        <is>
          <t>JÄMTLANDS LÄN</t>
        </is>
      </c>
      <c r="E653" t="inlineStr">
        <is>
          <t>RAGUNDA</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23413-2025</t>
        </is>
      </c>
      <c r="B654" s="1" t="n">
        <v>45792.34606481482</v>
      </c>
      <c r="C654" s="1" t="n">
        <v>45890</v>
      </c>
      <c r="D654" t="inlineStr">
        <is>
          <t>JÄMTLANDS LÄN</t>
        </is>
      </c>
      <c r="E654" t="inlineStr">
        <is>
          <t>RAGUNDA</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59557-2023</t>
        </is>
      </c>
      <c r="B655" s="1" t="n">
        <v>45253</v>
      </c>
      <c r="C655" s="1" t="n">
        <v>45890</v>
      </c>
      <c r="D655" t="inlineStr">
        <is>
          <t>JÄMTLANDS LÄN</t>
        </is>
      </c>
      <c r="E655" t="inlineStr">
        <is>
          <t>RAGUNDA</t>
        </is>
      </c>
      <c r="G655" t="n">
        <v>1</v>
      </c>
      <c r="H655" t="n">
        <v>0</v>
      </c>
      <c r="I655" t="n">
        <v>0</v>
      </c>
      <c r="J655" t="n">
        <v>0</v>
      </c>
      <c r="K655" t="n">
        <v>0</v>
      </c>
      <c r="L655" t="n">
        <v>0</v>
      </c>
      <c r="M655" t="n">
        <v>0</v>
      </c>
      <c r="N655" t="n">
        <v>0</v>
      </c>
      <c r="O655" t="n">
        <v>0</v>
      </c>
      <c r="P655" t="n">
        <v>0</v>
      </c>
      <c r="Q655" t="n">
        <v>0</v>
      </c>
      <c r="R655" s="2" t="inlineStr"/>
    </row>
    <row r="656" ht="15" customHeight="1">
      <c r="A656" t="inlineStr">
        <is>
          <t>A 23586-2025</t>
        </is>
      </c>
      <c r="B656" s="1" t="n">
        <v>45792.63584490741</v>
      </c>
      <c r="C656" s="1" t="n">
        <v>45890</v>
      </c>
      <c r="D656" t="inlineStr">
        <is>
          <t>JÄMTLANDS LÄN</t>
        </is>
      </c>
      <c r="E656" t="inlineStr">
        <is>
          <t>RAGUNDA</t>
        </is>
      </c>
      <c r="F656" t="inlineStr">
        <is>
          <t>SCA</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23841-2025</t>
        </is>
      </c>
      <c r="B657" s="1" t="n">
        <v>45793.61523148148</v>
      </c>
      <c r="C657" s="1" t="n">
        <v>45890</v>
      </c>
      <c r="D657" t="inlineStr">
        <is>
          <t>JÄMTLANDS LÄN</t>
        </is>
      </c>
      <c r="E657" t="inlineStr">
        <is>
          <t>RAGUNDA</t>
        </is>
      </c>
      <c r="F657" t="inlineStr">
        <is>
          <t>SCA</t>
        </is>
      </c>
      <c r="G657" t="n">
        <v>0.6</v>
      </c>
      <c r="H657" t="n">
        <v>0</v>
      </c>
      <c r="I657" t="n">
        <v>0</v>
      </c>
      <c r="J657" t="n">
        <v>0</v>
      </c>
      <c r="K657" t="n">
        <v>0</v>
      </c>
      <c r="L657" t="n">
        <v>0</v>
      </c>
      <c r="M657" t="n">
        <v>0</v>
      </c>
      <c r="N657" t="n">
        <v>0</v>
      </c>
      <c r="O657" t="n">
        <v>0</v>
      </c>
      <c r="P657" t="n">
        <v>0</v>
      </c>
      <c r="Q657" t="n">
        <v>0</v>
      </c>
      <c r="R657" s="2" t="inlineStr"/>
    </row>
    <row r="658" ht="15" customHeight="1">
      <c r="A658" t="inlineStr">
        <is>
          <t>A 18820-2023</t>
        </is>
      </c>
      <c r="B658" s="1" t="n">
        <v>45042</v>
      </c>
      <c r="C658" s="1" t="n">
        <v>45890</v>
      </c>
      <c r="D658" t="inlineStr">
        <is>
          <t>JÄMTLANDS LÄN</t>
        </is>
      </c>
      <c r="E658" t="inlineStr">
        <is>
          <t>RAGUNDA</t>
        </is>
      </c>
      <c r="G658" t="n">
        <v>18.8</v>
      </c>
      <c r="H658" t="n">
        <v>0</v>
      </c>
      <c r="I658" t="n">
        <v>0</v>
      </c>
      <c r="J658" t="n">
        <v>0</v>
      </c>
      <c r="K658" t="n">
        <v>0</v>
      </c>
      <c r="L658" t="n">
        <v>0</v>
      </c>
      <c r="M658" t="n">
        <v>0</v>
      </c>
      <c r="N658" t="n">
        <v>0</v>
      </c>
      <c r="O658" t="n">
        <v>0</v>
      </c>
      <c r="P658" t="n">
        <v>0</v>
      </c>
      <c r="Q658" t="n">
        <v>0</v>
      </c>
      <c r="R658" s="2" t="inlineStr"/>
    </row>
    <row r="659" ht="15" customHeight="1">
      <c r="A659" t="inlineStr">
        <is>
          <t>A 23507-2025</t>
        </is>
      </c>
      <c r="B659" s="1" t="n">
        <v>45792.49023148148</v>
      </c>
      <c r="C659" s="1" t="n">
        <v>45890</v>
      </c>
      <c r="D659" t="inlineStr">
        <is>
          <t>JÄMTLANDS LÄN</t>
        </is>
      </c>
      <c r="E659" t="inlineStr">
        <is>
          <t>RAGUNDA</t>
        </is>
      </c>
      <c r="F659" t="inlineStr">
        <is>
          <t>SCA</t>
        </is>
      </c>
      <c r="G659" t="n">
        <v>16.4</v>
      </c>
      <c r="H659" t="n">
        <v>0</v>
      </c>
      <c r="I659" t="n">
        <v>0</v>
      </c>
      <c r="J659" t="n">
        <v>0</v>
      </c>
      <c r="K659" t="n">
        <v>0</v>
      </c>
      <c r="L659" t="n">
        <v>0</v>
      </c>
      <c r="M659" t="n">
        <v>0</v>
      </c>
      <c r="N659" t="n">
        <v>0</v>
      </c>
      <c r="O659" t="n">
        <v>0</v>
      </c>
      <c r="P659" t="n">
        <v>0</v>
      </c>
      <c r="Q659" t="n">
        <v>0</v>
      </c>
      <c r="R659" s="2" t="inlineStr"/>
    </row>
    <row r="660" ht="15" customHeight="1">
      <c r="A660" t="inlineStr">
        <is>
          <t>A 23840-2025</t>
        </is>
      </c>
      <c r="B660" s="1" t="n">
        <v>45793</v>
      </c>
      <c r="C660" s="1" t="n">
        <v>45890</v>
      </c>
      <c r="D660" t="inlineStr">
        <is>
          <t>JÄMTLANDS LÄN</t>
        </is>
      </c>
      <c r="E660" t="inlineStr">
        <is>
          <t>RAGUNDA</t>
        </is>
      </c>
      <c r="G660" t="n">
        <v>0.8</v>
      </c>
      <c r="H660" t="n">
        <v>0</v>
      </c>
      <c r="I660" t="n">
        <v>0</v>
      </c>
      <c r="J660" t="n">
        <v>0</v>
      </c>
      <c r="K660" t="n">
        <v>0</v>
      </c>
      <c r="L660" t="n">
        <v>0</v>
      </c>
      <c r="M660" t="n">
        <v>0</v>
      </c>
      <c r="N660" t="n">
        <v>0</v>
      </c>
      <c r="O660" t="n">
        <v>0</v>
      </c>
      <c r="P660" t="n">
        <v>0</v>
      </c>
      <c r="Q660" t="n">
        <v>0</v>
      </c>
      <c r="R660" s="2" t="inlineStr"/>
    </row>
    <row r="661" ht="15" customHeight="1">
      <c r="A661" t="inlineStr">
        <is>
          <t>A 57112-2024</t>
        </is>
      </c>
      <c r="B661" s="1" t="n">
        <v>45629.36486111111</v>
      </c>
      <c r="C661" s="1" t="n">
        <v>45890</v>
      </c>
      <c r="D661" t="inlineStr">
        <is>
          <t>JÄMTLANDS LÄN</t>
        </is>
      </c>
      <c r="E661" t="inlineStr">
        <is>
          <t>RAGUNDA</t>
        </is>
      </c>
      <c r="G661" t="n">
        <v>0.7</v>
      </c>
      <c r="H661" t="n">
        <v>0</v>
      </c>
      <c r="I661" t="n">
        <v>0</v>
      </c>
      <c r="J661" t="n">
        <v>0</v>
      </c>
      <c r="K661" t="n">
        <v>0</v>
      </c>
      <c r="L661" t="n">
        <v>0</v>
      </c>
      <c r="M661" t="n">
        <v>0</v>
      </c>
      <c r="N661" t="n">
        <v>0</v>
      </c>
      <c r="O661" t="n">
        <v>0</v>
      </c>
      <c r="P661" t="n">
        <v>0</v>
      </c>
      <c r="Q661" t="n">
        <v>0</v>
      </c>
      <c r="R661" s="2" t="inlineStr"/>
    </row>
    <row r="662" ht="15" customHeight="1">
      <c r="A662" t="inlineStr">
        <is>
          <t>A 53136-2024</t>
        </is>
      </c>
      <c r="B662" s="1" t="n">
        <v>45611.5953125</v>
      </c>
      <c r="C662" s="1" t="n">
        <v>45890</v>
      </c>
      <c r="D662" t="inlineStr">
        <is>
          <t>JÄMTLANDS LÄN</t>
        </is>
      </c>
      <c r="E662" t="inlineStr">
        <is>
          <t>RAGUNDA</t>
        </is>
      </c>
      <c r="G662" t="n">
        <v>3.8</v>
      </c>
      <c r="H662" t="n">
        <v>0</v>
      </c>
      <c r="I662" t="n">
        <v>0</v>
      </c>
      <c r="J662" t="n">
        <v>0</v>
      </c>
      <c r="K662" t="n">
        <v>0</v>
      </c>
      <c r="L662" t="n">
        <v>0</v>
      </c>
      <c r="M662" t="n">
        <v>0</v>
      </c>
      <c r="N662" t="n">
        <v>0</v>
      </c>
      <c r="O662" t="n">
        <v>0</v>
      </c>
      <c r="P662" t="n">
        <v>0</v>
      </c>
      <c r="Q662" t="n">
        <v>0</v>
      </c>
      <c r="R662" s="2" t="inlineStr"/>
    </row>
    <row r="663" ht="15" customHeight="1">
      <c r="A663" t="inlineStr">
        <is>
          <t>A 23654-2025</t>
        </is>
      </c>
      <c r="B663" s="1" t="n">
        <v>45792.71905092592</v>
      </c>
      <c r="C663" s="1" t="n">
        <v>45890</v>
      </c>
      <c r="D663" t="inlineStr">
        <is>
          <t>JÄMTLANDS LÄN</t>
        </is>
      </c>
      <c r="E663" t="inlineStr">
        <is>
          <t>RAGUNDA</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33621-2023</t>
        </is>
      </c>
      <c r="B664" s="1" t="n">
        <v>45119</v>
      </c>
      <c r="C664" s="1" t="n">
        <v>45890</v>
      </c>
      <c r="D664" t="inlineStr">
        <is>
          <t>JÄMTLANDS LÄN</t>
        </is>
      </c>
      <c r="E664" t="inlineStr">
        <is>
          <t>RAGUNDA</t>
        </is>
      </c>
      <c r="G664" t="n">
        <v>0.5</v>
      </c>
      <c r="H664" t="n">
        <v>0</v>
      </c>
      <c r="I664" t="n">
        <v>0</v>
      </c>
      <c r="J664" t="n">
        <v>0</v>
      </c>
      <c r="K664" t="n">
        <v>0</v>
      </c>
      <c r="L664" t="n">
        <v>0</v>
      </c>
      <c r="M664" t="n">
        <v>0</v>
      </c>
      <c r="N664" t="n">
        <v>0</v>
      </c>
      <c r="O664" t="n">
        <v>0</v>
      </c>
      <c r="P664" t="n">
        <v>0</v>
      </c>
      <c r="Q664" t="n">
        <v>0</v>
      </c>
      <c r="R664" s="2" t="inlineStr"/>
    </row>
    <row r="665" ht="15" customHeight="1">
      <c r="A665" t="inlineStr">
        <is>
          <t>A 49648-2023</t>
        </is>
      </c>
      <c r="B665" s="1" t="n">
        <v>45211.95061342593</v>
      </c>
      <c r="C665" s="1" t="n">
        <v>45890</v>
      </c>
      <c r="D665" t="inlineStr">
        <is>
          <t>JÄMTLANDS LÄN</t>
        </is>
      </c>
      <c r="E665" t="inlineStr">
        <is>
          <t>RAGUNDA</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6694-2024</t>
        </is>
      </c>
      <c r="B666" s="1" t="n">
        <v>45341.95381944445</v>
      </c>
      <c r="C666" s="1" t="n">
        <v>45890</v>
      </c>
      <c r="D666" t="inlineStr">
        <is>
          <t>JÄMTLANDS LÄN</t>
        </is>
      </c>
      <c r="E666" t="inlineStr">
        <is>
          <t>RAGUNDA</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1537-2024</t>
        </is>
      </c>
      <c r="B667" s="1" t="n">
        <v>45306</v>
      </c>
      <c r="C667" s="1" t="n">
        <v>45890</v>
      </c>
      <c r="D667" t="inlineStr">
        <is>
          <t>JÄMTLANDS LÄN</t>
        </is>
      </c>
      <c r="E667" t="inlineStr">
        <is>
          <t>RAGUNDA</t>
        </is>
      </c>
      <c r="G667" t="n">
        <v>0.2</v>
      </c>
      <c r="H667" t="n">
        <v>0</v>
      </c>
      <c r="I667" t="n">
        <v>0</v>
      </c>
      <c r="J667" t="n">
        <v>0</v>
      </c>
      <c r="K667" t="n">
        <v>0</v>
      </c>
      <c r="L667" t="n">
        <v>0</v>
      </c>
      <c r="M667" t="n">
        <v>0</v>
      </c>
      <c r="N667" t="n">
        <v>0</v>
      </c>
      <c r="O667" t="n">
        <v>0</v>
      </c>
      <c r="P667" t="n">
        <v>0</v>
      </c>
      <c r="Q667" t="n">
        <v>0</v>
      </c>
      <c r="R667" s="2" t="inlineStr"/>
    </row>
    <row r="668" ht="15" customHeight="1">
      <c r="A668" t="inlineStr">
        <is>
          <t>A 51537-2022</t>
        </is>
      </c>
      <c r="B668" s="1" t="n">
        <v>44869</v>
      </c>
      <c r="C668" s="1" t="n">
        <v>45890</v>
      </c>
      <c r="D668" t="inlineStr">
        <is>
          <t>JÄMTLANDS LÄN</t>
        </is>
      </c>
      <c r="E668" t="inlineStr">
        <is>
          <t>RAGUNDA</t>
        </is>
      </c>
      <c r="G668" t="n">
        <v>1.8</v>
      </c>
      <c r="H668" t="n">
        <v>0</v>
      </c>
      <c r="I668" t="n">
        <v>0</v>
      </c>
      <c r="J668" t="n">
        <v>0</v>
      </c>
      <c r="K668" t="n">
        <v>0</v>
      </c>
      <c r="L668" t="n">
        <v>0</v>
      </c>
      <c r="M668" t="n">
        <v>0</v>
      </c>
      <c r="N668" t="n">
        <v>0</v>
      </c>
      <c r="O668" t="n">
        <v>0</v>
      </c>
      <c r="P668" t="n">
        <v>0</v>
      </c>
      <c r="Q668" t="n">
        <v>0</v>
      </c>
      <c r="R668" s="2" t="inlineStr"/>
    </row>
    <row r="669" ht="15" customHeight="1">
      <c r="A669" t="inlineStr">
        <is>
          <t>A 59044-2022</t>
        </is>
      </c>
      <c r="B669" s="1" t="n">
        <v>44903</v>
      </c>
      <c r="C669" s="1" t="n">
        <v>45890</v>
      </c>
      <c r="D669" t="inlineStr">
        <is>
          <t>JÄMTLANDS LÄN</t>
        </is>
      </c>
      <c r="E669" t="inlineStr">
        <is>
          <t>RAGUNDA</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60935-2024</t>
        </is>
      </c>
      <c r="B670" s="1" t="n">
        <v>45645.36740740741</v>
      </c>
      <c r="C670" s="1" t="n">
        <v>45890</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23405-2025</t>
        </is>
      </c>
      <c r="B671" s="1" t="n">
        <v>45792.34527777778</v>
      </c>
      <c r="C671" s="1" t="n">
        <v>45890</v>
      </c>
      <c r="D671" t="inlineStr">
        <is>
          <t>JÄMTLANDS LÄN</t>
        </is>
      </c>
      <c r="E671" t="inlineStr">
        <is>
          <t>RAGUNDA</t>
        </is>
      </c>
      <c r="F671" t="inlineStr">
        <is>
          <t>SCA</t>
        </is>
      </c>
      <c r="G671" t="n">
        <v>0.6</v>
      </c>
      <c r="H671" t="n">
        <v>0</v>
      </c>
      <c r="I671" t="n">
        <v>0</v>
      </c>
      <c r="J671" t="n">
        <v>0</v>
      </c>
      <c r="K671" t="n">
        <v>0</v>
      </c>
      <c r="L671" t="n">
        <v>0</v>
      </c>
      <c r="M671" t="n">
        <v>0</v>
      </c>
      <c r="N671" t="n">
        <v>0</v>
      </c>
      <c r="O671" t="n">
        <v>0</v>
      </c>
      <c r="P671" t="n">
        <v>0</v>
      </c>
      <c r="Q671" t="n">
        <v>0</v>
      </c>
      <c r="R671" s="2" t="inlineStr"/>
    </row>
    <row r="672" ht="15" customHeight="1">
      <c r="A672" t="inlineStr">
        <is>
          <t>A 5958-2023</t>
        </is>
      </c>
      <c r="B672" s="1" t="n">
        <v>44963</v>
      </c>
      <c r="C672" s="1" t="n">
        <v>45890</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6257-2025</t>
        </is>
      </c>
      <c r="B673" s="1" t="n">
        <v>45698.59409722222</v>
      </c>
      <c r="C673" s="1" t="n">
        <v>45890</v>
      </c>
      <c r="D673" t="inlineStr">
        <is>
          <t>JÄMTLANDS LÄN</t>
        </is>
      </c>
      <c r="E673" t="inlineStr">
        <is>
          <t>RAGUNDA</t>
        </is>
      </c>
      <c r="F673" t="inlineStr">
        <is>
          <t>SCA</t>
        </is>
      </c>
      <c r="G673" t="n">
        <v>7</v>
      </c>
      <c r="H673" t="n">
        <v>0</v>
      </c>
      <c r="I673" t="n">
        <v>0</v>
      </c>
      <c r="J673" t="n">
        <v>0</v>
      </c>
      <c r="K673" t="n">
        <v>0</v>
      </c>
      <c r="L673" t="n">
        <v>0</v>
      </c>
      <c r="M673" t="n">
        <v>0</v>
      </c>
      <c r="N673" t="n">
        <v>0</v>
      </c>
      <c r="O673" t="n">
        <v>0</v>
      </c>
      <c r="P673" t="n">
        <v>0</v>
      </c>
      <c r="Q673" t="n">
        <v>0</v>
      </c>
      <c r="R673" s="2" t="inlineStr"/>
    </row>
    <row r="674" ht="15" customHeight="1">
      <c r="A674" t="inlineStr">
        <is>
          <t>A 14074-2023</t>
        </is>
      </c>
      <c r="B674" s="1" t="n">
        <v>45009.089375</v>
      </c>
      <c r="C674" s="1" t="n">
        <v>45890</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37265-2024</t>
        </is>
      </c>
      <c r="B675" s="1" t="n">
        <v>45540.38564814815</v>
      </c>
      <c r="C675" s="1" t="n">
        <v>45890</v>
      </c>
      <c r="D675" t="inlineStr">
        <is>
          <t>JÄMTLANDS LÄN</t>
        </is>
      </c>
      <c r="E675" t="inlineStr">
        <is>
          <t>RAGUNDA</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8779-2025</t>
        </is>
      </c>
      <c r="B676" s="1" t="n">
        <v>45712.61552083334</v>
      </c>
      <c r="C676" s="1" t="n">
        <v>45890</v>
      </c>
      <c r="D676" t="inlineStr">
        <is>
          <t>JÄMTLANDS LÄN</t>
        </is>
      </c>
      <c r="E676" t="inlineStr">
        <is>
          <t>RAGUNDA</t>
        </is>
      </c>
      <c r="F676" t="inlineStr">
        <is>
          <t>SCA</t>
        </is>
      </c>
      <c r="G676" t="n">
        <v>4.9</v>
      </c>
      <c r="H676" t="n">
        <v>0</v>
      </c>
      <c r="I676" t="n">
        <v>0</v>
      </c>
      <c r="J676" t="n">
        <v>0</v>
      </c>
      <c r="K676" t="n">
        <v>0</v>
      </c>
      <c r="L676" t="n">
        <v>0</v>
      </c>
      <c r="M676" t="n">
        <v>0</v>
      </c>
      <c r="N676" t="n">
        <v>0</v>
      </c>
      <c r="O676" t="n">
        <v>0</v>
      </c>
      <c r="P676" t="n">
        <v>0</v>
      </c>
      <c r="Q676" t="n">
        <v>0</v>
      </c>
      <c r="R676" s="2" t="inlineStr"/>
    </row>
    <row r="677" ht="15" customHeight="1">
      <c r="A677" t="inlineStr">
        <is>
          <t>A 24157-2025</t>
        </is>
      </c>
      <c r="B677" s="1" t="n">
        <v>45796</v>
      </c>
      <c r="C677" s="1" t="n">
        <v>45890</v>
      </c>
      <c r="D677" t="inlineStr">
        <is>
          <t>JÄMTLANDS LÄN</t>
        </is>
      </c>
      <c r="E677" t="inlineStr">
        <is>
          <t>RAGUNDA</t>
        </is>
      </c>
      <c r="G677" t="n">
        <v>1.1</v>
      </c>
      <c r="H677" t="n">
        <v>0</v>
      </c>
      <c r="I677" t="n">
        <v>0</v>
      </c>
      <c r="J677" t="n">
        <v>0</v>
      </c>
      <c r="K677" t="n">
        <v>0</v>
      </c>
      <c r="L677" t="n">
        <v>0</v>
      </c>
      <c r="M677" t="n">
        <v>0</v>
      </c>
      <c r="N677" t="n">
        <v>0</v>
      </c>
      <c r="O677" t="n">
        <v>0</v>
      </c>
      <c r="P677" t="n">
        <v>0</v>
      </c>
      <c r="Q677" t="n">
        <v>0</v>
      </c>
      <c r="R677" s="2" t="inlineStr"/>
    </row>
    <row r="678" ht="15" customHeight="1">
      <c r="A678" t="inlineStr">
        <is>
          <t>A 40051-2020</t>
        </is>
      </c>
      <c r="B678" s="1" t="n">
        <v>44067</v>
      </c>
      <c r="C678" s="1" t="n">
        <v>45890</v>
      </c>
      <c r="D678" t="inlineStr">
        <is>
          <t>JÄMTLANDS LÄN</t>
        </is>
      </c>
      <c r="E678" t="inlineStr">
        <is>
          <t>RAGUNDA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61400-2022</t>
        </is>
      </c>
      <c r="B679" s="1" t="n">
        <v>44915</v>
      </c>
      <c r="C679" s="1" t="n">
        <v>45890</v>
      </c>
      <c r="D679" t="inlineStr">
        <is>
          <t>JÄMTLANDS LÄN</t>
        </is>
      </c>
      <c r="E679" t="inlineStr">
        <is>
          <t>RAGUNDA</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4348-2023</t>
        </is>
      </c>
      <c r="B680" s="1" t="n">
        <v>44953</v>
      </c>
      <c r="C680" s="1" t="n">
        <v>45890</v>
      </c>
      <c r="D680" t="inlineStr">
        <is>
          <t>JÄMTLANDS LÄN</t>
        </is>
      </c>
      <c r="E680" t="inlineStr">
        <is>
          <t>RAGUNDA</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18284-2025</t>
        </is>
      </c>
      <c r="B681" s="1" t="n">
        <v>45762.39876157408</v>
      </c>
      <c r="C681" s="1" t="n">
        <v>45890</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c r="U681">
        <f>HYPERLINK("https://klasma.github.io/Logging_2303/knärot/A 18284-2025 karta knärot.png", "A 18284-2025")</f>
        <v/>
      </c>
      <c r="V681">
        <f>HYPERLINK("https://klasma.github.io/Logging_2303/klagomål/A 18284-2025 FSC-klagomål.docx", "A 18284-2025")</f>
        <v/>
      </c>
      <c r="W681">
        <f>HYPERLINK("https://klasma.github.io/Logging_2303/klagomålsmail/A 18284-2025 FSC-klagomål mail.docx", "A 18284-2025")</f>
        <v/>
      </c>
      <c r="X681">
        <f>HYPERLINK("https://klasma.github.io/Logging_2303/tillsyn/A 18284-2025 tillsynsbegäran.docx", "A 18284-2025")</f>
        <v/>
      </c>
      <c r="Y681">
        <f>HYPERLINK("https://klasma.github.io/Logging_2303/tillsynsmail/A 18284-2025 tillsynsbegäran mail.docx", "A 18284-2025")</f>
        <v/>
      </c>
    </row>
    <row r="682" ht="15" customHeight="1">
      <c r="A682" t="inlineStr">
        <is>
          <t>A 56286-2023</t>
        </is>
      </c>
      <c r="B682" s="1" t="n">
        <v>45241.95741898148</v>
      </c>
      <c r="C682" s="1" t="n">
        <v>45890</v>
      </c>
      <c r="D682" t="inlineStr">
        <is>
          <t>JÄMTLANDS LÄN</t>
        </is>
      </c>
      <c r="E682" t="inlineStr">
        <is>
          <t>RAGUNDA</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56287-2023</t>
        </is>
      </c>
      <c r="B683" s="1" t="n">
        <v>45241</v>
      </c>
      <c r="C683" s="1" t="n">
        <v>45890</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62135-2024</t>
        </is>
      </c>
      <c r="B684" s="1" t="n">
        <v>45656.64223379629</v>
      </c>
      <c r="C684" s="1" t="n">
        <v>45890</v>
      </c>
      <c r="D684" t="inlineStr">
        <is>
          <t>JÄMTLANDS LÄN</t>
        </is>
      </c>
      <c r="E684" t="inlineStr">
        <is>
          <t>RAGUNDA</t>
        </is>
      </c>
      <c r="G684" t="n">
        <v>1.5</v>
      </c>
      <c r="H684" t="n">
        <v>0</v>
      </c>
      <c r="I684" t="n">
        <v>0</v>
      </c>
      <c r="J684" t="n">
        <v>0</v>
      </c>
      <c r="K684" t="n">
        <v>0</v>
      </c>
      <c r="L684" t="n">
        <v>0</v>
      </c>
      <c r="M684" t="n">
        <v>0</v>
      </c>
      <c r="N684" t="n">
        <v>0</v>
      </c>
      <c r="O684" t="n">
        <v>0</v>
      </c>
      <c r="P684" t="n">
        <v>0</v>
      </c>
      <c r="Q684" t="n">
        <v>0</v>
      </c>
      <c r="R684" s="2" t="inlineStr"/>
    </row>
    <row r="685" ht="15" customHeight="1">
      <c r="A685" t="inlineStr">
        <is>
          <t>A 19263-2025</t>
        </is>
      </c>
      <c r="B685" s="1" t="n">
        <v>45769.51075231482</v>
      </c>
      <c r="C685" s="1" t="n">
        <v>45890</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18777-2024</t>
        </is>
      </c>
      <c r="B686" s="1" t="n">
        <v>45426</v>
      </c>
      <c r="C686" s="1" t="n">
        <v>45890</v>
      </c>
      <c r="D686" t="inlineStr">
        <is>
          <t>JÄMTLANDS LÄN</t>
        </is>
      </c>
      <c r="E686" t="inlineStr">
        <is>
          <t>RAGUNDA</t>
        </is>
      </c>
      <c r="G686" t="n">
        <v>1.9</v>
      </c>
      <c r="H686" t="n">
        <v>0</v>
      </c>
      <c r="I686" t="n">
        <v>0</v>
      </c>
      <c r="J686" t="n">
        <v>0</v>
      </c>
      <c r="K686" t="n">
        <v>0</v>
      </c>
      <c r="L686" t="n">
        <v>0</v>
      </c>
      <c r="M686" t="n">
        <v>0</v>
      </c>
      <c r="N686" t="n">
        <v>0</v>
      </c>
      <c r="O686" t="n">
        <v>0</v>
      </c>
      <c r="P686" t="n">
        <v>0</v>
      </c>
      <c r="Q686" t="n">
        <v>0</v>
      </c>
      <c r="R686" s="2" t="inlineStr"/>
    </row>
    <row r="687" ht="15" customHeight="1">
      <c r="A687" t="inlineStr">
        <is>
          <t>A 24158-2025</t>
        </is>
      </c>
      <c r="B687" s="1" t="n">
        <v>45796</v>
      </c>
      <c r="C687" s="1" t="n">
        <v>45890</v>
      </c>
      <c r="D687" t="inlineStr">
        <is>
          <t>JÄMTLANDS LÄN</t>
        </is>
      </c>
      <c r="E687" t="inlineStr">
        <is>
          <t>RAGUNDA</t>
        </is>
      </c>
      <c r="G687" t="n">
        <v>2.9</v>
      </c>
      <c r="H687" t="n">
        <v>0</v>
      </c>
      <c r="I687" t="n">
        <v>0</v>
      </c>
      <c r="J687" t="n">
        <v>0</v>
      </c>
      <c r="K687" t="n">
        <v>0</v>
      </c>
      <c r="L687" t="n">
        <v>0</v>
      </c>
      <c r="M687" t="n">
        <v>0</v>
      </c>
      <c r="N687" t="n">
        <v>0</v>
      </c>
      <c r="O687" t="n">
        <v>0</v>
      </c>
      <c r="P687" t="n">
        <v>0</v>
      </c>
      <c r="Q687" t="n">
        <v>0</v>
      </c>
      <c r="R687" s="2" t="inlineStr"/>
    </row>
    <row r="688" ht="15" customHeight="1">
      <c r="A688" t="inlineStr">
        <is>
          <t>A 24161-2025</t>
        </is>
      </c>
      <c r="B688" s="1" t="n">
        <v>45796</v>
      </c>
      <c r="C688" s="1" t="n">
        <v>45890</v>
      </c>
      <c r="D688" t="inlineStr">
        <is>
          <t>JÄMTLANDS LÄN</t>
        </is>
      </c>
      <c r="E688" t="inlineStr">
        <is>
          <t>RAGUNDA</t>
        </is>
      </c>
      <c r="G688" t="n">
        <v>2.4</v>
      </c>
      <c r="H688" t="n">
        <v>0</v>
      </c>
      <c r="I688" t="n">
        <v>0</v>
      </c>
      <c r="J688" t="n">
        <v>0</v>
      </c>
      <c r="K688" t="n">
        <v>0</v>
      </c>
      <c r="L688" t="n">
        <v>0</v>
      </c>
      <c r="M688" t="n">
        <v>0</v>
      </c>
      <c r="N688" t="n">
        <v>0</v>
      </c>
      <c r="O688" t="n">
        <v>0</v>
      </c>
      <c r="P688" t="n">
        <v>0</v>
      </c>
      <c r="Q688" t="n">
        <v>0</v>
      </c>
      <c r="R688" s="2" t="inlineStr"/>
    </row>
    <row r="689" ht="15" customHeight="1">
      <c r="A689" t="inlineStr">
        <is>
          <t>A 18248-2023</t>
        </is>
      </c>
      <c r="B689" s="1" t="n">
        <v>45040</v>
      </c>
      <c r="C689" s="1" t="n">
        <v>45890</v>
      </c>
      <c r="D689" t="inlineStr">
        <is>
          <t>JÄMTLANDS LÄN</t>
        </is>
      </c>
      <c r="E689" t="inlineStr">
        <is>
          <t>RAGUNDA</t>
        </is>
      </c>
      <c r="G689" t="n">
        <v>4.3</v>
      </c>
      <c r="H689" t="n">
        <v>0</v>
      </c>
      <c r="I689" t="n">
        <v>0</v>
      </c>
      <c r="J689" t="n">
        <v>0</v>
      </c>
      <c r="K689" t="n">
        <v>0</v>
      </c>
      <c r="L689" t="n">
        <v>0</v>
      </c>
      <c r="M689" t="n">
        <v>0</v>
      </c>
      <c r="N689" t="n">
        <v>0</v>
      </c>
      <c r="O689" t="n">
        <v>0</v>
      </c>
      <c r="P689" t="n">
        <v>0</v>
      </c>
      <c r="Q689" t="n">
        <v>0</v>
      </c>
      <c r="R689" s="2" t="inlineStr"/>
    </row>
    <row r="690" ht="15" customHeight="1">
      <c r="A690" t="inlineStr">
        <is>
          <t>A 58564-2024</t>
        </is>
      </c>
      <c r="B690" s="1" t="n">
        <v>45635.47243055556</v>
      </c>
      <c r="C690" s="1" t="n">
        <v>45890</v>
      </c>
      <c r="D690" t="inlineStr">
        <is>
          <t>JÄMTLANDS LÄN</t>
        </is>
      </c>
      <c r="E690" t="inlineStr">
        <is>
          <t>RAGUNDA</t>
        </is>
      </c>
      <c r="G690" t="n">
        <v>2.6</v>
      </c>
      <c r="H690" t="n">
        <v>0</v>
      </c>
      <c r="I690" t="n">
        <v>0</v>
      </c>
      <c r="J690" t="n">
        <v>0</v>
      </c>
      <c r="K690" t="n">
        <v>0</v>
      </c>
      <c r="L690" t="n">
        <v>0</v>
      </c>
      <c r="M690" t="n">
        <v>0</v>
      </c>
      <c r="N690" t="n">
        <v>0</v>
      </c>
      <c r="O690" t="n">
        <v>0</v>
      </c>
      <c r="P690" t="n">
        <v>0</v>
      </c>
      <c r="Q690" t="n">
        <v>0</v>
      </c>
      <c r="R690" s="2" t="inlineStr"/>
    </row>
    <row r="691" ht="15" customHeight="1">
      <c r="A691" t="inlineStr">
        <is>
          <t>A 8802-2022</t>
        </is>
      </c>
      <c r="B691" s="1" t="n">
        <v>44614</v>
      </c>
      <c r="C691" s="1" t="n">
        <v>45890</v>
      </c>
      <c r="D691" t="inlineStr">
        <is>
          <t>JÄMTLANDS LÄN</t>
        </is>
      </c>
      <c r="E691" t="inlineStr">
        <is>
          <t>RAGUNDA</t>
        </is>
      </c>
      <c r="G691" t="n">
        <v>2.8</v>
      </c>
      <c r="H691" t="n">
        <v>0</v>
      </c>
      <c r="I691" t="n">
        <v>0</v>
      </c>
      <c r="J691" t="n">
        <v>0</v>
      </c>
      <c r="K691" t="n">
        <v>0</v>
      </c>
      <c r="L691" t="n">
        <v>0</v>
      </c>
      <c r="M691" t="n">
        <v>0</v>
      </c>
      <c r="N691" t="n">
        <v>0</v>
      </c>
      <c r="O691" t="n">
        <v>0</v>
      </c>
      <c r="P691" t="n">
        <v>0</v>
      </c>
      <c r="Q691" t="n">
        <v>0</v>
      </c>
      <c r="R691" s="2" t="inlineStr"/>
    </row>
    <row r="692" ht="15" customHeight="1">
      <c r="A692" t="inlineStr">
        <is>
          <t>A 39489-2023</t>
        </is>
      </c>
      <c r="B692" s="1" t="n">
        <v>45166</v>
      </c>
      <c r="C692" s="1" t="n">
        <v>45890</v>
      </c>
      <c r="D692" t="inlineStr">
        <is>
          <t>JÄMTLANDS LÄN</t>
        </is>
      </c>
      <c r="E692" t="inlineStr">
        <is>
          <t>RAGUNDA</t>
        </is>
      </c>
      <c r="G692" t="n">
        <v>5</v>
      </c>
      <c r="H692" t="n">
        <v>0</v>
      </c>
      <c r="I692" t="n">
        <v>0</v>
      </c>
      <c r="J692" t="n">
        <v>0</v>
      </c>
      <c r="K692" t="n">
        <v>0</v>
      </c>
      <c r="L692" t="n">
        <v>0</v>
      </c>
      <c r="M692" t="n">
        <v>0</v>
      </c>
      <c r="N692" t="n">
        <v>0</v>
      </c>
      <c r="O692" t="n">
        <v>0</v>
      </c>
      <c r="P692" t="n">
        <v>0</v>
      </c>
      <c r="Q692" t="n">
        <v>0</v>
      </c>
      <c r="R692" s="2" t="inlineStr"/>
    </row>
    <row r="693" ht="15" customHeight="1">
      <c r="A693" t="inlineStr">
        <is>
          <t>A 24149-2025</t>
        </is>
      </c>
      <c r="B693" s="1" t="n">
        <v>45796</v>
      </c>
      <c r="C693" s="1" t="n">
        <v>45890</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24159-2025</t>
        </is>
      </c>
      <c r="B694" s="1" t="n">
        <v>45796</v>
      </c>
      <c r="C694" s="1" t="n">
        <v>45890</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55214-2022</t>
        </is>
      </c>
      <c r="B695" s="1" t="n">
        <v>44886</v>
      </c>
      <c r="C695" s="1" t="n">
        <v>45890</v>
      </c>
      <c r="D695" t="inlineStr">
        <is>
          <t>JÄMTLANDS LÄN</t>
        </is>
      </c>
      <c r="E695" t="inlineStr">
        <is>
          <t>RAGUNDA</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8243-2024</t>
        </is>
      </c>
      <c r="B696" s="1" t="n">
        <v>45351.98532407408</v>
      </c>
      <c r="C696" s="1" t="n">
        <v>45890</v>
      </c>
      <c r="D696" t="inlineStr">
        <is>
          <t>JÄMTLANDS LÄN</t>
        </is>
      </c>
      <c r="E696" t="inlineStr">
        <is>
          <t>RAGUNDA</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24391-2025</t>
        </is>
      </c>
      <c r="B697" s="1" t="n">
        <v>45797.63627314815</v>
      </c>
      <c r="C697" s="1" t="n">
        <v>45890</v>
      </c>
      <c r="D697" t="inlineStr">
        <is>
          <t>JÄMTLANDS LÄN</t>
        </is>
      </c>
      <c r="E697" t="inlineStr">
        <is>
          <t>RAGUNDA</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1325-2025</t>
        </is>
      </c>
      <c r="B698" s="1" t="n">
        <v>45667.57342592593</v>
      </c>
      <c r="C698" s="1" t="n">
        <v>45890</v>
      </c>
      <c r="D698" t="inlineStr">
        <is>
          <t>JÄMTLANDS LÄN</t>
        </is>
      </c>
      <c r="E698" t="inlineStr">
        <is>
          <t>RAGUNDA</t>
        </is>
      </c>
      <c r="F698" t="inlineStr">
        <is>
          <t>SCA</t>
        </is>
      </c>
      <c r="G698" t="n">
        <v>20.2</v>
      </c>
      <c r="H698" t="n">
        <v>0</v>
      </c>
      <c r="I698" t="n">
        <v>0</v>
      </c>
      <c r="J698" t="n">
        <v>0</v>
      </c>
      <c r="K698" t="n">
        <v>0</v>
      </c>
      <c r="L698" t="n">
        <v>0</v>
      </c>
      <c r="M698" t="n">
        <v>0</v>
      </c>
      <c r="N698" t="n">
        <v>0</v>
      </c>
      <c r="O698" t="n">
        <v>0</v>
      </c>
      <c r="P698" t="n">
        <v>0</v>
      </c>
      <c r="Q698" t="n">
        <v>0</v>
      </c>
      <c r="R698" s="2" t="inlineStr"/>
    </row>
    <row r="699" ht="15" customHeight="1">
      <c r="A699" t="inlineStr">
        <is>
          <t>A 18159-2023</t>
        </is>
      </c>
      <c r="B699" s="1" t="n">
        <v>45040.94277777777</v>
      </c>
      <c r="C699" s="1" t="n">
        <v>45890</v>
      </c>
      <c r="D699" t="inlineStr">
        <is>
          <t>JÄMTLANDS LÄN</t>
        </is>
      </c>
      <c r="E699" t="inlineStr">
        <is>
          <t>RAGUNDA</t>
        </is>
      </c>
      <c r="F699" t="inlineStr">
        <is>
          <t>SCA</t>
        </is>
      </c>
      <c r="G699" t="n">
        <v>4</v>
      </c>
      <c r="H699" t="n">
        <v>0</v>
      </c>
      <c r="I699" t="n">
        <v>0</v>
      </c>
      <c r="J699" t="n">
        <v>0</v>
      </c>
      <c r="K699" t="n">
        <v>0</v>
      </c>
      <c r="L699" t="n">
        <v>0</v>
      </c>
      <c r="M699" t="n">
        <v>0</v>
      </c>
      <c r="N699" t="n">
        <v>0</v>
      </c>
      <c r="O699" t="n">
        <v>0</v>
      </c>
      <c r="P699" t="n">
        <v>0</v>
      </c>
      <c r="Q699" t="n">
        <v>0</v>
      </c>
      <c r="R699" s="2" t="inlineStr"/>
    </row>
    <row r="700" ht="15" customHeight="1">
      <c r="A700" t="inlineStr">
        <is>
          <t>A 19486-2024</t>
        </is>
      </c>
      <c r="B700" s="1" t="n">
        <v>45429</v>
      </c>
      <c r="C700" s="1" t="n">
        <v>45890</v>
      </c>
      <c r="D700" t="inlineStr">
        <is>
          <t>JÄMTLANDS LÄN</t>
        </is>
      </c>
      <c r="E700" t="inlineStr">
        <is>
          <t>RAGUNDA</t>
        </is>
      </c>
      <c r="G700" t="n">
        <v>2.3</v>
      </c>
      <c r="H700" t="n">
        <v>0</v>
      </c>
      <c r="I700" t="n">
        <v>0</v>
      </c>
      <c r="J700" t="n">
        <v>0</v>
      </c>
      <c r="K700" t="n">
        <v>0</v>
      </c>
      <c r="L700" t="n">
        <v>0</v>
      </c>
      <c r="M700" t="n">
        <v>0</v>
      </c>
      <c r="N700" t="n">
        <v>0</v>
      </c>
      <c r="O700" t="n">
        <v>0</v>
      </c>
      <c r="P700" t="n">
        <v>0</v>
      </c>
      <c r="Q700" t="n">
        <v>0</v>
      </c>
      <c r="R700" s="2" t="inlineStr"/>
    </row>
    <row r="701" ht="15" customHeight="1">
      <c r="A701" t="inlineStr">
        <is>
          <t>A 1326-2025</t>
        </is>
      </c>
      <c r="B701" s="1" t="n">
        <v>45667.57347222222</v>
      </c>
      <c r="C701" s="1" t="n">
        <v>45890</v>
      </c>
      <c r="D701" t="inlineStr">
        <is>
          <t>JÄMTLANDS LÄN</t>
        </is>
      </c>
      <c r="E701" t="inlineStr">
        <is>
          <t>RAGUNDA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30642-2024</t>
        </is>
      </c>
      <c r="B702" s="1" t="n">
        <v>45495.57677083334</v>
      </c>
      <c r="C702" s="1" t="n">
        <v>45890</v>
      </c>
      <c r="D702" t="inlineStr">
        <is>
          <t>JÄMTLANDS LÄN</t>
        </is>
      </c>
      <c r="E702" t="inlineStr">
        <is>
          <t>RAGUNDA</t>
        </is>
      </c>
      <c r="G702" t="n">
        <v>2.7</v>
      </c>
      <c r="H702" t="n">
        <v>0</v>
      </c>
      <c r="I702" t="n">
        <v>0</v>
      </c>
      <c r="J702" t="n">
        <v>0</v>
      </c>
      <c r="K702" t="n">
        <v>0</v>
      </c>
      <c r="L702" t="n">
        <v>0</v>
      </c>
      <c r="M702" t="n">
        <v>0</v>
      </c>
      <c r="N702" t="n">
        <v>0</v>
      </c>
      <c r="O702" t="n">
        <v>0</v>
      </c>
      <c r="P702" t="n">
        <v>0</v>
      </c>
      <c r="Q702" t="n">
        <v>0</v>
      </c>
      <c r="R702" s="2" t="inlineStr"/>
    </row>
    <row r="703" ht="15" customHeight="1">
      <c r="A703" t="inlineStr">
        <is>
          <t>A 62407-2023</t>
        </is>
      </c>
      <c r="B703" s="1" t="n">
        <v>45266</v>
      </c>
      <c r="C703" s="1" t="n">
        <v>45890</v>
      </c>
      <c r="D703" t="inlineStr">
        <is>
          <t>JÄMTLANDS LÄN</t>
        </is>
      </c>
      <c r="E703" t="inlineStr">
        <is>
          <t>RAGUNDA</t>
        </is>
      </c>
      <c r="G703" t="n">
        <v>1.6</v>
      </c>
      <c r="H703" t="n">
        <v>0</v>
      </c>
      <c r="I703" t="n">
        <v>0</v>
      </c>
      <c r="J703" t="n">
        <v>0</v>
      </c>
      <c r="K703" t="n">
        <v>0</v>
      </c>
      <c r="L703" t="n">
        <v>0</v>
      </c>
      <c r="M703" t="n">
        <v>0</v>
      </c>
      <c r="N703" t="n">
        <v>0</v>
      </c>
      <c r="O703" t="n">
        <v>0</v>
      </c>
      <c r="P703" t="n">
        <v>0</v>
      </c>
      <c r="Q703" t="n">
        <v>0</v>
      </c>
      <c r="R703" s="2" t="inlineStr"/>
    </row>
    <row r="704" ht="15" customHeight="1">
      <c r="A704" t="inlineStr">
        <is>
          <t>A 993-2025</t>
        </is>
      </c>
      <c r="B704" s="1" t="n">
        <v>45666.44943287037</v>
      </c>
      <c r="C704" s="1" t="n">
        <v>45890</v>
      </c>
      <c r="D704" t="inlineStr">
        <is>
          <t>JÄMTLANDS LÄN</t>
        </is>
      </c>
      <c r="E704" t="inlineStr">
        <is>
          <t>RAGUNDA</t>
        </is>
      </c>
      <c r="G704" t="n">
        <v>11.3</v>
      </c>
      <c r="H704" t="n">
        <v>0</v>
      </c>
      <c r="I704" t="n">
        <v>0</v>
      </c>
      <c r="J704" t="n">
        <v>0</v>
      </c>
      <c r="K704" t="n">
        <v>0</v>
      </c>
      <c r="L704" t="n">
        <v>0</v>
      </c>
      <c r="M704" t="n">
        <v>0</v>
      </c>
      <c r="N704" t="n">
        <v>0</v>
      </c>
      <c r="O704" t="n">
        <v>0</v>
      </c>
      <c r="P704" t="n">
        <v>0</v>
      </c>
      <c r="Q704" t="n">
        <v>0</v>
      </c>
      <c r="R704" s="2" t="inlineStr"/>
    </row>
    <row r="705" ht="15" customHeight="1">
      <c r="A705" t="inlineStr">
        <is>
          <t>A 58193-2022</t>
        </is>
      </c>
      <c r="B705" s="1" t="n">
        <v>44900.95700231481</v>
      </c>
      <c r="C705" s="1" t="n">
        <v>45890</v>
      </c>
      <c r="D705" t="inlineStr">
        <is>
          <t>JÄMTLANDS LÄN</t>
        </is>
      </c>
      <c r="E705" t="inlineStr">
        <is>
          <t>RAGUNDA</t>
        </is>
      </c>
      <c r="F705" t="inlineStr">
        <is>
          <t>SCA</t>
        </is>
      </c>
      <c r="G705" t="n">
        <v>2.1</v>
      </c>
      <c r="H705" t="n">
        <v>0</v>
      </c>
      <c r="I705" t="n">
        <v>0</v>
      </c>
      <c r="J705" t="n">
        <v>0</v>
      </c>
      <c r="K705" t="n">
        <v>0</v>
      </c>
      <c r="L705" t="n">
        <v>0</v>
      </c>
      <c r="M705" t="n">
        <v>0</v>
      </c>
      <c r="N705" t="n">
        <v>0</v>
      </c>
      <c r="O705" t="n">
        <v>0</v>
      </c>
      <c r="P705" t="n">
        <v>0</v>
      </c>
      <c r="Q705" t="n">
        <v>0</v>
      </c>
      <c r="R705" s="2" t="inlineStr"/>
    </row>
    <row r="706" ht="15" customHeight="1">
      <c r="A706" t="inlineStr">
        <is>
          <t>A 7722-2023</t>
        </is>
      </c>
      <c r="B706" s="1" t="n">
        <v>44972.94140046297</v>
      </c>
      <c r="C706" s="1" t="n">
        <v>45890</v>
      </c>
      <c r="D706" t="inlineStr">
        <is>
          <t>JÄMTLANDS LÄN</t>
        </is>
      </c>
      <c r="E706" t="inlineStr">
        <is>
          <t>RAGUNDA</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21524-2024</t>
        </is>
      </c>
      <c r="B707" s="1" t="n">
        <v>45441</v>
      </c>
      <c r="C707" s="1" t="n">
        <v>45890</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24732-2025</t>
        </is>
      </c>
      <c r="B708" s="1" t="n">
        <v>45799.34421296296</v>
      </c>
      <c r="C708" s="1" t="n">
        <v>45890</v>
      </c>
      <c r="D708" t="inlineStr">
        <is>
          <t>JÄMTLANDS LÄN</t>
        </is>
      </c>
      <c r="E708" t="inlineStr">
        <is>
          <t>RAGUNDA</t>
        </is>
      </c>
      <c r="F708" t="inlineStr">
        <is>
          <t>SCA</t>
        </is>
      </c>
      <c r="G708" t="n">
        <v>16.2</v>
      </c>
      <c r="H708" t="n">
        <v>0</v>
      </c>
      <c r="I708" t="n">
        <v>0</v>
      </c>
      <c r="J708" t="n">
        <v>0</v>
      </c>
      <c r="K708" t="n">
        <v>0</v>
      </c>
      <c r="L708" t="n">
        <v>0</v>
      </c>
      <c r="M708" t="n">
        <v>0</v>
      </c>
      <c r="N708" t="n">
        <v>0</v>
      </c>
      <c r="O708" t="n">
        <v>0</v>
      </c>
      <c r="P708" t="n">
        <v>0</v>
      </c>
      <c r="Q708" t="n">
        <v>0</v>
      </c>
      <c r="R708" s="2" t="inlineStr"/>
    </row>
    <row r="709" ht="15" customHeight="1">
      <c r="A709" t="inlineStr">
        <is>
          <t>A 12204-2025</t>
        </is>
      </c>
      <c r="B709" s="1" t="n">
        <v>45729.51074074074</v>
      </c>
      <c r="C709" s="1" t="n">
        <v>45890</v>
      </c>
      <c r="D709" t="inlineStr">
        <is>
          <t>JÄMTLANDS LÄN</t>
        </is>
      </c>
      <c r="E709" t="inlineStr">
        <is>
          <t>RAGUNDA</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28081-2022</t>
        </is>
      </c>
      <c r="B710" s="1" t="n">
        <v>44746</v>
      </c>
      <c r="C710" s="1" t="n">
        <v>45890</v>
      </c>
      <c r="D710" t="inlineStr">
        <is>
          <t>JÄMTLANDS LÄN</t>
        </is>
      </c>
      <c r="E710" t="inlineStr">
        <is>
          <t>RAGUNDA</t>
        </is>
      </c>
      <c r="G710" t="n">
        <v>7.2</v>
      </c>
      <c r="H710" t="n">
        <v>0</v>
      </c>
      <c r="I710" t="n">
        <v>0</v>
      </c>
      <c r="J710" t="n">
        <v>0</v>
      </c>
      <c r="K710" t="n">
        <v>0</v>
      </c>
      <c r="L710" t="n">
        <v>0</v>
      </c>
      <c r="M710" t="n">
        <v>0</v>
      </c>
      <c r="N710" t="n">
        <v>0</v>
      </c>
      <c r="O710" t="n">
        <v>0</v>
      </c>
      <c r="P710" t="n">
        <v>0</v>
      </c>
      <c r="Q710" t="n">
        <v>0</v>
      </c>
      <c r="R710" s="2" t="inlineStr"/>
    </row>
    <row r="711" ht="15" customHeight="1">
      <c r="A711" t="inlineStr">
        <is>
          <t>A 38191-2024</t>
        </is>
      </c>
      <c r="B711" s="1" t="n">
        <v>45545.49078703704</v>
      </c>
      <c r="C711" s="1" t="n">
        <v>45890</v>
      </c>
      <c r="D711" t="inlineStr">
        <is>
          <t>JÄMTLANDS LÄN</t>
        </is>
      </c>
      <c r="E711" t="inlineStr">
        <is>
          <t>RAGUNDA</t>
        </is>
      </c>
      <c r="G711" t="n">
        <v>1.6</v>
      </c>
      <c r="H711" t="n">
        <v>0</v>
      </c>
      <c r="I711" t="n">
        <v>0</v>
      </c>
      <c r="J711" t="n">
        <v>0</v>
      </c>
      <c r="K711" t="n">
        <v>0</v>
      </c>
      <c r="L711" t="n">
        <v>0</v>
      </c>
      <c r="M711" t="n">
        <v>0</v>
      </c>
      <c r="N711" t="n">
        <v>0</v>
      </c>
      <c r="O711" t="n">
        <v>0</v>
      </c>
      <c r="P711" t="n">
        <v>0</v>
      </c>
      <c r="Q711" t="n">
        <v>0</v>
      </c>
      <c r="R711" s="2" t="inlineStr"/>
    </row>
    <row r="712" ht="15" customHeight="1">
      <c r="A712" t="inlineStr">
        <is>
          <t>A 13299-2024</t>
        </is>
      </c>
      <c r="B712" s="1" t="n">
        <v>45386.68003472222</v>
      </c>
      <c r="C712" s="1" t="n">
        <v>45890</v>
      </c>
      <c r="D712" t="inlineStr">
        <is>
          <t>JÄMTLANDS LÄN</t>
        </is>
      </c>
      <c r="E712" t="inlineStr">
        <is>
          <t>RAGUNDA</t>
        </is>
      </c>
      <c r="G712" t="n">
        <v>1.9</v>
      </c>
      <c r="H712" t="n">
        <v>0</v>
      </c>
      <c r="I712" t="n">
        <v>0</v>
      </c>
      <c r="J712" t="n">
        <v>0</v>
      </c>
      <c r="K712" t="n">
        <v>0</v>
      </c>
      <c r="L712" t="n">
        <v>0</v>
      </c>
      <c r="M712" t="n">
        <v>0</v>
      </c>
      <c r="N712" t="n">
        <v>0</v>
      </c>
      <c r="O712" t="n">
        <v>0</v>
      </c>
      <c r="P712" t="n">
        <v>0</v>
      </c>
      <c r="Q712" t="n">
        <v>0</v>
      </c>
      <c r="R712" s="2" t="inlineStr"/>
    </row>
    <row r="713" ht="15" customHeight="1">
      <c r="A713" t="inlineStr">
        <is>
          <t>A 15024-2022</t>
        </is>
      </c>
      <c r="B713" s="1" t="n">
        <v>44657</v>
      </c>
      <c r="C713" s="1" t="n">
        <v>45890</v>
      </c>
      <c r="D713" t="inlineStr">
        <is>
          <t>JÄMTLANDS LÄN</t>
        </is>
      </c>
      <c r="E713" t="inlineStr">
        <is>
          <t>RAGUNDA</t>
        </is>
      </c>
      <c r="G713" t="n">
        <v>1.8</v>
      </c>
      <c r="H713" t="n">
        <v>0</v>
      </c>
      <c r="I713" t="n">
        <v>0</v>
      </c>
      <c r="J713" t="n">
        <v>0</v>
      </c>
      <c r="K713" t="n">
        <v>0</v>
      </c>
      <c r="L713" t="n">
        <v>0</v>
      </c>
      <c r="M713" t="n">
        <v>0</v>
      </c>
      <c r="N713" t="n">
        <v>0</v>
      </c>
      <c r="O713" t="n">
        <v>0</v>
      </c>
      <c r="P713" t="n">
        <v>0</v>
      </c>
      <c r="Q713" t="n">
        <v>0</v>
      </c>
      <c r="R713" s="2" t="inlineStr"/>
    </row>
    <row r="714" ht="15" customHeight="1">
      <c r="A714" t="inlineStr">
        <is>
          <t>A 891-2022</t>
        </is>
      </c>
      <c r="B714" s="1" t="n">
        <v>44571</v>
      </c>
      <c r="C714" s="1" t="n">
        <v>45890</v>
      </c>
      <c r="D714" t="inlineStr">
        <is>
          <t>JÄMTLANDS LÄN</t>
        </is>
      </c>
      <c r="E714" t="inlineStr">
        <is>
          <t>RAGUNDA</t>
        </is>
      </c>
      <c r="G714" t="n">
        <v>1.7</v>
      </c>
      <c r="H714" t="n">
        <v>0</v>
      </c>
      <c r="I714" t="n">
        <v>0</v>
      </c>
      <c r="J714" t="n">
        <v>0</v>
      </c>
      <c r="K714" t="n">
        <v>0</v>
      </c>
      <c r="L714" t="n">
        <v>0</v>
      </c>
      <c r="M714" t="n">
        <v>0</v>
      </c>
      <c r="N714" t="n">
        <v>0</v>
      </c>
      <c r="O714" t="n">
        <v>0</v>
      </c>
      <c r="P714" t="n">
        <v>0</v>
      </c>
      <c r="Q714" t="n">
        <v>0</v>
      </c>
      <c r="R714" s="2" t="inlineStr"/>
    </row>
    <row r="715" ht="15" customHeight="1">
      <c r="A715" t="inlineStr">
        <is>
          <t>A 36371-2023</t>
        </is>
      </c>
      <c r="B715" s="1" t="n">
        <v>45149</v>
      </c>
      <c r="C715" s="1" t="n">
        <v>45890</v>
      </c>
      <c r="D715" t="inlineStr">
        <is>
          <t>JÄMTLANDS LÄN</t>
        </is>
      </c>
      <c r="E715" t="inlineStr">
        <is>
          <t>RAGUNDA</t>
        </is>
      </c>
      <c r="G715" t="n">
        <v>25.7</v>
      </c>
      <c r="H715" t="n">
        <v>0</v>
      </c>
      <c r="I715" t="n">
        <v>0</v>
      </c>
      <c r="J715" t="n">
        <v>0</v>
      </c>
      <c r="K715" t="n">
        <v>0</v>
      </c>
      <c r="L715" t="n">
        <v>0</v>
      </c>
      <c r="M715" t="n">
        <v>0</v>
      </c>
      <c r="N715" t="n">
        <v>0</v>
      </c>
      <c r="O715" t="n">
        <v>0</v>
      </c>
      <c r="P715" t="n">
        <v>0</v>
      </c>
      <c r="Q715" t="n">
        <v>0</v>
      </c>
      <c r="R715" s="2" t="inlineStr"/>
    </row>
    <row r="716" ht="15" customHeight="1">
      <c r="A716" t="inlineStr">
        <is>
          <t>A 56702-2023</t>
        </is>
      </c>
      <c r="B716" s="1" t="n">
        <v>45243</v>
      </c>
      <c r="C716" s="1" t="n">
        <v>45890</v>
      </c>
      <c r="D716" t="inlineStr">
        <is>
          <t>JÄMTLANDS LÄN</t>
        </is>
      </c>
      <c r="E716" t="inlineStr">
        <is>
          <t>RAGUNDA</t>
        </is>
      </c>
      <c r="F716" t="inlineStr">
        <is>
          <t>SCA</t>
        </is>
      </c>
      <c r="G716" t="n">
        <v>10.3</v>
      </c>
      <c r="H716" t="n">
        <v>0</v>
      </c>
      <c r="I716" t="n">
        <v>0</v>
      </c>
      <c r="J716" t="n">
        <v>0</v>
      </c>
      <c r="K716" t="n">
        <v>0</v>
      </c>
      <c r="L716" t="n">
        <v>0</v>
      </c>
      <c r="M716" t="n">
        <v>0</v>
      </c>
      <c r="N716" t="n">
        <v>0</v>
      </c>
      <c r="O716" t="n">
        <v>0</v>
      </c>
      <c r="P716" t="n">
        <v>0</v>
      </c>
      <c r="Q716" t="n">
        <v>0</v>
      </c>
      <c r="R716" s="2" t="inlineStr"/>
    </row>
    <row r="717" ht="15" customHeight="1">
      <c r="A717" t="inlineStr">
        <is>
          <t>A 25631-2025</t>
        </is>
      </c>
      <c r="B717" s="1" t="n">
        <v>45803.5946875</v>
      </c>
      <c r="C717" s="1" t="n">
        <v>45890</v>
      </c>
      <c r="D717" t="inlineStr">
        <is>
          <t>JÄMTLANDS LÄN</t>
        </is>
      </c>
      <c r="E717" t="inlineStr">
        <is>
          <t>RAGUNDA</t>
        </is>
      </c>
      <c r="G717" t="n">
        <v>1.1</v>
      </c>
      <c r="H717" t="n">
        <v>0</v>
      </c>
      <c r="I717" t="n">
        <v>0</v>
      </c>
      <c r="J717" t="n">
        <v>0</v>
      </c>
      <c r="K717" t="n">
        <v>0</v>
      </c>
      <c r="L717" t="n">
        <v>0</v>
      </c>
      <c r="M717" t="n">
        <v>0</v>
      </c>
      <c r="N717" t="n">
        <v>0</v>
      </c>
      <c r="O717" t="n">
        <v>0</v>
      </c>
      <c r="P717" t="n">
        <v>0</v>
      </c>
      <c r="Q717" t="n">
        <v>0</v>
      </c>
      <c r="R717" s="2" t="inlineStr"/>
    </row>
    <row r="718" ht="15" customHeight="1">
      <c r="A718" t="inlineStr">
        <is>
          <t>A 51049-2024</t>
        </is>
      </c>
      <c r="B718" s="1" t="n">
        <v>45603.44644675926</v>
      </c>
      <c r="C718" s="1" t="n">
        <v>45890</v>
      </c>
      <c r="D718" t="inlineStr">
        <is>
          <t>JÄMTLANDS LÄN</t>
        </is>
      </c>
      <c r="E718" t="inlineStr">
        <is>
          <t>RAGUNDA</t>
        </is>
      </c>
      <c r="F718" t="inlineStr">
        <is>
          <t>SCA</t>
        </is>
      </c>
      <c r="G718" t="n">
        <v>6.9</v>
      </c>
      <c r="H718" t="n">
        <v>0</v>
      </c>
      <c r="I718" t="n">
        <v>0</v>
      </c>
      <c r="J718" t="n">
        <v>0</v>
      </c>
      <c r="K718" t="n">
        <v>0</v>
      </c>
      <c r="L718" t="n">
        <v>0</v>
      </c>
      <c r="M718" t="n">
        <v>0</v>
      </c>
      <c r="N718" t="n">
        <v>0</v>
      </c>
      <c r="O718" t="n">
        <v>0</v>
      </c>
      <c r="P718" t="n">
        <v>0</v>
      </c>
      <c r="Q718" t="n">
        <v>0</v>
      </c>
      <c r="R718" s="2" t="inlineStr"/>
    </row>
    <row r="719" ht="15" customHeight="1">
      <c r="A719" t="inlineStr">
        <is>
          <t>A 44759-2024</t>
        </is>
      </c>
      <c r="B719" s="1" t="n">
        <v>45574.61634259259</v>
      </c>
      <c r="C719" s="1" t="n">
        <v>45890</v>
      </c>
      <c r="D719" t="inlineStr">
        <is>
          <t>JÄMTLANDS LÄN</t>
        </is>
      </c>
      <c r="E719" t="inlineStr">
        <is>
          <t>RAGUNDA</t>
        </is>
      </c>
      <c r="G719" t="n">
        <v>1.9</v>
      </c>
      <c r="H719" t="n">
        <v>0</v>
      </c>
      <c r="I719" t="n">
        <v>0</v>
      </c>
      <c r="J719" t="n">
        <v>0</v>
      </c>
      <c r="K719" t="n">
        <v>0</v>
      </c>
      <c r="L719" t="n">
        <v>0</v>
      </c>
      <c r="M719" t="n">
        <v>0</v>
      </c>
      <c r="N719" t="n">
        <v>0</v>
      </c>
      <c r="O719" t="n">
        <v>0</v>
      </c>
      <c r="P719" t="n">
        <v>0</v>
      </c>
      <c r="Q719" t="n">
        <v>0</v>
      </c>
      <c r="R719" s="2" t="inlineStr"/>
    </row>
    <row r="720" ht="15" customHeight="1">
      <c r="A720" t="inlineStr">
        <is>
          <t>A 32259-2024</t>
        </is>
      </c>
      <c r="B720" s="1" t="n">
        <v>45511</v>
      </c>
      <c r="C720" s="1" t="n">
        <v>45890</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37324-2022</t>
        </is>
      </c>
      <c r="B721" s="1" t="n">
        <v>44806</v>
      </c>
      <c r="C721" s="1" t="n">
        <v>45890</v>
      </c>
      <c r="D721" t="inlineStr">
        <is>
          <t>JÄMTLANDS LÄN</t>
        </is>
      </c>
      <c r="E721" t="inlineStr">
        <is>
          <t>RAGUNDA</t>
        </is>
      </c>
      <c r="G721" t="n">
        <v>2.3</v>
      </c>
      <c r="H721" t="n">
        <v>0</v>
      </c>
      <c r="I721" t="n">
        <v>0</v>
      </c>
      <c r="J721" t="n">
        <v>0</v>
      </c>
      <c r="K721" t="n">
        <v>0</v>
      </c>
      <c r="L721" t="n">
        <v>0</v>
      </c>
      <c r="M721" t="n">
        <v>0</v>
      </c>
      <c r="N721" t="n">
        <v>0</v>
      </c>
      <c r="O721" t="n">
        <v>0</v>
      </c>
      <c r="P721" t="n">
        <v>0</v>
      </c>
      <c r="Q721" t="n">
        <v>0</v>
      </c>
      <c r="R721" s="2" t="inlineStr"/>
    </row>
    <row r="722" ht="15" customHeight="1">
      <c r="A722" t="inlineStr">
        <is>
          <t>A 25630-2025</t>
        </is>
      </c>
      <c r="B722" s="1" t="n">
        <v>45803.59417824074</v>
      </c>
      <c r="C722" s="1" t="n">
        <v>45890</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25597-2025</t>
        </is>
      </c>
      <c r="B723" s="1" t="n">
        <v>45803.53157407408</v>
      </c>
      <c r="C723" s="1" t="n">
        <v>45890</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25376-2025</t>
        </is>
      </c>
      <c r="B724" s="1" t="n">
        <v>45800.63619212963</v>
      </c>
      <c r="C724" s="1" t="n">
        <v>45890</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41343-2024</t>
        </is>
      </c>
      <c r="B725" s="1" t="n">
        <v>45559.67745370371</v>
      </c>
      <c r="C725" s="1" t="n">
        <v>45890</v>
      </c>
      <c r="D725" t="inlineStr">
        <is>
          <t>JÄMTLANDS LÄN</t>
        </is>
      </c>
      <c r="E725" t="inlineStr">
        <is>
          <t>RAGUNDA</t>
        </is>
      </c>
      <c r="F725" t="inlineStr">
        <is>
          <t>SCA</t>
        </is>
      </c>
      <c r="G725" t="n">
        <v>25.1</v>
      </c>
      <c r="H725" t="n">
        <v>0</v>
      </c>
      <c r="I725" t="n">
        <v>0</v>
      </c>
      <c r="J725" t="n">
        <v>0</v>
      </c>
      <c r="K725" t="n">
        <v>0</v>
      </c>
      <c r="L725" t="n">
        <v>0</v>
      </c>
      <c r="M725" t="n">
        <v>0</v>
      </c>
      <c r="N725" t="n">
        <v>0</v>
      </c>
      <c r="O725" t="n">
        <v>0</v>
      </c>
      <c r="P725" t="n">
        <v>0</v>
      </c>
      <c r="Q725" t="n">
        <v>0</v>
      </c>
      <c r="R725" s="2" t="inlineStr"/>
    </row>
    <row r="726" ht="15" customHeight="1">
      <c r="A726" t="inlineStr">
        <is>
          <t>A 45953-2023</t>
        </is>
      </c>
      <c r="B726" s="1" t="n">
        <v>45195.94672453704</v>
      </c>
      <c r="C726" s="1" t="n">
        <v>45890</v>
      </c>
      <c r="D726" t="inlineStr">
        <is>
          <t>JÄMTLANDS LÄN</t>
        </is>
      </c>
      <c r="E726" t="inlineStr">
        <is>
          <t>RAGUNDA</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25175-2025</t>
        </is>
      </c>
      <c r="B727" s="1" t="n">
        <v>45800.44822916666</v>
      </c>
      <c r="C727" s="1" t="n">
        <v>45890</v>
      </c>
      <c r="D727" t="inlineStr">
        <is>
          <t>JÄMTLANDS LÄN</t>
        </is>
      </c>
      <c r="E727" t="inlineStr">
        <is>
          <t>RAGUNDA</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25177-2025</t>
        </is>
      </c>
      <c r="B728" s="1" t="n">
        <v>45800.44862268519</v>
      </c>
      <c r="C728" s="1" t="n">
        <v>45890</v>
      </c>
      <c r="D728" t="inlineStr">
        <is>
          <t>JÄMTLANDS LÄN</t>
        </is>
      </c>
      <c r="E728" t="inlineStr">
        <is>
          <t>RAGUNDA</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16982-2024</t>
        </is>
      </c>
      <c r="B729" s="1" t="n">
        <v>45412.02506944445</v>
      </c>
      <c r="C729" s="1" t="n">
        <v>45890</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25659-2025</t>
        </is>
      </c>
      <c r="B730" s="1" t="n">
        <v>45803.61552083334</v>
      </c>
      <c r="C730" s="1" t="n">
        <v>45890</v>
      </c>
      <c r="D730" t="inlineStr">
        <is>
          <t>JÄMTLANDS LÄN</t>
        </is>
      </c>
      <c r="E730" t="inlineStr">
        <is>
          <t>RAGUNDA</t>
        </is>
      </c>
      <c r="G730" t="n">
        <v>1.5</v>
      </c>
      <c r="H730" t="n">
        <v>0</v>
      </c>
      <c r="I730" t="n">
        <v>0</v>
      </c>
      <c r="J730" t="n">
        <v>0</v>
      </c>
      <c r="K730" t="n">
        <v>0</v>
      </c>
      <c r="L730" t="n">
        <v>0</v>
      </c>
      <c r="M730" t="n">
        <v>0</v>
      </c>
      <c r="N730" t="n">
        <v>0</v>
      </c>
      <c r="O730" t="n">
        <v>0</v>
      </c>
      <c r="P730" t="n">
        <v>0</v>
      </c>
      <c r="Q730" t="n">
        <v>0</v>
      </c>
      <c r="R730" s="2" t="inlineStr"/>
    </row>
    <row r="731" ht="15" customHeight="1">
      <c r="A731" t="inlineStr">
        <is>
          <t>A 25661-2025</t>
        </is>
      </c>
      <c r="B731" s="1" t="n">
        <v>45803.61557870371</v>
      </c>
      <c r="C731" s="1" t="n">
        <v>45890</v>
      </c>
      <c r="D731" t="inlineStr">
        <is>
          <t>JÄMTLANDS LÄN</t>
        </is>
      </c>
      <c r="E731" t="inlineStr">
        <is>
          <t>RAGUNDA</t>
        </is>
      </c>
      <c r="G731" t="n">
        <v>1.4</v>
      </c>
      <c r="H731" t="n">
        <v>0</v>
      </c>
      <c r="I731" t="n">
        <v>0</v>
      </c>
      <c r="J731" t="n">
        <v>0</v>
      </c>
      <c r="K731" t="n">
        <v>0</v>
      </c>
      <c r="L731" t="n">
        <v>0</v>
      </c>
      <c r="M731" t="n">
        <v>0</v>
      </c>
      <c r="N731" t="n">
        <v>0</v>
      </c>
      <c r="O731" t="n">
        <v>0</v>
      </c>
      <c r="P731" t="n">
        <v>0</v>
      </c>
      <c r="Q731" t="n">
        <v>0</v>
      </c>
      <c r="R731" s="2" t="inlineStr"/>
    </row>
    <row r="732" ht="15" customHeight="1">
      <c r="A732" t="inlineStr">
        <is>
          <t>A 25350-2025</t>
        </is>
      </c>
      <c r="B732" s="1" t="n">
        <v>45800</v>
      </c>
      <c r="C732" s="1" t="n">
        <v>45890</v>
      </c>
      <c r="D732" t="inlineStr">
        <is>
          <t>JÄMTLANDS LÄN</t>
        </is>
      </c>
      <c r="E732" t="inlineStr">
        <is>
          <t>RAGUNDA</t>
        </is>
      </c>
      <c r="G732" t="n">
        <v>2.4</v>
      </c>
      <c r="H732" t="n">
        <v>0</v>
      </c>
      <c r="I732" t="n">
        <v>0</v>
      </c>
      <c r="J732" t="n">
        <v>0</v>
      </c>
      <c r="K732" t="n">
        <v>0</v>
      </c>
      <c r="L732" t="n">
        <v>0</v>
      </c>
      <c r="M732" t="n">
        <v>0</v>
      </c>
      <c r="N732" t="n">
        <v>0</v>
      </c>
      <c r="O732" t="n">
        <v>0</v>
      </c>
      <c r="P732" t="n">
        <v>0</v>
      </c>
      <c r="Q732" t="n">
        <v>0</v>
      </c>
      <c r="R732" s="2" t="inlineStr"/>
    </row>
    <row r="733" ht="15" customHeight="1">
      <c r="A733" t="inlineStr">
        <is>
          <t>A 49650-2024</t>
        </is>
      </c>
      <c r="B733" s="1" t="n">
        <v>45596.61569444444</v>
      </c>
      <c r="C733" s="1" t="n">
        <v>45890</v>
      </c>
      <c r="D733" t="inlineStr">
        <is>
          <t>JÄMTLANDS LÄN</t>
        </is>
      </c>
      <c r="E733" t="inlineStr">
        <is>
          <t>RAGUNDA</t>
        </is>
      </c>
      <c r="F733" t="inlineStr">
        <is>
          <t>Naturvårdsverket</t>
        </is>
      </c>
      <c r="G733" t="n">
        <v>3</v>
      </c>
      <c r="H733" t="n">
        <v>0</v>
      </c>
      <c r="I733" t="n">
        <v>0</v>
      </c>
      <c r="J733" t="n">
        <v>0</v>
      </c>
      <c r="K733" t="n">
        <v>0</v>
      </c>
      <c r="L733" t="n">
        <v>0</v>
      </c>
      <c r="M733" t="n">
        <v>0</v>
      </c>
      <c r="N733" t="n">
        <v>0</v>
      </c>
      <c r="O733" t="n">
        <v>0</v>
      </c>
      <c r="P733" t="n">
        <v>0</v>
      </c>
      <c r="Q733" t="n">
        <v>0</v>
      </c>
      <c r="R733" s="2" t="inlineStr"/>
    </row>
    <row r="734" ht="15" customHeight="1">
      <c r="A734" t="inlineStr">
        <is>
          <t>A 49651-2024</t>
        </is>
      </c>
      <c r="B734" s="1" t="n">
        <v>45596.61582175926</v>
      </c>
      <c r="C734" s="1" t="n">
        <v>45890</v>
      </c>
      <c r="D734" t="inlineStr">
        <is>
          <t>JÄMTLANDS LÄN</t>
        </is>
      </c>
      <c r="E734" t="inlineStr">
        <is>
          <t>RAGUNDA</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25152-2025</t>
        </is>
      </c>
      <c r="B735" s="1" t="n">
        <v>45800.42743055556</v>
      </c>
      <c r="C735" s="1" t="n">
        <v>45890</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5313-2025</t>
        </is>
      </c>
      <c r="B736" s="1" t="n">
        <v>45692.51069444444</v>
      </c>
      <c r="C736" s="1" t="n">
        <v>45890</v>
      </c>
      <c r="D736" t="inlineStr">
        <is>
          <t>JÄMTLANDS LÄN</t>
        </is>
      </c>
      <c r="E736" t="inlineStr">
        <is>
          <t>RAGUNDA</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5357-2025</t>
        </is>
      </c>
      <c r="B737" s="1" t="n">
        <v>45692.57326388889</v>
      </c>
      <c r="C737" s="1" t="n">
        <v>45890</v>
      </c>
      <c r="D737" t="inlineStr">
        <is>
          <t>JÄMTLANDS LÄN</t>
        </is>
      </c>
      <c r="E737" t="inlineStr">
        <is>
          <t>RAGUNDA</t>
        </is>
      </c>
      <c r="F737" t="inlineStr">
        <is>
          <t>SCA</t>
        </is>
      </c>
      <c r="G737" t="n">
        <v>5.4</v>
      </c>
      <c r="H737" t="n">
        <v>0</v>
      </c>
      <c r="I737" t="n">
        <v>0</v>
      </c>
      <c r="J737" t="n">
        <v>0</v>
      </c>
      <c r="K737" t="n">
        <v>0</v>
      </c>
      <c r="L737" t="n">
        <v>0</v>
      </c>
      <c r="M737" t="n">
        <v>0</v>
      </c>
      <c r="N737" t="n">
        <v>0</v>
      </c>
      <c r="O737" t="n">
        <v>0</v>
      </c>
      <c r="P737" t="n">
        <v>0</v>
      </c>
      <c r="Q737" t="n">
        <v>0</v>
      </c>
      <c r="R737" s="2" t="inlineStr"/>
    </row>
    <row r="738" ht="15" customHeight="1">
      <c r="A738" t="inlineStr">
        <is>
          <t>A 3018-2024</t>
        </is>
      </c>
      <c r="B738" s="1" t="n">
        <v>45315.9492824074</v>
      </c>
      <c r="C738" s="1" t="n">
        <v>45890</v>
      </c>
      <c r="D738" t="inlineStr">
        <is>
          <t>JÄMTLANDS LÄN</t>
        </is>
      </c>
      <c r="E738" t="inlineStr">
        <is>
          <t>RAGUNDA</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44605-2024</t>
        </is>
      </c>
      <c r="B739" s="1" t="n">
        <v>45574.51185185185</v>
      </c>
      <c r="C739" s="1" t="n">
        <v>45890</v>
      </c>
      <c r="D739" t="inlineStr">
        <is>
          <t>JÄMTLANDS LÄN</t>
        </is>
      </c>
      <c r="E739" t="inlineStr">
        <is>
          <t>RAGUNDA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20773-2024</t>
        </is>
      </c>
      <c r="B740" s="1" t="n">
        <v>45436.94636574074</v>
      </c>
      <c r="C740" s="1" t="n">
        <v>45890</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34323-2023</t>
        </is>
      </c>
      <c r="B741" s="1" t="n">
        <v>45138.94925925926</v>
      </c>
      <c r="C741" s="1" t="n">
        <v>45890</v>
      </c>
      <c r="D741" t="inlineStr">
        <is>
          <t>JÄMTLANDS LÄN</t>
        </is>
      </c>
      <c r="E741" t="inlineStr">
        <is>
          <t>RAGUNDA</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19613-2023</t>
        </is>
      </c>
      <c r="B742" s="1" t="n">
        <v>45050.94020833333</v>
      </c>
      <c r="C742" s="1" t="n">
        <v>45890</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25814-2025</t>
        </is>
      </c>
      <c r="B743" s="1" t="n">
        <v>45804.42642361111</v>
      </c>
      <c r="C743" s="1" t="n">
        <v>45890</v>
      </c>
      <c r="D743" t="inlineStr">
        <is>
          <t>JÄMTLANDS LÄN</t>
        </is>
      </c>
      <c r="E743" t="inlineStr">
        <is>
          <t>RAGUNDA</t>
        </is>
      </c>
      <c r="G743" t="n">
        <v>0.8</v>
      </c>
      <c r="H743" t="n">
        <v>0</v>
      </c>
      <c r="I743" t="n">
        <v>0</v>
      </c>
      <c r="J743" t="n">
        <v>0</v>
      </c>
      <c r="K743" t="n">
        <v>0</v>
      </c>
      <c r="L743" t="n">
        <v>0</v>
      </c>
      <c r="M743" t="n">
        <v>0</v>
      </c>
      <c r="N743" t="n">
        <v>0</v>
      </c>
      <c r="O743" t="n">
        <v>0</v>
      </c>
      <c r="P743" t="n">
        <v>0</v>
      </c>
      <c r="Q743" t="n">
        <v>0</v>
      </c>
      <c r="R743" s="2" t="inlineStr"/>
    </row>
    <row r="744" ht="15" customHeight="1">
      <c r="A744" t="inlineStr">
        <is>
          <t>A 25944-2025</t>
        </is>
      </c>
      <c r="B744" s="1" t="n">
        <v>45804.59487268519</v>
      </c>
      <c r="C744" s="1" t="n">
        <v>45890</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50486-2023</t>
        </is>
      </c>
      <c r="B745" s="1" t="n">
        <v>45216.92424768519</v>
      </c>
      <c r="C745" s="1" t="n">
        <v>45890</v>
      </c>
      <c r="D745" t="inlineStr">
        <is>
          <t>JÄMTLANDS LÄN</t>
        </is>
      </c>
      <c r="E745" t="inlineStr">
        <is>
          <t>RAGUNDA</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26283-2025</t>
        </is>
      </c>
      <c r="B746" s="1" t="n">
        <v>45805.61495370371</v>
      </c>
      <c r="C746" s="1" t="n">
        <v>45890</v>
      </c>
      <c r="D746" t="inlineStr">
        <is>
          <t>JÄMTLANDS LÄN</t>
        </is>
      </c>
      <c r="E746" t="inlineStr">
        <is>
          <t>RAGUNDA</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10788-2025</t>
        </is>
      </c>
      <c r="B747" s="1" t="n">
        <v>45722.48982638889</v>
      </c>
      <c r="C747" s="1" t="n">
        <v>45890</v>
      </c>
      <c r="D747" t="inlineStr">
        <is>
          <t>JÄMTLANDS LÄN</t>
        </is>
      </c>
      <c r="E747" t="inlineStr">
        <is>
          <t>RAGUNDA</t>
        </is>
      </c>
      <c r="G747" t="n">
        <v>3.5</v>
      </c>
      <c r="H747" t="n">
        <v>0</v>
      </c>
      <c r="I747" t="n">
        <v>0</v>
      </c>
      <c r="J747" t="n">
        <v>0</v>
      </c>
      <c r="K747" t="n">
        <v>0</v>
      </c>
      <c r="L747" t="n">
        <v>0</v>
      </c>
      <c r="M747" t="n">
        <v>0</v>
      </c>
      <c r="N747" t="n">
        <v>0</v>
      </c>
      <c r="O747" t="n">
        <v>0</v>
      </c>
      <c r="P747" t="n">
        <v>0</v>
      </c>
      <c r="Q747" t="n">
        <v>0</v>
      </c>
      <c r="R747" s="2" t="inlineStr"/>
    </row>
    <row r="748" ht="15" customHeight="1">
      <c r="A748" t="inlineStr">
        <is>
          <t>A 51538-2022</t>
        </is>
      </c>
      <c r="B748" s="1" t="n">
        <v>44869</v>
      </c>
      <c r="C748" s="1" t="n">
        <v>45890</v>
      </c>
      <c r="D748" t="inlineStr">
        <is>
          <t>JÄMTLANDS LÄN</t>
        </is>
      </c>
      <c r="E748" t="inlineStr">
        <is>
          <t>RAGUNDA</t>
        </is>
      </c>
      <c r="G748" t="n">
        <v>6.8</v>
      </c>
      <c r="H748" t="n">
        <v>0</v>
      </c>
      <c r="I748" t="n">
        <v>0</v>
      </c>
      <c r="J748" t="n">
        <v>0</v>
      </c>
      <c r="K748" t="n">
        <v>0</v>
      </c>
      <c r="L748" t="n">
        <v>0</v>
      </c>
      <c r="M748" t="n">
        <v>0</v>
      </c>
      <c r="N748" t="n">
        <v>0</v>
      </c>
      <c r="O748" t="n">
        <v>0</v>
      </c>
      <c r="P748" t="n">
        <v>0</v>
      </c>
      <c r="Q748" t="n">
        <v>0</v>
      </c>
      <c r="R748" s="2" t="inlineStr"/>
    </row>
    <row r="749" ht="15" customHeight="1">
      <c r="A749" t="inlineStr">
        <is>
          <t>A 24258-2025</t>
        </is>
      </c>
      <c r="B749" s="1" t="n">
        <v>45797.40800925926</v>
      </c>
      <c r="C749" s="1" t="n">
        <v>45890</v>
      </c>
      <c r="D749" t="inlineStr">
        <is>
          <t>JÄMTLANDS LÄN</t>
        </is>
      </c>
      <c r="E749" t="inlineStr">
        <is>
          <t>RAGUNDA</t>
        </is>
      </c>
      <c r="G749" t="n">
        <v>1.2</v>
      </c>
      <c r="H749" t="n">
        <v>0</v>
      </c>
      <c r="I749" t="n">
        <v>0</v>
      </c>
      <c r="J749" t="n">
        <v>0</v>
      </c>
      <c r="K749" t="n">
        <v>0</v>
      </c>
      <c r="L749" t="n">
        <v>0</v>
      </c>
      <c r="M749" t="n">
        <v>0</v>
      </c>
      <c r="N749" t="n">
        <v>0</v>
      </c>
      <c r="O749" t="n">
        <v>0</v>
      </c>
      <c r="P749" t="n">
        <v>0</v>
      </c>
      <c r="Q749" t="n">
        <v>0</v>
      </c>
      <c r="R749" s="2" t="inlineStr"/>
    </row>
    <row r="750" ht="15" customHeight="1">
      <c r="A750" t="inlineStr">
        <is>
          <t>A 25994-2025</t>
        </is>
      </c>
      <c r="B750" s="1" t="n">
        <v>45804.65672453704</v>
      </c>
      <c r="C750" s="1" t="n">
        <v>45890</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55309-2020</t>
        </is>
      </c>
      <c r="B751" s="1" t="n">
        <v>44130.9416550926</v>
      </c>
      <c r="C751" s="1" t="n">
        <v>45890</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19727-2025</t>
        </is>
      </c>
      <c r="B752" s="1" t="n">
        <v>45771.36538194444</v>
      </c>
      <c r="C752" s="1" t="n">
        <v>45890</v>
      </c>
      <c r="D752" t="inlineStr">
        <is>
          <t>JÄMTLANDS LÄN</t>
        </is>
      </c>
      <c r="E752" t="inlineStr">
        <is>
          <t>RAGUNDA</t>
        </is>
      </c>
      <c r="F752" t="inlineStr">
        <is>
          <t>SCA</t>
        </is>
      </c>
      <c r="G752" t="n">
        <v>9</v>
      </c>
      <c r="H752" t="n">
        <v>0</v>
      </c>
      <c r="I752" t="n">
        <v>0</v>
      </c>
      <c r="J752" t="n">
        <v>0</v>
      </c>
      <c r="K752" t="n">
        <v>0</v>
      </c>
      <c r="L752" t="n">
        <v>0</v>
      </c>
      <c r="M752" t="n">
        <v>0</v>
      </c>
      <c r="N752" t="n">
        <v>0</v>
      </c>
      <c r="O752" t="n">
        <v>0</v>
      </c>
      <c r="P752" t="n">
        <v>0</v>
      </c>
      <c r="Q752" t="n">
        <v>0</v>
      </c>
      <c r="R752" s="2" t="inlineStr"/>
    </row>
    <row r="753" ht="15" customHeight="1">
      <c r="A753" t="inlineStr">
        <is>
          <t>A 19854-2025</t>
        </is>
      </c>
      <c r="B753" s="1" t="n">
        <v>45771.51074074074</v>
      </c>
      <c r="C753" s="1" t="n">
        <v>45890</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64264-2023</t>
        </is>
      </c>
      <c r="B754" s="1" t="n">
        <v>45279.94564814815</v>
      </c>
      <c r="C754" s="1" t="n">
        <v>45890</v>
      </c>
      <c r="D754" t="inlineStr">
        <is>
          <t>JÄMTLANDS LÄN</t>
        </is>
      </c>
      <c r="E754" t="inlineStr">
        <is>
          <t>RAGUNDA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26172-2025</t>
        </is>
      </c>
      <c r="B755" s="1" t="n">
        <v>45805.46613425926</v>
      </c>
      <c r="C755" s="1" t="n">
        <v>45890</v>
      </c>
      <c r="D755" t="inlineStr">
        <is>
          <t>JÄMTLANDS LÄN</t>
        </is>
      </c>
      <c r="E755" t="inlineStr">
        <is>
          <t>RAGUNDA</t>
        </is>
      </c>
      <c r="G755" t="n">
        <v>2.1</v>
      </c>
      <c r="H755" t="n">
        <v>0</v>
      </c>
      <c r="I755" t="n">
        <v>0</v>
      </c>
      <c r="J755" t="n">
        <v>0</v>
      </c>
      <c r="K755" t="n">
        <v>0</v>
      </c>
      <c r="L755" t="n">
        <v>0</v>
      </c>
      <c r="M755" t="n">
        <v>0</v>
      </c>
      <c r="N755" t="n">
        <v>0</v>
      </c>
      <c r="O755" t="n">
        <v>0</v>
      </c>
      <c r="P755" t="n">
        <v>0</v>
      </c>
      <c r="Q755" t="n">
        <v>0</v>
      </c>
      <c r="R755" s="2" t="inlineStr"/>
    </row>
    <row r="756" ht="15" customHeight="1">
      <c r="A756" t="inlineStr">
        <is>
          <t>A 50503-2024</t>
        </is>
      </c>
      <c r="B756" s="1" t="n">
        <v>45601.5315625</v>
      </c>
      <c r="C756" s="1" t="n">
        <v>45890</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10610-2024</t>
        </is>
      </c>
      <c r="B757" s="1" t="n">
        <v>45367.04693287037</v>
      </c>
      <c r="C757" s="1" t="n">
        <v>45890</v>
      </c>
      <c r="D757" t="inlineStr">
        <is>
          <t>JÄMTLANDS LÄN</t>
        </is>
      </c>
      <c r="E757" t="inlineStr">
        <is>
          <t>RAGUNDA</t>
        </is>
      </c>
      <c r="F757" t="inlineStr">
        <is>
          <t>SCA</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26246-2025</t>
        </is>
      </c>
      <c r="B758" s="1" t="n">
        <v>45805.57390046296</v>
      </c>
      <c r="C758" s="1" t="n">
        <v>45890</v>
      </c>
      <c r="D758" t="inlineStr">
        <is>
          <t>JÄMTLANDS LÄN</t>
        </is>
      </c>
      <c r="E758" t="inlineStr">
        <is>
          <t>RAGUNDA</t>
        </is>
      </c>
      <c r="F758" t="inlineStr">
        <is>
          <t>SCA</t>
        </is>
      </c>
      <c r="G758" t="n">
        <v>2.7</v>
      </c>
      <c r="H758" t="n">
        <v>0</v>
      </c>
      <c r="I758" t="n">
        <v>0</v>
      </c>
      <c r="J758" t="n">
        <v>0</v>
      </c>
      <c r="K758" t="n">
        <v>0</v>
      </c>
      <c r="L758" t="n">
        <v>0</v>
      </c>
      <c r="M758" t="n">
        <v>0</v>
      </c>
      <c r="N758" t="n">
        <v>0</v>
      </c>
      <c r="O758" t="n">
        <v>0</v>
      </c>
      <c r="P758" t="n">
        <v>0</v>
      </c>
      <c r="Q758" t="n">
        <v>0</v>
      </c>
      <c r="R758" s="2" t="inlineStr"/>
    </row>
    <row r="759" ht="15" customHeight="1">
      <c r="A759" t="inlineStr">
        <is>
          <t>A 21401-2024</t>
        </is>
      </c>
      <c r="B759" s="1" t="n">
        <v>45441.33313657407</v>
      </c>
      <c r="C759" s="1" t="n">
        <v>45890</v>
      </c>
      <c r="D759" t="inlineStr">
        <is>
          <t>JÄMTLANDS LÄN</t>
        </is>
      </c>
      <c r="E759" t="inlineStr">
        <is>
          <t>RAGUNDA</t>
        </is>
      </c>
      <c r="G759" t="n">
        <v>3.7</v>
      </c>
      <c r="H759" t="n">
        <v>0</v>
      </c>
      <c r="I759" t="n">
        <v>0</v>
      </c>
      <c r="J759" t="n">
        <v>0</v>
      </c>
      <c r="K759" t="n">
        <v>0</v>
      </c>
      <c r="L759" t="n">
        <v>0</v>
      </c>
      <c r="M759" t="n">
        <v>0</v>
      </c>
      <c r="N759" t="n">
        <v>0</v>
      </c>
      <c r="O759" t="n">
        <v>0</v>
      </c>
      <c r="P759" t="n">
        <v>0</v>
      </c>
      <c r="Q759" t="n">
        <v>0</v>
      </c>
      <c r="R759" s="2" t="inlineStr"/>
    </row>
    <row r="760" ht="15" customHeight="1">
      <c r="A760" t="inlineStr">
        <is>
          <t>A 10706-2023</t>
        </is>
      </c>
      <c r="B760" s="1" t="n">
        <v>44984</v>
      </c>
      <c r="C760" s="1" t="n">
        <v>45890</v>
      </c>
      <c r="D760" t="inlineStr">
        <is>
          <t>JÄMTLANDS LÄN</t>
        </is>
      </c>
      <c r="E760" t="inlineStr">
        <is>
          <t>RAGUNDA</t>
        </is>
      </c>
      <c r="G760" t="n">
        <v>7.7</v>
      </c>
      <c r="H760" t="n">
        <v>0</v>
      </c>
      <c r="I760" t="n">
        <v>0</v>
      </c>
      <c r="J760" t="n">
        <v>0</v>
      </c>
      <c r="K760" t="n">
        <v>0</v>
      </c>
      <c r="L760" t="n">
        <v>0</v>
      </c>
      <c r="M760" t="n">
        <v>0</v>
      </c>
      <c r="N760" t="n">
        <v>0</v>
      </c>
      <c r="O760" t="n">
        <v>0</v>
      </c>
      <c r="P760" t="n">
        <v>0</v>
      </c>
      <c r="Q760" t="n">
        <v>0</v>
      </c>
      <c r="R760" s="2" t="inlineStr"/>
    </row>
    <row r="761" ht="15" customHeight="1">
      <c r="A761" t="inlineStr">
        <is>
          <t>A 63708-2023</t>
        </is>
      </c>
      <c r="B761" s="1" t="n">
        <v>45275.95060185185</v>
      </c>
      <c r="C761" s="1" t="n">
        <v>45890</v>
      </c>
      <c r="D761" t="inlineStr">
        <is>
          <t>JÄMTLANDS LÄN</t>
        </is>
      </c>
      <c r="E761" t="inlineStr">
        <is>
          <t>RAGUNDA</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16250-2022</t>
        </is>
      </c>
      <c r="B762" s="1" t="n">
        <v>44670</v>
      </c>
      <c r="C762" s="1" t="n">
        <v>45890</v>
      </c>
      <c r="D762" t="inlineStr">
        <is>
          <t>JÄMTLANDS LÄN</t>
        </is>
      </c>
      <c r="E762" t="inlineStr">
        <is>
          <t>RAGUNDA</t>
        </is>
      </c>
      <c r="G762" t="n">
        <v>1</v>
      </c>
      <c r="H762" t="n">
        <v>0</v>
      </c>
      <c r="I762" t="n">
        <v>0</v>
      </c>
      <c r="J762" t="n">
        <v>0</v>
      </c>
      <c r="K762" t="n">
        <v>0</v>
      </c>
      <c r="L762" t="n">
        <v>0</v>
      </c>
      <c r="M762" t="n">
        <v>0</v>
      </c>
      <c r="N762" t="n">
        <v>0</v>
      </c>
      <c r="O762" t="n">
        <v>0</v>
      </c>
      <c r="P762" t="n">
        <v>0</v>
      </c>
      <c r="Q762" t="n">
        <v>0</v>
      </c>
      <c r="R762" s="2" t="inlineStr"/>
    </row>
    <row r="763" ht="15" customHeight="1">
      <c r="A763" t="inlineStr">
        <is>
          <t>A 60663-2022</t>
        </is>
      </c>
      <c r="B763" s="1" t="n">
        <v>44911.93846064815</v>
      </c>
      <c r="C763" s="1" t="n">
        <v>45890</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58847-2024</t>
        </is>
      </c>
      <c r="B764" s="1" t="n">
        <v>45636.3864699074</v>
      </c>
      <c r="C764" s="1" t="n">
        <v>45890</v>
      </c>
      <c r="D764" t="inlineStr">
        <is>
          <t>JÄMTLANDS LÄN</t>
        </is>
      </c>
      <c r="E764" t="inlineStr">
        <is>
          <t>RAGUNDA</t>
        </is>
      </c>
      <c r="F764" t="inlineStr">
        <is>
          <t>SCA</t>
        </is>
      </c>
      <c r="G764" t="n">
        <v>8</v>
      </c>
      <c r="H764" t="n">
        <v>0</v>
      </c>
      <c r="I764" t="n">
        <v>0</v>
      </c>
      <c r="J764" t="n">
        <v>0</v>
      </c>
      <c r="K764" t="n">
        <v>0</v>
      </c>
      <c r="L764" t="n">
        <v>0</v>
      </c>
      <c r="M764" t="n">
        <v>0</v>
      </c>
      <c r="N764" t="n">
        <v>0</v>
      </c>
      <c r="O764" t="n">
        <v>0</v>
      </c>
      <c r="P764" t="n">
        <v>0</v>
      </c>
      <c r="Q764" t="n">
        <v>0</v>
      </c>
      <c r="R764" s="2" t="inlineStr"/>
    </row>
    <row r="765" ht="15" customHeight="1">
      <c r="A765" t="inlineStr">
        <is>
          <t>A 34968-2025</t>
        </is>
      </c>
      <c r="B765" s="1" t="n">
        <v>45849.65663194445</v>
      </c>
      <c r="C765" s="1" t="n">
        <v>45890</v>
      </c>
      <c r="D765" t="inlineStr">
        <is>
          <t>JÄMTLANDS LÄN</t>
        </is>
      </c>
      <c r="E765" t="inlineStr">
        <is>
          <t>RAGUNDA</t>
        </is>
      </c>
      <c r="F765" t="inlineStr">
        <is>
          <t>SCA</t>
        </is>
      </c>
      <c r="G765" t="n">
        <v>20.2</v>
      </c>
      <c r="H765" t="n">
        <v>0</v>
      </c>
      <c r="I765" t="n">
        <v>0</v>
      </c>
      <c r="J765" t="n">
        <v>0</v>
      </c>
      <c r="K765" t="n">
        <v>0</v>
      </c>
      <c r="L765" t="n">
        <v>0</v>
      </c>
      <c r="M765" t="n">
        <v>0</v>
      </c>
      <c r="N765" t="n">
        <v>0</v>
      </c>
      <c r="O765" t="n">
        <v>0</v>
      </c>
      <c r="P765" t="n">
        <v>0</v>
      </c>
      <c r="Q765" t="n">
        <v>0</v>
      </c>
      <c r="R765" s="2" t="inlineStr"/>
    </row>
    <row r="766" ht="15" customHeight="1">
      <c r="A766" t="inlineStr">
        <is>
          <t>A 27777-2022</t>
        </is>
      </c>
      <c r="B766" s="1" t="n">
        <v>44743</v>
      </c>
      <c r="C766" s="1" t="n">
        <v>45890</v>
      </c>
      <c r="D766" t="inlineStr">
        <is>
          <t>JÄMTLANDS LÄN</t>
        </is>
      </c>
      <c r="E766" t="inlineStr">
        <is>
          <t>RAGUNDA</t>
        </is>
      </c>
      <c r="G766" t="n">
        <v>1.5</v>
      </c>
      <c r="H766" t="n">
        <v>0</v>
      </c>
      <c r="I766" t="n">
        <v>0</v>
      </c>
      <c r="J766" t="n">
        <v>0</v>
      </c>
      <c r="K766" t="n">
        <v>0</v>
      </c>
      <c r="L766" t="n">
        <v>0</v>
      </c>
      <c r="M766" t="n">
        <v>0</v>
      </c>
      <c r="N766" t="n">
        <v>0</v>
      </c>
      <c r="O766" t="n">
        <v>0</v>
      </c>
      <c r="P766" t="n">
        <v>0</v>
      </c>
      <c r="Q766" t="n">
        <v>0</v>
      </c>
      <c r="R766" s="2" t="inlineStr"/>
    </row>
    <row r="767" ht="15" customHeight="1">
      <c r="A767" t="inlineStr">
        <is>
          <t>A 34709-2025</t>
        </is>
      </c>
      <c r="B767" s="1" t="n">
        <v>45848.49761574074</v>
      </c>
      <c r="C767" s="1" t="n">
        <v>45890</v>
      </c>
      <c r="D767" t="inlineStr">
        <is>
          <t>JÄMTLANDS LÄN</t>
        </is>
      </c>
      <c r="E767" t="inlineStr">
        <is>
          <t>RAGUNDA</t>
        </is>
      </c>
      <c r="G767" t="n">
        <v>3.1</v>
      </c>
      <c r="H767" t="n">
        <v>0</v>
      </c>
      <c r="I767" t="n">
        <v>0</v>
      </c>
      <c r="J767" t="n">
        <v>0</v>
      </c>
      <c r="K767" t="n">
        <v>0</v>
      </c>
      <c r="L767" t="n">
        <v>0</v>
      </c>
      <c r="M767" t="n">
        <v>0</v>
      </c>
      <c r="N767" t="n">
        <v>0</v>
      </c>
      <c r="O767" t="n">
        <v>0</v>
      </c>
      <c r="P767" t="n">
        <v>0</v>
      </c>
      <c r="Q767" t="n">
        <v>0</v>
      </c>
      <c r="R767" s="2" t="inlineStr"/>
    </row>
    <row r="768" ht="15" customHeight="1">
      <c r="A768" t="inlineStr">
        <is>
          <t>A 42893-2022</t>
        </is>
      </c>
      <c r="B768" s="1" t="n">
        <v>44832</v>
      </c>
      <c r="C768" s="1" t="n">
        <v>45890</v>
      </c>
      <c r="D768" t="inlineStr">
        <is>
          <t>JÄMTLANDS LÄN</t>
        </is>
      </c>
      <c r="E768" t="inlineStr">
        <is>
          <t>RAGUNDA</t>
        </is>
      </c>
      <c r="F768" t="inlineStr">
        <is>
          <t>SCA</t>
        </is>
      </c>
      <c r="G768" t="n">
        <v>28.4</v>
      </c>
      <c r="H768" t="n">
        <v>0</v>
      </c>
      <c r="I768" t="n">
        <v>0</v>
      </c>
      <c r="J768" t="n">
        <v>0</v>
      </c>
      <c r="K768" t="n">
        <v>0</v>
      </c>
      <c r="L768" t="n">
        <v>0</v>
      </c>
      <c r="M768" t="n">
        <v>0</v>
      </c>
      <c r="N768" t="n">
        <v>0</v>
      </c>
      <c r="O768" t="n">
        <v>0</v>
      </c>
      <c r="P768" t="n">
        <v>0</v>
      </c>
      <c r="Q768" t="n">
        <v>0</v>
      </c>
      <c r="R768" s="2" t="inlineStr"/>
    </row>
    <row r="769" ht="15" customHeight="1">
      <c r="A769" t="inlineStr">
        <is>
          <t>A 42875-2024</t>
        </is>
      </c>
      <c r="B769" s="1" t="n">
        <v>45566.68125</v>
      </c>
      <c r="C769" s="1" t="n">
        <v>45890</v>
      </c>
      <c r="D769" t="inlineStr">
        <is>
          <t>JÄMTLANDS LÄN</t>
        </is>
      </c>
      <c r="E769" t="inlineStr">
        <is>
          <t>RAGUNDA</t>
        </is>
      </c>
      <c r="G769" t="n">
        <v>0.5</v>
      </c>
      <c r="H769" t="n">
        <v>0</v>
      </c>
      <c r="I769" t="n">
        <v>0</v>
      </c>
      <c r="J769" t="n">
        <v>0</v>
      </c>
      <c r="K769" t="n">
        <v>0</v>
      </c>
      <c r="L769" t="n">
        <v>0</v>
      </c>
      <c r="M769" t="n">
        <v>0</v>
      </c>
      <c r="N769" t="n">
        <v>0</v>
      </c>
      <c r="O769" t="n">
        <v>0</v>
      </c>
      <c r="P769" t="n">
        <v>0</v>
      </c>
      <c r="Q769" t="n">
        <v>0</v>
      </c>
      <c r="R769" s="2" t="inlineStr"/>
    </row>
    <row r="770" ht="15" customHeight="1">
      <c r="A770" t="inlineStr">
        <is>
          <t>A 34710-2025</t>
        </is>
      </c>
      <c r="B770" s="1" t="n">
        <v>45848.49774305556</v>
      </c>
      <c r="C770" s="1" t="n">
        <v>45890</v>
      </c>
      <c r="D770" t="inlineStr">
        <is>
          <t>JÄMTLANDS LÄN</t>
        </is>
      </c>
      <c r="E770" t="inlineStr">
        <is>
          <t>RAGUNDA</t>
        </is>
      </c>
      <c r="G770" t="n">
        <v>4.1</v>
      </c>
      <c r="H770" t="n">
        <v>0</v>
      </c>
      <c r="I770" t="n">
        <v>0</v>
      </c>
      <c r="J770" t="n">
        <v>0</v>
      </c>
      <c r="K770" t="n">
        <v>0</v>
      </c>
      <c r="L770" t="n">
        <v>0</v>
      </c>
      <c r="M770" t="n">
        <v>0</v>
      </c>
      <c r="N770" t="n">
        <v>0</v>
      </c>
      <c r="O770" t="n">
        <v>0</v>
      </c>
      <c r="P770" t="n">
        <v>0</v>
      </c>
      <c r="Q770" t="n">
        <v>0</v>
      </c>
      <c r="R770" s="2" t="inlineStr"/>
    </row>
    <row r="771" ht="15" customHeight="1">
      <c r="A771" t="inlineStr">
        <is>
          <t>A 34772-2025</t>
        </is>
      </c>
      <c r="B771" s="1" t="n">
        <v>45848.65658564815</v>
      </c>
      <c r="C771" s="1" t="n">
        <v>45890</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73278-2021</t>
        </is>
      </c>
      <c r="B772" s="1" t="n">
        <v>44550.92168981482</v>
      </c>
      <c r="C772" s="1" t="n">
        <v>45890</v>
      </c>
      <c r="D772" t="inlineStr">
        <is>
          <t>JÄMTLANDS LÄN</t>
        </is>
      </c>
      <c r="E772" t="inlineStr">
        <is>
          <t>RAGUNDA</t>
        </is>
      </c>
      <c r="G772" t="n">
        <v>4.4</v>
      </c>
      <c r="H772" t="n">
        <v>0</v>
      </c>
      <c r="I772" t="n">
        <v>0</v>
      </c>
      <c r="J772" t="n">
        <v>0</v>
      </c>
      <c r="K772" t="n">
        <v>0</v>
      </c>
      <c r="L772" t="n">
        <v>0</v>
      </c>
      <c r="M772" t="n">
        <v>0</v>
      </c>
      <c r="N772" t="n">
        <v>0</v>
      </c>
      <c r="O772" t="n">
        <v>0</v>
      </c>
      <c r="P772" t="n">
        <v>0</v>
      </c>
      <c r="Q772" t="n">
        <v>0</v>
      </c>
      <c r="R772" s="2" t="inlineStr"/>
    </row>
    <row r="773" ht="15" customHeight="1">
      <c r="A773" t="inlineStr">
        <is>
          <t>A 53935-2022</t>
        </is>
      </c>
      <c r="B773" s="1" t="n">
        <v>44880</v>
      </c>
      <c r="C773" s="1" t="n">
        <v>45890</v>
      </c>
      <c r="D773" t="inlineStr">
        <is>
          <t>JÄMTLANDS LÄN</t>
        </is>
      </c>
      <c r="E773" t="inlineStr">
        <is>
          <t>RAGUNDA</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34999-2025</t>
        </is>
      </c>
      <c r="B774" s="1" t="n">
        <v>45850.34450231482</v>
      </c>
      <c r="C774" s="1" t="n">
        <v>45890</v>
      </c>
      <c r="D774" t="inlineStr">
        <is>
          <t>JÄMTLANDS LÄN</t>
        </is>
      </c>
      <c r="E774" t="inlineStr">
        <is>
          <t>RAGUNDA</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51396-2024</t>
        </is>
      </c>
      <c r="B775" s="1" t="n">
        <v>45604.4190625</v>
      </c>
      <c r="C775" s="1" t="n">
        <v>45890</v>
      </c>
      <c r="D775" t="inlineStr">
        <is>
          <t>JÄMTLANDS LÄN</t>
        </is>
      </c>
      <c r="E775" t="inlineStr">
        <is>
          <t>RAGUNDA</t>
        </is>
      </c>
      <c r="G775" t="n">
        <v>0.8</v>
      </c>
      <c r="H775" t="n">
        <v>0</v>
      </c>
      <c r="I775" t="n">
        <v>0</v>
      </c>
      <c r="J775" t="n">
        <v>0</v>
      </c>
      <c r="K775" t="n">
        <v>0</v>
      </c>
      <c r="L775" t="n">
        <v>0</v>
      </c>
      <c r="M775" t="n">
        <v>0</v>
      </c>
      <c r="N775" t="n">
        <v>0</v>
      </c>
      <c r="O775" t="n">
        <v>0</v>
      </c>
      <c r="P775" t="n">
        <v>0</v>
      </c>
      <c r="Q775" t="n">
        <v>0</v>
      </c>
      <c r="R775" s="2" t="inlineStr"/>
    </row>
    <row r="776" ht="15" customHeight="1">
      <c r="A776" t="inlineStr">
        <is>
          <t>A 29940-2023</t>
        </is>
      </c>
      <c r="B776" s="1" t="n">
        <v>45107</v>
      </c>
      <c r="C776" s="1" t="n">
        <v>45890</v>
      </c>
      <c r="D776" t="inlineStr">
        <is>
          <t>JÄMTLANDS LÄN</t>
        </is>
      </c>
      <c r="E776" t="inlineStr">
        <is>
          <t>RAGUNDA</t>
        </is>
      </c>
      <c r="G776" t="n">
        <v>13.5</v>
      </c>
      <c r="H776" t="n">
        <v>0</v>
      </c>
      <c r="I776" t="n">
        <v>0</v>
      </c>
      <c r="J776" t="n">
        <v>0</v>
      </c>
      <c r="K776" t="n">
        <v>0</v>
      </c>
      <c r="L776" t="n">
        <v>0</v>
      </c>
      <c r="M776" t="n">
        <v>0</v>
      </c>
      <c r="N776" t="n">
        <v>0</v>
      </c>
      <c r="O776" t="n">
        <v>0</v>
      </c>
      <c r="P776" t="n">
        <v>0</v>
      </c>
      <c r="Q776" t="n">
        <v>0</v>
      </c>
      <c r="R776" s="2" t="inlineStr"/>
    </row>
    <row r="777" ht="15" customHeight="1">
      <c r="A777" t="inlineStr">
        <is>
          <t>A 35092-2025</t>
        </is>
      </c>
      <c r="B777" s="1" t="n">
        <v>45852.53185185185</v>
      </c>
      <c r="C777" s="1" t="n">
        <v>45890</v>
      </c>
      <c r="D777" t="inlineStr">
        <is>
          <t>JÄMTLANDS LÄN</t>
        </is>
      </c>
      <c r="E777" t="inlineStr">
        <is>
          <t>RAGUNDA</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41262-2021</t>
        </is>
      </c>
      <c r="B778" s="1" t="n">
        <v>44424</v>
      </c>
      <c r="C778" s="1" t="n">
        <v>45890</v>
      </c>
      <c r="D778" t="inlineStr">
        <is>
          <t>JÄMTLANDS LÄN</t>
        </is>
      </c>
      <c r="E778" t="inlineStr">
        <is>
          <t>RAGUNDA</t>
        </is>
      </c>
      <c r="G778" t="n">
        <v>2.6</v>
      </c>
      <c r="H778" t="n">
        <v>0</v>
      </c>
      <c r="I778" t="n">
        <v>0</v>
      </c>
      <c r="J778" t="n">
        <v>0</v>
      </c>
      <c r="K778" t="n">
        <v>0</v>
      </c>
      <c r="L778" t="n">
        <v>0</v>
      </c>
      <c r="M778" t="n">
        <v>0</v>
      </c>
      <c r="N778" t="n">
        <v>0</v>
      </c>
      <c r="O778" t="n">
        <v>0</v>
      </c>
      <c r="P778" t="n">
        <v>0</v>
      </c>
      <c r="Q778" t="n">
        <v>0</v>
      </c>
      <c r="R778" s="2" t="inlineStr"/>
    </row>
    <row r="779" ht="15" customHeight="1">
      <c r="A779" t="inlineStr">
        <is>
          <t>A 26640-2025</t>
        </is>
      </c>
      <c r="B779" s="1" t="n">
        <v>45810.36495370371</v>
      </c>
      <c r="C779" s="1" t="n">
        <v>45890</v>
      </c>
      <c r="D779" t="inlineStr">
        <is>
          <t>JÄMTLANDS LÄN</t>
        </is>
      </c>
      <c r="E779" t="inlineStr">
        <is>
          <t>RAGUNDA</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23303-2024</t>
        </is>
      </c>
      <c r="B780" s="1" t="n">
        <v>45453.4444212963</v>
      </c>
      <c r="C780" s="1" t="n">
        <v>45890</v>
      </c>
      <c r="D780" t="inlineStr">
        <is>
          <t>JÄMTLANDS LÄN</t>
        </is>
      </c>
      <c r="E780" t="inlineStr">
        <is>
          <t>RAGUNDA</t>
        </is>
      </c>
      <c r="G780" t="n">
        <v>0.7</v>
      </c>
      <c r="H780" t="n">
        <v>0</v>
      </c>
      <c r="I780" t="n">
        <v>0</v>
      </c>
      <c r="J780" t="n">
        <v>0</v>
      </c>
      <c r="K780" t="n">
        <v>0</v>
      </c>
      <c r="L780" t="n">
        <v>0</v>
      </c>
      <c r="M780" t="n">
        <v>0</v>
      </c>
      <c r="N780" t="n">
        <v>0</v>
      </c>
      <c r="O780" t="n">
        <v>0</v>
      </c>
      <c r="P780" t="n">
        <v>0</v>
      </c>
      <c r="Q780" t="n">
        <v>0</v>
      </c>
      <c r="R780" s="2" t="inlineStr"/>
    </row>
    <row r="781" ht="15" customHeight="1">
      <c r="A781" t="inlineStr">
        <is>
          <t>A 179-2025</t>
        </is>
      </c>
      <c r="B781" s="1" t="n">
        <v>45659.69822916666</v>
      </c>
      <c r="C781" s="1" t="n">
        <v>45890</v>
      </c>
      <c r="D781" t="inlineStr">
        <is>
          <t>JÄMTLANDS LÄN</t>
        </is>
      </c>
      <c r="E781" t="inlineStr">
        <is>
          <t>RAGUNDA</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35091-2025</t>
        </is>
      </c>
      <c r="B782" s="1" t="n">
        <v>45852.53168981482</v>
      </c>
      <c r="C782" s="1" t="n">
        <v>45890</v>
      </c>
      <c r="D782" t="inlineStr">
        <is>
          <t>JÄMTLANDS LÄN</t>
        </is>
      </c>
      <c r="E782" t="inlineStr">
        <is>
          <t>RAGUNDA</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22412-2024</t>
        </is>
      </c>
      <c r="B783" s="1" t="n">
        <v>45446.68947916666</v>
      </c>
      <c r="C783" s="1" t="n">
        <v>45890</v>
      </c>
      <c r="D783" t="inlineStr">
        <is>
          <t>JÄMTLANDS LÄN</t>
        </is>
      </c>
      <c r="E783" t="inlineStr">
        <is>
          <t>RAGUNDA</t>
        </is>
      </c>
      <c r="G783" t="n">
        <v>0.8</v>
      </c>
      <c r="H783" t="n">
        <v>0</v>
      </c>
      <c r="I783" t="n">
        <v>0</v>
      </c>
      <c r="J783" t="n">
        <v>0</v>
      </c>
      <c r="K783" t="n">
        <v>0</v>
      </c>
      <c r="L783" t="n">
        <v>0</v>
      </c>
      <c r="M783" t="n">
        <v>0</v>
      </c>
      <c r="N783" t="n">
        <v>0</v>
      </c>
      <c r="O783" t="n">
        <v>0</v>
      </c>
      <c r="P783" t="n">
        <v>0</v>
      </c>
      <c r="Q783" t="n">
        <v>0</v>
      </c>
      <c r="R783" s="2" t="inlineStr"/>
    </row>
    <row r="784" ht="15" customHeight="1">
      <c r="A784" t="inlineStr">
        <is>
          <t>A 51685-2020</t>
        </is>
      </c>
      <c r="B784" s="1" t="n">
        <v>44113</v>
      </c>
      <c r="C784" s="1" t="n">
        <v>45890</v>
      </c>
      <c r="D784" t="inlineStr">
        <is>
          <t>JÄMTLANDS LÄN</t>
        </is>
      </c>
      <c r="E784" t="inlineStr">
        <is>
          <t>RAGUNDA</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20221-2025</t>
        </is>
      </c>
      <c r="B785" s="1" t="n">
        <v>45772.6565625</v>
      </c>
      <c r="C785" s="1" t="n">
        <v>45890</v>
      </c>
      <c r="D785" t="inlineStr">
        <is>
          <t>JÄMTLANDS LÄN</t>
        </is>
      </c>
      <c r="E785" t="inlineStr">
        <is>
          <t>RAGUNDA</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2001-2025</t>
        </is>
      </c>
      <c r="B786" s="1" t="n">
        <v>45672.44898148148</v>
      </c>
      <c r="C786" s="1" t="n">
        <v>45890</v>
      </c>
      <c r="D786" t="inlineStr">
        <is>
          <t>JÄMTLANDS LÄN</t>
        </is>
      </c>
      <c r="E786" t="inlineStr">
        <is>
          <t>RAGUNDA</t>
        </is>
      </c>
      <c r="F786" t="inlineStr">
        <is>
          <t>SCA</t>
        </is>
      </c>
      <c r="G786" t="n">
        <v>16.2</v>
      </c>
      <c r="H786" t="n">
        <v>0</v>
      </c>
      <c r="I786" t="n">
        <v>0</v>
      </c>
      <c r="J786" t="n">
        <v>0</v>
      </c>
      <c r="K786" t="n">
        <v>0</v>
      </c>
      <c r="L786" t="n">
        <v>0</v>
      </c>
      <c r="M786" t="n">
        <v>0</v>
      </c>
      <c r="N786" t="n">
        <v>0</v>
      </c>
      <c r="O786" t="n">
        <v>0</v>
      </c>
      <c r="P786" t="n">
        <v>0</v>
      </c>
      <c r="Q786" t="n">
        <v>0</v>
      </c>
      <c r="R786" s="2" t="inlineStr"/>
    </row>
    <row r="787" ht="15" customHeight="1">
      <c r="A787" t="inlineStr">
        <is>
          <t>A 53762-2023</t>
        </is>
      </c>
      <c r="B787" s="1" t="n">
        <v>45230.96376157407</v>
      </c>
      <c r="C787" s="1" t="n">
        <v>45890</v>
      </c>
      <c r="D787" t="inlineStr">
        <is>
          <t>JÄMTLANDS LÄN</t>
        </is>
      </c>
      <c r="E787" t="inlineStr">
        <is>
          <t>RAGUNDA</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13334-2024</t>
        </is>
      </c>
      <c r="B788" s="1" t="n">
        <v>45386</v>
      </c>
      <c r="C788" s="1" t="n">
        <v>45890</v>
      </c>
      <c r="D788" t="inlineStr">
        <is>
          <t>JÄMTLANDS LÄN</t>
        </is>
      </c>
      <c r="E788" t="inlineStr">
        <is>
          <t>RAGUNDA</t>
        </is>
      </c>
      <c r="G788" t="n">
        <v>8.6</v>
      </c>
      <c r="H788" t="n">
        <v>0</v>
      </c>
      <c r="I788" t="n">
        <v>0</v>
      </c>
      <c r="J788" t="n">
        <v>0</v>
      </c>
      <c r="K788" t="n">
        <v>0</v>
      </c>
      <c r="L788" t="n">
        <v>0</v>
      </c>
      <c r="M788" t="n">
        <v>0</v>
      </c>
      <c r="N788" t="n">
        <v>0</v>
      </c>
      <c r="O788" t="n">
        <v>0</v>
      </c>
      <c r="P788" t="n">
        <v>0</v>
      </c>
      <c r="Q788" t="n">
        <v>0</v>
      </c>
      <c r="R788" s="2" t="inlineStr"/>
    </row>
    <row r="789" ht="15" customHeight="1">
      <c r="A789" t="inlineStr">
        <is>
          <t>A 4015-2022</t>
        </is>
      </c>
      <c r="B789" s="1" t="n">
        <v>44587.92149305555</v>
      </c>
      <c r="C789" s="1" t="n">
        <v>45890</v>
      </c>
      <c r="D789" t="inlineStr">
        <is>
          <t>JÄMTLANDS LÄN</t>
        </is>
      </c>
      <c r="E789" t="inlineStr">
        <is>
          <t>RAGUNDA</t>
        </is>
      </c>
      <c r="G789" t="n">
        <v>3.9</v>
      </c>
      <c r="H789" t="n">
        <v>0</v>
      </c>
      <c r="I789" t="n">
        <v>0</v>
      </c>
      <c r="J789" t="n">
        <v>0</v>
      </c>
      <c r="K789" t="n">
        <v>0</v>
      </c>
      <c r="L789" t="n">
        <v>0</v>
      </c>
      <c r="M789" t="n">
        <v>0</v>
      </c>
      <c r="N789" t="n">
        <v>0</v>
      </c>
      <c r="O789" t="n">
        <v>0</v>
      </c>
      <c r="P789" t="n">
        <v>0</v>
      </c>
      <c r="Q789" t="n">
        <v>0</v>
      </c>
      <c r="R789" s="2" t="inlineStr"/>
    </row>
    <row r="790" ht="15" customHeight="1">
      <c r="A790" t="inlineStr">
        <is>
          <t>A 60443-2023</t>
        </is>
      </c>
      <c r="B790" s="1" t="n">
        <v>45258</v>
      </c>
      <c r="C790" s="1" t="n">
        <v>45890</v>
      </c>
      <c r="D790" t="inlineStr">
        <is>
          <t>JÄMTLANDS LÄN</t>
        </is>
      </c>
      <c r="E790" t="inlineStr">
        <is>
          <t>RAGUNDA</t>
        </is>
      </c>
      <c r="G790" t="n">
        <v>2.9</v>
      </c>
      <c r="H790" t="n">
        <v>0</v>
      </c>
      <c r="I790" t="n">
        <v>0</v>
      </c>
      <c r="J790" t="n">
        <v>0</v>
      </c>
      <c r="K790" t="n">
        <v>0</v>
      </c>
      <c r="L790" t="n">
        <v>0</v>
      </c>
      <c r="M790" t="n">
        <v>0</v>
      </c>
      <c r="N790" t="n">
        <v>0</v>
      </c>
      <c r="O790" t="n">
        <v>0</v>
      </c>
      <c r="P790" t="n">
        <v>0</v>
      </c>
      <c r="Q790" t="n">
        <v>0</v>
      </c>
      <c r="R790" s="2" t="inlineStr"/>
    </row>
    <row r="791" ht="15" customHeight="1">
      <c r="A791" t="inlineStr">
        <is>
          <t>A 21726-2023</t>
        </is>
      </c>
      <c r="B791" s="1" t="n">
        <v>45065.42894675926</v>
      </c>
      <c r="C791" s="1" t="n">
        <v>45890</v>
      </c>
      <c r="D791" t="inlineStr">
        <is>
          <t>JÄMTLANDS LÄN</t>
        </is>
      </c>
      <c r="E791" t="inlineStr">
        <is>
          <t>RAGUNDA</t>
        </is>
      </c>
      <c r="G791" t="n">
        <v>0.4</v>
      </c>
      <c r="H791" t="n">
        <v>0</v>
      </c>
      <c r="I791" t="n">
        <v>0</v>
      </c>
      <c r="J791" t="n">
        <v>0</v>
      </c>
      <c r="K791" t="n">
        <v>0</v>
      </c>
      <c r="L791" t="n">
        <v>0</v>
      </c>
      <c r="M791" t="n">
        <v>0</v>
      </c>
      <c r="N791" t="n">
        <v>0</v>
      </c>
      <c r="O791" t="n">
        <v>0</v>
      </c>
      <c r="P791" t="n">
        <v>0</v>
      </c>
      <c r="Q791" t="n">
        <v>0</v>
      </c>
      <c r="R791" s="2" t="inlineStr"/>
    </row>
    <row r="792" ht="15" customHeight="1">
      <c r="A792" t="inlineStr">
        <is>
          <t>A 8416-2023</t>
        </is>
      </c>
      <c r="B792" s="1" t="n">
        <v>44977.44373842593</v>
      </c>
      <c r="C792" s="1" t="n">
        <v>45890</v>
      </c>
      <c r="D792" t="inlineStr">
        <is>
          <t>JÄMTLANDS LÄN</t>
        </is>
      </c>
      <c r="E792" t="inlineStr">
        <is>
          <t>RAGUNDA</t>
        </is>
      </c>
      <c r="G792" t="n">
        <v>0.7</v>
      </c>
      <c r="H792" t="n">
        <v>0</v>
      </c>
      <c r="I792" t="n">
        <v>0</v>
      </c>
      <c r="J792" t="n">
        <v>0</v>
      </c>
      <c r="K792" t="n">
        <v>0</v>
      </c>
      <c r="L792" t="n">
        <v>0</v>
      </c>
      <c r="M792" t="n">
        <v>0</v>
      </c>
      <c r="N792" t="n">
        <v>0</v>
      </c>
      <c r="O792" t="n">
        <v>0</v>
      </c>
      <c r="P792" t="n">
        <v>0</v>
      </c>
      <c r="Q792" t="n">
        <v>0</v>
      </c>
      <c r="R792" s="2" t="inlineStr"/>
    </row>
    <row r="793" ht="15" customHeight="1">
      <c r="A793" t="inlineStr">
        <is>
          <t>A 45253-2023</t>
        </is>
      </c>
      <c r="B793" s="1" t="n">
        <v>45187</v>
      </c>
      <c r="C793" s="1" t="n">
        <v>45890</v>
      </c>
      <c r="D793" t="inlineStr">
        <is>
          <t>JÄMTLANDS LÄN</t>
        </is>
      </c>
      <c r="E793" t="inlineStr">
        <is>
          <t>RAGUNDA</t>
        </is>
      </c>
      <c r="G793" t="n">
        <v>3.3</v>
      </c>
      <c r="H793" t="n">
        <v>0</v>
      </c>
      <c r="I793" t="n">
        <v>0</v>
      </c>
      <c r="J793" t="n">
        <v>0</v>
      </c>
      <c r="K793" t="n">
        <v>0</v>
      </c>
      <c r="L793" t="n">
        <v>0</v>
      </c>
      <c r="M793" t="n">
        <v>0</v>
      </c>
      <c r="N793" t="n">
        <v>0</v>
      </c>
      <c r="O793" t="n">
        <v>0</v>
      </c>
      <c r="P793" t="n">
        <v>0</v>
      </c>
      <c r="Q793" t="n">
        <v>0</v>
      </c>
      <c r="R793" s="2" t="inlineStr"/>
    </row>
    <row r="794" ht="15" customHeight="1">
      <c r="A794" t="inlineStr">
        <is>
          <t>A 34998-2025</t>
        </is>
      </c>
      <c r="B794" s="1" t="n">
        <v>45850.34434027778</v>
      </c>
      <c r="C794" s="1" t="n">
        <v>45890</v>
      </c>
      <c r="D794" t="inlineStr">
        <is>
          <t>JÄMTLANDS LÄN</t>
        </is>
      </c>
      <c r="E794" t="inlineStr">
        <is>
          <t>RAGUNDA</t>
        </is>
      </c>
      <c r="G794" t="n">
        <v>1.4</v>
      </c>
      <c r="H794" t="n">
        <v>0</v>
      </c>
      <c r="I794" t="n">
        <v>0</v>
      </c>
      <c r="J794" t="n">
        <v>0</v>
      </c>
      <c r="K794" t="n">
        <v>0</v>
      </c>
      <c r="L794" t="n">
        <v>0</v>
      </c>
      <c r="M794" t="n">
        <v>0</v>
      </c>
      <c r="N794" t="n">
        <v>0</v>
      </c>
      <c r="O794" t="n">
        <v>0</v>
      </c>
      <c r="P794" t="n">
        <v>0</v>
      </c>
      <c r="Q794" t="n">
        <v>0</v>
      </c>
      <c r="R794" s="2" t="inlineStr"/>
    </row>
    <row r="795" ht="15" customHeight="1">
      <c r="A795" t="inlineStr">
        <is>
          <t>A 14369-2024</t>
        </is>
      </c>
      <c r="B795" s="1" t="n">
        <v>45393.94459490741</v>
      </c>
      <c r="C795" s="1" t="n">
        <v>45890</v>
      </c>
      <c r="D795" t="inlineStr">
        <is>
          <t>JÄMTLANDS LÄN</t>
        </is>
      </c>
      <c r="E795" t="inlineStr">
        <is>
          <t>RAGUNDA</t>
        </is>
      </c>
      <c r="F795" t="inlineStr">
        <is>
          <t>Naturvårdsverket</t>
        </is>
      </c>
      <c r="G795" t="n">
        <v>1.8</v>
      </c>
      <c r="H795" t="n">
        <v>0</v>
      </c>
      <c r="I795" t="n">
        <v>0</v>
      </c>
      <c r="J795" t="n">
        <v>0</v>
      </c>
      <c r="K795" t="n">
        <v>0</v>
      </c>
      <c r="L795" t="n">
        <v>0</v>
      </c>
      <c r="M795" t="n">
        <v>0</v>
      </c>
      <c r="N795" t="n">
        <v>0</v>
      </c>
      <c r="O795" t="n">
        <v>0</v>
      </c>
      <c r="P795" t="n">
        <v>0</v>
      </c>
      <c r="Q795" t="n">
        <v>0</v>
      </c>
      <c r="R795" s="2" t="inlineStr"/>
    </row>
    <row r="796" ht="15" customHeight="1">
      <c r="A796" t="inlineStr">
        <is>
          <t>A 19089-2024</t>
        </is>
      </c>
      <c r="B796" s="1" t="n">
        <v>45428.00471064815</v>
      </c>
      <c r="C796" s="1" t="n">
        <v>45890</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45952-2023</t>
        </is>
      </c>
      <c r="B797" s="1" t="n">
        <v>45195</v>
      </c>
      <c r="C797" s="1" t="n">
        <v>45890</v>
      </c>
      <c r="D797" t="inlineStr">
        <is>
          <t>JÄMTLANDS LÄN</t>
        </is>
      </c>
      <c r="E797" t="inlineStr">
        <is>
          <t>RAGUNDA</t>
        </is>
      </c>
      <c r="F797" t="inlineStr">
        <is>
          <t>SCA</t>
        </is>
      </c>
      <c r="G797" t="n">
        <v>2.8</v>
      </c>
      <c r="H797" t="n">
        <v>0</v>
      </c>
      <c r="I797" t="n">
        <v>0</v>
      </c>
      <c r="J797" t="n">
        <v>0</v>
      </c>
      <c r="K797" t="n">
        <v>0</v>
      </c>
      <c r="L797" t="n">
        <v>0</v>
      </c>
      <c r="M797" t="n">
        <v>0</v>
      </c>
      <c r="N797" t="n">
        <v>0</v>
      </c>
      <c r="O797" t="n">
        <v>0</v>
      </c>
      <c r="P797" t="n">
        <v>0</v>
      </c>
      <c r="Q797" t="n">
        <v>0</v>
      </c>
      <c r="R797" s="2" t="inlineStr"/>
    </row>
    <row r="798" ht="15" customHeight="1">
      <c r="A798" t="inlineStr">
        <is>
          <t>A 45954-2023</t>
        </is>
      </c>
      <c r="B798" s="1" t="n">
        <v>45195.94679398148</v>
      </c>
      <c r="C798" s="1" t="n">
        <v>45890</v>
      </c>
      <c r="D798" t="inlineStr">
        <is>
          <t>JÄMTLANDS LÄN</t>
        </is>
      </c>
      <c r="E798" t="inlineStr">
        <is>
          <t>RAGUNDA</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45955-2023</t>
        </is>
      </c>
      <c r="B799" s="1" t="n">
        <v>45195.94685185186</v>
      </c>
      <c r="C799" s="1" t="n">
        <v>45890</v>
      </c>
      <c r="D799" t="inlineStr">
        <is>
          <t>JÄMTLANDS LÄN</t>
        </is>
      </c>
      <c r="E799" t="inlineStr">
        <is>
          <t>RAGUNDA</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35462-2025</t>
        </is>
      </c>
      <c r="B800" s="1" t="n">
        <v>45855.61523148148</v>
      </c>
      <c r="C800" s="1" t="n">
        <v>45890</v>
      </c>
      <c r="D800" t="inlineStr">
        <is>
          <t>JÄMTLANDS LÄN</t>
        </is>
      </c>
      <c r="E800" t="inlineStr">
        <is>
          <t>RAGUNDA</t>
        </is>
      </c>
      <c r="F800" t="inlineStr">
        <is>
          <t>SCA</t>
        </is>
      </c>
      <c r="G800" t="n">
        <v>5.7</v>
      </c>
      <c r="H800" t="n">
        <v>0</v>
      </c>
      <c r="I800" t="n">
        <v>0</v>
      </c>
      <c r="J800" t="n">
        <v>0</v>
      </c>
      <c r="K800" t="n">
        <v>0</v>
      </c>
      <c r="L800" t="n">
        <v>0</v>
      </c>
      <c r="M800" t="n">
        <v>0</v>
      </c>
      <c r="N800" t="n">
        <v>0</v>
      </c>
      <c r="O800" t="n">
        <v>0</v>
      </c>
      <c r="P800" t="n">
        <v>0</v>
      </c>
      <c r="Q800" t="n">
        <v>0</v>
      </c>
      <c r="R800" s="2" t="inlineStr"/>
    </row>
    <row r="801" ht="15" customHeight="1">
      <c r="A801" t="inlineStr">
        <is>
          <t>A 35477-2025</t>
        </is>
      </c>
      <c r="B801" s="1" t="n">
        <v>45855.67899305555</v>
      </c>
      <c r="C801" s="1" t="n">
        <v>45890</v>
      </c>
      <c r="D801" t="inlineStr">
        <is>
          <t>JÄMTLANDS LÄN</t>
        </is>
      </c>
      <c r="E801" t="inlineStr">
        <is>
          <t>RAGUNDA</t>
        </is>
      </c>
      <c r="G801" t="n">
        <v>3.6</v>
      </c>
      <c r="H801" t="n">
        <v>0</v>
      </c>
      <c r="I801" t="n">
        <v>0</v>
      </c>
      <c r="J801" t="n">
        <v>0</v>
      </c>
      <c r="K801" t="n">
        <v>0</v>
      </c>
      <c r="L801" t="n">
        <v>0</v>
      </c>
      <c r="M801" t="n">
        <v>0</v>
      </c>
      <c r="N801" t="n">
        <v>0</v>
      </c>
      <c r="O801" t="n">
        <v>0</v>
      </c>
      <c r="P801" t="n">
        <v>0</v>
      </c>
      <c r="Q801" t="n">
        <v>0</v>
      </c>
      <c r="R801" s="2" t="inlineStr"/>
    </row>
    <row r="802" ht="15" customHeight="1">
      <c r="A802" t="inlineStr">
        <is>
          <t>A 35355-2025</t>
        </is>
      </c>
      <c r="B802" s="1" t="n">
        <v>45854.65663194445</v>
      </c>
      <c r="C802" s="1" t="n">
        <v>45890</v>
      </c>
      <c r="D802" t="inlineStr">
        <is>
          <t>JÄMTLANDS LÄN</t>
        </is>
      </c>
      <c r="E802" t="inlineStr">
        <is>
          <t>RAGUNDA</t>
        </is>
      </c>
      <c r="F802" t="inlineStr">
        <is>
          <t>SCA</t>
        </is>
      </c>
      <c r="G802" t="n">
        <v>4</v>
      </c>
      <c r="H802" t="n">
        <v>0</v>
      </c>
      <c r="I802" t="n">
        <v>0</v>
      </c>
      <c r="J802" t="n">
        <v>0</v>
      </c>
      <c r="K802" t="n">
        <v>0</v>
      </c>
      <c r="L802" t="n">
        <v>0</v>
      </c>
      <c r="M802" t="n">
        <v>0</v>
      </c>
      <c r="N802" t="n">
        <v>0</v>
      </c>
      <c r="O802" t="n">
        <v>0</v>
      </c>
      <c r="P802" t="n">
        <v>0</v>
      </c>
      <c r="Q802" t="n">
        <v>0</v>
      </c>
      <c r="R802" s="2" t="inlineStr"/>
    </row>
    <row r="803" ht="15" customHeight="1">
      <c r="A803" t="inlineStr">
        <is>
          <t>A 60456-2023</t>
        </is>
      </c>
      <c r="B803" s="1" t="n">
        <v>45258</v>
      </c>
      <c r="C803" s="1" t="n">
        <v>45890</v>
      </c>
      <c r="D803" t="inlineStr">
        <is>
          <t>JÄMTLANDS LÄN</t>
        </is>
      </c>
      <c r="E803" t="inlineStr">
        <is>
          <t>RAGUNDA</t>
        </is>
      </c>
      <c r="G803" t="n">
        <v>1.8</v>
      </c>
      <c r="H803" t="n">
        <v>0</v>
      </c>
      <c r="I803" t="n">
        <v>0</v>
      </c>
      <c r="J803" t="n">
        <v>0</v>
      </c>
      <c r="K803" t="n">
        <v>0</v>
      </c>
      <c r="L803" t="n">
        <v>0</v>
      </c>
      <c r="M803" t="n">
        <v>0</v>
      </c>
      <c r="N803" t="n">
        <v>0</v>
      </c>
      <c r="O803" t="n">
        <v>0</v>
      </c>
      <c r="P803" t="n">
        <v>0</v>
      </c>
      <c r="Q803" t="n">
        <v>0</v>
      </c>
      <c r="R803" s="2" t="inlineStr"/>
    </row>
    <row r="804" ht="15" customHeight="1">
      <c r="A804" t="inlineStr">
        <is>
          <t>A 16334-2025</t>
        </is>
      </c>
      <c r="B804" s="1" t="n">
        <v>45751.36490740741</v>
      </c>
      <c r="C804" s="1" t="n">
        <v>45890</v>
      </c>
      <c r="D804" t="inlineStr">
        <is>
          <t>JÄMTLANDS LÄN</t>
        </is>
      </c>
      <c r="E804" t="inlineStr">
        <is>
          <t>RAGUNDA</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58438-2022</t>
        </is>
      </c>
      <c r="B805" s="1" t="n">
        <v>44901</v>
      </c>
      <c r="C805" s="1" t="n">
        <v>45890</v>
      </c>
      <c r="D805" t="inlineStr">
        <is>
          <t>JÄMTLANDS LÄN</t>
        </is>
      </c>
      <c r="E805" t="inlineStr">
        <is>
          <t>RAGUNDA</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58442-2022</t>
        </is>
      </c>
      <c r="B806" s="1" t="n">
        <v>44901</v>
      </c>
      <c r="C806" s="1" t="n">
        <v>45890</v>
      </c>
      <c r="D806" t="inlineStr">
        <is>
          <t>JÄMTLANDS LÄN</t>
        </is>
      </c>
      <c r="E806" t="inlineStr">
        <is>
          <t>RAGUNDA</t>
        </is>
      </c>
      <c r="F806" t="inlineStr">
        <is>
          <t>SCA</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27510-2025</t>
        </is>
      </c>
      <c r="B807" s="1" t="n">
        <v>45813.42790509259</v>
      </c>
      <c r="C807" s="1" t="n">
        <v>45890</v>
      </c>
      <c r="D807" t="inlineStr">
        <is>
          <t>JÄMTLANDS LÄN</t>
        </is>
      </c>
      <c r="E807" t="inlineStr">
        <is>
          <t>RAGUNDA</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5806-2025</t>
        </is>
      </c>
      <c r="B808" s="1" t="n">
        <v>45694.69826388889</v>
      </c>
      <c r="C808" s="1" t="n">
        <v>45890</v>
      </c>
      <c r="D808" t="inlineStr">
        <is>
          <t>JÄMTLANDS LÄN</t>
        </is>
      </c>
      <c r="E808" t="inlineStr">
        <is>
          <t>RAGUNDA</t>
        </is>
      </c>
      <c r="F808" t="inlineStr">
        <is>
          <t>SCA</t>
        </is>
      </c>
      <c r="G808" t="n">
        <v>5.8</v>
      </c>
      <c r="H808" t="n">
        <v>0</v>
      </c>
      <c r="I808" t="n">
        <v>0</v>
      </c>
      <c r="J808" t="n">
        <v>0</v>
      </c>
      <c r="K808" t="n">
        <v>0</v>
      </c>
      <c r="L808" t="n">
        <v>0</v>
      </c>
      <c r="M808" t="n">
        <v>0</v>
      </c>
      <c r="N808" t="n">
        <v>0</v>
      </c>
      <c r="O808" t="n">
        <v>0</v>
      </c>
      <c r="P808" t="n">
        <v>0</v>
      </c>
      <c r="Q808" t="n">
        <v>0</v>
      </c>
      <c r="R808" s="2" t="inlineStr"/>
    </row>
    <row r="809" ht="15" customHeight="1">
      <c r="A809" t="inlineStr">
        <is>
          <t>A 19404-2025</t>
        </is>
      </c>
      <c r="B809" s="1" t="n">
        <v>45769.67802083334</v>
      </c>
      <c r="C809" s="1" t="n">
        <v>45890</v>
      </c>
      <c r="D809" t="inlineStr">
        <is>
          <t>JÄMTLANDS LÄN</t>
        </is>
      </c>
      <c r="E809" t="inlineStr">
        <is>
          <t>RAGUNDA</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41179-2022</t>
        </is>
      </c>
      <c r="B810" s="1" t="n">
        <v>44825</v>
      </c>
      <c r="C810" s="1" t="n">
        <v>45890</v>
      </c>
      <c r="D810" t="inlineStr">
        <is>
          <t>JÄMTLANDS LÄN</t>
        </is>
      </c>
      <c r="E810" t="inlineStr">
        <is>
          <t>RAGUNDA</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182-2023</t>
        </is>
      </c>
      <c r="B811" s="1" t="n">
        <v>44922</v>
      </c>
      <c r="C811" s="1" t="n">
        <v>45890</v>
      </c>
      <c r="D811" t="inlineStr">
        <is>
          <t>JÄMTLANDS LÄN</t>
        </is>
      </c>
      <c r="E811" t="inlineStr">
        <is>
          <t>RAGUNDA</t>
        </is>
      </c>
      <c r="G811" t="n">
        <v>1.4</v>
      </c>
      <c r="H811" t="n">
        <v>0</v>
      </c>
      <c r="I811" t="n">
        <v>0</v>
      </c>
      <c r="J811" t="n">
        <v>0</v>
      </c>
      <c r="K811" t="n">
        <v>0</v>
      </c>
      <c r="L811" t="n">
        <v>0</v>
      </c>
      <c r="M811" t="n">
        <v>0</v>
      </c>
      <c r="N811" t="n">
        <v>0</v>
      </c>
      <c r="O811" t="n">
        <v>0</v>
      </c>
      <c r="P811" t="n">
        <v>0</v>
      </c>
      <c r="Q811" t="n">
        <v>0</v>
      </c>
      <c r="R811" s="2" t="inlineStr"/>
    </row>
    <row r="812" ht="15" customHeight="1">
      <c r="A812" t="inlineStr">
        <is>
          <t>A 6490-2022</t>
        </is>
      </c>
      <c r="B812" s="1" t="n">
        <v>44601</v>
      </c>
      <c r="C812" s="1" t="n">
        <v>45890</v>
      </c>
      <c r="D812" t="inlineStr">
        <is>
          <t>JÄMTLANDS LÄN</t>
        </is>
      </c>
      <c r="E812" t="inlineStr">
        <is>
          <t>RAGUNDA</t>
        </is>
      </c>
      <c r="G812" t="n">
        <v>3.8</v>
      </c>
      <c r="H812" t="n">
        <v>0</v>
      </c>
      <c r="I812" t="n">
        <v>0</v>
      </c>
      <c r="J812" t="n">
        <v>0</v>
      </c>
      <c r="K812" t="n">
        <v>0</v>
      </c>
      <c r="L812" t="n">
        <v>0</v>
      </c>
      <c r="M812" t="n">
        <v>0</v>
      </c>
      <c r="N812" t="n">
        <v>0</v>
      </c>
      <c r="O812" t="n">
        <v>0</v>
      </c>
      <c r="P812" t="n">
        <v>0</v>
      </c>
      <c r="Q812" t="n">
        <v>0</v>
      </c>
      <c r="R812" s="2" t="inlineStr"/>
    </row>
    <row r="813" ht="15" customHeight="1">
      <c r="A813" t="inlineStr">
        <is>
          <t>A 6802-2021</t>
        </is>
      </c>
      <c r="B813" s="1" t="n">
        <v>44236</v>
      </c>
      <c r="C813" s="1" t="n">
        <v>45890</v>
      </c>
      <c r="D813" t="inlineStr">
        <is>
          <t>JÄMTLANDS LÄN</t>
        </is>
      </c>
      <c r="E813" t="inlineStr">
        <is>
          <t>RAGUNDA</t>
        </is>
      </c>
      <c r="G813" t="n">
        <v>11.2</v>
      </c>
      <c r="H813" t="n">
        <v>0</v>
      </c>
      <c r="I813" t="n">
        <v>0</v>
      </c>
      <c r="J813" t="n">
        <v>0</v>
      </c>
      <c r="K813" t="n">
        <v>0</v>
      </c>
      <c r="L813" t="n">
        <v>0</v>
      </c>
      <c r="M813" t="n">
        <v>0</v>
      </c>
      <c r="N813" t="n">
        <v>0</v>
      </c>
      <c r="O813" t="n">
        <v>0</v>
      </c>
      <c r="P813" t="n">
        <v>0</v>
      </c>
      <c r="Q813" t="n">
        <v>0</v>
      </c>
      <c r="R813" s="2" t="inlineStr"/>
    </row>
    <row r="814" ht="15" customHeight="1">
      <c r="A814" t="inlineStr">
        <is>
          <t>A 6477-2024</t>
        </is>
      </c>
      <c r="B814" s="1" t="n">
        <v>45338.95405092592</v>
      </c>
      <c r="C814" s="1" t="n">
        <v>45890</v>
      </c>
      <c r="D814" t="inlineStr">
        <is>
          <t>JÄMTLANDS LÄN</t>
        </is>
      </c>
      <c r="E814" t="inlineStr">
        <is>
          <t>RAGUNDA</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35658-2025</t>
        </is>
      </c>
      <c r="B815" s="1" t="n">
        <v>45859.594375</v>
      </c>
      <c r="C815" s="1" t="n">
        <v>45890</v>
      </c>
      <c r="D815" t="inlineStr">
        <is>
          <t>JÄMTLANDS LÄN</t>
        </is>
      </c>
      <c r="E815" t="inlineStr">
        <is>
          <t>RAGUNDA</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61598-2024</t>
        </is>
      </c>
      <c r="B816" s="1" t="n">
        <v>45646.63605324074</v>
      </c>
      <c r="C816" s="1" t="n">
        <v>45890</v>
      </c>
      <c r="D816" t="inlineStr">
        <is>
          <t>JÄMTLANDS LÄN</t>
        </is>
      </c>
      <c r="E816" t="inlineStr">
        <is>
          <t>RAGUNDA</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17667-2025</t>
        </is>
      </c>
      <c r="B817" s="1" t="n">
        <v>45758.36487268518</v>
      </c>
      <c r="C817" s="1" t="n">
        <v>45890</v>
      </c>
      <c r="D817" t="inlineStr">
        <is>
          <t>JÄMTLANDS LÄN</t>
        </is>
      </c>
      <c r="E817" t="inlineStr">
        <is>
          <t>RAGUNDA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50157-2023</t>
        </is>
      </c>
      <c r="B818" s="1" t="n">
        <v>45208</v>
      </c>
      <c r="C818" s="1" t="n">
        <v>45890</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18193-2022</t>
        </is>
      </c>
      <c r="B819" s="1" t="n">
        <v>44684.94032407407</v>
      </c>
      <c r="C819" s="1" t="n">
        <v>45890</v>
      </c>
      <c r="D819" t="inlineStr">
        <is>
          <t>JÄMTLANDS LÄN</t>
        </is>
      </c>
      <c r="E819" t="inlineStr">
        <is>
          <t>RAGUNDA</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11551-2024</t>
        </is>
      </c>
      <c r="B820" s="1" t="n">
        <v>45372.95762731481</v>
      </c>
      <c r="C820" s="1" t="n">
        <v>45890</v>
      </c>
      <c r="D820" t="inlineStr">
        <is>
          <t>JÄMTLANDS LÄN</t>
        </is>
      </c>
      <c r="E820" t="inlineStr">
        <is>
          <t>RAGUNDA</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28084-2025</t>
        </is>
      </c>
      <c r="B821" s="1" t="n">
        <v>45817.71910879629</v>
      </c>
      <c r="C821" s="1" t="n">
        <v>45890</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49647-2024</t>
        </is>
      </c>
      <c r="B822" s="1" t="n">
        <v>45596.61533564814</v>
      </c>
      <c r="C822" s="1" t="n">
        <v>45890</v>
      </c>
      <c r="D822" t="inlineStr">
        <is>
          <t>JÄMTLANDS LÄN</t>
        </is>
      </c>
      <c r="E822" t="inlineStr">
        <is>
          <t>RAGUNDA</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12405-2025</t>
        </is>
      </c>
      <c r="B823" s="1" t="n">
        <v>45730.42738425926</v>
      </c>
      <c r="C823" s="1" t="n">
        <v>45890</v>
      </c>
      <c r="D823" t="inlineStr">
        <is>
          <t>JÄMTLANDS LÄN</t>
        </is>
      </c>
      <c r="E823" t="inlineStr">
        <is>
          <t>RAGUNDA</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35541-2025</t>
        </is>
      </c>
      <c r="B824" s="1" t="n">
        <v>45856.46931712963</v>
      </c>
      <c r="C824" s="1" t="n">
        <v>45890</v>
      </c>
      <c r="D824" t="inlineStr">
        <is>
          <t>JÄMTLANDS LÄN</t>
        </is>
      </c>
      <c r="E824" t="inlineStr">
        <is>
          <t>RAGUNDA</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18989-2025</t>
        </is>
      </c>
      <c r="B825" s="1" t="n">
        <v>45764</v>
      </c>
      <c r="C825" s="1" t="n">
        <v>45890</v>
      </c>
      <c r="D825" t="inlineStr">
        <is>
          <t>JÄMTLANDS LÄN</t>
        </is>
      </c>
      <c r="E825" t="inlineStr">
        <is>
          <t>RAGUNDA</t>
        </is>
      </c>
      <c r="G825" t="n">
        <v>0.9</v>
      </c>
      <c r="H825" t="n">
        <v>0</v>
      </c>
      <c r="I825" t="n">
        <v>0</v>
      </c>
      <c r="J825" t="n">
        <v>0</v>
      </c>
      <c r="K825" t="n">
        <v>0</v>
      </c>
      <c r="L825" t="n">
        <v>0</v>
      </c>
      <c r="M825" t="n">
        <v>0</v>
      </c>
      <c r="N825" t="n">
        <v>0</v>
      </c>
      <c r="O825" t="n">
        <v>0</v>
      </c>
      <c r="P825" t="n">
        <v>0</v>
      </c>
      <c r="Q825" t="n">
        <v>0</v>
      </c>
      <c r="R825" s="2" t="inlineStr"/>
    </row>
    <row r="826" ht="15" customHeight="1">
      <c r="A826" t="inlineStr">
        <is>
          <t>A 36986-2023</t>
        </is>
      </c>
      <c r="B826" s="1" t="n">
        <v>45154.95525462963</v>
      </c>
      <c r="C826" s="1" t="n">
        <v>45890</v>
      </c>
      <c r="D826" t="inlineStr">
        <is>
          <t>JÄMTLANDS LÄN</t>
        </is>
      </c>
      <c r="E826" t="inlineStr">
        <is>
          <t>RAGUNDA</t>
        </is>
      </c>
      <c r="F826" t="inlineStr">
        <is>
          <t>SCA</t>
        </is>
      </c>
      <c r="G826" t="n">
        <v>0.2</v>
      </c>
      <c r="H826" t="n">
        <v>0</v>
      </c>
      <c r="I826" t="n">
        <v>0</v>
      </c>
      <c r="J826" t="n">
        <v>0</v>
      </c>
      <c r="K826" t="n">
        <v>0</v>
      </c>
      <c r="L826" t="n">
        <v>0</v>
      </c>
      <c r="M826" t="n">
        <v>0</v>
      </c>
      <c r="N826" t="n">
        <v>0</v>
      </c>
      <c r="O826" t="n">
        <v>0</v>
      </c>
      <c r="P826" t="n">
        <v>0</v>
      </c>
      <c r="Q826" t="n">
        <v>0</v>
      </c>
      <c r="R826" s="2" t="inlineStr"/>
    </row>
    <row r="827" ht="15" customHeight="1">
      <c r="A827" t="inlineStr">
        <is>
          <t>A 53264-2024</t>
        </is>
      </c>
      <c r="B827" s="1" t="n">
        <v>45614.34545138889</v>
      </c>
      <c r="C827" s="1" t="n">
        <v>45890</v>
      </c>
      <c r="D827" t="inlineStr">
        <is>
          <t>JÄMTLANDS LÄN</t>
        </is>
      </c>
      <c r="E827" t="inlineStr">
        <is>
          <t>RAGUNDA</t>
        </is>
      </c>
      <c r="G827" t="n">
        <v>1.4</v>
      </c>
      <c r="H827" t="n">
        <v>0</v>
      </c>
      <c r="I827" t="n">
        <v>0</v>
      </c>
      <c r="J827" t="n">
        <v>0</v>
      </c>
      <c r="K827" t="n">
        <v>0</v>
      </c>
      <c r="L827" t="n">
        <v>0</v>
      </c>
      <c r="M827" t="n">
        <v>0</v>
      </c>
      <c r="N827" t="n">
        <v>0</v>
      </c>
      <c r="O827" t="n">
        <v>0</v>
      </c>
      <c r="P827" t="n">
        <v>0</v>
      </c>
      <c r="Q827" t="n">
        <v>0</v>
      </c>
      <c r="R827" s="2" t="inlineStr"/>
    </row>
    <row r="828" ht="15" customHeight="1">
      <c r="A828" t="inlineStr">
        <is>
          <t>A 13389-2025</t>
        </is>
      </c>
      <c r="B828" s="1" t="n">
        <v>45735.69842592593</v>
      </c>
      <c r="C828" s="1" t="n">
        <v>45890</v>
      </c>
      <c r="D828" t="inlineStr">
        <is>
          <t>JÄMTLANDS LÄN</t>
        </is>
      </c>
      <c r="E828" t="inlineStr">
        <is>
          <t>RAGUNDA</t>
        </is>
      </c>
      <c r="F828" t="inlineStr">
        <is>
          <t>SCA</t>
        </is>
      </c>
      <c r="G828" t="n">
        <v>0.5</v>
      </c>
      <c r="H828" t="n">
        <v>0</v>
      </c>
      <c r="I828" t="n">
        <v>0</v>
      </c>
      <c r="J828" t="n">
        <v>0</v>
      </c>
      <c r="K828" t="n">
        <v>0</v>
      </c>
      <c r="L828" t="n">
        <v>0</v>
      </c>
      <c r="M828" t="n">
        <v>0</v>
      </c>
      <c r="N828" t="n">
        <v>0</v>
      </c>
      <c r="O828" t="n">
        <v>0</v>
      </c>
      <c r="P828" t="n">
        <v>0</v>
      </c>
      <c r="Q828" t="n">
        <v>0</v>
      </c>
      <c r="R828" s="2" t="inlineStr"/>
    </row>
    <row r="829" ht="15" customHeight="1">
      <c r="A829" t="inlineStr">
        <is>
          <t>A 28216-2025</t>
        </is>
      </c>
      <c r="B829" s="1" t="n">
        <v>45818.46898148148</v>
      </c>
      <c r="C829" s="1" t="n">
        <v>45890</v>
      </c>
      <c r="D829" t="inlineStr">
        <is>
          <t>JÄMTLANDS LÄN</t>
        </is>
      </c>
      <c r="E829" t="inlineStr">
        <is>
          <t>RAGUNDA</t>
        </is>
      </c>
      <c r="G829" t="n">
        <v>6.6</v>
      </c>
      <c r="H829" t="n">
        <v>0</v>
      </c>
      <c r="I829" t="n">
        <v>0</v>
      </c>
      <c r="J829" t="n">
        <v>0</v>
      </c>
      <c r="K829" t="n">
        <v>0</v>
      </c>
      <c r="L829" t="n">
        <v>0</v>
      </c>
      <c r="M829" t="n">
        <v>0</v>
      </c>
      <c r="N829" t="n">
        <v>0</v>
      </c>
      <c r="O829" t="n">
        <v>0</v>
      </c>
      <c r="P829" t="n">
        <v>0</v>
      </c>
      <c r="Q829" t="n">
        <v>0</v>
      </c>
      <c r="R829" s="2" t="inlineStr"/>
    </row>
    <row r="830" ht="15" customHeight="1">
      <c r="A830" t="inlineStr">
        <is>
          <t>A 45631-2024</t>
        </is>
      </c>
      <c r="B830" s="1" t="n">
        <v>45579.47052083333</v>
      </c>
      <c r="C830" s="1" t="n">
        <v>45890</v>
      </c>
      <c r="D830" t="inlineStr">
        <is>
          <t>JÄMTLANDS LÄN</t>
        </is>
      </c>
      <c r="E830" t="inlineStr">
        <is>
          <t>RAGUNDA</t>
        </is>
      </c>
      <c r="G830" t="n">
        <v>15.1</v>
      </c>
      <c r="H830" t="n">
        <v>0</v>
      </c>
      <c r="I830" t="n">
        <v>0</v>
      </c>
      <c r="J830" t="n">
        <v>0</v>
      </c>
      <c r="K830" t="n">
        <v>0</v>
      </c>
      <c r="L830" t="n">
        <v>0</v>
      </c>
      <c r="M830" t="n">
        <v>0</v>
      </c>
      <c r="N830" t="n">
        <v>0</v>
      </c>
      <c r="O830" t="n">
        <v>0</v>
      </c>
      <c r="P830" t="n">
        <v>0</v>
      </c>
      <c r="Q830" t="n">
        <v>0</v>
      </c>
      <c r="R830" s="2" t="inlineStr"/>
    </row>
    <row r="831" ht="15" customHeight="1">
      <c r="A831" t="inlineStr">
        <is>
          <t>A 2224-2024</t>
        </is>
      </c>
      <c r="B831" s="1" t="n">
        <v>45309.92524305556</v>
      </c>
      <c r="C831" s="1" t="n">
        <v>45890</v>
      </c>
      <c r="D831" t="inlineStr">
        <is>
          <t>JÄMTLANDS LÄN</t>
        </is>
      </c>
      <c r="E831" t="inlineStr">
        <is>
          <t>RAGUNDA</t>
        </is>
      </c>
      <c r="G831" t="n">
        <v>0.9</v>
      </c>
      <c r="H831" t="n">
        <v>0</v>
      </c>
      <c r="I831" t="n">
        <v>0</v>
      </c>
      <c r="J831" t="n">
        <v>0</v>
      </c>
      <c r="K831" t="n">
        <v>0</v>
      </c>
      <c r="L831" t="n">
        <v>0</v>
      </c>
      <c r="M831" t="n">
        <v>0</v>
      </c>
      <c r="N831" t="n">
        <v>0</v>
      </c>
      <c r="O831" t="n">
        <v>0</v>
      </c>
      <c r="P831" t="n">
        <v>0</v>
      </c>
      <c r="Q831" t="n">
        <v>0</v>
      </c>
      <c r="R831" s="2" t="inlineStr"/>
    </row>
    <row r="832" ht="15" customHeight="1">
      <c r="A832" t="inlineStr">
        <is>
          <t>A 1523-2024</t>
        </is>
      </c>
      <c r="B832" s="1" t="n">
        <v>45306</v>
      </c>
      <c r="C832" s="1" t="n">
        <v>45890</v>
      </c>
      <c r="D832" t="inlineStr">
        <is>
          <t>JÄMTLANDS LÄN</t>
        </is>
      </c>
      <c r="E832" t="inlineStr">
        <is>
          <t>RAGUNDA</t>
        </is>
      </c>
      <c r="G832" t="n">
        <v>4.1</v>
      </c>
      <c r="H832" t="n">
        <v>0</v>
      </c>
      <c r="I832" t="n">
        <v>0</v>
      </c>
      <c r="J832" t="n">
        <v>0</v>
      </c>
      <c r="K832" t="n">
        <v>0</v>
      </c>
      <c r="L832" t="n">
        <v>0</v>
      </c>
      <c r="M832" t="n">
        <v>0</v>
      </c>
      <c r="N832" t="n">
        <v>0</v>
      </c>
      <c r="O832" t="n">
        <v>0</v>
      </c>
      <c r="P832" t="n">
        <v>0</v>
      </c>
      <c r="Q832" t="n">
        <v>0</v>
      </c>
      <c r="R832" s="2" t="inlineStr"/>
    </row>
    <row r="833" ht="15" customHeight="1">
      <c r="A833" t="inlineStr">
        <is>
          <t>A 55701-2021</t>
        </is>
      </c>
      <c r="B833" s="1" t="n">
        <v>44475</v>
      </c>
      <c r="C833" s="1" t="n">
        <v>45890</v>
      </c>
      <c r="D833" t="inlineStr">
        <is>
          <t>JÄMTLANDS LÄN</t>
        </is>
      </c>
      <c r="E833" t="inlineStr">
        <is>
          <t>RAGUNDA</t>
        </is>
      </c>
      <c r="G833" t="n">
        <v>5.6</v>
      </c>
      <c r="H833" t="n">
        <v>0</v>
      </c>
      <c r="I833" t="n">
        <v>0</v>
      </c>
      <c r="J833" t="n">
        <v>0</v>
      </c>
      <c r="K833" t="n">
        <v>0</v>
      </c>
      <c r="L833" t="n">
        <v>0</v>
      </c>
      <c r="M833" t="n">
        <v>0</v>
      </c>
      <c r="N833" t="n">
        <v>0</v>
      </c>
      <c r="O833" t="n">
        <v>0</v>
      </c>
      <c r="P833" t="n">
        <v>0</v>
      </c>
      <c r="Q833" t="n">
        <v>0</v>
      </c>
      <c r="R833" s="2" t="inlineStr"/>
    </row>
    <row r="834" ht="15" customHeight="1">
      <c r="A834" t="inlineStr">
        <is>
          <t>A 12464-2025</t>
        </is>
      </c>
      <c r="B834" s="1" t="n">
        <v>45730.53208333333</v>
      </c>
      <c r="C834" s="1" t="n">
        <v>45890</v>
      </c>
      <c r="D834" t="inlineStr">
        <is>
          <t>JÄMTLANDS LÄN</t>
        </is>
      </c>
      <c r="E834" t="inlineStr">
        <is>
          <t>RAGUNDA</t>
        </is>
      </c>
      <c r="F834" t="inlineStr">
        <is>
          <t>SCA</t>
        </is>
      </c>
      <c r="G834" t="n">
        <v>4.3</v>
      </c>
      <c r="H834" t="n">
        <v>0</v>
      </c>
      <c r="I834" t="n">
        <v>0</v>
      </c>
      <c r="J834" t="n">
        <v>0</v>
      </c>
      <c r="K834" t="n">
        <v>0</v>
      </c>
      <c r="L834" t="n">
        <v>0</v>
      </c>
      <c r="M834" t="n">
        <v>0</v>
      </c>
      <c r="N834" t="n">
        <v>0</v>
      </c>
      <c r="O834" t="n">
        <v>0</v>
      </c>
      <c r="P834" t="n">
        <v>0</v>
      </c>
      <c r="Q834" t="n">
        <v>0</v>
      </c>
      <c r="R834" s="2" t="inlineStr"/>
    </row>
    <row r="835" ht="15" customHeight="1">
      <c r="A835" t="inlineStr">
        <is>
          <t>A 58630-2024</t>
        </is>
      </c>
      <c r="B835" s="1" t="n">
        <v>45635.57331018519</v>
      </c>
      <c r="C835" s="1" t="n">
        <v>45890</v>
      </c>
      <c r="D835" t="inlineStr">
        <is>
          <t>JÄMTLANDS LÄN</t>
        </is>
      </c>
      <c r="E835" t="inlineStr">
        <is>
          <t>RAGUNDA</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35689-2025</t>
        </is>
      </c>
      <c r="B836" s="1" t="n">
        <v>45860.30229166667</v>
      </c>
      <c r="C836" s="1" t="n">
        <v>45890</v>
      </c>
      <c r="D836" t="inlineStr">
        <is>
          <t>JÄMTLANDS LÄN</t>
        </is>
      </c>
      <c r="E836" t="inlineStr">
        <is>
          <t>RAGUNDA</t>
        </is>
      </c>
      <c r="G836" t="n">
        <v>1.9</v>
      </c>
      <c r="H836" t="n">
        <v>0</v>
      </c>
      <c r="I836" t="n">
        <v>0</v>
      </c>
      <c r="J836" t="n">
        <v>0</v>
      </c>
      <c r="K836" t="n">
        <v>0</v>
      </c>
      <c r="L836" t="n">
        <v>0</v>
      </c>
      <c r="M836" t="n">
        <v>0</v>
      </c>
      <c r="N836" t="n">
        <v>0</v>
      </c>
      <c r="O836" t="n">
        <v>0</v>
      </c>
      <c r="P836" t="n">
        <v>0</v>
      </c>
      <c r="Q836" t="n">
        <v>0</v>
      </c>
      <c r="R836" s="2" t="inlineStr"/>
    </row>
    <row r="837" ht="15" customHeight="1">
      <c r="A837" t="inlineStr">
        <is>
          <t>A 46549-2023</t>
        </is>
      </c>
      <c r="B837" s="1" t="n">
        <v>45197.94171296297</v>
      </c>
      <c r="C837" s="1" t="n">
        <v>45890</v>
      </c>
      <c r="D837" t="inlineStr">
        <is>
          <t>JÄMTLANDS LÄN</t>
        </is>
      </c>
      <c r="E837" t="inlineStr">
        <is>
          <t>RAGUNDA</t>
        </is>
      </c>
      <c r="F837" t="inlineStr">
        <is>
          <t>SCA</t>
        </is>
      </c>
      <c r="G837" t="n">
        <v>4.2</v>
      </c>
      <c r="H837" t="n">
        <v>0</v>
      </c>
      <c r="I837" t="n">
        <v>0</v>
      </c>
      <c r="J837" t="n">
        <v>0</v>
      </c>
      <c r="K837" t="n">
        <v>0</v>
      </c>
      <c r="L837" t="n">
        <v>0</v>
      </c>
      <c r="M837" t="n">
        <v>0</v>
      </c>
      <c r="N837" t="n">
        <v>0</v>
      </c>
      <c r="O837" t="n">
        <v>0</v>
      </c>
      <c r="P837" t="n">
        <v>0</v>
      </c>
      <c r="Q837" t="n">
        <v>0</v>
      </c>
      <c r="R837" s="2" t="inlineStr"/>
    </row>
    <row r="838" ht="15" customHeight="1">
      <c r="A838" t="inlineStr">
        <is>
          <t>A 32258-2024</t>
        </is>
      </c>
      <c r="B838" s="1" t="n">
        <v>45511</v>
      </c>
      <c r="C838" s="1" t="n">
        <v>45890</v>
      </c>
      <c r="D838" t="inlineStr">
        <is>
          <t>JÄMTLANDS LÄN</t>
        </is>
      </c>
      <c r="E838" t="inlineStr">
        <is>
          <t>RAGUNDA</t>
        </is>
      </c>
      <c r="F838" t="inlineStr">
        <is>
          <t>SCA</t>
        </is>
      </c>
      <c r="G838" t="n">
        <v>5.5</v>
      </c>
      <c r="H838" t="n">
        <v>0</v>
      </c>
      <c r="I838" t="n">
        <v>0</v>
      </c>
      <c r="J838" t="n">
        <v>0</v>
      </c>
      <c r="K838" t="n">
        <v>0</v>
      </c>
      <c r="L838" t="n">
        <v>0</v>
      </c>
      <c r="M838" t="n">
        <v>0</v>
      </c>
      <c r="N838" t="n">
        <v>0</v>
      </c>
      <c r="O838" t="n">
        <v>0</v>
      </c>
      <c r="P838" t="n">
        <v>0</v>
      </c>
      <c r="Q838" t="n">
        <v>0</v>
      </c>
      <c r="R838" s="2" t="inlineStr"/>
    </row>
    <row r="839" ht="15" customHeight="1">
      <c r="A839" t="inlineStr">
        <is>
          <t>A 38270-2021</t>
        </is>
      </c>
      <c r="B839" s="1" t="n">
        <v>44405.92065972222</v>
      </c>
      <c r="C839" s="1" t="n">
        <v>45890</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30484-2024</t>
        </is>
      </c>
      <c r="B840" s="1" t="n">
        <v>45491</v>
      </c>
      <c r="C840" s="1" t="n">
        <v>45890</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29257-2024</t>
        </is>
      </c>
      <c r="B841" s="1" t="n">
        <v>45482.94815972223</v>
      </c>
      <c r="C841" s="1" t="n">
        <v>45890</v>
      </c>
      <c r="D841" t="inlineStr">
        <is>
          <t>JÄMTLANDS LÄN</t>
        </is>
      </c>
      <c r="E841" t="inlineStr">
        <is>
          <t>RAGUNDA</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27373-2023</t>
        </is>
      </c>
      <c r="B842" s="1" t="n">
        <v>45096.93866898148</v>
      </c>
      <c r="C842" s="1" t="n">
        <v>45890</v>
      </c>
      <c r="D842" t="inlineStr">
        <is>
          <t>JÄMTLANDS LÄN</t>
        </is>
      </c>
      <c r="E842" t="inlineStr">
        <is>
          <t>RAGUNDA</t>
        </is>
      </c>
      <c r="F842" t="inlineStr">
        <is>
          <t>SCA</t>
        </is>
      </c>
      <c r="G842" t="n">
        <v>6.9</v>
      </c>
      <c r="H842" t="n">
        <v>0</v>
      </c>
      <c r="I842" t="n">
        <v>0</v>
      </c>
      <c r="J842" t="n">
        <v>0</v>
      </c>
      <c r="K842" t="n">
        <v>0</v>
      </c>
      <c r="L842" t="n">
        <v>0</v>
      </c>
      <c r="M842" t="n">
        <v>0</v>
      </c>
      <c r="N842" t="n">
        <v>0</v>
      </c>
      <c r="O842" t="n">
        <v>0</v>
      </c>
      <c r="P842" t="n">
        <v>0</v>
      </c>
      <c r="Q842" t="n">
        <v>0</v>
      </c>
      <c r="R842" s="2" t="inlineStr"/>
    </row>
    <row r="843" ht="15" customHeight="1">
      <c r="A843" t="inlineStr">
        <is>
          <t>A 62115-2024</t>
        </is>
      </c>
      <c r="B843" s="1" t="n">
        <v>45656</v>
      </c>
      <c r="C843" s="1" t="n">
        <v>45890</v>
      </c>
      <c r="D843" t="inlineStr">
        <is>
          <t>JÄMTLANDS LÄN</t>
        </is>
      </c>
      <c r="E843" t="inlineStr">
        <is>
          <t>RAGUNDA</t>
        </is>
      </c>
      <c r="G843" t="n">
        <v>3.3</v>
      </c>
      <c r="H843" t="n">
        <v>0</v>
      </c>
      <c r="I843" t="n">
        <v>0</v>
      </c>
      <c r="J843" t="n">
        <v>0</v>
      </c>
      <c r="K843" t="n">
        <v>0</v>
      </c>
      <c r="L843" t="n">
        <v>0</v>
      </c>
      <c r="M843" t="n">
        <v>0</v>
      </c>
      <c r="N843" t="n">
        <v>0</v>
      </c>
      <c r="O843" t="n">
        <v>0</v>
      </c>
      <c r="P843" t="n">
        <v>0</v>
      </c>
      <c r="Q843" t="n">
        <v>0</v>
      </c>
      <c r="R843" s="2" t="inlineStr"/>
    </row>
    <row r="844" ht="15" customHeight="1">
      <c r="A844" t="inlineStr">
        <is>
          <t>A 12653-2024</t>
        </is>
      </c>
      <c r="B844" s="1" t="n">
        <v>45384</v>
      </c>
      <c r="C844" s="1" t="n">
        <v>45890</v>
      </c>
      <c r="D844" t="inlineStr">
        <is>
          <t>JÄMTLANDS LÄN</t>
        </is>
      </c>
      <c r="E844" t="inlineStr">
        <is>
          <t>RAGUNDA</t>
        </is>
      </c>
      <c r="G844" t="n">
        <v>1.1</v>
      </c>
      <c r="H844" t="n">
        <v>0</v>
      </c>
      <c r="I844" t="n">
        <v>0</v>
      </c>
      <c r="J844" t="n">
        <v>0</v>
      </c>
      <c r="K844" t="n">
        <v>0</v>
      </c>
      <c r="L844" t="n">
        <v>0</v>
      </c>
      <c r="M844" t="n">
        <v>0</v>
      </c>
      <c r="N844" t="n">
        <v>0</v>
      </c>
      <c r="O844" t="n">
        <v>0</v>
      </c>
      <c r="P844" t="n">
        <v>0</v>
      </c>
      <c r="Q844" t="n">
        <v>0</v>
      </c>
      <c r="R844" s="2" t="inlineStr"/>
    </row>
    <row r="845" ht="15" customHeight="1">
      <c r="A845" t="inlineStr">
        <is>
          <t>A 50211-2023</t>
        </is>
      </c>
      <c r="B845" s="1" t="n">
        <v>45215.94657407407</v>
      </c>
      <c r="C845" s="1" t="n">
        <v>45890</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9232-2025</t>
        </is>
      </c>
      <c r="B846" s="1" t="n">
        <v>45714.55064814815</v>
      </c>
      <c r="C846" s="1" t="n">
        <v>45890</v>
      </c>
      <c r="D846" t="inlineStr">
        <is>
          <t>JÄMTLANDS LÄN</t>
        </is>
      </c>
      <c r="E846" t="inlineStr">
        <is>
          <t>RAGUNDA</t>
        </is>
      </c>
      <c r="G846" t="n">
        <v>1.9</v>
      </c>
      <c r="H846" t="n">
        <v>0</v>
      </c>
      <c r="I846" t="n">
        <v>0</v>
      </c>
      <c r="J846" t="n">
        <v>0</v>
      </c>
      <c r="K846" t="n">
        <v>0</v>
      </c>
      <c r="L846" t="n">
        <v>0</v>
      </c>
      <c r="M846" t="n">
        <v>0</v>
      </c>
      <c r="N846" t="n">
        <v>0</v>
      </c>
      <c r="O846" t="n">
        <v>0</v>
      </c>
      <c r="P846" t="n">
        <v>0</v>
      </c>
      <c r="Q846" t="n">
        <v>0</v>
      </c>
      <c r="R846" s="2" t="inlineStr"/>
    </row>
    <row r="847" ht="15" customHeight="1">
      <c r="A847" t="inlineStr">
        <is>
          <t>A 28637-2025</t>
        </is>
      </c>
      <c r="B847" s="1" t="n">
        <v>45819.6359375</v>
      </c>
      <c r="C847" s="1" t="n">
        <v>45890</v>
      </c>
      <c r="D847" t="inlineStr">
        <is>
          <t>JÄMTLANDS LÄN</t>
        </is>
      </c>
      <c r="E847" t="inlineStr">
        <is>
          <t>RAGUNDA</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29775-2023</t>
        </is>
      </c>
      <c r="B848" s="1" t="n">
        <v>45098</v>
      </c>
      <c r="C848" s="1" t="n">
        <v>45890</v>
      </c>
      <c r="D848" t="inlineStr">
        <is>
          <t>JÄMTLANDS LÄN</t>
        </is>
      </c>
      <c r="E848" t="inlineStr">
        <is>
          <t>RAGUNDA</t>
        </is>
      </c>
      <c r="G848" t="n">
        <v>3.6</v>
      </c>
      <c r="H848" t="n">
        <v>0</v>
      </c>
      <c r="I848" t="n">
        <v>0</v>
      </c>
      <c r="J848" t="n">
        <v>0</v>
      </c>
      <c r="K848" t="n">
        <v>0</v>
      </c>
      <c r="L848" t="n">
        <v>0</v>
      </c>
      <c r="M848" t="n">
        <v>0</v>
      </c>
      <c r="N848" t="n">
        <v>0</v>
      </c>
      <c r="O848" t="n">
        <v>0</v>
      </c>
      <c r="P848" t="n">
        <v>0</v>
      </c>
      <c r="Q848" t="n">
        <v>0</v>
      </c>
      <c r="R848" s="2" t="inlineStr"/>
    </row>
    <row r="849" ht="15" customHeight="1">
      <c r="A849" t="inlineStr">
        <is>
          <t>A 28973-2025</t>
        </is>
      </c>
      <c r="B849" s="1" t="n">
        <v>45821.34513888889</v>
      </c>
      <c r="C849" s="1" t="n">
        <v>45890</v>
      </c>
      <c r="D849" t="inlineStr">
        <is>
          <t>JÄMTLANDS LÄN</t>
        </is>
      </c>
      <c r="E849" t="inlineStr">
        <is>
          <t>RAGUNDA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44494-2024</t>
        </is>
      </c>
      <c r="B850" s="1" t="n">
        <v>45574.39081018518</v>
      </c>
      <c r="C850" s="1" t="n">
        <v>45890</v>
      </c>
      <c r="D850" t="inlineStr">
        <is>
          <t>JÄMTLANDS LÄN</t>
        </is>
      </c>
      <c r="E850" t="inlineStr">
        <is>
          <t>RAGUNDA</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14513-2025</t>
        </is>
      </c>
      <c r="B851" s="1" t="n">
        <v>45741.63675925926</v>
      </c>
      <c r="C851" s="1" t="n">
        <v>45890</v>
      </c>
      <c r="D851" t="inlineStr">
        <is>
          <t>JÄMTLANDS LÄN</t>
        </is>
      </c>
      <c r="E851" t="inlineStr">
        <is>
          <t>RAGUNDA</t>
        </is>
      </c>
      <c r="F851" t="inlineStr">
        <is>
          <t>SCA</t>
        </is>
      </c>
      <c r="G851" t="n">
        <v>6.8</v>
      </c>
      <c r="H851" t="n">
        <v>0</v>
      </c>
      <c r="I851" t="n">
        <v>0</v>
      </c>
      <c r="J851" t="n">
        <v>0</v>
      </c>
      <c r="K851" t="n">
        <v>0</v>
      </c>
      <c r="L851" t="n">
        <v>0</v>
      </c>
      <c r="M851" t="n">
        <v>0</v>
      </c>
      <c r="N851" t="n">
        <v>0</v>
      </c>
      <c r="O851" t="n">
        <v>0</v>
      </c>
      <c r="P851" t="n">
        <v>0</v>
      </c>
      <c r="Q851" t="n">
        <v>0</v>
      </c>
      <c r="R851" s="2" t="inlineStr"/>
    </row>
    <row r="852" ht="15" customHeight="1">
      <c r="A852" t="inlineStr">
        <is>
          <t>A 13898-2023</t>
        </is>
      </c>
      <c r="B852" s="1" t="n">
        <v>45008.01408564814</v>
      </c>
      <c r="C852" s="1" t="n">
        <v>45890</v>
      </c>
      <c r="D852" t="inlineStr">
        <is>
          <t>JÄMTLANDS LÄN</t>
        </is>
      </c>
      <c r="E852" t="inlineStr">
        <is>
          <t>RAGUNDA</t>
        </is>
      </c>
      <c r="F852" t="inlineStr">
        <is>
          <t>SCA</t>
        </is>
      </c>
      <c r="G852" t="n">
        <v>5</v>
      </c>
      <c r="H852" t="n">
        <v>0</v>
      </c>
      <c r="I852" t="n">
        <v>0</v>
      </c>
      <c r="J852" t="n">
        <v>0</v>
      </c>
      <c r="K852" t="n">
        <v>0</v>
      </c>
      <c r="L852" t="n">
        <v>0</v>
      </c>
      <c r="M852" t="n">
        <v>0</v>
      </c>
      <c r="N852" t="n">
        <v>0</v>
      </c>
      <c r="O852" t="n">
        <v>0</v>
      </c>
      <c r="P852" t="n">
        <v>0</v>
      </c>
      <c r="Q852" t="n">
        <v>0</v>
      </c>
      <c r="R852" s="2" t="inlineStr"/>
    </row>
    <row r="853" ht="15" customHeight="1">
      <c r="A853" t="inlineStr">
        <is>
          <t>A 55904-2022</t>
        </is>
      </c>
      <c r="B853" s="1" t="n">
        <v>44888</v>
      </c>
      <c r="C853" s="1" t="n">
        <v>45890</v>
      </c>
      <c r="D853" t="inlineStr">
        <is>
          <t>JÄMTLANDS LÄN</t>
        </is>
      </c>
      <c r="E853" t="inlineStr">
        <is>
          <t>RAGUNDA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7281-2025</t>
        </is>
      </c>
      <c r="B854" s="1" t="n">
        <v>45702.63572916666</v>
      </c>
      <c r="C854" s="1" t="n">
        <v>45890</v>
      </c>
      <c r="D854" t="inlineStr">
        <is>
          <t>JÄMTLANDS LÄN</t>
        </is>
      </c>
      <c r="E854" t="inlineStr">
        <is>
          <t>RAGUNDA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48192-2024</t>
        </is>
      </c>
      <c r="B855" s="1" t="n">
        <v>45590</v>
      </c>
      <c r="C855" s="1" t="n">
        <v>45890</v>
      </c>
      <c r="D855" t="inlineStr">
        <is>
          <t>JÄMTLANDS LÄN</t>
        </is>
      </c>
      <c r="E855" t="inlineStr">
        <is>
          <t>RAGUNDA</t>
        </is>
      </c>
      <c r="G855" t="n">
        <v>2.3</v>
      </c>
      <c r="H855" t="n">
        <v>0</v>
      </c>
      <c r="I855" t="n">
        <v>0</v>
      </c>
      <c r="J855" t="n">
        <v>0</v>
      </c>
      <c r="K855" t="n">
        <v>0</v>
      </c>
      <c r="L855" t="n">
        <v>0</v>
      </c>
      <c r="M855" t="n">
        <v>0</v>
      </c>
      <c r="N855" t="n">
        <v>0</v>
      </c>
      <c r="O855" t="n">
        <v>0</v>
      </c>
      <c r="P855" t="n">
        <v>0</v>
      </c>
      <c r="Q855" t="n">
        <v>0</v>
      </c>
      <c r="R855" s="2" t="inlineStr"/>
    </row>
    <row r="856" ht="15" customHeight="1">
      <c r="A856" t="inlineStr">
        <is>
          <t>A 29714-2025</t>
        </is>
      </c>
      <c r="B856" s="1" t="n">
        <v>45825.56762731481</v>
      </c>
      <c r="C856" s="1" t="n">
        <v>45890</v>
      </c>
      <c r="D856" t="inlineStr">
        <is>
          <t>JÄMTLANDS LÄN</t>
        </is>
      </c>
      <c r="E856" t="inlineStr">
        <is>
          <t>RAGUNDA</t>
        </is>
      </c>
      <c r="G856" t="n">
        <v>2.7</v>
      </c>
      <c r="H856" t="n">
        <v>0</v>
      </c>
      <c r="I856" t="n">
        <v>0</v>
      </c>
      <c r="J856" t="n">
        <v>0</v>
      </c>
      <c r="K856" t="n">
        <v>0</v>
      </c>
      <c r="L856" t="n">
        <v>0</v>
      </c>
      <c r="M856" t="n">
        <v>0</v>
      </c>
      <c r="N856" t="n">
        <v>0</v>
      </c>
      <c r="O856" t="n">
        <v>0</v>
      </c>
      <c r="P856" t="n">
        <v>0</v>
      </c>
      <c r="Q856" t="n">
        <v>0</v>
      </c>
      <c r="R856" s="2" t="inlineStr"/>
    </row>
    <row r="857" ht="15" customHeight="1">
      <c r="A857" t="inlineStr">
        <is>
          <t>A 2599-2023</t>
        </is>
      </c>
      <c r="B857" s="1" t="n">
        <v>44943.94802083333</v>
      </c>
      <c r="C857" s="1" t="n">
        <v>45890</v>
      </c>
      <c r="D857" t="inlineStr">
        <is>
          <t>JÄMTLANDS LÄN</t>
        </is>
      </c>
      <c r="E857" t="inlineStr">
        <is>
          <t>RAGUNDA</t>
        </is>
      </c>
      <c r="F857" t="inlineStr">
        <is>
          <t>SCA</t>
        </is>
      </c>
      <c r="G857" t="n">
        <v>5.9</v>
      </c>
      <c r="H857" t="n">
        <v>0</v>
      </c>
      <c r="I857" t="n">
        <v>0</v>
      </c>
      <c r="J857" t="n">
        <v>0</v>
      </c>
      <c r="K857" t="n">
        <v>0</v>
      </c>
      <c r="L857" t="n">
        <v>0</v>
      </c>
      <c r="M857" t="n">
        <v>0</v>
      </c>
      <c r="N857" t="n">
        <v>0</v>
      </c>
      <c r="O857" t="n">
        <v>0</v>
      </c>
      <c r="P857" t="n">
        <v>0</v>
      </c>
      <c r="Q857" t="n">
        <v>0</v>
      </c>
      <c r="R857" s="2" t="inlineStr"/>
    </row>
    <row r="858" ht="15" customHeight="1">
      <c r="A858" t="inlineStr">
        <is>
          <t>A 48249-2024</t>
        </is>
      </c>
      <c r="B858" s="1" t="n">
        <v>45590.40675925926</v>
      </c>
      <c r="C858" s="1" t="n">
        <v>45890</v>
      </c>
      <c r="D858" t="inlineStr">
        <is>
          <t>JÄMTLANDS LÄN</t>
        </is>
      </c>
      <c r="E858" t="inlineStr">
        <is>
          <t>RAGUNDA</t>
        </is>
      </c>
      <c r="F858" t="inlineStr">
        <is>
          <t>SCA</t>
        </is>
      </c>
      <c r="G858" t="n">
        <v>14.4</v>
      </c>
      <c r="H858" t="n">
        <v>0</v>
      </c>
      <c r="I858" t="n">
        <v>0</v>
      </c>
      <c r="J858" t="n">
        <v>0</v>
      </c>
      <c r="K858" t="n">
        <v>0</v>
      </c>
      <c r="L858" t="n">
        <v>0</v>
      </c>
      <c r="M858" t="n">
        <v>0</v>
      </c>
      <c r="N858" t="n">
        <v>0</v>
      </c>
      <c r="O858" t="n">
        <v>0</v>
      </c>
      <c r="P858" t="n">
        <v>0</v>
      </c>
      <c r="Q858" t="n">
        <v>0</v>
      </c>
      <c r="R858" s="2" t="inlineStr"/>
    </row>
    <row r="859" ht="15" customHeight="1">
      <c r="A859" t="inlineStr">
        <is>
          <t>A 64265-2023</t>
        </is>
      </c>
      <c r="B859" s="1" t="n">
        <v>45279.94572916667</v>
      </c>
      <c r="C859" s="1" t="n">
        <v>45890</v>
      </c>
      <c r="D859" t="inlineStr">
        <is>
          <t>JÄMTLANDS LÄN</t>
        </is>
      </c>
      <c r="E859" t="inlineStr">
        <is>
          <t>RAGUNDA</t>
        </is>
      </c>
      <c r="F859" t="inlineStr">
        <is>
          <t>SCA</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29731-2025</t>
        </is>
      </c>
      <c r="B860" s="1" t="n">
        <v>45825.58252314815</v>
      </c>
      <c r="C860" s="1" t="n">
        <v>45890</v>
      </c>
      <c r="D860" t="inlineStr">
        <is>
          <t>JÄMTLANDS LÄN</t>
        </is>
      </c>
      <c r="E860" t="inlineStr">
        <is>
          <t>RAGUNDA</t>
        </is>
      </c>
      <c r="G860" t="n">
        <v>2.3</v>
      </c>
      <c r="H860" t="n">
        <v>0</v>
      </c>
      <c r="I860" t="n">
        <v>0</v>
      </c>
      <c r="J860" t="n">
        <v>0</v>
      </c>
      <c r="K860" t="n">
        <v>0</v>
      </c>
      <c r="L860" t="n">
        <v>0</v>
      </c>
      <c r="M860" t="n">
        <v>0</v>
      </c>
      <c r="N860" t="n">
        <v>0</v>
      </c>
      <c r="O860" t="n">
        <v>0</v>
      </c>
      <c r="P860" t="n">
        <v>0</v>
      </c>
      <c r="Q860" t="n">
        <v>0</v>
      </c>
      <c r="R860" s="2" t="inlineStr"/>
    </row>
    <row r="861" ht="15" customHeight="1">
      <c r="A861" t="inlineStr">
        <is>
          <t>A 10754-2025</t>
        </is>
      </c>
      <c r="B861" s="1" t="n">
        <v>45722.44849537037</v>
      </c>
      <c r="C861" s="1" t="n">
        <v>45890</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66706-2021</t>
        </is>
      </c>
      <c r="B862" s="1" t="n">
        <v>44519.94440972222</v>
      </c>
      <c r="C862" s="1" t="n">
        <v>45890</v>
      </c>
      <c r="D862" t="inlineStr">
        <is>
          <t>JÄMTLANDS LÄN</t>
        </is>
      </c>
      <c r="E862" t="inlineStr">
        <is>
          <t>RAGUNDA</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26026-2024</t>
        </is>
      </c>
      <c r="B863" s="1" t="n">
        <v>45467.96207175926</v>
      </c>
      <c r="C863" s="1" t="n">
        <v>45890</v>
      </c>
      <c r="D863" t="inlineStr">
        <is>
          <t>JÄMTLANDS LÄN</t>
        </is>
      </c>
      <c r="E863" t="inlineStr">
        <is>
          <t>RAGUNDA</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29723-2025</t>
        </is>
      </c>
      <c r="B864" s="1" t="n">
        <v>45825.57675925926</v>
      </c>
      <c r="C864" s="1" t="n">
        <v>45890</v>
      </c>
      <c r="D864" t="inlineStr">
        <is>
          <t>JÄMTLANDS LÄN</t>
        </is>
      </c>
      <c r="E864" t="inlineStr">
        <is>
          <t>RAGUNDA</t>
        </is>
      </c>
      <c r="G864" t="n">
        <v>3.1</v>
      </c>
      <c r="H864" t="n">
        <v>0</v>
      </c>
      <c r="I864" t="n">
        <v>0</v>
      </c>
      <c r="J864" t="n">
        <v>0</v>
      </c>
      <c r="K864" t="n">
        <v>0</v>
      </c>
      <c r="L864" t="n">
        <v>0</v>
      </c>
      <c r="M864" t="n">
        <v>0</v>
      </c>
      <c r="N864" t="n">
        <v>0</v>
      </c>
      <c r="O864" t="n">
        <v>0</v>
      </c>
      <c r="P864" t="n">
        <v>0</v>
      </c>
      <c r="Q864" t="n">
        <v>0</v>
      </c>
      <c r="R864" s="2" t="inlineStr"/>
    </row>
    <row r="865" ht="15" customHeight="1">
      <c r="A865" t="inlineStr">
        <is>
          <t>A 5429-2024</t>
        </is>
      </c>
      <c r="B865" s="1" t="n">
        <v>45331.92746527777</v>
      </c>
      <c r="C865" s="1" t="n">
        <v>45890</v>
      </c>
      <c r="D865" t="inlineStr">
        <is>
          <t>JÄMTLANDS LÄN</t>
        </is>
      </c>
      <c r="E865" t="inlineStr">
        <is>
          <t>RAGUNDA</t>
        </is>
      </c>
      <c r="G865" t="n">
        <v>1.1</v>
      </c>
      <c r="H865" t="n">
        <v>0</v>
      </c>
      <c r="I865" t="n">
        <v>0</v>
      </c>
      <c r="J865" t="n">
        <v>0</v>
      </c>
      <c r="K865" t="n">
        <v>0</v>
      </c>
      <c r="L865" t="n">
        <v>0</v>
      </c>
      <c r="M865" t="n">
        <v>0</v>
      </c>
      <c r="N865" t="n">
        <v>0</v>
      </c>
      <c r="O865" t="n">
        <v>0</v>
      </c>
      <c r="P865" t="n">
        <v>0</v>
      </c>
      <c r="Q865" t="n">
        <v>0</v>
      </c>
      <c r="R865" s="2" t="inlineStr"/>
    </row>
    <row r="866" ht="15" customHeight="1">
      <c r="A866" t="inlineStr">
        <is>
          <t>A 55222-2024</t>
        </is>
      </c>
      <c r="B866" s="1" t="n">
        <v>45621.57395833333</v>
      </c>
      <c r="C866" s="1" t="n">
        <v>45890</v>
      </c>
      <c r="D866" t="inlineStr">
        <is>
          <t>JÄMTLANDS LÄN</t>
        </is>
      </c>
      <c r="E866" t="inlineStr">
        <is>
          <t>RAGUNDA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46211-2024</t>
        </is>
      </c>
      <c r="B867" s="1" t="n">
        <v>45581.55260416667</v>
      </c>
      <c r="C867" s="1" t="n">
        <v>45890</v>
      </c>
      <c r="D867" t="inlineStr">
        <is>
          <t>JÄMTLANDS LÄN</t>
        </is>
      </c>
      <c r="E867" t="inlineStr">
        <is>
          <t>RAGUNDA</t>
        </is>
      </c>
      <c r="G867" t="n">
        <v>7.3</v>
      </c>
      <c r="H867" t="n">
        <v>0</v>
      </c>
      <c r="I867" t="n">
        <v>0</v>
      </c>
      <c r="J867" t="n">
        <v>0</v>
      </c>
      <c r="K867" t="n">
        <v>0</v>
      </c>
      <c r="L867" t="n">
        <v>0</v>
      </c>
      <c r="M867" t="n">
        <v>0</v>
      </c>
      <c r="N867" t="n">
        <v>0</v>
      </c>
      <c r="O867" t="n">
        <v>0</v>
      </c>
      <c r="P867" t="n">
        <v>0</v>
      </c>
      <c r="Q867" t="n">
        <v>0</v>
      </c>
      <c r="R867" s="2" t="inlineStr"/>
    </row>
    <row r="868" ht="15" customHeight="1">
      <c r="A868" t="inlineStr">
        <is>
          <t>A 31435-2022</t>
        </is>
      </c>
      <c r="B868" s="1" t="n">
        <v>44774</v>
      </c>
      <c r="C868" s="1" t="n">
        <v>45890</v>
      </c>
      <c r="D868" t="inlineStr">
        <is>
          <t>JÄMTLANDS LÄN</t>
        </is>
      </c>
      <c r="E868" t="inlineStr">
        <is>
          <t>RAGUNDA</t>
        </is>
      </c>
      <c r="G868" t="n">
        <v>1.6</v>
      </c>
      <c r="H868" t="n">
        <v>0</v>
      </c>
      <c r="I868" t="n">
        <v>0</v>
      </c>
      <c r="J868" t="n">
        <v>0</v>
      </c>
      <c r="K868" t="n">
        <v>0</v>
      </c>
      <c r="L868" t="n">
        <v>0</v>
      </c>
      <c r="M868" t="n">
        <v>0</v>
      </c>
      <c r="N868" t="n">
        <v>0</v>
      </c>
      <c r="O868" t="n">
        <v>0</v>
      </c>
      <c r="P868" t="n">
        <v>0</v>
      </c>
      <c r="Q868" t="n">
        <v>0</v>
      </c>
      <c r="R868" s="2" t="inlineStr"/>
    </row>
    <row r="869" ht="15" customHeight="1">
      <c r="A869" t="inlineStr">
        <is>
          <t>A 36544-2025</t>
        </is>
      </c>
      <c r="B869" s="1" t="n">
        <v>45869.67744212963</v>
      </c>
      <c r="C869" s="1" t="n">
        <v>45890</v>
      </c>
      <c r="D869" t="inlineStr">
        <is>
          <t>JÄMTLANDS LÄN</t>
        </is>
      </c>
      <c r="E869" t="inlineStr">
        <is>
          <t>RAGUNDA</t>
        </is>
      </c>
      <c r="F869" t="inlineStr">
        <is>
          <t>SCA</t>
        </is>
      </c>
      <c r="G869" t="n">
        <v>6.1</v>
      </c>
      <c r="H869" t="n">
        <v>0</v>
      </c>
      <c r="I869" t="n">
        <v>0</v>
      </c>
      <c r="J869" t="n">
        <v>0</v>
      </c>
      <c r="K869" t="n">
        <v>0</v>
      </c>
      <c r="L869" t="n">
        <v>0</v>
      </c>
      <c r="M869" t="n">
        <v>0</v>
      </c>
      <c r="N869" t="n">
        <v>0</v>
      </c>
      <c r="O869" t="n">
        <v>0</v>
      </c>
      <c r="P869" t="n">
        <v>0</v>
      </c>
      <c r="Q869" t="n">
        <v>0</v>
      </c>
      <c r="R869" s="2" t="inlineStr"/>
    </row>
    <row r="870" ht="15" customHeight="1">
      <c r="A870" t="inlineStr">
        <is>
          <t>A 36541-2025</t>
        </is>
      </c>
      <c r="B870" s="1" t="n">
        <v>45869.65666666667</v>
      </c>
      <c r="C870" s="1" t="n">
        <v>45890</v>
      </c>
      <c r="D870" t="inlineStr">
        <is>
          <t>JÄMTLANDS LÄN</t>
        </is>
      </c>
      <c r="E870" t="inlineStr">
        <is>
          <t>RAGUNDA</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39608-2024</t>
        </is>
      </c>
      <c r="B871" s="1" t="n">
        <v>45552.39113425926</v>
      </c>
      <c r="C871" s="1" t="n">
        <v>45890</v>
      </c>
      <c r="D871" t="inlineStr">
        <is>
          <t>JÄMTLANDS LÄN</t>
        </is>
      </c>
      <c r="E871" t="inlineStr">
        <is>
          <t>RAGUNDA</t>
        </is>
      </c>
      <c r="G871" t="n">
        <v>3.2</v>
      </c>
      <c r="H871" t="n">
        <v>0</v>
      </c>
      <c r="I871" t="n">
        <v>0</v>
      </c>
      <c r="J871" t="n">
        <v>0</v>
      </c>
      <c r="K871" t="n">
        <v>0</v>
      </c>
      <c r="L871" t="n">
        <v>0</v>
      </c>
      <c r="M871" t="n">
        <v>0</v>
      </c>
      <c r="N871" t="n">
        <v>0</v>
      </c>
      <c r="O871" t="n">
        <v>0</v>
      </c>
      <c r="P871" t="n">
        <v>0</v>
      </c>
      <c r="Q871" t="n">
        <v>0</v>
      </c>
      <c r="R871" s="2" t="inlineStr"/>
    </row>
    <row r="872" ht="15" customHeight="1">
      <c r="A872" t="inlineStr">
        <is>
          <t>A 39626-2024</t>
        </is>
      </c>
      <c r="B872" s="1" t="n">
        <v>45552.44096064815</v>
      </c>
      <c r="C872" s="1" t="n">
        <v>45890</v>
      </c>
      <c r="D872" t="inlineStr">
        <is>
          <t>JÄMTLANDS LÄN</t>
        </is>
      </c>
      <c r="E872" t="inlineStr">
        <is>
          <t>RAGUNDA</t>
        </is>
      </c>
      <c r="G872" t="n">
        <v>23.5</v>
      </c>
      <c r="H872" t="n">
        <v>0</v>
      </c>
      <c r="I872" t="n">
        <v>0</v>
      </c>
      <c r="J872" t="n">
        <v>0</v>
      </c>
      <c r="K872" t="n">
        <v>0</v>
      </c>
      <c r="L872" t="n">
        <v>0</v>
      </c>
      <c r="M872" t="n">
        <v>0</v>
      </c>
      <c r="N872" t="n">
        <v>0</v>
      </c>
      <c r="O872" t="n">
        <v>0</v>
      </c>
      <c r="P872" t="n">
        <v>0</v>
      </c>
      <c r="Q872" t="n">
        <v>0</v>
      </c>
      <c r="R872" s="2" t="inlineStr"/>
    </row>
    <row r="873" ht="15" customHeight="1">
      <c r="A873" t="inlineStr">
        <is>
          <t>A 30088-2025</t>
        </is>
      </c>
      <c r="B873" s="1" t="n">
        <v>45826.65759259259</v>
      </c>
      <c r="C873" s="1" t="n">
        <v>45890</v>
      </c>
      <c r="D873" t="inlineStr">
        <is>
          <t>JÄMTLANDS LÄN</t>
        </is>
      </c>
      <c r="E873" t="inlineStr">
        <is>
          <t>RAGUNDA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3720-2025</t>
        </is>
      </c>
      <c r="B874" s="1" t="n">
        <v>45681.5315625</v>
      </c>
      <c r="C874" s="1" t="n">
        <v>45890</v>
      </c>
      <c r="D874" t="inlineStr">
        <is>
          <t>JÄMTLANDS LÄN</t>
        </is>
      </c>
      <c r="E874" t="inlineStr">
        <is>
          <t>RAGUNDA</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30348-2025</t>
        </is>
      </c>
      <c r="B875" s="1" t="n">
        <v>45827.53178240741</v>
      </c>
      <c r="C875" s="1" t="n">
        <v>45890</v>
      </c>
      <c r="D875" t="inlineStr">
        <is>
          <t>JÄMTLANDS LÄN</t>
        </is>
      </c>
      <c r="E875" t="inlineStr">
        <is>
          <t>RAGUNDA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3770-2025</t>
        </is>
      </c>
      <c r="B876" s="1" t="n">
        <v>45681.6050925926</v>
      </c>
      <c r="C876" s="1" t="n">
        <v>45890</v>
      </c>
      <c r="D876" t="inlineStr">
        <is>
          <t>JÄMTLANDS LÄN</t>
        </is>
      </c>
      <c r="E876" t="inlineStr">
        <is>
          <t>RAGUNDA</t>
        </is>
      </c>
      <c r="G876" t="n">
        <v>2.7</v>
      </c>
      <c r="H876" t="n">
        <v>0</v>
      </c>
      <c r="I876" t="n">
        <v>0</v>
      </c>
      <c r="J876" t="n">
        <v>0</v>
      </c>
      <c r="K876" t="n">
        <v>0</v>
      </c>
      <c r="L876" t="n">
        <v>0</v>
      </c>
      <c r="M876" t="n">
        <v>0</v>
      </c>
      <c r="N876" t="n">
        <v>0</v>
      </c>
      <c r="O876" t="n">
        <v>0</v>
      </c>
      <c r="P876" t="n">
        <v>0</v>
      </c>
      <c r="Q876" t="n">
        <v>0</v>
      </c>
      <c r="R876" s="2" t="inlineStr"/>
    </row>
    <row r="877" ht="15" customHeight="1">
      <c r="A877" t="inlineStr">
        <is>
          <t>A 56984-2022</t>
        </is>
      </c>
      <c r="B877" s="1" t="n">
        <v>44894.79018518519</v>
      </c>
      <c r="C877" s="1" t="n">
        <v>45890</v>
      </c>
      <c r="D877" t="inlineStr">
        <is>
          <t>JÄMTLANDS LÄN</t>
        </is>
      </c>
      <c r="E877" t="inlineStr">
        <is>
          <t>RAGUNDA</t>
        </is>
      </c>
      <c r="G877" t="n">
        <v>1.4</v>
      </c>
      <c r="H877" t="n">
        <v>0</v>
      </c>
      <c r="I877" t="n">
        <v>0</v>
      </c>
      <c r="J877" t="n">
        <v>0</v>
      </c>
      <c r="K877" t="n">
        <v>0</v>
      </c>
      <c r="L877" t="n">
        <v>0</v>
      </c>
      <c r="M877" t="n">
        <v>0</v>
      </c>
      <c r="N877" t="n">
        <v>0</v>
      </c>
      <c r="O877" t="n">
        <v>0</v>
      </c>
      <c r="P877" t="n">
        <v>0</v>
      </c>
      <c r="Q877" t="n">
        <v>0</v>
      </c>
      <c r="R877" s="2" t="inlineStr"/>
    </row>
    <row r="878" ht="15" customHeight="1">
      <c r="A878" t="inlineStr">
        <is>
          <t>A 30053-2024</t>
        </is>
      </c>
      <c r="B878" s="1" t="n">
        <v>45488.94747685185</v>
      </c>
      <c r="C878" s="1" t="n">
        <v>45890</v>
      </c>
      <c r="D878" t="inlineStr">
        <is>
          <t>JÄMTLANDS LÄN</t>
        </is>
      </c>
      <c r="E878" t="inlineStr">
        <is>
          <t>RAGUNDA</t>
        </is>
      </c>
      <c r="F878" t="inlineStr">
        <is>
          <t>SCA</t>
        </is>
      </c>
      <c r="G878" t="n">
        <v>9.6</v>
      </c>
      <c r="H878" t="n">
        <v>0</v>
      </c>
      <c r="I878" t="n">
        <v>0</v>
      </c>
      <c r="J878" t="n">
        <v>0</v>
      </c>
      <c r="K878" t="n">
        <v>0</v>
      </c>
      <c r="L878" t="n">
        <v>0</v>
      </c>
      <c r="M878" t="n">
        <v>0</v>
      </c>
      <c r="N878" t="n">
        <v>0</v>
      </c>
      <c r="O878" t="n">
        <v>0</v>
      </c>
      <c r="P878" t="n">
        <v>0</v>
      </c>
      <c r="Q878" t="n">
        <v>0</v>
      </c>
      <c r="R878" s="2" t="inlineStr"/>
    </row>
    <row r="879" ht="15" customHeight="1">
      <c r="A879" t="inlineStr">
        <is>
          <t>A 51579-2024</t>
        </is>
      </c>
      <c r="B879" s="1" t="n">
        <v>45604.63575231482</v>
      </c>
      <c r="C879" s="1" t="n">
        <v>45890</v>
      </c>
      <c r="D879" t="inlineStr">
        <is>
          <t>JÄMTLANDS LÄN</t>
        </is>
      </c>
      <c r="E879" t="inlineStr">
        <is>
          <t>RAGUNDA</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8775-2025</t>
        </is>
      </c>
      <c r="B880" s="1" t="n">
        <v>45712.61502314815</v>
      </c>
      <c r="C880" s="1" t="n">
        <v>45890</v>
      </c>
      <c r="D880" t="inlineStr">
        <is>
          <t>JÄMTLANDS LÄN</t>
        </is>
      </c>
      <c r="E880" t="inlineStr">
        <is>
          <t>RAGUNDA</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30434-2025</t>
        </is>
      </c>
      <c r="B881" s="1" t="n">
        <v>45827.63582175926</v>
      </c>
      <c r="C881" s="1" t="n">
        <v>45890</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13264-2025</t>
        </is>
      </c>
      <c r="B882" s="1" t="n">
        <v>45735</v>
      </c>
      <c r="C882" s="1" t="n">
        <v>45890</v>
      </c>
      <c r="D882" t="inlineStr">
        <is>
          <t>JÄMTLANDS LÄN</t>
        </is>
      </c>
      <c r="E882" t="inlineStr">
        <is>
          <t>RAGUNDA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2339-2025</t>
        </is>
      </c>
      <c r="B883" s="1" t="n">
        <v>45673.66358796296</v>
      </c>
      <c r="C883" s="1" t="n">
        <v>45890</v>
      </c>
      <c r="D883" t="inlineStr">
        <is>
          <t>JÄMTLANDS LÄN</t>
        </is>
      </c>
      <c r="E883" t="inlineStr">
        <is>
          <t>RAGUNDA</t>
        </is>
      </c>
      <c r="G883" t="n">
        <v>5</v>
      </c>
      <c r="H883" t="n">
        <v>0</v>
      </c>
      <c r="I883" t="n">
        <v>0</v>
      </c>
      <c r="J883" t="n">
        <v>0</v>
      </c>
      <c r="K883" t="n">
        <v>0</v>
      </c>
      <c r="L883" t="n">
        <v>0</v>
      </c>
      <c r="M883" t="n">
        <v>0</v>
      </c>
      <c r="N883" t="n">
        <v>0</v>
      </c>
      <c r="O883" t="n">
        <v>0</v>
      </c>
      <c r="P883" t="n">
        <v>0</v>
      </c>
      <c r="Q883" t="n">
        <v>0</v>
      </c>
      <c r="R883" s="2" t="inlineStr"/>
    </row>
    <row r="884" ht="15" customHeight="1">
      <c r="A884" t="inlineStr">
        <is>
          <t>A 31463-2024</t>
        </is>
      </c>
      <c r="B884" s="1" t="n">
        <v>45505</v>
      </c>
      <c r="C884" s="1" t="n">
        <v>45890</v>
      </c>
      <c r="D884" t="inlineStr">
        <is>
          <t>JÄMTLANDS LÄN</t>
        </is>
      </c>
      <c r="E884" t="inlineStr">
        <is>
          <t>RAGUNDA</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27499-2024</t>
        </is>
      </c>
      <c r="B885" s="1" t="n">
        <v>45474.50608796296</v>
      </c>
      <c r="C885" s="1" t="n">
        <v>45890</v>
      </c>
      <c r="D885" t="inlineStr">
        <is>
          <t>JÄMTLANDS LÄN</t>
        </is>
      </c>
      <c r="E885" t="inlineStr">
        <is>
          <t>RAGUNDA</t>
        </is>
      </c>
      <c r="G885" t="n">
        <v>1.3</v>
      </c>
      <c r="H885" t="n">
        <v>0</v>
      </c>
      <c r="I885" t="n">
        <v>0</v>
      </c>
      <c r="J885" t="n">
        <v>0</v>
      </c>
      <c r="K885" t="n">
        <v>0</v>
      </c>
      <c r="L885" t="n">
        <v>0</v>
      </c>
      <c r="M885" t="n">
        <v>0</v>
      </c>
      <c r="N885" t="n">
        <v>0</v>
      </c>
      <c r="O885" t="n">
        <v>0</v>
      </c>
      <c r="P885" t="n">
        <v>0</v>
      </c>
      <c r="Q885" t="n">
        <v>0</v>
      </c>
      <c r="R885" s="2" t="inlineStr"/>
    </row>
    <row r="886" ht="15" customHeight="1">
      <c r="A886" t="inlineStr">
        <is>
          <t>A 36553-2025</t>
        </is>
      </c>
      <c r="B886" s="1" t="n">
        <v>45870.34439814815</v>
      </c>
      <c r="C886" s="1" t="n">
        <v>45890</v>
      </c>
      <c r="D886" t="inlineStr">
        <is>
          <t>JÄMTLANDS LÄN</t>
        </is>
      </c>
      <c r="E886" t="inlineStr">
        <is>
          <t>RAGUNDA</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57078-2023</t>
        </is>
      </c>
      <c r="B887" s="1" t="n">
        <v>45244.96774305555</v>
      </c>
      <c r="C887" s="1" t="n">
        <v>45890</v>
      </c>
      <c r="D887" t="inlineStr">
        <is>
          <t>JÄMTLANDS LÄN</t>
        </is>
      </c>
      <c r="E887" t="inlineStr">
        <is>
          <t>RAGUNDA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5307-2025</t>
        </is>
      </c>
      <c r="B888" s="1" t="n">
        <v>45692.48993055556</v>
      </c>
      <c r="C888" s="1" t="n">
        <v>45890</v>
      </c>
      <c r="D888" t="inlineStr">
        <is>
          <t>JÄMTLANDS LÄN</t>
        </is>
      </c>
      <c r="E888" t="inlineStr">
        <is>
          <t>RAGUNDA</t>
        </is>
      </c>
      <c r="F888" t="inlineStr">
        <is>
          <t>SCA</t>
        </is>
      </c>
      <c r="G888" t="n">
        <v>20.9</v>
      </c>
      <c r="H888" t="n">
        <v>0</v>
      </c>
      <c r="I888" t="n">
        <v>0</v>
      </c>
      <c r="J888" t="n">
        <v>0</v>
      </c>
      <c r="K888" t="n">
        <v>0</v>
      </c>
      <c r="L888" t="n">
        <v>0</v>
      </c>
      <c r="M888" t="n">
        <v>0</v>
      </c>
      <c r="N888" t="n">
        <v>0</v>
      </c>
      <c r="O888" t="n">
        <v>0</v>
      </c>
      <c r="P888" t="n">
        <v>0</v>
      </c>
      <c r="Q888" t="n">
        <v>0</v>
      </c>
      <c r="R888" s="2" t="inlineStr"/>
    </row>
    <row r="889" ht="15" customHeight="1">
      <c r="A889" t="inlineStr">
        <is>
          <t>A 38548-2024</t>
        </is>
      </c>
      <c r="B889" s="1" t="n">
        <v>45546</v>
      </c>
      <c r="C889" s="1" t="n">
        <v>45890</v>
      </c>
      <c r="D889" t="inlineStr">
        <is>
          <t>JÄMTLANDS LÄN</t>
        </is>
      </c>
      <c r="E889" t="inlineStr">
        <is>
          <t>RAGUNDA</t>
        </is>
      </c>
      <c r="G889" t="n">
        <v>1.4</v>
      </c>
      <c r="H889" t="n">
        <v>0</v>
      </c>
      <c r="I889" t="n">
        <v>0</v>
      </c>
      <c r="J889" t="n">
        <v>0</v>
      </c>
      <c r="K889" t="n">
        <v>0</v>
      </c>
      <c r="L889" t="n">
        <v>0</v>
      </c>
      <c r="M889" t="n">
        <v>0</v>
      </c>
      <c r="N889" t="n">
        <v>0</v>
      </c>
      <c r="O889" t="n">
        <v>0</v>
      </c>
      <c r="P889" t="n">
        <v>0</v>
      </c>
      <c r="Q889" t="n">
        <v>0</v>
      </c>
      <c r="R889" s="2" t="inlineStr"/>
    </row>
    <row r="890" ht="15" customHeight="1">
      <c r="A890" t="inlineStr">
        <is>
          <t>A 59368-2022</t>
        </is>
      </c>
      <c r="B890" s="1" t="n">
        <v>44904.94824074074</v>
      </c>
      <c r="C890" s="1" t="n">
        <v>45890</v>
      </c>
      <c r="D890" t="inlineStr">
        <is>
          <t>JÄMTLANDS LÄN</t>
        </is>
      </c>
      <c r="E890" t="inlineStr">
        <is>
          <t>RAGUNDA</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2411-2023</t>
        </is>
      </c>
      <c r="B891" s="1" t="n">
        <v>44942</v>
      </c>
      <c r="C891" s="1" t="n">
        <v>45890</v>
      </c>
      <c r="D891" t="inlineStr">
        <is>
          <t>JÄMTLANDS LÄN</t>
        </is>
      </c>
      <c r="E891" t="inlineStr">
        <is>
          <t>RAGUNDA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13935-2024</t>
        </is>
      </c>
      <c r="B892" s="1" t="n">
        <v>45391.95329861111</v>
      </c>
      <c r="C892" s="1" t="n">
        <v>45890</v>
      </c>
      <c r="D892" t="inlineStr">
        <is>
          <t>JÄMTLANDS LÄN</t>
        </is>
      </c>
      <c r="E892" t="inlineStr">
        <is>
          <t>RAGUNDA</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5308-2025</t>
        </is>
      </c>
      <c r="B893" s="1" t="n">
        <v>45692.49008101852</v>
      </c>
      <c r="C893" s="1" t="n">
        <v>45890</v>
      </c>
      <c r="D893" t="inlineStr">
        <is>
          <t>JÄMTLANDS LÄN</t>
        </is>
      </c>
      <c r="E893" t="inlineStr">
        <is>
          <t>RAGUNDA</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6801-2023</t>
        </is>
      </c>
      <c r="B894" s="1" t="n">
        <v>44966.95328703704</v>
      </c>
      <c r="C894" s="1" t="n">
        <v>45890</v>
      </c>
      <c r="D894" t="inlineStr">
        <is>
          <t>JÄMTLANDS LÄN</t>
        </is>
      </c>
      <c r="E894" t="inlineStr">
        <is>
          <t>RAGUNDA</t>
        </is>
      </c>
      <c r="F894" t="inlineStr">
        <is>
          <t>SCA</t>
        </is>
      </c>
      <c r="G894" t="n">
        <v>10.6</v>
      </c>
      <c r="H894" t="n">
        <v>0</v>
      </c>
      <c r="I894" t="n">
        <v>0</v>
      </c>
      <c r="J894" t="n">
        <v>0</v>
      </c>
      <c r="K894" t="n">
        <v>0</v>
      </c>
      <c r="L894" t="n">
        <v>0</v>
      </c>
      <c r="M894" t="n">
        <v>0</v>
      </c>
      <c r="N894" t="n">
        <v>0</v>
      </c>
      <c r="O894" t="n">
        <v>0</v>
      </c>
      <c r="P894" t="n">
        <v>0</v>
      </c>
      <c r="Q894" t="n">
        <v>0</v>
      </c>
      <c r="R894" s="2" t="inlineStr"/>
    </row>
    <row r="895" ht="15" customHeight="1">
      <c r="A895" t="inlineStr">
        <is>
          <t>A 58194-2022</t>
        </is>
      </c>
      <c r="B895" s="1" t="n">
        <v>44900</v>
      </c>
      <c r="C895" s="1" t="n">
        <v>45890</v>
      </c>
      <c r="D895" t="inlineStr">
        <is>
          <t>JÄMTLANDS LÄN</t>
        </is>
      </c>
      <c r="E895" t="inlineStr">
        <is>
          <t>RAGUNDA</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41656-2023</t>
        </is>
      </c>
      <c r="B896" s="1" t="n">
        <v>45175</v>
      </c>
      <c r="C896" s="1" t="n">
        <v>45890</v>
      </c>
      <c r="D896" t="inlineStr">
        <is>
          <t>JÄMTLANDS LÄN</t>
        </is>
      </c>
      <c r="E896" t="inlineStr">
        <is>
          <t>RAGUNDA</t>
        </is>
      </c>
      <c r="F896" t="inlineStr">
        <is>
          <t>SCA</t>
        </is>
      </c>
      <c r="G896" t="n">
        <v>3</v>
      </c>
      <c r="H896" t="n">
        <v>0</v>
      </c>
      <c r="I896" t="n">
        <v>0</v>
      </c>
      <c r="J896" t="n">
        <v>0</v>
      </c>
      <c r="K896" t="n">
        <v>0</v>
      </c>
      <c r="L896" t="n">
        <v>0</v>
      </c>
      <c r="M896" t="n">
        <v>0</v>
      </c>
      <c r="N896" t="n">
        <v>0</v>
      </c>
      <c r="O896" t="n">
        <v>0</v>
      </c>
      <c r="P896" t="n">
        <v>0</v>
      </c>
      <c r="Q896" t="n">
        <v>0</v>
      </c>
      <c r="R896" s="2" t="inlineStr"/>
    </row>
    <row r="897" ht="15" customHeight="1">
      <c r="A897" t="inlineStr">
        <is>
          <t>A 30887-2025</t>
        </is>
      </c>
      <c r="B897" s="1" t="n">
        <v>45832.3459375</v>
      </c>
      <c r="C897" s="1" t="n">
        <v>45890</v>
      </c>
      <c r="D897" t="inlineStr">
        <is>
          <t>JÄMTLANDS LÄN</t>
        </is>
      </c>
      <c r="E897" t="inlineStr">
        <is>
          <t>RAGUNDA</t>
        </is>
      </c>
      <c r="F897" t="inlineStr">
        <is>
          <t>SCA</t>
        </is>
      </c>
      <c r="G897" t="n">
        <v>10.1</v>
      </c>
      <c r="H897" t="n">
        <v>0</v>
      </c>
      <c r="I897" t="n">
        <v>0</v>
      </c>
      <c r="J897" t="n">
        <v>0</v>
      </c>
      <c r="K897" t="n">
        <v>0</v>
      </c>
      <c r="L897" t="n">
        <v>0</v>
      </c>
      <c r="M897" t="n">
        <v>0</v>
      </c>
      <c r="N897" t="n">
        <v>0</v>
      </c>
      <c r="O897" t="n">
        <v>0</v>
      </c>
      <c r="P897" t="n">
        <v>0</v>
      </c>
      <c r="Q897" t="n">
        <v>0</v>
      </c>
      <c r="R897" s="2" t="inlineStr"/>
    </row>
    <row r="898" ht="15" customHeight="1">
      <c r="A898" t="inlineStr">
        <is>
          <t>A 32874-2025</t>
        </is>
      </c>
      <c r="B898" s="1" t="n">
        <v>45839</v>
      </c>
      <c r="C898" s="1" t="n">
        <v>45890</v>
      </c>
      <c r="D898" t="inlineStr">
        <is>
          <t>JÄMTLANDS LÄN</t>
        </is>
      </c>
      <c r="E898" t="inlineStr">
        <is>
          <t>RAGUNDA</t>
        </is>
      </c>
      <c r="G898" t="n">
        <v>2.3</v>
      </c>
      <c r="H898" t="n">
        <v>0</v>
      </c>
      <c r="I898" t="n">
        <v>0</v>
      </c>
      <c r="J898" t="n">
        <v>0</v>
      </c>
      <c r="K898" t="n">
        <v>0</v>
      </c>
      <c r="L898" t="n">
        <v>0</v>
      </c>
      <c r="M898" t="n">
        <v>0</v>
      </c>
      <c r="N898" t="n">
        <v>0</v>
      </c>
      <c r="O898" t="n">
        <v>0</v>
      </c>
      <c r="P898" t="n">
        <v>0</v>
      </c>
      <c r="Q898" t="n">
        <v>0</v>
      </c>
      <c r="R898" s="2" t="inlineStr"/>
    </row>
    <row r="899" ht="15" customHeight="1">
      <c r="A899" t="inlineStr">
        <is>
          <t>A 30883-2025</t>
        </is>
      </c>
      <c r="B899" s="1" t="n">
        <v>45832.34552083333</v>
      </c>
      <c r="C899" s="1" t="n">
        <v>45890</v>
      </c>
      <c r="D899" t="inlineStr">
        <is>
          <t>JÄMTLANDS LÄN</t>
        </is>
      </c>
      <c r="E899" t="inlineStr">
        <is>
          <t>RAGUNDA</t>
        </is>
      </c>
      <c r="F899" t="inlineStr">
        <is>
          <t>SCA</t>
        </is>
      </c>
      <c r="G899" t="n">
        <v>3.2</v>
      </c>
      <c r="H899" t="n">
        <v>0</v>
      </c>
      <c r="I899" t="n">
        <v>0</v>
      </c>
      <c r="J899" t="n">
        <v>0</v>
      </c>
      <c r="K899" t="n">
        <v>0</v>
      </c>
      <c r="L899" t="n">
        <v>0</v>
      </c>
      <c r="M899" t="n">
        <v>0</v>
      </c>
      <c r="N899" t="n">
        <v>0</v>
      </c>
      <c r="O899" t="n">
        <v>0</v>
      </c>
      <c r="P899" t="n">
        <v>0</v>
      </c>
      <c r="Q899" t="n">
        <v>0</v>
      </c>
      <c r="R899" s="2" t="inlineStr"/>
    </row>
    <row r="900" ht="15" customHeight="1">
      <c r="A900" t="inlineStr">
        <is>
          <t>A 24171-2021</t>
        </is>
      </c>
      <c r="B900" s="1" t="n">
        <v>44336</v>
      </c>
      <c r="C900" s="1" t="n">
        <v>45890</v>
      </c>
      <c r="D900" t="inlineStr">
        <is>
          <t>JÄMTLANDS LÄN</t>
        </is>
      </c>
      <c r="E900" t="inlineStr">
        <is>
          <t>RAGUNDA</t>
        </is>
      </c>
      <c r="G900" t="n">
        <v>3.6</v>
      </c>
      <c r="H900" t="n">
        <v>0</v>
      </c>
      <c r="I900" t="n">
        <v>0</v>
      </c>
      <c r="J900" t="n">
        <v>0</v>
      </c>
      <c r="K900" t="n">
        <v>0</v>
      </c>
      <c r="L900" t="n">
        <v>0</v>
      </c>
      <c r="M900" t="n">
        <v>0</v>
      </c>
      <c r="N900" t="n">
        <v>0</v>
      </c>
      <c r="O900" t="n">
        <v>0</v>
      </c>
      <c r="P900" t="n">
        <v>0</v>
      </c>
      <c r="Q900" t="n">
        <v>0</v>
      </c>
      <c r="R900" s="2" t="inlineStr"/>
    </row>
    <row r="901" ht="15" customHeight="1">
      <c r="A901" t="inlineStr">
        <is>
          <t>A 37008-2025</t>
        </is>
      </c>
      <c r="B901" s="1" t="n">
        <v>45874.69844907407</v>
      </c>
      <c r="C901" s="1" t="n">
        <v>45890</v>
      </c>
      <c r="D901" t="inlineStr">
        <is>
          <t>JÄMTLANDS LÄN</t>
        </is>
      </c>
      <c r="E901" t="inlineStr">
        <is>
          <t>RAGUNDA</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58843-2024</t>
        </is>
      </c>
      <c r="B902" s="1" t="n">
        <v>45636.38599537037</v>
      </c>
      <c r="C902" s="1" t="n">
        <v>45890</v>
      </c>
      <c r="D902" t="inlineStr">
        <is>
          <t>JÄMTLANDS LÄN</t>
        </is>
      </c>
      <c r="E902" t="inlineStr">
        <is>
          <t>RAGUNDA</t>
        </is>
      </c>
      <c r="F902" t="inlineStr">
        <is>
          <t>SCA</t>
        </is>
      </c>
      <c r="G902" t="n">
        <v>4.8</v>
      </c>
      <c r="H902" t="n">
        <v>0</v>
      </c>
      <c r="I902" t="n">
        <v>0</v>
      </c>
      <c r="J902" t="n">
        <v>0</v>
      </c>
      <c r="K902" t="n">
        <v>0</v>
      </c>
      <c r="L902" t="n">
        <v>0</v>
      </c>
      <c r="M902" t="n">
        <v>0</v>
      </c>
      <c r="N902" t="n">
        <v>0</v>
      </c>
      <c r="O902" t="n">
        <v>0</v>
      </c>
      <c r="P902" t="n">
        <v>0</v>
      </c>
      <c r="Q902" t="n">
        <v>0</v>
      </c>
      <c r="R902" s="2" t="inlineStr"/>
    </row>
    <row r="903" ht="15" customHeight="1">
      <c r="A903" t="inlineStr">
        <is>
          <t>A 51646-2023</t>
        </is>
      </c>
      <c r="B903" s="1" t="n">
        <v>45215</v>
      </c>
      <c r="C903" s="1" t="n">
        <v>45890</v>
      </c>
      <c r="D903" t="inlineStr">
        <is>
          <t>JÄMTLANDS LÄN</t>
        </is>
      </c>
      <c r="E903" t="inlineStr">
        <is>
          <t>RAGUNDA</t>
        </is>
      </c>
      <c r="G903" t="n">
        <v>0.7</v>
      </c>
      <c r="H903" t="n">
        <v>0</v>
      </c>
      <c r="I903" t="n">
        <v>0</v>
      </c>
      <c r="J903" t="n">
        <v>0</v>
      </c>
      <c r="K903" t="n">
        <v>0</v>
      </c>
      <c r="L903" t="n">
        <v>0</v>
      </c>
      <c r="M903" t="n">
        <v>0</v>
      </c>
      <c r="N903" t="n">
        <v>0</v>
      </c>
      <c r="O903" t="n">
        <v>0</v>
      </c>
      <c r="P903" t="n">
        <v>0</v>
      </c>
      <c r="Q903" t="n">
        <v>0</v>
      </c>
      <c r="R903" s="2" t="inlineStr"/>
    </row>
    <row r="904" ht="15" customHeight="1">
      <c r="A904" t="inlineStr">
        <is>
          <t>A 37268-2024</t>
        </is>
      </c>
      <c r="B904" s="1" t="n">
        <v>45540.38586805556</v>
      </c>
      <c r="C904" s="1" t="n">
        <v>45890</v>
      </c>
      <c r="D904" t="inlineStr">
        <is>
          <t>JÄMTLANDS LÄN</t>
        </is>
      </c>
      <c r="E904" t="inlineStr">
        <is>
          <t>RAGUNDA</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36994-2025</t>
        </is>
      </c>
      <c r="B905" s="1" t="n">
        <v>45874.67746527777</v>
      </c>
      <c r="C905" s="1" t="n">
        <v>45890</v>
      </c>
      <c r="D905" t="inlineStr">
        <is>
          <t>JÄMTLANDS LÄN</t>
        </is>
      </c>
      <c r="E905" t="inlineStr">
        <is>
          <t>RAGUNDA</t>
        </is>
      </c>
      <c r="F905" t="inlineStr">
        <is>
          <t>SCA</t>
        </is>
      </c>
      <c r="G905" t="n">
        <v>7.2</v>
      </c>
      <c r="H905" t="n">
        <v>0</v>
      </c>
      <c r="I905" t="n">
        <v>0</v>
      </c>
      <c r="J905" t="n">
        <v>0</v>
      </c>
      <c r="K905" t="n">
        <v>0</v>
      </c>
      <c r="L905" t="n">
        <v>0</v>
      </c>
      <c r="M905" t="n">
        <v>0</v>
      </c>
      <c r="N905" t="n">
        <v>0</v>
      </c>
      <c r="O905" t="n">
        <v>0</v>
      </c>
      <c r="P905" t="n">
        <v>0</v>
      </c>
      <c r="Q905" t="n">
        <v>0</v>
      </c>
      <c r="R905" s="2" t="inlineStr"/>
    </row>
    <row r="906" ht="15" customHeight="1">
      <c r="A906" t="inlineStr">
        <is>
          <t>A 14512-2025</t>
        </is>
      </c>
      <c r="B906" s="1" t="n">
        <v>45741.63659722222</v>
      </c>
      <c r="C906" s="1" t="n">
        <v>45890</v>
      </c>
      <c r="D906" t="inlineStr">
        <is>
          <t>JÄMTLANDS LÄN</t>
        </is>
      </c>
      <c r="E906" t="inlineStr">
        <is>
          <t>RAGUNDA</t>
        </is>
      </c>
      <c r="F906" t="inlineStr">
        <is>
          <t>SCA</t>
        </is>
      </c>
      <c r="G906" t="n">
        <v>8.9</v>
      </c>
      <c r="H906" t="n">
        <v>0</v>
      </c>
      <c r="I906" t="n">
        <v>0</v>
      </c>
      <c r="J906" t="n">
        <v>0</v>
      </c>
      <c r="K906" t="n">
        <v>0</v>
      </c>
      <c r="L906" t="n">
        <v>0</v>
      </c>
      <c r="M906" t="n">
        <v>0</v>
      </c>
      <c r="N906" t="n">
        <v>0</v>
      </c>
      <c r="O906" t="n">
        <v>0</v>
      </c>
      <c r="P906" t="n">
        <v>0</v>
      </c>
      <c r="Q906" t="n">
        <v>0</v>
      </c>
      <c r="R906" s="2" t="inlineStr"/>
    </row>
    <row r="907" ht="15" customHeight="1">
      <c r="A907" t="inlineStr">
        <is>
          <t>A 53287-2022</t>
        </is>
      </c>
      <c r="B907" s="1" t="n">
        <v>44876</v>
      </c>
      <c r="C907" s="1" t="n">
        <v>45890</v>
      </c>
      <c r="D907" t="inlineStr">
        <is>
          <t>JÄMTLANDS LÄN</t>
        </is>
      </c>
      <c r="E907" t="inlineStr">
        <is>
          <t>RAGUNDA</t>
        </is>
      </c>
      <c r="F907" t="inlineStr">
        <is>
          <t>SCA</t>
        </is>
      </c>
      <c r="G907" t="n">
        <v>6.2</v>
      </c>
      <c r="H907" t="n">
        <v>0</v>
      </c>
      <c r="I907" t="n">
        <v>0</v>
      </c>
      <c r="J907" t="n">
        <v>0</v>
      </c>
      <c r="K907" t="n">
        <v>0</v>
      </c>
      <c r="L907" t="n">
        <v>0</v>
      </c>
      <c r="M907" t="n">
        <v>0</v>
      </c>
      <c r="N907" t="n">
        <v>0</v>
      </c>
      <c r="O907" t="n">
        <v>0</v>
      </c>
      <c r="P907" t="n">
        <v>0</v>
      </c>
      <c r="Q907" t="n">
        <v>0</v>
      </c>
      <c r="R907" s="2" t="inlineStr"/>
    </row>
    <row r="908" ht="15" customHeight="1">
      <c r="A908" t="inlineStr">
        <is>
          <t>A 16320-2025</t>
        </is>
      </c>
      <c r="B908" s="1" t="n">
        <v>45751.34859953704</v>
      </c>
      <c r="C908" s="1" t="n">
        <v>45890</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16321-2025</t>
        </is>
      </c>
      <c r="B909" s="1" t="n">
        <v>45751.34873842593</v>
      </c>
      <c r="C909" s="1" t="n">
        <v>45890</v>
      </c>
      <c r="D909" t="inlineStr">
        <is>
          <t>JÄMTLANDS LÄN</t>
        </is>
      </c>
      <c r="E909" t="inlineStr">
        <is>
          <t>RAGUNDA</t>
        </is>
      </c>
      <c r="F909" t="inlineStr">
        <is>
          <t>SCA</t>
        </is>
      </c>
      <c r="G909" t="n">
        <v>63.3</v>
      </c>
      <c r="H909" t="n">
        <v>0</v>
      </c>
      <c r="I909" t="n">
        <v>0</v>
      </c>
      <c r="J909" t="n">
        <v>0</v>
      </c>
      <c r="K909" t="n">
        <v>0</v>
      </c>
      <c r="L909" t="n">
        <v>0</v>
      </c>
      <c r="M909" t="n">
        <v>0</v>
      </c>
      <c r="N909" t="n">
        <v>0</v>
      </c>
      <c r="O909" t="n">
        <v>0</v>
      </c>
      <c r="P909" t="n">
        <v>0</v>
      </c>
      <c r="Q909" t="n">
        <v>0</v>
      </c>
      <c r="R909" s="2" t="inlineStr"/>
    </row>
    <row r="910" ht="15" customHeight="1">
      <c r="A910" t="inlineStr">
        <is>
          <t>A 14696-2022</t>
        </is>
      </c>
      <c r="B910" s="1" t="n">
        <v>44655</v>
      </c>
      <c r="C910" s="1" t="n">
        <v>45890</v>
      </c>
      <c r="D910" t="inlineStr">
        <is>
          <t>JÄMTLANDS LÄN</t>
        </is>
      </c>
      <c r="E910" t="inlineStr">
        <is>
          <t>RAGUNDA</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50649-2022</t>
        </is>
      </c>
      <c r="B911" s="1" t="n">
        <v>44866</v>
      </c>
      <c r="C911" s="1" t="n">
        <v>45890</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55514-2024</t>
        </is>
      </c>
      <c r="B912" s="1" t="n">
        <v>45622.46910879629</v>
      </c>
      <c r="C912" s="1" t="n">
        <v>45890</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18375-2022</t>
        </is>
      </c>
      <c r="B913" s="1" t="n">
        <v>44685</v>
      </c>
      <c r="C913" s="1" t="n">
        <v>45890</v>
      </c>
      <c r="D913" t="inlineStr">
        <is>
          <t>JÄMTLANDS LÄN</t>
        </is>
      </c>
      <c r="E913" t="inlineStr">
        <is>
          <t>RAGUNDA</t>
        </is>
      </c>
      <c r="F913" t="inlineStr">
        <is>
          <t>SCA</t>
        </is>
      </c>
      <c r="G913" t="n">
        <v>0.8</v>
      </c>
      <c r="H913" t="n">
        <v>0</v>
      </c>
      <c r="I913" t="n">
        <v>0</v>
      </c>
      <c r="J913" t="n">
        <v>0</v>
      </c>
      <c r="K913" t="n">
        <v>0</v>
      </c>
      <c r="L913" t="n">
        <v>0</v>
      </c>
      <c r="M913" t="n">
        <v>0</v>
      </c>
      <c r="N913" t="n">
        <v>0</v>
      </c>
      <c r="O913" t="n">
        <v>0</v>
      </c>
      <c r="P913" t="n">
        <v>0</v>
      </c>
      <c r="Q913" t="n">
        <v>0</v>
      </c>
      <c r="R913" s="2" t="inlineStr"/>
    </row>
    <row r="914" ht="15" customHeight="1">
      <c r="A914" t="inlineStr">
        <is>
          <t>A 17248-2023</t>
        </is>
      </c>
      <c r="B914" s="1" t="n">
        <v>45033</v>
      </c>
      <c r="C914" s="1" t="n">
        <v>45890</v>
      </c>
      <c r="D914" t="inlineStr">
        <is>
          <t>JÄMTLANDS LÄN</t>
        </is>
      </c>
      <c r="E914" t="inlineStr">
        <is>
          <t>RAGUNDA</t>
        </is>
      </c>
      <c r="G914" t="n">
        <v>3</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45890</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11557-2023</t>
        </is>
      </c>
      <c r="B916" s="1" t="n">
        <v>44993.94950231481</v>
      </c>
      <c r="C916" s="1" t="n">
        <v>45890</v>
      </c>
      <c r="D916" t="inlineStr">
        <is>
          <t>JÄMTLANDS LÄN</t>
        </is>
      </c>
      <c r="E916" t="inlineStr">
        <is>
          <t>RAGUNDA</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11562-2023</t>
        </is>
      </c>
      <c r="B917" s="1" t="n">
        <v>44993</v>
      </c>
      <c r="C917" s="1" t="n">
        <v>45890</v>
      </c>
      <c r="D917" t="inlineStr">
        <is>
          <t>JÄMTLANDS LÄN</t>
        </is>
      </c>
      <c r="E917" t="inlineStr">
        <is>
          <t>RAGUNDA</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22131-2021</t>
        </is>
      </c>
      <c r="B918" s="1" t="n">
        <v>44323</v>
      </c>
      <c r="C918" s="1" t="n">
        <v>45890</v>
      </c>
      <c r="D918" t="inlineStr">
        <is>
          <t>JÄMTLANDS LÄN</t>
        </is>
      </c>
      <c r="E918" t="inlineStr">
        <is>
          <t>RAGUNDA</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30880-2025</t>
        </is>
      </c>
      <c r="B919" s="1" t="n">
        <v>45832.34524305556</v>
      </c>
      <c r="C919" s="1" t="n">
        <v>45890</v>
      </c>
      <c r="D919" t="inlineStr">
        <is>
          <t>JÄMTLANDS LÄN</t>
        </is>
      </c>
      <c r="E919" t="inlineStr">
        <is>
          <t>RAGUNDA</t>
        </is>
      </c>
      <c r="G919" t="n">
        <v>9.300000000000001</v>
      </c>
      <c r="H919" t="n">
        <v>0</v>
      </c>
      <c r="I919" t="n">
        <v>0</v>
      </c>
      <c r="J919" t="n">
        <v>0</v>
      </c>
      <c r="K919" t="n">
        <v>0</v>
      </c>
      <c r="L919" t="n">
        <v>0</v>
      </c>
      <c r="M919" t="n">
        <v>0</v>
      </c>
      <c r="N919" t="n">
        <v>0</v>
      </c>
      <c r="O919" t="n">
        <v>0</v>
      </c>
      <c r="P919" t="n">
        <v>0</v>
      </c>
      <c r="Q919" t="n">
        <v>0</v>
      </c>
      <c r="R919" s="2" t="inlineStr"/>
    </row>
    <row r="920" ht="15" customHeight="1">
      <c r="A920" t="inlineStr">
        <is>
          <t>A 59759-2024</t>
        </is>
      </c>
      <c r="B920" s="1" t="n">
        <v>45639.55240740741</v>
      </c>
      <c r="C920" s="1" t="n">
        <v>45890</v>
      </c>
      <c r="D920" t="inlineStr">
        <is>
          <t>JÄMTLANDS LÄN</t>
        </is>
      </c>
      <c r="E920" t="inlineStr">
        <is>
          <t>RAGUNDA</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5971-2025</t>
        </is>
      </c>
      <c r="B921" s="1" t="n">
        <v>45695.51070601852</v>
      </c>
      <c r="C921" s="1" t="n">
        <v>45890</v>
      </c>
      <c r="D921" t="inlineStr">
        <is>
          <t>JÄMTLANDS LÄN</t>
        </is>
      </c>
      <c r="E921" t="inlineStr">
        <is>
          <t>RAGUNDA</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30563-2023</t>
        </is>
      </c>
      <c r="B922" s="1" t="n">
        <v>45111.92793981481</v>
      </c>
      <c r="C922" s="1" t="n">
        <v>45890</v>
      </c>
      <c r="D922" t="inlineStr">
        <is>
          <t>JÄMTLANDS LÄN</t>
        </is>
      </c>
      <c r="E922" t="inlineStr">
        <is>
          <t>RAGUNDA</t>
        </is>
      </c>
      <c r="F922" t="inlineStr">
        <is>
          <t>Övriga Aktiebolag</t>
        </is>
      </c>
      <c r="G922" t="n">
        <v>2.3</v>
      </c>
      <c r="H922" t="n">
        <v>0</v>
      </c>
      <c r="I922" t="n">
        <v>0</v>
      </c>
      <c r="J922" t="n">
        <v>0</v>
      </c>
      <c r="K922" t="n">
        <v>0</v>
      </c>
      <c r="L922" t="n">
        <v>0</v>
      </c>
      <c r="M922" t="n">
        <v>0</v>
      </c>
      <c r="N922" t="n">
        <v>0</v>
      </c>
      <c r="O922" t="n">
        <v>0</v>
      </c>
      <c r="P922" t="n">
        <v>0</v>
      </c>
      <c r="Q922" t="n">
        <v>0</v>
      </c>
      <c r="R922" s="2" t="inlineStr"/>
    </row>
    <row r="923" ht="15" customHeight="1">
      <c r="A923" t="inlineStr">
        <is>
          <t>A 35537-2021</t>
        </is>
      </c>
      <c r="B923" s="1" t="n">
        <v>44384</v>
      </c>
      <c r="C923" s="1" t="n">
        <v>45890</v>
      </c>
      <c r="D923" t="inlineStr">
        <is>
          <t>JÄMTLANDS LÄN</t>
        </is>
      </c>
      <c r="E923" t="inlineStr">
        <is>
          <t>RAGUNDA</t>
        </is>
      </c>
      <c r="G923" t="n">
        <v>3.1</v>
      </c>
      <c r="H923" t="n">
        <v>0</v>
      </c>
      <c r="I923" t="n">
        <v>0</v>
      </c>
      <c r="J923" t="n">
        <v>0</v>
      </c>
      <c r="K923" t="n">
        <v>0</v>
      </c>
      <c r="L923" t="n">
        <v>0</v>
      </c>
      <c r="M923" t="n">
        <v>0</v>
      </c>
      <c r="N923" t="n">
        <v>0</v>
      </c>
      <c r="O923" t="n">
        <v>0</v>
      </c>
      <c r="P923" t="n">
        <v>0</v>
      </c>
      <c r="Q923" t="n">
        <v>0</v>
      </c>
      <c r="R923" s="2" t="inlineStr"/>
    </row>
    <row r="924" ht="15" customHeight="1">
      <c r="A924" t="inlineStr">
        <is>
          <t>A 2819-2023</t>
        </is>
      </c>
      <c r="B924" s="1" t="n">
        <v>44944</v>
      </c>
      <c r="C924" s="1" t="n">
        <v>45890</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36212-2023</t>
        </is>
      </c>
      <c r="B925" s="1" t="n">
        <v>45149.95241898148</v>
      </c>
      <c r="C925" s="1" t="n">
        <v>45890</v>
      </c>
      <c r="D925" t="inlineStr">
        <is>
          <t>JÄMTLANDS LÄN</t>
        </is>
      </c>
      <c r="E925" t="inlineStr">
        <is>
          <t>RAGUNDA</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44536-2022</t>
        </is>
      </c>
      <c r="B926" s="1" t="n">
        <v>44839</v>
      </c>
      <c r="C926" s="1" t="n">
        <v>45890</v>
      </c>
      <c r="D926" t="inlineStr">
        <is>
          <t>JÄMTLANDS LÄN</t>
        </is>
      </c>
      <c r="E926" t="inlineStr">
        <is>
          <t>RAGUNDA</t>
        </is>
      </c>
      <c r="G926" t="n">
        <v>4</v>
      </c>
      <c r="H926" t="n">
        <v>0</v>
      </c>
      <c r="I926" t="n">
        <v>0</v>
      </c>
      <c r="J926" t="n">
        <v>0</v>
      </c>
      <c r="K926" t="n">
        <v>0</v>
      </c>
      <c r="L926" t="n">
        <v>0</v>
      </c>
      <c r="M926" t="n">
        <v>0</v>
      </c>
      <c r="N926" t="n">
        <v>0</v>
      </c>
      <c r="O926" t="n">
        <v>0</v>
      </c>
      <c r="P926" t="n">
        <v>0</v>
      </c>
      <c r="Q926" t="n">
        <v>0</v>
      </c>
      <c r="R926" s="2" t="inlineStr"/>
    </row>
    <row r="927" ht="15" customHeight="1">
      <c r="A927" t="inlineStr">
        <is>
          <t>A 36947-2025</t>
        </is>
      </c>
      <c r="B927" s="1" t="n">
        <v>45874.59496527778</v>
      </c>
      <c r="C927" s="1" t="n">
        <v>45890</v>
      </c>
      <c r="D927" t="inlineStr">
        <is>
          <t>JÄMTLANDS LÄN</t>
        </is>
      </c>
      <c r="E927" t="inlineStr">
        <is>
          <t>RAGUNDA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32088-2025</t>
        </is>
      </c>
      <c r="B928" s="1" t="n">
        <v>45835.45686342593</v>
      </c>
      <c r="C928" s="1" t="n">
        <v>45890</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12768-2022</t>
        </is>
      </c>
      <c r="B929" s="1" t="n">
        <v>44641</v>
      </c>
      <c r="C929" s="1" t="n">
        <v>45890</v>
      </c>
      <c r="D929" t="inlineStr">
        <is>
          <t>JÄMTLANDS LÄN</t>
        </is>
      </c>
      <c r="E929" t="inlineStr">
        <is>
          <t>RAGUNDA</t>
        </is>
      </c>
      <c r="F929" t="inlineStr">
        <is>
          <t>SCA</t>
        </is>
      </c>
      <c r="G929" t="n">
        <v>8</v>
      </c>
      <c r="H929" t="n">
        <v>0</v>
      </c>
      <c r="I929" t="n">
        <v>0</v>
      </c>
      <c r="J929" t="n">
        <v>0</v>
      </c>
      <c r="K929" t="n">
        <v>0</v>
      </c>
      <c r="L929" t="n">
        <v>0</v>
      </c>
      <c r="M929" t="n">
        <v>0</v>
      </c>
      <c r="N929" t="n">
        <v>0</v>
      </c>
      <c r="O929" t="n">
        <v>0</v>
      </c>
      <c r="P929" t="n">
        <v>0</v>
      </c>
      <c r="Q929" t="n">
        <v>0</v>
      </c>
      <c r="R929" s="2" t="inlineStr"/>
    </row>
    <row r="930" ht="15" customHeight="1">
      <c r="A930" t="inlineStr">
        <is>
          <t>A 12773-2022</t>
        </is>
      </c>
      <c r="B930" s="1" t="n">
        <v>44641</v>
      </c>
      <c r="C930" s="1" t="n">
        <v>45890</v>
      </c>
      <c r="D930" t="inlineStr">
        <is>
          <t>JÄMTLANDS LÄN</t>
        </is>
      </c>
      <c r="E930" t="inlineStr">
        <is>
          <t>RAGUNDA</t>
        </is>
      </c>
      <c r="F930" t="inlineStr">
        <is>
          <t>SCA</t>
        </is>
      </c>
      <c r="G930" t="n">
        <v>14.7</v>
      </c>
      <c r="H930" t="n">
        <v>0</v>
      </c>
      <c r="I930" t="n">
        <v>0</v>
      </c>
      <c r="J930" t="n">
        <v>0</v>
      </c>
      <c r="K930" t="n">
        <v>0</v>
      </c>
      <c r="L930" t="n">
        <v>0</v>
      </c>
      <c r="M930" t="n">
        <v>0</v>
      </c>
      <c r="N930" t="n">
        <v>0</v>
      </c>
      <c r="O930" t="n">
        <v>0</v>
      </c>
      <c r="P930" t="n">
        <v>0</v>
      </c>
      <c r="Q930" t="n">
        <v>0</v>
      </c>
      <c r="R930" s="2" t="inlineStr"/>
    </row>
    <row r="931" ht="15" customHeight="1">
      <c r="A931" t="inlineStr">
        <is>
          <t>A 32096-2025</t>
        </is>
      </c>
      <c r="B931" s="1" t="n">
        <v>45835.46334490741</v>
      </c>
      <c r="C931" s="1" t="n">
        <v>45890</v>
      </c>
      <c r="D931" t="inlineStr">
        <is>
          <t>JÄMTLANDS LÄN</t>
        </is>
      </c>
      <c r="E931" t="inlineStr">
        <is>
          <t>RAGUNDA</t>
        </is>
      </c>
      <c r="G931" t="n">
        <v>0.9</v>
      </c>
      <c r="H931" t="n">
        <v>0</v>
      </c>
      <c r="I931" t="n">
        <v>0</v>
      </c>
      <c r="J931" t="n">
        <v>0</v>
      </c>
      <c r="K931" t="n">
        <v>0</v>
      </c>
      <c r="L931" t="n">
        <v>0</v>
      </c>
      <c r="M931" t="n">
        <v>0</v>
      </c>
      <c r="N931" t="n">
        <v>0</v>
      </c>
      <c r="O931" t="n">
        <v>0</v>
      </c>
      <c r="P931" t="n">
        <v>0</v>
      </c>
      <c r="Q931" t="n">
        <v>0</v>
      </c>
      <c r="R931" s="2" t="inlineStr"/>
    </row>
    <row r="932" ht="15" customHeight="1">
      <c r="A932" t="inlineStr">
        <is>
          <t>A 32151-2025</t>
        </is>
      </c>
      <c r="B932" s="1" t="n">
        <v>45835.53166666667</v>
      </c>
      <c r="C932" s="1" t="n">
        <v>45890</v>
      </c>
      <c r="D932" t="inlineStr">
        <is>
          <t>JÄMTLANDS LÄN</t>
        </is>
      </c>
      <c r="E932" t="inlineStr">
        <is>
          <t>RAGUNDA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32306-2025</t>
        </is>
      </c>
      <c r="B933" s="1" t="n">
        <v>45835.72046296296</v>
      </c>
      <c r="C933" s="1" t="n">
        <v>45890</v>
      </c>
      <c r="D933" t="inlineStr">
        <is>
          <t>JÄMTLANDS LÄN</t>
        </is>
      </c>
      <c r="E933" t="inlineStr">
        <is>
          <t>RAGUNDA</t>
        </is>
      </c>
      <c r="G933" t="n">
        <v>10.2</v>
      </c>
      <c r="H933" t="n">
        <v>0</v>
      </c>
      <c r="I933" t="n">
        <v>0</v>
      </c>
      <c r="J933" t="n">
        <v>0</v>
      </c>
      <c r="K933" t="n">
        <v>0</v>
      </c>
      <c r="L933" t="n">
        <v>0</v>
      </c>
      <c r="M933" t="n">
        <v>0</v>
      </c>
      <c r="N933" t="n">
        <v>0</v>
      </c>
      <c r="O933" t="n">
        <v>0</v>
      </c>
      <c r="P933" t="n">
        <v>0</v>
      </c>
      <c r="Q933" t="n">
        <v>0</v>
      </c>
      <c r="R933" s="2" t="inlineStr"/>
    </row>
    <row r="934" ht="15" customHeight="1">
      <c r="A934" t="inlineStr">
        <is>
          <t>A 5067-2024</t>
        </is>
      </c>
      <c r="B934" s="1" t="n">
        <v>45329.95806712963</v>
      </c>
      <c r="C934" s="1" t="n">
        <v>45890</v>
      </c>
      <c r="D934" t="inlineStr">
        <is>
          <t>JÄMTLANDS LÄN</t>
        </is>
      </c>
      <c r="E934" t="inlineStr">
        <is>
          <t>RAGUNDA</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32021-2025</t>
        </is>
      </c>
      <c r="B935" s="1" t="n">
        <v>45835.40668981482</v>
      </c>
      <c r="C935" s="1" t="n">
        <v>45890</v>
      </c>
      <c r="D935" t="inlineStr">
        <is>
          <t>JÄMTLANDS LÄN</t>
        </is>
      </c>
      <c r="E935" t="inlineStr">
        <is>
          <t>RAGUNDA</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32075-2025</t>
        </is>
      </c>
      <c r="B936" s="1" t="n">
        <v>45835.4506712963</v>
      </c>
      <c r="C936" s="1" t="n">
        <v>45890</v>
      </c>
      <c r="D936" t="inlineStr">
        <is>
          <t>JÄMTLANDS LÄN</t>
        </is>
      </c>
      <c r="E936" t="inlineStr">
        <is>
          <t>RAGUNDA</t>
        </is>
      </c>
      <c r="G936" t="n">
        <v>1.1</v>
      </c>
      <c r="H936" t="n">
        <v>0</v>
      </c>
      <c r="I936" t="n">
        <v>0</v>
      </c>
      <c r="J936" t="n">
        <v>0</v>
      </c>
      <c r="K936" t="n">
        <v>0</v>
      </c>
      <c r="L936" t="n">
        <v>0</v>
      </c>
      <c r="M936" t="n">
        <v>0</v>
      </c>
      <c r="N936" t="n">
        <v>0</v>
      </c>
      <c r="O936" t="n">
        <v>0</v>
      </c>
      <c r="P936" t="n">
        <v>0</v>
      </c>
      <c r="Q936" t="n">
        <v>0</v>
      </c>
      <c r="R936" s="2" t="inlineStr"/>
    </row>
    <row r="937" ht="15" customHeight="1">
      <c r="A937" t="inlineStr">
        <is>
          <t>A 31882-2025</t>
        </is>
      </c>
      <c r="B937" s="1" t="n">
        <v>45834.65662037037</v>
      </c>
      <c r="C937" s="1" t="n">
        <v>45890</v>
      </c>
      <c r="D937" t="inlineStr">
        <is>
          <t>JÄMTLANDS LÄN</t>
        </is>
      </c>
      <c r="E937" t="inlineStr">
        <is>
          <t>RAGUNDA</t>
        </is>
      </c>
      <c r="F937" t="inlineStr">
        <is>
          <t>SCA</t>
        </is>
      </c>
      <c r="G937" t="n">
        <v>5.5</v>
      </c>
      <c r="H937" t="n">
        <v>0</v>
      </c>
      <c r="I937" t="n">
        <v>0</v>
      </c>
      <c r="J937" t="n">
        <v>0</v>
      </c>
      <c r="K937" t="n">
        <v>0</v>
      </c>
      <c r="L937" t="n">
        <v>0</v>
      </c>
      <c r="M937" t="n">
        <v>0</v>
      </c>
      <c r="N937" t="n">
        <v>0</v>
      </c>
      <c r="O937" t="n">
        <v>0</v>
      </c>
      <c r="P937" t="n">
        <v>0</v>
      </c>
      <c r="Q937" t="n">
        <v>0</v>
      </c>
      <c r="R937" s="2" t="inlineStr"/>
    </row>
    <row r="938" ht="15" customHeight="1">
      <c r="A938" t="inlineStr">
        <is>
          <t>A 30459-2021</t>
        </is>
      </c>
      <c r="B938" s="1" t="n">
        <v>44362</v>
      </c>
      <c r="C938" s="1" t="n">
        <v>45890</v>
      </c>
      <c r="D938" t="inlineStr">
        <is>
          <t>JÄMTLANDS LÄN</t>
        </is>
      </c>
      <c r="E938" t="inlineStr">
        <is>
          <t>RAGUNDA</t>
        </is>
      </c>
      <c r="G938" t="n">
        <v>1</v>
      </c>
      <c r="H938" t="n">
        <v>0</v>
      </c>
      <c r="I938" t="n">
        <v>0</v>
      </c>
      <c r="J938" t="n">
        <v>0</v>
      </c>
      <c r="K938" t="n">
        <v>0</v>
      </c>
      <c r="L938" t="n">
        <v>0</v>
      </c>
      <c r="M938" t="n">
        <v>0</v>
      </c>
      <c r="N938" t="n">
        <v>0</v>
      </c>
      <c r="O938" t="n">
        <v>0</v>
      </c>
      <c r="P938" t="n">
        <v>0</v>
      </c>
      <c r="Q938" t="n">
        <v>0</v>
      </c>
      <c r="R938" s="2" t="inlineStr"/>
    </row>
    <row r="939" ht="15" customHeight="1">
      <c r="A939" t="inlineStr">
        <is>
          <t>A 37292-2025</t>
        </is>
      </c>
      <c r="B939" s="1" t="n">
        <v>45876.53188657408</v>
      </c>
      <c r="C939" s="1" t="n">
        <v>45890</v>
      </c>
      <c r="D939" t="inlineStr">
        <is>
          <t>JÄMTLANDS LÄN</t>
        </is>
      </c>
      <c r="E939" t="inlineStr">
        <is>
          <t>RAGUNDA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14905-2022</t>
        </is>
      </c>
      <c r="B940" s="1" t="n">
        <v>44656.94708333333</v>
      </c>
      <c r="C940" s="1" t="n">
        <v>45890</v>
      </c>
      <c r="D940" t="inlineStr">
        <is>
          <t>JÄMTLANDS LÄN</t>
        </is>
      </c>
      <c r="E940" t="inlineStr">
        <is>
          <t>RAGUNDA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32796-2025</t>
        </is>
      </c>
      <c r="B941" s="1" t="n">
        <v>45839.49082175926</v>
      </c>
      <c r="C941" s="1" t="n">
        <v>45890</v>
      </c>
      <c r="D941" t="inlineStr">
        <is>
          <t>JÄMTLANDS LÄN</t>
        </is>
      </c>
      <c r="E941" t="inlineStr">
        <is>
          <t>RAGUNDA</t>
        </is>
      </c>
      <c r="G941" t="n">
        <v>1.7</v>
      </c>
      <c r="H941" t="n">
        <v>0</v>
      </c>
      <c r="I941" t="n">
        <v>0</v>
      </c>
      <c r="J941" t="n">
        <v>0</v>
      </c>
      <c r="K941" t="n">
        <v>0</v>
      </c>
      <c r="L941" t="n">
        <v>0</v>
      </c>
      <c r="M941" t="n">
        <v>0</v>
      </c>
      <c r="N941" t="n">
        <v>0</v>
      </c>
      <c r="O941" t="n">
        <v>0</v>
      </c>
      <c r="P941" t="n">
        <v>0</v>
      </c>
      <c r="Q941" t="n">
        <v>0</v>
      </c>
      <c r="R941" s="2" t="inlineStr"/>
    </row>
    <row r="942" ht="15" customHeight="1">
      <c r="A942" t="inlineStr">
        <is>
          <t>A 41885-2020</t>
        </is>
      </c>
      <c r="B942" s="1" t="n">
        <v>44074</v>
      </c>
      <c r="C942" s="1" t="n">
        <v>45890</v>
      </c>
      <c r="D942" t="inlineStr">
        <is>
          <t>JÄMTLANDS LÄN</t>
        </is>
      </c>
      <c r="E942" t="inlineStr">
        <is>
          <t>RAGUNDA</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32655-2025</t>
        </is>
      </c>
      <c r="B943" s="1" t="n">
        <v>45838.67800925926</v>
      </c>
      <c r="C943" s="1" t="n">
        <v>45890</v>
      </c>
      <c r="D943" t="inlineStr">
        <is>
          <t>JÄMTLANDS LÄN</t>
        </is>
      </c>
      <c r="E943" t="inlineStr">
        <is>
          <t>RAGUNDA</t>
        </is>
      </c>
      <c r="G943" t="n">
        <v>2.8</v>
      </c>
      <c r="H943" t="n">
        <v>0</v>
      </c>
      <c r="I943" t="n">
        <v>0</v>
      </c>
      <c r="J943" t="n">
        <v>0</v>
      </c>
      <c r="K943" t="n">
        <v>0</v>
      </c>
      <c r="L943" t="n">
        <v>0</v>
      </c>
      <c r="M943" t="n">
        <v>0</v>
      </c>
      <c r="N943" t="n">
        <v>0</v>
      </c>
      <c r="O943" t="n">
        <v>0</v>
      </c>
      <c r="P943" t="n">
        <v>0</v>
      </c>
      <c r="Q943" t="n">
        <v>0</v>
      </c>
      <c r="R943" s="2" t="inlineStr"/>
    </row>
    <row r="944" ht="15" customHeight="1">
      <c r="A944" t="inlineStr">
        <is>
          <t>A 32751-2025</t>
        </is>
      </c>
      <c r="B944" s="1" t="n">
        <v>45839.42864583333</v>
      </c>
      <c r="C944" s="1" t="n">
        <v>45890</v>
      </c>
      <c r="D944" t="inlineStr">
        <is>
          <t>JÄMTLANDS LÄN</t>
        </is>
      </c>
      <c r="E944" t="inlineStr">
        <is>
          <t>RAGUNDA</t>
        </is>
      </c>
      <c r="F944" t="inlineStr">
        <is>
          <t>SCA</t>
        </is>
      </c>
      <c r="G944" t="n">
        <v>10</v>
      </c>
      <c r="H944" t="n">
        <v>0</v>
      </c>
      <c r="I944" t="n">
        <v>0</v>
      </c>
      <c r="J944" t="n">
        <v>0</v>
      </c>
      <c r="K944" t="n">
        <v>0</v>
      </c>
      <c r="L944" t="n">
        <v>0</v>
      </c>
      <c r="M944" t="n">
        <v>0</v>
      </c>
      <c r="N944" t="n">
        <v>0</v>
      </c>
      <c r="O944" t="n">
        <v>0</v>
      </c>
      <c r="P944" t="n">
        <v>0</v>
      </c>
      <c r="Q944" t="n">
        <v>0</v>
      </c>
      <c r="R944" s="2" t="inlineStr"/>
    </row>
    <row r="945" ht="15" customHeight="1">
      <c r="A945" t="inlineStr">
        <is>
          <t>A 37543-2023</t>
        </is>
      </c>
      <c r="B945" s="1" t="n">
        <v>45158.94231481481</v>
      </c>
      <c r="C945" s="1" t="n">
        <v>45890</v>
      </c>
      <c r="D945" t="inlineStr">
        <is>
          <t>JÄMTLANDS LÄN</t>
        </is>
      </c>
      <c r="E945" t="inlineStr">
        <is>
          <t>RAGUNDA</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32777-2025</t>
        </is>
      </c>
      <c r="B946" s="1" t="n">
        <v>45839.46915509259</v>
      </c>
      <c r="C946" s="1" t="n">
        <v>45890</v>
      </c>
      <c r="D946" t="inlineStr">
        <is>
          <t>JÄMTLANDS LÄN</t>
        </is>
      </c>
      <c r="E946" t="inlineStr">
        <is>
          <t>RAGUNDA</t>
        </is>
      </c>
      <c r="F946" t="inlineStr">
        <is>
          <t>SCA</t>
        </is>
      </c>
      <c r="G946" t="n">
        <v>21.7</v>
      </c>
      <c r="H946" t="n">
        <v>0</v>
      </c>
      <c r="I946" t="n">
        <v>0</v>
      </c>
      <c r="J946" t="n">
        <v>0</v>
      </c>
      <c r="K946" t="n">
        <v>0</v>
      </c>
      <c r="L946" t="n">
        <v>0</v>
      </c>
      <c r="M946" t="n">
        <v>0</v>
      </c>
      <c r="N946" t="n">
        <v>0</v>
      </c>
      <c r="O946" t="n">
        <v>0</v>
      </c>
      <c r="P946" t="n">
        <v>0</v>
      </c>
      <c r="Q946" t="n">
        <v>0</v>
      </c>
      <c r="R946" s="2" t="inlineStr"/>
    </row>
    <row r="947" ht="15" customHeight="1">
      <c r="A947" t="inlineStr">
        <is>
          <t>A 29766-2023</t>
        </is>
      </c>
      <c r="B947" s="1" t="n">
        <v>45098</v>
      </c>
      <c r="C947" s="1" t="n">
        <v>45890</v>
      </c>
      <c r="D947" t="inlineStr">
        <is>
          <t>JÄMTLANDS LÄN</t>
        </is>
      </c>
      <c r="E947" t="inlineStr">
        <is>
          <t>RAGUNDA</t>
        </is>
      </c>
      <c r="G947" t="n">
        <v>2.7</v>
      </c>
      <c r="H947" t="n">
        <v>0</v>
      </c>
      <c r="I947" t="n">
        <v>0</v>
      </c>
      <c r="J947" t="n">
        <v>0</v>
      </c>
      <c r="K947" t="n">
        <v>0</v>
      </c>
      <c r="L947" t="n">
        <v>0</v>
      </c>
      <c r="M947" t="n">
        <v>0</v>
      </c>
      <c r="N947" t="n">
        <v>0</v>
      </c>
      <c r="O947" t="n">
        <v>0</v>
      </c>
      <c r="P947" t="n">
        <v>0</v>
      </c>
      <c r="Q947" t="n">
        <v>0</v>
      </c>
      <c r="R947" s="2" t="inlineStr"/>
    </row>
    <row r="948" ht="15" customHeight="1">
      <c r="A948" t="inlineStr">
        <is>
          <t>A 61107-2024</t>
        </is>
      </c>
      <c r="B948" s="1" t="n">
        <v>45645.55665509259</v>
      </c>
      <c r="C948" s="1" t="n">
        <v>45890</v>
      </c>
      <c r="D948" t="inlineStr">
        <is>
          <t>JÄMTLANDS LÄN</t>
        </is>
      </c>
      <c r="E948" t="inlineStr">
        <is>
          <t>RAGUNDA</t>
        </is>
      </c>
      <c r="G948" t="n">
        <v>3.2</v>
      </c>
      <c r="H948" t="n">
        <v>0</v>
      </c>
      <c r="I948" t="n">
        <v>0</v>
      </c>
      <c r="J948" t="n">
        <v>0</v>
      </c>
      <c r="K948" t="n">
        <v>0</v>
      </c>
      <c r="L948" t="n">
        <v>0</v>
      </c>
      <c r="M948" t="n">
        <v>0</v>
      </c>
      <c r="N948" t="n">
        <v>0</v>
      </c>
      <c r="O948" t="n">
        <v>0</v>
      </c>
      <c r="P948" t="n">
        <v>0</v>
      </c>
      <c r="Q948" t="n">
        <v>0</v>
      </c>
      <c r="R948" s="2" t="inlineStr"/>
    </row>
    <row r="949" ht="15" customHeight="1">
      <c r="A949" t="inlineStr">
        <is>
          <t>A 32430-2025</t>
        </is>
      </c>
      <c r="B949" s="1" t="n">
        <v>45838.36532407408</v>
      </c>
      <c r="C949" s="1" t="n">
        <v>45890</v>
      </c>
      <c r="D949" t="inlineStr">
        <is>
          <t>JÄMTLANDS LÄN</t>
        </is>
      </c>
      <c r="E949" t="inlineStr">
        <is>
          <t>RAGUNDA</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23287-2024</t>
        </is>
      </c>
      <c r="B950" s="1" t="n">
        <v>45453.42041666667</v>
      </c>
      <c r="C950" s="1" t="n">
        <v>45890</v>
      </c>
      <c r="D950" t="inlineStr">
        <is>
          <t>JÄMTLANDS LÄN</t>
        </is>
      </c>
      <c r="E950" t="inlineStr">
        <is>
          <t>RAGUNDA</t>
        </is>
      </c>
      <c r="G950" t="n">
        <v>3.1</v>
      </c>
      <c r="H950" t="n">
        <v>0</v>
      </c>
      <c r="I950" t="n">
        <v>0</v>
      </c>
      <c r="J950" t="n">
        <v>0</v>
      </c>
      <c r="K950" t="n">
        <v>0</v>
      </c>
      <c r="L950" t="n">
        <v>0</v>
      </c>
      <c r="M950" t="n">
        <v>0</v>
      </c>
      <c r="N950" t="n">
        <v>0</v>
      </c>
      <c r="O950" t="n">
        <v>0</v>
      </c>
      <c r="P950" t="n">
        <v>0</v>
      </c>
      <c r="Q950" t="n">
        <v>0</v>
      </c>
      <c r="R950" s="2" t="inlineStr"/>
    </row>
    <row r="951" ht="15" customHeight="1">
      <c r="A951" t="inlineStr">
        <is>
          <t>A 36922-2022</t>
        </is>
      </c>
      <c r="B951" s="1" t="n">
        <v>44805.94592592592</v>
      </c>
      <c r="C951" s="1" t="n">
        <v>45890</v>
      </c>
      <c r="D951" t="inlineStr">
        <is>
          <t>JÄMTLANDS LÄN</t>
        </is>
      </c>
      <c r="E951" t="inlineStr">
        <is>
          <t>RAGUNDA</t>
        </is>
      </c>
      <c r="F951" t="inlineStr">
        <is>
          <t>SCA</t>
        </is>
      </c>
      <c r="G951" t="n">
        <v>4</v>
      </c>
      <c r="H951" t="n">
        <v>0</v>
      </c>
      <c r="I951" t="n">
        <v>0</v>
      </c>
      <c r="J951" t="n">
        <v>0</v>
      </c>
      <c r="K951" t="n">
        <v>0</v>
      </c>
      <c r="L951" t="n">
        <v>0</v>
      </c>
      <c r="M951" t="n">
        <v>0</v>
      </c>
      <c r="N951" t="n">
        <v>0</v>
      </c>
      <c r="O951" t="n">
        <v>0</v>
      </c>
      <c r="P951" t="n">
        <v>0</v>
      </c>
      <c r="Q951" t="n">
        <v>0</v>
      </c>
      <c r="R951" s="2" t="inlineStr"/>
    </row>
    <row r="952" ht="15" customHeight="1">
      <c r="A952" t="inlineStr">
        <is>
          <t>A 26347-2023</t>
        </is>
      </c>
      <c r="B952" s="1" t="n">
        <v>45091</v>
      </c>
      <c r="C952" s="1" t="n">
        <v>45890</v>
      </c>
      <c r="D952" t="inlineStr">
        <is>
          <t>JÄMTLANDS LÄN</t>
        </is>
      </c>
      <c r="E952" t="inlineStr">
        <is>
          <t>RAGUNDA</t>
        </is>
      </c>
      <c r="F952" t="inlineStr">
        <is>
          <t>SCA</t>
        </is>
      </c>
      <c r="G952" t="n">
        <v>6.6</v>
      </c>
      <c r="H952" t="n">
        <v>0</v>
      </c>
      <c r="I952" t="n">
        <v>0</v>
      </c>
      <c r="J952" t="n">
        <v>0</v>
      </c>
      <c r="K952" t="n">
        <v>0</v>
      </c>
      <c r="L952" t="n">
        <v>0</v>
      </c>
      <c r="M952" t="n">
        <v>0</v>
      </c>
      <c r="N952" t="n">
        <v>0</v>
      </c>
      <c r="O952" t="n">
        <v>0</v>
      </c>
      <c r="P952" t="n">
        <v>0</v>
      </c>
      <c r="Q952" t="n">
        <v>0</v>
      </c>
      <c r="R952" s="2" t="inlineStr"/>
    </row>
    <row r="953" ht="15" customHeight="1">
      <c r="A953" t="inlineStr">
        <is>
          <t>A 32747-2025</t>
        </is>
      </c>
      <c r="B953" s="1" t="n">
        <v>45839.42810185185</v>
      </c>
      <c r="C953" s="1" t="n">
        <v>45890</v>
      </c>
      <c r="D953" t="inlineStr">
        <is>
          <t>JÄMTLANDS LÄN</t>
        </is>
      </c>
      <c r="E953" t="inlineStr">
        <is>
          <t>RAGUNDA</t>
        </is>
      </c>
      <c r="F953" t="inlineStr">
        <is>
          <t>SCA</t>
        </is>
      </c>
      <c r="G953" t="n">
        <v>4.5</v>
      </c>
      <c r="H953" t="n">
        <v>0</v>
      </c>
      <c r="I953" t="n">
        <v>0</v>
      </c>
      <c r="J953" t="n">
        <v>0</v>
      </c>
      <c r="K953" t="n">
        <v>0</v>
      </c>
      <c r="L953" t="n">
        <v>0</v>
      </c>
      <c r="M953" t="n">
        <v>0</v>
      </c>
      <c r="N953" t="n">
        <v>0</v>
      </c>
      <c r="O953" t="n">
        <v>0</v>
      </c>
      <c r="P953" t="n">
        <v>0</v>
      </c>
      <c r="Q953" t="n">
        <v>0</v>
      </c>
      <c r="R953" s="2" t="inlineStr"/>
    </row>
    <row r="954" ht="15" customHeight="1">
      <c r="A954" t="inlineStr">
        <is>
          <t>A 32757-2025</t>
        </is>
      </c>
      <c r="B954" s="1" t="n">
        <v>45838</v>
      </c>
      <c r="C954" s="1" t="n">
        <v>45890</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11249-2025</t>
        </is>
      </c>
      <c r="B955" s="1" t="n">
        <v>45726.3860300926</v>
      </c>
      <c r="C955" s="1" t="n">
        <v>45890</v>
      </c>
      <c r="D955" t="inlineStr">
        <is>
          <t>JÄMTLANDS LÄN</t>
        </is>
      </c>
      <c r="E955" t="inlineStr">
        <is>
          <t>RAGUNDA</t>
        </is>
      </c>
      <c r="G955" t="n">
        <v>1.5</v>
      </c>
      <c r="H955" t="n">
        <v>0</v>
      </c>
      <c r="I955" t="n">
        <v>0</v>
      </c>
      <c r="J955" t="n">
        <v>0</v>
      </c>
      <c r="K955" t="n">
        <v>0</v>
      </c>
      <c r="L955" t="n">
        <v>0</v>
      </c>
      <c r="M955" t="n">
        <v>0</v>
      </c>
      <c r="N955" t="n">
        <v>0</v>
      </c>
      <c r="O955" t="n">
        <v>0</v>
      </c>
      <c r="P955" t="n">
        <v>0</v>
      </c>
      <c r="Q955" t="n">
        <v>0</v>
      </c>
      <c r="R955" s="2" t="inlineStr"/>
    </row>
    <row r="956" ht="15" customHeight="1">
      <c r="A956" t="inlineStr">
        <is>
          <t>A 34483-2023</t>
        </is>
      </c>
      <c r="B956" s="1" t="n">
        <v>45139.94681712963</v>
      </c>
      <c r="C956" s="1" t="n">
        <v>45890</v>
      </c>
      <c r="D956" t="inlineStr">
        <is>
          <t>JÄMTLANDS LÄN</t>
        </is>
      </c>
      <c r="E956" t="inlineStr">
        <is>
          <t>RAGUNDA</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32846-2025</t>
        </is>
      </c>
      <c r="B957" s="1" t="n">
        <v>45839.57331018519</v>
      </c>
      <c r="C957" s="1" t="n">
        <v>45890</v>
      </c>
      <c r="D957" t="inlineStr">
        <is>
          <t>JÄMTLANDS LÄN</t>
        </is>
      </c>
      <c r="E957" t="inlineStr">
        <is>
          <t>RAGUNDA</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7668-2025</t>
        </is>
      </c>
      <c r="B958" s="1" t="n">
        <v>45706.34450231482</v>
      </c>
      <c r="C958" s="1" t="n">
        <v>45890</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36046-2023</t>
        </is>
      </c>
      <c r="B959" s="1" t="n">
        <v>45148</v>
      </c>
      <c r="C959" s="1" t="n">
        <v>45890</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22948-2024</t>
        </is>
      </c>
      <c r="B960" s="1" t="n">
        <v>45448.94600694445</v>
      </c>
      <c r="C960" s="1" t="n">
        <v>45890</v>
      </c>
      <c r="D960" t="inlineStr">
        <is>
          <t>JÄMTLANDS LÄN</t>
        </is>
      </c>
      <c r="E960" t="inlineStr">
        <is>
          <t>RAGUNDA</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32748-2025</t>
        </is>
      </c>
      <c r="B961" s="1" t="n">
        <v>45839.42822916667</v>
      </c>
      <c r="C961" s="1" t="n">
        <v>45890</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32762-2025</t>
        </is>
      </c>
      <c r="B962" s="1" t="n">
        <v>45838</v>
      </c>
      <c r="C962" s="1" t="n">
        <v>45890</v>
      </c>
      <c r="D962" t="inlineStr">
        <is>
          <t>JÄMTLANDS LÄN</t>
        </is>
      </c>
      <c r="E962" t="inlineStr">
        <is>
          <t>RAGUNDA</t>
        </is>
      </c>
      <c r="G962" t="n">
        <v>0.6</v>
      </c>
      <c r="H962" t="n">
        <v>0</v>
      </c>
      <c r="I962" t="n">
        <v>0</v>
      </c>
      <c r="J962" t="n">
        <v>0</v>
      </c>
      <c r="K962" t="n">
        <v>0</v>
      </c>
      <c r="L962" t="n">
        <v>0</v>
      </c>
      <c r="M962" t="n">
        <v>0</v>
      </c>
      <c r="N962" t="n">
        <v>0</v>
      </c>
      <c r="O962" t="n">
        <v>0</v>
      </c>
      <c r="P962" t="n">
        <v>0</v>
      </c>
      <c r="Q962" t="n">
        <v>0</v>
      </c>
      <c r="R962" s="2" t="inlineStr"/>
    </row>
    <row r="963" ht="15" customHeight="1">
      <c r="A963" t="inlineStr">
        <is>
          <t>A 32660-2025</t>
        </is>
      </c>
      <c r="B963" s="1" t="n">
        <v>45838.67887731481</v>
      </c>
      <c r="C963" s="1" t="n">
        <v>45890</v>
      </c>
      <c r="D963" t="inlineStr">
        <is>
          <t>JÄMTLANDS LÄN</t>
        </is>
      </c>
      <c r="E963" t="inlineStr">
        <is>
          <t>RAGUNDA</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32527-2025</t>
        </is>
      </c>
      <c r="B964" s="1" t="n">
        <v>45838.48996527777</v>
      </c>
      <c r="C964" s="1" t="n">
        <v>45890</v>
      </c>
      <c r="D964" t="inlineStr">
        <is>
          <t>JÄMTLANDS LÄN</t>
        </is>
      </c>
      <c r="E964" t="inlineStr">
        <is>
          <t>RAGUNDA</t>
        </is>
      </c>
      <c r="G964" t="n">
        <v>5</v>
      </c>
      <c r="H964" t="n">
        <v>0</v>
      </c>
      <c r="I964" t="n">
        <v>0</v>
      </c>
      <c r="J964" t="n">
        <v>0</v>
      </c>
      <c r="K964" t="n">
        <v>0</v>
      </c>
      <c r="L964" t="n">
        <v>0</v>
      </c>
      <c r="M964" t="n">
        <v>0</v>
      </c>
      <c r="N964" t="n">
        <v>0</v>
      </c>
      <c r="O964" t="n">
        <v>0</v>
      </c>
      <c r="P964" t="n">
        <v>0</v>
      </c>
      <c r="Q964" t="n">
        <v>0</v>
      </c>
      <c r="R964" s="2" t="inlineStr"/>
    </row>
    <row r="965" ht="15" customHeight="1">
      <c r="A965" t="inlineStr">
        <is>
          <t>A 33140-2025</t>
        </is>
      </c>
      <c r="B965" s="1" t="n">
        <v>45840.52225694444</v>
      </c>
      <c r="C965" s="1" t="n">
        <v>45890</v>
      </c>
      <c r="D965" t="inlineStr">
        <is>
          <t>JÄMTLANDS LÄN</t>
        </is>
      </c>
      <c r="E965" t="inlineStr">
        <is>
          <t>RAGUNDA</t>
        </is>
      </c>
      <c r="G965" t="n">
        <v>2</v>
      </c>
      <c r="H965" t="n">
        <v>0</v>
      </c>
      <c r="I965" t="n">
        <v>0</v>
      </c>
      <c r="J965" t="n">
        <v>0</v>
      </c>
      <c r="K965" t="n">
        <v>0</v>
      </c>
      <c r="L965" t="n">
        <v>0</v>
      </c>
      <c r="M965" t="n">
        <v>0</v>
      </c>
      <c r="N965" t="n">
        <v>0</v>
      </c>
      <c r="O965" t="n">
        <v>0</v>
      </c>
      <c r="P965" t="n">
        <v>0</v>
      </c>
      <c r="Q965" t="n">
        <v>0</v>
      </c>
      <c r="R965" s="2" t="inlineStr"/>
    </row>
    <row r="966" ht="15" customHeight="1">
      <c r="A966" t="inlineStr">
        <is>
          <t>A 33556-2025</t>
        </is>
      </c>
      <c r="B966" s="1" t="n">
        <v>45841.57427083333</v>
      </c>
      <c r="C966" s="1" t="n">
        <v>45890</v>
      </c>
      <c r="D966" t="inlineStr">
        <is>
          <t>JÄMTLANDS LÄN</t>
        </is>
      </c>
      <c r="E966" t="inlineStr">
        <is>
          <t>RAGUNDA</t>
        </is>
      </c>
      <c r="F966" t="inlineStr">
        <is>
          <t>SCA</t>
        </is>
      </c>
      <c r="G966" t="n">
        <v>2.4</v>
      </c>
      <c r="H966" t="n">
        <v>0</v>
      </c>
      <c r="I966" t="n">
        <v>0</v>
      </c>
      <c r="J966" t="n">
        <v>0</v>
      </c>
      <c r="K966" t="n">
        <v>0</v>
      </c>
      <c r="L966" t="n">
        <v>0</v>
      </c>
      <c r="M966" t="n">
        <v>0</v>
      </c>
      <c r="N966" t="n">
        <v>0</v>
      </c>
      <c r="O966" t="n">
        <v>0</v>
      </c>
      <c r="P966" t="n">
        <v>0</v>
      </c>
      <c r="Q966" t="n">
        <v>0</v>
      </c>
      <c r="R966" s="2" t="inlineStr"/>
    </row>
    <row r="967" ht="15" customHeight="1">
      <c r="A967" t="inlineStr">
        <is>
          <t>A 23304-2023</t>
        </is>
      </c>
      <c r="B967" s="1" t="n">
        <v>45075.945</v>
      </c>
      <c r="C967" s="1" t="n">
        <v>45890</v>
      </c>
      <c r="D967" t="inlineStr">
        <is>
          <t>JÄMTLANDS LÄN</t>
        </is>
      </c>
      <c r="E967" t="inlineStr">
        <is>
          <t>RAGUNDA</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8654-2024</t>
        </is>
      </c>
      <c r="B968" s="1" t="n">
        <v>45356.03784722222</v>
      </c>
      <c r="C968" s="1" t="n">
        <v>45890</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25304-2023</t>
        </is>
      </c>
      <c r="B969" s="1" t="n">
        <v>45086</v>
      </c>
      <c r="C969" s="1" t="n">
        <v>45890</v>
      </c>
      <c r="D969" t="inlineStr">
        <is>
          <t>JÄMTLANDS LÄN</t>
        </is>
      </c>
      <c r="E969" t="inlineStr">
        <is>
          <t>RAGUNDA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6902-2024</t>
        </is>
      </c>
      <c r="B970" s="1" t="n">
        <v>45342</v>
      </c>
      <c r="C970" s="1" t="n">
        <v>45890</v>
      </c>
      <c r="D970" t="inlineStr">
        <is>
          <t>JÄMTLANDS LÄN</t>
        </is>
      </c>
      <c r="E970" t="inlineStr">
        <is>
          <t>RAGUNDA</t>
        </is>
      </c>
      <c r="F970" t="inlineStr">
        <is>
          <t>SCA</t>
        </is>
      </c>
      <c r="G970" t="n">
        <v>18.7</v>
      </c>
      <c r="H970" t="n">
        <v>0</v>
      </c>
      <c r="I970" t="n">
        <v>0</v>
      </c>
      <c r="J970" t="n">
        <v>0</v>
      </c>
      <c r="K970" t="n">
        <v>0</v>
      </c>
      <c r="L970" t="n">
        <v>0</v>
      </c>
      <c r="M970" t="n">
        <v>0</v>
      </c>
      <c r="N970" t="n">
        <v>0</v>
      </c>
      <c r="O970" t="n">
        <v>0</v>
      </c>
      <c r="P970" t="n">
        <v>0</v>
      </c>
      <c r="Q970" t="n">
        <v>0</v>
      </c>
      <c r="R970" s="2" t="inlineStr"/>
    </row>
    <row r="971" ht="15" customHeight="1">
      <c r="A971" t="inlineStr">
        <is>
          <t>A 6905-2024</t>
        </is>
      </c>
      <c r="B971" s="1" t="n">
        <v>45342.9462037037</v>
      </c>
      <c r="C971" s="1" t="n">
        <v>45890</v>
      </c>
      <c r="D971" t="inlineStr">
        <is>
          <t>JÄMTLANDS LÄN</t>
        </is>
      </c>
      <c r="E971" t="inlineStr">
        <is>
          <t>RAGUNDA</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22731-2023</t>
        </is>
      </c>
      <c r="B972" s="1" t="n">
        <v>45071</v>
      </c>
      <c r="C972" s="1" t="n">
        <v>45890</v>
      </c>
      <c r="D972" t="inlineStr">
        <is>
          <t>JÄMTLANDS LÄN</t>
        </is>
      </c>
      <c r="E972" t="inlineStr">
        <is>
          <t>RAGUNDA</t>
        </is>
      </c>
      <c r="G972" t="n">
        <v>1.5</v>
      </c>
      <c r="H972" t="n">
        <v>0</v>
      </c>
      <c r="I972" t="n">
        <v>0</v>
      </c>
      <c r="J972" t="n">
        <v>0</v>
      </c>
      <c r="K972" t="n">
        <v>0</v>
      </c>
      <c r="L972" t="n">
        <v>0</v>
      </c>
      <c r="M972" t="n">
        <v>0</v>
      </c>
      <c r="N972" t="n">
        <v>0</v>
      </c>
      <c r="O972" t="n">
        <v>0</v>
      </c>
      <c r="P972" t="n">
        <v>0</v>
      </c>
      <c r="Q972" t="n">
        <v>0</v>
      </c>
      <c r="R972" s="2" t="inlineStr"/>
    </row>
    <row r="973" ht="15" customHeight="1">
      <c r="A973" t="inlineStr">
        <is>
          <t>A 36226-2023</t>
        </is>
      </c>
      <c r="B973" s="1" t="n">
        <v>45149.95372685185</v>
      </c>
      <c r="C973" s="1" t="n">
        <v>45890</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18615-2024</t>
        </is>
      </c>
      <c r="B974" s="1" t="n">
        <v>45425.96275462963</v>
      </c>
      <c r="C974" s="1" t="n">
        <v>45890</v>
      </c>
      <c r="D974" t="inlineStr">
        <is>
          <t>JÄMTLANDS LÄN</t>
        </is>
      </c>
      <c r="E974" t="inlineStr">
        <is>
          <t>RAGUNDA</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11245-2025</t>
        </is>
      </c>
      <c r="B975" s="1" t="n">
        <v>45726.38575231482</v>
      </c>
      <c r="C975" s="1" t="n">
        <v>45890</v>
      </c>
      <c r="D975" t="inlineStr">
        <is>
          <t>JÄMTLANDS LÄN</t>
        </is>
      </c>
      <c r="E975" t="inlineStr">
        <is>
          <t>RAGUNDA</t>
        </is>
      </c>
      <c r="G975" t="n">
        <v>2.3</v>
      </c>
      <c r="H975" t="n">
        <v>0</v>
      </c>
      <c r="I975" t="n">
        <v>0</v>
      </c>
      <c r="J975" t="n">
        <v>0</v>
      </c>
      <c r="K975" t="n">
        <v>0</v>
      </c>
      <c r="L975" t="n">
        <v>0</v>
      </c>
      <c r="M975" t="n">
        <v>0</v>
      </c>
      <c r="N975" t="n">
        <v>0</v>
      </c>
      <c r="O975" t="n">
        <v>0</v>
      </c>
      <c r="P975" t="n">
        <v>0</v>
      </c>
      <c r="Q975" t="n">
        <v>0</v>
      </c>
      <c r="R975" s="2" t="inlineStr"/>
    </row>
    <row r="976" ht="15" customHeight="1">
      <c r="A976" t="inlineStr">
        <is>
          <t>A 40269-2022</t>
        </is>
      </c>
      <c r="B976" s="1" t="n">
        <v>44820</v>
      </c>
      <c r="C976" s="1" t="n">
        <v>45890</v>
      </c>
      <c r="D976" t="inlineStr">
        <is>
          <t>JÄMTLANDS LÄN</t>
        </is>
      </c>
      <c r="E976" t="inlineStr">
        <is>
          <t>RAGUNDA</t>
        </is>
      </c>
      <c r="F976" t="inlineStr">
        <is>
          <t>SCA</t>
        </is>
      </c>
      <c r="G976" t="n">
        <v>77.8</v>
      </c>
      <c r="H976" t="n">
        <v>0</v>
      </c>
      <c r="I976" t="n">
        <v>0</v>
      </c>
      <c r="J976" t="n">
        <v>0</v>
      </c>
      <c r="K976" t="n">
        <v>0</v>
      </c>
      <c r="L976" t="n">
        <v>0</v>
      </c>
      <c r="M976" t="n">
        <v>0</v>
      </c>
      <c r="N976" t="n">
        <v>0</v>
      </c>
      <c r="O976" t="n">
        <v>0</v>
      </c>
      <c r="P976" t="n">
        <v>0</v>
      </c>
      <c r="Q976" t="n">
        <v>0</v>
      </c>
      <c r="R976" s="2" t="inlineStr"/>
    </row>
    <row r="977" ht="15" customHeight="1">
      <c r="A977" t="inlineStr">
        <is>
          <t>A 37242-2024</t>
        </is>
      </c>
      <c r="B977" s="1" t="n">
        <v>45540.34428240741</v>
      </c>
      <c r="C977" s="1" t="n">
        <v>45890</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61923-2024</t>
        </is>
      </c>
      <c r="B978" s="1" t="n">
        <v>45653.44836805556</v>
      </c>
      <c r="C978" s="1" t="n">
        <v>45890</v>
      </c>
      <c r="D978" t="inlineStr">
        <is>
          <t>JÄMTLANDS LÄN</t>
        </is>
      </c>
      <c r="E978" t="inlineStr">
        <is>
          <t>RAGUNDA</t>
        </is>
      </c>
      <c r="F978" t="inlineStr">
        <is>
          <t>SCA</t>
        </is>
      </c>
      <c r="G978" t="n">
        <v>11.1</v>
      </c>
      <c r="H978" t="n">
        <v>0</v>
      </c>
      <c r="I978" t="n">
        <v>0</v>
      </c>
      <c r="J978" t="n">
        <v>0</v>
      </c>
      <c r="K978" t="n">
        <v>0</v>
      </c>
      <c r="L978" t="n">
        <v>0</v>
      </c>
      <c r="M978" t="n">
        <v>0</v>
      </c>
      <c r="N978" t="n">
        <v>0</v>
      </c>
      <c r="O978" t="n">
        <v>0</v>
      </c>
      <c r="P978" t="n">
        <v>0</v>
      </c>
      <c r="Q978" t="n">
        <v>0</v>
      </c>
      <c r="R978" s="2" t="inlineStr"/>
    </row>
    <row r="979" ht="15" customHeight="1">
      <c r="A979" t="inlineStr">
        <is>
          <t>A 23567-2024</t>
        </is>
      </c>
      <c r="B979" s="1" t="n">
        <v>45453.95538194444</v>
      </c>
      <c r="C979" s="1" t="n">
        <v>45890</v>
      </c>
      <c r="D979" t="inlineStr">
        <is>
          <t>JÄMTLANDS LÄN</t>
        </is>
      </c>
      <c r="E979" t="inlineStr">
        <is>
          <t>RAGUNDA</t>
        </is>
      </c>
      <c r="F979" t="inlineStr">
        <is>
          <t>SCA</t>
        </is>
      </c>
      <c r="G979" t="n">
        <v>1.6</v>
      </c>
      <c r="H979" t="n">
        <v>0</v>
      </c>
      <c r="I979" t="n">
        <v>0</v>
      </c>
      <c r="J979" t="n">
        <v>0</v>
      </c>
      <c r="K979" t="n">
        <v>0</v>
      </c>
      <c r="L979" t="n">
        <v>0</v>
      </c>
      <c r="M979" t="n">
        <v>0</v>
      </c>
      <c r="N979" t="n">
        <v>0</v>
      </c>
      <c r="O979" t="n">
        <v>0</v>
      </c>
      <c r="P979" t="n">
        <v>0</v>
      </c>
      <c r="Q979" t="n">
        <v>0</v>
      </c>
      <c r="R979" s="2" t="inlineStr"/>
    </row>
    <row r="980" ht="15" customHeight="1">
      <c r="A980" t="inlineStr">
        <is>
          <t>A 19246-2023</t>
        </is>
      </c>
      <c r="B980" s="1" t="n">
        <v>45048.94340277778</v>
      </c>
      <c r="C980" s="1" t="n">
        <v>45890</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61109-2024</t>
        </is>
      </c>
      <c r="B981" s="1" t="n">
        <v>45645.55672453704</v>
      </c>
      <c r="C981" s="1" t="n">
        <v>45890</v>
      </c>
      <c r="D981" t="inlineStr">
        <is>
          <t>JÄMTLANDS LÄN</t>
        </is>
      </c>
      <c r="E981" t="inlineStr">
        <is>
          <t>RAGUNDA</t>
        </is>
      </c>
      <c r="G981" t="n">
        <v>4</v>
      </c>
      <c r="H981" t="n">
        <v>0</v>
      </c>
      <c r="I981" t="n">
        <v>0</v>
      </c>
      <c r="J981" t="n">
        <v>0</v>
      </c>
      <c r="K981" t="n">
        <v>0</v>
      </c>
      <c r="L981" t="n">
        <v>0</v>
      </c>
      <c r="M981" t="n">
        <v>0</v>
      </c>
      <c r="N981" t="n">
        <v>0</v>
      </c>
      <c r="O981" t="n">
        <v>0</v>
      </c>
      <c r="P981" t="n">
        <v>0</v>
      </c>
      <c r="Q981" t="n">
        <v>0</v>
      </c>
      <c r="R981" s="2" t="inlineStr"/>
    </row>
    <row r="982" ht="15" customHeight="1">
      <c r="A982" t="inlineStr">
        <is>
          <t>A 58955-2024</t>
        </is>
      </c>
      <c r="B982" s="1" t="n">
        <v>45636.57329861111</v>
      </c>
      <c r="C982" s="1" t="n">
        <v>45890</v>
      </c>
      <c r="D982" t="inlineStr">
        <is>
          <t>JÄMTLANDS LÄN</t>
        </is>
      </c>
      <c r="E982" t="inlineStr">
        <is>
          <t>RAGUNDA</t>
        </is>
      </c>
      <c r="F982" t="inlineStr">
        <is>
          <t>SCA</t>
        </is>
      </c>
      <c r="G982" t="n">
        <v>4.1</v>
      </c>
      <c r="H982" t="n">
        <v>0</v>
      </c>
      <c r="I982" t="n">
        <v>0</v>
      </c>
      <c r="J982" t="n">
        <v>0</v>
      </c>
      <c r="K982" t="n">
        <v>0</v>
      </c>
      <c r="L982" t="n">
        <v>0</v>
      </c>
      <c r="M982" t="n">
        <v>0</v>
      </c>
      <c r="N982" t="n">
        <v>0</v>
      </c>
      <c r="O982" t="n">
        <v>0</v>
      </c>
      <c r="P982" t="n">
        <v>0</v>
      </c>
      <c r="Q982" t="n">
        <v>0</v>
      </c>
      <c r="R982" s="2" t="inlineStr"/>
    </row>
    <row r="983" ht="15" customHeight="1">
      <c r="A983" t="inlineStr">
        <is>
          <t>A 17730-2022</t>
        </is>
      </c>
      <c r="B983" s="1" t="n">
        <v>44680</v>
      </c>
      <c r="C983" s="1" t="n">
        <v>45890</v>
      </c>
      <c r="D983" t="inlineStr">
        <is>
          <t>JÄMTLANDS LÄN</t>
        </is>
      </c>
      <c r="E983" t="inlineStr">
        <is>
          <t>RAGUNDA</t>
        </is>
      </c>
      <c r="G983" t="n">
        <v>3.4</v>
      </c>
      <c r="H983" t="n">
        <v>0</v>
      </c>
      <c r="I983" t="n">
        <v>0</v>
      </c>
      <c r="J983" t="n">
        <v>0</v>
      </c>
      <c r="K983" t="n">
        <v>0</v>
      </c>
      <c r="L983" t="n">
        <v>0</v>
      </c>
      <c r="M983" t="n">
        <v>0</v>
      </c>
      <c r="N983" t="n">
        <v>0</v>
      </c>
      <c r="O983" t="n">
        <v>0</v>
      </c>
      <c r="P983" t="n">
        <v>0</v>
      </c>
      <c r="Q983" t="n">
        <v>0</v>
      </c>
      <c r="R983" s="2" t="inlineStr"/>
    </row>
    <row r="984" ht="15" customHeight="1">
      <c r="A984" t="inlineStr">
        <is>
          <t>A 45438-2022</t>
        </is>
      </c>
      <c r="B984" s="1" t="n">
        <v>44844.95368055555</v>
      </c>
      <c r="C984" s="1" t="n">
        <v>45890</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56191-2022</t>
        </is>
      </c>
      <c r="B985" s="1" t="n">
        <v>44889.95015046297</v>
      </c>
      <c r="C985" s="1" t="n">
        <v>45890</v>
      </c>
      <c r="D985" t="inlineStr">
        <is>
          <t>JÄMTLANDS LÄN</t>
        </is>
      </c>
      <c r="E985" t="inlineStr">
        <is>
          <t>RAGUNDA</t>
        </is>
      </c>
      <c r="F985" t="inlineStr">
        <is>
          <t>Sveaskog</t>
        </is>
      </c>
      <c r="G985" t="n">
        <v>3</v>
      </c>
      <c r="H985" t="n">
        <v>0</v>
      </c>
      <c r="I985" t="n">
        <v>0</v>
      </c>
      <c r="J985" t="n">
        <v>0</v>
      </c>
      <c r="K985" t="n">
        <v>0</v>
      </c>
      <c r="L985" t="n">
        <v>0</v>
      </c>
      <c r="M985" t="n">
        <v>0</v>
      </c>
      <c r="N985" t="n">
        <v>0</v>
      </c>
      <c r="O985" t="n">
        <v>0</v>
      </c>
      <c r="P985" t="n">
        <v>0</v>
      </c>
      <c r="Q985" t="n">
        <v>0</v>
      </c>
      <c r="R985" s="2" t="inlineStr"/>
    </row>
    <row r="986" ht="15" customHeight="1">
      <c r="A986" t="inlineStr">
        <is>
          <t>A 30823-2023</t>
        </is>
      </c>
      <c r="B986" s="1" t="n">
        <v>45112</v>
      </c>
      <c r="C986" s="1" t="n">
        <v>45890</v>
      </c>
      <c r="D986" t="inlineStr">
        <is>
          <t>JÄMTLANDS LÄN</t>
        </is>
      </c>
      <c r="E986" t="inlineStr">
        <is>
          <t>RAGUNDA</t>
        </is>
      </c>
      <c r="F986" t="inlineStr">
        <is>
          <t>SCA</t>
        </is>
      </c>
      <c r="G986" t="n">
        <v>9</v>
      </c>
      <c r="H986" t="n">
        <v>0</v>
      </c>
      <c r="I986" t="n">
        <v>0</v>
      </c>
      <c r="J986" t="n">
        <v>0</v>
      </c>
      <c r="K986" t="n">
        <v>0</v>
      </c>
      <c r="L986" t="n">
        <v>0</v>
      </c>
      <c r="M986" t="n">
        <v>0</v>
      </c>
      <c r="N986" t="n">
        <v>0</v>
      </c>
      <c r="O986" t="n">
        <v>0</v>
      </c>
      <c r="P986" t="n">
        <v>0</v>
      </c>
      <c r="Q986" t="n">
        <v>0</v>
      </c>
      <c r="R986" s="2" t="inlineStr"/>
    </row>
    <row r="987" ht="15" customHeight="1">
      <c r="A987" t="inlineStr">
        <is>
          <t>A 33650-2025</t>
        </is>
      </c>
      <c r="B987" s="1" t="n">
        <v>45841.6571412037</v>
      </c>
      <c r="C987" s="1" t="n">
        <v>45890</v>
      </c>
      <c r="D987" t="inlineStr">
        <is>
          <t>JÄMTLANDS LÄN</t>
        </is>
      </c>
      <c r="E987" t="inlineStr">
        <is>
          <t>RAGUNDA</t>
        </is>
      </c>
      <c r="G987" t="n">
        <v>1.4</v>
      </c>
      <c r="H987" t="n">
        <v>0</v>
      </c>
      <c r="I987" t="n">
        <v>0</v>
      </c>
      <c r="J987" t="n">
        <v>0</v>
      </c>
      <c r="K987" t="n">
        <v>0</v>
      </c>
      <c r="L987" t="n">
        <v>0</v>
      </c>
      <c r="M987" t="n">
        <v>0</v>
      </c>
      <c r="N987" t="n">
        <v>0</v>
      </c>
      <c r="O987" t="n">
        <v>0</v>
      </c>
      <c r="P987" t="n">
        <v>0</v>
      </c>
      <c r="Q987" t="n">
        <v>0</v>
      </c>
      <c r="R987" s="2" t="inlineStr"/>
    </row>
    <row r="988" ht="15" customHeight="1">
      <c r="A988" t="inlineStr">
        <is>
          <t>A 43339-2024</t>
        </is>
      </c>
      <c r="B988" s="1" t="n">
        <v>45568.51075231482</v>
      </c>
      <c r="C988" s="1" t="n">
        <v>45890</v>
      </c>
      <c r="D988" t="inlineStr">
        <is>
          <t>JÄMTLANDS LÄN</t>
        </is>
      </c>
      <c r="E988" t="inlineStr">
        <is>
          <t>RAGUNDA</t>
        </is>
      </c>
      <c r="F988" t="inlineStr">
        <is>
          <t>SCA</t>
        </is>
      </c>
      <c r="G988" t="n">
        <v>3</v>
      </c>
      <c r="H988" t="n">
        <v>0</v>
      </c>
      <c r="I988" t="n">
        <v>0</v>
      </c>
      <c r="J988" t="n">
        <v>0</v>
      </c>
      <c r="K988" t="n">
        <v>0</v>
      </c>
      <c r="L988" t="n">
        <v>0</v>
      </c>
      <c r="M988" t="n">
        <v>0</v>
      </c>
      <c r="N988" t="n">
        <v>0</v>
      </c>
      <c r="O988" t="n">
        <v>0</v>
      </c>
      <c r="P988" t="n">
        <v>0</v>
      </c>
      <c r="Q988" t="n">
        <v>0</v>
      </c>
      <c r="R988" s="2" t="inlineStr"/>
    </row>
    <row r="989" ht="15" customHeight="1">
      <c r="A989" t="inlineStr">
        <is>
          <t>A 43102-2023</t>
        </is>
      </c>
      <c r="B989" s="1" t="n">
        <v>45182</v>
      </c>
      <c r="C989" s="1" t="n">
        <v>45890</v>
      </c>
      <c r="D989" t="inlineStr">
        <is>
          <t>JÄMTLANDS LÄN</t>
        </is>
      </c>
      <c r="E989" t="inlineStr">
        <is>
          <t>RAGUNDA</t>
        </is>
      </c>
      <c r="F989" t="inlineStr">
        <is>
          <t>SCA</t>
        </is>
      </c>
      <c r="G989" t="n">
        <v>1.2</v>
      </c>
      <c r="H989" t="n">
        <v>0</v>
      </c>
      <c r="I989" t="n">
        <v>0</v>
      </c>
      <c r="J989" t="n">
        <v>0</v>
      </c>
      <c r="K989" t="n">
        <v>0</v>
      </c>
      <c r="L989" t="n">
        <v>0</v>
      </c>
      <c r="M989" t="n">
        <v>0</v>
      </c>
      <c r="N989" t="n">
        <v>0</v>
      </c>
      <c r="O989" t="n">
        <v>0</v>
      </c>
      <c r="P989" t="n">
        <v>0</v>
      </c>
      <c r="Q989" t="n">
        <v>0</v>
      </c>
      <c r="R989" s="2" t="inlineStr"/>
    </row>
    <row r="990" ht="15" customHeight="1">
      <c r="A990" t="inlineStr">
        <is>
          <t>A 33877-2023</t>
        </is>
      </c>
      <c r="B990" s="1" t="n">
        <v>45133</v>
      </c>
      <c r="C990" s="1" t="n">
        <v>45890</v>
      </c>
      <c r="D990" t="inlineStr">
        <is>
          <t>JÄMTLANDS LÄN</t>
        </is>
      </c>
      <c r="E990" t="inlineStr">
        <is>
          <t>RAGUNDA</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62541-2022</t>
        </is>
      </c>
      <c r="B991" s="1" t="n">
        <v>44917</v>
      </c>
      <c r="C991" s="1" t="n">
        <v>45890</v>
      </c>
      <c r="D991" t="inlineStr">
        <is>
          <t>JÄMTLANDS LÄN</t>
        </is>
      </c>
      <c r="E991" t="inlineStr">
        <is>
          <t>RAGUNDA</t>
        </is>
      </c>
      <c r="G991" t="n">
        <v>2.6</v>
      </c>
      <c r="H991" t="n">
        <v>0</v>
      </c>
      <c r="I991" t="n">
        <v>0</v>
      </c>
      <c r="J991" t="n">
        <v>0</v>
      </c>
      <c r="K991" t="n">
        <v>0</v>
      </c>
      <c r="L991" t="n">
        <v>0</v>
      </c>
      <c r="M991" t="n">
        <v>0</v>
      </c>
      <c r="N991" t="n">
        <v>0</v>
      </c>
      <c r="O991" t="n">
        <v>0</v>
      </c>
      <c r="P991" t="n">
        <v>0</v>
      </c>
      <c r="Q991" t="n">
        <v>0</v>
      </c>
      <c r="R991" s="2" t="inlineStr"/>
    </row>
    <row r="992" ht="15" customHeight="1">
      <c r="A992" t="inlineStr">
        <is>
          <t>A 9567-2025</t>
        </is>
      </c>
      <c r="B992" s="1" t="n">
        <v>45715.61523148148</v>
      </c>
      <c r="C992" s="1" t="n">
        <v>45890</v>
      </c>
      <c r="D992" t="inlineStr">
        <is>
          <t>JÄMTLANDS LÄN</t>
        </is>
      </c>
      <c r="E992" t="inlineStr">
        <is>
          <t>RAGUNDA</t>
        </is>
      </c>
      <c r="F992" t="inlineStr">
        <is>
          <t>SCA</t>
        </is>
      </c>
      <c r="G992" t="n">
        <v>4.8</v>
      </c>
      <c r="H992" t="n">
        <v>0</v>
      </c>
      <c r="I992" t="n">
        <v>0</v>
      </c>
      <c r="J992" t="n">
        <v>0</v>
      </c>
      <c r="K992" t="n">
        <v>0</v>
      </c>
      <c r="L992" t="n">
        <v>0</v>
      </c>
      <c r="M992" t="n">
        <v>0</v>
      </c>
      <c r="N992" t="n">
        <v>0</v>
      </c>
      <c r="O992" t="n">
        <v>0</v>
      </c>
      <c r="P992" t="n">
        <v>0</v>
      </c>
      <c r="Q992" t="n">
        <v>0</v>
      </c>
      <c r="R992" s="2" t="inlineStr"/>
    </row>
    <row r="993" ht="15" customHeight="1">
      <c r="A993" t="inlineStr">
        <is>
          <t>A 9823-2025</t>
        </is>
      </c>
      <c r="B993" s="1" t="n">
        <v>45716</v>
      </c>
      <c r="C993" s="1" t="n">
        <v>45890</v>
      </c>
      <c r="D993" t="inlineStr">
        <is>
          <t>JÄMTLANDS LÄN</t>
        </is>
      </c>
      <c r="E993" t="inlineStr">
        <is>
          <t>RAGUNDA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13917-2023</t>
        </is>
      </c>
      <c r="B994" s="1" t="n">
        <v>45007</v>
      </c>
      <c r="C994" s="1" t="n">
        <v>45890</v>
      </c>
      <c r="D994" t="inlineStr">
        <is>
          <t>JÄMTLANDS LÄN</t>
        </is>
      </c>
      <c r="E994" t="inlineStr">
        <is>
          <t>RAGUNDA</t>
        </is>
      </c>
      <c r="G994" t="n">
        <v>1</v>
      </c>
      <c r="H994" t="n">
        <v>0</v>
      </c>
      <c r="I994" t="n">
        <v>0</v>
      </c>
      <c r="J994" t="n">
        <v>0</v>
      </c>
      <c r="K994" t="n">
        <v>0</v>
      </c>
      <c r="L994" t="n">
        <v>0</v>
      </c>
      <c r="M994" t="n">
        <v>0</v>
      </c>
      <c r="N994" t="n">
        <v>0</v>
      </c>
      <c r="O994" t="n">
        <v>0</v>
      </c>
      <c r="P994" t="n">
        <v>0</v>
      </c>
      <c r="Q994" t="n">
        <v>0</v>
      </c>
      <c r="R994" s="2" t="inlineStr"/>
    </row>
    <row r="995" ht="15" customHeight="1">
      <c r="A995" t="inlineStr">
        <is>
          <t>A 21661-2023</t>
        </is>
      </c>
      <c r="B995" s="1" t="n">
        <v>45063</v>
      </c>
      <c r="C995" s="1" t="n">
        <v>45890</v>
      </c>
      <c r="D995" t="inlineStr">
        <is>
          <t>JÄMTLANDS LÄN</t>
        </is>
      </c>
      <c r="E995" t="inlineStr">
        <is>
          <t>RAGUNDA</t>
        </is>
      </c>
      <c r="G995" t="n">
        <v>1.5</v>
      </c>
      <c r="H995" t="n">
        <v>0</v>
      </c>
      <c r="I995" t="n">
        <v>0</v>
      </c>
      <c r="J995" t="n">
        <v>0</v>
      </c>
      <c r="K995" t="n">
        <v>0</v>
      </c>
      <c r="L995" t="n">
        <v>0</v>
      </c>
      <c r="M995" t="n">
        <v>0</v>
      </c>
      <c r="N995" t="n">
        <v>0</v>
      </c>
      <c r="O995" t="n">
        <v>0</v>
      </c>
      <c r="P995" t="n">
        <v>0</v>
      </c>
      <c r="Q995" t="n">
        <v>0</v>
      </c>
      <c r="R995" s="2" t="inlineStr"/>
    </row>
    <row r="996" ht="15" customHeight="1">
      <c r="A996" t="inlineStr">
        <is>
          <t>A 33763-2025</t>
        </is>
      </c>
      <c r="B996" s="1" t="n">
        <v>45842.38579861111</v>
      </c>
      <c r="C996" s="1" t="n">
        <v>45890</v>
      </c>
      <c r="D996" t="inlineStr">
        <is>
          <t>JÄMTLANDS LÄN</t>
        </is>
      </c>
      <c r="E996" t="inlineStr">
        <is>
          <t>RAGUNDA</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53019-2023</t>
        </is>
      </c>
      <c r="B997" s="1" t="n">
        <v>45222</v>
      </c>
      <c r="C997" s="1" t="n">
        <v>45890</v>
      </c>
      <c r="D997" t="inlineStr">
        <is>
          <t>JÄMTLANDS LÄN</t>
        </is>
      </c>
      <c r="E997" t="inlineStr">
        <is>
          <t>RAGUNDA</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14212-2023</t>
        </is>
      </c>
      <c r="B998" s="1" t="n">
        <v>45009</v>
      </c>
      <c r="C998" s="1" t="n">
        <v>45890</v>
      </c>
      <c r="D998" t="inlineStr">
        <is>
          <t>JÄMTLANDS LÄN</t>
        </is>
      </c>
      <c r="E998" t="inlineStr">
        <is>
          <t>RAGUNDA</t>
        </is>
      </c>
      <c r="G998" t="n">
        <v>0.8</v>
      </c>
      <c r="H998" t="n">
        <v>0</v>
      </c>
      <c r="I998" t="n">
        <v>0</v>
      </c>
      <c r="J998" t="n">
        <v>0</v>
      </c>
      <c r="K998" t="n">
        <v>0</v>
      </c>
      <c r="L998" t="n">
        <v>0</v>
      </c>
      <c r="M998" t="n">
        <v>0</v>
      </c>
      <c r="N998" t="n">
        <v>0</v>
      </c>
      <c r="O998" t="n">
        <v>0</v>
      </c>
      <c r="P998" t="n">
        <v>0</v>
      </c>
      <c r="Q998" t="n">
        <v>0</v>
      </c>
      <c r="R998" s="2" t="inlineStr"/>
    </row>
    <row r="999" ht="15" customHeight="1">
      <c r="A999" t="inlineStr">
        <is>
          <t>A 59996-2023</t>
        </is>
      </c>
      <c r="B999" s="1" t="n">
        <v>45257.92826388889</v>
      </c>
      <c r="C999" s="1" t="n">
        <v>45890</v>
      </c>
      <c r="D999" t="inlineStr">
        <is>
          <t>JÄMTLANDS LÄN</t>
        </is>
      </c>
      <c r="E999" t="inlineStr">
        <is>
          <t>RAGUNDA</t>
        </is>
      </c>
      <c r="G999" t="n">
        <v>2.7</v>
      </c>
      <c r="H999" t="n">
        <v>0</v>
      </c>
      <c r="I999" t="n">
        <v>0</v>
      </c>
      <c r="J999" t="n">
        <v>0</v>
      </c>
      <c r="K999" t="n">
        <v>0</v>
      </c>
      <c r="L999" t="n">
        <v>0</v>
      </c>
      <c r="M999" t="n">
        <v>0</v>
      </c>
      <c r="N999" t="n">
        <v>0</v>
      </c>
      <c r="O999" t="n">
        <v>0</v>
      </c>
      <c r="P999" t="n">
        <v>0</v>
      </c>
      <c r="Q999" t="n">
        <v>0</v>
      </c>
      <c r="R999" s="2" t="inlineStr"/>
    </row>
    <row r="1000" ht="15" customHeight="1">
      <c r="A1000" t="inlineStr">
        <is>
          <t>A 44980-2023</t>
        </is>
      </c>
      <c r="B1000" s="1" t="n">
        <v>45190</v>
      </c>
      <c r="C1000" s="1" t="n">
        <v>45890</v>
      </c>
      <c r="D1000" t="inlineStr">
        <is>
          <t>JÄMTLANDS LÄN</t>
        </is>
      </c>
      <c r="E1000" t="inlineStr">
        <is>
          <t>RAGUNDA</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14076-2023</t>
        </is>
      </c>
      <c r="B1001" s="1" t="n">
        <v>45009.0897337963</v>
      </c>
      <c r="C1001" s="1" t="n">
        <v>45890</v>
      </c>
      <c r="D1001" t="inlineStr">
        <is>
          <t>JÄMTLANDS LÄN</t>
        </is>
      </c>
      <c r="E1001" t="inlineStr">
        <is>
          <t>RAGUNDA</t>
        </is>
      </c>
      <c r="F1001" t="inlineStr">
        <is>
          <t>SCA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54092-2024</t>
        </is>
      </c>
      <c r="B1002" s="1" t="n">
        <v>45616.5108912037</v>
      </c>
      <c r="C1002" s="1" t="n">
        <v>45890</v>
      </c>
      <c r="D1002" t="inlineStr">
        <is>
          <t>JÄMTLANDS LÄN</t>
        </is>
      </c>
      <c r="E1002" t="inlineStr">
        <is>
          <t>RAGUNDA</t>
        </is>
      </c>
      <c r="F1002" t="inlineStr">
        <is>
          <t>Naturvårdsverket</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33790-2025</t>
        </is>
      </c>
      <c r="B1003" s="1" t="n">
        <v>45842.42608796297</v>
      </c>
      <c r="C1003" s="1" t="n">
        <v>45890</v>
      </c>
      <c r="D1003" t="inlineStr">
        <is>
          <t>JÄMTLANDS LÄN</t>
        </is>
      </c>
      <c r="E1003" t="inlineStr">
        <is>
          <t>RAGUNDA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12805-2025</t>
        </is>
      </c>
      <c r="B1004" s="1" t="n">
        <v>45733.61497685185</v>
      </c>
      <c r="C1004" s="1" t="n">
        <v>45890</v>
      </c>
      <c r="D1004" t="inlineStr">
        <is>
          <t>JÄMTLANDS LÄN</t>
        </is>
      </c>
      <c r="E1004" t="inlineStr">
        <is>
          <t>RAGUNDA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12808-2025</t>
        </is>
      </c>
      <c r="B1005" s="1" t="n">
        <v>45733.61554398148</v>
      </c>
      <c r="C1005" s="1" t="n">
        <v>45890</v>
      </c>
      <c r="D1005" t="inlineStr">
        <is>
          <t>JÄMTLANDS LÄN</t>
        </is>
      </c>
      <c r="E1005" t="inlineStr">
        <is>
          <t>RAGUNDA</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4615-2023</t>
        </is>
      </c>
      <c r="B1006" s="1" t="n">
        <v>44956.93924768519</v>
      </c>
      <c r="C1006" s="1" t="n">
        <v>45890</v>
      </c>
      <c r="D1006" t="inlineStr">
        <is>
          <t>JÄMTLANDS LÄN</t>
        </is>
      </c>
      <c r="E1006" t="inlineStr">
        <is>
          <t>RAGUNDA</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34607-2025</t>
        </is>
      </c>
      <c r="B1007" s="1" t="n">
        <v>45847.65703703704</v>
      </c>
      <c r="C1007" s="1" t="n">
        <v>45890</v>
      </c>
      <c r="D1007" t="inlineStr">
        <is>
          <t>JÄMTLANDS LÄN</t>
        </is>
      </c>
      <c r="E1007" t="inlineStr">
        <is>
          <t>RAGUNDA</t>
        </is>
      </c>
      <c r="F1007" t="inlineStr">
        <is>
          <t>SCA</t>
        </is>
      </c>
      <c r="G1007" t="n">
        <v>31.4</v>
      </c>
      <c r="H1007" t="n">
        <v>0</v>
      </c>
      <c r="I1007" t="n">
        <v>0</v>
      </c>
      <c r="J1007" t="n">
        <v>0</v>
      </c>
      <c r="K1007" t="n">
        <v>0</v>
      </c>
      <c r="L1007" t="n">
        <v>0</v>
      </c>
      <c r="M1007" t="n">
        <v>0</v>
      </c>
      <c r="N1007" t="n">
        <v>0</v>
      </c>
      <c r="O1007" t="n">
        <v>0</v>
      </c>
      <c r="P1007" t="n">
        <v>0</v>
      </c>
      <c r="Q1007" t="n">
        <v>0</v>
      </c>
      <c r="R1007" s="2" t="inlineStr"/>
    </row>
    <row r="1008" ht="15" customHeight="1">
      <c r="A1008" t="inlineStr">
        <is>
          <t>A 5938-2025</t>
        </is>
      </c>
      <c r="B1008" s="1" t="n">
        <v>45695.45868055556</v>
      </c>
      <c r="C1008" s="1" t="n">
        <v>45890</v>
      </c>
      <c r="D1008" t="inlineStr">
        <is>
          <t>JÄMTLANDS LÄN</t>
        </is>
      </c>
      <c r="E1008" t="inlineStr">
        <is>
          <t>RAGUNDA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34461-2025</t>
        </is>
      </c>
      <c r="B1009" s="1" t="n">
        <v>45847.34474537037</v>
      </c>
      <c r="C1009" s="1" t="n">
        <v>45890</v>
      </c>
      <c r="D1009" t="inlineStr">
        <is>
          <t>JÄMTLANDS LÄN</t>
        </is>
      </c>
      <c r="E1009" t="inlineStr">
        <is>
          <t>RAGUNDA</t>
        </is>
      </c>
      <c r="F1009" t="inlineStr">
        <is>
          <t>SCA</t>
        </is>
      </c>
      <c r="G1009" t="n">
        <v>44.8</v>
      </c>
      <c r="H1009" t="n">
        <v>0</v>
      </c>
      <c r="I1009" t="n">
        <v>0</v>
      </c>
      <c r="J1009" t="n">
        <v>0</v>
      </c>
      <c r="K1009" t="n">
        <v>0</v>
      </c>
      <c r="L1009" t="n">
        <v>0</v>
      </c>
      <c r="M1009" t="n">
        <v>0</v>
      </c>
      <c r="N1009" t="n">
        <v>0</v>
      </c>
      <c r="O1009" t="n">
        <v>0</v>
      </c>
      <c r="P1009" t="n">
        <v>0</v>
      </c>
      <c r="Q1009" t="n">
        <v>0</v>
      </c>
      <c r="R1009" s="2" t="inlineStr"/>
    </row>
    <row r="1010" ht="15" customHeight="1">
      <c r="A1010" t="inlineStr">
        <is>
          <t>A 34464-2025</t>
        </is>
      </c>
      <c r="B1010" s="1" t="n">
        <v>45847.34528935186</v>
      </c>
      <c r="C1010" s="1" t="n">
        <v>45890</v>
      </c>
      <c r="D1010" t="inlineStr">
        <is>
          <t>JÄMTLANDS LÄN</t>
        </is>
      </c>
      <c r="E1010" t="inlineStr">
        <is>
          <t>RAGUNDA</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39192-2025</t>
        </is>
      </c>
      <c r="B1011" s="1" t="n">
        <v>45888.6775</v>
      </c>
      <c r="C1011" s="1" t="n">
        <v>45890</v>
      </c>
      <c r="D1011" t="inlineStr">
        <is>
          <t>JÄMTLANDS LÄN</t>
        </is>
      </c>
      <c r="E1011" t="inlineStr">
        <is>
          <t>RAGUNDA</t>
        </is>
      </c>
      <c r="F1011" t="inlineStr">
        <is>
          <t>Naturvårdsverket</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4125-2024</t>
        </is>
      </c>
      <c r="B1012" s="1" t="n">
        <v>45323</v>
      </c>
      <c r="C1012" s="1" t="n">
        <v>45890</v>
      </c>
      <c r="D1012" t="inlineStr">
        <is>
          <t>JÄMTLANDS LÄN</t>
        </is>
      </c>
      <c r="E1012" t="inlineStr">
        <is>
          <t>RAGUNDA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34468-2025</t>
        </is>
      </c>
      <c r="B1013" s="1" t="n">
        <v>45847.34597222223</v>
      </c>
      <c r="C1013" s="1" t="n">
        <v>45890</v>
      </c>
      <c r="D1013" t="inlineStr">
        <is>
          <t>JÄMTLANDS LÄN</t>
        </is>
      </c>
      <c r="E1013" t="inlineStr">
        <is>
          <t>RAGUNDA</t>
        </is>
      </c>
      <c r="F1013" t="inlineStr">
        <is>
          <t>SCA</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53549-2024</t>
        </is>
      </c>
      <c r="B1014" s="1" t="n">
        <v>45614.63869212963</v>
      </c>
      <c r="C1014" s="1" t="n">
        <v>45890</v>
      </c>
      <c r="D1014" t="inlineStr">
        <is>
          <t>JÄMTLANDS LÄN</t>
        </is>
      </c>
      <c r="E1014" t="inlineStr">
        <is>
          <t>RAGUNDA</t>
        </is>
      </c>
      <c r="F1014" t="inlineStr">
        <is>
          <t>Kyrkan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34466-2025</t>
        </is>
      </c>
      <c r="B1015" s="1" t="n">
        <v>45847.34565972222</v>
      </c>
      <c r="C1015" s="1" t="n">
        <v>45890</v>
      </c>
      <c r="D1015" t="inlineStr">
        <is>
          <t>JÄMTLANDS LÄN</t>
        </is>
      </c>
      <c r="E1015" t="inlineStr">
        <is>
          <t>RAGUNDA</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34463-2025</t>
        </is>
      </c>
      <c r="B1016" s="1" t="n">
        <v>45847.34515046296</v>
      </c>
      <c r="C1016" s="1" t="n">
        <v>45890</v>
      </c>
      <c r="D1016" t="inlineStr">
        <is>
          <t>JÄMTLANDS LÄN</t>
        </is>
      </c>
      <c r="E1016" t="inlineStr">
        <is>
          <t>RAGUNDA</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69153-2021</t>
        </is>
      </c>
      <c r="B1017" s="1" t="n">
        <v>44530.94694444445</v>
      </c>
      <c r="C1017" s="1" t="n">
        <v>45890</v>
      </c>
      <c r="D1017" t="inlineStr">
        <is>
          <t>JÄMTLANDS LÄN</t>
        </is>
      </c>
      <c r="E1017" t="inlineStr">
        <is>
          <t>RAGUNDA</t>
        </is>
      </c>
      <c r="F1017" t="inlineStr">
        <is>
          <t>SCA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39384-2025</t>
        </is>
      </c>
      <c r="B1018" s="1" t="n">
        <v>45889.61517361111</v>
      </c>
      <c r="C1018" s="1" t="n">
        <v>45890</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12585-2024</t>
        </is>
      </c>
      <c r="B1019" s="1" t="n">
        <v>45379.93637731481</v>
      </c>
      <c r="C1019" s="1" t="n">
        <v>45890</v>
      </c>
      <c r="D1019" t="inlineStr">
        <is>
          <t>JÄMTLANDS LÄN</t>
        </is>
      </c>
      <c r="E1019" t="inlineStr">
        <is>
          <t>RAGUNDA</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55489-2024</t>
        </is>
      </c>
      <c r="B1020" s="1" t="n">
        <v>45622.44774305556</v>
      </c>
      <c r="C1020" s="1" t="n">
        <v>45890</v>
      </c>
      <c r="D1020" t="inlineStr">
        <is>
          <t>JÄMTLANDS LÄN</t>
        </is>
      </c>
      <c r="E1020" t="inlineStr">
        <is>
          <t>RAGUNDA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18631-2024</t>
        </is>
      </c>
      <c r="B1021" s="1" t="n">
        <v>45425.96494212963</v>
      </c>
      <c r="C1021" s="1" t="n">
        <v>45890</v>
      </c>
      <c r="D1021" t="inlineStr">
        <is>
          <t>JÄMTLANDS LÄN</t>
        </is>
      </c>
      <c r="E1021" t="inlineStr">
        <is>
          <t>RAGUNDA</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7284-2025</t>
        </is>
      </c>
      <c r="B1022" s="1" t="n">
        <v>45702.63604166666</v>
      </c>
      <c r="C1022" s="1" t="n">
        <v>45890</v>
      </c>
      <c r="D1022" t="inlineStr">
        <is>
          <t>JÄMTLANDS LÄN</t>
        </is>
      </c>
      <c r="E1022" t="inlineStr">
        <is>
          <t>RAGUNDA</t>
        </is>
      </c>
      <c r="F1022" t="inlineStr">
        <is>
          <t>SCA</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31506-2024</t>
        </is>
      </c>
      <c r="B1023" s="1" t="n">
        <v>45505</v>
      </c>
      <c r="C1023" s="1" t="n">
        <v>45890</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26646-2023</t>
        </is>
      </c>
      <c r="B1024" s="1" t="n">
        <v>45092</v>
      </c>
      <c r="C1024" s="1" t="n">
        <v>45890</v>
      </c>
      <c r="D1024" t="inlineStr">
        <is>
          <t>JÄMTLANDS LÄN</t>
        </is>
      </c>
      <c r="E1024" t="inlineStr">
        <is>
          <t>RAGUNDA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19382-2025</t>
        </is>
      </c>
      <c r="B1025" s="1" t="n">
        <v>45769.65659722222</v>
      </c>
      <c r="C1025" s="1" t="n">
        <v>45890</v>
      </c>
      <c r="D1025" t="inlineStr">
        <is>
          <t>JÄMTLANDS LÄN</t>
        </is>
      </c>
      <c r="E1025" t="inlineStr">
        <is>
          <t>RAGUNDA</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34586-2025</t>
        </is>
      </c>
      <c r="B1026" s="1" t="n">
        <v>45847.61513888889</v>
      </c>
      <c r="C1026" s="1" t="n">
        <v>45890</v>
      </c>
      <c r="D1026" t="inlineStr">
        <is>
          <t>JÄMTLANDS LÄN</t>
        </is>
      </c>
      <c r="E1026" t="inlineStr">
        <is>
          <t>RAGUNDA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34588-2025</t>
        </is>
      </c>
      <c r="B1027" s="1" t="n">
        <v>45847.61548611111</v>
      </c>
      <c r="C1027" s="1" t="n">
        <v>45890</v>
      </c>
      <c r="D1027" t="inlineStr">
        <is>
          <t>JÄMTLANDS LÄN</t>
        </is>
      </c>
      <c r="E1027" t="inlineStr">
        <is>
          <t>RAGUNDA</t>
        </is>
      </c>
      <c r="G1027" t="n">
        <v>32.3</v>
      </c>
      <c r="H1027" t="n">
        <v>0</v>
      </c>
      <c r="I1027" t="n">
        <v>0</v>
      </c>
      <c r="J1027" t="n">
        <v>0</v>
      </c>
      <c r="K1027" t="n">
        <v>0</v>
      </c>
      <c r="L1027" t="n">
        <v>0</v>
      </c>
      <c r="M1027" t="n">
        <v>0</v>
      </c>
      <c r="N1027" t="n">
        <v>0</v>
      </c>
      <c r="O1027" t="n">
        <v>0</v>
      </c>
      <c r="P1027" t="n">
        <v>0</v>
      </c>
      <c r="Q1027" t="n">
        <v>0</v>
      </c>
      <c r="R1027" s="2" t="inlineStr"/>
    </row>
    <row r="1028" ht="15" customHeight="1">
      <c r="A1028" t="inlineStr">
        <is>
          <t>A 43405-2023</t>
        </is>
      </c>
      <c r="B1028" s="1" t="n">
        <v>45183.95563657407</v>
      </c>
      <c r="C1028" s="1" t="n">
        <v>45890</v>
      </c>
      <c r="D1028" t="inlineStr">
        <is>
          <t>JÄMTLANDS LÄN</t>
        </is>
      </c>
      <c r="E1028" t="inlineStr">
        <is>
          <t>RAGUNDA</t>
        </is>
      </c>
      <c r="F1028" t="inlineStr">
        <is>
          <t>SCA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34296-2025</t>
        </is>
      </c>
      <c r="B1029" s="1" t="n">
        <v>45846.34454861111</v>
      </c>
      <c r="C1029" s="1" t="n">
        <v>45890</v>
      </c>
      <c r="D1029" t="inlineStr">
        <is>
          <t>JÄMTLANDS LÄN</t>
        </is>
      </c>
      <c r="E1029" t="inlineStr">
        <is>
          <t>RAGUNDA</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37479-2023</t>
        </is>
      </c>
      <c r="B1030" s="1" t="n">
        <v>45156</v>
      </c>
      <c r="C1030" s="1" t="n">
        <v>45890</v>
      </c>
      <c r="D1030" t="inlineStr">
        <is>
          <t>JÄMTLANDS LÄN</t>
        </is>
      </c>
      <c r="E1030" t="inlineStr">
        <is>
          <t>RAGUNDA</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59496-2024</t>
        </is>
      </c>
      <c r="B1031" s="1" t="n">
        <v>45638</v>
      </c>
      <c r="C1031" s="1" t="n">
        <v>45890</v>
      </c>
      <c r="D1031" t="inlineStr">
        <is>
          <t>JÄMTLANDS LÄN</t>
        </is>
      </c>
      <c r="E1031" t="inlineStr">
        <is>
          <t>RAGUNDA</t>
        </is>
      </c>
      <c r="G1031" t="n">
        <v>13.1</v>
      </c>
      <c r="H1031" t="n">
        <v>0</v>
      </c>
      <c r="I1031" t="n">
        <v>0</v>
      </c>
      <c r="J1031" t="n">
        <v>0</v>
      </c>
      <c r="K1031" t="n">
        <v>0</v>
      </c>
      <c r="L1031" t="n">
        <v>0</v>
      </c>
      <c r="M1031" t="n">
        <v>0</v>
      </c>
      <c r="N1031" t="n">
        <v>0</v>
      </c>
      <c r="O1031" t="n">
        <v>0</v>
      </c>
      <c r="P1031" t="n">
        <v>0</v>
      </c>
      <c r="Q1031" t="n">
        <v>0</v>
      </c>
      <c r="R1031" s="2" t="inlineStr"/>
    </row>
    <row r="1032" ht="15" customHeight="1">
      <c r="A1032" t="inlineStr">
        <is>
          <t>A 5958-2021</t>
        </is>
      </c>
      <c r="B1032" s="1" t="n">
        <v>44231</v>
      </c>
      <c r="C1032" s="1" t="n">
        <v>45890</v>
      </c>
      <c r="D1032" t="inlineStr">
        <is>
          <t>JÄMTLANDS LÄN</t>
        </is>
      </c>
      <c r="E1032" t="inlineStr">
        <is>
          <t>RAGUNDA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1809-2025</t>
        </is>
      </c>
      <c r="B1033" s="1" t="n">
        <v>45671.48989583334</v>
      </c>
      <c r="C1033" s="1" t="n">
        <v>45890</v>
      </c>
      <c r="D1033" t="inlineStr">
        <is>
          <t>JÄMTLANDS LÄN</t>
        </is>
      </c>
      <c r="E1033" t="inlineStr">
        <is>
          <t>RAGUNDA</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62106-2023</t>
        </is>
      </c>
      <c r="B1034" s="1" t="n">
        <v>45266.95082175926</v>
      </c>
      <c r="C1034" s="1" t="n">
        <v>45890</v>
      </c>
      <c r="D1034" t="inlineStr">
        <is>
          <t>JÄMTLANDS LÄN</t>
        </is>
      </c>
      <c r="E1034" t="inlineStr">
        <is>
          <t>RAGUNDA</t>
        </is>
      </c>
      <c r="F1034" t="inlineStr">
        <is>
          <t>SCA</t>
        </is>
      </c>
      <c r="G1034" t="n">
        <v>6.6</v>
      </c>
      <c r="H1034" t="n">
        <v>0</v>
      </c>
      <c r="I1034" t="n">
        <v>0</v>
      </c>
      <c r="J1034" t="n">
        <v>0</v>
      </c>
      <c r="K1034" t="n">
        <v>0</v>
      </c>
      <c r="L1034" t="n">
        <v>0</v>
      </c>
      <c r="M1034" t="n">
        <v>0</v>
      </c>
      <c r="N1034" t="n">
        <v>0</v>
      </c>
      <c r="O1034" t="n">
        <v>0</v>
      </c>
      <c r="P1034" t="n">
        <v>0</v>
      </c>
      <c r="Q1034" t="n">
        <v>0</v>
      </c>
      <c r="R1034" s="2" t="inlineStr"/>
    </row>
    <row r="1035" ht="15" customHeight="1">
      <c r="A1035" t="inlineStr">
        <is>
          <t>A 4866-2025</t>
        </is>
      </c>
      <c r="B1035" s="1" t="n">
        <v>45688.67542824074</v>
      </c>
      <c r="C1035" s="1" t="n">
        <v>45890</v>
      </c>
      <c r="D1035" t="inlineStr">
        <is>
          <t>JÄMTLANDS LÄN</t>
        </is>
      </c>
      <c r="E1035" t="inlineStr">
        <is>
          <t>RAGUNDA</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18781-2024</t>
        </is>
      </c>
      <c r="B1036" s="1" t="n">
        <v>45426</v>
      </c>
      <c r="C1036" s="1" t="n">
        <v>45890</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62081-2022</t>
        </is>
      </c>
      <c r="B1037" s="1" t="n">
        <v>44918</v>
      </c>
      <c r="C1037" s="1" t="n">
        <v>45890</v>
      </c>
      <c r="D1037" t="inlineStr">
        <is>
          <t>JÄMTLANDS LÄN</t>
        </is>
      </c>
      <c r="E1037" t="inlineStr">
        <is>
          <t>RAGUNDA</t>
        </is>
      </c>
      <c r="F1037" t="inlineStr">
        <is>
          <t>SCA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11780-2024</t>
        </is>
      </c>
      <c r="B1038" s="1" t="n">
        <v>45374</v>
      </c>
      <c r="C1038" s="1" t="n">
        <v>45890</v>
      </c>
      <c r="D1038" t="inlineStr">
        <is>
          <t>JÄMTLANDS LÄN</t>
        </is>
      </c>
      <c r="E1038" t="inlineStr">
        <is>
          <t>RAGUNDA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30826-2023</t>
        </is>
      </c>
      <c r="B1039" s="1" t="n">
        <v>45112</v>
      </c>
      <c r="C1039" s="1" t="n">
        <v>45890</v>
      </c>
      <c r="D1039" t="inlineStr">
        <is>
          <t>JÄMTLANDS LÄN</t>
        </is>
      </c>
      <c r="E1039" t="inlineStr">
        <is>
          <t>RAGUNDA</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53263-2024</t>
        </is>
      </c>
      <c r="B1040" s="1" t="n">
        <v>45614.34541666666</v>
      </c>
      <c r="C1040" s="1" t="n">
        <v>45890</v>
      </c>
      <c r="D1040" t="inlineStr">
        <is>
          <t>JÄMTLANDS LÄN</t>
        </is>
      </c>
      <c r="E1040" t="inlineStr">
        <is>
          <t>RAGUNDA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26645-2024</t>
        </is>
      </c>
      <c r="B1041" s="1" t="n">
        <v>45469.94667824074</v>
      </c>
      <c r="C1041" s="1" t="n">
        <v>45890</v>
      </c>
      <c r="D1041" t="inlineStr">
        <is>
          <t>JÄMTLANDS LÄN</t>
        </is>
      </c>
      <c r="E1041" t="inlineStr">
        <is>
          <t>RAGUNDA</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11288-2022</t>
        </is>
      </c>
      <c r="B1042" s="1" t="n">
        <v>44629</v>
      </c>
      <c r="C1042" s="1" t="n">
        <v>45890</v>
      </c>
      <c r="D1042" t="inlineStr">
        <is>
          <t>JÄMTLANDS LÄN</t>
        </is>
      </c>
      <c r="E1042" t="inlineStr">
        <is>
          <t>RAGUNDA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45890</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66011-2021</t>
        </is>
      </c>
      <c r="B1044" s="1" t="n">
        <v>44517.58137731482</v>
      </c>
      <c r="C1044" s="1" t="n">
        <v>45890</v>
      </c>
      <c r="D1044" t="inlineStr">
        <is>
          <t>JÄMTLANDS LÄN</t>
        </is>
      </c>
      <c r="E1044" t="inlineStr">
        <is>
          <t>RAGUNDA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893-2025</t>
        </is>
      </c>
      <c r="B1045" s="1" t="n">
        <v>45665.65684027778</v>
      </c>
      <c r="C1045" s="1" t="n">
        <v>45890</v>
      </c>
      <c r="D1045" t="inlineStr">
        <is>
          <t>JÄMTLANDS LÄN</t>
        </is>
      </c>
      <c r="E1045" t="inlineStr">
        <is>
          <t>RAGUNDA</t>
        </is>
      </c>
      <c r="F1045" t="inlineStr">
        <is>
          <t>SCA</t>
        </is>
      </c>
      <c r="G1045" t="n">
        <v>45.1</v>
      </c>
      <c r="H1045" t="n">
        <v>0</v>
      </c>
      <c r="I1045" t="n">
        <v>0</v>
      </c>
      <c r="J1045" t="n">
        <v>0</v>
      </c>
      <c r="K1045" t="n">
        <v>0</v>
      </c>
      <c r="L1045" t="n">
        <v>0</v>
      </c>
      <c r="M1045" t="n">
        <v>0</v>
      </c>
      <c r="N1045" t="n">
        <v>0</v>
      </c>
      <c r="O1045" t="n">
        <v>0</v>
      </c>
      <c r="P1045" t="n">
        <v>0</v>
      </c>
      <c r="Q1045" t="n">
        <v>0</v>
      </c>
      <c r="R1045" s="2" t="inlineStr"/>
    </row>
    <row r="1046" ht="15" customHeight="1">
      <c r="A1046" t="inlineStr">
        <is>
          <t>A 31135-2023</t>
        </is>
      </c>
      <c r="B1046" s="1" t="n">
        <v>45103</v>
      </c>
      <c r="C1046" s="1" t="n">
        <v>45890</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42509-2023</t>
        </is>
      </c>
      <c r="B1047" s="1" t="n">
        <v>45180</v>
      </c>
      <c r="C1047" s="1" t="n">
        <v>45890</v>
      </c>
      <c r="D1047" t="inlineStr">
        <is>
          <t>JÄMTLANDS LÄN</t>
        </is>
      </c>
      <c r="E1047" t="inlineStr">
        <is>
          <t>RAGUNDA</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33615-2023</t>
        </is>
      </c>
      <c r="B1048" s="1" t="n">
        <v>45119</v>
      </c>
      <c r="C1048" s="1" t="n">
        <v>45890</v>
      </c>
      <c r="D1048" t="inlineStr">
        <is>
          <t>JÄMTLANDS LÄN</t>
        </is>
      </c>
      <c r="E1048" t="inlineStr">
        <is>
          <t>RAGUNDA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42510-2023</t>
        </is>
      </c>
      <c r="B1049" s="1" t="n">
        <v>45180.95927083334</v>
      </c>
      <c r="C1049" s="1" t="n">
        <v>45890</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19401-2025</t>
        </is>
      </c>
      <c r="B1050" s="1" t="n">
        <v>45769.67767361111</v>
      </c>
      <c r="C1050" s="1" t="n">
        <v>45890</v>
      </c>
      <c r="D1050" t="inlineStr">
        <is>
          <t>JÄMTLANDS LÄN</t>
        </is>
      </c>
      <c r="E1050" t="inlineStr">
        <is>
          <t>RAGUNDA</t>
        </is>
      </c>
      <c r="F1050" t="inlineStr">
        <is>
          <t>SCA</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53860-2023</t>
        </is>
      </c>
      <c r="B1051" s="1" t="n">
        <v>45224</v>
      </c>
      <c r="C1051" s="1" t="n">
        <v>45890</v>
      </c>
      <c r="D1051" t="inlineStr">
        <is>
          <t>JÄMTLANDS LÄN</t>
        </is>
      </c>
      <c r="E1051" t="inlineStr">
        <is>
          <t>RAGUNDA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65898-2020</t>
        </is>
      </c>
      <c r="B1052" s="1" t="n">
        <v>44174</v>
      </c>
      <c r="C1052" s="1" t="n">
        <v>45890</v>
      </c>
      <c r="D1052" t="inlineStr">
        <is>
          <t>JÄMTLANDS LÄN</t>
        </is>
      </c>
      <c r="E1052" t="inlineStr">
        <is>
          <t>RAGUNDA</t>
        </is>
      </c>
      <c r="F1052" t="inlineStr">
        <is>
          <t>SCA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43132-2023</t>
        </is>
      </c>
      <c r="B1053" s="1" t="n">
        <v>45182</v>
      </c>
      <c r="C1053" s="1" t="n">
        <v>45890</v>
      </c>
      <c r="D1053" t="inlineStr">
        <is>
          <t>JÄMTLANDS LÄN</t>
        </is>
      </c>
      <c r="E1053" t="inlineStr">
        <is>
          <t>RAGUNDA</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12039-2023</t>
        </is>
      </c>
      <c r="B1054" s="1" t="n">
        <v>44995.98341435185</v>
      </c>
      <c r="C1054" s="1" t="n">
        <v>45890</v>
      </c>
      <c r="D1054" t="inlineStr">
        <is>
          <t>JÄMTLANDS LÄN</t>
        </is>
      </c>
      <c r="E1054" t="inlineStr">
        <is>
          <t>RAGUNDA</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26991-2023</t>
        </is>
      </c>
      <c r="B1055" s="1" t="n">
        <v>45093.92207175926</v>
      </c>
      <c r="C1055" s="1" t="n">
        <v>45890</v>
      </c>
      <c r="D1055" t="inlineStr">
        <is>
          <t>JÄMTLANDS LÄN</t>
        </is>
      </c>
      <c r="E1055" t="inlineStr">
        <is>
          <t>RAGUNDA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13302-2022</t>
        </is>
      </c>
      <c r="B1056" s="1" t="n">
        <v>44644</v>
      </c>
      <c r="C1056" s="1" t="n">
        <v>45890</v>
      </c>
      <c r="D1056" t="inlineStr">
        <is>
          <t>JÄMTLANDS LÄN</t>
        </is>
      </c>
      <c r="E1056" t="inlineStr">
        <is>
          <t>RAGUNDA</t>
        </is>
      </c>
      <c r="F1056" t="inlineStr">
        <is>
          <t>SCA</t>
        </is>
      </c>
      <c r="G1056" t="n">
        <v>35.6</v>
      </c>
      <c r="H1056" t="n">
        <v>0</v>
      </c>
      <c r="I1056" t="n">
        <v>0</v>
      </c>
      <c r="J1056" t="n">
        <v>0</v>
      </c>
      <c r="K1056" t="n">
        <v>0</v>
      </c>
      <c r="L1056" t="n">
        <v>0</v>
      </c>
      <c r="M1056" t="n">
        <v>0</v>
      </c>
      <c r="N1056" t="n">
        <v>0</v>
      </c>
      <c r="O1056" t="n">
        <v>0</v>
      </c>
      <c r="P1056" t="n">
        <v>0</v>
      </c>
      <c r="Q1056" t="n">
        <v>0</v>
      </c>
      <c r="R1056" s="2" t="inlineStr"/>
    </row>
    <row r="1057" ht="15" customHeight="1">
      <c r="A1057" t="inlineStr">
        <is>
          <t>A 26651-2024</t>
        </is>
      </c>
      <c r="B1057" s="1" t="n">
        <v>45469.94876157407</v>
      </c>
      <c r="C1057" s="1" t="n">
        <v>45890</v>
      </c>
      <c r="D1057" t="inlineStr">
        <is>
          <t>JÄMTLANDS LÄN</t>
        </is>
      </c>
      <c r="E1057" t="inlineStr">
        <is>
          <t>RAGUNDA</t>
        </is>
      </c>
      <c r="F1057" t="inlineStr">
        <is>
          <t>SCA</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56284-2023</t>
        </is>
      </c>
      <c r="B1058" s="1" t="n">
        <v>45241.95724537037</v>
      </c>
      <c r="C1058" s="1" t="n">
        <v>45890</v>
      </c>
      <c r="D1058" t="inlineStr">
        <is>
          <t>JÄMTLANDS LÄN</t>
        </is>
      </c>
      <c r="E1058" t="inlineStr">
        <is>
          <t>RAGUNDA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40919-2024</t>
        </is>
      </c>
      <c r="B1059" s="1" t="n">
        <v>45558.63575231482</v>
      </c>
      <c r="C1059" s="1" t="n">
        <v>45890</v>
      </c>
      <c r="D1059" t="inlineStr">
        <is>
          <t>JÄMTLANDS LÄN</t>
        </is>
      </c>
      <c r="E1059" t="inlineStr">
        <is>
          <t>RAGUNDA</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3186-2025</t>
        </is>
      </c>
      <c r="B1060" s="1" t="n">
        <v>45679.40362268518</v>
      </c>
      <c r="C1060" s="1" t="n">
        <v>45890</v>
      </c>
      <c r="D1060" t="inlineStr">
        <is>
          <t>JÄMTLANDS LÄN</t>
        </is>
      </c>
      <c r="E1060" t="inlineStr">
        <is>
          <t>RAGUNDA</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465-2023</t>
        </is>
      </c>
      <c r="B1061" s="1" t="n">
        <v>44929</v>
      </c>
      <c r="C1061" s="1" t="n">
        <v>45890</v>
      </c>
      <c r="D1061" t="inlineStr">
        <is>
          <t>JÄMTLANDS LÄN</t>
        </is>
      </c>
      <c r="E1061" t="inlineStr">
        <is>
          <t>RAGUNDA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26455-2023</t>
        </is>
      </c>
      <c r="B1062" s="1" t="n">
        <v>45092</v>
      </c>
      <c r="C1062" s="1" t="n">
        <v>45890</v>
      </c>
      <c r="D1062" t="inlineStr">
        <is>
          <t>JÄMTLANDS LÄN</t>
        </is>
      </c>
      <c r="E1062" t="inlineStr">
        <is>
          <t>RAGUNDA</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10639-2024</t>
        </is>
      </c>
      <c r="B1063" s="1" t="n">
        <v>45367.67256944445</v>
      </c>
      <c r="C1063" s="1" t="n">
        <v>45890</v>
      </c>
      <c r="D1063" t="inlineStr">
        <is>
          <t>JÄMTLANDS LÄN</t>
        </is>
      </c>
      <c r="E1063" t="inlineStr">
        <is>
          <t>RAGUNDA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2751-2024</t>
        </is>
      </c>
      <c r="B1064" s="1" t="n">
        <v>45314</v>
      </c>
      <c r="C1064" s="1" t="n">
        <v>45890</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36317-2024</t>
        </is>
      </c>
      <c r="B1065" s="1" t="n">
        <v>45534.63537037037</v>
      </c>
      <c r="C1065" s="1" t="n">
        <v>45890</v>
      </c>
      <c r="D1065" t="inlineStr">
        <is>
          <t>JÄMTLANDS LÄN</t>
        </is>
      </c>
      <c r="E1065" t="inlineStr">
        <is>
          <t>RAGUNDA</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61045-2022</t>
        </is>
      </c>
      <c r="B1066" s="1" t="n">
        <v>44914</v>
      </c>
      <c r="C1066" s="1" t="n">
        <v>45890</v>
      </c>
      <c r="D1066" t="inlineStr">
        <is>
          <t>JÄMTLANDS LÄN</t>
        </is>
      </c>
      <c r="E1066" t="inlineStr">
        <is>
          <t>RAGUNDA</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18614-2024</t>
        </is>
      </c>
      <c r="B1067" s="1" t="n">
        <v>45425.96263888889</v>
      </c>
      <c r="C1067" s="1" t="n">
        <v>45890</v>
      </c>
      <c r="D1067" t="inlineStr">
        <is>
          <t>JÄMTLANDS LÄN</t>
        </is>
      </c>
      <c r="E1067" t="inlineStr">
        <is>
          <t>RAGUNDA</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61197-2023</t>
        </is>
      </c>
      <c r="B1068" s="1" t="n">
        <v>45260</v>
      </c>
      <c r="C1068" s="1" t="n">
        <v>45890</v>
      </c>
      <c r="D1068" t="inlineStr">
        <is>
          <t>JÄMTLANDS LÄN</t>
        </is>
      </c>
      <c r="E1068" t="inlineStr">
        <is>
          <t>RAGUNDA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13263-2025</t>
        </is>
      </c>
      <c r="B1069" s="1" t="n">
        <v>45735.53177083333</v>
      </c>
      <c r="C1069" s="1" t="n">
        <v>45890</v>
      </c>
      <c r="D1069" t="inlineStr">
        <is>
          <t>JÄMTLANDS LÄN</t>
        </is>
      </c>
      <c r="E1069" t="inlineStr">
        <is>
          <t>RAGUNDA</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48066-2022</t>
        </is>
      </c>
      <c r="B1070" s="1" t="n">
        <v>44855</v>
      </c>
      <c r="C1070" s="1" t="n">
        <v>45890</v>
      </c>
      <c r="D1070" t="inlineStr">
        <is>
          <t>JÄMTLANDS LÄN</t>
        </is>
      </c>
      <c r="E1070" t="inlineStr">
        <is>
          <t>RAGUNDA</t>
        </is>
      </c>
      <c r="F1070" t="inlineStr">
        <is>
          <t>SCA</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8787-2022</t>
        </is>
      </c>
      <c r="B1071" s="1" t="n">
        <v>44614</v>
      </c>
      <c r="C1071" s="1" t="n">
        <v>45890</v>
      </c>
      <c r="D1071" t="inlineStr">
        <is>
          <t>JÄMTLANDS LÄN</t>
        </is>
      </c>
      <c r="E1071" t="inlineStr">
        <is>
          <t>RAGUNDA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5967-2021</t>
        </is>
      </c>
      <c r="B1072" s="1" t="n">
        <v>44231</v>
      </c>
      <c r="C1072" s="1" t="n">
        <v>45890</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64415-2023</t>
        </is>
      </c>
      <c r="B1073" s="1" t="n">
        <v>45280</v>
      </c>
      <c r="C1073" s="1" t="n">
        <v>45890</v>
      </c>
      <c r="D1073" t="inlineStr">
        <is>
          <t>JÄMTLANDS LÄN</t>
        </is>
      </c>
      <c r="E1073" t="inlineStr">
        <is>
          <t>RAGUNDA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50431-2024</t>
        </is>
      </c>
      <c r="B1074" s="1" t="n">
        <v>45601.40686342592</v>
      </c>
      <c r="C1074" s="1" t="n">
        <v>45890</v>
      </c>
      <c r="D1074" t="inlineStr">
        <is>
          <t>JÄMTLANDS LÄN</t>
        </is>
      </c>
      <c r="E1074" t="inlineStr">
        <is>
          <t>RAGUNDA</t>
        </is>
      </c>
      <c r="F1074" t="inlineStr">
        <is>
          <t>SCA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60225-2022</t>
        </is>
      </c>
      <c r="B1075" s="1" t="n">
        <v>44903</v>
      </c>
      <c r="C1075" s="1" t="n">
        <v>45890</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15864-2024</t>
        </is>
      </c>
      <c r="B1076" s="1" t="n">
        <v>45404.99792824074</v>
      </c>
      <c r="C1076" s="1" t="n">
        <v>45890</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c r="U1076">
        <f>HYPERLINK("https://klasma.github.io/Logging_2303/knärot/A 15864-2024 karta knärot.png", "A 15864-2024")</f>
        <v/>
      </c>
      <c r="V1076">
        <f>HYPERLINK("https://klasma.github.io/Logging_2303/klagomål/A 15864-2024 FSC-klagomål.docx", "A 15864-2024")</f>
        <v/>
      </c>
      <c r="W1076">
        <f>HYPERLINK("https://klasma.github.io/Logging_2303/klagomålsmail/A 15864-2024 FSC-klagomål mail.docx", "A 15864-2024")</f>
        <v/>
      </c>
      <c r="X1076">
        <f>HYPERLINK("https://klasma.github.io/Logging_2303/tillsyn/A 15864-2024 tillsynsbegäran.docx", "A 15864-2024")</f>
        <v/>
      </c>
      <c r="Y1076">
        <f>HYPERLINK("https://klasma.github.io/Logging_2303/tillsynsmail/A 15864-2024 tillsynsbegäran mail.docx", "A 15864-2024")</f>
        <v/>
      </c>
    </row>
    <row r="1077" ht="15" customHeight="1">
      <c r="A1077" t="inlineStr">
        <is>
          <t>A 60936-2024</t>
        </is>
      </c>
      <c r="B1077" s="1" t="n">
        <v>45645.36743055555</v>
      </c>
      <c r="C1077" s="1" t="n">
        <v>45890</v>
      </c>
      <c r="D1077" t="inlineStr">
        <is>
          <t>JÄMTLANDS LÄN</t>
        </is>
      </c>
      <c r="E1077" t="inlineStr">
        <is>
          <t>RAGUNDA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57749-2024</t>
        </is>
      </c>
      <c r="B1078" s="1" t="n">
        <v>45630.7862037037</v>
      </c>
      <c r="C1078" s="1" t="n">
        <v>45890</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24280-2021</t>
        </is>
      </c>
      <c r="B1079" s="1" t="n">
        <v>44336</v>
      </c>
      <c r="C1079" s="1" t="n">
        <v>45890</v>
      </c>
      <c r="D1079" t="inlineStr">
        <is>
          <t>JÄMTLANDS LÄN</t>
        </is>
      </c>
      <c r="E1079" t="inlineStr">
        <is>
          <t>RAGUNDA</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8886-2024</t>
        </is>
      </c>
      <c r="B1080" s="1" t="n">
        <v>45357.05300925926</v>
      </c>
      <c r="C1080" s="1" t="n">
        <v>45890</v>
      </c>
      <c r="D1080" t="inlineStr">
        <is>
          <t>JÄMTLANDS LÄN</t>
        </is>
      </c>
      <c r="E1080" t="inlineStr">
        <is>
          <t>RAGUNDA</t>
        </is>
      </c>
      <c r="F1080" t="inlineStr">
        <is>
          <t>SCA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28596-2021</t>
        </is>
      </c>
      <c r="B1081" s="1" t="n">
        <v>44356</v>
      </c>
      <c r="C1081" s="1" t="n">
        <v>45890</v>
      </c>
      <c r="D1081" t="inlineStr">
        <is>
          <t>JÄMTLANDS LÄN</t>
        </is>
      </c>
      <c r="E1081" t="inlineStr">
        <is>
          <t>RAGUNDA</t>
        </is>
      </c>
      <c r="G1081" t="n">
        <v>5.4</v>
      </c>
      <c r="H1081" t="n">
        <v>0</v>
      </c>
      <c r="I1081" t="n">
        <v>0</v>
      </c>
      <c r="J1081" t="n">
        <v>0</v>
      </c>
      <c r="K1081" t="n">
        <v>0</v>
      </c>
      <c r="L1081" t="n">
        <v>0</v>
      </c>
      <c r="M1081" t="n">
        <v>0</v>
      </c>
      <c r="N1081" t="n">
        <v>0</v>
      </c>
      <c r="O1081" t="n">
        <v>0</v>
      </c>
      <c r="P1081" t="n">
        <v>0</v>
      </c>
      <c r="Q1081" t="n">
        <v>0</v>
      </c>
      <c r="R1081" s="2" t="inlineStr"/>
    </row>
    <row r="1082" ht="15" customHeight="1">
      <c r="A1082" t="inlineStr">
        <is>
          <t>A 11058-2025</t>
        </is>
      </c>
      <c r="B1082" s="1" t="n">
        <v>45723.51079861111</v>
      </c>
      <c r="C1082" s="1" t="n">
        <v>45890</v>
      </c>
      <c r="D1082" t="inlineStr">
        <is>
          <t>JÄMTLANDS LÄN</t>
        </is>
      </c>
      <c r="E1082" t="inlineStr">
        <is>
          <t>RAGUNDA</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38664-2022</t>
        </is>
      </c>
      <c r="B1083" s="1" t="n">
        <v>44813</v>
      </c>
      <c r="C1083" s="1" t="n">
        <v>45890</v>
      </c>
      <c r="D1083" t="inlineStr">
        <is>
          <t>JÄMTLANDS LÄN</t>
        </is>
      </c>
      <c r="E1083" t="inlineStr">
        <is>
          <t>RAGUNDA</t>
        </is>
      </c>
      <c r="F1083" t="inlineStr">
        <is>
          <t>SCA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24441-2024</t>
        </is>
      </c>
      <c r="B1084" s="1" t="n">
        <v>45457.96372685185</v>
      </c>
      <c r="C1084" s="1" t="n">
        <v>45890</v>
      </c>
      <c r="D1084" t="inlineStr">
        <is>
          <t>JÄMTLANDS LÄN</t>
        </is>
      </c>
      <c r="E1084" t="inlineStr">
        <is>
          <t>RAGUNDA</t>
        </is>
      </c>
      <c r="F1084" t="inlineStr">
        <is>
          <t>SCA</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40801-2023</t>
        </is>
      </c>
      <c r="B1085" s="1" t="n">
        <v>45170</v>
      </c>
      <c r="C1085" s="1" t="n">
        <v>45890</v>
      </c>
      <c r="D1085" t="inlineStr">
        <is>
          <t>JÄMTLANDS LÄN</t>
        </is>
      </c>
      <c r="E1085" t="inlineStr">
        <is>
          <t>RAGUNDA</t>
        </is>
      </c>
      <c r="F1085" t="inlineStr">
        <is>
          <t>SCA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48065-2023</t>
        </is>
      </c>
      <c r="B1086" s="1" t="n">
        <v>45204.94399305555</v>
      </c>
      <c r="C1086" s="1" t="n">
        <v>45890</v>
      </c>
      <c r="D1086" t="inlineStr">
        <is>
          <t>JÄMTLANDS LÄN</t>
        </is>
      </c>
      <c r="E1086" t="inlineStr">
        <is>
          <t>RAGUNDA</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4592-2024</t>
        </is>
      </c>
      <c r="B1087" s="1" t="n">
        <v>45327.94443287037</v>
      </c>
      <c r="C1087" s="1" t="n">
        <v>45890</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60195-2023</t>
        </is>
      </c>
      <c r="B1088" s="1" t="n">
        <v>45257</v>
      </c>
      <c r="C1088" s="1" t="n">
        <v>45890</v>
      </c>
      <c r="D1088" t="inlineStr">
        <is>
          <t>JÄMTLANDS LÄN</t>
        </is>
      </c>
      <c r="E1088" t="inlineStr">
        <is>
          <t>RAGUNDA</t>
        </is>
      </c>
      <c r="G1088" t="n">
        <v>1.7</v>
      </c>
      <c r="H1088" t="n">
        <v>0</v>
      </c>
      <c r="I1088" t="n">
        <v>0</v>
      </c>
      <c r="J1088" t="n">
        <v>0</v>
      </c>
      <c r="K1088" t="n">
        <v>0</v>
      </c>
      <c r="L1088" t="n">
        <v>0</v>
      </c>
      <c r="M1088" t="n">
        <v>0</v>
      </c>
      <c r="N1088" t="n">
        <v>0</v>
      </c>
      <c r="O1088" t="n">
        <v>0</v>
      </c>
      <c r="P1088" t="n">
        <v>0</v>
      </c>
      <c r="Q1088" t="n">
        <v>0</v>
      </c>
      <c r="R1088" s="2" t="inlineStr"/>
    </row>
    <row r="1089">
      <c r="A1089" t="inlineStr">
        <is>
          <t>A 22981-2023</t>
        </is>
      </c>
      <c r="B1089" s="1" t="n">
        <v>45072.92737268518</v>
      </c>
      <c r="C1089" s="1" t="n">
        <v>45890</v>
      </c>
      <c r="D1089" t="inlineStr">
        <is>
          <t>JÄMTLANDS LÄN</t>
        </is>
      </c>
      <c r="E1089" t="inlineStr">
        <is>
          <t>RAGUNDA</t>
        </is>
      </c>
      <c r="G1089" t="n">
        <v>3.8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2025-08-21T08:30:19Z</dcterms:created>
  <dcterms:modified xmlns:dcterms="http://purl.org/dc/terms/" xmlns:xsi="http://www.w3.org/2001/XMLSchema-instance" xsi:type="dcterms:W3CDTF">2025-08-21T08:30:20Z</dcterms:modified>
</cp:coreProperties>
</file>