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45835</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45835</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45835</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45835</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45835</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45835</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45835</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45835</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45835</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45835</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45835</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45835</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45835</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45835</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45835</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45835</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45835</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45835</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45835</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45835</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45835</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45835</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45835</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45835</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45835</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45835</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45835</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45835</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45835</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45835</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45835</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45835</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45835</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45835</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45835</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45835</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45835</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45835</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45835</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45835</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45835</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45835</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45835</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45835</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45835</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45835</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45835</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45835</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45835</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45835</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45835</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45835</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45835</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45835</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45835</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45835</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45835</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45835</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45835</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45835</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45835</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45835</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45835</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45835</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45835</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45835</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45835</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45835</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45835</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45835</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45835</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45835</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45835</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45835</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45835</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45835</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45835</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45835</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45835</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45835</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45835</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45835</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45835</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45835</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45835</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45835</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45835</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45835</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45835</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45835</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45835</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45835</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45835</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45835</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45835</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45835</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45835</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45835</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45835</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45835</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45835</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45835</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45835</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45835</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45835</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45835</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45835</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45835</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45835</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45835</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45835</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45835</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45835</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45835</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45835</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45835</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45835</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45835</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45835</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45835</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45835</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45835</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45835</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45835</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45835</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45835</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45835</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45835</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45835</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45835</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45835</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45835</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45835</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45835</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45835</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45835</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45835</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45835</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45835</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45835</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45835</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45835</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45835</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45835</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45835</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45835</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45835</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45835</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45835</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45835</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45835</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45835</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45835</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45835</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45835</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45835</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45835</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45835</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45835</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45835</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45835</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45835</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45835</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45835</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45835</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45835</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45835</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45835</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45835</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45835</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45835</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45835</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45835</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45835</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45835</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45835</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45835</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45835</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45835</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45835</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45835</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45835</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45835</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45835</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45835</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45835</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45835</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45835</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45835</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45835</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45835</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45835</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45835</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45835</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45835</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45835</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45835</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45835</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45835</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45835</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45835</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45835</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45835</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45835</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45835</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45835</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45835</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45835</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45835</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45835</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45835</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45835</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45835</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43760-2019</t>
        </is>
      </c>
      <c r="B219" s="1" t="n">
        <v>43707</v>
      </c>
      <c r="C219" s="1" t="n">
        <v>45835</v>
      </c>
      <c r="D219" t="inlineStr">
        <is>
          <t>JÄMTLANDS LÄN</t>
        </is>
      </c>
      <c r="E219" t="inlineStr">
        <is>
          <t>RAGUNDA</t>
        </is>
      </c>
      <c r="G219" t="n">
        <v>3.5</v>
      </c>
      <c r="H219" t="n">
        <v>1</v>
      </c>
      <c r="I219" t="n">
        <v>0</v>
      </c>
      <c r="J219" t="n">
        <v>1</v>
      </c>
      <c r="K219" t="n">
        <v>1</v>
      </c>
      <c r="L219" t="n">
        <v>0</v>
      </c>
      <c r="M219" t="n">
        <v>0</v>
      </c>
      <c r="N219" t="n">
        <v>0</v>
      </c>
      <c r="O219" t="n">
        <v>2</v>
      </c>
      <c r="P219" t="n">
        <v>1</v>
      </c>
      <c r="Q219" t="n">
        <v>2</v>
      </c>
      <c r="R219" s="2" t="inlineStr">
        <is>
          <t>Knärot
Lunglav</t>
        </is>
      </c>
      <c r="S219">
        <f>HYPERLINK("https://klasma.github.io/Logging_2303/artfynd/A 43760-2019 artfynd.xlsx", "A 43760-2019")</f>
        <v/>
      </c>
      <c r="T219">
        <f>HYPERLINK("https://klasma.github.io/Logging_2303/kartor/A 43760-2019 karta.png", "A 43760-2019")</f>
        <v/>
      </c>
      <c r="U219">
        <f>HYPERLINK("https://klasma.github.io/Logging_2303/knärot/A 43760-2019 karta knärot.png", "A 43760-2019")</f>
        <v/>
      </c>
      <c r="V219">
        <f>HYPERLINK("https://klasma.github.io/Logging_2303/klagomål/A 43760-2019 FSC-klagomål.docx", "A 43760-2019")</f>
        <v/>
      </c>
      <c r="W219">
        <f>HYPERLINK("https://klasma.github.io/Logging_2303/klagomålsmail/A 43760-2019 FSC-klagomål mail.docx", "A 43760-2019")</f>
        <v/>
      </c>
      <c r="X219">
        <f>HYPERLINK("https://klasma.github.io/Logging_2303/tillsyn/A 43760-2019 tillsynsbegäran.docx", "A 43760-2019")</f>
        <v/>
      </c>
      <c r="Y219">
        <f>HYPERLINK("https://klasma.github.io/Logging_2303/tillsynsmail/A 43760-2019 tillsynsbegäran mail.docx", "A 43760-2019")</f>
        <v/>
      </c>
    </row>
    <row r="220" ht="15" customHeight="1">
      <c r="A220" t="inlineStr">
        <is>
          <t>A 63221-2019</t>
        </is>
      </c>
      <c r="B220" s="1" t="n">
        <v>43791</v>
      </c>
      <c r="C220" s="1" t="n">
        <v>45835</v>
      </c>
      <c r="D220" t="inlineStr">
        <is>
          <t>JÄMTLANDS LÄN</t>
        </is>
      </c>
      <c r="E220" t="inlineStr">
        <is>
          <t>RAGUNDA</t>
        </is>
      </c>
      <c r="G220" t="n">
        <v>2.2</v>
      </c>
      <c r="H220" t="n">
        <v>1</v>
      </c>
      <c r="I220" t="n">
        <v>1</v>
      </c>
      <c r="J220" t="n">
        <v>1</v>
      </c>
      <c r="K220" t="n">
        <v>0</v>
      </c>
      <c r="L220" t="n">
        <v>0</v>
      </c>
      <c r="M220" t="n">
        <v>0</v>
      </c>
      <c r="N220" t="n">
        <v>0</v>
      </c>
      <c r="O220" t="n">
        <v>1</v>
      </c>
      <c r="P220" t="n">
        <v>0</v>
      </c>
      <c r="Q220" t="n">
        <v>2</v>
      </c>
      <c r="R220" s="2" t="inlineStr">
        <is>
          <t>Rosenfink
Dvärghäxört</t>
        </is>
      </c>
      <c r="S220">
        <f>HYPERLINK("https://klasma.github.io/Logging_2303/artfynd/A 63221-2019 artfynd.xlsx", "A 63221-2019")</f>
        <v/>
      </c>
      <c r="T220">
        <f>HYPERLINK("https://klasma.github.io/Logging_2303/kartor/A 63221-2019 karta.png", "A 63221-2019")</f>
        <v/>
      </c>
      <c r="V220">
        <f>HYPERLINK("https://klasma.github.io/Logging_2303/klagomål/A 63221-2019 FSC-klagomål.docx", "A 63221-2019")</f>
        <v/>
      </c>
      <c r="W220">
        <f>HYPERLINK("https://klasma.github.io/Logging_2303/klagomålsmail/A 63221-2019 FSC-klagomål mail.docx", "A 63221-2019")</f>
        <v/>
      </c>
      <c r="X220">
        <f>HYPERLINK("https://klasma.github.io/Logging_2303/tillsyn/A 63221-2019 tillsynsbegäran.docx", "A 63221-2019")</f>
        <v/>
      </c>
      <c r="Y220">
        <f>HYPERLINK("https://klasma.github.io/Logging_2303/tillsynsmail/A 63221-2019 tillsynsbegäran mail.docx", "A 63221-2019")</f>
        <v/>
      </c>
      <c r="Z220">
        <f>HYPERLINK("https://klasma.github.io/Logging_2303/fåglar/A 63221-2019 prioriterade fågelarter.docx", "A 63221-2019")</f>
        <v/>
      </c>
    </row>
    <row r="221" ht="15" customHeight="1">
      <c r="A221" t="inlineStr">
        <is>
          <t>A 20477-2020</t>
        </is>
      </c>
      <c r="B221" s="1" t="n">
        <v>43948</v>
      </c>
      <c r="C221" s="1" t="n">
        <v>45835</v>
      </c>
      <c r="D221" t="inlineStr">
        <is>
          <t>JÄMTLANDS LÄN</t>
        </is>
      </c>
      <c r="E221" t="inlineStr">
        <is>
          <t>RAGUNDA</t>
        </is>
      </c>
      <c r="G221" t="n">
        <v>33.6</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20477-2020 artfynd.xlsx", "A 20477-2020")</f>
        <v/>
      </c>
      <c r="T221">
        <f>HYPERLINK("https://klasma.github.io/Logging_2303/kartor/A 20477-2020 karta.png", "A 20477-2020")</f>
        <v/>
      </c>
      <c r="V221">
        <f>HYPERLINK("https://klasma.github.io/Logging_2303/klagomål/A 20477-2020 FSC-klagomål.docx", "A 20477-2020")</f>
        <v/>
      </c>
      <c r="W221">
        <f>HYPERLINK("https://klasma.github.io/Logging_2303/klagomålsmail/A 20477-2020 FSC-klagomål mail.docx", "A 20477-2020")</f>
        <v/>
      </c>
      <c r="X221">
        <f>HYPERLINK("https://klasma.github.io/Logging_2303/tillsyn/A 20477-2020 tillsynsbegäran.docx", "A 20477-2020")</f>
        <v/>
      </c>
      <c r="Y221">
        <f>HYPERLINK("https://klasma.github.io/Logging_2303/tillsynsmail/A 20477-2020 tillsynsbegäran mail.docx", "A 20477-2020")</f>
        <v/>
      </c>
    </row>
    <row r="222" ht="15" customHeight="1">
      <c r="A222" t="inlineStr">
        <is>
          <t>A 47164-2021</t>
        </is>
      </c>
      <c r="B222" s="1" t="n">
        <v>44447</v>
      </c>
      <c r="C222" s="1" t="n">
        <v>45835</v>
      </c>
      <c r="D222" t="inlineStr">
        <is>
          <t>JÄMTLANDS LÄN</t>
        </is>
      </c>
      <c r="E222" t="inlineStr">
        <is>
          <t>RAGUNDA</t>
        </is>
      </c>
      <c r="F222" t="inlineStr">
        <is>
          <t>SCA</t>
        </is>
      </c>
      <c r="G222" t="n">
        <v>8.5</v>
      </c>
      <c r="H222" t="n">
        <v>0</v>
      </c>
      <c r="I222" t="n">
        <v>0</v>
      </c>
      <c r="J222" t="n">
        <v>2</v>
      </c>
      <c r="K222" t="n">
        <v>0</v>
      </c>
      <c r="L222" t="n">
        <v>0</v>
      </c>
      <c r="M222" t="n">
        <v>0</v>
      </c>
      <c r="N222" t="n">
        <v>0</v>
      </c>
      <c r="O222" t="n">
        <v>2</v>
      </c>
      <c r="P222" t="n">
        <v>0</v>
      </c>
      <c r="Q222" t="n">
        <v>2</v>
      </c>
      <c r="R222" s="2" t="inlineStr">
        <is>
          <t>Lunglav
Mörk kolflarnlav</t>
        </is>
      </c>
      <c r="S222">
        <f>HYPERLINK("https://klasma.github.io/Logging_2303/artfynd/A 47164-2021 artfynd.xlsx", "A 47164-2021")</f>
        <v/>
      </c>
      <c r="T222">
        <f>HYPERLINK("https://klasma.github.io/Logging_2303/kartor/A 47164-2021 karta.png", "A 47164-2021")</f>
        <v/>
      </c>
      <c r="V222">
        <f>HYPERLINK("https://klasma.github.io/Logging_2303/klagomål/A 47164-2021 FSC-klagomål.docx", "A 47164-2021")</f>
        <v/>
      </c>
      <c r="W222">
        <f>HYPERLINK("https://klasma.github.io/Logging_2303/klagomålsmail/A 47164-2021 FSC-klagomål mail.docx", "A 47164-2021")</f>
        <v/>
      </c>
      <c r="X222">
        <f>HYPERLINK("https://klasma.github.io/Logging_2303/tillsyn/A 47164-2021 tillsynsbegäran.docx", "A 47164-2021")</f>
        <v/>
      </c>
      <c r="Y222">
        <f>HYPERLINK("https://klasma.github.io/Logging_2303/tillsynsmail/A 47164-2021 tillsynsbegäran mail.docx", "A 47164-2021")</f>
        <v/>
      </c>
    </row>
    <row r="223" ht="15" customHeight="1">
      <c r="A223" t="inlineStr">
        <is>
          <t>A 17043-2022</t>
        </is>
      </c>
      <c r="B223" s="1" t="n">
        <v>44676</v>
      </c>
      <c r="C223" s="1" t="n">
        <v>45835</v>
      </c>
      <c r="D223" t="inlineStr">
        <is>
          <t>JÄMTLANDS LÄN</t>
        </is>
      </c>
      <c r="E223" t="inlineStr">
        <is>
          <t>RAGUNDA</t>
        </is>
      </c>
      <c r="F223" t="inlineStr">
        <is>
          <t>SCA</t>
        </is>
      </c>
      <c r="G223" t="n">
        <v>3</v>
      </c>
      <c r="H223" t="n">
        <v>0</v>
      </c>
      <c r="I223" t="n">
        <v>2</v>
      </c>
      <c r="J223" t="n">
        <v>0</v>
      </c>
      <c r="K223" t="n">
        <v>0</v>
      </c>
      <c r="L223" t="n">
        <v>0</v>
      </c>
      <c r="M223" t="n">
        <v>0</v>
      </c>
      <c r="N223" t="n">
        <v>0</v>
      </c>
      <c r="O223" t="n">
        <v>0</v>
      </c>
      <c r="P223" t="n">
        <v>0</v>
      </c>
      <c r="Q223" t="n">
        <v>2</v>
      </c>
      <c r="R223" s="2" t="inlineStr">
        <is>
          <t>Skinnlav
Vedticka</t>
        </is>
      </c>
      <c r="S223">
        <f>HYPERLINK("https://klasma.github.io/Logging_2303/artfynd/A 17043-2022 artfynd.xlsx", "A 17043-2022")</f>
        <v/>
      </c>
      <c r="T223">
        <f>HYPERLINK("https://klasma.github.io/Logging_2303/kartor/A 17043-2022 karta.png", "A 17043-2022")</f>
        <v/>
      </c>
      <c r="V223">
        <f>HYPERLINK("https://klasma.github.io/Logging_2303/klagomål/A 17043-2022 FSC-klagomål.docx", "A 17043-2022")</f>
        <v/>
      </c>
      <c r="W223">
        <f>HYPERLINK("https://klasma.github.io/Logging_2303/klagomålsmail/A 17043-2022 FSC-klagomål mail.docx", "A 17043-2022")</f>
        <v/>
      </c>
      <c r="X223">
        <f>HYPERLINK("https://klasma.github.io/Logging_2303/tillsyn/A 17043-2022 tillsynsbegäran.docx", "A 17043-2022")</f>
        <v/>
      </c>
      <c r="Y223">
        <f>HYPERLINK("https://klasma.github.io/Logging_2303/tillsynsmail/A 17043-2022 tillsynsbegäran mail.docx", "A 17043-2022")</f>
        <v/>
      </c>
    </row>
    <row r="224" ht="15" customHeight="1">
      <c r="A224" t="inlineStr">
        <is>
          <t>A 17733-2022</t>
        </is>
      </c>
      <c r="B224" s="1" t="n">
        <v>44680</v>
      </c>
      <c r="C224" s="1" t="n">
        <v>45835</v>
      </c>
      <c r="D224" t="inlineStr">
        <is>
          <t>JÄMTLANDS LÄN</t>
        </is>
      </c>
      <c r="E224" t="inlineStr">
        <is>
          <t>RAGUNDA</t>
        </is>
      </c>
      <c r="G224" t="n">
        <v>2.2</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17733-2022 artfynd.xlsx", "A 17733-2022")</f>
        <v/>
      </c>
      <c r="T224">
        <f>HYPERLINK("https://klasma.github.io/Logging_2303/kartor/A 17733-2022 karta.png", "A 17733-2022")</f>
        <v/>
      </c>
      <c r="V224">
        <f>HYPERLINK("https://klasma.github.io/Logging_2303/klagomål/A 17733-2022 FSC-klagomål.docx", "A 17733-2022")</f>
        <v/>
      </c>
      <c r="W224">
        <f>HYPERLINK("https://klasma.github.io/Logging_2303/klagomålsmail/A 17733-2022 FSC-klagomål mail.docx", "A 17733-2022")</f>
        <v/>
      </c>
      <c r="X224">
        <f>HYPERLINK("https://klasma.github.io/Logging_2303/tillsyn/A 17733-2022 tillsynsbegäran.docx", "A 17733-2022")</f>
        <v/>
      </c>
      <c r="Y224">
        <f>HYPERLINK("https://klasma.github.io/Logging_2303/tillsynsmail/A 17733-2022 tillsynsbegäran mail.docx", "A 17733-2022")</f>
        <v/>
      </c>
    </row>
    <row r="225" ht="15" customHeight="1">
      <c r="A225" t="inlineStr">
        <is>
          <t>A 18552-2022</t>
        </is>
      </c>
      <c r="B225" s="1" t="n">
        <v>44687</v>
      </c>
      <c r="C225" s="1" t="n">
        <v>45835</v>
      </c>
      <c r="D225" t="inlineStr">
        <is>
          <t>JÄMTLANDS LÄN</t>
        </is>
      </c>
      <c r="E225" t="inlineStr">
        <is>
          <t>RAGUNDA</t>
        </is>
      </c>
      <c r="F225" t="inlineStr">
        <is>
          <t>SCA</t>
        </is>
      </c>
      <c r="G225" t="n">
        <v>2.6</v>
      </c>
      <c r="H225" t="n">
        <v>0</v>
      </c>
      <c r="I225" t="n">
        <v>0</v>
      </c>
      <c r="J225" t="n">
        <v>2</v>
      </c>
      <c r="K225" t="n">
        <v>0</v>
      </c>
      <c r="L225" t="n">
        <v>0</v>
      </c>
      <c r="M225" t="n">
        <v>0</v>
      </c>
      <c r="N225" t="n">
        <v>0</v>
      </c>
      <c r="O225" t="n">
        <v>2</v>
      </c>
      <c r="P225" t="n">
        <v>0</v>
      </c>
      <c r="Q225" t="n">
        <v>2</v>
      </c>
      <c r="R225" s="2" t="inlineStr">
        <is>
          <t>Granticka
Vedtrappmossa</t>
        </is>
      </c>
      <c r="S225">
        <f>HYPERLINK("https://klasma.github.io/Logging_2303/artfynd/A 18552-2022 artfynd.xlsx", "A 18552-2022")</f>
        <v/>
      </c>
      <c r="T225">
        <f>HYPERLINK("https://klasma.github.io/Logging_2303/kartor/A 18552-2022 karta.png", "A 18552-2022")</f>
        <v/>
      </c>
      <c r="V225">
        <f>HYPERLINK("https://klasma.github.io/Logging_2303/klagomål/A 18552-2022 FSC-klagomål.docx", "A 18552-2022")</f>
        <v/>
      </c>
      <c r="W225">
        <f>HYPERLINK("https://klasma.github.io/Logging_2303/klagomålsmail/A 18552-2022 FSC-klagomål mail.docx", "A 18552-2022")</f>
        <v/>
      </c>
      <c r="X225">
        <f>HYPERLINK("https://klasma.github.io/Logging_2303/tillsyn/A 18552-2022 tillsynsbegäran.docx", "A 18552-2022")</f>
        <v/>
      </c>
      <c r="Y225">
        <f>HYPERLINK("https://klasma.github.io/Logging_2303/tillsynsmail/A 18552-2022 tillsynsbegäran mail.docx", "A 18552-2022")</f>
        <v/>
      </c>
    </row>
    <row r="226" ht="15" customHeight="1">
      <c r="A226" t="inlineStr">
        <is>
          <t>A 41490-2022</t>
        </is>
      </c>
      <c r="B226" s="1" t="n">
        <v>44827</v>
      </c>
      <c r="C226" s="1" t="n">
        <v>45835</v>
      </c>
      <c r="D226" t="inlineStr">
        <is>
          <t>JÄMTLANDS LÄN</t>
        </is>
      </c>
      <c r="E226" t="inlineStr">
        <is>
          <t>RAGUNDA</t>
        </is>
      </c>
      <c r="F226" t="inlineStr">
        <is>
          <t>SCA</t>
        </is>
      </c>
      <c r="G226" t="n">
        <v>2.7</v>
      </c>
      <c r="H226" t="n">
        <v>0</v>
      </c>
      <c r="I226" t="n">
        <v>1</v>
      </c>
      <c r="J226" t="n">
        <v>1</v>
      </c>
      <c r="K226" t="n">
        <v>0</v>
      </c>
      <c r="L226" t="n">
        <v>0</v>
      </c>
      <c r="M226" t="n">
        <v>0</v>
      </c>
      <c r="N226" t="n">
        <v>0</v>
      </c>
      <c r="O226" t="n">
        <v>1</v>
      </c>
      <c r="P226" t="n">
        <v>0</v>
      </c>
      <c r="Q226" t="n">
        <v>2</v>
      </c>
      <c r="R226" s="2" t="inlineStr">
        <is>
          <t>Lunglav
Skinnlav</t>
        </is>
      </c>
      <c r="S226">
        <f>HYPERLINK("https://klasma.github.io/Logging_2303/artfynd/A 41490-2022 artfynd.xlsx", "A 41490-2022")</f>
        <v/>
      </c>
      <c r="T226">
        <f>HYPERLINK("https://klasma.github.io/Logging_2303/kartor/A 41490-2022 karta.png", "A 41490-2022")</f>
        <v/>
      </c>
      <c r="V226">
        <f>HYPERLINK("https://klasma.github.io/Logging_2303/klagomål/A 41490-2022 FSC-klagomål.docx", "A 41490-2022")</f>
        <v/>
      </c>
      <c r="W226">
        <f>HYPERLINK("https://klasma.github.io/Logging_2303/klagomålsmail/A 41490-2022 FSC-klagomål mail.docx", "A 41490-2022")</f>
        <v/>
      </c>
      <c r="X226">
        <f>HYPERLINK("https://klasma.github.io/Logging_2303/tillsyn/A 41490-2022 tillsynsbegäran.docx", "A 41490-2022")</f>
        <v/>
      </c>
      <c r="Y226">
        <f>HYPERLINK("https://klasma.github.io/Logging_2303/tillsynsmail/A 41490-2022 tillsynsbegäran mail.docx", "A 41490-2022")</f>
        <v/>
      </c>
    </row>
    <row r="227" ht="15" customHeight="1">
      <c r="A227" t="inlineStr">
        <is>
          <t>A 47267-2022</t>
        </is>
      </c>
      <c r="B227" s="1" t="n">
        <v>44852</v>
      </c>
      <c r="C227" s="1" t="n">
        <v>45835</v>
      </c>
      <c r="D227" t="inlineStr">
        <is>
          <t>JÄMTLANDS LÄN</t>
        </is>
      </c>
      <c r="E227" t="inlineStr">
        <is>
          <t>RAGUNDA</t>
        </is>
      </c>
      <c r="F227" t="inlineStr">
        <is>
          <t>SCA</t>
        </is>
      </c>
      <c r="G227" t="n">
        <v>82.8</v>
      </c>
      <c r="H227" t="n">
        <v>0</v>
      </c>
      <c r="I227" t="n">
        <v>0</v>
      </c>
      <c r="J227" t="n">
        <v>2</v>
      </c>
      <c r="K227" t="n">
        <v>0</v>
      </c>
      <c r="L227" t="n">
        <v>0</v>
      </c>
      <c r="M227" t="n">
        <v>0</v>
      </c>
      <c r="N227" t="n">
        <v>0</v>
      </c>
      <c r="O227" t="n">
        <v>2</v>
      </c>
      <c r="P227" t="n">
        <v>0</v>
      </c>
      <c r="Q227" t="n">
        <v>2</v>
      </c>
      <c r="R227" s="2" t="inlineStr">
        <is>
          <t>Dvärgbägarlav
Garnlav</t>
        </is>
      </c>
      <c r="S227">
        <f>HYPERLINK("https://klasma.github.io/Logging_2303/artfynd/A 47267-2022 artfynd.xlsx", "A 47267-2022")</f>
        <v/>
      </c>
      <c r="T227">
        <f>HYPERLINK("https://klasma.github.io/Logging_2303/kartor/A 47267-2022 karta.png", "A 47267-2022")</f>
        <v/>
      </c>
      <c r="V227">
        <f>HYPERLINK("https://klasma.github.io/Logging_2303/klagomål/A 47267-2022 FSC-klagomål.docx", "A 47267-2022")</f>
        <v/>
      </c>
      <c r="W227">
        <f>HYPERLINK("https://klasma.github.io/Logging_2303/klagomålsmail/A 47267-2022 FSC-klagomål mail.docx", "A 47267-2022")</f>
        <v/>
      </c>
      <c r="X227">
        <f>HYPERLINK("https://klasma.github.io/Logging_2303/tillsyn/A 47267-2022 tillsynsbegäran.docx", "A 47267-2022")</f>
        <v/>
      </c>
      <c r="Y227">
        <f>HYPERLINK("https://klasma.github.io/Logging_2303/tillsynsmail/A 47267-2022 tillsynsbegäran mail.docx", "A 47267-2022")</f>
        <v/>
      </c>
    </row>
    <row r="228" ht="15" customHeight="1">
      <c r="A228" t="inlineStr">
        <is>
          <t>A 47583-2022</t>
        </is>
      </c>
      <c r="B228" s="1" t="n">
        <v>44854</v>
      </c>
      <c r="C228" s="1" t="n">
        <v>45835</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47583-2022 artfynd.xlsx", "A 47583-2022")</f>
        <v/>
      </c>
      <c r="T228">
        <f>HYPERLINK("https://klasma.github.io/Logging_2303/kartor/A 47583-2022 karta.png", "A 47583-2022")</f>
        <v/>
      </c>
      <c r="V228">
        <f>HYPERLINK("https://klasma.github.io/Logging_2303/klagomål/A 47583-2022 FSC-klagomål.docx", "A 47583-2022")</f>
        <v/>
      </c>
      <c r="W228">
        <f>HYPERLINK("https://klasma.github.io/Logging_2303/klagomålsmail/A 47583-2022 FSC-klagomål mail.docx", "A 47583-2022")</f>
        <v/>
      </c>
      <c r="X228">
        <f>HYPERLINK("https://klasma.github.io/Logging_2303/tillsyn/A 47583-2022 tillsynsbegäran.docx", "A 47583-2022")</f>
        <v/>
      </c>
      <c r="Y228">
        <f>HYPERLINK("https://klasma.github.io/Logging_2303/tillsynsmail/A 47583-2022 tillsynsbegäran mail.docx", "A 47583-2022")</f>
        <v/>
      </c>
    </row>
    <row r="229" ht="15" customHeight="1">
      <c r="A229" t="inlineStr">
        <is>
          <t>A 48059-2022</t>
        </is>
      </c>
      <c r="B229" s="1" t="n">
        <v>44855</v>
      </c>
      <c r="C229" s="1" t="n">
        <v>45835</v>
      </c>
      <c r="D229" t="inlineStr">
        <is>
          <t>JÄMTLANDS LÄN</t>
        </is>
      </c>
      <c r="E229" t="inlineStr">
        <is>
          <t>RAGUNDA</t>
        </is>
      </c>
      <c r="F229" t="inlineStr">
        <is>
          <t>SCA</t>
        </is>
      </c>
      <c r="G229" t="n">
        <v>3.2</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48059-2022 artfynd.xlsx", "A 48059-2022")</f>
        <v/>
      </c>
      <c r="T229">
        <f>HYPERLINK("https://klasma.github.io/Logging_2303/kartor/A 48059-2022 karta.png", "A 48059-2022")</f>
        <v/>
      </c>
      <c r="V229">
        <f>HYPERLINK("https://klasma.github.io/Logging_2303/klagomål/A 48059-2022 FSC-klagomål.docx", "A 48059-2022")</f>
        <v/>
      </c>
      <c r="W229">
        <f>HYPERLINK("https://klasma.github.io/Logging_2303/klagomålsmail/A 48059-2022 FSC-klagomål mail.docx", "A 48059-2022")</f>
        <v/>
      </c>
      <c r="X229">
        <f>HYPERLINK("https://klasma.github.io/Logging_2303/tillsyn/A 48059-2022 tillsynsbegäran.docx", "A 48059-2022")</f>
        <v/>
      </c>
      <c r="Y229">
        <f>HYPERLINK("https://klasma.github.io/Logging_2303/tillsynsmail/A 48059-2022 tillsynsbegäran mail.docx", "A 48059-2022")</f>
        <v/>
      </c>
    </row>
    <row r="230" ht="15" customHeight="1">
      <c r="A230" t="inlineStr">
        <is>
          <t>A 48084-2022</t>
        </is>
      </c>
      <c r="B230" s="1" t="n">
        <v>44855</v>
      </c>
      <c r="C230" s="1" t="n">
        <v>45835</v>
      </c>
      <c r="D230" t="inlineStr">
        <is>
          <t>JÄMTLANDS LÄN</t>
        </is>
      </c>
      <c r="E230" t="inlineStr">
        <is>
          <t>RAGUNDA</t>
        </is>
      </c>
      <c r="F230" t="inlineStr">
        <is>
          <t>SCA</t>
        </is>
      </c>
      <c r="G230" t="n">
        <v>4.7</v>
      </c>
      <c r="H230" t="n">
        <v>1</v>
      </c>
      <c r="I230" t="n">
        <v>0</v>
      </c>
      <c r="J230" t="n">
        <v>2</v>
      </c>
      <c r="K230" t="n">
        <v>0</v>
      </c>
      <c r="L230" t="n">
        <v>0</v>
      </c>
      <c r="M230" t="n">
        <v>0</v>
      </c>
      <c r="N230" t="n">
        <v>0</v>
      </c>
      <c r="O230" t="n">
        <v>2</v>
      </c>
      <c r="P230" t="n">
        <v>0</v>
      </c>
      <c r="Q230" t="n">
        <v>2</v>
      </c>
      <c r="R230" s="2" t="inlineStr">
        <is>
          <t>Rosenticka
Tretåig hackspett</t>
        </is>
      </c>
      <c r="S230">
        <f>HYPERLINK("https://klasma.github.io/Logging_2303/artfynd/A 48084-2022 artfynd.xlsx", "A 48084-2022")</f>
        <v/>
      </c>
      <c r="T230">
        <f>HYPERLINK("https://klasma.github.io/Logging_2303/kartor/A 48084-2022 karta.png", "A 48084-2022")</f>
        <v/>
      </c>
      <c r="V230">
        <f>HYPERLINK("https://klasma.github.io/Logging_2303/klagomål/A 48084-2022 FSC-klagomål.docx", "A 48084-2022")</f>
        <v/>
      </c>
      <c r="W230">
        <f>HYPERLINK("https://klasma.github.io/Logging_2303/klagomålsmail/A 48084-2022 FSC-klagomål mail.docx", "A 48084-2022")</f>
        <v/>
      </c>
      <c r="X230">
        <f>HYPERLINK("https://klasma.github.io/Logging_2303/tillsyn/A 48084-2022 tillsynsbegäran.docx", "A 48084-2022")</f>
        <v/>
      </c>
      <c r="Y230">
        <f>HYPERLINK("https://klasma.github.io/Logging_2303/tillsynsmail/A 48084-2022 tillsynsbegäran mail.docx", "A 48084-2022")</f>
        <v/>
      </c>
      <c r="Z230">
        <f>HYPERLINK("https://klasma.github.io/Logging_2303/fåglar/A 48084-2022 prioriterade fågelarter.docx", "A 48084-2022")</f>
        <v/>
      </c>
    </row>
    <row r="231" ht="15" customHeight="1">
      <c r="A231" t="inlineStr">
        <is>
          <t>A 49194-2022</t>
        </is>
      </c>
      <c r="B231" s="1" t="n">
        <v>44860</v>
      </c>
      <c r="C231" s="1" t="n">
        <v>45835</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Doftticka
Lunglav</t>
        </is>
      </c>
      <c r="S231">
        <f>HYPERLINK("https://klasma.github.io/Logging_2303/artfynd/A 49194-2022 artfynd.xlsx", "A 49194-2022")</f>
        <v/>
      </c>
      <c r="T231">
        <f>HYPERLINK("https://klasma.github.io/Logging_2303/kartor/A 49194-2022 karta.png", "A 49194-2022")</f>
        <v/>
      </c>
      <c r="V231">
        <f>HYPERLINK("https://klasma.github.io/Logging_2303/klagomål/A 49194-2022 FSC-klagomål.docx", "A 49194-2022")</f>
        <v/>
      </c>
      <c r="W231">
        <f>HYPERLINK("https://klasma.github.io/Logging_2303/klagomålsmail/A 49194-2022 FSC-klagomål mail.docx", "A 49194-2022")</f>
        <v/>
      </c>
      <c r="X231">
        <f>HYPERLINK("https://klasma.github.io/Logging_2303/tillsyn/A 49194-2022 tillsynsbegäran.docx", "A 49194-2022")</f>
        <v/>
      </c>
      <c r="Y231">
        <f>HYPERLINK("https://klasma.github.io/Logging_2303/tillsynsmail/A 49194-2022 tillsynsbegäran mail.docx", "A 49194-2022")</f>
        <v/>
      </c>
    </row>
    <row r="232" ht="15" customHeight="1">
      <c r="A232" t="inlineStr">
        <is>
          <t>A 50089-2022</t>
        </is>
      </c>
      <c r="B232" s="1" t="n">
        <v>44865</v>
      </c>
      <c r="C232" s="1" t="n">
        <v>45835</v>
      </c>
      <c r="D232" t="inlineStr">
        <is>
          <t>JÄMTLANDS LÄN</t>
        </is>
      </c>
      <c r="E232" t="inlineStr">
        <is>
          <t>RAGUNDA</t>
        </is>
      </c>
      <c r="G232" t="n">
        <v>5.7</v>
      </c>
      <c r="H232" t="n">
        <v>2</v>
      </c>
      <c r="I232" t="n">
        <v>0</v>
      </c>
      <c r="J232" t="n">
        <v>2</v>
      </c>
      <c r="K232" t="n">
        <v>0</v>
      </c>
      <c r="L232" t="n">
        <v>0</v>
      </c>
      <c r="M232" t="n">
        <v>0</v>
      </c>
      <c r="N232" t="n">
        <v>0</v>
      </c>
      <c r="O232" t="n">
        <v>2</v>
      </c>
      <c r="P232" t="n">
        <v>0</v>
      </c>
      <c r="Q232" t="n">
        <v>2</v>
      </c>
      <c r="R232" s="2" t="inlineStr">
        <is>
          <t>Björktrast
Drillsnäppa</t>
        </is>
      </c>
      <c r="S232">
        <f>HYPERLINK("https://klasma.github.io/Logging_2303/artfynd/A 50089-2022 artfynd.xlsx", "A 50089-2022")</f>
        <v/>
      </c>
      <c r="T232">
        <f>HYPERLINK("https://klasma.github.io/Logging_2303/kartor/A 50089-2022 karta.png", "A 50089-2022")</f>
        <v/>
      </c>
      <c r="V232">
        <f>HYPERLINK("https://klasma.github.io/Logging_2303/klagomål/A 50089-2022 FSC-klagomål.docx", "A 50089-2022")</f>
        <v/>
      </c>
      <c r="W232">
        <f>HYPERLINK("https://klasma.github.io/Logging_2303/klagomålsmail/A 50089-2022 FSC-klagomål mail.docx", "A 50089-2022")</f>
        <v/>
      </c>
      <c r="X232">
        <f>HYPERLINK("https://klasma.github.io/Logging_2303/tillsyn/A 50089-2022 tillsynsbegäran.docx", "A 50089-2022")</f>
        <v/>
      </c>
      <c r="Y232">
        <f>HYPERLINK("https://klasma.github.io/Logging_2303/tillsynsmail/A 50089-2022 tillsynsbegäran mail.docx", "A 50089-2022")</f>
        <v/>
      </c>
      <c r="Z232">
        <f>HYPERLINK("https://klasma.github.io/Logging_2303/fåglar/A 50089-2022 prioriterade fågelarter.docx", "A 50089-2022")</f>
        <v/>
      </c>
    </row>
    <row r="233" ht="15" customHeight="1">
      <c r="A233" t="inlineStr">
        <is>
          <t>A 8033-2023</t>
        </is>
      </c>
      <c r="B233" s="1" t="n">
        <v>44973</v>
      </c>
      <c r="C233" s="1" t="n">
        <v>45835</v>
      </c>
      <c r="D233" t="inlineStr">
        <is>
          <t>JÄMTLANDS LÄN</t>
        </is>
      </c>
      <c r="E233" t="inlineStr">
        <is>
          <t>RAGUNDA</t>
        </is>
      </c>
      <c r="F233" t="inlineStr">
        <is>
          <t>SCA</t>
        </is>
      </c>
      <c r="G233" t="n">
        <v>9.199999999999999</v>
      </c>
      <c r="H233" t="n">
        <v>0</v>
      </c>
      <c r="I233" t="n">
        <v>1</v>
      </c>
      <c r="J233" t="n">
        <v>1</v>
      </c>
      <c r="K233" t="n">
        <v>0</v>
      </c>
      <c r="L233" t="n">
        <v>0</v>
      </c>
      <c r="M233" t="n">
        <v>0</v>
      </c>
      <c r="N233" t="n">
        <v>0</v>
      </c>
      <c r="O233" t="n">
        <v>1</v>
      </c>
      <c r="P233" t="n">
        <v>0</v>
      </c>
      <c r="Q233" t="n">
        <v>2</v>
      </c>
      <c r="R233" s="2" t="inlineStr">
        <is>
          <t>Kolflarnlav
Grönpyrola</t>
        </is>
      </c>
      <c r="S233">
        <f>HYPERLINK("https://klasma.github.io/Logging_2303/artfynd/A 8033-2023 artfynd.xlsx", "A 8033-2023")</f>
        <v/>
      </c>
      <c r="T233">
        <f>HYPERLINK("https://klasma.github.io/Logging_2303/kartor/A 8033-2023 karta.png", "A 8033-2023")</f>
        <v/>
      </c>
      <c r="V233">
        <f>HYPERLINK("https://klasma.github.io/Logging_2303/klagomål/A 8033-2023 FSC-klagomål.docx", "A 8033-2023")</f>
        <v/>
      </c>
      <c r="W233">
        <f>HYPERLINK("https://klasma.github.io/Logging_2303/klagomålsmail/A 8033-2023 FSC-klagomål mail.docx", "A 8033-2023")</f>
        <v/>
      </c>
      <c r="X233">
        <f>HYPERLINK("https://klasma.github.io/Logging_2303/tillsyn/A 8033-2023 tillsynsbegäran.docx", "A 8033-2023")</f>
        <v/>
      </c>
      <c r="Y233">
        <f>HYPERLINK("https://klasma.github.io/Logging_2303/tillsynsmail/A 8033-2023 tillsynsbegäran mail.docx", "A 8033-2023")</f>
        <v/>
      </c>
    </row>
    <row r="234" ht="15" customHeight="1">
      <c r="A234" t="inlineStr">
        <is>
          <t>A 9340-2023</t>
        </is>
      </c>
      <c r="B234" s="1" t="n">
        <v>44980</v>
      </c>
      <c r="C234" s="1" t="n">
        <v>45835</v>
      </c>
      <c r="D234" t="inlineStr">
        <is>
          <t>JÄMTLANDS LÄN</t>
        </is>
      </c>
      <c r="E234" t="inlineStr">
        <is>
          <t>RAGUNDA</t>
        </is>
      </c>
      <c r="G234" t="n">
        <v>2.9</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9340-2023 artfynd.xlsx", "A 9340-2023")</f>
        <v/>
      </c>
      <c r="T234">
        <f>HYPERLINK("https://klasma.github.io/Logging_2303/kartor/A 9340-2023 karta.png", "A 9340-2023")</f>
        <v/>
      </c>
      <c r="V234">
        <f>HYPERLINK("https://klasma.github.io/Logging_2303/klagomål/A 9340-2023 FSC-klagomål.docx", "A 9340-2023")</f>
        <v/>
      </c>
      <c r="W234">
        <f>HYPERLINK("https://klasma.github.io/Logging_2303/klagomålsmail/A 9340-2023 FSC-klagomål mail.docx", "A 9340-2023")</f>
        <v/>
      </c>
      <c r="X234">
        <f>HYPERLINK("https://klasma.github.io/Logging_2303/tillsyn/A 9340-2023 tillsynsbegäran.docx", "A 9340-2023")</f>
        <v/>
      </c>
      <c r="Y234">
        <f>HYPERLINK("https://klasma.github.io/Logging_2303/tillsynsmail/A 9340-2023 tillsynsbegäran mail.docx", "A 9340-2023")</f>
        <v/>
      </c>
    </row>
    <row r="235" ht="15" customHeight="1">
      <c r="A235" t="inlineStr">
        <is>
          <t>A 11843-2023</t>
        </is>
      </c>
      <c r="B235" s="1" t="n">
        <v>44993</v>
      </c>
      <c r="C235" s="1" t="n">
        <v>45835</v>
      </c>
      <c r="D235" t="inlineStr">
        <is>
          <t>JÄMTLANDS LÄN</t>
        </is>
      </c>
      <c r="E235" t="inlineStr">
        <is>
          <t>RAGUNDA</t>
        </is>
      </c>
      <c r="G235" t="n">
        <v>6.4</v>
      </c>
      <c r="H235" t="n">
        <v>2</v>
      </c>
      <c r="I235" t="n">
        <v>0</v>
      </c>
      <c r="J235" t="n">
        <v>1</v>
      </c>
      <c r="K235" t="n">
        <v>0</v>
      </c>
      <c r="L235" t="n">
        <v>0</v>
      </c>
      <c r="M235" t="n">
        <v>0</v>
      </c>
      <c r="N235" t="n">
        <v>0</v>
      </c>
      <c r="O235" t="n">
        <v>1</v>
      </c>
      <c r="P235" t="n">
        <v>0</v>
      </c>
      <c r="Q235" t="n">
        <v>2</v>
      </c>
      <c r="R235" s="2" t="inlineStr">
        <is>
          <t>Spillkråka
Revlummer</t>
        </is>
      </c>
      <c r="S235">
        <f>HYPERLINK("https://klasma.github.io/Logging_2303/artfynd/A 11843-2023 artfynd.xlsx", "A 11843-2023")</f>
        <v/>
      </c>
      <c r="T235">
        <f>HYPERLINK("https://klasma.github.io/Logging_2303/kartor/A 11843-2023 karta.png", "A 11843-2023")</f>
        <v/>
      </c>
      <c r="V235">
        <f>HYPERLINK("https://klasma.github.io/Logging_2303/klagomål/A 11843-2023 FSC-klagomål.docx", "A 11843-2023")</f>
        <v/>
      </c>
      <c r="W235">
        <f>HYPERLINK("https://klasma.github.io/Logging_2303/klagomålsmail/A 11843-2023 FSC-klagomål mail.docx", "A 11843-2023")</f>
        <v/>
      </c>
      <c r="X235">
        <f>HYPERLINK("https://klasma.github.io/Logging_2303/tillsyn/A 11843-2023 tillsynsbegäran.docx", "A 11843-2023")</f>
        <v/>
      </c>
      <c r="Y235">
        <f>HYPERLINK("https://klasma.github.io/Logging_2303/tillsynsmail/A 11843-2023 tillsynsbegäran mail.docx", "A 11843-2023")</f>
        <v/>
      </c>
      <c r="Z235">
        <f>HYPERLINK("https://klasma.github.io/Logging_2303/fåglar/A 11843-2023 prioriterade fågelarter.docx", "A 11843-2023")</f>
        <v/>
      </c>
    </row>
    <row r="236" ht="15" customHeight="1">
      <c r="A236" t="inlineStr">
        <is>
          <t>A 13486-2023</t>
        </is>
      </c>
      <c r="B236" s="1" t="n">
        <v>45005</v>
      </c>
      <c r="C236" s="1" t="n">
        <v>45835</v>
      </c>
      <c r="D236" t="inlineStr">
        <is>
          <t>JÄMTLANDS LÄN</t>
        </is>
      </c>
      <c r="E236" t="inlineStr">
        <is>
          <t>RAGUNDA</t>
        </is>
      </c>
      <c r="F236" t="inlineStr">
        <is>
          <t>SCA</t>
        </is>
      </c>
      <c r="G236" t="n">
        <v>4</v>
      </c>
      <c r="H236" t="n">
        <v>0</v>
      </c>
      <c r="I236" t="n">
        <v>0</v>
      </c>
      <c r="J236" t="n">
        <v>2</v>
      </c>
      <c r="K236" t="n">
        <v>0</v>
      </c>
      <c r="L236" t="n">
        <v>0</v>
      </c>
      <c r="M236" t="n">
        <v>0</v>
      </c>
      <c r="N236" t="n">
        <v>0</v>
      </c>
      <c r="O236" t="n">
        <v>2</v>
      </c>
      <c r="P236" t="n">
        <v>0</v>
      </c>
      <c r="Q236" t="n">
        <v>2</v>
      </c>
      <c r="R236" s="2" t="inlineStr">
        <is>
          <t>Dvärgbägarlav
Lunglav</t>
        </is>
      </c>
      <c r="S236">
        <f>HYPERLINK("https://klasma.github.io/Logging_2303/artfynd/A 13486-2023 artfynd.xlsx", "A 13486-2023")</f>
        <v/>
      </c>
      <c r="T236">
        <f>HYPERLINK("https://klasma.github.io/Logging_2303/kartor/A 13486-2023 karta.png", "A 13486-2023")</f>
        <v/>
      </c>
      <c r="V236">
        <f>HYPERLINK("https://klasma.github.io/Logging_2303/klagomål/A 13486-2023 FSC-klagomål.docx", "A 13486-2023")</f>
        <v/>
      </c>
      <c r="W236">
        <f>HYPERLINK("https://klasma.github.io/Logging_2303/klagomålsmail/A 13486-2023 FSC-klagomål mail.docx", "A 13486-2023")</f>
        <v/>
      </c>
      <c r="X236">
        <f>HYPERLINK("https://klasma.github.io/Logging_2303/tillsyn/A 13486-2023 tillsynsbegäran.docx", "A 13486-2023")</f>
        <v/>
      </c>
      <c r="Y236">
        <f>HYPERLINK("https://klasma.github.io/Logging_2303/tillsynsmail/A 13486-2023 tillsynsbegäran mail.docx", "A 13486-2023")</f>
        <v/>
      </c>
    </row>
    <row r="237" ht="15" customHeight="1">
      <c r="A237" t="inlineStr">
        <is>
          <t>A 13899-2023</t>
        </is>
      </c>
      <c r="B237" s="1" t="n">
        <v>45008</v>
      </c>
      <c r="C237" s="1" t="n">
        <v>45835</v>
      </c>
      <c r="D237" t="inlineStr">
        <is>
          <t>JÄMTLANDS LÄN</t>
        </is>
      </c>
      <c r="E237" t="inlineStr">
        <is>
          <t>RAGUNDA</t>
        </is>
      </c>
      <c r="F237" t="inlineStr">
        <is>
          <t>SCA</t>
        </is>
      </c>
      <c r="G237" t="n">
        <v>3.6</v>
      </c>
      <c r="H237" t="n">
        <v>0</v>
      </c>
      <c r="I237" t="n">
        <v>1</v>
      </c>
      <c r="J237" t="n">
        <v>1</v>
      </c>
      <c r="K237" t="n">
        <v>0</v>
      </c>
      <c r="L237" t="n">
        <v>0</v>
      </c>
      <c r="M237" t="n">
        <v>0</v>
      </c>
      <c r="N237" t="n">
        <v>0</v>
      </c>
      <c r="O237" t="n">
        <v>1</v>
      </c>
      <c r="P237" t="n">
        <v>0</v>
      </c>
      <c r="Q237" t="n">
        <v>2</v>
      </c>
      <c r="R237" s="2" t="inlineStr">
        <is>
          <t>Garnlav
Källmossa</t>
        </is>
      </c>
      <c r="S237">
        <f>HYPERLINK("https://klasma.github.io/Logging_2303/artfynd/A 13899-2023 artfynd.xlsx", "A 13899-2023")</f>
        <v/>
      </c>
      <c r="T237">
        <f>HYPERLINK("https://klasma.github.io/Logging_2303/kartor/A 13899-2023 karta.png", "A 13899-2023")</f>
        <v/>
      </c>
      <c r="V237">
        <f>HYPERLINK("https://klasma.github.io/Logging_2303/klagomål/A 13899-2023 FSC-klagomål.docx", "A 13899-2023")</f>
        <v/>
      </c>
      <c r="W237">
        <f>HYPERLINK("https://klasma.github.io/Logging_2303/klagomålsmail/A 13899-2023 FSC-klagomål mail.docx", "A 13899-2023")</f>
        <v/>
      </c>
      <c r="X237">
        <f>HYPERLINK("https://klasma.github.io/Logging_2303/tillsyn/A 13899-2023 tillsynsbegäran.docx", "A 13899-2023")</f>
        <v/>
      </c>
      <c r="Y237">
        <f>HYPERLINK("https://klasma.github.io/Logging_2303/tillsynsmail/A 13899-2023 tillsynsbegäran mail.docx", "A 13899-2023")</f>
        <v/>
      </c>
    </row>
    <row r="238" ht="15" customHeight="1">
      <c r="A238" t="inlineStr">
        <is>
          <t>A 14075-2023</t>
        </is>
      </c>
      <c r="B238" s="1" t="n">
        <v>45009</v>
      </c>
      <c r="C238" s="1" t="n">
        <v>45835</v>
      </c>
      <c r="D238" t="inlineStr">
        <is>
          <t>JÄMTLANDS LÄN</t>
        </is>
      </c>
      <c r="E238" t="inlineStr">
        <is>
          <t>RAGUNDA</t>
        </is>
      </c>
      <c r="F238" t="inlineStr">
        <is>
          <t>SCA</t>
        </is>
      </c>
      <c r="G238" t="n">
        <v>9.5</v>
      </c>
      <c r="H238" t="n">
        <v>0</v>
      </c>
      <c r="I238" t="n">
        <v>0</v>
      </c>
      <c r="J238" t="n">
        <v>1</v>
      </c>
      <c r="K238" t="n">
        <v>1</v>
      </c>
      <c r="L238" t="n">
        <v>0</v>
      </c>
      <c r="M238" t="n">
        <v>0</v>
      </c>
      <c r="N238" t="n">
        <v>0</v>
      </c>
      <c r="O238" t="n">
        <v>2</v>
      </c>
      <c r="P238" t="n">
        <v>1</v>
      </c>
      <c r="Q238" t="n">
        <v>2</v>
      </c>
      <c r="R238" s="2" t="inlineStr">
        <is>
          <t>Gräddporing
Lunglav</t>
        </is>
      </c>
      <c r="S238">
        <f>HYPERLINK("https://klasma.github.io/Logging_2303/artfynd/A 14075-2023 artfynd.xlsx", "A 14075-2023")</f>
        <v/>
      </c>
      <c r="T238">
        <f>HYPERLINK("https://klasma.github.io/Logging_2303/kartor/A 14075-2023 karta.png", "A 14075-2023")</f>
        <v/>
      </c>
      <c r="V238">
        <f>HYPERLINK("https://klasma.github.io/Logging_2303/klagomål/A 14075-2023 FSC-klagomål.docx", "A 14075-2023")</f>
        <v/>
      </c>
      <c r="W238">
        <f>HYPERLINK("https://klasma.github.io/Logging_2303/klagomålsmail/A 14075-2023 FSC-klagomål mail.docx", "A 14075-2023")</f>
        <v/>
      </c>
      <c r="X238">
        <f>HYPERLINK("https://klasma.github.io/Logging_2303/tillsyn/A 14075-2023 tillsynsbegäran.docx", "A 14075-2023")</f>
        <v/>
      </c>
      <c r="Y238">
        <f>HYPERLINK("https://klasma.github.io/Logging_2303/tillsynsmail/A 14075-2023 tillsynsbegäran mail.docx", "A 14075-2023")</f>
        <v/>
      </c>
    </row>
    <row r="239" ht="15" customHeight="1">
      <c r="A239" t="inlineStr">
        <is>
          <t>A 22732-2023</t>
        </is>
      </c>
      <c r="B239" s="1" t="n">
        <v>45071</v>
      </c>
      <c r="C239" s="1" t="n">
        <v>45835</v>
      </c>
      <c r="D239" t="inlineStr">
        <is>
          <t>JÄMTLANDS LÄN</t>
        </is>
      </c>
      <c r="E239" t="inlineStr">
        <is>
          <t>RAGUNDA</t>
        </is>
      </c>
      <c r="G239" t="n">
        <v>3.8</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22732-2023 artfynd.xlsx", "A 22732-2023")</f>
        <v/>
      </c>
      <c r="T239">
        <f>HYPERLINK("https://klasma.github.io/Logging_2303/kartor/A 22732-2023 karta.png", "A 22732-2023")</f>
        <v/>
      </c>
      <c r="V239">
        <f>HYPERLINK("https://klasma.github.io/Logging_2303/klagomål/A 22732-2023 FSC-klagomål.docx", "A 22732-2023")</f>
        <v/>
      </c>
      <c r="W239">
        <f>HYPERLINK("https://klasma.github.io/Logging_2303/klagomålsmail/A 22732-2023 FSC-klagomål mail.docx", "A 22732-2023")</f>
        <v/>
      </c>
      <c r="X239">
        <f>HYPERLINK("https://klasma.github.io/Logging_2303/tillsyn/A 22732-2023 tillsynsbegäran.docx", "A 22732-2023")</f>
        <v/>
      </c>
      <c r="Y239">
        <f>HYPERLINK("https://klasma.github.io/Logging_2303/tillsynsmail/A 22732-2023 tillsynsbegäran mail.docx", "A 22732-2023")</f>
        <v/>
      </c>
    </row>
    <row r="240" ht="15" customHeight="1">
      <c r="A240" t="inlineStr">
        <is>
          <t>A 26482-2023</t>
        </is>
      </c>
      <c r="B240" s="1" t="n">
        <v>45089</v>
      </c>
      <c r="C240" s="1" t="n">
        <v>45835</v>
      </c>
      <c r="D240" t="inlineStr">
        <is>
          <t>JÄMTLANDS LÄN</t>
        </is>
      </c>
      <c r="E240" t="inlineStr">
        <is>
          <t>RAGUNDA</t>
        </is>
      </c>
      <c r="G240" t="n">
        <v>2</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HYPERLINK("https://klasma.github.io/Logging_2303/artfynd/A 26482-2023 artfynd.xlsx", "A 26482-2023")</f>
        <v/>
      </c>
      <c r="T240">
        <f>HYPERLINK("https://klasma.github.io/Logging_2303/kartor/A 26482-2023 karta.png", "A 26482-2023")</f>
        <v/>
      </c>
      <c r="V240">
        <f>HYPERLINK("https://klasma.github.io/Logging_2303/klagomål/A 26482-2023 FSC-klagomål.docx", "A 26482-2023")</f>
        <v/>
      </c>
      <c r="W240">
        <f>HYPERLINK("https://klasma.github.io/Logging_2303/klagomålsmail/A 26482-2023 FSC-klagomål mail.docx", "A 26482-2023")</f>
        <v/>
      </c>
      <c r="X240">
        <f>HYPERLINK("https://klasma.github.io/Logging_2303/tillsyn/A 26482-2023 tillsynsbegäran.docx", "A 26482-2023")</f>
        <v/>
      </c>
      <c r="Y240">
        <f>HYPERLINK("https://klasma.github.io/Logging_2303/tillsynsmail/A 26482-2023 tillsynsbegäran mail.docx", "A 26482-2023")</f>
        <v/>
      </c>
      <c r="Z240">
        <f>HYPERLINK("https://klasma.github.io/Logging_2303/fåglar/A 26482-2023 prioriterade fågelarter.docx", "A 26482-2023")</f>
        <v/>
      </c>
    </row>
    <row r="241" ht="15" customHeight="1">
      <c r="A241" t="inlineStr">
        <is>
          <t>A 32736-2023</t>
        </is>
      </c>
      <c r="B241" s="1" t="n">
        <v>45121</v>
      </c>
      <c r="C241" s="1" t="n">
        <v>45835</v>
      </c>
      <c r="D241" t="inlineStr">
        <is>
          <t>JÄMTLANDS LÄN</t>
        </is>
      </c>
      <c r="E241" t="inlineStr">
        <is>
          <t>RAGUNDA</t>
        </is>
      </c>
      <c r="F241" t="inlineStr">
        <is>
          <t>SCA</t>
        </is>
      </c>
      <c r="G241" t="n">
        <v>2.5</v>
      </c>
      <c r="H241" t="n">
        <v>0</v>
      </c>
      <c r="I241" t="n">
        <v>1</v>
      </c>
      <c r="J241" t="n">
        <v>1</v>
      </c>
      <c r="K241" t="n">
        <v>0</v>
      </c>
      <c r="L241" t="n">
        <v>0</v>
      </c>
      <c r="M241" t="n">
        <v>0</v>
      </c>
      <c r="N241" t="n">
        <v>0</v>
      </c>
      <c r="O241" t="n">
        <v>1</v>
      </c>
      <c r="P241" t="n">
        <v>0</v>
      </c>
      <c r="Q241" t="n">
        <v>2</v>
      </c>
      <c r="R241" s="2" t="inlineStr">
        <is>
          <t>Vedtrappmossa
Stor aspticka</t>
        </is>
      </c>
      <c r="S241">
        <f>HYPERLINK("https://klasma.github.io/Logging_2303/artfynd/A 32736-2023 artfynd.xlsx", "A 32736-2023")</f>
        <v/>
      </c>
      <c r="T241">
        <f>HYPERLINK("https://klasma.github.io/Logging_2303/kartor/A 32736-2023 karta.png", "A 32736-2023")</f>
        <v/>
      </c>
      <c r="V241">
        <f>HYPERLINK("https://klasma.github.io/Logging_2303/klagomål/A 32736-2023 FSC-klagomål.docx", "A 32736-2023")</f>
        <v/>
      </c>
      <c r="W241">
        <f>HYPERLINK("https://klasma.github.io/Logging_2303/klagomålsmail/A 32736-2023 FSC-klagomål mail.docx", "A 32736-2023")</f>
        <v/>
      </c>
      <c r="X241">
        <f>HYPERLINK("https://klasma.github.io/Logging_2303/tillsyn/A 32736-2023 tillsynsbegäran.docx", "A 32736-2023")</f>
        <v/>
      </c>
      <c r="Y241">
        <f>HYPERLINK("https://klasma.github.io/Logging_2303/tillsynsmail/A 32736-2023 tillsynsbegäran mail.docx", "A 32736-2023")</f>
        <v/>
      </c>
    </row>
    <row r="242" ht="15" customHeight="1">
      <c r="A242" t="inlineStr">
        <is>
          <t>A 37236-2023</t>
        </is>
      </c>
      <c r="B242" s="1" t="n">
        <v>45155</v>
      </c>
      <c r="C242" s="1" t="n">
        <v>45835</v>
      </c>
      <c r="D242" t="inlineStr">
        <is>
          <t>JÄMTLANDS LÄN</t>
        </is>
      </c>
      <c r="E242" t="inlineStr">
        <is>
          <t>RAGUNDA</t>
        </is>
      </c>
      <c r="F242" t="inlineStr">
        <is>
          <t>SCA</t>
        </is>
      </c>
      <c r="G242" t="n">
        <v>4.7</v>
      </c>
      <c r="H242" t="n">
        <v>0</v>
      </c>
      <c r="I242" t="n">
        <v>0</v>
      </c>
      <c r="J242" t="n">
        <v>2</v>
      </c>
      <c r="K242" t="n">
        <v>0</v>
      </c>
      <c r="L242" t="n">
        <v>0</v>
      </c>
      <c r="M242" t="n">
        <v>0</v>
      </c>
      <c r="N242" t="n">
        <v>0</v>
      </c>
      <c r="O242" t="n">
        <v>2</v>
      </c>
      <c r="P242" t="n">
        <v>0</v>
      </c>
      <c r="Q242" t="n">
        <v>2</v>
      </c>
      <c r="R242" s="2" t="inlineStr">
        <is>
          <t>Kolflarnlav
Lunglav</t>
        </is>
      </c>
      <c r="S242">
        <f>HYPERLINK("https://klasma.github.io/Logging_2303/artfynd/A 37236-2023 artfynd.xlsx", "A 37236-2023")</f>
        <v/>
      </c>
      <c r="T242">
        <f>HYPERLINK("https://klasma.github.io/Logging_2303/kartor/A 37236-2023 karta.png", "A 37236-2023")</f>
        <v/>
      </c>
      <c r="U242">
        <f>HYPERLINK("https://klasma.github.io/Logging_2303/knärot/A 37236-2023 karta knärot.png", "A 37236-2023")</f>
        <v/>
      </c>
      <c r="V242">
        <f>HYPERLINK("https://klasma.github.io/Logging_2303/klagomål/A 37236-2023 FSC-klagomål.docx", "A 37236-2023")</f>
        <v/>
      </c>
      <c r="W242">
        <f>HYPERLINK("https://klasma.github.io/Logging_2303/klagomålsmail/A 37236-2023 FSC-klagomål mail.docx", "A 37236-2023")</f>
        <v/>
      </c>
      <c r="X242">
        <f>HYPERLINK("https://klasma.github.io/Logging_2303/tillsyn/A 37236-2023 tillsynsbegäran.docx", "A 37236-2023")</f>
        <v/>
      </c>
      <c r="Y242">
        <f>HYPERLINK("https://klasma.github.io/Logging_2303/tillsynsmail/A 37236-2023 tillsynsbegäran mail.docx", "A 37236-2023")</f>
        <v/>
      </c>
    </row>
    <row r="243" ht="15" customHeight="1">
      <c r="A243" t="inlineStr">
        <is>
          <t>A 39818-2023</t>
        </is>
      </c>
      <c r="B243" s="1" t="n">
        <v>45167</v>
      </c>
      <c r="C243" s="1" t="n">
        <v>45835</v>
      </c>
      <c r="D243" t="inlineStr">
        <is>
          <t>JÄMTLANDS LÄN</t>
        </is>
      </c>
      <c r="E243" t="inlineStr">
        <is>
          <t>RAGUNDA</t>
        </is>
      </c>
      <c r="F243" t="inlineStr">
        <is>
          <t>SCA</t>
        </is>
      </c>
      <c r="G243" t="n">
        <v>13.6</v>
      </c>
      <c r="H243" t="n">
        <v>0</v>
      </c>
      <c r="I243" t="n">
        <v>0</v>
      </c>
      <c r="J243" t="n">
        <v>2</v>
      </c>
      <c r="K243" t="n">
        <v>0</v>
      </c>
      <c r="L243" t="n">
        <v>0</v>
      </c>
      <c r="M243" t="n">
        <v>0</v>
      </c>
      <c r="N243" t="n">
        <v>0</v>
      </c>
      <c r="O243" t="n">
        <v>2</v>
      </c>
      <c r="P243" t="n">
        <v>0</v>
      </c>
      <c r="Q243" t="n">
        <v>2</v>
      </c>
      <c r="R243" s="2" t="inlineStr">
        <is>
          <t>Lunglav
Ullticka</t>
        </is>
      </c>
      <c r="S243">
        <f>HYPERLINK("https://klasma.github.io/Logging_2303/artfynd/A 39818-2023 artfynd.xlsx", "A 39818-2023")</f>
        <v/>
      </c>
      <c r="T243">
        <f>HYPERLINK("https://klasma.github.io/Logging_2303/kartor/A 39818-2023 karta.png", "A 39818-2023")</f>
        <v/>
      </c>
      <c r="V243">
        <f>HYPERLINK("https://klasma.github.io/Logging_2303/klagomål/A 39818-2023 FSC-klagomål.docx", "A 39818-2023")</f>
        <v/>
      </c>
      <c r="W243">
        <f>HYPERLINK("https://klasma.github.io/Logging_2303/klagomålsmail/A 39818-2023 FSC-klagomål mail.docx", "A 39818-2023")</f>
        <v/>
      </c>
      <c r="X243">
        <f>HYPERLINK("https://klasma.github.io/Logging_2303/tillsyn/A 39818-2023 tillsynsbegäran.docx", "A 39818-2023")</f>
        <v/>
      </c>
      <c r="Y243">
        <f>HYPERLINK("https://klasma.github.io/Logging_2303/tillsynsmail/A 39818-2023 tillsynsbegäran mail.docx", "A 39818-2023")</f>
        <v/>
      </c>
    </row>
    <row r="244" ht="15" customHeight="1">
      <c r="A244" t="inlineStr">
        <is>
          <t>A 40826-2023</t>
        </is>
      </c>
      <c r="B244" s="1" t="n">
        <v>45171</v>
      </c>
      <c r="C244" s="1" t="n">
        <v>45835</v>
      </c>
      <c r="D244" t="inlineStr">
        <is>
          <t>JÄMTLANDS LÄN</t>
        </is>
      </c>
      <c r="E244" t="inlineStr">
        <is>
          <t>RAGUNDA</t>
        </is>
      </c>
      <c r="F244" t="inlineStr">
        <is>
          <t>SCA</t>
        </is>
      </c>
      <c r="G244" t="n">
        <v>4.5</v>
      </c>
      <c r="H244" t="n">
        <v>0</v>
      </c>
      <c r="I244" t="n">
        <v>1</v>
      </c>
      <c r="J244" t="n">
        <v>1</v>
      </c>
      <c r="K244" t="n">
        <v>0</v>
      </c>
      <c r="L244" t="n">
        <v>0</v>
      </c>
      <c r="M244" t="n">
        <v>0</v>
      </c>
      <c r="N244" t="n">
        <v>0</v>
      </c>
      <c r="O244" t="n">
        <v>1</v>
      </c>
      <c r="P244" t="n">
        <v>0</v>
      </c>
      <c r="Q244" t="n">
        <v>2</v>
      </c>
      <c r="R244" s="2" t="inlineStr">
        <is>
          <t>Lunglav
Stuplav</t>
        </is>
      </c>
      <c r="S244">
        <f>HYPERLINK("https://klasma.github.io/Logging_2303/artfynd/A 40826-2023 artfynd.xlsx", "A 40826-2023")</f>
        <v/>
      </c>
      <c r="T244">
        <f>HYPERLINK("https://klasma.github.io/Logging_2303/kartor/A 40826-2023 karta.png", "A 40826-2023")</f>
        <v/>
      </c>
      <c r="V244">
        <f>HYPERLINK("https://klasma.github.io/Logging_2303/klagomål/A 40826-2023 FSC-klagomål.docx", "A 40826-2023")</f>
        <v/>
      </c>
      <c r="W244">
        <f>HYPERLINK("https://klasma.github.io/Logging_2303/klagomålsmail/A 40826-2023 FSC-klagomål mail.docx", "A 40826-2023")</f>
        <v/>
      </c>
      <c r="X244">
        <f>HYPERLINK("https://klasma.github.io/Logging_2303/tillsyn/A 40826-2023 tillsynsbegäran.docx", "A 40826-2023")</f>
        <v/>
      </c>
      <c r="Y244">
        <f>HYPERLINK("https://klasma.github.io/Logging_2303/tillsynsmail/A 40826-2023 tillsynsbegäran mail.docx", "A 40826-2023")</f>
        <v/>
      </c>
    </row>
    <row r="245" ht="15" customHeight="1">
      <c r="A245" t="inlineStr">
        <is>
          <t>A 41407-2023</t>
        </is>
      </c>
      <c r="B245" s="1" t="n">
        <v>45174</v>
      </c>
      <c r="C245" s="1" t="n">
        <v>45835</v>
      </c>
      <c r="D245" t="inlineStr">
        <is>
          <t>JÄMTLANDS LÄN</t>
        </is>
      </c>
      <c r="E245" t="inlineStr">
        <is>
          <t>RAGUNDA</t>
        </is>
      </c>
      <c r="F245" t="inlineStr">
        <is>
          <t>SCA</t>
        </is>
      </c>
      <c r="G245" t="n">
        <v>1.4</v>
      </c>
      <c r="H245" t="n">
        <v>0</v>
      </c>
      <c r="I245" t="n">
        <v>0</v>
      </c>
      <c r="J245" t="n">
        <v>1</v>
      </c>
      <c r="K245" t="n">
        <v>1</v>
      </c>
      <c r="L245" t="n">
        <v>0</v>
      </c>
      <c r="M245" t="n">
        <v>0</v>
      </c>
      <c r="N245" t="n">
        <v>0</v>
      </c>
      <c r="O245" t="n">
        <v>2</v>
      </c>
      <c r="P245" t="n">
        <v>1</v>
      </c>
      <c r="Q245" t="n">
        <v>2</v>
      </c>
      <c r="R245" s="2" t="inlineStr">
        <is>
          <t>Gräddporing
Dvärgbägarlav</t>
        </is>
      </c>
      <c r="S245">
        <f>HYPERLINK("https://klasma.github.io/Logging_2303/artfynd/A 41407-2023 artfynd.xlsx", "A 41407-2023")</f>
        <v/>
      </c>
      <c r="T245">
        <f>HYPERLINK("https://klasma.github.io/Logging_2303/kartor/A 41407-2023 karta.png", "A 41407-2023")</f>
        <v/>
      </c>
      <c r="V245">
        <f>HYPERLINK("https://klasma.github.io/Logging_2303/klagomål/A 41407-2023 FSC-klagomål.docx", "A 41407-2023")</f>
        <v/>
      </c>
      <c r="W245">
        <f>HYPERLINK("https://klasma.github.io/Logging_2303/klagomålsmail/A 41407-2023 FSC-klagomål mail.docx", "A 41407-2023")</f>
        <v/>
      </c>
      <c r="X245">
        <f>HYPERLINK("https://klasma.github.io/Logging_2303/tillsyn/A 41407-2023 tillsynsbegäran.docx", "A 41407-2023")</f>
        <v/>
      </c>
      <c r="Y245">
        <f>HYPERLINK("https://klasma.github.io/Logging_2303/tillsynsmail/A 41407-2023 tillsynsbegäran mail.docx", "A 41407-2023")</f>
        <v/>
      </c>
    </row>
    <row r="246" ht="15" customHeight="1">
      <c r="A246" t="inlineStr">
        <is>
          <t>A 43232-2023</t>
        </is>
      </c>
      <c r="B246" s="1" t="n">
        <v>45180</v>
      </c>
      <c r="C246" s="1" t="n">
        <v>45835</v>
      </c>
      <c r="D246" t="inlineStr">
        <is>
          <t>JÄMTLANDS LÄN</t>
        </is>
      </c>
      <c r="E246" t="inlineStr">
        <is>
          <t>RAGUNDA</t>
        </is>
      </c>
      <c r="G246" t="n">
        <v>7.9</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43232-2023 artfynd.xlsx", "A 43232-2023")</f>
        <v/>
      </c>
      <c r="T246">
        <f>HYPERLINK("https://klasma.github.io/Logging_2303/kartor/A 43232-2023 karta.png", "A 43232-2023")</f>
        <v/>
      </c>
      <c r="V246">
        <f>HYPERLINK("https://klasma.github.io/Logging_2303/klagomål/A 43232-2023 FSC-klagomål.docx", "A 43232-2023")</f>
        <v/>
      </c>
      <c r="W246">
        <f>HYPERLINK("https://klasma.github.io/Logging_2303/klagomålsmail/A 43232-2023 FSC-klagomål mail.docx", "A 43232-2023")</f>
        <v/>
      </c>
      <c r="X246">
        <f>HYPERLINK("https://klasma.github.io/Logging_2303/tillsyn/A 43232-2023 tillsynsbegäran.docx", "A 43232-2023")</f>
        <v/>
      </c>
      <c r="Y246">
        <f>HYPERLINK("https://klasma.github.io/Logging_2303/tillsynsmail/A 43232-2023 tillsynsbegäran mail.docx", "A 43232-2023")</f>
        <v/>
      </c>
    </row>
    <row r="247" ht="15" customHeight="1">
      <c r="A247" t="inlineStr">
        <is>
          <t>A 44409-2023</t>
        </is>
      </c>
      <c r="B247" s="1" t="n">
        <v>45188</v>
      </c>
      <c r="C247" s="1" t="n">
        <v>45835</v>
      </c>
      <c r="D247" t="inlineStr">
        <is>
          <t>JÄMTLANDS LÄN</t>
        </is>
      </c>
      <c r="E247" t="inlineStr">
        <is>
          <t>RAGUNDA</t>
        </is>
      </c>
      <c r="F247" t="inlineStr">
        <is>
          <t>SCA</t>
        </is>
      </c>
      <c r="G247" t="n">
        <v>2.5</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44409-2023 artfynd.xlsx", "A 44409-2023")</f>
        <v/>
      </c>
      <c r="T247">
        <f>HYPERLINK("https://klasma.github.io/Logging_2303/kartor/A 44409-2023 karta.png", "A 44409-2023")</f>
        <v/>
      </c>
      <c r="V247">
        <f>HYPERLINK("https://klasma.github.io/Logging_2303/klagomål/A 44409-2023 FSC-klagomål.docx", "A 44409-2023")</f>
        <v/>
      </c>
      <c r="W247">
        <f>HYPERLINK("https://klasma.github.io/Logging_2303/klagomålsmail/A 44409-2023 FSC-klagomål mail.docx", "A 44409-2023")</f>
        <v/>
      </c>
      <c r="X247">
        <f>HYPERLINK("https://klasma.github.io/Logging_2303/tillsyn/A 44409-2023 tillsynsbegäran.docx", "A 44409-2023")</f>
        <v/>
      </c>
      <c r="Y247">
        <f>HYPERLINK("https://klasma.github.io/Logging_2303/tillsynsmail/A 44409-2023 tillsynsbegäran mail.docx", "A 44409-2023")</f>
        <v/>
      </c>
    </row>
    <row r="248" ht="15" customHeight="1">
      <c r="A248" t="inlineStr">
        <is>
          <t>A 45021-2023</t>
        </is>
      </c>
      <c r="B248" s="1" t="n">
        <v>45190</v>
      </c>
      <c r="C248" s="1" t="n">
        <v>45835</v>
      </c>
      <c r="D248" t="inlineStr">
        <is>
          <t>JÄMTLANDS LÄN</t>
        </is>
      </c>
      <c r="E248" t="inlineStr">
        <is>
          <t>RAGUNDA</t>
        </is>
      </c>
      <c r="F248" t="inlineStr">
        <is>
          <t>SCA</t>
        </is>
      </c>
      <c r="G248" t="n">
        <v>1.6</v>
      </c>
      <c r="H248" t="n">
        <v>1</v>
      </c>
      <c r="I248" t="n">
        <v>0</v>
      </c>
      <c r="J248" t="n">
        <v>1</v>
      </c>
      <c r="K248" t="n">
        <v>0</v>
      </c>
      <c r="L248" t="n">
        <v>0</v>
      </c>
      <c r="M248" t="n">
        <v>0</v>
      </c>
      <c r="N248" t="n">
        <v>0</v>
      </c>
      <c r="O248" t="n">
        <v>1</v>
      </c>
      <c r="P248" t="n">
        <v>0</v>
      </c>
      <c r="Q248" t="n">
        <v>2</v>
      </c>
      <c r="R248" s="2" t="inlineStr">
        <is>
          <t>Lunglav
Fläcknycklar</t>
        </is>
      </c>
      <c r="S248">
        <f>HYPERLINK("https://klasma.github.io/Logging_2303/artfynd/A 45021-2023 artfynd.xlsx", "A 45021-2023")</f>
        <v/>
      </c>
      <c r="T248">
        <f>HYPERLINK("https://klasma.github.io/Logging_2303/kartor/A 45021-2023 karta.png", "A 45021-2023")</f>
        <v/>
      </c>
      <c r="V248">
        <f>HYPERLINK("https://klasma.github.io/Logging_2303/klagomål/A 45021-2023 FSC-klagomål.docx", "A 45021-2023")</f>
        <v/>
      </c>
      <c r="W248">
        <f>HYPERLINK("https://klasma.github.io/Logging_2303/klagomålsmail/A 45021-2023 FSC-klagomål mail.docx", "A 45021-2023")</f>
        <v/>
      </c>
      <c r="X248">
        <f>HYPERLINK("https://klasma.github.io/Logging_2303/tillsyn/A 45021-2023 tillsynsbegäran.docx", "A 45021-2023")</f>
        <v/>
      </c>
      <c r="Y248">
        <f>HYPERLINK("https://klasma.github.io/Logging_2303/tillsynsmail/A 45021-2023 tillsynsbegäran mail.docx", "A 45021-2023")</f>
        <v/>
      </c>
    </row>
    <row r="249" ht="15" customHeight="1">
      <c r="A249" t="inlineStr">
        <is>
          <t>A 45035-2023</t>
        </is>
      </c>
      <c r="B249" s="1" t="n">
        <v>45191</v>
      </c>
      <c r="C249" s="1" t="n">
        <v>45835</v>
      </c>
      <c r="D249" t="inlineStr">
        <is>
          <t>JÄMTLANDS LÄN</t>
        </is>
      </c>
      <c r="E249" t="inlineStr">
        <is>
          <t>RAGUNDA</t>
        </is>
      </c>
      <c r="G249" t="n">
        <v>2.9</v>
      </c>
      <c r="H249" t="n">
        <v>0</v>
      </c>
      <c r="I249" t="n">
        <v>1</v>
      </c>
      <c r="J249" t="n">
        <v>1</v>
      </c>
      <c r="K249" t="n">
        <v>0</v>
      </c>
      <c r="L249" t="n">
        <v>0</v>
      </c>
      <c r="M249" t="n">
        <v>0</v>
      </c>
      <c r="N249" t="n">
        <v>0</v>
      </c>
      <c r="O249" t="n">
        <v>1</v>
      </c>
      <c r="P249" t="n">
        <v>0</v>
      </c>
      <c r="Q249" t="n">
        <v>2</v>
      </c>
      <c r="R249" s="2" t="inlineStr">
        <is>
          <t>Lunglav
Korallblylav</t>
        </is>
      </c>
      <c r="S249">
        <f>HYPERLINK("https://klasma.github.io/Logging_2303/artfynd/A 45035-2023 artfynd.xlsx", "A 45035-2023")</f>
        <v/>
      </c>
      <c r="T249">
        <f>HYPERLINK("https://klasma.github.io/Logging_2303/kartor/A 45035-2023 karta.png", "A 45035-2023")</f>
        <v/>
      </c>
      <c r="V249">
        <f>HYPERLINK("https://klasma.github.io/Logging_2303/klagomål/A 45035-2023 FSC-klagomål.docx", "A 45035-2023")</f>
        <v/>
      </c>
      <c r="W249">
        <f>HYPERLINK("https://klasma.github.io/Logging_2303/klagomålsmail/A 45035-2023 FSC-klagomål mail.docx", "A 45035-2023")</f>
        <v/>
      </c>
      <c r="X249">
        <f>HYPERLINK("https://klasma.github.io/Logging_2303/tillsyn/A 45035-2023 tillsynsbegäran.docx", "A 45035-2023")</f>
        <v/>
      </c>
      <c r="Y249">
        <f>HYPERLINK("https://klasma.github.io/Logging_2303/tillsynsmail/A 45035-2023 tillsynsbegäran mail.docx", "A 45035-2023")</f>
        <v/>
      </c>
    </row>
    <row r="250" ht="15" customHeight="1">
      <c r="A250" t="inlineStr">
        <is>
          <t>A 48427-2023</t>
        </is>
      </c>
      <c r="B250" s="1" t="n">
        <v>45205</v>
      </c>
      <c r="C250" s="1" t="n">
        <v>45835</v>
      </c>
      <c r="D250" t="inlineStr">
        <is>
          <t>JÄMTLANDS LÄN</t>
        </is>
      </c>
      <c r="E250" t="inlineStr">
        <is>
          <t>RAGUNDA</t>
        </is>
      </c>
      <c r="F250" t="inlineStr">
        <is>
          <t>SCA</t>
        </is>
      </c>
      <c r="G250" t="n">
        <v>10.1</v>
      </c>
      <c r="H250" t="n">
        <v>0</v>
      </c>
      <c r="I250" t="n">
        <v>1</v>
      </c>
      <c r="J250" t="n">
        <v>1</v>
      </c>
      <c r="K250" t="n">
        <v>0</v>
      </c>
      <c r="L250" t="n">
        <v>0</v>
      </c>
      <c r="M250" t="n">
        <v>0</v>
      </c>
      <c r="N250" t="n">
        <v>0</v>
      </c>
      <c r="O250" t="n">
        <v>1</v>
      </c>
      <c r="P250" t="n">
        <v>0</v>
      </c>
      <c r="Q250" t="n">
        <v>2</v>
      </c>
      <c r="R250" s="2" t="inlineStr">
        <is>
          <t>Lunglav
Luddlav</t>
        </is>
      </c>
      <c r="S250">
        <f>HYPERLINK("https://klasma.github.io/Logging_2303/artfynd/A 48427-2023 artfynd.xlsx", "A 48427-2023")</f>
        <v/>
      </c>
      <c r="T250">
        <f>HYPERLINK("https://klasma.github.io/Logging_2303/kartor/A 48427-2023 karta.png", "A 48427-2023")</f>
        <v/>
      </c>
      <c r="V250">
        <f>HYPERLINK("https://klasma.github.io/Logging_2303/klagomål/A 48427-2023 FSC-klagomål.docx", "A 48427-2023")</f>
        <v/>
      </c>
      <c r="W250">
        <f>HYPERLINK("https://klasma.github.io/Logging_2303/klagomålsmail/A 48427-2023 FSC-klagomål mail.docx", "A 48427-2023")</f>
        <v/>
      </c>
      <c r="X250">
        <f>HYPERLINK("https://klasma.github.io/Logging_2303/tillsyn/A 48427-2023 tillsynsbegäran.docx", "A 48427-2023")</f>
        <v/>
      </c>
      <c r="Y250">
        <f>HYPERLINK("https://klasma.github.io/Logging_2303/tillsynsmail/A 48427-2023 tillsynsbegäran mail.docx", "A 48427-2023")</f>
        <v/>
      </c>
    </row>
    <row r="251" ht="15" customHeight="1">
      <c r="A251" t="inlineStr">
        <is>
          <t>A 48474-2023</t>
        </is>
      </c>
      <c r="B251" s="1" t="n">
        <v>45206</v>
      </c>
      <c r="C251" s="1" t="n">
        <v>45835</v>
      </c>
      <c r="D251" t="inlineStr">
        <is>
          <t>JÄMTLANDS LÄN</t>
        </is>
      </c>
      <c r="E251" t="inlineStr">
        <is>
          <t>RAGUNDA</t>
        </is>
      </c>
      <c r="F251" t="inlineStr">
        <is>
          <t>SCA</t>
        </is>
      </c>
      <c r="G251" t="n">
        <v>10.1</v>
      </c>
      <c r="H251" t="n">
        <v>0</v>
      </c>
      <c r="I251" t="n">
        <v>1</v>
      </c>
      <c r="J251" t="n">
        <v>1</v>
      </c>
      <c r="K251" t="n">
        <v>0</v>
      </c>
      <c r="L251" t="n">
        <v>0</v>
      </c>
      <c r="M251" t="n">
        <v>0</v>
      </c>
      <c r="N251" t="n">
        <v>0</v>
      </c>
      <c r="O251" t="n">
        <v>1</v>
      </c>
      <c r="P251" t="n">
        <v>0</v>
      </c>
      <c r="Q251" t="n">
        <v>2</v>
      </c>
      <c r="R251" s="2" t="inlineStr">
        <is>
          <t>Lunglav
Luddlav</t>
        </is>
      </c>
      <c r="S251">
        <f>HYPERLINK("https://klasma.github.io/Logging_2303/artfynd/A 48474-2023 artfynd.xlsx", "A 48474-2023")</f>
        <v/>
      </c>
      <c r="T251">
        <f>HYPERLINK("https://klasma.github.io/Logging_2303/kartor/A 48474-2023 karta.png", "A 48474-2023")</f>
        <v/>
      </c>
      <c r="V251">
        <f>HYPERLINK("https://klasma.github.io/Logging_2303/klagomål/A 48474-2023 FSC-klagomål.docx", "A 48474-2023")</f>
        <v/>
      </c>
      <c r="W251">
        <f>HYPERLINK("https://klasma.github.io/Logging_2303/klagomålsmail/A 48474-2023 FSC-klagomål mail.docx", "A 48474-2023")</f>
        <v/>
      </c>
      <c r="X251">
        <f>HYPERLINK("https://klasma.github.io/Logging_2303/tillsyn/A 48474-2023 tillsynsbegäran.docx", "A 48474-2023")</f>
        <v/>
      </c>
      <c r="Y251">
        <f>HYPERLINK("https://klasma.github.io/Logging_2303/tillsynsmail/A 48474-2023 tillsynsbegäran mail.docx", "A 48474-2023")</f>
        <v/>
      </c>
    </row>
    <row r="252" ht="15" customHeight="1">
      <c r="A252" t="inlineStr">
        <is>
          <t>A 55647-2023</t>
        </is>
      </c>
      <c r="B252" s="1" t="n">
        <v>45238</v>
      </c>
      <c r="C252" s="1" t="n">
        <v>45835</v>
      </c>
      <c r="D252" t="inlineStr">
        <is>
          <t>JÄMTLANDS LÄN</t>
        </is>
      </c>
      <c r="E252" t="inlineStr">
        <is>
          <t>RAGUNDA</t>
        </is>
      </c>
      <c r="F252" t="inlineStr">
        <is>
          <t>SCA</t>
        </is>
      </c>
      <c r="G252" t="n">
        <v>3.7</v>
      </c>
      <c r="H252" t="n">
        <v>0</v>
      </c>
      <c r="I252" t="n">
        <v>1</v>
      </c>
      <c r="J252" t="n">
        <v>1</v>
      </c>
      <c r="K252" t="n">
        <v>0</v>
      </c>
      <c r="L252" t="n">
        <v>0</v>
      </c>
      <c r="M252" t="n">
        <v>0</v>
      </c>
      <c r="N252" t="n">
        <v>0</v>
      </c>
      <c r="O252" t="n">
        <v>1</v>
      </c>
      <c r="P252" t="n">
        <v>0</v>
      </c>
      <c r="Q252" t="n">
        <v>2</v>
      </c>
      <c r="R252" s="2" t="inlineStr">
        <is>
          <t>Granticka
Trådticka</t>
        </is>
      </c>
      <c r="S252">
        <f>HYPERLINK("https://klasma.github.io/Logging_2303/artfynd/A 55647-2023 artfynd.xlsx", "A 55647-2023")</f>
        <v/>
      </c>
      <c r="T252">
        <f>HYPERLINK("https://klasma.github.io/Logging_2303/kartor/A 55647-2023 karta.png", "A 55647-2023")</f>
        <v/>
      </c>
      <c r="V252">
        <f>HYPERLINK("https://klasma.github.io/Logging_2303/klagomål/A 55647-2023 FSC-klagomål.docx", "A 55647-2023")</f>
        <v/>
      </c>
      <c r="W252">
        <f>HYPERLINK("https://klasma.github.io/Logging_2303/klagomålsmail/A 55647-2023 FSC-klagomål mail.docx", "A 55647-2023")</f>
        <v/>
      </c>
      <c r="X252">
        <f>HYPERLINK("https://klasma.github.io/Logging_2303/tillsyn/A 55647-2023 tillsynsbegäran.docx", "A 55647-2023")</f>
        <v/>
      </c>
      <c r="Y252">
        <f>HYPERLINK("https://klasma.github.io/Logging_2303/tillsynsmail/A 55647-2023 tillsynsbegäran mail.docx", "A 55647-2023")</f>
        <v/>
      </c>
    </row>
    <row r="253" ht="15" customHeight="1">
      <c r="A253" t="inlineStr">
        <is>
          <t>A 56285-2023</t>
        </is>
      </c>
      <c r="B253" s="1" t="n">
        <v>45241</v>
      </c>
      <c r="C253" s="1" t="n">
        <v>45835</v>
      </c>
      <c r="D253" t="inlineStr">
        <is>
          <t>JÄMTLANDS LÄN</t>
        </is>
      </c>
      <c r="E253" t="inlineStr">
        <is>
          <t>RAGUNDA</t>
        </is>
      </c>
      <c r="F253" t="inlineStr">
        <is>
          <t>SCA</t>
        </is>
      </c>
      <c r="G253" t="n">
        <v>5.5</v>
      </c>
      <c r="H253" t="n">
        <v>0</v>
      </c>
      <c r="I253" t="n">
        <v>0</v>
      </c>
      <c r="J253" t="n">
        <v>2</v>
      </c>
      <c r="K253" t="n">
        <v>0</v>
      </c>
      <c r="L253" t="n">
        <v>0</v>
      </c>
      <c r="M253" t="n">
        <v>0</v>
      </c>
      <c r="N253" t="n">
        <v>0</v>
      </c>
      <c r="O253" t="n">
        <v>2</v>
      </c>
      <c r="P253" t="n">
        <v>0</v>
      </c>
      <c r="Q253" t="n">
        <v>2</v>
      </c>
      <c r="R253" s="2" t="inlineStr">
        <is>
          <t>Lunglav
Skrovellav</t>
        </is>
      </c>
      <c r="S253">
        <f>HYPERLINK("https://klasma.github.io/Logging_2303/artfynd/A 56285-2023 artfynd.xlsx", "A 56285-2023")</f>
        <v/>
      </c>
      <c r="T253">
        <f>HYPERLINK("https://klasma.github.io/Logging_2303/kartor/A 56285-2023 karta.png", "A 56285-2023")</f>
        <v/>
      </c>
      <c r="V253">
        <f>HYPERLINK("https://klasma.github.io/Logging_2303/klagomål/A 56285-2023 FSC-klagomål.docx", "A 56285-2023")</f>
        <v/>
      </c>
      <c r="W253">
        <f>HYPERLINK("https://klasma.github.io/Logging_2303/klagomålsmail/A 56285-2023 FSC-klagomål mail.docx", "A 56285-2023")</f>
        <v/>
      </c>
      <c r="X253">
        <f>HYPERLINK("https://klasma.github.io/Logging_2303/tillsyn/A 56285-2023 tillsynsbegäran.docx", "A 56285-2023")</f>
        <v/>
      </c>
      <c r="Y253">
        <f>HYPERLINK("https://klasma.github.io/Logging_2303/tillsynsmail/A 56285-2023 tillsynsbegäran mail.docx", "A 56285-2023")</f>
        <v/>
      </c>
    </row>
    <row r="254" ht="15" customHeight="1">
      <c r="A254" t="inlineStr">
        <is>
          <t>A 3838-2024</t>
        </is>
      </c>
      <c r="B254" s="1" t="n">
        <v>45321</v>
      </c>
      <c r="C254" s="1" t="n">
        <v>45835</v>
      </c>
      <c r="D254" t="inlineStr">
        <is>
          <t>JÄMTLANDS LÄN</t>
        </is>
      </c>
      <c r="E254" t="inlineStr">
        <is>
          <t>RAGUNDA</t>
        </is>
      </c>
      <c r="F254" t="inlineStr">
        <is>
          <t>SCA</t>
        </is>
      </c>
      <c r="G254" t="n">
        <v>2</v>
      </c>
      <c r="H254" t="n">
        <v>1</v>
      </c>
      <c r="I254" t="n">
        <v>1</v>
      </c>
      <c r="J254" t="n">
        <v>1</v>
      </c>
      <c r="K254" t="n">
        <v>0</v>
      </c>
      <c r="L254" t="n">
        <v>0</v>
      </c>
      <c r="M254" t="n">
        <v>0</v>
      </c>
      <c r="N254" t="n">
        <v>0</v>
      </c>
      <c r="O254" t="n">
        <v>1</v>
      </c>
      <c r="P254" t="n">
        <v>0</v>
      </c>
      <c r="Q254" t="n">
        <v>2</v>
      </c>
      <c r="R254" s="2" t="inlineStr">
        <is>
          <t>Garnlav
Guckusko</t>
        </is>
      </c>
      <c r="S254">
        <f>HYPERLINK("https://klasma.github.io/Logging_2303/artfynd/A 3838-2024 artfynd.xlsx", "A 3838-2024")</f>
        <v/>
      </c>
      <c r="T254">
        <f>HYPERLINK("https://klasma.github.io/Logging_2303/kartor/A 3838-2024 karta.png", "A 3838-2024")</f>
        <v/>
      </c>
      <c r="V254">
        <f>HYPERLINK("https://klasma.github.io/Logging_2303/klagomål/A 3838-2024 FSC-klagomål.docx", "A 3838-2024")</f>
        <v/>
      </c>
      <c r="W254">
        <f>HYPERLINK("https://klasma.github.io/Logging_2303/klagomålsmail/A 3838-2024 FSC-klagomål mail.docx", "A 3838-2024")</f>
        <v/>
      </c>
      <c r="X254">
        <f>HYPERLINK("https://klasma.github.io/Logging_2303/tillsyn/A 3838-2024 tillsynsbegäran.docx", "A 3838-2024")</f>
        <v/>
      </c>
      <c r="Y254">
        <f>HYPERLINK("https://klasma.github.io/Logging_2303/tillsynsmail/A 3838-2024 tillsynsbegäran mail.docx", "A 3838-2024")</f>
        <v/>
      </c>
    </row>
    <row r="255" ht="15" customHeight="1">
      <c r="A255" t="inlineStr">
        <is>
          <t>A 11544-2024</t>
        </is>
      </c>
      <c r="B255" s="1" t="n">
        <v>45372</v>
      </c>
      <c r="C255" s="1" t="n">
        <v>45835</v>
      </c>
      <c r="D255" t="inlineStr">
        <is>
          <t>JÄMTLANDS LÄN</t>
        </is>
      </c>
      <c r="E255" t="inlineStr">
        <is>
          <t>RAGUNDA</t>
        </is>
      </c>
      <c r="F255" t="inlineStr">
        <is>
          <t>SCA</t>
        </is>
      </c>
      <c r="G255" t="n">
        <v>15.5</v>
      </c>
      <c r="H255" t="n">
        <v>0</v>
      </c>
      <c r="I255" t="n">
        <v>0</v>
      </c>
      <c r="J255" t="n">
        <v>2</v>
      </c>
      <c r="K255" t="n">
        <v>0</v>
      </c>
      <c r="L255" t="n">
        <v>0</v>
      </c>
      <c r="M255" t="n">
        <v>0</v>
      </c>
      <c r="N255" t="n">
        <v>0</v>
      </c>
      <c r="O255" t="n">
        <v>2</v>
      </c>
      <c r="P255" t="n">
        <v>0</v>
      </c>
      <c r="Q255" t="n">
        <v>2</v>
      </c>
      <c r="R255" s="2" t="inlineStr">
        <is>
          <t>Granticka
Mörk kolflarnlav</t>
        </is>
      </c>
      <c r="S255">
        <f>HYPERLINK("https://klasma.github.io/Logging_2303/artfynd/A 11544-2024 artfynd.xlsx", "A 11544-2024")</f>
        <v/>
      </c>
      <c r="T255">
        <f>HYPERLINK("https://klasma.github.io/Logging_2303/kartor/A 11544-2024 karta.png", "A 11544-2024")</f>
        <v/>
      </c>
      <c r="V255">
        <f>HYPERLINK("https://klasma.github.io/Logging_2303/klagomål/A 11544-2024 FSC-klagomål.docx", "A 11544-2024")</f>
        <v/>
      </c>
      <c r="W255">
        <f>HYPERLINK("https://klasma.github.io/Logging_2303/klagomålsmail/A 11544-2024 FSC-klagomål mail.docx", "A 11544-2024")</f>
        <v/>
      </c>
      <c r="X255">
        <f>HYPERLINK("https://klasma.github.io/Logging_2303/tillsyn/A 11544-2024 tillsynsbegäran.docx", "A 11544-2024")</f>
        <v/>
      </c>
      <c r="Y255">
        <f>HYPERLINK("https://klasma.github.io/Logging_2303/tillsynsmail/A 11544-2024 tillsynsbegäran mail.docx", "A 11544-2024")</f>
        <v/>
      </c>
    </row>
    <row r="256" ht="15" customHeight="1">
      <c r="A256" t="inlineStr">
        <is>
          <t>A 12271-2024</t>
        </is>
      </c>
      <c r="B256" s="1" t="n">
        <v>45378</v>
      </c>
      <c r="C256" s="1" t="n">
        <v>45835</v>
      </c>
      <c r="D256" t="inlineStr">
        <is>
          <t>JÄMTLANDS LÄN</t>
        </is>
      </c>
      <c r="E256" t="inlineStr">
        <is>
          <t>RAGUNDA</t>
        </is>
      </c>
      <c r="F256" t="inlineStr">
        <is>
          <t>Kommuner</t>
        </is>
      </c>
      <c r="G256" t="n">
        <v>6.1</v>
      </c>
      <c r="H256" t="n">
        <v>0</v>
      </c>
      <c r="I256" t="n">
        <v>0</v>
      </c>
      <c r="J256" t="n">
        <v>2</v>
      </c>
      <c r="K256" t="n">
        <v>0</v>
      </c>
      <c r="L256" t="n">
        <v>0</v>
      </c>
      <c r="M256" t="n">
        <v>0</v>
      </c>
      <c r="N256" t="n">
        <v>0</v>
      </c>
      <c r="O256" t="n">
        <v>2</v>
      </c>
      <c r="P256" t="n">
        <v>0</v>
      </c>
      <c r="Q256" t="n">
        <v>2</v>
      </c>
      <c r="R256" s="2" t="inlineStr">
        <is>
          <t>Garnlav
Lunglav</t>
        </is>
      </c>
      <c r="S256">
        <f>HYPERLINK("https://klasma.github.io/Logging_2303/artfynd/A 12271-2024 artfynd.xlsx", "A 12271-2024")</f>
        <v/>
      </c>
      <c r="T256">
        <f>HYPERLINK("https://klasma.github.io/Logging_2303/kartor/A 12271-2024 karta.png", "A 12271-2024")</f>
        <v/>
      </c>
      <c r="V256">
        <f>HYPERLINK("https://klasma.github.io/Logging_2303/klagomål/A 12271-2024 FSC-klagomål.docx", "A 12271-2024")</f>
        <v/>
      </c>
      <c r="W256">
        <f>HYPERLINK("https://klasma.github.io/Logging_2303/klagomålsmail/A 12271-2024 FSC-klagomål mail.docx", "A 12271-2024")</f>
        <v/>
      </c>
      <c r="X256">
        <f>HYPERLINK("https://klasma.github.io/Logging_2303/tillsyn/A 12271-2024 tillsynsbegäran.docx", "A 12271-2024")</f>
        <v/>
      </c>
      <c r="Y256">
        <f>HYPERLINK("https://klasma.github.io/Logging_2303/tillsynsmail/A 12271-2024 tillsynsbegäran mail.docx", "A 12271-2024")</f>
        <v/>
      </c>
    </row>
    <row r="257" ht="15" customHeight="1">
      <c r="A257" t="inlineStr">
        <is>
          <t>A 13660-2024</t>
        </is>
      </c>
      <c r="B257" s="1" t="n">
        <v>45387</v>
      </c>
      <c r="C257" s="1" t="n">
        <v>45835</v>
      </c>
      <c r="D257" t="inlineStr">
        <is>
          <t>JÄMTLANDS LÄN</t>
        </is>
      </c>
      <c r="E257" t="inlineStr">
        <is>
          <t>RAGUNDA</t>
        </is>
      </c>
      <c r="G257" t="n">
        <v>4.8</v>
      </c>
      <c r="H257" t="n">
        <v>1</v>
      </c>
      <c r="I257" t="n">
        <v>1</v>
      </c>
      <c r="J257" t="n">
        <v>1</v>
      </c>
      <c r="K257" t="n">
        <v>0</v>
      </c>
      <c r="L257" t="n">
        <v>0</v>
      </c>
      <c r="M257" t="n">
        <v>0</v>
      </c>
      <c r="N257" t="n">
        <v>0</v>
      </c>
      <c r="O257" t="n">
        <v>1</v>
      </c>
      <c r="P257" t="n">
        <v>0</v>
      </c>
      <c r="Q257" t="n">
        <v>2</v>
      </c>
      <c r="R257" s="2" t="inlineStr">
        <is>
          <t>Garnlav
Plattlummer</t>
        </is>
      </c>
      <c r="S257">
        <f>HYPERLINK("https://klasma.github.io/Logging_2303/artfynd/A 13660-2024 artfynd.xlsx", "A 13660-2024")</f>
        <v/>
      </c>
      <c r="T257">
        <f>HYPERLINK("https://klasma.github.io/Logging_2303/kartor/A 13660-2024 karta.png", "A 13660-2024")</f>
        <v/>
      </c>
      <c r="V257">
        <f>HYPERLINK("https://klasma.github.io/Logging_2303/klagomål/A 13660-2024 FSC-klagomål.docx", "A 13660-2024")</f>
        <v/>
      </c>
      <c r="W257">
        <f>HYPERLINK("https://klasma.github.io/Logging_2303/klagomålsmail/A 13660-2024 FSC-klagomål mail.docx", "A 13660-2024")</f>
        <v/>
      </c>
      <c r="X257">
        <f>HYPERLINK("https://klasma.github.io/Logging_2303/tillsyn/A 13660-2024 tillsynsbegäran.docx", "A 13660-2024")</f>
        <v/>
      </c>
      <c r="Y257">
        <f>HYPERLINK("https://klasma.github.io/Logging_2303/tillsynsmail/A 13660-2024 tillsynsbegäran mail.docx", "A 13660-2024")</f>
        <v/>
      </c>
    </row>
    <row r="258" ht="15" customHeight="1">
      <c r="A258" t="inlineStr">
        <is>
          <t>A 13943-2024</t>
        </is>
      </c>
      <c r="B258" s="1" t="n">
        <v>45392</v>
      </c>
      <c r="C258" s="1" t="n">
        <v>45835</v>
      </c>
      <c r="D258" t="inlineStr">
        <is>
          <t>JÄMTLANDS LÄN</t>
        </is>
      </c>
      <c r="E258" t="inlineStr">
        <is>
          <t>RAGUNDA</t>
        </is>
      </c>
      <c r="F258" t="inlineStr">
        <is>
          <t>SCA</t>
        </is>
      </c>
      <c r="G258" t="n">
        <v>3.5</v>
      </c>
      <c r="H258" t="n">
        <v>1</v>
      </c>
      <c r="I258" t="n">
        <v>1</v>
      </c>
      <c r="J258" t="n">
        <v>1</v>
      </c>
      <c r="K258" t="n">
        <v>0</v>
      </c>
      <c r="L258" t="n">
        <v>0</v>
      </c>
      <c r="M258" t="n">
        <v>0</v>
      </c>
      <c r="N258" t="n">
        <v>0</v>
      </c>
      <c r="O258" t="n">
        <v>1</v>
      </c>
      <c r="P258" t="n">
        <v>0</v>
      </c>
      <c r="Q258" t="n">
        <v>2</v>
      </c>
      <c r="R258" s="2" t="inlineStr">
        <is>
          <t>Spillkråka
Dropptaggsvamp</t>
        </is>
      </c>
      <c r="S258">
        <f>HYPERLINK("https://klasma.github.io/Logging_2303/artfynd/A 13943-2024 artfynd.xlsx", "A 13943-2024")</f>
        <v/>
      </c>
      <c r="T258">
        <f>HYPERLINK("https://klasma.github.io/Logging_2303/kartor/A 13943-2024 karta.png", "A 13943-2024")</f>
        <v/>
      </c>
      <c r="V258">
        <f>HYPERLINK("https://klasma.github.io/Logging_2303/klagomål/A 13943-2024 FSC-klagomål.docx", "A 13943-2024")</f>
        <v/>
      </c>
      <c r="W258">
        <f>HYPERLINK("https://klasma.github.io/Logging_2303/klagomålsmail/A 13943-2024 FSC-klagomål mail.docx", "A 13943-2024")</f>
        <v/>
      </c>
      <c r="X258">
        <f>HYPERLINK("https://klasma.github.io/Logging_2303/tillsyn/A 13943-2024 tillsynsbegäran.docx", "A 13943-2024")</f>
        <v/>
      </c>
      <c r="Y258">
        <f>HYPERLINK("https://klasma.github.io/Logging_2303/tillsynsmail/A 13943-2024 tillsynsbegäran mail.docx", "A 13943-2024")</f>
        <v/>
      </c>
      <c r="Z258">
        <f>HYPERLINK("https://klasma.github.io/Logging_2303/fåglar/A 13943-2024 prioriterade fågelarter.docx", "A 13943-2024")</f>
        <v/>
      </c>
    </row>
    <row r="259" ht="15" customHeight="1">
      <c r="A259" t="inlineStr">
        <is>
          <t>A 14502-2024</t>
        </is>
      </c>
      <c r="B259" s="1" t="n">
        <v>45394</v>
      </c>
      <c r="C259" s="1" t="n">
        <v>45835</v>
      </c>
      <c r="D259" t="inlineStr">
        <is>
          <t>JÄMTLANDS LÄN</t>
        </is>
      </c>
      <c r="E259" t="inlineStr">
        <is>
          <t>RAGUNDA</t>
        </is>
      </c>
      <c r="G259" t="n">
        <v>11.6</v>
      </c>
      <c r="H259" t="n">
        <v>0</v>
      </c>
      <c r="I259" t="n">
        <v>0</v>
      </c>
      <c r="J259" t="n">
        <v>2</v>
      </c>
      <c r="K259" t="n">
        <v>0</v>
      </c>
      <c r="L259" t="n">
        <v>0</v>
      </c>
      <c r="M259" t="n">
        <v>0</v>
      </c>
      <c r="N259" t="n">
        <v>0</v>
      </c>
      <c r="O259" t="n">
        <v>2</v>
      </c>
      <c r="P259" t="n">
        <v>0</v>
      </c>
      <c r="Q259" t="n">
        <v>2</v>
      </c>
      <c r="R259" s="2" t="inlineStr">
        <is>
          <t>Garnlav
Stjärntagging</t>
        </is>
      </c>
      <c r="S259">
        <f>HYPERLINK("https://klasma.github.io/Logging_2303/artfynd/A 14502-2024 artfynd.xlsx", "A 14502-2024")</f>
        <v/>
      </c>
      <c r="T259">
        <f>HYPERLINK("https://klasma.github.io/Logging_2303/kartor/A 14502-2024 karta.png", "A 14502-2024")</f>
        <v/>
      </c>
      <c r="V259">
        <f>HYPERLINK("https://klasma.github.io/Logging_2303/klagomål/A 14502-2024 FSC-klagomål.docx", "A 14502-2024")</f>
        <v/>
      </c>
      <c r="W259">
        <f>HYPERLINK("https://klasma.github.io/Logging_2303/klagomålsmail/A 14502-2024 FSC-klagomål mail.docx", "A 14502-2024")</f>
        <v/>
      </c>
      <c r="X259">
        <f>HYPERLINK("https://klasma.github.io/Logging_2303/tillsyn/A 14502-2024 tillsynsbegäran.docx", "A 14502-2024")</f>
        <v/>
      </c>
      <c r="Y259">
        <f>HYPERLINK("https://klasma.github.io/Logging_2303/tillsynsmail/A 14502-2024 tillsynsbegäran mail.docx", "A 14502-2024")</f>
        <v/>
      </c>
    </row>
    <row r="260" ht="15" customHeight="1">
      <c r="A260" t="inlineStr">
        <is>
          <t>A 26324-2024</t>
        </is>
      </c>
      <c r="B260" s="1" t="n">
        <v>45469</v>
      </c>
      <c r="C260" s="1" t="n">
        <v>45835</v>
      </c>
      <c r="D260" t="inlineStr">
        <is>
          <t>JÄMTLANDS LÄN</t>
        </is>
      </c>
      <c r="E260" t="inlineStr">
        <is>
          <t>RAGUNDA</t>
        </is>
      </c>
      <c r="F260" t="inlineStr">
        <is>
          <t>SCA</t>
        </is>
      </c>
      <c r="G260" t="n">
        <v>2</v>
      </c>
      <c r="H260" t="n">
        <v>1</v>
      </c>
      <c r="I260" t="n">
        <v>0</v>
      </c>
      <c r="J260" t="n">
        <v>1</v>
      </c>
      <c r="K260" t="n">
        <v>1</v>
      </c>
      <c r="L260" t="n">
        <v>0</v>
      </c>
      <c r="M260" t="n">
        <v>0</v>
      </c>
      <c r="N260" t="n">
        <v>0</v>
      </c>
      <c r="O260" t="n">
        <v>2</v>
      </c>
      <c r="P260" t="n">
        <v>1</v>
      </c>
      <c r="Q260" t="n">
        <v>2</v>
      </c>
      <c r="R260" s="2" t="inlineStr">
        <is>
          <t>Knärot
Vedtrappmossa</t>
        </is>
      </c>
      <c r="S260">
        <f>HYPERLINK("https://klasma.github.io/Logging_2303/artfynd/A 26324-2024 artfynd.xlsx", "A 26324-2024")</f>
        <v/>
      </c>
      <c r="T260">
        <f>HYPERLINK("https://klasma.github.io/Logging_2303/kartor/A 26324-2024 karta.png", "A 26324-2024")</f>
        <v/>
      </c>
      <c r="U260">
        <f>HYPERLINK("https://klasma.github.io/Logging_2303/knärot/A 26324-2024 karta knärot.png", "A 26324-2024")</f>
        <v/>
      </c>
      <c r="V260">
        <f>HYPERLINK("https://klasma.github.io/Logging_2303/klagomål/A 26324-2024 FSC-klagomål.docx", "A 26324-2024")</f>
        <v/>
      </c>
      <c r="W260">
        <f>HYPERLINK("https://klasma.github.io/Logging_2303/klagomålsmail/A 26324-2024 FSC-klagomål mail.docx", "A 26324-2024")</f>
        <v/>
      </c>
      <c r="X260">
        <f>HYPERLINK("https://klasma.github.io/Logging_2303/tillsyn/A 26324-2024 tillsynsbegäran.docx", "A 26324-2024")</f>
        <v/>
      </c>
      <c r="Y260">
        <f>HYPERLINK("https://klasma.github.io/Logging_2303/tillsynsmail/A 26324-2024 tillsynsbegäran mail.docx", "A 26324-2024")</f>
        <v/>
      </c>
    </row>
    <row r="261" ht="15" customHeight="1">
      <c r="A261" t="inlineStr">
        <is>
          <t>A 32065-2024</t>
        </is>
      </c>
      <c r="B261" s="1" t="n">
        <v>45510</v>
      </c>
      <c r="C261" s="1" t="n">
        <v>45835</v>
      </c>
      <c r="D261" t="inlineStr">
        <is>
          <t>JÄMTLANDS LÄN</t>
        </is>
      </c>
      <c r="E261" t="inlineStr">
        <is>
          <t>RAGUNDA</t>
        </is>
      </c>
      <c r="F261" t="inlineStr">
        <is>
          <t>SCA</t>
        </is>
      </c>
      <c r="G261" t="n">
        <v>9.199999999999999</v>
      </c>
      <c r="H261" t="n">
        <v>0</v>
      </c>
      <c r="I261" t="n">
        <v>0</v>
      </c>
      <c r="J261" t="n">
        <v>2</v>
      </c>
      <c r="K261" t="n">
        <v>0</v>
      </c>
      <c r="L261" t="n">
        <v>0</v>
      </c>
      <c r="M261" t="n">
        <v>0</v>
      </c>
      <c r="N261" t="n">
        <v>0</v>
      </c>
      <c r="O261" t="n">
        <v>2</v>
      </c>
      <c r="P261" t="n">
        <v>0</v>
      </c>
      <c r="Q261" t="n">
        <v>2</v>
      </c>
      <c r="R261" s="2" t="inlineStr">
        <is>
          <t>Rosenticka
Vitgrynig nållav</t>
        </is>
      </c>
      <c r="S261">
        <f>HYPERLINK("https://klasma.github.io/Logging_2303/artfynd/A 32065-2024 artfynd.xlsx", "A 32065-2024")</f>
        <v/>
      </c>
      <c r="T261">
        <f>HYPERLINK("https://klasma.github.io/Logging_2303/kartor/A 32065-2024 karta.png", "A 32065-2024")</f>
        <v/>
      </c>
      <c r="V261">
        <f>HYPERLINK("https://klasma.github.io/Logging_2303/klagomål/A 32065-2024 FSC-klagomål.docx", "A 32065-2024")</f>
        <v/>
      </c>
      <c r="W261">
        <f>HYPERLINK("https://klasma.github.io/Logging_2303/klagomålsmail/A 32065-2024 FSC-klagomål mail.docx", "A 32065-2024")</f>
        <v/>
      </c>
      <c r="X261">
        <f>HYPERLINK("https://klasma.github.io/Logging_2303/tillsyn/A 32065-2024 tillsynsbegäran.docx", "A 32065-2024")</f>
        <v/>
      </c>
      <c r="Y261">
        <f>HYPERLINK("https://klasma.github.io/Logging_2303/tillsynsmail/A 32065-2024 tillsynsbegäran mail.docx", "A 32065-2024")</f>
        <v/>
      </c>
    </row>
    <row r="262" ht="15" customHeight="1">
      <c r="A262" t="inlineStr">
        <is>
          <t>A 34715-2024</t>
        </is>
      </c>
      <c r="B262" s="1" t="n">
        <v>45526</v>
      </c>
      <c r="C262" s="1" t="n">
        <v>45835</v>
      </c>
      <c r="D262" t="inlineStr">
        <is>
          <t>JÄMTLANDS LÄN</t>
        </is>
      </c>
      <c r="E262" t="inlineStr">
        <is>
          <t>RAGUNDA</t>
        </is>
      </c>
      <c r="F262" t="inlineStr">
        <is>
          <t>SCA</t>
        </is>
      </c>
      <c r="G262" t="n">
        <v>3</v>
      </c>
      <c r="H262" t="n">
        <v>0</v>
      </c>
      <c r="I262" t="n">
        <v>1</v>
      </c>
      <c r="J262" t="n">
        <v>1</v>
      </c>
      <c r="K262" t="n">
        <v>0</v>
      </c>
      <c r="L262" t="n">
        <v>0</v>
      </c>
      <c r="M262" t="n">
        <v>0</v>
      </c>
      <c r="N262" t="n">
        <v>0</v>
      </c>
      <c r="O262" t="n">
        <v>1</v>
      </c>
      <c r="P262" t="n">
        <v>0</v>
      </c>
      <c r="Q262" t="n">
        <v>2</v>
      </c>
      <c r="R262" s="2" t="inlineStr">
        <is>
          <t>Garnlav
Vedticka</t>
        </is>
      </c>
      <c r="S262">
        <f>HYPERLINK("https://klasma.github.io/Logging_2303/artfynd/A 34715-2024 artfynd.xlsx", "A 34715-2024")</f>
        <v/>
      </c>
      <c r="T262">
        <f>HYPERLINK("https://klasma.github.io/Logging_2303/kartor/A 34715-2024 karta.png", "A 34715-2024")</f>
        <v/>
      </c>
      <c r="V262">
        <f>HYPERLINK("https://klasma.github.io/Logging_2303/klagomål/A 34715-2024 FSC-klagomål.docx", "A 34715-2024")</f>
        <v/>
      </c>
      <c r="W262">
        <f>HYPERLINK("https://klasma.github.io/Logging_2303/klagomålsmail/A 34715-2024 FSC-klagomål mail.docx", "A 34715-2024")</f>
        <v/>
      </c>
      <c r="X262">
        <f>HYPERLINK("https://klasma.github.io/Logging_2303/tillsyn/A 34715-2024 tillsynsbegäran.docx", "A 34715-2024")</f>
        <v/>
      </c>
      <c r="Y262">
        <f>HYPERLINK("https://klasma.github.io/Logging_2303/tillsynsmail/A 34715-2024 tillsynsbegäran mail.docx", "A 34715-2024")</f>
        <v/>
      </c>
    </row>
    <row r="263" ht="15" customHeight="1">
      <c r="A263" t="inlineStr">
        <is>
          <t>A 35405-2024</t>
        </is>
      </c>
      <c r="B263" s="1" t="n">
        <v>45531</v>
      </c>
      <c r="C263" s="1" t="n">
        <v>45835</v>
      </c>
      <c r="D263" t="inlineStr">
        <is>
          <t>JÄMTLANDS LÄN</t>
        </is>
      </c>
      <c r="E263" t="inlineStr">
        <is>
          <t>RAGUNDA</t>
        </is>
      </c>
      <c r="F263" t="inlineStr">
        <is>
          <t>SCA</t>
        </is>
      </c>
      <c r="G263" t="n">
        <v>12.3</v>
      </c>
      <c r="H263" t="n">
        <v>2</v>
      </c>
      <c r="I263" t="n">
        <v>1</v>
      </c>
      <c r="J263" t="n">
        <v>0</v>
      </c>
      <c r="K263" t="n">
        <v>0</v>
      </c>
      <c r="L263" t="n">
        <v>0</v>
      </c>
      <c r="M263" t="n">
        <v>0</v>
      </c>
      <c r="N263" t="n">
        <v>0</v>
      </c>
      <c r="O263" t="n">
        <v>0</v>
      </c>
      <c r="P263" t="n">
        <v>0</v>
      </c>
      <c r="Q263" t="n">
        <v>2</v>
      </c>
      <c r="R263" s="2" t="inlineStr">
        <is>
          <t>Spindelblomster
Revlummer</t>
        </is>
      </c>
      <c r="S263">
        <f>HYPERLINK("https://klasma.github.io/Logging_2303/artfynd/A 35405-2024 artfynd.xlsx", "A 35405-2024")</f>
        <v/>
      </c>
      <c r="T263">
        <f>HYPERLINK("https://klasma.github.io/Logging_2303/kartor/A 35405-2024 karta.png", "A 35405-2024")</f>
        <v/>
      </c>
      <c r="V263">
        <f>HYPERLINK("https://klasma.github.io/Logging_2303/klagomål/A 35405-2024 FSC-klagomål.docx", "A 35405-2024")</f>
        <v/>
      </c>
      <c r="W263">
        <f>HYPERLINK("https://klasma.github.io/Logging_2303/klagomålsmail/A 35405-2024 FSC-klagomål mail.docx", "A 35405-2024")</f>
        <v/>
      </c>
      <c r="X263">
        <f>HYPERLINK("https://klasma.github.io/Logging_2303/tillsyn/A 35405-2024 tillsynsbegäran.docx", "A 35405-2024")</f>
        <v/>
      </c>
      <c r="Y263">
        <f>HYPERLINK("https://klasma.github.io/Logging_2303/tillsynsmail/A 35405-2024 tillsynsbegäran mail.docx", "A 35405-2024")</f>
        <v/>
      </c>
    </row>
    <row r="264" ht="15" customHeight="1">
      <c r="A264" t="inlineStr">
        <is>
          <t>A 37826-2024</t>
        </is>
      </c>
      <c r="B264" s="1" t="n">
        <v>45544</v>
      </c>
      <c r="C264" s="1" t="n">
        <v>45835</v>
      </c>
      <c r="D264" t="inlineStr">
        <is>
          <t>JÄMTLANDS LÄN</t>
        </is>
      </c>
      <c r="E264" t="inlineStr">
        <is>
          <t>RAGUNDA</t>
        </is>
      </c>
      <c r="F264" t="inlineStr">
        <is>
          <t>SCA</t>
        </is>
      </c>
      <c r="G264" t="n">
        <v>12.8</v>
      </c>
      <c r="H264" t="n">
        <v>0</v>
      </c>
      <c r="I264" t="n">
        <v>0</v>
      </c>
      <c r="J264" t="n">
        <v>2</v>
      </c>
      <c r="K264" t="n">
        <v>0</v>
      </c>
      <c r="L264" t="n">
        <v>0</v>
      </c>
      <c r="M264" t="n">
        <v>0</v>
      </c>
      <c r="N264" t="n">
        <v>0</v>
      </c>
      <c r="O264" t="n">
        <v>2</v>
      </c>
      <c r="P264" t="n">
        <v>0</v>
      </c>
      <c r="Q264" t="n">
        <v>2</v>
      </c>
      <c r="R264" s="2" t="inlineStr">
        <is>
          <t>Brunklöver
Månlåsbräken</t>
        </is>
      </c>
      <c r="S264">
        <f>HYPERLINK("https://klasma.github.io/Logging_2303/artfynd/A 37826-2024 artfynd.xlsx", "A 37826-2024")</f>
        <v/>
      </c>
      <c r="T264">
        <f>HYPERLINK("https://klasma.github.io/Logging_2303/kartor/A 37826-2024 karta.png", "A 37826-2024")</f>
        <v/>
      </c>
      <c r="V264">
        <f>HYPERLINK("https://klasma.github.io/Logging_2303/klagomål/A 37826-2024 FSC-klagomål.docx", "A 37826-2024")</f>
        <v/>
      </c>
      <c r="W264">
        <f>HYPERLINK("https://klasma.github.io/Logging_2303/klagomålsmail/A 37826-2024 FSC-klagomål mail.docx", "A 37826-2024")</f>
        <v/>
      </c>
      <c r="X264">
        <f>HYPERLINK("https://klasma.github.io/Logging_2303/tillsyn/A 37826-2024 tillsynsbegäran.docx", "A 37826-2024")</f>
        <v/>
      </c>
      <c r="Y264">
        <f>HYPERLINK("https://klasma.github.io/Logging_2303/tillsynsmail/A 37826-2024 tillsynsbegäran mail.docx", "A 37826-2024")</f>
        <v/>
      </c>
    </row>
    <row r="265" ht="15" customHeight="1">
      <c r="A265" t="inlineStr">
        <is>
          <t>A 39495-2024</t>
        </is>
      </c>
      <c r="B265" s="1" t="n">
        <v>45551</v>
      </c>
      <c r="C265" s="1" t="n">
        <v>45835</v>
      </c>
      <c r="D265" t="inlineStr">
        <is>
          <t>JÄMTLANDS LÄN</t>
        </is>
      </c>
      <c r="E265" t="inlineStr">
        <is>
          <t>RAGUNDA</t>
        </is>
      </c>
      <c r="F265" t="inlineStr">
        <is>
          <t>SCA</t>
        </is>
      </c>
      <c r="G265" t="n">
        <v>6.6</v>
      </c>
      <c r="H265" t="n">
        <v>0</v>
      </c>
      <c r="I265" t="n">
        <v>0</v>
      </c>
      <c r="J265" t="n">
        <v>2</v>
      </c>
      <c r="K265" t="n">
        <v>0</v>
      </c>
      <c r="L265" t="n">
        <v>0</v>
      </c>
      <c r="M265" t="n">
        <v>0</v>
      </c>
      <c r="N265" t="n">
        <v>0</v>
      </c>
      <c r="O265" t="n">
        <v>2</v>
      </c>
      <c r="P265" t="n">
        <v>0</v>
      </c>
      <c r="Q265" t="n">
        <v>2</v>
      </c>
      <c r="R265" s="2" t="inlineStr">
        <is>
          <t>Garnlav
Ullticka</t>
        </is>
      </c>
      <c r="S265">
        <f>HYPERLINK("https://klasma.github.io/Logging_2303/artfynd/A 39495-2024 artfynd.xlsx", "A 39495-2024")</f>
        <v/>
      </c>
      <c r="T265">
        <f>HYPERLINK("https://klasma.github.io/Logging_2303/kartor/A 39495-2024 karta.png", "A 39495-2024")</f>
        <v/>
      </c>
      <c r="V265">
        <f>HYPERLINK("https://klasma.github.io/Logging_2303/klagomål/A 39495-2024 FSC-klagomål.docx", "A 39495-2024")</f>
        <v/>
      </c>
      <c r="W265">
        <f>HYPERLINK("https://klasma.github.io/Logging_2303/klagomålsmail/A 39495-2024 FSC-klagomål mail.docx", "A 39495-2024")</f>
        <v/>
      </c>
      <c r="X265">
        <f>HYPERLINK("https://klasma.github.io/Logging_2303/tillsyn/A 39495-2024 tillsynsbegäran.docx", "A 39495-2024")</f>
        <v/>
      </c>
      <c r="Y265">
        <f>HYPERLINK("https://klasma.github.io/Logging_2303/tillsynsmail/A 39495-2024 tillsynsbegäran mail.docx", "A 39495-2024")</f>
        <v/>
      </c>
    </row>
    <row r="266" ht="15" customHeight="1">
      <c r="A266" t="inlineStr">
        <is>
          <t>A 46771-2024</t>
        </is>
      </c>
      <c r="B266" s="1" t="n">
        <v>45583</v>
      </c>
      <c r="C266" s="1" t="n">
        <v>45835</v>
      </c>
      <c r="D266" t="inlineStr">
        <is>
          <t>JÄMTLANDS LÄN</t>
        </is>
      </c>
      <c r="E266" t="inlineStr">
        <is>
          <t>RAGUNDA</t>
        </is>
      </c>
      <c r="F266" t="inlineStr">
        <is>
          <t>SCA</t>
        </is>
      </c>
      <c r="G266" t="n">
        <v>3.1</v>
      </c>
      <c r="H266" t="n">
        <v>0</v>
      </c>
      <c r="I266" t="n">
        <v>0</v>
      </c>
      <c r="J266" t="n">
        <v>2</v>
      </c>
      <c r="K266" t="n">
        <v>0</v>
      </c>
      <c r="L266" t="n">
        <v>0</v>
      </c>
      <c r="M266" t="n">
        <v>0</v>
      </c>
      <c r="N266" t="n">
        <v>0</v>
      </c>
      <c r="O266" t="n">
        <v>2</v>
      </c>
      <c r="P266" t="n">
        <v>0</v>
      </c>
      <c r="Q266" t="n">
        <v>2</v>
      </c>
      <c r="R266" s="2" t="inlineStr">
        <is>
          <t>Doftskinn
Gammelgransskål</t>
        </is>
      </c>
      <c r="S266">
        <f>HYPERLINK("https://klasma.github.io/Logging_2303/artfynd/A 46771-2024 artfynd.xlsx", "A 46771-2024")</f>
        <v/>
      </c>
      <c r="T266">
        <f>HYPERLINK("https://klasma.github.io/Logging_2303/kartor/A 46771-2024 karta.png", "A 46771-2024")</f>
        <v/>
      </c>
      <c r="V266">
        <f>HYPERLINK("https://klasma.github.io/Logging_2303/klagomål/A 46771-2024 FSC-klagomål.docx", "A 46771-2024")</f>
        <v/>
      </c>
      <c r="W266">
        <f>HYPERLINK("https://klasma.github.io/Logging_2303/klagomålsmail/A 46771-2024 FSC-klagomål mail.docx", "A 46771-2024")</f>
        <v/>
      </c>
      <c r="X266">
        <f>HYPERLINK("https://klasma.github.io/Logging_2303/tillsyn/A 46771-2024 tillsynsbegäran.docx", "A 46771-2024")</f>
        <v/>
      </c>
      <c r="Y266">
        <f>HYPERLINK("https://klasma.github.io/Logging_2303/tillsynsmail/A 46771-2024 tillsynsbegäran mail.docx", "A 46771-2024")</f>
        <v/>
      </c>
    </row>
    <row r="267" ht="15" customHeight="1">
      <c r="A267" t="inlineStr">
        <is>
          <t>A 54057-2024</t>
        </is>
      </c>
      <c r="B267" s="1" t="n">
        <v>45616</v>
      </c>
      <c r="C267" s="1" t="n">
        <v>45835</v>
      </c>
      <c r="D267" t="inlineStr">
        <is>
          <t>JÄMTLANDS LÄN</t>
        </is>
      </c>
      <c r="E267" t="inlineStr">
        <is>
          <t>RAGUNDA</t>
        </is>
      </c>
      <c r="F267" t="inlineStr">
        <is>
          <t>SCA</t>
        </is>
      </c>
      <c r="G267" t="n">
        <v>2.6</v>
      </c>
      <c r="H267" t="n">
        <v>0</v>
      </c>
      <c r="I267" t="n">
        <v>1</v>
      </c>
      <c r="J267" t="n">
        <v>1</v>
      </c>
      <c r="K267" t="n">
        <v>0</v>
      </c>
      <c r="L267" t="n">
        <v>0</v>
      </c>
      <c r="M267" t="n">
        <v>0</v>
      </c>
      <c r="N267" t="n">
        <v>0</v>
      </c>
      <c r="O267" t="n">
        <v>1</v>
      </c>
      <c r="P267" t="n">
        <v>0</v>
      </c>
      <c r="Q267" t="n">
        <v>2</v>
      </c>
      <c r="R267" s="2" t="inlineStr">
        <is>
          <t>Dvärgbägarlav
Dropptaggsvamp</t>
        </is>
      </c>
      <c r="S267">
        <f>HYPERLINK("https://klasma.github.io/Logging_2303/artfynd/A 54057-2024 artfynd.xlsx", "A 54057-2024")</f>
        <v/>
      </c>
      <c r="T267">
        <f>HYPERLINK("https://klasma.github.io/Logging_2303/kartor/A 54057-2024 karta.png", "A 54057-2024")</f>
        <v/>
      </c>
      <c r="V267">
        <f>HYPERLINK("https://klasma.github.io/Logging_2303/klagomål/A 54057-2024 FSC-klagomål.docx", "A 54057-2024")</f>
        <v/>
      </c>
      <c r="W267">
        <f>HYPERLINK("https://klasma.github.io/Logging_2303/klagomålsmail/A 54057-2024 FSC-klagomål mail.docx", "A 54057-2024")</f>
        <v/>
      </c>
      <c r="X267">
        <f>HYPERLINK("https://klasma.github.io/Logging_2303/tillsyn/A 54057-2024 tillsynsbegäran.docx", "A 54057-2024")</f>
        <v/>
      </c>
      <c r="Y267">
        <f>HYPERLINK("https://klasma.github.io/Logging_2303/tillsynsmail/A 54057-2024 tillsynsbegäran mail.docx", "A 54057-2024")</f>
        <v/>
      </c>
    </row>
    <row r="268" ht="15" customHeight="1">
      <c r="A268" t="inlineStr">
        <is>
          <t>A 57940-2024</t>
        </is>
      </c>
      <c r="B268" s="1" t="n">
        <v>45631</v>
      </c>
      <c r="C268" s="1" t="n">
        <v>45835</v>
      </c>
      <c r="D268" t="inlineStr">
        <is>
          <t>JÄMTLANDS LÄN</t>
        </is>
      </c>
      <c r="E268" t="inlineStr">
        <is>
          <t>RAGUNDA</t>
        </is>
      </c>
      <c r="F268" t="inlineStr">
        <is>
          <t>SCA</t>
        </is>
      </c>
      <c r="G268" t="n">
        <v>1.9</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HYPERLINK("https://klasma.github.io/Logging_2303/artfynd/A 57940-2024 artfynd.xlsx", "A 57940-2024")</f>
        <v/>
      </c>
      <c r="T268">
        <f>HYPERLINK("https://klasma.github.io/Logging_2303/kartor/A 57940-2024 karta.png", "A 57940-2024")</f>
        <v/>
      </c>
      <c r="V268">
        <f>HYPERLINK("https://klasma.github.io/Logging_2303/klagomål/A 57940-2024 FSC-klagomål.docx", "A 57940-2024")</f>
        <v/>
      </c>
      <c r="W268">
        <f>HYPERLINK("https://klasma.github.io/Logging_2303/klagomålsmail/A 57940-2024 FSC-klagomål mail.docx", "A 57940-2024")</f>
        <v/>
      </c>
      <c r="X268">
        <f>HYPERLINK("https://klasma.github.io/Logging_2303/tillsyn/A 57940-2024 tillsynsbegäran.docx", "A 57940-2024")</f>
        <v/>
      </c>
      <c r="Y268">
        <f>HYPERLINK("https://klasma.github.io/Logging_2303/tillsynsmail/A 57940-2024 tillsynsbegäran mail.docx", "A 57940-2024")</f>
        <v/>
      </c>
      <c r="Z268">
        <f>HYPERLINK("https://klasma.github.io/Logging_2303/fåglar/A 57940-2024 prioriterade fågelarter.docx", "A 57940-2024")</f>
        <v/>
      </c>
    </row>
    <row r="269" ht="15" customHeight="1">
      <c r="A269" t="inlineStr">
        <is>
          <t>A 10866-2025</t>
        </is>
      </c>
      <c r="B269" s="1" t="n">
        <v>45722</v>
      </c>
      <c r="C269" s="1" t="n">
        <v>45835</v>
      </c>
      <c r="D269" t="inlineStr">
        <is>
          <t>JÄMTLANDS LÄN</t>
        </is>
      </c>
      <c r="E269" t="inlineStr">
        <is>
          <t>RAGUNDA</t>
        </is>
      </c>
      <c r="F269" t="inlineStr">
        <is>
          <t>SCA</t>
        </is>
      </c>
      <c r="G269" t="n">
        <v>15.9</v>
      </c>
      <c r="H269" t="n">
        <v>0</v>
      </c>
      <c r="I269" t="n">
        <v>1</v>
      </c>
      <c r="J269" t="n">
        <v>1</v>
      </c>
      <c r="K269" t="n">
        <v>0</v>
      </c>
      <c r="L269" t="n">
        <v>0</v>
      </c>
      <c r="M269" t="n">
        <v>0</v>
      </c>
      <c r="N269" t="n">
        <v>0</v>
      </c>
      <c r="O269" t="n">
        <v>1</v>
      </c>
      <c r="P269" t="n">
        <v>0</v>
      </c>
      <c r="Q269" t="n">
        <v>2</v>
      </c>
      <c r="R269" s="2" t="inlineStr">
        <is>
          <t>Garnlav
Norrlandslav</t>
        </is>
      </c>
      <c r="S269">
        <f>HYPERLINK("https://klasma.github.io/Logging_232303/artfynd/A 10866-2025 artfynd.xlsx", "A 10866-2025")</f>
        <v/>
      </c>
      <c r="T269">
        <f>HYPERLINK("https://klasma.github.io/Logging_232303/kartor/A 10866-2025 karta.png", "A 10866-2025")</f>
        <v/>
      </c>
      <c r="V269">
        <f>HYPERLINK("https://klasma.github.io/Logging_232303/klagomål/A 10866-2025 FSC-klagomål.docx", "A 10866-2025")</f>
        <v/>
      </c>
      <c r="W269">
        <f>HYPERLINK("https://klasma.github.io/Logging_232303/klagomålsmail/A 10866-2025 FSC-klagomål mail.docx", "A 10866-2025")</f>
        <v/>
      </c>
      <c r="X269">
        <f>HYPERLINK("https://klasma.github.io/Logging_232303/tillsyn/A 10866-2025 tillsynsbegäran.docx", "A 10866-2025")</f>
        <v/>
      </c>
      <c r="Y269">
        <f>HYPERLINK("https://klasma.github.io/Logging_232303/tillsynsmail/A 10866-2025 tillsynsbegäran mail.docx", "A 10866-2025")</f>
        <v/>
      </c>
    </row>
    <row r="270" ht="15" customHeight="1">
      <c r="A270" t="inlineStr">
        <is>
          <t>A 11086-2025</t>
        </is>
      </c>
      <c r="B270" s="1" t="n">
        <v>45723</v>
      </c>
      <c r="C270" s="1" t="n">
        <v>45835</v>
      </c>
      <c r="D270" t="inlineStr">
        <is>
          <t>JÄMTLANDS LÄN</t>
        </is>
      </c>
      <c r="E270" t="inlineStr">
        <is>
          <t>RAGUNDA</t>
        </is>
      </c>
      <c r="F270" t="inlineStr">
        <is>
          <t>SCA</t>
        </is>
      </c>
      <c r="G270" t="n">
        <v>10.8</v>
      </c>
      <c r="H270" t="n">
        <v>0</v>
      </c>
      <c r="I270" t="n">
        <v>0</v>
      </c>
      <c r="J270" t="n">
        <v>1</v>
      </c>
      <c r="K270" t="n">
        <v>1</v>
      </c>
      <c r="L270" t="n">
        <v>0</v>
      </c>
      <c r="M270" t="n">
        <v>0</v>
      </c>
      <c r="N270" t="n">
        <v>0</v>
      </c>
      <c r="O270" t="n">
        <v>2</v>
      </c>
      <c r="P270" t="n">
        <v>1</v>
      </c>
      <c r="Q270" t="n">
        <v>2</v>
      </c>
      <c r="R270" s="2" t="inlineStr">
        <is>
          <t>Gräddporing
Dvärgbägarlav</t>
        </is>
      </c>
      <c r="S270">
        <f>HYPERLINK("https://klasma.github.io/Logging_232303/artfynd/A 11086-2025 artfynd.xlsx", "A 11086-2025")</f>
        <v/>
      </c>
      <c r="T270">
        <f>HYPERLINK("https://klasma.github.io/Logging_232303/kartor/A 11086-2025 karta.png", "A 11086-2025")</f>
        <v/>
      </c>
      <c r="V270">
        <f>HYPERLINK("https://klasma.github.io/Logging_232303/klagomål/A 11086-2025 FSC-klagomål.docx", "A 11086-2025")</f>
        <v/>
      </c>
      <c r="W270">
        <f>HYPERLINK("https://klasma.github.io/Logging_232303/klagomålsmail/A 11086-2025 FSC-klagomål mail.docx", "A 11086-2025")</f>
        <v/>
      </c>
      <c r="X270">
        <f>HYPERLINK("https://klasma.github.io/Logging_232303/tillsyn/A 11086-2025 tillsynsbegäran.docx", "A 11086-2025")</f>
        <v/>
      </c>
      <c r="Y270">
        <f>HYPERLINK("https://klasma.github.io/Logging_232303/tillsynsmail/A 11086-2025 tillsynsbegäran mail.docx", "A 11086-2025")</f>
        <v/>
      </c>
    </row>
    <row r="271" ht="15" customHeight="1">
      <c r="A271" t="inlineStr">
        <is>
          <t>A 19265-2025</t>
        </is>
      </c>
      <c r="B271" s="1" t="n">
        <v>45769</v>
      </c>
      <c r="C271" s="1" t="n">
        <v>45835</v>
      </c>
      <c r="D271" t="inlineStr">
        <is>
          <t>JÄMTLANDS LÄN</t>
        </is>
      </c>
      <c r="E271" t="inlineStr">
        <is>
          <t>RAGUNDA</t>
        </is>
      </c>
      <c r="F271" t="inlineStr">
        <is>
          <t>SCA</t>
        </is>
      </c>
      <c r="G271" t="n">
        <v>4.9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HYPERLINK("https://klasma.github.io/Logging_232303/artfynd/A 19265-2025 artfynd.xlsx", "A 19265-2025")</f>
        <v/>
      </c>
      <c r="T271">
        <f>HYPERLINK("https://klasma.github.io/Logging_232303/kartor/A 19265-2025 karta.png", "A 19265-2025")</f>
        <v/>
      </c>
      <c r="V271">
        <f>HYPERLINK("https://klasma.github.io/Logging_232303/klagomål/A 19265-2025 FSC-klagomål.docx", "A 19265-2025")</f>
        <v/>
      </c>
      <c r="W271">
        <f>HYPERLINK("https://klasma.github.io/Logging_232303/klagomålsmail/A 19265-2025 FSC-klagomål mail.docx", "A 19265-2025")</f>
        <v/>
      </c>
      <c r="X271">
        <f>HYPERLINK("https://klasma.github.io/Logging_232303/tillsyn/A 19265-2025 tillsynsbegäran.docx", "A 19265-2025")</f>
        <v/>
      </c>
      <c r="Y271">
        <f>HYPERLINK("https://klasma.github.io/Logging_232303/tillsynsmail/A 19265-2025 tillsynsbegäran mail.docx", "A 19265-2025")</f>
        <v/>
      </c>
      <c r="Z271">
        <f>HYPERLINK("https://klasma.github.io/Logging_232303/fåglar/A 19265-2025 prioriterade fågelarter.docx", "A 19265-2025")</f>
        <v/>
      </c>
    </row>
    <row r="272" ht="15" customHeight="1">
      <c r="A272" t="inlineStr">
        <is>
          <t>A 30876-2025</t>
        </is>
      </c>
      <c r="B272" s="1" t="n">
        <v>45832</v>
      </c>
      <c r="C272" s="1" t="n">
        <v>45835</v>
      </c>
      <c r="D272" t="inlineStr">
        <is>
          <t>JÄMTLANDS LÄN</t>
        </is>
      </c>
      <c r="E272" t="inlineStr">
        <is>
          <t>RAGUNDA</t>
        </is>
      </c>
      <c r="F272" t="inlineStr">
        <is>
          <t>SCA</t>
        </is>
      </c>
      <c r="G272" t="n">
        <v>5.5</v>
      </c>
      <c r="H272" t="n">
        <v>2</v>
      </c>
      <c r="I272" t="n">
        <v>0</v>
      </c>
      <c r="J272" t="n">
        <v>2</v>
      </c>
      <c r="K272" t="n">
        <v>0</v>
      </c>
      <c r="L272" t="n">
        <v>0</v>
      </c>
      <c r="M272" t="n">
        <v>0</v>
      </c>
      <c r="N272" t="n">
        <v>0</v>
      </c>
      <c r="O272" t="n">
        <v>2</v>
      </c>
      <c r="P272" t="n">
        <v>0</v>
      </c>
      <c r="Q272" t="n">
        <v>2</v>
      </c>
      <c r="R272" s="2" t="inlineStr">
        <is>
          <t>Järpe
Spillkråka</t>
        </is>
      </c>
      <c r="S272">
        <f>HYPERLINK("https://klasma.github.io/Logging_232303/artfynd/A 30876-2025 artfynd.xlsx", "A 30876-2025")</f>
        <v/>
      </c>
      <c r="T272">
        <f>HYPERLINK("https://klasma.github.io/Logging_232303/kartor/A 30876-2025 karta.png", "A 30876-2025")</f>
        <v/>
      </c>
      <c r="U272">
        <f>HYPERLINK("https://klasma.github.io/Logging_232303/knärot/A 30876-2025 karta knärot.png", "A 30876-2025")</f>
        <v/>
      </c>
      <c r="V272">
        <f>HYPERLINK("https://klasma.github.io/Logging_232303/klagomål/A 30876-2025 FSC-klagomål.docx", "A 30876-2025")</f>
        <v/>
      </c>
      <c r="W272">
        <f>HYPERLINK("https://klasma.github.io/Logging_232303/klagomålsmail/A 30876-2025 FSC-klagomål mail.docx", "A 30876-2025")</f>
        <v/>
      </c>
      <c r="X272">
        <f>HYPERLINK("https://klasma.github.io/Logging_232303/tillsyn/A 30876-2025 tillsynsbegäran.docx", "A 30876-2025")</f>
        <v/>
      </c>
      <c r="Y272">
        <f>HYPERLINK("https://klasma.github.io/Logging_232303/tillsynsmail/A 30876-2025 tillsynsbegäran mail.docx", "A 30876-2025")</f>
        <v/>
      </c>
      <c r="Z272">
        <f>HYPERLINK("https://klasma.github.io/Logging_232303/fåglar/A 30876-2025 prioriterade fågelarter.docx", "A 30876-2025")</f>
        <v/>
      </c>
    </row>
    <row r="273" ht="15" customHeight="1">
      <c r="A273" t="inlineStr">
        <is>
          <t>A 33241-2019</t>
        </is>
      </c>
      <c r="B273" s="1" t="n">
        <v>43650</v>
      </c>
      <c r="C273" s="1" t="n">
        <v>45835</v>
      </c>
      <c r="D273" t="inlineStr">
        <is>
          <t>JÄMTLANDS LÄN</t>
        </is>
      </c>
      <c r="E273" t="inlineStr">
        <is>
          <t>RAGUNDA</t>
        </is>
      </c>
      <c r="G273" t="n">
        <v>6.3</v>
      </c>
      <c r="H273" t="n">
        <v>0</v>
      </c>
      <c r="I273" t="n">
        <v>0</v>
      </c>
      <c r="J273" t="n">
        <v>1</v>
      </c>
      <c r="K273" t="n">
        <v>0</v>
      </c>
      <c r="L273" t="n">
        <v>0</v>
      </c>
      <c r="M273" t="n">
        <v>0</v>
      </c>
      <c r="N273" t="n">
        <v>0</v>
      </c>
      <c r="O273" t="n">
        <v>1</v>
      </c>
      <c r="P273" t="n">
        <v>0</v>
      </c>
      <c r="Q273" t="n">
        <v>1</v>
      </c>
      <c r="R273" s="2" t="inlineStr">
        <is>
          <t>Garnlav</t>
        </is>
      </c>
      <c r="S273">
        <f>HYPERLINK("https://klasma.github.io/Logging_2303/artfynd/A 33241-2019 artfynd.xlsx", "A 33241-2019")</f>
        <v/>
      </c>
      <c r="T273">
        <f>HYPERLINK("https://klasma.github.io/Logging_2303/kartor/A 33241-2019 karta.png", "A 33241-2019")</f>
        <v/>
      </c>
      <c r="V273">
        <f>HYPERLINK("https://klasma.github.io/Logging_2303/klagomål/A 33241-2019 FSC-klagomål.docx", "A 33241-2019")</f>
        <v/>
      </c>
      <c r="W273">
        <f>HYPERLINK("https://klasma.github.io/Logging_2303/klagomålsmail/A 33241-2019 FSC-klagomål mail.docx", "A 33241-2019")</f>
        <v/>
      </c>
      <c r="X273">
        <f>HYPERLINK("https://klasma.github.io/Logging_2303/tillsyn/A 33241-2019 tillsynsbegäran.docx", "A 33241-2019")</f>
        <v/>
      </c>
      <c r="Y273">
        <f>HYPERLINK("https://klasma.github.io/Logging_2303/tillsynsmail/A 33241-2019 tillsynsbegäran mail.docx", "A 33241-2019")</f>
        <v/>
      </c>
    </row>
    <row r="274" ht="15" customHeight="1">
      <c r="A274" t="inlineStr">
        <is>
          <t>A 61777-2019</t>
        </is>
      </c>
      <c r="B274" s="1" t="n">
        <v>43784</v>
      </c>
      <c r="C274" s="1" t="n">
        <v>45835</v>
      </c>
      <c r="D274" t="inlineStr">
        <is>
          <t>JÄMTLANDS LÄN</t>
        </is>
      </c>
      <c r="E274" t="inlineStr">
        <is>
          <t>RAGUNDA</t>
        </is>
      </c>
      <c r="F274" t="inlineStr">
        <is>
          <t>SCA</t>
        </is>
      </c>
      <c r="G274" t="n">
        <v>6.1</v>
      </c>
      <c r="H274" t="n">
        <v>1</v>
      </c>
      <c r="I274" t="n">
        <v>1</v>
      </c>
      <c r="J274" t="n">
        <v>0</v>
      </c>
      <c r="K274" t="n">
        <v>0</v>
      </c>
      <c r="L274" t="n">
        <v>0</v>
      </c>
      <c r="M274" t="n">
        <v>0</v>
      </c>
      <c r="N274" t="n">
        <v>0</v>
      </c>
      <c r="O274" t="n">
        <v>0</v>
      </c>
      <c r="P274" t="n">
        <v>0</v>
      </c>
      <c r="Q274" t="n">
        <v>1</v>
      </c>
      <c r="R274" s="2" t="inlineStr">
        <is>
          <t>Guckusko</t>
        </is>
      </c>
      <c r="S274">
        <f>HYPERLINK("https://klasma.github.io/Logging_2303/artfynd/A 61777-2019 artfynd.xlsx", "A 61777-2019")</f>
        <v/>
      </c>
      <c r="T274">
        <f>HYPERLINK("https://klasma.github.io/Logging_2303/kartor/A 61777-2019 karta.png", "A 61777-2019")</f>
        <v/>
      </c>
      <c r="V274">
        <f>HYPERLINK("https://klasma.github.io/Logging_2303/klagomål/A 61777-2019 FSC-klagomål.docx", "A 61777-2019")</f>
        <v/>
      </c>
      <c r="W274">
        <f>HYPERLINK("https://klasma.github.io/Logging_2303/klagomålsmail/A 61777-2019 FSC-klagomål mail.docx", "A 61777-2019")</f>
        <v/>
      </c>
      <c r="X274">
        <f>HYPERLINK("https://klasma.github.io/Logging_2303/tillsyn/A 61777-2019 tillsynsbegäran.docx", "A 61777-2019")</f>
        <v/>
      </c>
      <c r="Y274">
        <f>HYPERLINK("https://klasma.github.io/Logging_2303/tillsynsmail/A 61777-2019 tillsynsbegäran mail.docx", "A 61777-2019")</f>
        <v/>
      </c>
    </row>
    <row r="275" ht="15" customHeight="1">
      <c r="A275" t="inlineStr">
        <is>
          <t>A 24657-2020</t>
        </is>
      </c>
      <c r="B275" s="1" t="n">
        <v>43977</v>
      </c>
      <c r="C275" s="1" t="n">
        <v>45835</v>
      </c>
      <c r="D275" t="inlineStr">
        <is>
          <t>JÄMTLANDS LÄN</t>
        </is>
      </c>
      <c r="E275" t="inlineStr">
        <is>
          <t>RAGUNDA</t>
        </is>
      </c>
      <c r="F275" t="inlineStr">
        <is>
          <t>SCA</t>
        </is>
      </c>
      <c r="G275" t="n">
        <v>20.5</v>
      </c>
      <c r="H275" t="n">
        <v>0</v>
      </c>
      <c r="I275" t="n">
        <v>0</v>
      </c>
      <c r="J275" t="n">
        <v>0</v>
      </c>
      <c r="K275" t="n">
        <v>1</v>
      </c>
      <c r="L275" t="n">
        <v>0</v>
      </c>
      <c r="M275" t="n">
        <v>0</v>
      </c>
      <c r="N275" t="n">
        <v>0</v>
      </c>
      <c r="O275" t="n">
        <v>1</v>
      </c>
      <c r="P275" t="n">
        <v>1</v>
      </c>
      <c r="Q275" t="n">
        <v>1</v>
      </c>
      <c r="R275" s="2" t="inlineStr">
        <is>
          <t>Gräddporing</t>
        </is>
      </c>
      <c r="S275">
        <f>HYPERLINK("https://klasma.github.io/Logging_2303/artfynd/A 24657-2020 artfynd.xlsx", "A 24657-2020")</f>
        <v/>
      </c>
      <c r="T275">
        <f>HYPERLINK("https://klasma.github.io/Logging_2303/kartor/A 24657-2020 karta.png", "A 24657-2020")</f>
        <v/>
      </c>
      <c r="V275">
        <f>HYPERLINK("https://klasma.github.io/Logging_2303/klagomål/A 24657-2020 FSC-klagomål.docx", "A 24657-2020")</f>
        <v/>
      </c>
      <c r="W275">
        <f>HYPERLINK("https://klasma.github.io/Logging_2303/klagomålsmail/A 24657-2020 FSC-klagomål mail.docx", "A 24657-2020")</f>
        <v/>
      </c>
      <c r="X275">
        <f>HYPERLINK("https://klasma.github.io/Logging_2303/tillsyn/A 24657-2020 tillsynsbegäran.docx", "A 24657-2020")</f>
        <v/>
      </c>
      <c r="Y275">
        <f>HYPERLINK("https://klasma.github.io/Logging_2303/tillsynsmail/A 24657-2020 tillsynsbegäran mail.docx", "A 24657-2020")</f>
        <v/>
      </c>
    </row>
    <row r="276" ht="15" customHeight="1">
      <c r="A276" t="inlineStr">
        <is>
          <t>A 31357-2020</t>
        </is>
      </c>
      <c r="B276" s="1" t="n">
        <v>44012</v>
      </c>
      <c r="C276" s="1" t="n">
        <v>45835</v>
      </c>
      <c r="D276" t="inlineStr">
        <is>
          <t>JÄMTLANDS LÄN</t>
        </is>
      </c>
      <c r="E276" t="inlineStr">
        <is>
          <t>RAGUNDA</t>
        </is>
      </c>
      <c r="F276" t="inlineStr">
        <is>
          <t>SCA</t>
        </is>
      </c>
      <c r="G276" t="n">
        <v>21.4</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31357-2020 artfynd.xlsx", "A 31357-2020")</f>
        <v/>
      </c>
      <c r="T276">
        <f>HYPERLINK("https://klasma.github.io/Logging_2303/kartor/A 31357-2020 karta.png", "A 31357-2020")</f>
        <v/>
      </c>
      <c r="V276">
        <f>HYPERLINK("https://klasma.github.io/Logging_2303/klagomål/A 31357-2020 FSC-klagomål.docx", "A 31357-2020")</f>
        <v/>
      </c>
      <c r="W276">
        <f>HYPERLINK("https://klasma.github.io/Logging_2303/klagomålsmail/A 31357-2020 FSC-klagomål mail.docx", "A 31357-2020")</f>
        <v/>
      </c>
      <c r="X276">
        <f>HYPERLINK("https://klasma.github.io/Logging_2303/tillsyn/A 31357-2020 tillsynsbegäran.docx", "A 31357-2020")</f>
        <v/>
      </c>
      <c r="Y276">
        <f>HYPERLINK("https://klasma.github.io/Logging_2303/tillsynsmail/A 31357-2020 tillsynsbegäran mail.docx", "A 31357-2020")</f>
        <v/>
      </c>
      <c r="Z276">
        <f>HYPERLINK("https://klasma.github.io/Logging_2303/fåglar/A 31357-2020 prioriterade fågelarter.docx", "A 31357-2020")</f>
        <v/>
      </c>
    </row>
    <row r="277" ht="15" customHeight="1">
      <c r="A277" t="inlineStr">
        <is>
          <t>A 36457-2020</t>
        </is>
      </c>
      <c r="B277" s="1" t="n">
        <v>44049</v>
      </c>
      <c r="C277" s="1" t="n">
        <v>45835</v>
      </c>
      <c r="D277" t="inlineStr">
        <is>
          <t>JÄMTLANDS LÄN</t>
        </is>
      </c>
      <c r="E277" t="inlineStr">
        <is>
          <t>RAGUNDA</t>
        </is>
      </c>
      <c r="F277" t="inlineStr">
        <is>
          <t>SCA</t>
        </is>
      </c>
      <c r="G277" t="n">
        <v>2.5</v>
      </c>
      <c r="H277" t="n">
        <v>1</v>
      </c>
      <c r="I277" t="n">
        <v>1</v>
      </c>
      <c r="J277" t="n">
        <v>0</v>
      </c>
      <c r="K277" t="n">
        <v>0</v>
      </c>
      <c r="L277" t="n">
        <v>0</v>
      </c>
      <c r="M277" t="n">
        <v>0</v>
      </c>
      <c r="N277" t="n">
        <v>0</v>
      </c>
      <c r="O277" t="n">
        <v>0</v>
      </c>
      <c r="P277" t="n">
        <v>0</v>
      </c>
      <c r="Q277" t="n">
        <v>1</v>
      </c>
      <c r="R277" s="2" t="inlineStr">
        <is>
          <t>Guckusko</t>
        </is>
      </c>
      <c r="S277">
        <f>HYPERLINK("https://klasma.github.io/Logging_2303/artfynd/A 36457-2020 artfynd.xlsx", "A 36457-2020")</f>
        <v/>
      </c>
      <c r="T277">
        <f>HYPERLINK("https://klasma.github.io/Logging_2303/kartor/A 36457-2020 karta.png", "A 36457-2020")</f>
        <v/>
      </c>
      <c r="V277">
        <f>HYPERLINK("https://klasma.github.io/Logging_2303/klagomål/A 36457-2020 FSC-klagomål.docx", "A 36457-2020")</f>
        <v/>
      </c>
      <c r="W277">
        <f>HYPERLINK("https://klasma.github.io/Logging_2303/klagomålsmail/A 36457-2020 FSC-klagomål mail.docx", "A 36457-2020")</f>
        <v/>
      </c>
      <c r="X277">
        <f>HYPERLINK("https://klasma.github.io/Logging_2303/tillsyn/A 36457-2020 tillsynsbegäran.docx", "A 36457-2020")</f>
        <v/>
      </c>
      <c r="Y277">
        <f>HYPERLINK("https://klasma.github.io/Logging_2303/tillsynsmail/A 36457-2020 tillsynsbegäran mail.docx", "A 36457-2020")</f>
        <v/>
      </c>
    </row>
    <row r="278" ht="15" customHeight="1">
      <c r="A278" t="inlineStr">
        <is>
          <t>A 39060-2020</t>
        </is>
      </c>
      <c r="B278" s="1" t="n">
        <v>44062</v>
      </c>
      <c r="C278" s="1" t="n">
        <v>45835</v>
      </c>
      <c r="D278" t="inlineStr">
        <is>
          <t>JÄMTLANDS LÄN</t>
        </is>
      </c>
      <c r="E278" t="inlineStr">
        <is>
          <t>RAGUNDA</t>
        </is>
      </c>
      <c r="F278" t="inlineStr">
        <is>
          <t>SCA</t>
        </is>
      </c>
      <c r="G278" t="n">
        <v>6.5</v>
      </c>
      <c r="H278" t="n">
        <v>0</v>
      </c>
      <c r="I278" t="n">
        <v>1</v>
      </c>
      <c r="J278" t="n">
        <v>0</v>
      </c>
      <c r="K278" t="n">
        <v>0</v>
      </c>
      <c r="L278" t="n">
        <v>0</v>
      </c>
      <c r="M278" t="n">
        <v>0</v>
      </c>
      <c r="N278" t="n">
        <v>0</v>
      </c>
      <c r="O278" t="n">
        <v>0</v>
      </c>
      <c r="P278" t="n">
        <v>0</v>
      </c>
      <c r="Q278" t="n">
        <v>1</v>
      </c>
      <c r="R278" s="2" t="inlineStr">
        <is>
          <t>Stuplav</t>
        </is>
      </c>
      <c r="S278">
        <f>HYPERLINK("https://klasma.github.io/Logging_2303/artfynd/A 39060-2020 artfynd.xlsx", "A 39060-2020")</f>
        <v/>
      </c>
      <c r="T278">
        <f>HYPERLINK("https://klasma.github.io/Logging_2303/kartor/A 39060-2020 karta.png", "A 39060-2020")</f>
        <v/>
      </c>
      <c r="V278">
        <f>HYPERLINK("https://klasma.github.io/Logging_2303/klagomål/A 39060-2020 FSC-klagomål.docx", "A 39060-2020")</f>
        <v/>
      </c>
      <c r="W278">
        <f>HYPERLINK("https://klasma.github.io/Logging_2303/klagomålsmail/A 39060-2020 FSC-klagomål mail.docx", "A 39060-2020")</f>
        <v/>
      </c>
      <c r="X278">
        <f>HYPERLINK("https://klasma.github.io/Logging_2303/tillsyn/A 39060-2020 tillsynsbegäran.docx", "A 39060-2020")</f>
        <v/>
      </c>
      <c r="Y278">
        <f>HYPERLINK("https://klasma.github.io/Logging_2303/tillsynsmail/A 39060-2020 tillsynsbegäran mail.docx", "A 39060-2020")</f>
        <v/>
      </c>
    </row>
    <row r="279" ht="15" customHeight="1">
      <c r="A279" t="inlineStr">
        <is>
          <t>A 47853-2020</t>
        </is>
      </c>
      <c r="B279" s="1" t="n">
        <v>44098</v>
      </c>
      <c r="C279" s="1" t="n">
        <v>45835</v>
      </c>
      <c r="D279" t="inlineStr">
        <is>
          <t>JÄMTLANDS LÄN</t>
        </is>
      </c>
      <c r="E279" t="inlineStr">
        <is>
          <t>RAGUNDA</t>
        </is>
      </c>
      <c r="F279" t="inlineStr">
        <is>
          <t>SCA</t>
        </is>
      </c>
      <c r="G279" t="n">
        <v>5.3</v>
      </c>
      <c r="H279" t="n">
        <v>0</v>
      </c>
      <c r="I279" t="n">
        <v>0</v>
      </c>
      <c r="J279" t="n">
        <v>1</v>
      </c>
      <c r="K279" t="n">
        <v>0</v>
      </c>
      <c r="L279" t="n">
        <v>0</v>
      </c>
      <c r="M279" t="n">
        <v>0</v>
      </c>
      <c r="N279" t="n">
        <v>0</v>
      </c>
      <c r="O279" t="n">
        <v>1</v>
      </c>
      <c r="P279" t="n">
        <v>0</v>
      </c>
      <c r="Q279" t="n">
        <v>1</v>
      </c>
      <c r="R279" s="2" t="inlineStr">
        <is>
          <t>Lunglav</t>
        </is>
      </c>
      <c r="S279">
        <f>HYPERLINK("https://klasma.github.io/Logging_2303/artfynd/A 47853-2020 artfynd.xlsx", "A 47853-2020")</f>
        <v/>
      </c>
      <c r="T279">
        <f>HYPERLINK("https://klasma.github.io/Logging_2303/kartor/A 47853-2020 karta.png", "A 47853-2020")</f>
        <v/>
      </c>
      <c r="V279">
        <f>HYPERLINK("https://klasma.github.io/Logging_2303/klagomål/A 47853-2020 FSC-klagomål.docx", "A 47853-2020")</f>
        <v/>
      </c>
      <c r="W279">
        <f>HYPERLINK("https://klasma.github.io/Logging_2303/klagomålsmail/A 47853-2020 FSC-klagomål mail.docx", "A 47853-2020")</f>
        <v/>
      </c>
      <c r="X279">
        <f>HYPERLINK("https://klasma.github.io/Logging_2303/tillsyn/A 47853-2020 tillsynsbegäran.docx", "A 47853-2020")</f>
        <v/>
      </c>
      <c r="Y279">
        <f>HYPERLINK("https://klasma.github.io/Logging_2303/tillsynsmail/A 47853-2020 tillsynsbegäran mail.docx", "A 47853-2020")</f>
        <v/>
      </c>
    </row>
    <row r="280" ht="15" customHeight="1">
      <c r="A280" t="inlineStr">
        <is>
          <t>A 52898-2020</t>
        </is>
      </c>
      <c r="B280" s="1" t="n">
        <v>44119</v>
      </c>
      <c r="C280" s="1" t="n">
        <v>45835</v>
      </c>
      <c r="D280" t="inlineStr">
        <is>
          <t>JÄMTLANDS LÄN</t>
        </is>
      </c>
      <c r="E280" t="inlineStr">
        <is>
          <t>RAGUNDA</t>
        </is>
      </c>
      <c r="G280" t="n">
        <v>1.4</v>
      </c>
      <c r="H280" t="n">
        <v>1</v>
      </c>
      <c r="I280" t="n">
        <v>0</v>
      </c>
      <c r="J280" t="n">
        <v>0</v>
      </c>
      <c r="K280" t="n">
        <v>0</v>
      </c>
      <c r="L280" t="n">
        <v>0</v>
      </c>
      <c r="M280" t="n">
        <v>0</v>
      </c>
      <c r="N280" t="n">
        <v>0</v>
      </c>
      <c r="O280" t="n">
        <v>0</v>
      </c>
      <c r="P280" t="n">
        <v>0</v>
      </c>
      <c r="Q280" t="n">
        <v>1</v>
      </c>
      <c r="R280" s="2" t="inlineStr">
        <is>
          <t>Revlummer</t>
        </is>
      </c>
      <c r="S280">
        <f>HYPERLINK("https://klasma.github.io/Logging_2303/artfynd/A 52898-2020 artfynd.xlsx", "A 52898-2020")</f>
        <v/>
      </c>
      <c r="T280">
        <f>HYPERLINK("https://klasma.github.io/Logging_2303/kartor/A 52898-2020 karta.png", "A 52898-2020")</f>
        <v/>
      </c>
      <c r="V280">
        <f>HYPERLINK("https://klasma.github.io/Logging_2303/klagomål/A 52898-2020 FSC-klagomål.docx", "A 52898-2020")</f>
        <v/>
      </c>
      <c r="W280">
        <f>HYPERLINK("https://klasma.github.io/Logging_2303/klagomålsmail/A 52898-2020 FSC-klagomål mail.docx", "A 52898-2020")</f>
        <v/>
      </c>
      <c r="X280">
        <f>HYPERLINK("https://klasma.github.io/Logging_2303/tillsyn/A 52898-2020 tillsynsbegäran.docx", "A 52898-2020")</f>
        <v/>
      </c>
      <c r="Y280">
        <f>HYPERLINK("https://klasma.github.io/Logging_2303/tillsynsmail/A 52898-2020 tillsynsbegäran mail.docx", "A 52898-2020")</f>
        <v/>
      </c>
    </row>
    <row r="281" ht="15" customHeight="1">
      <c r="A281" t="inlineStr">
        <is>
          <t>A 64363-2020</t>
        </is>
      </c>
      <c r="B281" s="1" t="n">
        <v>44166</v>
      </c>
      <c r="C281" s="1" t="n">
        <v>45835</v>
      </c>
      <c r="D281" t="inlineStr">
        <is>
          <t>JÄMTLANDS LÄN</t>
        </is>
      </c>
      <c r="E281" t="inlineStr">
        <is>
          <t>RAGUNDA</t>
        </is>
      </c>
      <c r="G281" t="n">
        <v>4.5</v>
      </c>
      <c r="H281" t="n">
        <v>1</v>
      </c>
      <c r="I281" t="n">
        <v>0</v>
      </c>
      <c r="J281" t="n">
        <v>0</v>
      </c>
      <c r="K281" t="n">
        <v>1</v>
      </c>
      <c r="L281" t="n">
        <v>0</v>
      </c>
      <c r="M281" t="n">
        <v>0</v>
      </c>
      <c r="N281" t="n">
        <v>0</v>
      </c>
      <c r="O281" t="n">
        <v>1</v>
      </c>
      <c r="P281" t="n">
        <v>1</v>
      </c>
      <c r="Q281" t="n">
        <v>1</v>
      </c>
      <c r="R281" s="2" t="inlineStr">
        <is>
          <t>Bombmurkla</t>
        </is>
      </c>
      <c r="S281">
        <f>HYPERLINK("https://klasma.github.io/Logging_2303/artfynd/A 64363-2020 artfynd.xlsx", "A 64363-2020")</f>
        <v/>
      </c>
      <c r="T281">
        <f>HYPERLINK("https://klasma.github.io/Logging_2303/kartor/A 64363-2020 karta.png", "A 64363-2020")</f>
        <v/>
      </c>
      <c r="V281">
        <f>HYPERLINK("https://klasma.github.io/Logging_2303/klagomål/A 64363-2020 FSC-klagomål.docx", "A 64363-2020")</f>
        <v/>
      </c>
      <c r="W281">
        <f>HYPERLINK("https://klasma.github.io/Logging_2303/klagomålsmail/A 64363-2020 FSC-klagomål mail.docx", "A 64363-2020")</f>
        <v/>
      </c>
      <c r="X281">
        <f>HYPERLINK("https://klasma.github.io/Logging_2303/tillsyn/A 64363-2020 tillsynsbegäran.docx", "A 64363-2020")</f>
        <v/>
      </c>
      <c r="Y281">
        <f>HYPERLINK("https://klasma.github.io/Logging_2303/tillsynsmail/A 64363-2020 tillsynsbegäran mail.docx", "A 64363-2020")</f>
        <v/>
      </c>
    </row>
    <row r="282" ht="15" customHeight="1">
      <c r="A282" t="inlineStr">
        <is>
          <t>A 21037-2021</t>
        </is>
      </c>
      <c r="B282" s="1" t="n">
        <v>44319</v>
      </c>
      <c r="C282" s="1" t="n">
        <v>45835</v>
      </c>
      <c r="D282" t="inlineStr">
        <is>
          <t>JÄMTLANDS LÄN</t>
        </is>
      </c>
      <c r="E282" t="inlineStr">
        <is>
          <t>RAGUNDA</t>
        </is>
      </c>
      <c r="F282" t="inlineStr">
        <is>
          <t>Kyrkan</t>
        </is>
      </c>
      <c r="G282" t="n">
        <v>0.8</v>
      </c>
      <c r="H282" t="n">
        <v>0</v>
      </c>
      <c r="I282" t="n">
        <v>0</v>
      </c>
      <c r="J282" t="n">
        <v>1</v>
      </c>
      <c r="K282" t="n">
        <v>0</v>
      </c>
      <c r="L282" t="n">
        <v>0</v>
      </c>
      <c r="M282" t="n">
        <v>0</v>
      </c>
      <c r="N282" t="n">
        <v>0</v>
      </c>
      <c r="O282" t="n">
        <v>1</v>
      </c>
      <c r="P282" t="n">
        <v>0</v>
      </c>
      <c r="Q282" t="n">
        <v>1</v>
      </c>
      <c r="R282" s="2" t="inlineStr">
        <is>
          <t>Olivbrun gytterlav</t>
        </is>
      </c>
      <c r="S282">
        <f>HYPERLINK("https://klasma.github.io/Logging_2303/artfynd/A 21037-2021 artfynd.xlsx", "A 21037-2021")</f>
        <v/>
      </c>
      <c r="T282">
        <f>HYPERLINK("https://klasma.github.io/Logging_2303/kartor/A 21037-2021 karta.png", "A 21037-2021")</f>
        <v/>
      </c>
      <c r="V282">
        <f>HYPERLINK("https://klasma.github.io/Logging_2303/klagomål/A 21037-2021 FSC-klagomål.docx", "A 21037-2021")</f>
        <v/>
      </c>
      <c r="W282">
        <f>HYPERLINK("https://klasma.github.io/Logging_2303/klagomålsmail/A 21037-2021 FSC-klagomål mail.docx", "A 21037-2021")</f>
        <v/>
      </c>
      <c r="X282">
        <f>HYPERLINK("https://klasma.github.io/Logging_2303/tillsyn/A 21037-2021 tillsynsbegäran.docx", "A 21037-2021")</f>
        <v/>
      </c>
      <c r="Y282">
        <f>HYPERLINK("https://klasma.github.io/Logging_2303/tillsynsmail/A 21037-2021 tillsynsbegäran mail.docx", "A 21037-2021")</f>
        <v/>
      </c>
    </row>
    <row r="283" ht="15" customHeight="1">
      <c r="A283" t="inlineStr">
        <is>
          <t>A 31773-2021</t>
        </is>
      </c>
      <c r="B283" s="1" t="n">
        <v>44369</v>
      </c>
      <c r="C283" s="1" t="n">
        <v>45835</v>
      </c>
      <c r="D283" t="inlineStr">
        <is>
          <t>JÄMTLANDS LÄN</t>
        </is>
      </c>
      <c r="E283" t="inlineStr">
        <is>
          <t>RAGUNDA</t>
        </is>
      </c>
      <c r="G283" t="n">
        <v>0.8</v>
      </c>
      <c r="H283" t="n">
        <v>0</v>
      </c>
      <c r="I283" t="n">
        <v>0</v>
      </c>
      <c r="J283" t="n">
        <v>0</v>
      </c>
      <c r="K283" t="n">
        <v>1</v>
      </c>
      <c r="L283" t="n">
        <v>0</v>
      </c>
      <c r="M283" t="n">
        <v>0</v>
      </c>
      <c r="N283" t="n">
        <v>0</v>
      </c>
      <c r="O283" t="n">
        <v>1</v>
      </c>
      <c r="P283" t="n">
        <v>1</v>
      </c>
      <c r="Q283" t="n">
        <v>1</v>
      </c>
      <c r="R283" s="2" t="inlineStr">
        <is>
          <t>Strandsandjägare</t>
        </is>
      </c>
      <c r="S283">
        <f>HYPERLINK("https://klasma.github.io/Logging_2303/artfynd/A 31773-2021 artfynd.xlsx", "A 31773-2021")</f>
        <v/>
      </c>
      <c r="T283">
        <f>HYPERLINK("https://klasma.github.io/Logging_2303/kartor/A 31773-2021 karta.png", "A 31773-2021")</f>
        <v/>
      </c>
      <c r="V283">
        <f>HYPERLINK("https://klasma.github.io/Logging_2303/klagomål/A 31773-2021 FSC-klagomål.docx", "A 31773-2021")</f>
        <v/>
      </c>
      <c r="W283">
        <f>HYPERLINK("https://klasma.github.io/Logging_2303/klagomålsmail/A 31773-2021 FSC-klagomål mail.docx", "A 31773-2021")</f>
        <v/>
      </c>
      <c r="X283">
        <f>HYPERLINK("https://klasma.github.io/Logging_2303/tillsyn/A 31773-2021 tillsynsbegäran.docx", "A 31773-2021")</f>
        <v/>
      </c>
      <c r="Y283">
        <f>HYPERLINK("https://klasma.github.io/Logging_2303/tillsynsmail/A 31773-2021 tillsynsbegäran mail.docx", "A 31773-2021")</f>
        <v/>
      </c>
    </row>
    <row r="284" ht="15" customHeight="1">
      <c r="A284" t="inlineStr">
        <is>
          <t>A 42546-2021</t>
        </is>
      </c>
      <c r="B284" s="1" t="n">
        <v>44428</v>
      </c>
      <c r="C284" s="1" t="n">
        <v>45835</v>
      </c>
      <c r="D284" t="inlineStr">
        <is>
          <t>JÄMTLANDS LÄN</t>
        </is>
      </c>
      <c r="E284" t="inlineStr">
        <is>
          <t>RAGUNDA</t>
        </is>
      </c>
      <c r="F284" t="inlineStr">
        <is>
          <t>SCA</t>
        </is>
      </c>
      <c r="G284" t="n">
        <v>5.6</v>
      </c>
      <c r="H284" t="n">
        <v>0</v>
      </c>
      <c r="I284" t="n">
        <v>0</v>
      </c>
      <c r="J284" t="n">
        <v>1</v>
      </c>
      <c r="K284" t="n">
        <v>0</v>
      </c>
      <c r="L284" t="n">
        <v>0</v>
      </c>
      <c r="M284" t="n">
        <v>0</v>
      </c>
      <c r="N284" t="n">
        <v>0</v>
      </c>
      <c r="O284" t="n">
        <v>1</v>
      </c>
      <c r="P284" t="n">
        <v>0</v>
      </c>
      <c r="Q284" t="n">
        <v>1</v>
      </c>
      <c r="R284" s="2" t="inlineStr">
        <is>
          <t>Dvärgbägarlav</t>
        </is>
      </c>
      <c r="S284">
        <f>HYPERLINK("https://klasma.github.io/Logging_2303/artfynd/A 42546-2021 artfynd.xlsx", "A 42546-2021")</f>
        <v/>
      </c>
      <c r="T284">
        <f>HYPERLINK("https://klasma.github.io/Logging_2303/kartor/A 42546-2021 karta.png", "A 42546-2021")</f>
        <v/>
      </c>
      <c r="V284">
        <f>HYPERLINK("https://klasma.github.io/Logging_2303/klagomål/A 42546-2021 FSC-klagomål.docx", "A 42546-2021")</f>
        <v/>
      </c>
      <c r="W284">
        <f>HYPERLINK("https://klasma.github.io/Logging_2303/klagomålsmail/A 42546-2021 FSC-klagomål mail.docx", "A 42546-2021")</f>
        <v/>
      </c>
      <c r="X284">
        <f>HYPERLINK("https://klasma.github.io/Logging_2303/tillsyn/A 42546-2021 tillsynsbegäran.docx", "A 42546-2021")</f>
        <v/>
      </c>
      <c r="Y284">
        <f>HYPERLINK("https://klasma.github.io/Logging_2303/tillsynsmail/A 42546-2021 tillsynsbegäran mail.docx", "A 42546-2021")</f>
        <v/>
      </c>
    </row>
    <row r="285" ht="15" customHeight="1">
      <c r="A285" t="inlineStr">
        <is>
          <t>A 51916-2021</t>
        </is>
      </c>
      <c r="B285" s="1" t="n">
        <v>44462</v>
      </c>
      <c r="C285" s="1" t="n">
        <v>45835</v>
      </c>
      <c r="D285" t="inlineStr">
        <is>
          <t>JÄMTLANDS LÄN</t>
        </is>
      </c>
      <c r="E285" t="inlineStr">
        <is>
          <t>RAGUNDA</t>
        </is>
      </c>
      <c r="F285" t="inlineStr">
        <is>
          <t>SCA</t>
        </is>
      </c>
      <c r="G285" t="n">
        <v>3</v>
      </c>
      <c r="H285" t="n">
        <v>1</v>
      </c>
      <c r="I285" t="n">
        <v>0</v>
      </c>
      <c r="J285" t="n">
        <v>1</v>
      </c>
      <c r="K285" t="n">
        <v>0</v>
      </c>
      <c r="L285" t="n">
        <v>0</v>
      </c>
      <c r="M285" t="n">
        <v>0</v>
      </c>
      <c r="N285" t="n">
        <v>0</v>
      </c>
      <c r="O285" t="n">
        <v>1</v>
      </c>
      <c r="P285" t="n">
        <v>0</v>
      </c>
      <c r="Q285" t="n">
        <v>1</v>
      </c>
      <c r="R285" s="2" t="inlineStr">
        <is>
          <t>Varglav</t>
        </is>
      </c>
      <c r="S285">
        <f>HYPERLINK("https://klasma.github.io/Logging_2303/artfynd/A 51916-2021 artfynd.xlsx", "A 51916-2021")</f>
        <v/>
      </c>
      <c r="T285">
        <f>HYPERLINK("https://klasma.github.io/Logging_2303/kartor/A 51916-2021 karta.png", "A 51916-2021")</f>
        <v/>
      </c>
      <c r="V285">
        <f>HYPERLINK("https://klasma.github.io/Logging_2303/klagomål/A 51916-2021 FSC-klagomål.docx", "A 51916-2021")</f>
        <v/>
      </c>
      <c r="W285">
        <f>HYPERLINK("https://klasma.github.io/Logging_2303/klagomålsmail/A 51916-2021 FSC-klagomål mail.docx", "A 51916-2021")</f>
        <v/>
      </c>
      <c r="X285">
        <f>HYPERLINK("https://klasma.github.io/Logging_2303/tillsyn/A 51916-2021 tillsynsbegäran.docx", "A 51916-2021")</f>
        <v/>
      </c>
      <c r="Y285">
        <f>HYPERLINK("https://klasma.github.io/Logging_2303/tillsynsmail/A 51916-2021 tillsynsbegäran mail.docx", "A 51916-2021")</f>
        <v/>
      </c>
    </row>
    <row r="286" ht="15" customHeight="1">
      <c r="A286" t="inlineStr">
        <is>
          <t>A 6550-2022</t>
        </is>
      </c>
      <c r="B286" s="1" t="n">
        <v>44601</v>
      </c>
      <c r="C286" s="1" t="n">
        <v>45835</v>
      </c>
      <c r="D286" t="inlineStr">
        <is>
          <t>JÄMTLANDS LÄN</t>
        </is>
      </c>
      <c r="E286" t="inlineStr">
        <is>
          <t>RAGUNDA</t>
        </is>
      </c>
      <c r="G286" t="n">
        <v>2.3</v>
      </c>
      <c r="H286" t="n">
        <v>0</v>
      </c>
      <c r="I286" t="n">
        <v>0</v>
      </c>
      <c r="J286" t="n">
        <v>1</v>
      </c>
      <c r="K286" t="n">
        <v>0</v>
      </c>
      <c r="L286" t="n">
        <v>0</v>
      </c>
      <c r="M286" t="n">
        <v>0</v>
      </c>
      <c r="N286" t="n">
        <v>0</v>
      </c>
      <c r="O286" t="n">
        <v>1</v>
      </c>
      <c r="P286" t="n">
        <v>0</v>
      </c>
      <c r="Q286" t="n">
        <v>1</v>
      </c>
      <c r="R286" s="2" t="inlineStr">
        <is>
          <t>Dvärgbägarlav</t>
        </is>
      </c>
      <c r="S286">
        <f>HYPERLINK("https://klasma.github.io/Logging_2303/artfynd/A 6550-2022 artfynd.xlsx", "A 6550-2022")</f>
        <v/>
      </c>
      <c r="T286">
        <f>HYPERLINK("https://klasma.github.io/Logging_2303/kartor/A 6550-2022 karta.png", "A 6550-2022")</f>
        <v/>
      </c>
      <c r="V286">
        <f>HYPERLINK("https://klasma.github.io/Logging_2303/klagomål/A 6550-2022 FSC-klagomål.docx", "A 6550-2022")</f>
        <v/>
      </c>
      <c r="W286">
        <f>HYPERLINK("https://klasma.github.io/Logging_2303/klagomålsmail/A 6550-2022 FSC-klagomål mail.docx", "A 6550-2022")</f>
        <v/>
      </c>
      <c r="X286">
        <f>HYPERLINK("https://klasma.github.io/Logging_2303/tillsyn/A 6550-2022 tillsynsbegäran.docx", "A 6550-2022")</f>
        <v/>
      </c>
      <c r="Y286">
        <f>HYPERLINK("https://klasma.github.io/Logging_2303/tillsynsmail/A 6550-2022 tillsynsbegäran mail.docx", "A 6550-2022")</f>
        <v/>
      </c>
    </row>
    <row r="287" ht="15" customHeight="1">
      <c r="A287" t="inlineStr">
        <is>
          <t>A 7666-2022</t>
        </is>
      </c>
      <c r="B287" s="1" t="n">
        <v>44607</v>
      </c>
      <c r="C287" s="1" t="n">
        <v>45835</v>
      </c>
      <c r="D287" t="inlineStr">
        <is>
          <t>JÄMTLANDS LÄN</t>
        </is>
      </c>
      <c r="E287" t="inlineStr">
        <is>
          <t>RAGUNDA</t>
        </is>
      </c>
      <c r="F287" t="inlineStr">
        <is>
          <t>SCA</t>
        </is>
      </c>
      <c r="G287" t="n">
        <v>1.4</v>
      </c>
      <c r="H287" t="n">
        <v>0</v>
      </c>
      <c r="I287" t="n">
        <v>0</v>
      </c>
      <c r="J287" t="n">
        <v>1</v>
      </c>
      <c r="K287" t="n">
        <v>0</v>
      </c>
      <c r="L287" t="n">
        <v>0</v>
      </c>
      <c r="M287" t="n">
        <v>0</v>
      </c>
      <c r="N287" t="n">
        <v>0</v>
      </c>
      <c r="O287" t="n">
        <v>1</v>
      </c>
      <c r="P287" t="n">
        <v>0</v>
      </c>
      <c r="Q287" t="n">
        <v>1</v>
      </c>
      <c r="R287" s="2" t="inlineStr">
        <is>
          <t>Garnlav</t>
        </is>
      </c>
      <c r="S287">
        <f>HYPERLINK("https://klasma.github.io/Logging_2303/artfynd/A 7666-2022 artfynd.xlsx", "A 7666-2022")</f>
        <v/>
      </c>
      <c r="T287">
        <f>HYPERLINK("https://klasma.github.io/Logging_2303/kartor/A 7666-2022 karta.png", "A 7666-2022")</f>
        <v/>
      </c>
      <c r="V287">
        <f>HYPERLINK("https://klasma.github.io/Logging_2303/klagomål/A 7666-2022 FSC-klagomål.docx", "A 7666-2022")</f>
        <v/>
      </c>
      <c r="W287">
        <f>HYPERLINK("https://klasma.github.io/Logging_2303/klagomålsmail/A 7666-2022 FSC-klagomål mail.docx", "A 7666-2022")</f>
        <v/>
      </c>
      <c r="X287">
        <f>HYPERLINK("https://klasma.github.io/Logging_2303/tillsyn/A 7666-2022 tillsynsbegäran.docx", "A 7666-2022")</f>
        <v/>
      </c>
      <c r="Y287">
        <f>HYPERLINK("https://klasma.github.io/Logging_2303/tillsynsmail/A 7666-2022 tillsynsbegäran mail.docx", "A 7666-2022")</f>
        <v/>
      </c>
    </row>
    <row r="288" ht="15" customHeight="1">
      <c r="A288" t="inlineStr">
        <is>
          <t>A 15663-2022</t>
        </is>
      </c>
      <c r="B288" s="1" t="n">
        <v>44663</v>
      </c>
      <c r="C288" s="1" t="n">
        <v>45835</v>
      </c>
      <c r="D288" t="inlineStr">
        <is>
          <t>JÄMTLANDS LÄN</t>
        </is>
      </c>
      <c r="E288" t="inlineStr">
        <is>
          <t>RAGUNDA</t>
        </is>
      </c>
      <c r="F288" t="inlineStr">
        <is>
          <t>SCA</t>
        </is>
      </c>
      <c r="G288" t="n">
        <v>1.7</v>
      </c>
      <c r="H288" t="n">
        <v>1</v>
      </c>
      <c r="I288" t="n">
        <v>0</v>
      </c>
      <c r="J288" t="n">
        <v>0</v>
      </c>
      <c r="K288" t="n">
        <v>1</v>
      </c>
      <c r="L288" t="n">
        <v>0</v>
      </c>
      <c r="M288" t="n">
        <v>0</v>
      </c>
      <c r="N288" t="n">
        <v>0</v>
      </c>
      <c r="O288" t="n">
        <v>1</v>
      </c>
      <c r="P288" t="n">
        <v>1</v>
      </c>
      <c r="Q288" t="n">
        <v>1</v>
      </c>
      <c r="R288" s="2" t="inlineStr">
        <is>
          <t>Norna</t>
        </is>
      </c>
      <c r="S288">
        <f>HYPERLINK("https://klasma.github.io/Logging_2303/artfynd/A 15663-2022 artfynd.xlsx", "A 15663-2022")</f>
        <v/>
      </c>
      <c r="T288">
        <f>HYPERLINK("https://klasma.github.io/Logging_2303/kartor/A 15663-2022 karta.png", "A 15663-2022")</f>
        <v/>
      </c>
      <c r="V288">
        <f>HYPERLINK("https://klasma.github.io/Logging_2303/klagomål/A 15663-2022 FSC-klagomål.docx", "A 15663-2022")</f>
        <v/>
      </c>
      <c r="W288">
        <f>HYPERLINK("https://klasma.github.io/Logging_2303/klagomålsmail/A 15663-2022 FSC-klagomål mail.docx", "A 15663-2022")</f>
        <v/>
      </c>
      <c r="X288">
        <f>HYPERLINK("https://klasma.github.io/Logging_2303/tillsyn/A 15663-2022 tillsynsbegäran.docx", "A 15663-2022")</f>
        <v/>
      </c>
      <c r="Y288">
        <f>HYPERLINK("https://klasma.github.io/Logging_2303/tillsynsmail/A 15663-2022 tillsynsbegäran mail.docx", "A 15663-2022")</f>
        <v/>
      </c>
    </row>
    <row r="289" ht="15" customHeight="1">
      <c r="A289" t="inlineStr">
        <is>
          <t>A 17751-2022</t>
        </is>
      </c>
      <c r="B289" s="1" t="n">
        <v>44681</v>
      </c>
      <c r="C289" s="1" t="n">
        <v>45835</v>
      </c>
      <c r="D289" t="inlineStr">
        <is>
          <t>JÄMTLANDS LÄN</t>
        </is>
      </c>
      <c r="E289" t="inlineStr">
        <is>
          <t>RAGUNDA</t>
        </is>
      </c>
      <c r="F289" t="inlineStr">
        <is>
          <t>SCA</t>
        </is>
      </c>
      <c r="G289" t="n">
        <v>1.4</v>
      </c>
      <c r="H289" t="n">
        <v>0</v>
      </c>
      <c r="I289" t="n">
        <v>0</v>
      </c>
      <c r="J289" t="n">
        <v>1</v>
      </c>
      <c r="K289" t="n">
        <v>0</v>
      </c>
      <c r="L289" t="n">
        <v>0</v>
      </c>
      <c r="M289" t="n">
        <v>0</v>
      </c>
      <c r="N289" t="n">
        <v>0</v>
      </c>
      <c r="O289" t="n">
        <v>1</v>
      </c>
      <c r="P289" t="n">
        <v>0</v>
      </c>
      <c r="Q289" t="n">
        <v>1</v>
      </c>
      <c r="R289" s="2" t="inlineStr">
        <is>
          <t>Granticka</t>
        </is>
      </c>
      <c r="S289">
        <f>HYPERLINK("https://klasma.github.io/Logging_2303/artfynd/A 17751-2022 artfynd.xlsx", "A 17751-2022")</f>
        <v/>
      </c>
      <c r="T289">
        <f>HYPERLINK("https://klasma.github.io/Logging_2303/kartor/A 17751-2022 karta.png", "A 17751-2022")</f>
        <v/>
      </c>
      <c r="V289">
        <f>HYPERLINK("https://klasma.github.io/Logging_2303/klagomål/A 17751-2022 FSC-klagomål.docx", "A 17751-2022")</f>
        <v/>
      </c>
      <c r="W289">
        <f>HYPERLINK("https://klasma.github.io/Logging_2303/klagomålsmail/A 17751-2022 FSC-klagomål mail.docx", "A 17751-2022")</f>
        <v/>
      </c>
      <c r="X289">
        <f>HYPERLINK("https://klasma.github.io/Logging_2303/tillsyn/A 17751-2022 tillsynsbegäran.docx", "A 17751-2022")</f>
        <v/>
      </c>
      <c r="Y289">
        <f>HYPERLINK("https://klasma.github.io/Logging_2303/tillsynsmail/A 17751-2022 tillsynsbegäran mail.docx", "A 17751-2022")</f>
        <v/>
      </c>
    </row>
    <row r="290" ht="15" customHeight="1">
      <c r="A290" t="inlineStr">
        <is>
          <t>A 21275-2022</t>
        </is>
      </c>
      <c r="B290" s="1" t="n">
        <v>44705</v>
      </c>
      <c r="C290" s="1" t="n">
        <v>45835</v>
      </c>
      <c r="D290" t="inlineStr">
        <is>
          <t>JÄMTLANDS LÄN</t>
        </is>
      </c>
      <c r="E290" t="inlineStr">
        <is>
          <t>RAGUNDA</t>
        </is>
      </c>
      <c r="G290" t="n">
        <v>2.2</v>
      </c>
      <c r="H290" t="n">
        <v>0</v>
      </c>
      <c r="I290" t="n">
        <v>1</v>
      </c>
      <c r="J290" t="n">
        <v>0</v>
      </c>
      <c r="K290" t="n">
        <v>0</v>
      </c>
      <c r="L290" t="n">
        <v>0</v>
      </c>
      <c r="M290" t="n">
        <v>0</v>
      </c>
      <c r="N290" t="n">
        <v>0</v>
      </c>
      <c r="O290" t="n">
        <v>0</v>
      </c>
      <c r="P290" t="n">
        <v>0</v>
      </c>
      <c r="Q290" t="n">
        <v>1</v>
      </c>
      <c r="R290" s="2" t="inlineStr">
        <is>
          <t>Kransrams</t>
        </is>
      </c>
      <c r="S290">
        <f>HYPERLINK("https://klasma.github.io/Logging_2303/artfynd/A 21275-2022 artfynd.xlsx", "A 21275-2022")</f>
        <v/>
      </c>
      <c r="T290">
        <f>HYPERLINK("https://klasma.github.io/Logging_2303/kartor/A 21275-2022 karta.png", "A 21275-2022")</f>
        <v/>
      </c>
      <c r="V290">
        <f>HYPERLINK("https://klasma.github.io/Logging_2303/klagomål/A 21275-2022 FSC-klagomål.docx", "A 21275-2022")</f>
        <v/>
      </c>
      <c r="W290">
        <f>HYPERLINK("https://klasma.github.io/Logging_2303/klagomålsmail/A 21275-2022 FSC-klagomål mail.docx", "A 21275-2022")</f>
        <v/>
      </c>
      <c r="X290">
        <f>HYPERLINK("https://klasma.github.io/Logging_2303/tillsyn/A 21275-2022 tillsynsbegäran.docx", "A 21275-2022")</f>
        <v/>
      </c>
      <c r="Y290">
        <f>HYPERLINK("https://klasma.github.io/Logging_2303/tillsynsmail/A 21275-2022 tillsynsbegäran mail.docx", "A 21275-2022")</f>
        <v/>
      </c>
    </row>
    <row r="291" ht="15" customHeight="1">
      <c r="A291" t="inlineStr">
        <is>
          <t>A 27273-2022</t>
        </is>
      </c>
      <c r="B291" s="1" t="n">
        <v>44741</v>
      </c>
      <c r="C291" s="1" t="n">
        <v>45835</v>
      </c>
      <c r="D291" t="inlineStr">
        <is>
          <t>JÄMTLANDS LÄN</t>
        </is>
      </c>
      <c r="E291" t="inlineStr">
        <is>
          <t>RAGUNDA</t>
        </is>
      </c>
      <c r="G291" t="n">
        <v>1.2</v>
      </c>
      <c r="H291" t="n">
        <v>0</v>
      </c>
      <c r="I291" t="n">
        <v>1</v>
      </c>
      <c r="J291" t="n">
        <v>0</v>
      </c>
      <c r="K291" t="n">
        <v>0</v>
      </c>
      <c r="L291" t="n">
        <v>0</v>
      </c>
      <c r="M291" t="n">
        <v>0</v>
      </c>
      <c r="N291" t="n">
        <v>0</v>
      </c>
      <c r="O291" t="n">
        <v>0</v>
      </c>
      <c r="P291" t="n">
        <v>0</v>
      </c>
      <c r="Q291" t="n">
        <v>1</v>
      </c>
      <c r="R291" s="2" t="inlineStr">
        <is>
          <t>Svart trolldruva</t>
        </is>
      </c>
      <c r="S291">
        <f>HYPERLINK("https://klasma.github.io/Logging_2303/artfynd/A 27273-2022 artfynd.xlsx", "A 27273-2022")</f>
        <v/>
      </c>
      <c r="T291">
        <f>HYPERLINK("https://klasma.github.io/Logging_2303/kartor/A 27273-2022 karta.png", "A 27273-2022")</f>
        <v/>
      </c>
      <c r="V291">
        <f>HYPERLINK("https://klasma.github.io/Logging_2303/klagomål/A 27273-2022 FSC-klagomål.docx", "A 27273-2022")</f>
        <v/>
      </c>
      <c r="W291">
        <f>HYPERLINK("https://klasma.github.io/Logging_2303/klagomålsmail/A 27273-2022 FSC-klagomål mail.docx", "A 27273-2022")</f>
        <v/>
      </c>
      <c r="X291">
        <f>HYPERLINK("https://klasma.github.io/Logging_2303/tillsyn/A 27273-2022 tillsynsbegäran.docx", "A 27273-2022")</f>
        <v/>
      </c>
      <c r="Y291">
        <f>HYPERLINK("https://klasma.github.io/Logging_2303/tillsynsmail/A 27273-2022 tillsynsbegäran mail.docx", "A 27273-2022")</f>
        <v/>
      </c>
    </row>
    <row r="292" ht="15" customHeight="1">
      <c r="A292" t="inlineStr">
        <is>
          <t>A 27286-2022</t>
        </is>
      </c>
      <c r="B292" s="1" t="n">
        <v>44741</v>
      </c>
      <c r="C292" s="1" t="n">
        <v>45835</v>
      </c>
      <c r="D292" t="inlineStr">
        <is>
          <t>JÄMTLANDS LÄN</t>
        </is>
      </c>
      <c r="E292" t="inlineStr">
        <is>
          <t>RAGUNDA</t>
        </is>
      </c>
      <c r="F292" t="inlineStr">
        <is>
          <t>SCA</t>
        </is>
      </c>
      <c r="G292" t="n">
        <v>3.1</v>
      </c>
      <c r="H292" t="n">
        <v>0</v>
      </c>
      <c r="I292" t="n">
        <v>0</v>
      </c>
      <c r="J292" t="n">
        <v>1</v>
      </c>
      <c r="K292" t="n">
        <v>0</v>
      </c>
      <c r="L292" t="n">
        <v>0</v>
      </c>
      <c r="M292" t="n">
        <v>0</v>
      </c>
      <c r="N292" t="n">
        <v>0</v>
      </c>
      <c r="O292" t="n">
        <v>1</v>
      </c>
      <c r="P292" t="n">
        <v>0</v>
      </c>
      <c r="Q292" t="n">
        <v>1</v>
      </c>
      <c r="R292" s="2" t="inlineStr">
        <is>
          <t>Harticka</t>
        </is>
      </c>
      <c r="S292">
        <f>HYPERLINK("https://klasma.github.io/Logging_2303/artfynd/A 27286-2022 artfynd.xlsx", "A 27286-2022")</f>
        <v/>
      </c>
      <c r="T292">
        <f>HYPERLINK("https://klasma.github.io/Logging_2303/kartor/A 27286-2022 karta.png", "A 27286-2022")</f>
        <v/>
      </c>
      <c r="V292">
        <f>HYPERLINK("https://klasma.github.io/Logging_2303/klagomål/A 27286-2022 FSC-klagomål.docx", "A 27286-2022")</f>
        <v/>
      </c>
      <c r="W292">
        <f>HYPERLINK("https://klasma.github.io/Logging_2303/klagomålsmail/A 27286-2022 FSC-klagomål mail.docx", "A 27286-2022")</f>
        <v/>
      </c>
      <c r="X292">
        <f>HYPERLINK("https://klasma.github.io/Logging_2303/tillsyn/A 27286-2022 tillsynsbegäran.docx", "A 27286-2022")</f>
        <v/>
      </c>
      <c r="Y292">
        <f>HYPERLINK("https://klasma.github.io/Logging_2303/tillsynsmail/A 27286-2022 tillsynsbegäran mail.docx", "A 27286-2022")</f>
        <v/>
      </c>
    </row>
    <row r="293" ht="15" customHeight="1">
      <c r="A293" t="inlineStr">
        <is>
          <t>A 31477-2022</t>
        </is>
      </c>
      <c r="B293" s="1" t="n">
        <v>44775</v>
      </c>
      <c r="C293" s="1" t="n">
        <v>45835</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Garnlav</t>
        </is>
      </c>
      <c r="S293">
        <f>HYPERLINK("https://klasma.github.io/Logging_2303/artfynd/A 31477-2022 artfynd.xlsx", "A 31477-2022")</f>
        <v/>
      </c>
      <c r="T293">
        <f>HYPERLINK("https://klasma.github.io/Logging_2303/kartor/A 31477-2022 karta.png", "A 31477-2022")</f>
        <v/>
      </c>
      <c r="V293">
        <f>HYPERLINK("https://klasma.github.io/Logging_2303/klagomål/A 31477-2022 FSC-klagomål.docx", "A 31477-2022")</f>
        <v/>
      </c>
      <c r="W293">
        <f>HYPERLINK("https://klasma.github.io/Logging_2303/klagomålsmail/A 31477-2022 FSC-klagomål mail.docx", "A 31477-2022")</f>
        <v/>
      </c>
      <c r="X293">
        <f>HYPERLINK("https://klasma.github.io/Logging_2303/tillsyn/A 31477-2022 tillsynsbegäran.docx", "A 31477-2022")</f>
        <v/>
      </c>
      <c r="Y293">
        <f>HYPERLINK("https://klasma.github.io/Logging_2303/tillsynsmail/A 31477-2022 tillsynsbegäran mail.docx", "A 31477-2022")</f>
        <v/>
      </c>
    </row>
    <row r="294" ht="15" customHeight="1">
      <c r="A294" t="inlineStr">
        <is>
          <t>A 42307-2022</t>
        </is>
      </c>
      <c r="B294" s="1" t="n">
        <v>44830</v>
      </c>
      <c r="C294" s="1" t="n">
        <v>45835</v>
      </c>
      <c r="D294" t="inlineStr">
        <is>
          <t>JÄMTLANDS LÄN</t>
        </is>
      </c>
      <c r="E294" t="inlineStr">
        <is>
          <t>RAGUNDA</t>
        </is>
      </c>
      <c r="F294" t="inlineStr">
        <is>
          <t>SCA</t>
        </is>
      </c>
      <c r="G294" t="n">
        <v>2.6</v>
      </c>
      <c r="H294" t="n">
        <v>0</v>
      </c>
      <c r="I294" t="n">
        <v>0</v>
      </c>
      <c r="J294" t="n">
        <v>0</v>
      </c>
      <c r="K294" t="n">
        <v>1</v>
      </c>
      <c r="L294" t="n">
        <v>0</v>
      </c>
      <c r="M294" t="n">
        <v>0</v>
      </c>
      <c r="N294" t="n">
        <v>0</v>
      </c>
      <c r="O294" t="n">
        <v>1</v>
      </c>
      <c r="P294" t="n">
        <v>1</v>
      </c>
      <c r="Q294" t="n">
        <v>1</v>
      </c>
      <c r="R294" s="2" t="inlineStr">
        <is>
          <t>Smalskaftslav</t>
        </is>
      </c>
      <c r="S294">
        <f>HYPERLINK("https://klasma.github.io/Logging_2303/artfynd/A 42307-2022 artfynd.xlsx", "A 42307-2022")</f>
        <v/>
      </c>
      <c r="T294">
        <f>HYPERLINK("https://klasma.github.io/Logging_2303/kartor/A 42307-2022 karta.png", "A 42307-2022")</f>
        <v/>
      </c>
      <c r="V294">
        <f>HYPERLINK("https://klasma.github.io/Logging_2303/klagomål/A 42307-2022 FSC-klagomål.docx", "A 42307-2022")</f>
        <v/>
      </c>
      <c r="W294">
        <f>HYPERLINK("https://klasma.github.io/Logging_2303/klagomålsmail/A 42307-2022 FSC-klagomål mail.docx", "A 42307-2022")</f>
        <v/>
      </c>
      <c r="X294">
        <f>HYPERLINK("https://klasma.github.io/Logging_2303/tillsyn/A 42307-2022 tillsynsbegäran.docx", "A 42307-2022")</f>
        <v/>
      </c>
      <c r="Y294">
        <f>HYPERLINK("https://klasma.github.io/Logging_2303/tillsynsmail/A 42307-2022 tillsynsbegäran mail.docx", "A 42307-2022")</f>
        <v/>
      </c>
    </row>
    <row r="295" ht="15" customHeight="1">
      <c r="A295" t="inlineStr">
        <is>
          <t>A 42899-2022</t>
        </is>
      </c>
      <c r="B295" s="1" t="n">
        <v>44832</v>
      </c>
      <c r="C295" s="1" t="n">
        <v>45835</v>
      </c>
      <c r="D295" t="inlineStr">
        <is>
          <t>JÄMTLANDS LÄN</t>
        </is>
      </c>
      <c r="E295" t="inlineStr">
        <is>
          <t>RAGUNDA</t>
        </is>
      </c>
      <c r="F295" t="inlineStr">
        <is>
          <t>SCA</t>
        </is>
      </c>
      <c r="G295" t="n">
        <v>2.3</v>
      </c>
      <c r="H295" t="n">
        <v>0</v>
      </c>
      <c r="I295" t="n">
        <v>0</v>
      </c>
      <c r="J295" t="n">
        <v>1</v>
      </c>
      <c r="K295" t="n">
        <v>0</v>
      </c>
      <c r="L295" t="n">
        <v>0</v>
      </c>
      <c r="M295" t="n">
        <v>0</v>
      </c>
      <c r="N295" t="n">
        <v>0</v>
      </c>
      <c r="O295" t="n">
        <v>1</v>
      </c>
      <c r="P295" t="n">
        <v>0</v>
      </c>
      <c r="Q295" t="n">
        <v>1</v>
      </c>
      <c r="R295" s="2" t="inlineStr">
        <is>
          <t>Ullticka</t>
        </is>
      </c>
      <c r="S295">
        <f>HYPERLINK("https://klasma.github.io/Logging_2303/artfynd/A 42899-2022 artfynd.xlsx", "A 42899-2022")</f>
        <v/>
      </c>
      <c r="T295">
        <f>HYPERLINK("https://klasma.github.io/Logging_2303/kartor/A 42899-2022 karta.png", "A 42899-2022")</f>
        <v/>
      </c>
      <c r="V295">
        <f>HYPERLINK("https://klasma.github.io/Logging_2303/klagomål/A 42899-2022 FSC-klagomål.docx", "A 42899-2022")</f>
        <v/>
      </c>
      <c r="W295">
        <f>HYPERLINK("https://klasma.github.io/Logging_2303/klagomålsmail/A 42899-2022 FSC-klagomål mail.docx", "A 42899-2022")</f>
        <v/>
      </c>
      <c r="X295">
        <f>HYPERLINK("https://klasma.github.io/Logging_2303/tillsyn/A 42899-2022 tillsynsbegäran.docx", "A 42899-2022")</f>
        <v/>
      </c>
      <c r="Y295">
        <f>HYPERLINK("https://klasma.github.io/Logging_2303/tillsynsmail/A 42899-2022 tillsynsbegäran mail.docx", "A 42899-2022")</f>
        <v/>
      </c>
    </row>
    <row r="296" ht="15" customHeight="1">
      <c r="A296" t="inlineStr">
        <is>
          <t>A 48063-2022</t>
        </is>
      </c>
      <c r="B296" s="1" t="n">
        <v>44855</v>
      </c>
      <c r="C296" s="1" t="n">
        <v>45835</v>
      </c>
      <c r="D296" t="inlineStr">
        <is>
          <t>JÄMTLANDS LÄN</t>
        </is>
      </c>
      <c r="E296" t="inlineStr">
        <is>
          <t>RAGUNDA</t>
        </is>
      </c>
      <c r="F296" t="inlineStr">
        <is>
          <t>SCA</t>
        </is>
      </c>
      <c r="G296" t="n">
        <v>3.3</v>
      </c>
      <c r="H296" t="n">
        <v>0</v>
      </c>
      <c r="I296" t="n">
        <v>1</v>
      </c>
      <c r="J296" t="n">
        <v>0</v>
      </c>
      <c r="K296" t="n">
        <v>0</v>
      </c>
      <c r="L296" t="n">
        <v>0</v>
      </c>
      <c r="M296" t="n">
        <v>0</v>
      </c>
      <c r="N296" t="n">
        <v>0</v>
      </c>
      <c r="O296" t="n">
        <v>0</v>
      </c>
      <c r="P296" t="n">
        <v>0</v>
      </c>
      <c r="Q296" t="n">
        <v>1</v>
      </c>
      <c r="R296" s="2" t="inlineStr">
        <is>
          <t>Källmossa</t>
        </is>
      </c>
      <c r="S296">
        <f>HYPERLINK("https://klasma.github.io/Logging_2303/artfynd/A 48063-2022 artfynd.xlsx", "A 48063-2022")</f>
        <v/>
      </c>
      <c r="T296">
        <f>HYPERLINK("https://klasma.github.io/Logging_2303/kartor/A 48063-2022 karta.png", "A 48063-2022")</f>
        <v/>
      </c>
      <c r="V296">
        <f>HYPERLINK("https://klasma.github.io/Logging_2303/klagomål/A 48063-2022 FSC-klagomål.docx", "A 48063-2022")</f>
        <v/>
      </c>
      <c r="W296">
        <f>HYPERLINK("https://klasma.github.io/Logging_2303/klagomålsmail/A 48063-2022 FSC-klagomål mail.docx", "A 48063-2022")</f>
        <v/>
      </c>
      <c r="X296">
        <f>HYPERLINK("https://klasma.github.io/Logging_2303/tillsyn/A 48063-2022 tillsynsbegäran.docx", "A 48063-2022")</f>
        <v/>
      </c>
      <c r="Y296">
        <f>HYPERLINK("https://klasma.github.io/Logging_2303/tillsynsmail/A 48063-2022 tillsynsbegäran mail.docx", "A 48063-2022")</f>
        <v/>
      </c>
    </row>
    <row r="297" ht="15" customHeight="1">
      <c r="A297" t="inlineStr">
        <is>
          <t>A 49091-2022</t>
        </is>
      </c>
      <c r="B297" s="1" t="n">
        <v>44860</v>
      </c>
      <c r="C297" s="1" t="n">
        <v>45835</v>
      </c>
      <c r="D297" t="inlineStr">
        <is>
          <t>JÄMTLANDS LÄN</t>
        </is>
      </c>
      <c r="E297" t="inlineStr">
        <is>
          <t>RAGUNDA</t>
        </is>
      </c>
      <c r="G297" t="n">
        <v>3.5</v>
      </c>
      <c r="H297" t="n">
        <v>1</v>
      </c>
      <c r="I297" t="n">
        <v>0</v>
      </c>
      <c r="J297" t="n">
        <v>0</v>
      </c>
      <c r="K297" t="n">
        <v>1</v>
      </c>
      <c r="L297" t="n">
        <v>0</v>
      </c>
      <c r="M297" t="n">
        <v>0</v>
      </c>
      <c r="N297" t="n">
        <v>0</v>
      </c>
      <c r="O297" t="n">
        <v>1</v>
      </c>
      <c r="P297" t="n">
        <v>1</v>
      </c>
      <c r="Q297" t="n">
        <v>1</v>
      </c>
      <c r="R297" s="2" t="inlineStr">
        <is>
          <t>Doftticka</t>
        </is>
      </c>
      <c r="S297">
        <f>HYPERLINK("https://klasma.github.io/Logging_2303/artfynd/A 49091-2022 artfynd.xlsx", "A 49091-2022")</f>
        <v/>
      </c>
      <c r="T297">
        <f>HYPERLINK("https://klasma.github.io/Logging_2303/kartor/A 49091-2022 karta.png", "A 49091-2022")</f>
        <v/>
      </c>
      <c r="V297">
        <f>HYPERLINK("https://klasma.github.io/Logging_2303/klagomål/A 49091-2022 FSC-klagomål.docx", "A 49091-2022")</f>
        <v/>
      </c>
      <c r="W297">
        <f>HYPERLINK("https://klasma.github.io/Logging_2303/klagomålsmail/A 49091-2022 FSC-klagomål mail.docx", "A 49091-2022")</f>
        <v/>
      </c>
      <c r="X297">
        <f>HYPERLINK("https://klasma.github.io/Logging_2303/tillsyn/A 49091-2022 tillsynsbegäran.docx", "A 49091-2022")</f>
        <v/>
      </c>
      <c r="Y297">
        <f>HYPERLINK("https://klasma.github.io/Logging_2303/tillsynsmail/A 49091-2022 tillsynsbegäran mail.docx", "A 49091-2022")</f>
        <v/>
      </c>
    </row>
    <row r="298" ht="15" customHeight="1">
      <c r="A298" t="inlineStr">
        <is>
          <t>A 11040-2023</t>
        </is>
      </c>
      <c r="B298" s="1" t="n">
        <v>44991</v>
      </c>
      <c r="C298" s="1" t="n">
        <v>45835</v>
      </c>
      <c r="D298" t="inlineStr">
        <is>
          <t>JÄMTLANDS LÄN</t>
        </is>
      </c>
      <c r="E298" t="inlineStr">
        <is>
          <t>RAGUNDA</t>
        </is>
      </c>
      <c r="F298" t="inlineStr">
        <is>
          <t>SCA</t>
        </is>
      </c>
      <c r="G298" t="n">
        <v>10.2</v>
      </c>
      <c r="H298" t="n">
        <v>0</v>
      </c>
      <c r="I298" t="n">
        <v>0</v>
      </c>
      <c r="J298" t="n">
        <v>1</v>
      </c>
      <c r="K298" t="n">
        <v>0</v>
      </c>
      <c r="L298" t="n">
        <v>0</v>
      </c>
      <c r="M298" t="n">
        <v>0</v>
      </c>
      <c r="N298" t="n">
        <v>0</v>
      </c>
      <c r="O298" t="n">
        <v>1</v>
      </c>
      <c r="P298" t="n">
        <v>0</v>
      </c>
      <c r="Q298" t="n">
        <v>1</v>
      </c>
      <c r="R298" s="2" t="inlineStr">
        <is>
          <t>Lunglav</t>
        </is>
      </c>
      <c r="S298">
        <f>HYPERLINK("https://klasma.github.io/Logging_2303/artfynd/A 11040-2023 artfynd.xlsx", "A 11040-2023")</f>
        <v/>
      </c>
      <c r="T298">
        <f>HYPERLINK("https://klasma.github.io/Logging_2303/kartor/A 11040-2023 karta.png", "A 11040-2023")</f>
        <v/>
      </c>
      <c r="V298">
        <f>HYPERLINK("https://klasma.github.io/Logging_2303/klagomål/A 11040-2023 FSC-klagomål.docx", "A 11040-2023")</f>
        <v/>
      </c>
      <c r="W298">
        <f>HYPERLINK("https://klasma.github.io/Logging_2303/klagomålsmail/A 11040-2023 FSC-klagomål mail.docx", "A 11040-2023")</f>
        <v/>
      </c>
      <c r="X298">
        <f>HYPERLINK("https://klasma.github.io/Logging_2303/tillsyn/A 11040-2023 tillsynsbegäran.docx", "A 11040-2023")</f>
        <v/>
      </c>
      <c r="Y298">
        <f>HYPERLINK("https://klasma.github.io/Logging_2303/tillsynsmail/A 11040-2023 tillsynsbegäran mail.docx", "A 11040-2023")</f>
        <v/>
      </c>
    </row>
    <row r="299" ht="15" customHeight="1">
      <c r="A299" t="inlineStr">
        <is>
          <t>A 17340-2023</t>
        </is>
      </c>
      <c r="B299" s="1" t="n">
        <v>45033</v>
      </c>
      <c r="C299" s="1" t="n">
        <v>45835</v>
      </c>
      <c r="D299" t="inlineStr">
        <is>
          <t>JÄMTLANDS LÄN</t>
        </is>
      </c>
      <c r="E299" t="inlineStr">
        <is>
          <t>RAGUNDA</t>
        </is>
      </c>
      <c r="G299" t="n">
        <v>1.6</v>
      </c>
      <c r="H299" t="n">
        <v>0</v>
      </c>
      <c r="I299" t="n">
        <v>0</v>
      </c>
      <c r="J299" t="n">
        <v>1</v>
      </c>
      <c r="K299" t="n">
        <v>0</v>
      </c>
      <c r="L299" t="n">
        <v>0</v>
      </c>
      <c r="M299" t="n">
        <v>0</v>
      </c>
      <c r="N299" t="n">
        <v>0</v>
      </c>
      <c r="O299" t="n">
        <v>1</v>
      </c>
      <c r="P299" t="n">
        <v>0</v>
      </c>
      <c r="Q299" t="n">
        <v>1</v>
      </c>
      <c r="R299" s="2" t="inlineStr">
        <is>
          <t>Vedtrappmossa</t>
        </is>
      </c>
      <c r="S299">
        <f>HYPERLINK("https://klasma.github.io/Logging_2303/artfynd/A 17340-2023 artfynd.xlsx", "A 17340-2023")</f>
        <v/>
      </c>
      <c r="T299">
        <f>HYPERLINK("https://klasma.github.io/Logging_2303/kartor/A 17340-2023 karta.png", "A 17340-2023")</f>
        <v/>
      </c>
      <c r="U299">
        <f>HYPERLINK("https://klasma.github.io/Logging_2303/knärot/A 17340-2023 karta knärot.png", "A 17340-2023")</f>
        <v/>
      </c>
      <c r="V299">
        <f>HYPERLINK("https://klasma.github.io/Logging_2303/klagomål/A 17340-2023 FSC-klagomål.docx", "A 17340-2023")</f>
        <v/>
      </c>
      <c r="W299">
        <f>HYPERLINK("https://klasma.github.io/Logging_2303/klagomålsmail/A 17340-2023 FSC-klagomål mail.docx", "A 17340-2023")</f>
        <v/>
      </c>
      <c r="X299">
        <f>HYPERLINK("https://klasma.github.io/Logging_2303/tillsyn/A 17340-2023 tillsynsbegäran.docx", "A 17340-2023")</f>
        <v/>
      </c>
      <c r="Y299">
        <f>HYPERLINK("https://klasma.github.io/Logging_2303/tillsynsmail/A 17340-2023 tillsynsbegäran mail.docx", "A 17340-2023")</f>
        <v/>
      </c>
    </row>
    <row r="300" ht="15" customHeight="1">
      <c r="A300" t="inlineStr">
        <is>
          <t>A 18985-2023</t>
        </is>
      </c>
      <c r="B300" s="1" t="n">
        <v>45044</v>
      </c>
      <c r="C300" s="1" t="n">
        <v>45835</v>
      </c>
      <c r="D300" t="inlineStr">
        <is>
          <t>JÄMTLANDS LÄN</t>
        </is>
      </c>
      <c r="E300" t="inlineStr">
        <is>
          <t>RAGUNDA</t>
        </is>
      </c>
      <c r="F300" t="inlineStr">
        <is>
          <t>SCA</t>
        </is>
      </c>
      <c r="G300" t="n">
        <v>2.6</v>
      </c>
      <c r="H300" t="n">
        <v>0</v>
      </c>
      <c r="I300" t="n">
        <v>0</v>
      </c>
      <c r="J300" t="n">
        <v>1</v>
      </c>
      <c r="K300" t="n">
        <v>0</v>
      </c>
      <c r="L300" t="n">
        <v>0</v>
      </c>
      <c r="M300" t="n">
        <v>0</v>
      </c>
      <c r="N300" t="n">
        <v>0</v>
      </c>
      <c r="O300" t="n">
        <v>1</v>
      </c>
      <c r="P300" t="n">
        <v>0</v>
      </c>
      <c r="Q300" t="n">
        <v>1</v>
      </c>
      <c r="R300" s="2" t="inlineStr">
        <is>
          <t>Doftskinn</t>
        </is>
      </c>
      <c r="S300">
        <f>HYPERLINK("https://klasma.github.io/Logging_2303/artfynd/A 18985-2023 artfynd.xlsx", "A 18985-2023")</f>
        <v/>
      </c>
      <c r="T300">
        <f>HYPERLINK("https://klasma.github.io/Logging_2303/kartor/A 18985-2023 karta.png", "A 18985-2023")</f>
        <v/>
      </c>
      <c r="V300">
        <f>HYPERLINK("https://klasma.github.io/Logging_2303/klagomål/A 18985-2023 FSC-klagomål.docx", "A 18985-2023")</f>
        <v/>
      </c>
      <c r="W300">
        <f>HYPERLINK("https://klasma.github.io/Logging_2303/klagomålsmail/A 18985-2023 FSC-klagomål mail.docx", "A 18985-2023")</f>
        <v/>
      </c>
      <c r="X300">
        <f>HYPERLINK("https://klasma.github.io/Logging_2303/tillsyn/A 18985-2023 tillsynsbegäran.docx", "A 18985-2023")</f>
        <v/>
      </c>
      <c r="Y300">
        <f>HYPERLINK("https://klasma.github.io/Logging_2303/tillsynsmail/A 18985-2023 tillsynsbegäran mail.docx", "A 18985-2023")</f>
        <v/>
      </c>
    </row>
    <row r="301" ht="15" customHeight="1">
      <c r="A301" t="inlineStr">
        <is>
          <t>A 25694-2023</t>
        </is>
      </c>
      <c r="B301" s="1" t="n">
        <v>45089</v>
      </c>
      <c r="C301" s="1" t="n">
        <v>45835</v>
      </c>
      <c r="D301" t="inlineStr">
        <is>
          <t>JÄMTLANDS LÄN</t>
        </is>
      </c>
      <c r="E301" t="inlineStr">
        <is>
          <t>RAGUNDA</t>
        </is>
      </c>
      <c r="F301" t="inlineStr">
        <is>
          <t>SCA</t>
        </is>
      </c>
      <c r="G301" t="n">
        <v>1.5</v>
      </c>
      <c r="H301" t="n">
        <v>0</v>
      </c>
      <c r="I301" t="n">
        <v>0</v>
      </c>
      <c r="J301" t="n">
        <v>1</v>
      </c>
      <c r="K301" t="n">
        <v>0</v>
      </c>
      <c r="L301" t="n">
        <v>0</v>
      </c>
      <c r="M301" t="n">
        <v>0</v>
      </c>
      <c r="N301" t="n">
        <v>0</v>
      </c>
      <c r="O301" t="n">
        <v>1</v>
      </c>
      <c r="P301" t="n">
        <v>0</v>
      </c>
      <c r="Q301" t="n">
        <v>1</v>
      </c>
      <c r="R301" s="2" t="inlineStr">
        <is>
          <t>Ullticka</t>
        </is>
      </c>
      <c r="S301">
        <f>HYPERLINK("https://klasma.github.io/Logging_2303/artfynd/A 25694-2023 artfynd.xlsx", "A 25694-2023")</f>
        <v/>
      </c>
      <c r="T301">
        <f>HYPERLINK("https://klasma.github.io/Logging_2303/kartor/A 25694-2023 karta.png", "A 25694-2023")</f>
        <v/>
      </c>
      <c r="V301">
        <f>HYPERLINK("https://klasma.github.io/Logging_2303/klagomål/A 25694-2023 FSC-klagomål.docx", "A 25694-2023")</f>
        <v/>
      </c>
      <c r="W301">
        <f>HYPERLINK("https://klasma.github.io/Logging_2303/klagomålsmail/A 25694-2023 FSC-klagomål mail.docx", "A 25694-2023")</f>
        <v/>
      </c>
      <c r="X301">
        <f>HYPERLINK("https://klasma.github.io/Logging_2303/tillsyn/A 25694-2023 tillsynsbegäran.docx", "A 25694-2023")</f>
        <v/>
      </c>
      <c r="Y301">
        <f>HYPERLINK("https://klasma.github.io/Logging_2303/tillsynsmail/A 25694-2023 tillsynsbegäran mail.docx", "A 25694-2023")</f>
        <v/>
      </c>
    </row>
    <row r="302" ht="15" customHeight="1">
      <c r="A302" t="inlineStr">
        <is>
          <t>A 27683-2023</t>
        </is>
      </c>
      <c r="B302" s="1" t="n">
        <v>45097</v>
      </c>
      <c r="C302" s="1" t="n">
        <v>45835</v>
      </c>
      <c r="D302" t="inlineStr">
        <is>
          <t>JÄMTLANDS LÄN</t>
        </is>
      </c>
      <c r="E302" t="inlineStr">
        <is>
          <t>RAGUNDA</t>
        </is>
      </c>
      <c r="F302" t="inlineStr">
        <is>
          <t>SCA</t>
        </is>
      </c>
      <c r="G302" t="n">
        <v>7.3</v>
      </c>
      <c r="H302" t="n">
        <v>0</v>
      </c>
      <c r="I302" t="n">
        <v>0</v>
      </c>
      <c r="J302" t="n">
        <v>1</v>
      </c>
      <c r="K302" t="n">
        <v>0</v>
      </c>
      <c r="L302" t="n">
        <v>0</v>
      </c>
      <c r="M302" t="n">
        <v>0</v>
      </c>
      <c r="N302" t="n">
        <v>0</v>
      </c>
      <c r="O302" t="n">
        <v>1</v>
      </c>
      <c r="P302" t="n">
        <v>0</v>
      </c>
      <c r="Q302" t="n">
        <v>1</v>
      </c>
      <c r="R302" s="2" t="inlineStr">
        <is>
          <t>Dvärgbägarlav</t>
        </is>
      </c>
      <c r="S302">
        <f>HYPERLINK("https://klasma.github.io/Logging_2303/artfynd/A 27683-2023 artfynd.xlsx", "A 27683-2023")</f>
        <v/>
      </c>
      <c r="T302">
        <f>HYPERLINK("https://klasma.github.io/Logging_2303/kartor/A 27683-2023 karta.png", "A 27683-2023")</f>
        <v/>
      </c>
      <c r="V302">
        <f>HYPERLINK("https://klasma.github.io/Logging_2303/klagomål/A 27683-2023 FSC-klagomål.docx", "A 27683-2023")</f>
        <v/>
      </c>
      <c r="W302">
        <f>HYPERLINK("https://klasma.github.io/Logging_2303/klagomålsmail/A 27683-2023 FSC-klagomål mail.docx", "A 27683-2023")</f>
        <v/>
      </c>
      <c r="X302">
        <f>HYPERLINK("https://klasma.github.io/Logging_2303/tillsyn/A 27683-2023 tillsynsbegäran.docx", "A 27683-2023")</f>
        <v/>
      </c>
      <c r="Y302">
        <f>HYPERLINK("https://klasma.github.io/Logging_2303/tillsynsmail/A 27683-2023 tillsynsbegäran mail.docx", "A 27683-2023")</f>
        <v/>
      </c>
    </row>
    <row r="303" ht="15" customHeight="1">
      <c r="A303" t="inlineStr">
        <is>
          <t>A 30283-2023</t>
        </is>
      </c>
      <c r="B303" s="1" t="n">
        <v>45111</v>
      </c>
      <c r="C303" s="1" t="n">
        <v>45835</v>
      </c>
      <c r="D303" t="inlineStr">
        <is>
          <t>JÄMTLANDS LÄN</t>
        </is>
      </c>
      <c r="E303" t="inlineStr">
        <is>
          <t>RAGUNDA</t>
        </is>
      </c>
      <c r="G303" t="n">
        <v>7.4</v>
      </c>
      <c r="H303" t="n">
        <v>0</v>
      </c>
      <c r="I303" t="n">
        <v>0</v>
      </c>
      <c r="J303" t="n">
        <v>1</v>
      </c>
      <c r="K303" t="n">
        <v>0</v>
      </c>
      <c r="L303" t="n">
        <v>0</v>
      </c>
      <c r="M303" t="n">
        <v>0</v>
      </c>
      <c r="N303" t="n">
        <v>0</v>
      </c>
      <c r="O303" t="n">
        <v>1</v>
      </c>
      <c r="P303" t="n">
        <v>0</v>
      </c>
      <c r="Q303" t="n">
        <v>1</v>
      </c>
      <c r="R303" s="2" t="inlineStr">
        <is>
          <t>Garnlav</t>
        </is>
      </c>
      <c r="S303">
        <f>HYPERLINK("https://klasma.github.io/Logging_2303/artfynd/A 30283-2023 artfynd.xlsx", "A 30283-2023")</f>
        <v/>
      </c>
      <c r="T303">
        <f>HYPERLINK("https://klasma.github.io/Logging_2303/kartor/A 30283-2023 karta.png", "A 30283-2023")</f>
        <v/>
      </c>
      <c r="V303">
        <f>HYPERLINK("https://klasma.github.io/Logging_2303/klagomål/A 30283-2023 FSC-klagomål.docx", "A 30283-2023")</f>
        <v/>
      </c>
      <c r="W303">
        <f>HYPERLINK("https://klasma.github.io/Logging_2303/klagomålsmail/A 30283-2023 FSC-klagomål mail.docx", "A 30283-2023")</f>
        <v/>
      </c>
      <c r="X303">
        <f>HYPERLINK("https://klasma.github.io/Logging_2303/tillsyn/A 30283-2023 tillsynsbegäran.docx", "A 30283-2023")</f>
        <v/>
      </c>
      <c r="Y303">
        <f>HYPERLINK("https://klasma.github.io/Logging_2303/tillsynsmail/A 30283-2023 tillsynsbegäran mail.docx", "A 30283-2023")</f>
        <v/>
      </c>
    </row>
    <row r="304" ht="15" customHeight="1">
      <c r="A304" t="inlineStr">
        <is>
          <t>A 35750-2023</t>
        </is>
      </c>
      <c r="B304" s="1" t="n">
        <v>45147</v>
      </c>
      <c r="C304" s="1" t="n">
        <v>45835</v>
      </c>
      <c r="D304" t="inlineStr">
        <is>
          <t>JÄMTLANDS LÄN</t>
        </is>
      </c>
      <c r="E304" t="inlineStr">
        <is>
          <t>RAGUNDA</t>
        </is>
      </c>
      <c r="F304" t="inlineStr">
        <is>
          <t>SCA</t>
        </is>
      </c>
      <c r="G304" t="n">
        <v>4.8</v>
      </c>
      <c r="H304" t="n">
        <v>0</v>
      </c>
      <c r="I304" t="n">
        <v>0</v>
      </c>
      <c r="J304" t="n">
        <v>1</v>
      </c>
      <c r="K304" t="n">
        <v>0</v>
      </c>
      <c r="L304" t="n">
        <v>0</v>
      </c>
      <c r="M304" t="n">
        <v>0</v>
      </c>
      <c r="N304" t="n">
        <v>0</v>
      </c>
      <c r="O304" t="n">
        <v>1</v>
      </c>
      <c r="P304" t="n">
        <v>0</v>
      </c>
      <c r="Q304" t="n">
        <v>1</v>
      </c>
      <c r="R304" s="2" t="inlineStr">
        <is>
          <t>Grantaggsvamp</t>
        </is>
      </c>
      <c r="S304">
        <f>HYPERLINK("https://klasma.github.io/Logging_2303/artfynd/A 35750-2023 artfynd.xlsx", "A 35750-2023")</f>
        <v/>
      </c>
      <c r="T304">
        <f>HYPERLINK("https://klasma.github.io/Logging_2303/kartor/A 35750-2023 karta.png", "A 35750-2023")</f>
        <v/>
      </c>
      <c r="V304">
        <f>HYPERLINK("https://klasma.github.io/Logging_2303/klagomål/A 35750-2023 FSC-klagomål.docx", "A 35750-2023")</f>
        <v/>
      </c>
      <c r="W304">
        <f>HYPERLINK("https://klasma.github.io/Logging_2303/klagomålsmail/A 35750-2023 FSC-klagomål mail.docx", "A 35750-2023")</f>
        <v/>
      </c>
      <c r="X304">
        <f>HYPERLINK("https://klasma.github.io/Logging_2303/tillsyn/A 35750-2023 tillsynsbegäran.docx", "A 35750-2023")</f>
        <v/>
      </c>
      <c r="Y304">
        <f>HYPERLINK("https://klasma.github.io/Logging_2303/tillsynsmail/A 35750-2023 tillsynsbegäran mail.docx", "A 35750-2023")</f>
        <v/>
      </c>
    </row>
    <row r="305" ht="15" customHeight="1">
      <c r="A305" t="inlineStr">
        <is>
          <t>A 36224-2023</t>
        </is>
      </c>
      <c r="B305" s="1" t="n">
        <v>45149</v>
      </c>
      <c r="C305" s="1" t="n">
        <v>45835</v>
      </c>
      <c r="D305" t="inlineStr">
        <is>
          <t>JÄMTLANDS LÄN</t>
        </is>
      </c>
      <c r="E305" t="inlineStr">
        <is>
          <t>RAGUNDA</t>
        </is>
      </c>
      <c r="F305" t="inlineStr">
        <is>
          <t>SCA</t>
        </is>
      </c>
      <c r="G305" t="n">
        <v>8.1</v>
      </c>
      <c r="H305" t="n">
        <v>0</v>
      </c>
      <c r="I305" t="n">
        <v>0</v>
      </c>
      <c r="J305" t="n">
        <v>1</v>
      </c>
      <c r="K305" t="n">
        <v>0</v>
      </c>
      <c r="L305" t="n">
        <v>0</v>
      </c>
      <c r="M305" t="n">
        <v>0</v>
      </c>
      <c r="N305" t="n">
        <v>0</v>
      </c>
      <c r="O305" t="n">
        <v>1</v>
      </c>
      <c r="P305" t="n">
        <v>0</v>
      </c>
      <c r="Q305" t="n">
        <v>1</v>
      </c>
      <c r="R305" s="2" t="inlineStr">
        <is>
          <t>Garnlav</t>
        </is>
      </c>
      <c r="S305">
        <f>HYPERLINK("https://klasma.github.io/Logging_2303/artfynd/A 36224-2023 artfynd.xlsx", "A 36224-2023")</f>
        <v/>
      </c>
      <c r="T305">
        <f>HYPERLINK("https://klasma.github.io/Logging_2303/kartor/A 36224-2023 karta.png", "A 36224-2023")</f>
        <v/>
      </c>
      <c r="V305">
        <f>HYPERLINK("https://klasma.github.io/Logging_2303/klagomål/A 36224-2023 FSC-klagomål.docx", "A 36224-2023")</f>
        <v/>
      </c>
      <c r="W305">
        <f>HYPERLINK("https://klasma.github.io/Logging_2303/klagomålsmail/A 36224-2023 FSC-klagomål mail.docx", "A 36224-2023")</f>
        <v/>
      </c>
      <c r="X305">
        <f>HYPERLINK("https://klasma.github.io/Logging_2303/tillsyn/A 36224-2023 tillsynsbegäran.docx", "A 36224-2023")</f>
        <v/>
      </c>
      <c r="Y305">
        <f>HYPERLINK("https://klasma.github.io/Logging_2303/tillsynsmail/A 36224-2023 tillsynsbegäran mail.docx", "A 36224-2023")</f>
        <v/>
      </c>
    </row>
    <row r="306" ht="15" customHeight="1">
      <c r="A306" t="inlineStr">
        <is>
          <t>A 36204-2023</t>
        </is>
      </c>
      <c r="B306" s="1" t="n">
        <v>45149</v>
      </c>
      <c r="C306" s="1" t="n">
        <v>45835</v>
      </c>
      <c r="D306" t="inlineStr">
        <is>
          <t>JÄMTLANDS LÄN</t>
        </is>
      </c>
      <c r="E306" t="inlineStr">
        <is>
          <t>RAGUNDA</t>
        </is>
      </c>
      <c r="F306" t="inlineStr">
        <is>
          <t>SCA</t>
        </is>
      </c>
      <c r="G306" t="n">
        <v>5.1</v>
      </c>
      <c r="H306" t="n">
        <v>0</v>
      </c>
      <c r="I306" t="n">
        <v>0</v>
      </c>
      <c r="J306" t="n">
        <v>1</v>
      </c>
      <c r="K306" t="n">
        <v>0</v>
      </c>
      <c r="L306" t="n">
        <v>0</v>
      </c>
      <c r="M306" t="n">
        <v>0</v>
      </c>
      <c r="N306" t="n">
        <v>0</v>
      </c>
      <c r="O306" t="n">
        <v>1</v>
      </c>
      <c r="P306" t="n">
        <v>0</v>
      </c>
      <c r="Q306" t="n">
        <v>1</v>
      </c>
      <c r="R306" s="2" t="inlineStr">
        <is>
          <t>Rosenticka</t>
        </is>
      </c>
      <c r="S306">
        <f>HYPERLINK("https://klasma.github.io/Logging_2303/artfynd/A 36204-2023 artfynd.xlsx", "A 36204-2023")</f>
        <v/>
      </c>
      <c r="T306">
        <f>HYPERLINK("https://klasma.github.io/Logging_2303/kartor/A 36204-2023 karta.png", "A 36204-2023")</f>
        <v/>
      </c>
      <c r="V306">
        <f>HYPERLINK("https://klasma.github.io/Logging_2303/klagomål/A 36204-2023 FSC-klagomål.docx", "A 36204-2023")</f>
        <v/>
      </c>
      <c r="W306">
        <f>HYPERLINK("https://klasma.github.io/Logging_2303/klagomålsmail/A 36204-2023 FSC-klagomål mail.docx", "A 36204-2023")</f>
        <v/>
      </c>
      <c r="X306">
        <f>HYPERLINK("https://klasma.github.io/Logging_2303/tillsyn/A 36204-2023 tillsynsbegäran.docx", "A 36204-2023")</f>
        <v/>
      </c>
      <c r="Y306">
        <f>HYPERLINK("https://klasma.github.io/Logging_2303/tillsynsmail/A 36204-2023 tillsynsbegäran mail.docx", "A 36204-2023")</f>
        <v/>
      </c>
    </row>
    <row r="307" ht="15" customHeight="1">
      <c r="A307" t="inlineStr">
        <is>
          <t>A 36225-2023</t>
        </is>
      </c>
      <c r="B307" s="1" t="n">
        <v>45149</v>
      </c>
      <c r="C307" s="1" t="n">
        <v>45835</v>
      </c>
      <c r="D307" t="inlineStr">
        <is>
          <t>JÄMTLANDS LÄN</t>
        </is>
      </c>
      <c r="E307" t="inlineStr">
        <is>
          <t>RAGUNDA</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HYPERLINK("https://klasma.github.io/Logging_2303/artfynd/A 36225-2023 artfynd.xlsx", "A 36225-2023")</f>
        <v/>
      </c>
      <c r="T307">
        <f>HYPERLINK("https://klasma.github.io/Logging_2303/kartor/A 36225-2023 karta.png", "A 36225-2023")</f>
        <v/>
      </c>
      <c r="V307">
        <f>HYPERLINK("https://klasma.github.io/Logging_2303/klagomål/A 36225-2023 FSC-klagomål.docx", "A 36225-2023")</f>
        <v/>
      </c>
      <c r="W307">
        <f>HYPERLINK("https://klasma.github.io/Logging_2303/klagomålsmail/A 36225-2023 FSC-klagomål mail.docx", "A 36225-2023")</f>
        <v/>
      </c>
      <c r="X307">
        <f>HYPERLINK("https://klasma.github.io/Logging_2303/tillsyn/A 36225-2023 tillsynsbegäran.docx", "A 36225-2023")</f>
        <v/>
      </c>
      <c r="Y307">
        <f>HYPERLINK("https://klasma.github.io/Logging_2303/tillsynsmail/A 36225-2023 tillsynsbegäran mail.docx", "A 36225-2023")</f>
        <v/>
      </c>
    </row>
    <row r="308" ht="15" customHeight="1">
      <c r="A308" t="inlineStr">
        <is>
          <t>A 36758-2023</t>
        </is>
      </c>
      <c r="B308" s="1" t="n">
        <v>45153</v>
      </c>
      <c r="C308" s="1" t="n">
        <v>45835</v>
      </c>
      <c r="D308" t="inlineStr">
        <is>
          <t>JÄMTLANDS LÄN</t>
        </is>
      </c>
      <c r="E308" t="inlineStr">
        <is>
          <t>RAGUNDA</t>
        </is>
      </c>
      <c r="G308" t="n">
        <v>6</v>
      </c>
      <c r="H308" t="n">
        <v>0</v>
      </c>
      <c r="I308" t="n">
        <v>0</v>
      </c>
      <c r="J308" t="n">
        <v>1</v>
      </c>
      <c r="K308" t="n">
        <v>0</v>
      </c>
      <c r="L308" t="n">
        <v>0</v>
      </c>
      <c r="M308" t="n">
        <v>0</v>
      </c>
      <c r="N308" t="n">
        <v>0</v>
      </c>
      <c r="O308" t="n">
        <v>1</v>
      </c>
      <c r="P308" t="n">
        <v>0</v>
      </c>
      <c r="Q308" t="n">
        <v>1</v>
      </c>
      <c r="R308" s="2" t="inlineStr">
        <is>
          <t>Lunglav</t>
        </is>
      </c>
      <c r="S308">
        <f>HYPERLINK("https://klasma.github.io/Logging_2303/artfynd/A 36758-2023 artfynd.xlsx", "A 36758-2023")</f>
        <v/>
      </c>
      <c r="T308">
        <f>HYPERLINK("https://klasma.github.io/Logging_2303/kartor/A 36758-2023 karta.png", "A 36758-2023")</f>
        <v/>
      </c>
      <c r="V308">
        <f>HYPERLINK("https://klasma.github.io/Logging_2303/klagomål/A 36758-2023 FSC-klagomål.docx", "A 36758-2023")</f>
        <v/>
      </c>
      <c r="W308">
        <f>HYPERLINK("https://klasma.github.io/Logging_2303/klagomålsmail/A 36758-2023 FSC-klagomål mail.docx", "A 36758-2023")</f>
        <v/>
      </c>
      <c r="X308">
        <f>HYPERLINK("https://klasma.github.io/Logging_2303/tillsyn/A 36758-2023 tillsynsbegäran.docx", "A 36758-2023")</f>
        <v/>
      </c>
      <c r="Y308">
        <f>HYPERLINK("https://klasma.github.io/Logging_2303/tillsynsmail/A 36758-2023 tillsynsbegäran mail.docx", "A 36758-2023")</f>
        <v/>
      </c>
    </row>
    <row r="309" ht="15" customHeight="1">
      <c r="A309" t="inlineStr">
        <is>
          <t>A 36757-2023</t>
        </is>
      </c>
      <c r="B309" s="1" t="n">
        <v>45153</v>
      </c>
      <c r="C309" s="1" t="n">
        <v>45835</v>
      </c>
      <c r="D309" t="inlineStr">
        <is>
          <t>JÄMTLANDS LÄN</t>
        </is>
      </c>
      <c r="E309" t="inlineStr">
        <is>
          <t>RAGUNDA</t>
        </is>
      </c>
      <c r="G309" t="n">
        <v>0.7</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36757-2023 artfynd.xlsx", "A 36757-2023")</f>
        <v/>
      </c>
      <c r="T309">
        <f>HYPERLINK("https://klasma.github.io/Logging_2303/kartor/A 36757-2023 karta.png", "A 36757-2023")</f>
        <v/>
      </c>
      <c r="V309">
        <f>HYPERLINK("https://klasma.github.io/Logging_2303/klagomål/A 36757-2023 FSC-klagomål.docx", "A 36757-2023")</f>
        <v/>
      </c>
      <c r="W309">
        <f>HYPERLINK("https://klasma.github.io/Logging_2303/klagomålsmail/A 36757-2023 FSC-klagomål mail.docx", "A 36757-2023")</f>
        <v/>
      </c>
      <c r="X309">
        <f>HYPERLINK("https://klasma.github.io/Logging_2303/tillsyn/A 36757-2023 tillsynsbegäran.docx", "A 36757-2023")</f>
        <v/>
      </c>
      <c r="Y309">
        <f>HYPERLINK("https://klasma.github.io/Logging_2303/tillsynsmail/A 36757-2023 tillsynsbegäran mail.docx", "A 36757-2023")</f>
        <v/>
      </c>
      <c r="Z309">
        <f>HYPERLINK("https://klasma.github.io/Logging_2303/fåglar/A 36757-2023 prioriterade fågelarter.docx", "A 36757-2023")</f>
        <v/>
      </c>
    </row>
    <row r="310" ht="15" customHeight="1">
      <c r="A310" t="inlineStr">
        <is>
          <t>A 36854-2023</t>
        </is>
      </c>
      <c r="B310" s="1" t="n">
        <v>45153</v>
      </c>
      <c r="C310" s="1" t="n">
        <v>45835</v>
      </c>
      <c r="D310" t="inlineStr">
        <is>
          <t>JÄMTLANDS LÄN</t>
        </is>
      </c>
      <c r="E310" t="inlineStr">
        <is>
          <t>RAGUNDA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HYPERLINK("https://klasma.github.io/Logging_2303/artfynd/A 36854-2023 artfynd.xlsx", "A 36854-2023")</f>
        <v/>
      </c>
      <c r="T310">
        <f>HYPERLINK("https://klasma.github.io/Logging_2303/kartor/A 36854-2023 karta.png", "A 36854-2023")</f>
        <v/>
      </c>
      <c r="V310">
        <f>HYPERLINK("https://klasma.github.io/Logging_2303/klagomål/A 36854-2023 FSC-klagomål.docx", "A 36854-2023")</f>
        <v/>
      </c>
      <c r="W310">
        <f>HYPERLINK("https://klasma.github.io/Logging_2303/klagomålsmail/A 36854-2023 FSC-klagomål mail.docx", "A 36854-2023")</f>
        <v/>
      </c>
      <c r="X310">
        <f>HYPERLINK("https://klasma.github.io/Logging_2303/tillsyn/A 36854-2023 tillsynsbegäran.docx", "A 36854-2023")</f>
        <v/>
      </c>
      <c r="Y310">
        <f>HYPERLINK("https://klasma.github.io/Logging_2303/tillsynsmail/A 36854-2023 tillsynsbegäran mail.docx", "A 36854-2023")</f>
        <v/>
      </c>
      <c r="Z310">
        <f>HYPERLINK("https://klasma.github.io/Logging_2303/fåglar/A 36854-2023 prioriterade fågelarter.docx", "A 36854-2023")</f>
        <v/>
      </c>
    </row>
    <row r="311" ht="15" customHeight="1">
      <c r="A311" t="inlineStr">
        <is>
          <t>A 36975-2023</t>
        </is>
      </c>
      <c r="B311" s="1" t="n">
        <v>45154</v>
      </c>
      <c r="C311" s="1" t="n">
        <v>45835</v>
      </c>
      <c r="D311" t="inlineStr">
        <is>
          <t>JÄMTLANDS LÄN</t>
        </is>
      </c>
      <c r="E311" t="inlineStr">
        <is>
          <t>RAGUNDA</t>
        </is>
      </c>
      <c r="F311" t="inlineStr">
        <is>
          <t>SCA</t>
        </is>
      </c>
      <c r="G311" t="n">
        <v>3.8</v>
      </c>
      <c r="H311" t="n">
        <v>0</v>
      </c>
      <c r="I311" t="n">
        <v>0</v>
      </c>
      <c r="J311" t="n">
        <v>0</v>
      </c>
      <c r="K311" t="n">
        <v>1</v>
      </c>
      <c r="L311" t="n">
        <v>0</v>
      </c>
      <c r="M311" t="n">
        <v>0</v>
      </c>
      <c r="N311" t="n">
        <v>0</v>
      </c>
      <c r="O311" t="n">
        <v>1</v>
      </c>
      <c r="P311" t="n">
        <v>1</v>
      </c>
      <c r="Q311" t="n">
        <v>1</v>
      </c>
      <c r="R311" s="2" t="inlineStr">
        <is>
          <t>Gräddporing</t>
        </is>
      </c>
      <c r="S311">
        <f>HYPERLINK("https://klasma.github.io/Logging_2303/artfynd/A 36975-2023 artfynd.xlsx", "A 36975-2023")</f>
        <v/>
      </c>
      <c r="T311">
        <f>HYPERLINK("https://klasma.github.io/Logging_2303/kartor/A 36975-2023 karta.png", "A 36975-2023")</f>
        <v/>
      </c>
      <c r="V311">
        <f>HYPERLINK("https://klasma.github.io/Logging_2303/klagomål/A 36975-2023 FSC-klagomål.docx", "A 36975-2023")</f>
        <v/>
      </c>
      <c r="W311">
        <f>HYPERLINK("https://klasma.github.io/Logging_2303/klagomålsmail/A 36975-2023 FSC-klagomål mail.docx", "A 36975-2023")</f>
        <v/>
      </c>
      <c r="X311">
        <f>HYPERLINK("https://klasma.github.io/Logging_2303/tillsyn/A 36975-2023 tillsynsbegäran.docx", "A 36975-2023")</f>
        <v/>
      </c>
      <c r="Y311">
        <f>HYPERLINK("https://klasma.github.io/Logging_2303/tillsynsmail/A 36975-2023 tillsynsbegäran mail.docx", "A 36975-2023")</f>
        <v/>
      </c>
    </row>
    <row r="312" ht="15" customHeight="1">
      <c r="A312" t="inlineStr">
        <is>
          <t>A 37234-2023</t>
        </is>
      </c>
      <c r="B312" s="1" t="n">
        <v>45155</v>
      </c>
      <c r="C312" s="1" t="n">
        <v>45835</v>
      </c>
      <c r="D312" t="inlineStr">
        <is>
          <t>JÄMTLANDS LÄN</t>
        </is>
      </c>
      <c r="E312" t="inlineStr">
        <is>
          <t>RAGUNDA</t>
        </is>
      </c>
      <c r="F312" t="inlineStr">
        <is>
          <t>SCA</t>
        </is>
      </c>
      <c r="G312" t="n">
        <v>7.5</v>
      </c>
      <c r="H312" t="n">
        <v>1</v>
      </c>
      <c r="I312" t="n">
        <v>0</v>
      </c>
      <c r="J312" t="n">
        <v>0</v>
      </c>
      <c r="K312" t="n">
        <v>1</v>
      </c>
      <c r="L312" t="n">
        <v>0</v>
      </c>
      <c r="M312" t="n">
        <v>0</v>
      </c>
      <c r="N312" t="n">
        <v>0</v>
      </c>
      <c r="O312" t="n">
        <v>1</v>
      </c>
      <c r="P312" t="n">
        <v>1</v>
      </c>
      <c r="Q312" t="n">
        <v>1</v>
      </c>
      <c r="R312" s="2" t="inlineStr">
        <is>
          <t>Knärot</t>
        </is>
      </c>
      <c r="S312">
        <f>HYPERLINK("https://klasma.github.io/Logging_2303/artfynd/A 37234-2023 artfynd.xlsx", "A 37234-2023")</f>
        <v/>
      </c>
      <c r="T312">
        <f>HYPERLINK("https://klasma.github.io/Logging_2303/kartor/A 37234-2023 karta.png", "A 37234-2023")</f>
        <v/>
      </c>
      <c r="U312">
        <f>HYPERLINK("https://klasma.github.io/Logging_2303/knärot/A 37234-2023 karta knärot.png", "A 37234-2023")</f>
        <v/>
      </c>
      <c r="V312">
        <f>HYPERLINK("https://klasma.github.io/Logging_2303/klagomål/A 37234-2023 FSC-klagomål.docx", "A 37234-2023")</f>
        <v/>
      </c>
      <c r="W312">
        <f>HYPERLINK("https://klasma.github.io/Logging_2303/klagomålsmail/A 37234-2023 FSC-klagomål mail.docx", "A 37234-2023")</f>
        <v/>
      </c>
      <c r="X312">
        <f>HYPERLINK("https://klasma.github.io/Logging_2303/tillsyn/A 37234-2023 tillsynsbegäran.docx", "A 37234-2023")</f>
        <v/>
      </c>
      <c r="Y312">
        <f>HYPERLINK("https://klasma.github.io/Logging_2303/tillsynsmail/A 37234-2023 tillsynsbegäran mail.docx", "A 37234-2023")</f>
        <v/>
      </c>
    </row>
    <row r="313" ht="15" customHeight="1">
      <c r="A313" t="inlineStr">
        <is>
          <t>A 43404-2023</t>
        </is>
      </c>
      <c r="B313" s="1" t="n">
        <v>45183</v>
      </c>
      <c r="C313" s="1" t="n">
        <v>45835</v>
      </c>
      <c r="D313" t="inlineStr">
        <is>
          <t>JÄMTLANDS LÄN</t>
        </is>
      </c>
      <c r="E313" t="inlineStr">
        <is>
          <t>RAGUNDA</t>
        </is>
      </c>
      <c r="F313" t="inlineStr">
        <is>
          <t>SCA</t>
        </is>
      </c>
      <c r="G313" t="n">
        <v>0.9</v>
      </c>
      <c r="H313" t="n">
        <v>0</v>
      </c>
      <c r="I313" t="n">
        <v>1</v>
      </c>
      <c r="J313" t="n">
        <v>0</v>
      </c>
      <c r="K313" t="n">
        <v>0</v>
      </c>
      <c r="L313" t="n">
        <v>0</v>
      </c>
      <c r="M313" t="n">
        <v>0</v>
      </c>
      <c r="N313" t="n">
        <v>0</v>
      </c>
      <c r="O313" t="n">
        <v>0</v>
      </c>
      <c r="P313" t="n">
        <v>0</v>
      </c>
      <c r="Q313" t="n">
        <v>1</v>
      </c>
      <c r="R313" s="2" t="inlineStr">
        <is>
          <t>Kryddspindling</t>
        </is>
      </c>
      <c r="S313">
        <f>HYPERLINK("https://klasma.github.io/Logging_2303/artfynd/A 43404-2023 artfynd.xlsx", "A 43404-2023")</f>
        <v/>
      </c>
      <c r="T313">
        <f>HYPERLINK("https://klasma.github.io/Logging_2303/kartor/A 43404-2023 karta.png", "A 43404-2023")</f>
        <v/>
      </c>
      <c r="V313">
        <f>HYPERLINK("https://klasma.github.io/Logging_2303/klagomål/A 43404-2023 FSC-klagomål.docx", "A 43404-2023")</f>
        <v/>
      </c>
      <c r="W313">
        <f>HYPERLINK("https://klasma.github.io/Logging_2303/klagomålsmail/A 43404-2023 FSC-klagomål mail.docx", "A 43404-2023")</f>
        <v/>
      </c>
      <c r="X313">
        <f>HYPERLINK("https://klasma.github.io/Logging_2303/tillsyn/A 43404-2023 tillsynsbegäran.docx", "A 43404-2023")</f>
        <v/>
      </c>
      <c r="Y313">
        <f>HYPERLINK("https://klasma.github.io/Logging_2303/tillsynsmail/A 43404-2023 tillsynsbegäran mail.docx", "A 43404-2023")</f>
        <v/>
      </c>
    </row>
    <row r="314" ht="15" customHeight="1">
      <c r="A314" t="inlineStr">
        <is>
          <t>A 48429-2023</t>
        </is>
      </c>
      <c r="B314" s="1" t="n">
        <v>45205</v>
      </c>
      <c r="C314" s="1" t="n">
        <v>45835</v>
      </c>
      <c r="D314" t="inlineStr">
        <is>
          <t>JÄMTLANDS LÄN</t>
        </is>
      </c>
      <c r="E314" t="inlineStr">
        <is>
          <t>RAGUNDA</t>
        </is>
      </c>
      <c r="F314" t="inlineStr">
        <is>
          <t>SCA</t>
        </is>
      </c>
      <c r="G314" t="n">
        <v>1.8</v>
      </c>
      <c r="H314" t="n">
        <v>0</v>
      </c>
      <c r="I314" t="n">
        <v>1</v>
      </c>
      <c r="J314" t="n">
        <v>0</v>
      </c>
      <c r="K314" t="n">
        <v>0</v>
      </c>
      <c r="L314" t="n">
        <v>0</v>
      </c>
      <c r="M314" t="n">
        <v>0</v>
      </c>
      <c r="N314" t="n">
        <v>0</v>
      </c>
      <c r="O314" t="n">
        <v>0</v>
      </c>
      <c r="P314" t="n">
        <v>0</v>
      </c>
      <c r="Q314" t="n">
        <v>1</v>
      </c>
      <c r="R314" s="2" t="inlineStr">
        <is>
          <t>Dropptaggsvamp</t>
        </is>
      </c>
      <c r="S314">
        <f>HYPERLINK("https://klasma.github.io/Logging_2303/artfynd/A 48429-2023 artfynd.xlsx", "A 48429-2023")</f>
        <v/>
      </c>
      <c r="T314">
        <f>HYPERLINK("https://klasma.github.io/Logging_2303/kartor/A 48429-2023 karta.png", "A 48429-2023")</f>
        <v/>
      </c>
      <c r="V314">
        <f>HYPERLINK("https://klasma.github.io/Logging_2303/klagomål/A 48429-2023 FSC-klagomål.docx", "A 48429-2023")</f>
        <v/>
      </c>
      <c r="W314">
        <f>HYPERLINK("https://klasma.github.io/Logging_2303/klagomålsmail/A 48429-2023 FSC-klagomål mail.docx", "A 48429-2023")</f>
        <v/>
      </c>
      <c r="X314">
        <f>HYPERLINK("https://klasma.github.io/Logging_2303/tillsyn/A 48429-2023 tillsynsbegäran.docx", "A 48429-2023")</f>
        <v/>
      </c>
      <c r="Y314">
        <f>HYPERLINK("https://klasma.github.io/Logging_2303/tillsynsmail/A 48429-2023 tillsynsbegäran mail.docx", "A 48429-2023")</f>
        <v/>
      </c>
    </row>
    <row r="315" ht="15" customHeight="1">
      <c r="A315" t="inlineStr">
        <is>
          <t>A 48477-2023</t>
        </is>
      </c>
      <c r="B315" s="1" t="n">
        <v>45206</v>
      </c>
      <c r="C315" s="1" t="n">
        <v>45835</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48477-2023 artfynd.xlsx", "A 48477-2023")</f>
        <v/>
      </c>
      <c r="T315">
        <f>HYPERLINK("https://klasma.github.io/Logging_2303/kartor/A 48477-2023 karta.png", "A 48477-2023")</f>
        <v/>
      </c>
      <c r="V315">
        <f>HYPERLINK("https://klasma.github.io/Logging_2303/klagomål/A 48477-2023 FSC-klagomål.docx", "A 48477-2023")</f>
        <v/>
      </c>
      <c r="W315">
        <f>HYPERLINK("https://klasma.github.io/Logging_2303/klagomålsmail/A 48477-2023 FSC-klagomål mail.docx", "A 48477-2023")</f>
        <v/>
      </c>
      <c r="X315">
        <f>HYPERLINK("https://klasma.github.io/Logging_2303/tillsyn/A 48477-2023 tillsynsbegäran.docx", "A 48477-2023")</f>
        <v/>
      </c>
      <c r="Y315">
        <f>HYPERLINK("https://klasma.github.io/Logging_2303/tillsynsmail/A 48477-2023 tillsynsbegäran mail.docx", "A 48477-2023")</f>
        <v/>
      </c>
    </row>
    <row r="316" ht="15" customHeight="1">
      <c r="A316" t="inlineStr">
        <is>
          <t>A 50164-2023</t>
        </is>
      </c>
      <c r="B316" s="1" t="n">
        <v>45208</v>
      </c>
      <c r="C316" s="1" t="n">
        <v>45835</v>
      </c>
      <c r="D316" t="inlineStr">
        <is>
          <t>JÄMTLANDS LÄN</t>
        </is>
      </c>
      <c r="E316" t="inlineStr">
        <is>
          <t>RAGUNDA</t>
        </is>
      </c>
      <c r="G316" t="n">
        <v>2.9</v>
      </c>
      <c r="H316" t="n">
        <v>0</v>
      </c>
      <c r="I316" t="n">
        <v>0</v>
      </c>
      <c r="J316" t="n">
        <v>0</v>
      </c>
      <c r="K316" t="n">
        <v>1</v>
      </c>
      <c r="L316" t="n">
        <v>0</v>
      </c>
      <c r="M316" t="n">
        <v>0</v>
      </c>
      <c r="N316" t="n">
        <v>0</v>
      </c>
      <c r="O316" t="n">
        <v>1</v>
      </c>
      <c r="P316" t="n">
        <v>1</v>
      </c>
      <c r="Q316" t="n">
        <v>1</v>
      </c>
      <c r="R316" s="2" t="inlineStr">
        <is>
          <t>Mindre barkplattbagge</t>
        </is>
      </c>
      <c r="S316">
        <f>HYPERLINK("https://klasma.github.io/Logging_2303/artfynd/A 50164-2023 artfynd.xlsx", "A 50164-2023")</f>
        <v/>
      </c>
      <c r="T316">
        <f>HYPERLINK("https://klasma.github.io/Logging_2303/kartor/A 50164-2023 karta.png", "A 50164-2023")</f>
        <v/>
      </c>
      <c r="V316">
        <f>HYPERLINK("https://klasma.github.io/Logging_2303/klagomål/A 50164-2023 FSC-klagomål.docx", "A 50164-2023")</f>
        <v/>
      </c>
      <c r="W316">
        <f>HYPERLINK("https://klasma.github.io/Logging_2303/klagomålsmail/A 50164-2023 FSC-klagomål mail.docx", "A 50164-2023")</f>
        <v/>
      </c>
      <c r="X316">
        <f>HYPERLINK("https://klasma.github.io/Logging_2303/tillsyn/A 50164-2023 tillsynsbegäran.docx", "A 50164-2023")</f>
        <v/>
      </c>
      <c r="Y316">
        <f>HYPERLINK("https://klasma.github.io/Logging_2303/tillsynsmail/A 50164-2023 tillsynsbegäran mail.docx", "A 50164-2023")</f>
        <v/>
      </c>
    </row>
    <row r="317" ht="15" customHeight="1">
      <c r="A317" t="inlineStr">
        <is>
          <t>A 53947-2023</t>
        </is>
      </c>
      <c r="B317" s="1" t="n">
        <v>45225</v>
      </c>
      <c r="C317" s="1" t="n">
        <v>45835</v>
      </c>
      <c r="D317" t="inlineStr">
        <is>
          <t>JÄMTLANDS LÄN</t>
        </is>
      </c>
      <c r="E317" t="inlineStr">
        <is>
          <t>RAGUNDA</t>
        </is>
      </c>
      <c r="G317" t="n">
        <v>4.4</v>
      </c>
      <c r="H317" t="n">
        <v>1</v>
      </c>
      <c r="I317" t="n">
        <v>0</v>
      </c>
      <c r="J317" t="n">
        <v>0</v>
      </c>
      <c r="K317" t="n">
        <v>0</v>
      </c>
      <c r="L317" t="n">
        <v>0</v>
      </c>
      <c r="M317" t="n">
        <v>0</v>
      </c>
      <c r="N317" t="n">
        <v>0</v>
      </c>
      <c r="O317" t="n">
        <v>0</v>
      </c>
      <c r="P317" t="n">
        <v>0</v>
      </c>
      <c r="Q317" t="n">
        <v>1</v>
      </c>
      <c r="R317" s="2" t="inlineStr">
        <is>
          <t>Nattviol</t>
        </is>
      </c>
      <c r="S317">
        <f>HYPERLINK("https://klasma.github.io/Logging_2303/artfynd/A 53947-2023 artfynd.xlsx", "A 53947-2023")</f>
        <v/>
      </c>
      <c r="T317">
        <f>HYPERLINK("https://klasma.github.io/Logging_2303/kartor/A 53947-2023 karta.png", "A 53947-2023")</f>
        <v/>
      </c>
      <c r="V317">
        <f>HYPERLINK("https://klasma.github.io/Logging_2303/klagomål/A 53947-2023 FSC-klagomål.docx", "A 53947-2023")</f>
        <v/>
      </c>
      <c r="W317">
        <f>HYPERLINK("https://klasma.github.io/Logging_2303/klagomålsmail/A 53947-2023 FSC-klagomål mail.docx", "A 53947-2023")</f>
        <v/>
      </c>
      <c r="X317">
        <f>HYPERLINK("https://klasma.github.io/Logging_2303/tillsyn/A 53947-2023 tillsynsbegäran.docx", "A 53947-2023")</f>
        <v/>
      </c>
      <c r="Y317">
        <f>HYPERLINK("https://klasma.github.io/Logging_2303/tillsynsmail/A 53947-2023 tillsynsbegäran mail.docx", "A 53947-2023")</f>
        <v/>
      </c>
    </row>
    <row r="318" ht="15" customHeight="1">
      <c r="A318" t="inlineStr">
        <is>
          <t>A 56283-2023</t>
        </is>
      </c>
      <c r="B318" s="1" t="n">
        <v>45241</v>
      </c>
      <c r="C318" s="1" t="n">
        <v>45835</v>
      </c>
      <c r="D318" t="inlineStr">
        <is>
          <t>JÄMTLANDS LÄN</t>
        </is>
      </c>
      <c r="E318" t="inlineStr">
        <is>
          <t>RAGUNDA</t>
        </is>
      </c>
      <c r="F318" t="inlineStr">
        <is>
          <t>SCA</t>
        </is>
      </c>
      <c r="G318" t="n">
        <v>7.4</v>
      </c>
      <c r="H318" t="n">
        <v>1</v>
      </c>
      <c r="I318" t="n">
        <v>0</v>
      </c>
      <c r="J318" t="n">
        <v>0</v>
      </c>
      <c r="K318" t="n">
        <v>1</v>
      </c>
      <c r="L318" t="n">
        <v>0</v>
      </c>
      <c r="M318" t="n">
        <v>0</v>
      </c>
      <c r="N318" t="n">
        <v>0</v>
      </c>
      <c r="O318" t="n">
        <v>1</v>
      </c>
      <c r="P318" t="n">
        <v>1</v>
      </c>
      <c r="Q318" t="n">
        <v>1</v>
      </c>
      <c r="R318" s="2" t="inlineStr">
        <is>
          <t>Doftticka</t>
        </is>
      </c>
      <c r="S318">
        <f>HYPERLINK("https://klasma.github.io/Logging_2303/artfynd/A 56283-2023 artfynd.xlsx", "A 56283-2023")</f>
        <v/>
      </c>
      <c r="T318">
        <f>HYPERLINK("https://klasma.github.io/Logging_2303/kartor/A 56283-2023 karta.png", "A 56283-2023")</f>
        <v/>
      </c>
      <c r="V318">
        <f>HYPERLINK("https://klasma.github.io/Logging_2303/klagomål/A 56283-2023 FSC-klagomål.docx", "A 56283-2023")</f>
        <v/>
      </c>
      <c r="W318">
        <f>HYPERLINK("https://klasma.github.io/Logging_2303/klagomålsmail/A 56283-2023 FSC-klagomål mail.docx", "A 56283-2023")</f>
        <v/>
      </c>
      <c r="X318">
        <f>HYPERLINK("https://klasma.github.io/Logging_2303/tillsyn/A 56283-2023 tillsynsbegäran.docx", "A 56283-2023")</f>
        <v/>
      </c>
      <c r="Y318">
        <f>HYPERLINK("https://klasma.github.io/Logging_2303/tillsynsmail/A 56283-2023 tillsynsbegäran mail.docx", "A 56283-2023")</f>
        <v/>
      </c>
    </row>
    <row r="319" ht="15" customHeight="1">
      <c r="A319" t="inlineStr">
        <is>
          <t>A 59104-2023</t>
        </is>
      </c>
      <c r="B319" s="1" t="n">
        <v>45253</v>
      </c>
      <c r="C319" s="1" t="n">
        <v>45835</v>
      </c>
      <c r="D319" t="inlineStr">
        <is>
          <t>JÄMTLANDS LÄN</t>
        </is>
      </c>
      <c r="E319" t="inlineStr">
        <is>
          <t>RAGUNDA</t>
        </is>
      </c>
      <c r="F319" t="inlineStr">
        <is>
          <t>SCA</t>
        </is>
      </c>
      <c r="G319" t="n">
        <v>4.2</v>
      </c>
      <c r="H319" t="n">
        <v>0</v>
      </c>
      <c r="I319" t="n">
        <v>0</v>
      </c>
      <c r="J319" t="n">
        <v>1</v>
      </c>
      <c r="K319" t="n">
        <v>0</v>
      </c>
      <c r="L319" t="n">
        <v>0</v>
      </c>
      <c r="M319" t="n">
        <v>0</v>
      </c>
      <c r="N319" t="n">
        <v>0</v>
      </c>
      <c r="O319" t="n">
        <v>1</v>
      </c>
      <c r="P319" t="n">
        <v>0</v>
      </c>
      <c r="Q319" t="n">
        <v>1</v>
      </c>
      <c r="R319" s="2" t="inlineStr">
        <is>
          <t>Ullticka</t>
        </is>
      </c>
      <c r="S319">
        <f>HYPERLINK("https://klasma.github.io/Logging_2303/artfynd/A 59104-2023 artfynd.xlsx", "A 59104-2023")</f>
        <v/>
      </c>
      <c r="T319">
        <f>HYPERLINK("https://klasma.github.io/Logging_2303/kartor/A 59104-2023 karta.png", "A 59104-2023")</f>
        <v/>
      </c>
      <c r="V319">
        <f>HYPERLINK("https://klasma.github.io/Logging_2303/klagomål/A 59104-2023 FSC-klagomål.docx", "A 59104-2023")</f>
        <v/>
      </c>
      <c r="W319">
        <f>HYPERLINK("https://klasma.github.io/Logging_2303/klagomålsmail/A 59104-2023 FSC-klagomål mail.docx", "A 59104-2023")</f>
        <v/>
      </c>
      <c r="X319">
        <f>HYPERLINK("https://klasma.github.io/Logging_2303/tillsyn/A 59104-2023 tillsynsbegäran.docx", "A 59104-2023")</f>
        <v/>
      </c>
      <c r="Y319">
        <f>HYPERLINK("https://klasma.github.io/Logging_2303/tillsynsmail/A 59104-2023 tillsynsbegäran mail.docx", "A 59104-2023")</f>
        <v/>
      </c>
    </row>
    <row r="320" ht="15" customHeight="1">
      <c r="A320" t="inlineStr">
        <is>
          <t>A 61505-2023</t>
        </is>
      </c>
      <c r="B320" s="1" t="n">
        <v>45264</v>
      </c>
      <c r="C320" s="1" t="n">
        <v>45835</v>
      </c>
      <c r="D320" t="inlineStr">
        <is>
          <t>JÄMTLANDS LÄN</t>
        </is>
      </c>
      <c r="E320" t="inlineStr">
        <is>
          <t>RAGUNDA</t>
        </is>
      </c>
      <c r="F320" t="inlineStr">
        <is>
          <t>SCA</t>
        </is>
      </c>
      <c r="G320" t="n">
        <v>38.3</v>
      </c>
      <c r="H320" t="n">
        <v>1</v>
      </c>
      <c r="I320" t="n">
        <v>0</v>
      </c>
      <c r="J320" t="n">
        <v>1</v>
      </c>
      <c r="K320" t="n">
        <v>0</v>
      </c>
      <c r="L320" t="n">
        <v>0</v>
      </c>
      <c r="M320" t="n">
        <v>0</v>
      </c>
      <c r="N320" t="n">
        <v>0</v>
      </c>
      <c r="O320" t="n">
        <v>1</v>
      </c>
      <c r="P320" t="n">
        <v>0</v>
      </c>
      <c r="Q320" t="n">
        <v>1</v>
      </c>
      <c r="R320" s="2" t="inlineStr">
        <is>
          <t>Järpe</t>
        </is>
      </c>
      <c r="S320">
        <f>HYPERLINK("https://klasma.github.io/Logging_2303/artfynd/A 61505-2023 artfynd.xlsx", "A 61505-2023")</f>
        <v/>
      </c>
      <c r="T320">
        <f>HYPERLINK("https://klasma.github.io/Logging_2303/kartor/A 61505-2023 karta.png", "A 61505-2023")</f>
        <v/>
      </c>
      <c r="V320">
        <f>HYPERLINK("https://klasma.github.io/Logging_2303/klagomål/A 61505-2023 FSC-klagomål.docx", "A 61505-2023")</f>
        <v/>
      </c>
      <c r="W320">
        <f>HYPERLINK("https://klasma.github.io/Logging_2303/klagomålsmail/A 61505-2023 FSC-klagomål mail.docx", "A 61505-2023")</f>
        <v/>
      </c>
      <c r="X320">
        <f>HYPERLINK("https://klasma.github.io/Logging_2303/tillsyn/A 61505-2023 tillsynsbegäran.docx", "A 61505-2023")</f>
        <v/>
      </c>
      <c r="Y320">
        <f>HYPERLINK("https://klasma.github.io/Logging_2303/tillsynsmail/A 61505-2023 tillsynsbegäran mail.docx", "A 61505-2023")</f>
        <v/>
      </c>
      <c r="Z320">
        <f>HYPERLINK("https://klasma.github.io/Logging_2303/fåglar/A 61505-2023 prioriterade fågelarter.docx", "A 61505-2023")</f>
        <v/>
      </c>
    </row>
    <row r="321" ht="15" customHeight="1">
      <c r="A321" t="inlineStr">
        <is>
          <t>A 62072-2023</t>
        </is>
      </c>
      <c r="B321" s="1" t="n">
        <v>45266</v>
      </c>
      <c r="C321" s="1" t="n">
        <v>45835</v>
      </c>
      <c r="D321" t="inlineStr">
        <is>
          <t>JÄMTLANDS LÄN</t>
        </is>
      </c>
      <c r="E321" t="inlineStr">
        <is>
          <t>RAGUNDA</t>
        </is>
      </c>
      <c r="G321" t="n">
        <v>4.5</v>
      </c>
      <c r="H321" t="n">
        <v>1</v>
      </c>
      <c r="I321" t="n">
        <v>0</v>
      </c>
      <c r="J321" t="n">
        <v>0</v>
      </c>
      <c r="K321" t="n">
        <v>1</v>
      </c>
      <c r="L321" t="n">
        <v>0</v>
      </c>
      <c r="M321" t="n">
        <v>0</v>
      </c>
      <c r="N321" t="n">
        <v>0</v>
      </c>
      <c r="O321" t="n">
        <v>1</v>
      </c>
      <c r="P321" t="n">
        <v>1</v>
      </c>
      <c r="Q321" t="n">
        <v>1</v>
      </c>
      <c r="R321" s="2" t="inlineStr">
        <is>
          <t>Lappuggla</t>
        </is>
      </c>
      <c r="S321">
        <f>HYPERLINK("https://klasma.github.io/Logging_2303/artfynd/A 62072-2023 artfynd.xlsx", "A 62072-2023")</f>
        <v/>
      </c>
      <c r="T321">
        <f>HYPERLINK("https://klasma.github.io/Logging_2303/kartor/A 62072-2023 karta.png", "A 62072-2023")</f>
        <v/>
      </c>
      <c r="V321">
        <f>HYPERLINK("https://klasma.github.io/Logging_2303/klagomål/A 62072-2023 FSC-klagomål.docx", "A 62072-2023")</f>
        <v/>
      </c>
      <c r="W321">
        <f>HYPERLINK("https://klasma.github.io/Logging_2303/klagomålsmail/A 62072-2023 FSC-klagomål mail.docx", "A 62072-2023")</f>
        <v/>
      </c>
      <c r="X321">
        <f>HYPERLINK("https://klasma.github.io/Logging_2303/tillsyn/A 62072-2023 tillsynsbegäran.docx", "A 62072-2023")</f>
        <v/>
      </c>
      <c r="Y321">
        <f>HYPERLINK("https://klasma.github.io/Logging_2303/tillsynsmail/A 62072-2023 tillsynsbegäran mail.docx", "A 62072-2023")</f>
        <v/>
      </c>
      <c r="Z321">
        <f>HYPERLINK("https://klasma.github.io/Logging_2303/fåglar/A 62072-2023 prioriterade fågelarter.docx", "A 62072-2023")</f>
        <v/>
      </c>
    </row>
    <row r="322" ht="15" customHeight="1">
      <c r="A322" t="inlineStr">
        <is>
          <t>A 978-2024</t>
        </is>
      </c>
      <c r="B322" s="1" t="n">
        <v>45301</v>
      </c>
      <c r="C322" s="1" t="n">
        <v>45835</v>
      </c>
      <c r="D322" t="inlineStr">
        <is>
          <t>JÄMTLANDS LÄN</t>
        </is>
      </c>
      <c r="E322" t="inlineStr">
        <is>
          <t>RAGUNDA</t>
        </is>
      </c>
      <c r="G322" t="n">
        <v>3.1</v>
      </c>
      <c r="H322" t="n">
        <v>1</v>
      </c>
      <c r="I322" t="n">
        <v>0</v>
      </c>
      <c r="J322" t="n">
        <v>1</v>
      </c>
      <c r="K322" t="n">
        <v>0</v>
      </c>
      <c r="L322" t="n">
        <v>0</v>
      </c>
      <c r="M322" t="n">
        <v>0</v>
      </c>
      <c r="N322" t="n">
        <v>0</v>
      </c>
      <c r="O322" t="n">
        <v>1</v>
      </c>
      <c r="P322" t="n">
        <v>0</v>
      </c>
      <c r="Q322" t="n">
        <v>1</v>
      </c>
      <c r="R322" s="2" t="inlineStr">
        <is>
          <t>Tretåig hackspett</t>
        </is>
      </c>
      <c r="S322">
        <f>HYPERLINK("https://klasma.github.io/Logging_2303/artfynd/A 978-2024 artfynd.xlsx", "A 978-2024")</f>
        <v/>
      </c>
      <c r="T322">
        <f>HYPERLINK("https://klasma.github.io/Logging_2303/kartor/A 978-2024 karta.png", "A 978-2024")</f>
        <v/>
      </c>
      <c r="V322">
        <f>HYPERLINK("https://klasma.github.io/Logging_2303/klagomål/A 978-2024 FSC-klagomål.docx", "A 978-2024")</f>
        <v/>
      </c>
      <c r="W322">
        <f>HYPERLINK("https://klasma.github.io/Logging_2303/klagomålsmail/A 978-2024 FSC-klagomål mail.docx", "A 978-2024")</f>
        <v/>
      </c>
      <c r="X322">
        <f>HYPERLINK("https://klasma.github.io/Logging_2303/tillsyn/A 978-2024 tillsynsbegäran.docx", "A 978-2024")</f>
        <v/>
      </c>
      <c r="Y322">
        <f>HYPERLINK("https://klasma.github.io/Logging_2303/tillsynsmail/A 978-2024 tillsynsbegäran mail.docx", "A 978-2024")</f>
        <v/>
      </c>
      <c r="Z322">
        <f>HYPERLINK("https://klasma.github.io/Logging_2303/fåglar/A 978-2024 prioriterade fågelarter.docx", "A 978-2024")</f>
        <v/>
      </c>
    </row>
    <row r="323" ht="15" customHeight="1">
      <c r="A323" t="inlineStr">
        <is>
          <t>A 1057-2024</t>
        </is>
      </c>
      <c r="B323" s="1" t="n">
        <v>45301</v>
      </c>
      <c r="C323" s="1" t="n">
        <v>45835</v>
      </c>
      <c r="D323" t="inlineStr">
        <is>
          <t>JÄMTLANDS LÄN</t>
        </is>
      </c>
      <c r="E323" t="inlineStr">
        <is>
          <t>RAGUNDA</t>
        </is>
      </c>
      <c r="F323" t="inlineStr">
        <is>
          <t>SCA</t>
        </is>
      </c>
      <c r="G323" t="n">
        <v>6.8</v>
      </c>
      <c r="H323" t="n">
        <v>0</v>
      </c>
      <c r="I323" t="n">
        <v>1</v>
      </c>
      <c r="J323" t="n">
        <v>0</v>
      </c>
      <c r="K323" t="n">
        <v>0</v>
      </c>
      <c r="L323" t="n">
        <v>0</v>
      </c>
      <c r="M323" t="n">
        <v>0</v>
      </c>
      <c r="N323" t="n">
        <v>0</v>
      </c>
      <c r="O323" t="n">
        <v>0</v>
      </c>
      <c r="P323" t="n">
        <v>0</v>
      </c>
      <c r="Q323" t="n">
        <v>1</v>
      </c>
      <c r="R323" s="2" t="inlineStr">
        <is>
          <t>Stor aspticka</t>
        </is>
      </c>
      <c r="S323">
        <f>HYPERLINK("https://klasma.github.io/Logging_2303/artfynd/A 1057-2024 artfynd.xlsx", "A 1057-2024")</f>
        <v/>
      </c>
      <c r="T323">
        <f>HYPERLINK("https://klasma.github.io/Logging_2303/kartor/A 1057-2024 karta.png", "A 1057-2024")</f>
        <v/>
      </c>
      <c r="V323">
        <f>HYPERLINK("https://klasma.github.io/Logging_2303/klagomål/A 1057-2024 FSC-klagomål.docx", "A 1057-2024")</f>
        <v/>
      </c>
      <c r="W323">
        <f>HYPERLINK("https://klasma.github.io/Logging_2303/klagomålsmail/A 1057-2024 FSC-klagomål mail.docx", "A 1057-2024")</f>
        <v/>
      </c>
      <c r="X323">
        <f>HYPERLINK("https://klasma.github.io/Logging_2303/tillsyn/A 1057-2024 tillsynsbegäran.docx", "A 1057-2024")</f>
        <v/>
      </c>
      <c r="Y323">
        <f>HYPERLINK("https://klasma.github.io/Logging_2303/tillsynsmail/A 1057-2024 tillsynsbegäran mail.docx", "A 1057-2024")</f>
        <v/>
      </c>
    </row>
    <row r="324" ht="15" customHeight="1">
      <c r="A324" t="inlineStr">
        <is>
          <t>A 2929-2024</t>
        </is>
      </c>
      <c r="B324" s="1" t="n">
        <v>45315</v>
      </c>
      <c r="C324" s="1" t="n">
        <v>45835</v>
      </c>
      <c r="D324" t="inlineStr">
        <is>
          <t>JÄMTLANDS LÄN</t>
        </is>
      </c>
      <c r="E324" t="inlineStr">
        <is>
          <t>RAGUNDA</t>
        </is>
      </c>
      <c r="G324" t="n">
        <v>1</v>
      </c>
      <c r="H324" t="n">
        <v>0</v>
      </c>
      <c r="I324" t="n">
        <v>0</v>
      </c>
      <c r="J324" t="n">
        <v>1</v>
      </c>
      <c r="K324" t="n">
        <v>0</v>
      </c>
      <c r="L324" t="n">
        <v>0</v>
      </c>
      <c r="M324" t="n">
        <v>0</v>
      </c>
      <c r="N324" t="n">
        <v>0</v>
      </c>
      <c r="O324" t="n">
        <v>1</v>
      </c>
      <c r="P324" t="n">
        <v>0</v>
      </c>
      <c r="Q324" t="n">
        <v>1</v>
      </c>
      <c r="R324" s="2" t="inlineStr">
        <is>
          <t>Klådris</t>
        </is>
      </c>
      <c r="S324">
        <f>HYPERLINK("https://klasma.github.io/Logging_2303/artfynd/A 2929-2024 artfynd.xlsx", "A 2929-2024")</f>
        <v/>
      </c>
      <c r="T324">
        <f>HYPERLINK("https://klasma.github.io/Logging_2303/kartor/A 2929-2024 karta.png", "A 2929-2024")</f>
        <v/>
      </c>
      <c r="V324">
        <f>HYPERLINK("https://klasma.github.io/Logging_2303/klagomål/A 2929-2024 FSC-klagomål.docx", "A 2929-2024")</f>
        <v/>
      </c>
      <c r="W324">
        <f>HYPERLINK("https://klasma.github.io/Logging_2303/klagomålsmail/A 2929-2024 FSC-klagomål mail.docx", "A 2929-2024")</f>
        <v/>
      </c>
      <c r="X324">
        <f>HYPERLINK("https://klasma.github.io/Logging_2303/tillsyn/A 2929-2024 tillsynsbegäran.docx", "A 2929-2024")</f>
        <v/>
      </c>
      <c r="Y324">
        <f>HYPERLINK("https://klasma.github.io/Logging_2303/tillsynsmail/A 2929-2024 tillsynsbegäran mail.docx", "A 2929-2024")</f>
        <v/>
      </c>
    </row>
    <row r="325" ht="15" customHeight="1">
      <c r="A325" t="inlineStr">
        <is>
          <t>A 6703-2024</t>
        </is>
      </c>
      <c r="B325" s="1" t="n">
        <v>45341</v>
      </c>
      <c r="C325" s="1" t="n">
        <v>45835</v>
      </c>
      <c r="D325" t="inlineStr">
        <is>
          <t>JÄMTLANDS LÄN</t>
        </is>
      </c>
      <c r="E325" t="inlineStr">
        <is>
          <t>RAGUNDA</t>
        </is>
      </c>
      <c r="F325" t="inlineStr">
        <is>
          <t>SCA</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HYPERLINK("https://klasma.github.io/Logging_2303/artfynd/A 6703-2024 artfynd.xlsx", "A 6703-2024")</f>
        <v/>
      </c>
      <c r="T325">
        <f>HYPERLINK("https://klasma.github.io/Logging_2303/kartor/A 6703-2024 karta.png", "A 6703-2024")</f>
        <v/>
      </c>
      <c r="V325">
        <f>HYPERLINK("https://klasma.github.io/Logging_2303/klagomål/A 6703-2024 FSC-klagomål.docx", "A 6703-2024")</f>
        <v/>
      </c>
      <c r="W325">
        <f>HYPERLINK("https://klasma.github.io/Logging_2303/klagomålsmail/A 6703-2024 FSC-klagomål mail.docx", "A 6703-2024")</f>
        <v/>
      </c>
      <c r="X325">
        <f>HYPERLINK("https://klasma.github.io/Logging_2303/tillsyn/A 6703-2024 tillsynsbegäran.docx", "A 6703-2024")</f>
        <v/>
      </c>
      <c r="Y325">
        <f>HYPERLINK("https://klasma.github.io/Logging_2303/tillsynsmail/A 6703-2024 tillsynsbegäran mail.docx", "A 6703-2024")</f>
        <v/>
      </c>
    </row>
    <row r="326" ht="15" customHeight="1">
      <c r="A326" t="inlineStr">
        <is>
          <t>A 12584-2024</t>
        </is>
      </c>
      <c r="B326" s="1" t="n">
        <v>45379</v>
      </c>
      <c r="C326" s="1" t="n">
        <v>45835</v>
      </c>
      <c r="D326" t="inlineStr">
        <is>
          <t>JÄMTLANDS LÄN</t>
        </is>
      </c>
      <c r="E326" t="inlineStr">
        <is>
          <t>RAGUNDA</t>
        </is>
      </c>
      <c r="F326" t="inlineStr">
        <is>
          <t>SCA</t>
        </is>
      </c>
      <c r="G326" t="n">
        <v>1.3</v>
      </c>
      <c r="H326" t="n">
        <v>0</v>
      </c>
      <c r="I326" t="n">
        <v>0</v>
      </c>
      <c r="J326" t="n">
        <v>0</v>
      </c>
      <c r="K326" t="n">
        <v>1</v>
      </c>
      <c r="L326" t="n">
        <v>0</v>
      </c>
      <c r="M326" t="n">
        <v>0</v>
      </c>
      <c r="N326" t="n">
        <v>0</v>
      </c>
      <c r="O326" t="n">
        <v>1</v>
      </c>
      <c r="P326" t="n">
        <v>1</v>
      </c>
      <c r="Q326" t="n">
        <v>1</v>
      </c>
      <c r="R326" s="2" t="inlineStr">
        <is>
          <t>Rynkskinn</t>
        </is>
      </c>
      <c r="S326">
        <f>HYPERLINK("https://klasma.github.io/Logging_2303/artfynd/A 12584-2024 artfynd.xlsx", "A 12584-2024")</f>
        <v/>
      </c>
      <c r="T326">
        <f>HYPERLINK("https://klasma.github.io/Logging_2303/kartor/A 12584-2024 karta.png", "A 12584-2024")</f>
        <v/>
      </c>
      <c r="V326">
        <f>HYPERLINK("https://klasma.github.io/Logging_2303/klagomål/A 12584-2024 FSC-klagomål.docx", "A 12584-2024")</f>
        <v/>
      </c>
      <c r="W326">
        <f>HYPERLINK("https://klasma.github.io/Logging_2303/klagomålsmail/A 12584-2024 FSC-klagomål mail.docx", "A 12584-2024")</f>
        <v/>
      </c>
      <c r="X326">
        <f>HYPERLINK("https://klasma.github.io/Logging_2303/tillsyn/A 12584-2024 tillsynsbegäran.docx", "A 12584-2024")</f>
        <v/>
      </c>
      <c r="Y326">
        <f>HYPERLINK("https://klasma.github.io/Logging_2303/tillsynsmail/A 12584-2024 tillsynsbegäran mail.docx", "A 12584-2024")</f>
        <v/>
      </c>
    </row>
    <row r="327" ht="15" customHeight="1">
      <c r="A327" t="inlineStr">
        <is>
          <t>A 18609-2024</t>
        </is>
      </c>
      <c r="B327" s="1" t="n">
        <v>45426</v>
      </c>
      <c r="C327" s="1" t="n">
        <v>45835</v>
      </c>
      <c r="D327" t="inlineStr">
        <is>
          <t>JÄMTLANDS LÄN</t>
        </is>
      </c>
      <c r="E327" t="inlineStr">
        <is>
          <t>RAGUNDA</t>
        </is>
      </c>
      <c r="F327" t="inlineStr">
        <is>
          <t>SCA</t>
        </is>
      </c>
      <c r="G327" t="n">
        <v>1.2</v>
      </c>
      <c r="H327" t="n">
        <v>0</v>
      </c>
      <c r="I327" t="n">
        <v>0</v>
      </c>
      <c r="J327" t="n">
        <v>1</v>
      </c>
      <c r="K327" t="n">
        <v>0</v>
      </c>
      <c r="L327" t="n">
        <v>0</v>
      </c>
      <c r="M327" t="n">
        <v>0</v>
      </c>
      <c r="N327" t="n">
        <v>0</v>
      </c>
      <c r="O327" t="n">
        <v>1</v>
      </c>
      <c r="P327" t="n">
        <v>0</v>
      </c>
      <c r="Q327" t="n">
        <v>1</v>
      </c>
      <c r="R327" s="2" t="inlineStr">
        <is>
          <t>Ullticka</t>
        </is>
      </c>
      <c r="S327">
        <f>HYPERLINK("https://klasma.github.io/Logging_2303/artfynd/A 18609-2024 artfynd.xlsx", "A 18609-2024")</f>
        <v/>
      </c>
      <c r="T327">
        <f>HYPERLINK("https://klasma.github.io/Logging_2303/kartor/A 18609-2024 karta.png", "A 18609-2024")</f>
        <v/>
      </c>
      <c r="V327">
        <f>HYPERLINK("https://klasma.github.io/Logging_2303/klagomål/A 18609-2024 FSC-klagomål.docx", "A 18609-2024")</f>
        <v/>
      </c>
      <c r="W327">
        <f>HYPERLINK("https://klasma.github.io/Logging_2303/klagomålsmail/A 18609-2024 FSC-klagomål mail.docx", "A 18609-2024")</f>
        <v/>
      </c>
      <c r="X327">
        <f>HYPERLINK("https://klasma.github.io/Logging_2303/tillsyn/A 18609-2024 tillsynsbegäran.docx", "A 18609-2024")</f>
        <v/>
      </c>
      <c r="Y327">
        <f>HYPERLINK("https://klasma.github.io/Logging_2303/tillsynsmail/A 18609-2024 tillsynsbegäran mail.docx", "A 18609-2024")</f>
        <v/>
      </c>
    </row>
    <row r="328" ht="15" customHeight="1">
      <c r="A328" t="inlineStr">
        <is>
          <t>A 18774-2024</t>
        </is>
      </c>
      <c r="B328" s="1" t="n">
        <v>45426</v>
      </c>
      <c r="C328" s="1" t="n">
        <v>45835</v>
      </c>
      <c r="D328" t="inlineStr">
        <is>
          <t>JÄMTLANDS LÄN</t>
        </is>
      </c>
      <c r="E328" t="inlineStr">
        <is>
          <t>RAGUNDA</t>
        </is>
      </c>
      <c r="G328" t="n">
        <v>20.2</v>
      </c>
      <c r="H328" t="n">
        <v>0</v>
      </c>
      <c r="I328" t="n">
        <v>1</v>
      </c>
      <c r="J328" t="n">
        <v>0</v>
      </c>
      <c r="K328" t="n">
        <v>0</v>
      </c>
      <c r="L328" t="n">
        <v>0</v>
      </c>
      <c r="M328" t="n">
        <v>0</v>
      </c>
      <c r="N328" t="n">
        <v>0</v>
      </c>
      <c r="O328" t="n">
        <v>0</v>
      </c>
      <c r="P328" t="n">
        <v>0</v>
      </c>
      <c r="Q328" t="n">
        <v>1</v>
      </c>
      <c r="R328" s="2" t="inlineStr">
        <is>
          <t>Svart trolldruva</t>
        </is>
      </c>
      <c r="S328">
        <f>HYPERLINK("https://klasma.github.io/Logging_2303/artfynd/A 18774-2024 artfynd.xlsx", "A 18774-2024")</f>
        <v/>
      </c>
      <c r="T328">
        <f>HYPERLINK("https://klasma.github.io/Logging_2303/kartor/A 18774-2024 karta.png", "A 18774-2024")</f>
        <v/>
      </c>
      <c r="V328">
        <f>HYPERLINK("https://klasma.github.io/Logging_2303/klagomål/A 18774-2024 FSC-klagomål.docx", "A 18774-2024")</f>
        <v/>
      </c>
      <c r="W328">
        <f>HYPERLINK("https://klasma.github.io/Logging_2303/klagomålsmail/A 18774-2024 FSC-klagomål mail.docx", "A 18774-2024")</f>
        <v/>
      </c>
      <c r="X328">
        <f>HYPERLINK("https://klasma.github.io/Logging_2303/tillsyn/A 18774-2024 tillsynsbegäran.docx", "A 18774-2024")</f>
        <v/>
      </c>
      <c r="Y328">
        <f>HYPERLINK("https://klasma.github.io/Logging_2303/tillsynsmail/A 18774-2024 tillsynsbegäran mail.docx", "A 18774-2024")</f>
        <v/>
      </c>
    </row>
    <row r="329" ht="15" customHeight="1">
      <c r="A329" t="inlineStr">
        <is>
          <t>A 20553-2024</t>
        </is>
      </c>
      <c r="B329" s="1" t="n">
        <v>45436</v>
      </c>
      <c r="C329" s="1" t="n">
        <v>45835</v>
      </c>
      <c r="D329" t="inlineStr">
        <is>
          <t>JÄMTLANDS LÄN</t>
        </is>
      </c>
      <c r="E329" t="inlineStr">
        <is>
          <t>RAGUNDA</t>
        </is>
      </c>
      <c r="G329" t="n">
        <v>11.1</v>
      </c>
      <c r="H329" t="n">
        <v>0</v>
      </c>
      <c r="I329" t="n">
        <v>0</v>
      </c>
      <c r="J329" t="n">
        <v>1</v>
      </c>
      <c r="K329" t="n">
        <v>0</v>
      </c>
      <c r="L329" t="n">
        <v>0</v>
      </c>
      <c r="M329" t="n">
        <v>0</v>
      </c>
      <c r="N329" t="n">
        <v>0</v>
      </c>
      <c r="O329" t="n">
        <v>1</v>
      </c>
      <c r="P329" t="n">
        <v>0</v>
      </c>
      <c r="Q329" t="n">
        <v>1</v>
      </c>
      <c r="R329" s="2" t="inlineStr">
        <is>
          <t>Rosenticka</t>
        </is>
      </c>
      <c r="S329">
        <f>HYPERLINK("https://klasma.github.io/Logging_2303/artfynd/A 20553-2024 artfynd.xlsx", "A 20553-2024")</f>
        <v/>
      </c>
      <c r="T329">
        <f>HYPERLINK("https://klasma.github.io/Logging_2303/kartor/A 20553-2024 karta.png", "A 20553-2024")</f>
        <v/>
      </c>
      <c r="U329">
        <f>HYPERLINK("https://klasma.github.io/Logging_2303/knärot/A 20553-2024 karta knärot.png", "A 20553-2024")</f>
        <v/>
      </c>
      <c r="V329">
        <f>HYPERLINK("https://klasma.github.io/Logging_2303/klagomål/A 20553-2024 FSC-klagomål.docx", "A 20553-2024")</f>
        <v/>
      </c>
      <c r="W329">
        <f>HYPERLINK("https://klasma.github.io/Logging_2303/klagomålsmail/A 20553-2024 FSC-klagomål mail.docx", "A 20553-2024")</f>
        <v/>
      </c>
      <c r="X329">
        <f>HYPERLINK("https://klasma.github.io/Logging_2303/tillsyn/A 20553-2024 tillsynsbegäran.docx", "A 20553-2024")</f>
        <v/>
      </c>
      <c r="Y329">
        <f>HYPERLINK("https://klasma.github.io/Logging_2303/tillsynsmail/A 20553-2024 tillsynsbegäran mail.docx", "A 20553-2024")</f>
        <v/>
      </c>
    </row>
    <row r="330" ht="15" customHeight="1">
      <c r="A330" t="inlineStr">
        <is>
          <t>A 20774-2024</t>
        </is>
      </c>
      <c r="B330" s="1" t="n">
        <v>45437</v>
      </c>
      <c r="C330" s="1" t="n">
        <v>45835</v>
      </c>
      <c r="D330" t="inlineStr">
        <is>
          <t>JÄMTLANDS LÄN</t>
        </is>
      </c>
      <c r="E330" t="inlineStr">
        <is>
          <t>RAGUNDA</t>
        </is>
      </c>
      <c r="F330" t="inlineStr">
        <is>
          <t>SCA</t>
        </is>
      </c>
      <c r="G330" t="n">
        <v>2.3</v>
      </c>
      <c r="H330" t="n">
        <v>0</v>
      </c>
      <c r="I330" t="n">
        <v>1</v>
      </c>
      <c r="J330" t="n">
        <v>0</v>
      </c>
      <c r="K330" t="n">
        <v>0</v>
      </c>
      <c r="L330" t="n">
        <v>0</v>
      </c>
      <c r="M330" t="n">
        <v>0</v>
      </c>
      <c r="N330" t="n">
        <v>0</v>
      </c>
      <c r="O330" t="n">
        <v>0</v>
      </c>
      <c r="P330" t="n">
        <v>0</v>
      </c>
      <c r="Q330" t="n">
        <v>1</v>
      </c>
      <c r="R330" s="2" t="inlineStr">
        <is>
          <t>Fjällig taggsvamp s.str.</t>
        </is>
      </c>
      <c r="S330">
        <f>HYPERLINK("https://klasma.github.io/Logging_2303/artfynd/A 20774-2024 artfynd.xlsx", "A 20774-2024")</f>
        <v/>
      </c>
      <c r="T330">
        <f>HYPERLINK("https://klasma.github.io/Logging_2303/kartor/A 20774-2024 karta.png", "A 20774-2024")</f>
        <v/>
      </c>
      <c r="V330">
        <f>HYPERLINK("https://klasma.github.io/Logging_2303/klagomål/A 20774-2024 FSC-klagomål.docx", "A 20774-2024")</f>
        <v/>
      </c>
      <c r="W330">
        <f>HYPERLINK("https://klasma.github.io/Logging_2303/klagomålsmail/A 20774-2024 FSC-klagomål mail.docx", "A 20774-2024")</f>
        <v/>
      </c>
      <c r="X330">
        <f>HYPERLINK("https://klasma.github.io/Logging_2303/tillsyn/A 20774-2024 tillsynsbegäran.docx", "A 20774-2024")</f>
        <v/>
      </c>
      <c r="Y330">
        <f>HYPERLINK("https://klasma.github.io/Logging_2303/tillsynsmail/A 20774-2024 tillsynsbegäran mail.docx", "A 20774-2024")</f>
        <v/>
      </c>
    </row>
    <row r="331" ht="15" customHeight="1">
      <c r="A331" t="inlineStr">
        <is>
          <t>A 23930-2024</t>
        </is>
      </c>
      <c r="B331" s="1" t="n">
        <v>45456</v>
      </c>
      <c r="C331" s="1" t="n">
        <v>45835</v>
      </c>
      <c r="D331" t="inlineStr">
        <is>
          <t>JÄMTLANDS LÄN</t>
        </is>
      </c>
      <c r="E331" t="inlineStr">
        <is>
          <t>RAGUNDA</t>
        </is>
      </c>
      <c r="F331" t="inlineStr">
        <is>
          <t>SCA</t>
        </is>
      </c>
      <c r="G331" t="n">
        <v>4.2</v>
      </c>
      <c r="H331" t="n">
        <v>1</v>
      </c>
      <c r="I331" t="n">
        <v>1</v>
      </c>
      <c r="J331" t="n">
        <v>0</v>
      </c>
      <c r="K331" t="n">
        <v>0</v>
      </c>
      <c r="L331" t="n">
        <v>0</v>
      </c>
      <c r="M331" t="n">
        <v>0</v>
      </c>
      <c r="N331" t="n">
        <v>0</v>
      </c>
      <c r="O331" t="n">
        <v>0</v>
      </c>
      <c r="P331" t="n">
        <v>0</v>
      </c>
      <c r="Q331" t="n">
        <v>1</v>
      </c>
      <c r="R331" s="2" t="inlineStr">
        <is>
          <t>Guckusko</t>
        </is>
      </c>
      <c r="S331">
        <f>HYPERLINK("https://klasma.github.io/Logging_2303/artfynd/A 23930-2024 artfynd.xlsx", "A 23930-2024")</f>
        <v/>
      </c>
      <c r="T331">
        <f>HYPERLINK("https://klasma.github.io/Logging_2303/kartor/A 23930-2024 karta.png", "A 23930-2024")</f>
        <v/>
      </c>
      <c r="V331">
        <f>HYPERLINK("https://klasma.github.io/Logging_2303/klagomål/A 23930-2024 FSC-klagomål.docx", "A 23930-2024")</f>
        <v/>
      </c>
      <c r="W331">
        <f>HYPERLINK("https://klasma.github.io/Logging_2303/klagomålsmail/A 23930-2024 FSC-klagomål mail.docx", "A 23930-2024")</f>
        <v/>
      </c>
      <c r="X331">
        <f>HYPERLINK("https://klasma.github.io/Logging_2303/tillsyn/A 23930-2024 tillsynsbegäran.docx", "A 23930-2024")</f>
        <v/>
      </c>
      <c r="Y331">
        <f>HYPERLINK("https://klasma.github.io/Logging_2303/tillsynsmail/A 23930-2024 tillsynsbegäran mail.docx", "A 23930-2024")</f>
        <v/>
      </c>
    </row>
    <row r="332" ht="15" customHeight="1">
      <c r="A332" t="inlineStr">
        <is>
          <t>A 24443-2024</t>
        </is>
      </c>
      <c r="B332" s="1" t="n">
        <v>45458</v>
      </c>
      <c r="C332" s="1" t="n">
        <v>45835</v>
      </c>
      <c r="D332" t="inlineStr">
        <is>
          <t>JÄMTLANDS LÄN</t>
        </is>
      </c>
      <c r="E332" t="inlineStr">
        <is>
          <t>RAGUNDA</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HYPERLINK("https://klasma.github.io/Logging_2303/artfynd/A 24443-2024 artfynd.xlsx", "A 24443-2024")</f>
        <v/>
      </c>
      <c r="T332">
        <f>HYPERLINK("https://klasma.github.io/Logging_2303/kartor/A 24443-2024 karta.png", "A 24443-2024")</f>
        <v/>
      </c>
      <c r="U332">
        <f>HYPERLINK("https://klasma.github.io/Logging_2303/knärot/A 24443-2024 karta knärot.png", "A 24443-2024")</f>
        <v/>
      </c>
      <c r="V332">
        <f>HYPERLINK("https://klasma.github.io/Logging_2303/klagomål/A 24443-2024 FSC-klagomål.docx", "A 24443-2024")</f>
        <v/>
      </c>
      <c r="W332">
        <f>HYPERLINK("https://klasma.github.io/Logging_2303/klagomålsmail/A 24443-2024 FSC-klagomål mail.docx", "A 24443-2024")</f>
        <v/>
      </c>
      <c r="X332">
        <f>HYPERLINK("https://klasma.github.io/Logging_2303/tillsyn/A 24443-2024 tillsynsbegäran.docx", "A 24443-2024")</f>
        <v/>
      </c>
      <c r="Y332">
        <f>HYPERLINK("https://klasma.github.io/Logging_2303/tillsynsmail/A 24443-2024 tillsynsbegäran mail.docx", "A 24443-2024")</f>
        <v/>
      </c>
    </row>
    <row r="333" ht="15" customHeight="1">
      <c r="A333" t="inlineStr">
        <is>
          <t>A 26317-2024</t>
        </is>
      </c>
      <c r="B333" s="1" t="n">
        <v>45468</v>
      </c>
      <c r="C333" s="1" t="n">
        <v>45835</v>
      </c>
      <c r="D333" t="inlineStr">
        <is>
          <t>JÄMTLANDS LÄN</t>
        </is>
      </c>
      <c r="E333" t="inlineStr">
        <is>
          <t>RAGUNDA</t>
        </is>
      </c>
      <c r="F333" t="inlineStr">
        <is>
          <t>SCA</t>
        </is>
      </c>
      <c r="G333" t="n">
        <v>3.8</v>
      </c>
      <c r="H333" t="n">
        <v>0</v>
      </c>
      <c r="I333" t="n">
        <v>0</v>
      </c>
      <c r="J333" t="n">
        <v>1</v>
      </c>
      <c r="K333" t="n">
        <v>0</v>
      </c>
      <c r="L333" t="n">
        <v>0</v>
      </c>
      <c r="M333" t="n">
        <v>0</v>
      </c>
      <c r="N333" t="n">
        <v>0</v>
      </c>
      <c r="O333" t="n">
        <v>1</v>
      </c>
      <c r="P333" t="n">
        <v>0</v>
      </c>
      <c r="Q333" t="n">
        <v>1</v>
      </c>
      <c r="R333" s="2" t="inlineStr">
        <is>
          <t>Kortskaftad ärgspik</t>
        </is>
      </c>
      <c r="S333">
        <f>HYPERLINK("https://klasma.github.io/Logging_2303/artfynd/A 26317-2024 artfynd.xlsx", "A 26317-2024")</f>
        <v/>
      </c>
      <c r="T333">
        <f>HYPERLINK("https://klasma.github.io/Logging_2303/kartor/A 26317-2024 karta.png", "A 26317-2024")</f>
        <v/>
      </c>
      <c r="V333">
        <f>HYPERLINK("https://klasma.github.io/Logging_2303/klagomål/A 26317-2024 FSC-klagomål.docx", "A 26317-2024")</f>
        <v/>
      </c>
      <c r="W333">
        <f>HYPERLINK("https://klasma.github.io/Logging_2303/klagomålsmail/A 26317-2024 FSC-klagomål mail.docx", "A 26317-2024")</f>
        <v/>
      </c>
      <c r="X333">
        <f>HYPERLINK("https://klasma.github.io/Logging_2303/tillsyn/A 26317-2024 tillsynsbegäran.docx", "A 26317-2024")</f>
        <v/>
      </c>
      <c r="Y333">
        <f>HYPERLINK("https://klasma.github.io/Logging_2303/tillsynsmail/A 26317-2024 tillsynsbegäran mail.docx", "A 26317-2024")</f>
        <v/>
      </c>
    </row>
    <row r="334" ht="15" customHeight="1">
      <c r="A334" t="inlineStr">
        <is>
          <t>A 26322-2024</t>
        </is>
      </c>
      <c r="B334" s="1" t="n">
        <v>45469</v>
      </c>
      <c r="C334" s="1" t="n">
        <v>45835</v>
      </c>
      <c r="D334" t="inlineStr">
        <is>
          <t>JÄMTLANDS LÄN</t>
        </is>
      </c>
      <c r="E334" t="inlineStr">
        <is>
          <t>RAGUNDA</t>
        </is>
      </c>
      <c r="F334" t="inlineStr">
        <is>
          <t>SCA</t>
        </is>
      </c>
      <c r="G334" t="n">
        <v>9.6</v>
      </c>
      <c r="H334" t="n">
        <v>0</v>
      </c>
      <c r="I334" t="n">
        <v>0</v>
      </c>
      <c r="J334" t="n">
        <v>1</v>
      </c>
      <c r="K334" t="n">
        <v>0</v>
      </c>
      <c r="L334" t="n">
        <v>0</v>
      </c>
      <c r="M334" t="n">
        <v>0</v>
      </c>
      <c r="N334" t="n">
        <v>0</v>
      </c>
      <c r="O334" t="n">
        <v>1</v>
      </c>
      <c r="P334" t="n">
        <v>0</v>
      </c>
      <c r="Q334" t="n">
        <v>1</v>
      </c>
      <c r="R334" s="2" t="inlineStr">
        <is>
          <t>Rosenticka</t>
        </is>
      </c>
      <c r="S334">
        <f>HYPERLINK("https://klasma.github.io/Logging_2303/artfynd/A 26322-2024 artfynd.xlsx", "A 26322-2024")</f>
        <v/>
      </c>
      <c r="T334">
        <f>HYPERLINK("https://klasma.github.io/Logging_2303/kartor/A 26322-2024 karta.png", "A 26322-2024")</f>
        <v/>
      </c>
      <c r="U334">
        <f>HYPERLINK("https://klasma.github.io/Logging_2303/knärot/A 26322-2024 karta knärot.png", "A 26322-2024")</f>
        <v/>
      </c>
      <c r="V334">
        <f>HYPERLINK("https://klasma.github.io/Logging_2303/klagomål/A 26322-2024 FSC-klagomål.docx", "A 26322-2024")</f>
        <v/>
      </c>
      <c r="W334">
        <f>HYPERLINK("https://klasma.github.io/Logging_2303/klagomålsmail/A 26322-2024 FSC-klagomål mail.docx", "A 26322-2024")</f>
        <v/>
      </c>
      <c r="X334">
        <f>HYPERLINK("https://klasma.github.io/Logging_2303/tillsyn/A 26322-2024 tillsynsbegäran.docx", "A 26322-2024")</f>
        <v/>
      </c>
      <c r="Y334">
        <f>HYPERLINK("https://klasma.github.io/Logging_2303/tillsynsmail/A 26322-2024 tillsynsbegäran mail.docx", "A 26322-2024")</f>
        <v/>
      </c>
    </row>
    <row r="335" ht="15" customHeight="1">
      <c r="A335" t="inlineStr">
        <is>
          <t>A 28071-2024</t>
        </is>
      </c>
      <c r="B335" s="1" t="n">
        <v>45476</v>
      </c>
      <c r="C335" s="1" t="n">
        <v>45835</v>
      </c>
      <c r="D335" t="inlineStr">
        <is>
          <t>JÄMTLANDS LÄN</t>
        </is>
      </c>
      <c r="E335" t="inlineStr">
        <is>
          <t>RAGUNDA</t>
        </is>
      </c>
      <c r="G335" t="n">
        <v>14.6</v>
      </c>
      <c r="H335" t="n">
        <v>1</v>
      </c>
      <c r="I335" t="n">
        <v>1</v>
      </c>
      <c r="J335" t="n">
        <v>0</v>
      </c>
      <c r="K335" t="n">
        <v>0</v>
      </c>
      <c r="L335" t="n">
        <v>0</v>
      </c>
      <c r="M335" t="n">
        <v>0</v>
      </c>
      <c r="N335" t="n">
        <v>0</v>
      </c>
      <c r="O335" t="n">
        <v>0</v>
      </c>
      <c r="P335" t="n">
        <v>0</v>
      </c>
      <c r="Q335" t="n">
        <v>1</v>
      </c>
      <c r="R335" s="2" t="inlineStr">
        <is>
          <t>Guckusko</t>
        </is>
      </c>
      <c r="S335">
        <f>HYPERLINK("https://klasma.github.io/Logging_2303/artfynd/A 28071-2024 artfynd.xlsx", "A 28071-2024")</f>
        <v/>
      </c>
      <c r="T335">
        <f>HYPERLINK("https://klasma.github.io/Logging_2303/kartor/A 28071-2024 karta.png", "A 28071-2024")</f>
        <v/>
      </c>
      <c r="V335">
        <f>HYPERLINK("https://klasma.github.io/Logging_2303/klagomål/A 28071-2024 FSC-klagomål.docx", "A 28071-2024")</f>
        <v/>
      </c>
      <c r="W335">
        <f>HYPERLINK("https://klasma.github.io/Logging_2303/klagomålsmail/A 28071-2024 FSC-klagomål mail.docx", "A 28071-2024")</f>
        <v/>
      </c>
      <c r="X335">
        <f>HYPERLINK("https://klasma.github.io/Logging_2303/tillsyn/A 28071-2024 tillsynsbegäran.docx", "A 28071-2024")</f>
        <v/>
      </c>
      <c r="Y335">
        <f>HYPERLINK("https://klasma.github.io/Logging_2303/tillsynsmail/A 28071-2024 tillsynsbegäran mail.docx", "A 28071-2024")</f>
        <v/>
      </c>
    </row>
    <row r="336" ht="15" customHeight="1">
      <c r="A336" t="inlineStr">
        <is>
          <t>A 29245-2024</t>
        </is>
      </c>
      <c r="B336" s="1" t="n">
        <v>45483</v>
      </c>
      <c r="C336" s="1" t="n">
        <v>45835</v>
      </c>
      <c r="D336" t="inlineStr">
        <is>
          <t>JÄMTLANDS LÄN</t>
        </is>
      </c>
      <c r="E336" t="inlineStr">
        <is>
          <t>RAGUNDA</t>
        </is>
      </c>
      <c r="F336" t="inlineStr">
        <is>
          <t>SCA</t>
        </is>
      </c>
      <c r="G336" t="n">
        <v>2.9</v>
      </c>
      <c r="H336" t="n">
        <v>1</v>
      </c>
      <c r="I336" t="n">
        <v>0</v>
      </c>
      <c r="J336" t="n">
        <v>0</v>
      </c>
      <c r="K336" t="n">
        <v>1</v>
      </c>
      <c r="L336" t="n">
        <v>0</v>
      </c>
      <c r="M336" t="n">
        <v>0</v>
      </c>
      <c r="N336" t="n">
        <v>0</v>
      </c>
      <c r="O336" t="n">
        <v>1</v>
      </c>
      <c r="P336" t="n">
        <v>1</v>
      </c>
      <c r="Q336" t="n">
        <v>1</v>
      </c>
      <c r="R336" s="2" t="inlineStr">
        <is>
          <t>Doftticka</t>
        </is>
      </c>
      <c r="S336">
        <f>HYPERLINK("https://klasma.github.io/Logging_2303/artfynd/A 29245-2024 artfynd.xlsx", "A 29245-2024")</f>
        <v/>
      </c>
      <c r="T336">
        <f>HYPERLINK("https://klasma.github.io/Logging_2303/kartor/A 29245-2024 karta.png", "A 29245-2024")</f>
        <v/>
      </c>
      <c r="V336">
        <f>HYPERLINK("https://klasma.github.io/Logging_2303/klagomål/A 29245-2024 FSC-klagomål.docx", "A 29245-2024")</f>
        <v/>
      </c>
      <c r="W336">
        <f>HYPERLINK("https://klasma.github.io/Logging_2303/klagomålsmail/A 29245-2024 FSC-klagomål mail.docx", "A 29245-2024")</f>
        <v/>
      </c>
      <c r="X336">
        <f>HYPERLINK("https://klasma.github.io/Logging_2303/tillsyn/A 29245-2024 tillsynsbegäran.docx", "A 29245-2024")</f>
        <v/>
      </c>
      <c r="Y336">
        <f>HYPERLINK("https://klasma.github.io/Logging_2303/tillsynsmail/A 29245-2024 tillsynsbegäran mail.docx", "A 29245-2024")</f>
        <v/>
      </c>
    </row>
    <row r="337" ht="15" customHeight="1">
      <c r="A337" t="inlineStr">
        <is>
          <t>A 29256-2024</t>
        </is>
      </c>
      <c r="B337" s="1" t="n">
        <v>45483</v>
      </c>
      <c r="C337" s="1" t="n">
        <v>45835</v>
      </c>
      <c r="D337" t="inlineStr">
        <is>
          <t>JÄMTLANDS LÄN</t>
        </is>
      </c>
      <c r="E337" t="inlineStr">
        <is>
          <t>RAGUNDA</t>
        </is>
      </c>
      <c r="F337" t="inlineStr">
        <is>
          <t>SCA</t>
        </is>
      </c>
      <c r="G337" t="n">
        <v>3</v>
      </c>
      <c r="H337" t="n">
        <v>0</v>
      </c>
      <c r="I337" t="n">
        <v>0</v>
      </c>
      <c r="J337" t="n">
        <v>1</v>
      </c>
      <c r="K337" t="n">
        <v>0</v>
      </c>
      <c r="L337" t="n">
        <v>0</v>
      </c>
      <c r="M337" t="n">
        <v>0</v>
      </c>
      <c r="N337" t="n">
        <v>0</v>
      </c>
      <c r="O337" t="n">
        <v>1</v>
      </c>
      <c r="P337" t="n">
        <v>0</v>
      </c>
      <c r="Q337" t="n">
        <v>1</v>
      </c>
      <c r="R337" s="2" t="inlineStr">
        <is>
          <t>Garnlav</t>
        </is>
      </c>
      <c r="S337">
        <f>HYPERLINK("https://klasma.github.io/Logging_2303/artfynd/A 29256-2024 artfynd.xlsx", "A 29256-2024")</f>
        <v/>
      </c>
      <c r="T337">
        <f>HYPERLINK("https://klasma.github.io/Logging_2303/kartor/A 29256-2024 karta.png", "A 29256-2024")</f>
        <v/>
      </c>
      <c r="V337">
        <f>HYPERLINK("https://klasma.github.io/Logging_2303/klagomål/A 29256-2024 FSC-klagomål.docx", "A 29256-2024")</f>
        <v/>
      </c>
      <c r="W337">
        <f>HYPERLINK("https://klasma.github.io/Logging_2303/klagomålsmail/A 29256-2024 FSC-klagomål mail.docx", "A 29256-2024")</f>
        <v/>
      </c>
      <c r="X337">
        <f>HYPERLINK("https://klasma.github.io/Logging_2303/tillsyn/A 29256-2024 tillsynsbegäran.docx", "A 29256-2024")</f>
        <v/>
      </c>
      <c r="Y337">
        <f>HYPERLINK("https://klasma.github.io/Logging_2303/tillsynsmail/A 29256-2024 tillsynsbegäran mail.docx", "A 29256-2024")</f>
        <v/>
      </c>
    </row>
    <row r="338" ht="15" customHeight="1">
      <c r="A338" t="inlineStr">
        <is>
          <t>A 29921-2024</t>
        </is>
      </c>
      <c r="B338" s="1" t="n">
        <v>45488</v>
      </c>
      <c r="C338" s="1" t="n">
        <v>45835</v>
      </c>
      <c r="D338" t="inlineStr">
        <is>
          <t>JÄMTLANDS LÄN</t>
        </is>
      </c>
      <c r="E338" t="inlineStr">
        <is>
          <t>RAGUNDA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HYPERLINK("https://klasma.github.io/Logging_2303/artfynd/A 29921-2024 artfynd.xlsx", "A 29921-2024")</f>
        <v/>
      </c>
      <c r="T338">
        <f>HYPERLINK("https://klasma.github.io/Logging_2303/kartor/A 29921-2024 karta.png", "A 29921-2024")</f>
        <v/>
      </c>
      <c r="U338">
        <f>HYPERLINK("https://klasma.github.io/Logging_2303/knärot/A 29921-2024 karta knärot.png", "A 29921-2024")</f>
        <v/>
      </c>
      <c r="V338">
        <f>HYPERLINK("https://klasma.github.io/Logging_2303/klagomål/A 29921-2024 FSC-klagomål.docx", "A 29921-2024")</f>
        <v/>
      </c>
      <c r="W338">
        <f>HYPERLINK("https://klasma.github.io/Logging_2303/klagomålsmail/A 29921-2024 FSC-klagomål mail.docx", "A 29921-2024")</f>
        <v/>
      </c>
      <c r="X338">
        <f>HYPERLINK("https://klasma.github.io/Logging_2303/tillsyn/A 29921-2024 tillsynsbegäran.docx", "A 29921-2024")</f>
        <v/>
      </c>
      <c r="Y338">
        <f>HYPERLINK("https://klasma.github.io/Logging_2303/tillsynsmail/A 29921-2024 tillsynsbegäran mail.docx", "A 29921-2024")</f>
        <v/>
      </c>
    </row>
    <row r="339" ht="15" customHeight="1">
      <c r="A339" t="inlineStr">
        <is>
          <t>A 30485-2024</t>
        </is>
      </c>
      <c r="B339" s="1" t="n">
        <v>45492</v>
      </c>
      <c r="C339" s="1" t="n">
        <v>45835</v>
      </c>
      <c r="D339" t="inlineStr">
        <is>
          <t>JÄMTLANDS LÄN</t>
        </is>
      </c>
      <c r="E339" t="inlineStr">
        <is>
          <t>RAGUNDA</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HYPERLINK("https://klasma.github.io/Logging_2303/artfynd/A 30485-2024 artfynd.xlsx", "A 30485-2024")</f>
        <v/>
      </c>
      <c r="T339">
        <f>HYPERLINK("https://klasma.github.io/Logging_2303/kartor/A 30485-2024 karta.png", "A 30485-2024")</f>
        <v/>
      </c>
      <c r="V339">
        <f>HYPERLINK("https://klasma.github.io/Logging_2303/klagomål/A 30485-2024 FSC-klagomål.docx", "A 30485-2024")</f>
        <v/>
      </c>
      <c r="W339">
        <f>HYPERLINK("https://klasma.github.io/Logging_2303/klagomålsmail/A 30485-2024 FSC-klagomål mail.docx", "A 30485-2024")</f>
        <v/>
      </c>
      <c r="X339">
        <f>HYPERLINK("https://klasma.github.io/Logging_2303/tillsyn/A 30485-2024 tillsynsbegäran.docx", "A 30485-2024")</f>
        <v/>
      </c>
      <c r="Y339">
        <f>HYPERLINK("https://klasma.github.io/Logging_2303/tillsynsmail/A 30485-2024 tillsynsbegäran mail.docx", "A 30485-2024")</f>
        <v/>
      </c>
    </row>
    <row r="340" ht="15" customHeight="1">
      <c r="A340" t="inlineStr">
        <is>
          <t>A 32069-2024</t>
        </is>
      </c>
      <c r="B340" s="1" t="n">
        <v>45510</v>
      </c>
      <c r="C340" s="1" t="n">
        <v>45835</v>
      </c>
      <c r="D340" t="inlineStr">
        <is>
          <t>JÄMTLANDS LÄN</t>
        </is>
      </c>
      <c r="E340" t="inlineStr">
        <is>
          <t>RAGUNDA</t>
        </is>
      </c>
      <c r="F340" t="inlineStr">
        <is>
          <t>SCA</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HYPERLINK("https://klasma.github.io/Logging_2303/artfynd/A 32069-2024 artfynd.xlsx", "A 32069-2024")</f>
        <v/>
      </c>
      <c r="T340">
        <f>HYPERLINK("https://klasma.github.io/Logging_2303/kartor/A 32069-2024 karta.png", "A 32069-2024")</f>
        <v/>
      </c>
      <c r="V340">
        <f>HYPERLINK("https://klasma.github.io/Logging_2303/klagomål/A 32069-2024 FSC-klagomål.docx", "A 32069-2024")</f>
        <v/>
      </c>
      <c r="W340">
        <f>HYPERLINK("https://klasma.github.io/Logging_2303/klagomålsmail/A 32069-2024 FSC-klagomål mail.docx", "A 32069-2024")</f>
        <v/>
      </c>
      <c r="X340">
        <f>HYPERLINK("https://klasma.github.io/Logging_2303/tillsyn/A 32069-2024 tillsynsbegäran.docx", "A 32069-2024")</f>
        <v/>
      </c>
      <c r="Y340">
        <f>HYPERLINK("https://klasma.github.io/Logging_2303/tillsynsmail/A 32069-2024 tillsynsbegäran mail.docx", "A 32069-2024")</f>
        <v/>
      </c>
    </row>
    <row r="341" ht="15" customHeight="1">
      <c r="A341" t="inlineStr">
        <is>
          <t>A 49770-2024</t>
        </is>
      </c>
      <c r="B341" s="1" t="n">
        <v>45597</v>
      </c>
      <c r="C341" s="1" t="n">
        <v>45835</v>
      </c>
      <c r="D341" t="inlineStr">
        <is>
          <t>JÄMTLANDS LÄN</t>
        </is>
      </c>
      <c r="E341" t="inlineStr">
        <is>
          <t>RAGUNDA</t>
        </is>
      </c>
      <c r="F341" t="inlineStr">
        <is>
          <t>Naturvårdsverket</t>
        </is>
      </c>
      <c r="G341" t="n">
        <v>8.9</v>
      </c>
      <c r="H341" t="n">
        <v>1</v>
      </c>
      <c r="I341" t="n">
        <v>0</v>
      </c>
      <c r="J341" t="n">
        <v>0</v>
      </c>
      <c r="K341" t="n">
        <v>1</v>
      </c>
      <c r="L341" t="n">
        <v>0</v>
      </c>
      <c r="M341" t="n">
        <v>0</v>
      </c>
      <c r="N341" t="n">
        <v>0</v>
      </c>
      <c r="O341" t="n">
        <v>1</v>
      </c>
      <c r="P341" t="n">
        <v>1</v>
      </c>
      <c r="Q341" t="n">
        <v>1</v>
      </c>
      <c r="R341" s="2" t="inlineStr">
        <is>
          <t>Doftticka</t>
        </is>
      </c>
      <c r="S341">
        <f>HYPERLINK("https://klasma.github.io/Logging_2303/artfynd/A 49770-2024 artfynd.xlsx", "A 49770-2024")</f>
        <v/>
      </c>
      <c r="T341">
        <f>HYPERLINK("https://klasma.github.io/Logging_2303/kartor/A 49770-2024 karta.png", "A 49770-2024")</f>
        <v/>
      </c>
      <c r="V341">
        <f>HYPERLINK("https://klasma.github.io/Logging_2303/klagomål/A 49770-2024 FSC-klagomål.docx", "A 49770-2024")</f>
        <v/>
      </c>
      <c r="W341">
        <f>HYPERLINK("https://klasma.github.io/Logging_2303/klagomålsmail/A 49770-2024 FSC-klagomål mail.docx", "A 49770-2024")</f>
        <v/>
      </c>
      <c r="X341">
        <f>HYPERLINK("https://klasma.github.io/Logging_2303/tillsyn/A 49770-2024 tillsynsbegäran.docx", "A 49770-2024")</f>
        <v/>
      </c>
      <c r="Y341">
        <f>HYPERLINK("https://klasma.github.io/Logging_2303/tillsynsmail/A 49770-2024 tillsynsbegäran mail.docx", "A 49770-2024")</f>
        <v/>
      </c>
    </row>
    <row r="342" ht="15" customHeight="1">
      <c r="A342" t="inlineStr">
        <is>
          <t>A 50233-2024</t>
        </is>
      </c>
      <c r="B342" s="1" t="n">
        <v>45600</v>
      </c>
      <c r="C342" s="1" t="n">
        <v>45835</v>
      </c>
      <c r="D342" t="inlineStr">
        <is>
          <t>JÄMTLANDS LÄN</t>
        </is>
      </c>
      <c r="E342" t="inlineStr">
        <is>
          <t>RAGUNDA</t>
        </is>
      </c>
      <c r="F342" t="inlineStr">
        <is>
          <t>SCA</t>
        </is>
      </c>
      <c r="G342" t="n">
        <v>5.6</v>
      </c>
      <c r="H342" t="n">
        <v>0</v>
      </c>
      <c r="I342" t="n">
        <v>0</v>
      </c>
      <c r="J342" t="n">
        <v>1</v>
      </c>
      <c r="K342" t="n">
        <v>0</v>
      </c>
      <c r="L342" t="n">
        <v>0</v>
      </c>
      <c r="M342" t="n">
        <v>0</v>
      </c>
      <c r="N342" t="n">
        <v>0</v>
      </c>
      <c r="O342" t="n">
        <v>1</v>
      </c>
      <c r="P342" t="n">
        <v>0</v>
      </c>
      <c r="Q342" t="n">
        <v>1</v>
      </c>
      <c r="R342" s="2" t="inlineStr">
        <is>
          <t>Granticka</t>
        </is>
      </c>
      <c r="S342">
        <f>HYPERLINK("https://klasma.github.io/Logging_2303/artfynd/A 50233-2024 artfynd.xlsx", "A 50233-2024")</f>
        <v/>
      </c>
      <c r="T342">
        <f>HYPERLINK("https://klasma.github.io/Logging_2303/kartor/A 50233-2024 karta.png", "A 50233-2024")</f>
        <v/>
      </c>
      <c r="V342">
        <f>HYPERLINK("https://klasma.github.io/Logging_2303/klagomål/A 50233-2024 FSC-klagomål.docx", "A 50233-2024")</f>
        <v/>
      </c>
      <c r="W342">
        <f>HYPERLINK("https://klasma.github.io/Logging_2303/klagomålsmail/A 50233-2024 FSC-klagomål mail.docx", "A 50233-2024")</f>
        <v/>
      </c>
      <c r="X342">
        <f>HYPERLINK("https://klasma.github.io/Logging_2303/tillsyn/A 50233-2024 tillsynsbegäran.docx", "A 50233-2024")</f>
        <v/>
      </c>
      <c r="Y342">
        <f>HYPERLINK("https://klasma.github.io/Logging_2303/tillsynsmail/A 50233-2024 tillsynsbegäran mail.docx", "A 50233-2024")</f>
        <v/>
      </c>
    </row>
    <row r="343" ht="15" customHeight="1">
      <c r="A343" t="inlineStr">
        <is>
          <t>A 52484-2024</t>
        </is>
      </c>
      <c r="B343" s="1" t="n">
        <v>45609</v>
      </c>
      <c r="C343" s="1" t="n">
        <v>45835</v>
      </c>
      <c r="D343" t="inlineStr">
        <is>
          <t>JÄMTLANDS LÄN</t>
        </is>
      </c>
      <c r="E343" t="inlineStr">
        <is>
          <t>RAGUNDA</t>
        </is>
      </c>
      <c r="F343" t="inlineStr">
        <is>
          <t>SCA</t>
        </is>
      </c>
      <c r="G343" t="n">
        <v>30.5</v>
      </c>
      <c r="H343" t="n">
        <v>1</v>
      </c>
      <c r="I343" t="n">
        <v>0</v>
      </c>
      <c r="J343" t="n">
        <v>0</v>
      </c>
      <c r="K343" t="n">
        <v>0</v>
      </c>
      <c r="L343" t="n">
        <v>0</v>
      </c>
      <c r="M343" t="n">
        <v>0</v>
      </c>
      <c r="N343" t="n">
        <v>0</v>
      </c>
      <c r="O343" t="n">
        <v>0</v>
      </c>
      <c r="P343" t="n">
        <v>0</v>
      </c>
      <c r="Q343" t="n">
        <v>1</v>
      </c>
      <c r="R343" s="2" t="inlineStr">
        <is>
          <t>Blåsippa</t>
        </is>
      </c>
      <c r="S343">
        <f>HYPERLINK("https://klasma.github.io/Logging_2303/artfynd/A 52484-2024 artfynd.xlsx", "A 52484-2024")</f>
        <v/>
      </c>
      <c r="T343">
        <f>HYPERLINK("https://klasma.github.io/Logging_2303/kartor/A 52484-2024 karta.png", "A 52484-2024")</f>
        <v/>
      </c>
      <c r="V343">
        <f>HYPERLINK("https://klasma.github.io/Logging_2303/klagomål/A 52484-2024 FSC-klagomål.docx", "A 52484-2024")</f>
        <v/>
      </c>
      <c r="W343">
        <f>HYPERLINK("https://klasma.github.io/Logging_2303/klagomålsmail/A 52484-2024 FSC-klagomål mail.docx", "A 52484-2024")</f>
        <v/>
      </c>
      <c r="X343">
        <f>HYPERLINK("https://klasma.github.io/Logging_2303/tillsyn/A 52484-2024 tillsynsbegäran.docx", "A 52484-2024")</f>
        <v/>
      </c>
      <c r="Y343">
        <f>HYPERLINK("https://klasma.github.io/Logging_2303/tillsynsmail/A 52484-2024 tillsynsbegäran mail.docx", "A 52484-2024")</f>
        <v/>
      </c>
    </row>
    <row r="344" ht="15" customHeight="1">
      <c r="A344" t="inlineStr">
        <is>
          <t>A 56090-2024</t>
        </is>
      </c>
      <c r="B344" s="1" t="n">
        <v>45624</v>
      </c>
      <c r="C344" s="1" t="n">
        <v>45835</v>
      </c>
      <c r="D344" t="inlineStr">
        <is>
          <t>JÄMTLANDS LÄN</t>
        </is>
      </c>
      <c r="E344" t="inlineStr">
        <is>
          <t>RAGUNDA</t>
        </is>
      </c>
      <c r="F344" t="inlineStr">
        <is>
          <t>SCA</t>
        </is>
      </c>
      <c r="G344" t="n">
        <v>15.2</v>
      </c>
      <c r="H344" t="n">
        <v>0</v>
      </c>
      <c r="I344" t="n">
        <v>0</v>
      </c>
      <c r="J344" t="n">
        <v>1</v>
      </c>
      <c r="K344" t="n">
        <v>0</v>
      </c>
      <c r="L344" t="n">
        <v>0</v>
      </c>
      <c r="M344" t="n">
        <v>0</v>
      </c>
      <c r="N344" t="n">
        <v>0</v>
      </c>
      <c r="O344" t="n">
        <v>1</v>
      </c>
      <c r="P344" t="n">
        <v>0</v>
      </c>
      <c r="Q344" t="n">
        <v>1</v>
      </c>
      <c r="R344" s="2" t="inlineStr">
        <is>
          <t>Blanksvart spiklav</t>
        </is>
      </c>
      <c r="S344">
        <f>HYPERLINK("https://klasma.github.io/Logging_2303/artfynd/A 56090-2024 artfynd.xlsx", "A 56090-2024")</f>
        <v/>
      </c>
      <c r="T344">
        <f>HYPERLINK("https://klasma.github.io/Logging_2303/kartor/A 56090-2024 karta.png", "A 56090-2024")</f>
        <v/>
      </c>
      <c r="V344">
        <f>HYPERLINK("https://klasma.github.io/Logging_2303/klagomål/A 56090-2024 FSC-klagomål.docx", "A 56090-2024")</f>
        <v/>
      </c>
      <c r="W344">
        <f>HYPERLINK("https://klasma.github.io/Logging_2303/klagomålsmail/A 56090-2024 FSC-klagomål mail.docx", "A 56090-2024")</f>
        <v/>
      </c>
      <c r="X344">
        <f>HYPERLINK("https://klasma.github.io/Logging_2303/tillsyn/A 56090-2024 tillsynsbegäran.docx", "A 56090-2024")</f>
        <v/>
      </c>
      <c r="Y344">
        <f>HYPERLINK("https://klasma.github.io/Logging_2303/tillsynsmail/A 56090-2024 tillsynsbegäran mail.docx", "A 56090-2024")</f>
        <v/>
      </c>
    </row>
    <row r="345" ht="15" customHeight="1">
      <c r="A345" t="inlineStr">
        <is>
          <t>A 58846-2024</t>
        </is>
      </c>
      <c r="B345" s="1" t="n">
        <v>45636</v>
      </c>
      <c r="C345" s="1" t="n">
        <v>45835</v>
      </c>
      <c r="D345" t="inlineStr">
        <is>
          <t>JÄMTLANDS LÄN</t>
        </is>
      </c>
      <c r="E345" t="inlineStr">
        <is>
          <t>RAGUNDA</t>
        </is>
      </c>
      <c r="F345" t="inlineStr">
        <is>
          <t>SCA</t>
        </is>
      </c>
      <c r="G345" t="n">
        <v>1.5</v>
      </c>
      <c r="H345" t="n">
        <v>0</v>
      </c>
      <c r="I345" t="n">
        <v>0</v>
      </c>
      <c r="J345" t="n">
        <v>0</v>
      </c>
      <c r="K345" t="n">
        <v>1</v>
      </c>
      <c r="L345" t="n">
        <v>0</v>
      </c>
      <c r="M345" t="n">
        <v>0</v>
      </c>
      <c r="N345" t="n">
        <v>0</v>
      </c>
      <c r="O345" t="n">
        <v>1</v>
      </c>
      <c r="P345" t="n">
        <v>1</v>
      </c>
      <c r="Q345" t="n">
        <v>1</v>
      </c>
      <c r="R345" s="2" t="inlineStr">
        <is>
          <t>Rynkskinn</t>
        </is>
      </c>
      <c r="S345">
        <f>HYPERLINK("https://klasma.github.io/Logging_2303/artfynd/A 58846-2024 artfynd.xlsx", "A 58846-2024")</f>
        <v/>
      </c>
      <c r="T345">
        <f>HYPERLINK("https://klasma.github.io/Logging_2303/kartor/A 58846-2024 karta.png", "A 58846-2024")</f>
        <v/>
      </c>
      <c r="V345">
        <f>HYPERLINK("https://klasma.github.io/Logging_2303/klagomål/A 58846-2024 FSC-klagomål.docx", "A 58846-2024")</f>
        <v/>
      </c>
      <c r="W345">
        <f>HYPERLINK("https://klasma.github.io/Logging_2303/klagomålsmail/A 58846-2024 FSC-klagomål mail.docx", "A 58846-2024")</f>
        <v/>
      </c>
      <c r="X345">
        <f>HYPERLINK("https://klasma.github.io/Logging_2303/tillsyn/A 58846-2024 tillsynsbegäran.docx", "A 58846-2024")</f>
        <v/>
      </c>
      <c r="Y345">
        <f>HYPERLINK("https://klasma.github.io/Logging_2303/tillsynsmail/A 58846-2024 tillsynsbegäran mail.docx", "A 58846-2024")</f>
        <v/>
      </c>
    </row>
    <row r="346" ht="15" customHeight="1">
      <c r="A346" t="inlineStr">
        <is>
          <t>A 61324-2024</t>
        </is>
      </c>
      <c r="B346" s="1" t="n">
        <v>45646</v>
      </c>
      <c r="C346" s="1" t="n">
        <v>45835</v>
      </c>
      <c r="D346" t="inlineStr">
        <is>
          <t>JÄMTLANDS LÄN</t>
        </is>
      </c>
      <c r="E346" t="inlineStr">
        <is>
          <t>RAGUNDA</t>
        </is>
      </c>
      <c r="F346" t="inlineStr">
        <is>
          <t>SCA</t>
        </is>
      </c>
      <c r="G346" t="n">
        <v>11.2</v>
      </c>
      <c r="H346" t="n">
        <v>1</v>
      </c>
      <c r="I346" t="n">
        <v>0</v>
      </c>
      <c r="J346" t="n">
        <v>0</v>
      </c>
      <c r="K346" t="n">
        <v>0</v>
      </c>
      <c r="L346" t="n">
        <v>0</v>
      </c>
      <c r="M346" t="n">
        <v>0</v>
      </c>
      <c r="N346" t="n">
        <v>0</v>
      </c>
      <c r="O346" t="n">
        <v>0</v>
      </c>
      <c r="P346" t="n">
        <v>0</v>
      </c>
      <c r="Q346" t="n">
        <v>1</v>
      </c>
      <c r="R346" s="2" t="inlineStr">
        <is>
          <t>Trana</t>
        </is>
      </c>
      <c r="S346">
        <f>HYPERLINK("https://klasma.github.io/Logging_2303/artfynd/A 61324-2024 artfynd.xlsx", "A 61324-2024")</f>
        <v/>
      </c>
      <c r="T346">
        <f>HYPERLINK("https://klasma.github.io/Logging_2303/kartor/A 61324-2024 karta.png", "A 61324-2024")</f>
        <v/>
      </c>
      <c r="V346">
        <f>HYPERLINK("https://klasma.github.io/Logging_2303/klagomål/A 61324-2024 FSC-klagomål.docx", "A 61324-2024")</f>
        <v/>
      </c>
      <c r="W346">
        <f>HYPERLINK("https://klasma.github.io/Logging_2303/klagomålsmail/A 61324-2024 FSC-klagomål mail.docx", "A 61324-2024")</f>
        <v/>
      </c>
      <c r="X346">
        <f>HYPERLINK("https://klasma.github.io/Logging_2303/tillsyn/A 61324-2024 tillsynsbegäran.docx", "A 61324-2024")</f>
        <v/>
      </c>
      <c r="Y346">
        <f>HYPERLINK("https://klasma.github.io/Logging_2303/tillsynsmail/A 61324-2024 tillsynsbegäran mail.docx", "A 61324-2024")</f>
        <v/>
      </c>
      <c r="Z346">
        <f>HYPERLINK("https://klasma.github.io/Logging_2303/fåglar/A 61324-2024 prioriterade fågelarter.docx", "A 61324-2024")</f>
        <v/>
      </c>
    </row>
    <row r="347" ht="15" customHeight="1">
      <c r="A347" t="inlineStr">
        <is>
          <t>A 2757-2025</t>
        </is>
      </c>
      <c r="B347" s="1" t="n">
        <v>45677</v>
      </c>
      <c r="C347" s="1" t="n">
        <v>45835</v>
      </c>
      <c r="D347" t="inlineStr">
        <is>
          <t>JÄMTLANDS LÄN</t>
        </is>
      </c>
      <c r="E347" t="inlineStr">
        <is>
          <t>RAGUNDA</t>
        </is>
      </c>
      <c r="G347" t="n">
        <v>4</v>
      </c>
      <c r="H347" t="n">
        <v>0</v>
      </c>
      <c r="I347" t="n">
        <v>0</v>
      </c>
      <c r="J347" t="n">
        <v>1</v>
      </c>
      <c r="K347" t="n">
        <v>0</v>
      </c>
      <c r="L347" t="n">
        <v>0</v>
      </c>
      <c r="M347" t="n">
        <v>0</v>
      </c>
      <c r="N347" t="n">
        <v>0</v>
      </c>
      <c r="O347" t="n">
        <v>1</v>
      </c>
      <c r="P347" t="n">
        <v>0</v>
      </c>
      <c r="Q347" t="n">
        <v>1</v>
      </c>
      <c r="R347" s="2" t="inlineStr">
        <is>
          <t>Lunglav</t>
        </is>
      </c>
      <c r="S347">
        <f>HYPERLINK("https://klasma.github.io/Logging_2303/artfynd/A 2757-2025 artfynd.xlsx", "A 2757-2025")</f>
        <v/>
      </c>
      <c r="T347">
        <f>HYPERLINK("https://klasma.github.io/Logging_2303/kartor/A 2757-2025 karta.png", "A 2757-2025")</f>
        <v/>
      </c>
      <c r="V347">
        <f>HYPERLINK("https://klasma.github.io/Logging_2303/klagomål/A 2757-2025 FSC-klagomål.docx", "A 2757-2025")</f>
        <v/>
      </c>
      <c r="W347">
        <f>HYPERLINK("https://klasma.github.io/Logging_2303/klagomålsmail/A 2757-2025 FSC-klagomål mail.docx", "A 2757-2025")</f>
        <v/>
      </c>
      <c r="X347">
        <f>HYPERLINK("https://klasma.github.io/Logging_2303/tillsyn/A 2757-2025 tillsynsbegäran.docx", "A 2757-2025")</f>
        <v/>
      </c>
      <c r="Y347">
        <f>HYPERLINK("https://klasma.github.io/Logging_2303/tillsynsmail/A 2757-2025 tillsynsbegäran mail.docx", "A 2757-2025")</f>
        <v/>
      </c>
    </row>
    <row r="348" ht="15" customHeight="1">
      <c r="A348" t="inlineStr">
        <is>
          <t>A 10884-2025</t>
        </is>
      </c>
      <c r="B348" s="1" t="n">
        <v>45722</v>
      </c>
      <c r="C348" s="1" t="n">
        <v>45835</v>
      </c>
      <c r="D348" t="inlineStr">
        <is>
          <t>JÄMTLANDS LÄN</t>
        </is>
      </c>
      <c r="E348" t="inlineStr">
        <is>
          <t>RAGUNDA</t>
        </is>
      </c>
      <c r="F348" t="inlineStr">
        <is>
          <t>SCA</t>
        </is>
      </c>
      <c r="G348" t="n">
        <v>5.4</v>
      </c>
      <c r="H348" t="n">
        <v>0</v>
      </c>
      <c r="I348" t="n">
        <v>1</v>
      </c>
      <c r="J348" t="n">
        <v>0</v>
      </c>
      <c r="K348" t="n">
        <v>0</v>
      </c>
      <c r="L348" t="n">
        <v>0</v>
      </c>
      <c r="M348" t="n">
        <v>0</v>
      </c>
      <c r="N348" t="n">
        <v>0</v>
      </c>
      <c r="O348" t="n">
        <v>0</v>
      </c>
      <c r="P348" t="n">
        <v>0</v>
      </c>
      <c r="Q348" t="n">
        <v>1</v>
      </c>
      <c r="R348" s="2" t="inlineStr">
        <is>
          <t>Dropptaggsvamp</t>
        </is>
      </c>
      <c r="S348">
        <f>HYPERLINK("https://klasma.github.io/Logging_232303/artfynd/A 10884-2025 artfynd.xlsx", "A 10884-2025")</f>
        <v/>
      </c>
      <c r="T348">
        <f>HYPERLINK("https://klasma.github.io/Logging_232303/kartor/A 10884-2025 karta.png", "A 10884-2025")</f>
        <v/>
      </c>
      <c r="V348">
        <f>HYPERLINK("https://klasma.github.io/Logging_232303/klagomål/A 10884-2025 FSC-klagomål.docx", "A 10884-2025")</f>
        <v/>
      </c>
      <c r="W348">
        <f>HYPERLINK("https://klasma.github.io/Logging_232303/klagomålsmail/A 10884-2025 FSC-klagomål mail.docx", "A 10884-2025")</f>
        <v/>
      </c>
      <c r="X348">
        <f>HYPERLINK("https://klasma.github.io/Logging_232303/tillsyn/A 10884-2025 tillsynsbegäran.docx", "A 10884-2025")</f>
        <v/>
      </c>
      <c r="Y348">
        <f>HYPERLINK("https://klasma.github.io/Logging_232303/tillsynsmail/A 10884-2025 tillsynsbegäran mail.docx", "A 10884-2025")</f>
        <v/>
      </c>
    </row>
    <row r="349" ht="15" customHeight="1">
      <c r="A349" t="inlineStr">
        <is>
          <t>A 16318-2025</t>
        </is>
      </c>
      <c r="B349" s="1" t="n">
        <v>45751</v>
      </c>
      <c r="C349" s="1" t="n">
        <v>45835</v>
      </c>
      <c r="D349" t="inlineStr">
        <is>
          <t>JÄMTLANDS LÄN</t>
        </is>
      </c>
      <c r="E349" t="inlineStr">
        <is>
          <t>RAGUNDA</t>
        </is>
      </c>
      <c r="F349" t="inlineStr">
        <is>
          <t>SCA</t>
        </is>
      </c>
      <c r="G349" t="n">
        <v>6.8</v>
      </c>
      <c r="H349" t="n">
        <v>1</v>
      </c>
      <c r="I349" t="n">
        <v>0</v>
      </c>
      <c r="J349" t="n">
        <v>1</v>
      </c>
      <c r="K349" t="n">
        <v>0</v>
      </c>
      <c r="L349" t="n">
        <v>0</v>
      </c>
      <c r="M349" t="n">
        <v>0</v>
      </c>
      <c r="N349" t="n">
        <v>0</v>
      </c>
      <c r="O349" t="n">
        <v>1</v>
      </c>
      <c r="P349" t="n">
        <v>0</v>
      </c>
      <c r="Q349" t="n">
        <v>1</v>
      </c>
      <c r="R349" s="2" t="inlineStr">
        <is>
          <t>Järpe</t>
        </is>
      </c>
      <c r="S349">
        <f>HYPERLINK("https://klasma.github.io/Logging_232303/artfynd/A 16318-2025 artfynd.xlsx", "A 16318-2025")</f>
        <v/>
      </c>
      <c r="T349">
        <f>HYPERLINK("https://klasma.github.io/Logging_232303/kartor/A 16318-2025 karta.png", "A 16318-2025")</f>
        <v/>
      </c>
      <c r="U349">
        <f>HYPERLINK("https://klasma.github.io/Logging_232303/knärot/A 16318-2025 karta knärot.png", "A 16318-2025")</f>
        <v/>
      </c>
      <c r="V349">
        <f>HYPERLINK("https://klasma.github.io/Logging_232303/klagomål/A 16318-2025 FSC-klagomål.docx", "A 16318-2025")</f>
        <v/>
      </c>
      <c r="W349">
        <f>HYPERLINK("https://klasma.github.io/Logging_232303/klagomålsmail/A 16318-2025 FSC-klagomål mail.docx", "A 16318-2025")</f>
        <v/>
      </c>
      <c r="X349">
        <f>HYPERLINK("https://klasma.github.io/Logging_232303/tillsyn/A 16318-2025 tillsynsbegäran.docx", "A 16318-2025")</f>
        <v/>
      </c>
      <c r="Y349">
        <f>HYPERLINK("https://klasma.github.io/Logging_232303/tillsynsmail/A 16318-2025 tillsynsbegäran mail.docx", "A 16318-2025")</f>
        <v/>
      </c>
      <c r="Z349">
        <f>HYPERLINK("https://klasma.github.io/Logging_232303/fåglar/A 16318-2025 prioriterade fågelarter.docx", "A 16318-2025")</f>
        <v/>
      </c>
    </row>
    <row r="350" ht="15" customHeight="1">
      <c r="A350" t="inlineStr">
        <is>
          <t>A 16316-2025</t>
        </is>
      </c>
      <c r="B350" s="1" t="n">
        <v>45751</v>
      </c>
      <c r="C350" s="1" t="n">
        <v>45835</v>
      </c>
      <c r="D350" t="inlineStr">
        <is>
          <t>JÄMTLANDS LÄN</t>
        </is>
      </c>
      <c r="E350" t="inlineStr">
        <is>
          <t>RAGUNDA</t>
        </is>
      </c>
      <c r="F350" t="inlineStr">
        <is>
          <t>SCA</t>
        </is>
      </c>
      <c r="G350" t="n">
        <v>1.7</v>
      </c>
      <c r="H350" t="n">
        <v>1</v>
      </c>
      <c r="I350" t="n">
        <v>0</v>
      </c>
      <c r="J350" t="n">
        <v>0</v>
      </c>
      <c r="K350" t="n">
        <v>0</v>
      </c>
      <c r="L350" t="n">
        <v>0</v>
      </c>
      <c r="M350" t="n">
        <v>0</v>
      </c>
      <c r="N350" t="n">
        <v>0</v>
      </c>
      <c r="O350" t="n">
        <v>0</v>
      </c>
      <c r="P350" t="n">
        <v>0</v>
      </c>
      <c r="Q350" t="n">
        <v>1</v>
      </c>
      <c r="R350" s="2" t="inlineStr">
        <is>
          <t>Dactylorhiza incarnata subsp. incarnata</t>
        </is>
      </c>
      <c r="S350">
        <f>HYPERLINK("https://klasma.github.io/Logging_232303/artfynd/A 16316-2025 artfynd.xlsx", "A 16316-2025")</f>
        <v/>
      </c>
      <c r="T350">
        <f>HYPERLINK("https://klasma.github.io/Logging_232303/kartor/A 16316-2025 karta.png", "A 16316-2025")</f>
        <v/>
      </c>
      <c r="V350">
        <f>HYPERLINK("https://klasma.github.io/Logging_232303/klagomål/A 16316-2025 FSC-klagomål.docx", "A 16316-2025")</f>
        <v/>
      </c>
      <c r="W350">
        <f>HYPERLINK("https://klasma.github.io/Logging_232303/klagomålsmail/A 16316-2025 FSC-klagomål mail.docx", "A 16316-2025")</f>
        <v/>
      </c>
      <c r="X350">
        <f>HYPERLINK("https://klasma.github.io/Logging_232303/tillsyn/A 16316-2025 tillsynsbegäran.docx", "A 16316-2025")</f>
        <v/>
      </c>
      <c r="Y350">
        <f>HYPERLINK("https://klasma.github.io/Logging_232303/tillsynsmail/A 16316-2025 tillsynsbegäran mail.docx", "A 16316-2025")</f>
        <v/>
      </c>
    </row>
    <row r="351" ht="15" customHeight="1">
      <c r="A351" t="inlineStr">
        <is>
          <t>A 16724-2025</t>
        </is>
      </c>
      <c r="B351" s="1" t="n">
        <v>45754</v>
      </c>
      <c r="C351" s="1" t="n">
        <v>45835</v>
      </c>
      <c r="D351" t="inlineStr">
        <is>
          <t>JÄMTLANDS LÄN</t>
        </is>
      </c>
      <c r="E351" t="inlineStr">
        <is>
          <t>RAGUNDA</t>
        </is>
      </c>
      <c r="G351" t="n">
        <v>3.5</v>
      </c>
      <c r="H351" t="n">
        <v>0</v>
      </c>
      <c r="I351" t="n">
        <v>0</v>
      </c>
      <c r="J351" t="n">
        <v>1</v>
      </c>
      <c r="K351" t="n">
        <v>0</v>
      </c>
      <c r="L351" t="n">
        <v>0</v>
      </c>
      <c r="M351" t="n">
        <v>0</v>
      </c>
      <c r="N351" t="n">
        <v>0</v>
      </c>
      <c r="O351" t="n">
        <v>1</v>
      </c>
      <c r="P351" t="n">
        <v>0</v>
      </c>
      <c r="Q351" t="n">
        <v>1</v>
      </c>
      <c r="R351" s="2" t="inlineStr">
        <is>
          <t>Kolflarnlav</t>
        </is>
      </c>
      <c r="S351">
        <f>HYPERLINK("https://klasma.github.io/Logging_232303/artfynd/A 16724-2025 artfynd.xlsx", "A 16724-2025")</f>
        <v/>
      </c>
      <c r="T351">
        <f>HYPERLINK("https://klasma.github.io/Logging_232303/kartor/A 16724-2025 karta.png", "A 16724-2025")</f>
        <v/>
      </c>
      <c r="V351">
        <f>HYPERLINK("https://klasma.github.io/Logging_232303/klagomål/A 16724-2025 FSC-klagomål.docx", "A 16724-2025")</f>
        <v/>
      </c>
      <c r="W351">
        <f>HYPERLINK("https://klasma.github.io/Logging_232303/klagomålsmail/A 16724-2025 FSC-klagomål mail.docx", "A 16724-2025")</f>
        <v/>
      </c>
      <c r="X351">
        <f>HYPERLINK("https://klasma.github.io/Logging_232303/tillsyn/A 16724-2025 tillsynsbegäran.docx", "A 16724-2025")</f>
        <v/>
      </c>
      <c r="Y351">
        <f>HYPERLINK("https://klasma.github.io/Logging_232303/tillsynsmail/A 16724-2025 tillsynsbegäran mail.docx", "A 16724-2025")</f>
        <v/>
      </c>
    </row>
    <row r="352" ht="15" customHeight="1">
      <c r="A352" t="inlineStr">
        <is>
          <t>A 19406-2025</t>
        </is>
      </c>
      <c r="B352" s="1" t="n">
        <v>45769</v>
      </c>
      <c r="C352" s="1" t="n">
        <v>45835</v>
      </c>
      <c r="D352" t="inlineStr">
        <is>
          <t>JÄMTLANDS LÄN</t>
        </is>
      </c>
      <c r="E352" t="inlineStr">
        <is>
          <t>RAGUNDA</t>
        </is>
      </c>
      <c r="F352" t="inlineStr">
        <is>
          <t>SCA</t>
        </is>
      </c>
      <c r="G352" t="n">
        <v>6.3</v>
      </c>
      <c r="H352" t="n">
        <v>0</v>
      </c>
      <c r="I352" t="n">
        <v>0</v>
      </c>
      <c r="J352" t="n">
        <v>1</v>
      </c>
      <c r="K352" t="n">
        <v>0</v>
      </c>
      <c r="L352" t="n">
        <v>0</v>
      </c>
      <c r="M352" t="n">
        <v>0</v>
      </c>
      <c r="N352" t="n">
        <v>0</v>
      </c>
      <c r="O352" t="n">
        <v>1</v>
      </c>
      <c r="P352" t="n">
        <v>0</v>
      </c>
      <c r="Q352" t="n">
        <v>1</v>
      </c>
      <c r="R352" s="2" t="inlineStr">
        <is>
          <t>Garnlav</t>
        </is>
      </c>
      <c r="S352">
        <f>HYPERLINK("https://klasma.github.io/Logging_232303/artfynd/A 19406-2025 artfynd.xlsx", "A 19406-2025")</f>
        <v/>
      </c>
      <c r="T352">
        <f>HYPERLINK("https://klasma.github.io/Logging_232303/kartor/A 19406-2025 karta.png", "A 19406-2025")</f>
        <v/>
      </c>
      <c r="V352">
        <f>HYPERLINK("https://klasma.github.io/Logging_232303/klagomål/A 19406-2025 FSC-klagomål.docx", "A 19406-2025")</f>
        <v/>
      </c>
      <c r="W352">
        <f>HYPERLINK("https://klasma.github.io/Logging_232303/klagomålsmail/A 19406-2025 FSC-klagomål mail.docx", "A 19406-2025")</f>
        <v/>
      </c>
      <c r="X352">
        <f>HYPERLINK("https://klasma.github.io/Logging_232303/tillsyn/A 19406-2025 tillsynsbegäran.docx", "A 19406-2025")</f>
        <v/>
      </c>
      <c r="Y352">
        <f>HYPERLINK("https://klasma.github.io/Logging_232303/tillsynsmail/A 19406-2025 tillsynsbegäran mail.docx", "A 19406-2025")</f>
        <v/>
      </c>
    </row>
    <row r="353" ht="15" customHeight="1">
      <c r="A353" t="inlineStr">
        <is>
          <t>A 19387-2025</t>
        </is>
      </c>
      <c r="B353" s="1" t="n">
        <v>45769</v>
      </c>
      <c r="C353" s="1" t="n">
        <v>45835</v>
      </c>
      <c r="D353" t="inlineStr">
        <is>
          <t>JÄMTLANDS LÄN</t>
        </is>
      </c>
      <c r="E353" t="inlineStr">
        <is>
          <t>RAGUNDA</t>
        </is>
      </c>
      <c r="F353" t="inlineStr">
        <is>
          <t>SCA</t>
        </is>
      </c>
      <c r="G353" t="n">
        <v>16.4</v>
      </c>
      <c r="H353" t="n">
        <v>1</v>
      </c>
      <c r="I353" t="n">
        <v>0</v>
      </c>
      <c r="J353" t="n">
        <v>0</v>
      </c>
      <c r="K353" t="n">
        <v>1</v>
      </c>
      <c r="L353" t="n">
        <v>0</v>
      </c>
      <c r="M353" t="n">
        <v>0</v>
      </c>
      <c r="N353" t="n">
        <v>0</v>
      </c>
      <c r="O353" t="n">
        <v>1</v>
      </c>
      <c r="P353" t="n">
        <v>1</v>
      </c>
      <c r="Q353" t="n">
        <v>1</v>
      </c>
      <c r="R353" s="2" t="inlineStr">
        <is>
          <t>Norna</t>
        </is>
      </c>
      <c r="S353">
        <f>HYPERLINK("https://klasma.github.io/Logging_232303/artfynd/A 19387-2025 artfynd.xlsx", "A 19387-2025")</f>
        <v/>
      </c>
      <c r="T353">
        <f>HYPERLINK("https://klasma.github.io/Logging_232303/kartor/A 19387-2025 karta.png", "A 19387-2025")</f>
        <v/>
      </c>
      <c r="V353">
        <f>HYPERLINK("https://klasma.github.io/Logging_232303/klagomål/A 19387-2025 FSC-klagomål.docx", "A 19387-2025")</f>
        <v/>
      </c>
      <c r="W353">
        <f>HYPERLINK("https://klasma.github.io/Logging_232303/klagomålsmail/A 19387-2025 FSC-klagomål mail.docx", "A 19387-2025")</f>
        <v/>
      </c>
      <c r="X353">
        <f>HYPERLINK("https://klasma.github.io/Logging_232303/tillsyn/A 19387-2025 tillsynsbegäran.docx", "A 19387-2025")</f>
        <v/>
      </c>
      <c r="Y353">
        <f>HYPERLINK("https://klasma.github.io/Logging_232303/tillsynsmail/A 19387-2025 tillsynsbegäran mail.docx", "A 19387-2025")</f>
        <v/>
      </c>
    </row>
    <row r="354" ht="15" customHeight="1">
      <c r="A354" t="inlineStr">
        <is>
          <t>A 20575-2025</t>
        </is>
      </c>
      <c r="B354" s="1" t="n">
        <v>45775</v>
      </c>
      <c r="C354" s="1" t="n">
        <v>45835</v>
      </c>
      <c r="D354" t="inlineStr">
        <is>
          <t>JÄMTLANDS LÄN</t>
        </is>
      </c>
      <c r="E354" t="inlineStr">
        <is>
          <t>RAGUNDA</t>
        </is>
      </c>
      <c r="F354" t="inlineStr">
        <is>
          <t>SCA</t>
        </is>
      </c>
      <c r="G354" t="n">
        <v>8.1</v>
      </c>
      <c r="H354" t="n">
        <v>1</v>
      </c>
      <c r="I354" t="n">
        <v>0</v>
      </c>
      <c r="J354" t="n">
        <v>1</v>
      </c>
      <c r="K354" t="n">
        <v>0</v>
      </c>
      <c r="L354" t="n">
        <v>0</v>
      </c>
      <c r="M354" t="n">
        <v>0</v>
      </c>
      <c r="N354" t="n">
        <v>0</v>
      </c>
      <c r="O354" t="n">
        <v>1</v>
      </c>
      <c r="P354" t="n">
        <v>0</v>
      </c>
      <c r="Q354" t="n">
        <v>1</v>
      </c>
      <c r="R354" s="2" t="inlineStr">
        <is>
          <t>Skogsfru</t>
        </is>
      </c>
      <c r="S354">
        <f>HYPERLINK("https://klasma.github.io/Logging_232303/artfynd/A 20575-2025 artfynd.xlsx", "A 20575-2025")</f>
        <v/>
      </c>
      <c r="T354">
        <f>HYPERLINK("https://klasma.github.io/Logging_232303/kartor/A 20575-2025 karta.png", "A 20575-2025")</f>
        <v/>
      </c>
      <c r="V354">
        <f>HYPERLINK("https://klasma.github.io/Logging_232303/klagomål/A 20575-2025 FSC-klagomål.docx", "A 20575-2025")</f>
        <v/>
      </c>
      <c r="W354">
        <f>HYPERLINK("https://klasma.github.io/Logging_232303/klagomålsmail/A 20575-2025 FSC-klagomål mail.docx", "A 20575-2025")</f>
        <v/>
      </c>
      <c r="X354">
        <f>HYPERLINK("https://klasma.github.io/Logging_232303/tillsyn/A 20575-2025 tillsynsbegäran.docx", "A 20575-2025")</f>
        <v/>
      </c>
      <c r="Y354">
        <f>HYPERLINK("https://klasma.github.io/Logging_232303/tillsynsmail/A 20575-2025 tillsynsbegäran mail.docx", "A 20575-2025")</f>
        <v/>
      </c>
    </row>
    <row r="355" ht="15" customHeight="1">
      <c r="A355" t="inlineStr">
        <is>
          <t>A 21212-2025</t>
        </is>
      </c>
      <c r="B355" s="1" t="n">
        <v>45779</v>
      </c>
      <c r="C355" s="1" t="n">
        <v>45835</v>
      </c>
      <c r="D355" t="inlineStr">
        <is>
          <t>JÄMTLANDS LÄN</t>
        </is>
      </c>
      <c r="E355" t="inlineStr">
        <is>
          <t>RAGUNDA</t>
        </is>
      </c>
      <c r="F355" t="inlineStr">
        <is>
          <t>SCA</t>
        </is>
      </c>
      <c r="G355" t="n">
        <v>2.6</v>
      </c>
      <c r="H355" t="n">
        <v>0</v>
      </c>
      <c r="I355" t="n">
        <v>0</v>
      </c>
      <c r="J355" t="n">
        <v>1</v>
      </c>
      <c r="K355" t="n">
        <v>0</v>
      </c>
      <c r="L355" t="n">
        <v>0</v>
      </c>
      <c r="M355" t="n">
        <v>0</v>
      </c>
      <c r="N355" t="n">
        <v>0</v>
      </c>
      <c r="O355" t="n">
        <v>1</v>
      </c>
      <c r="P355" t="n">
        <v>0</v>
      </c>
      <c r="Q355" t="n">
        <v>1</v>
      </c>
      <c r="R355" s="2" t="inlineStr">
        <is>
          <t>Garnlav</t>
        </is>
      </c>
      <c r="S355">
        <f>HYPERLINK("https://klasma.github.io/Logging_232303/artfynd/A 21212-2025 artfynd.xlsx", "A 21212-2025")</f>
        <v/>
      </c>
      <c r="T355">
        <f>HYPERLINK("https://klasma.github.io/Logging_232303/kartor/A 21212-2025 karta.png", "A 21212-2025")</f>
        <v/>
      </c>
      <c r="V355">
        <f>HYPERLINK("https://klasma.github.io/Logging_232303/klagomål/A 21212-2025 FSC-klagomål.docx", "A 21212-2025")</f>
        <v/>
      </c>
      <c r="W355">
        <f>HYPERLINK("https://klasma.github.io/Logging_232303/klagomålsmail/A 21212-2025 FSC-klagomål mail.docx", "A 21212-2025")</f>
        <v/>
      </c>
      <c r="X355">
        <f>HYPERLINK("https://klasma.github.io/Logging_232303/tillsyn/A 21212-2025 tillsynsbegäran.docx", "A 21212-2025")</f>
        <v/>
      </c>
      <c r="Y355">
        <f>HYPERLINK("https://klasma.github.io/Logging_232303/tillsynsmail/A 21212-2025 tillsynsbegäran mail.docx", "A 21212-2025")</f>
        <v/>
      </c>
    </row>
    <row r="356" ht="15" customHeight="1">
      <c r="A356" t="inlineStr">
        <is>
          <t>A 22771-2025</t>
        </is>
      </c>
      <c r="B356" s="1" t="n">
        <v>45789</v>
      </c>
      <c r="C356" s="1" t="n">
        <v>45835</v>
      </c>
      <c r="D356" t="inlineStr">
        <is>
          <t>JÄMTLANDS LÄN</t>
        </is>
      </c>
      <c r="E356" t="inlineStr">
        <is>
          <t>RAGUNDA</t>
        </is>
      </c>
      <c r="F356" t="inlineStr">
        <is>
          <t>SCA</t>
        </is>
      </c>
      <c r="G356" t="n">
        <v>15.2</v>
      </c>
      <c r="H356" t="n">
        <v>0</v>
      </c>
      <c r="I356" t="n">
        <v>0</v>
      </c>
      <c r="J356" t="n">
        <v>1</v>
      </c>
      <c r="K356" t="n">
        <v>0</v>
      </c>
      <c r="L356" t="n">
        <v>0</v>
      </c>
      <c r="M356" t="n">
        <v>0</v>
      </c>
      <c r="N356" t="n">
        <v>0</v>
      </c>
      <c r="O356" t="n">
        <v>1</v>
      </c>
      <c r="P356" t="n">
        <v>0</v>
      </c>
      <c r="Q356" t="n">
        <v>1</v>
      </c>
      <c r="R356" s="2" t="inlineStr">
        <is>
          <t>Blanksvart spiklav</t>
        </is>
      </c>
      <c r="S356">
        <f>HYPERLINK("https://klasma.github.io/Logging_232303/artfynd/A 22771-2025 artfynd.xlsx", "A 22771-2025")</f>
        <v/>
      </c>
      <c r="T356">
        <f>HYPERLINK("https://klasma.github.io/Logging_232303/kartor/A 22771-2025 karta.png", "A 22771-2025")</f>
        <v/>
      </c>
      <c r="V356">
        <f>HYPERLINK("https://klasma.github.io/Logging_232303/klagomål/A 22771-2025 FSC-klagomål.docx", "A 22771-2025")</f>
        <v/>
      </c>
      <c r="W356">
        <f>HYPERLINK("https://klasma.github.io/Logging_232303/klagomålsmail/A 22771-2025 FSC-klagomål mail.docx", "A 22771-2025")</f>
        <v/>
      </c>
      <c r="X356">
        <f>HYPERLINK("https://klasma.github.io/Logging_232303/tillsyn/A 22771-2025 tillsynsbegäran.docx", "A 22771-2025")</f>
        <v/>
      </c>
      <c r="Y356">
        <f>HYPERLINK("https://klasma.github.io/Logging_232303/tillsynsmail/A 22771-2025 tillsynsbegäran mail.docx", "A 22771-2025")</f>
        <v/>
      </c>
    </row>
    <row r="357" ht="15" customHeight="1">
      <c r="A357" t="inlineStr">
        <is>
          <t>A 27573-2025</t>
        </is>
      </c>
      <c r="B357" s="1" t="n">
        <v>45813</v>
      </c>
      <c r="C357" s="1" t="n">
        <v>45835</v>
      </c>
      <c r="D357" t="inlineStr">
        <is>
          <t>JÄMTLANDS LÄN</t>
        </is>
      </c>
      <c r="E357" t="inlineStr">
        <is>
          <t>RAGUNDA</t>
        </is>
      </c>
      <c r="F357" t="inlineStr">
        <is>
          <t>SCA</t>
        </is>
      </c>
      <c r="G357" t="n">
        <v>14.9</v>
      </c>
      <c r="H357" t="n">
        <v>0</v>
      </c>
      <c r="I357" t="n">
        <v>1</v>
      </c>
      <c r="J357" t="n">
        <v>0</v>
      </c>
      <c r="K357" t="n">
        <v>0</v>
      </c>
      <c r="L357" t="n">
        <v>0</v>
      </c>
      <c r="M357" t="n">
        <v>0</v>
      </c>
      <c r="N357" t="n">
        <v>0</v>
      </c>
      <c r="O357" t="n">
        <v>0</v>
      </c>
      <c r="P357" t="n">
        <v>0</v>
      </c>
      <c r="Q357" t="n">
        <v>1</v>
      </c>
      <c r="R357" s="2" t="inlineStr">
        <is>
          <t>Skinnlav</t>
        </is>
      </c>
      <c r="S357">
        <f>HYPERLINK("https://klasma.github.io/Logging_232303/artfynd/A 27573-2025 artfynd.xlsx", "A 27573-2025")</f>
        <v/>
      </c>
      <c r="T357">
        <f>HYPERLINK("https://klasma.github.io/Logging_232303/kartor/A 27573-2025 karta.png", "A 27573-2025")</f>
        <v/>
      </c>
      <c r="U357">
        <f>HYPERLINK("https://klasma.github.io/Logging_232303/knärot/A 27573-2025 karta knärot.png", "A 27573-2025")</f>
        <v/>
      </c>
      <c r="V357">
        <f>HYPERLINK("https://klasma.github.io/Logging_232303/klagomål/A 27573-2025 FSC-klagomål.docx", "A 27573-2025")</f>
        <v/>
      </c>
      <c r="W357">
        <f>HYPERLINK("https://klasma.github.io/Logging_232303/klagomålsmail/A 27573-2025 FSC-klagomål mail.docx", "A 27573-2025")</f>
        <v/>
      </c>
      <c r="X357">
        <f>HYPERLINK("https://klasma.github.io/Logging_232303/tillsyn/A 27573-2025 tillsynsbegäran.docx", "A 27573-2025")</f>
        <v/>
      </c>
      <c r="Y357">
        <f>HYPERLINK("https://klasma.github.io/Logging_232303/tillsynsmail/A 27573-2025 tillsynsbegäran mail.docx", "A 27573-2025")</f>
        <v/>
      </c>
    </row>
    <row r="358" ht="15" customHeight="1">
      <c r="A358" t="inlineStr">
        <is>
          <t>A 30390-2025</t>
        </is>
      </c>
      <c r="B358" s="1" t="n">
        <v>45827</v>
      </c>
      <c r="C358" s="1" t="n">
        <v>45835</v>
      </c>
      <c r="D358" t="inlineStr">
        <is>
          <t>JÄMTLANDS LÄN</t>
        </is>
      </c>
      <c r="E358" t="inlineStr">
        <is>
          <t>RAGUNDA</t>
        </is>
      </c>
      <c r="F358" t="inlineStr">
        <is>
          <t>SCA</t>
        </is>
      </c>
      <c r="G358" t="n">
        <v>11.2</v>
      </c>
      <c r="H358" t="n">
        <v>0</v>
      </c>
      <c r="I358" t="n">
        <v>0</v>
      </c>
      <c r="J358" t="n">
        <v>1</v>
      </c>
      <c r="K358" t="n">
        <v>0</v>
      </c>
      <c r="L358" t="n">
        <v>0</v>
      </c>
      <c r="M358" t="n">
        <v>0</v>
      </c>
      <c r="N358" t="n">
        <v>0</v>
      </c>
      <c r="O358" t="n">
        <v>1</v>
      </c>
      <c r="P358" t="n">
        <v>0</v>
      </c>
      <c r="Q358" t="n">
        <v>1</v>
      </c>
      <c r="R358" s="2" t="inlineStr">
        <is>
          <t>Lunglav</t>
        </is>
      </c>
      <c r="S358">
        <f>HYPERLINK("https://klasma.github.io/Logging_232303/artfynd/A 30390-2025 artfynd.xlsx", "A 30390-2025")</f>
        <v/>
      </c>
      <c r="T358">
        <f>HYPERLINK("https://klasma.github.io/Logging_232303/kartor/A 30390-2025 karta.png", "A 30390-2025")</f>
        <v/>
      </c>
      <c r="U358">
        <f>HYPERLINK("https://klasma.github.io/Logging_232303/knärot/A 30390-2025 karta knärot.png", "A 30390-2025")</f>
        <v/>
      </c>
      <c r="V358">
        <f>HYPERLINK("https://klasma.github.io/Logging_232303/klagomål/A 30390-2025 FSC-klagomål.docx", "A 30390-2025")</f>
        <v/>
      </c>
      <c r="W358">
        <f>HYPERLINK("https://klasma.github.io/Logging_232303/klagomålsmail/A 30390-2025 FSC-klagomål mail.docx", "A 30390-2025")</f>
        <v/>
      </c>
      <c r="X358">
        <f>HYPERLINK("https://klasma.github.io/Logging_232303/tillsyn/A 30390-2025 tillsynsbegäran.docx", "A 30390-2025")</f>
        <v/>
      </c>
      <c r="Y358">
        <f>HYPERLINK("https://klasma.github.io/Logging_232303/tillsynsmail/A 30390-2025 tillsynsbegäran mail.docx", "A 30390-2025")</f>
        <v/>
      </c>
    </row>
    <row r="359" ht="15" customHeight="1">
      <c r="A359" t="inlineStr">
        <is>
          <t>A 19077-2019</t>
        </is>
      </c>
      <c r="B359" s="1" t="n">
        <v>43563</v>
      </c>
      <c r="C359" s="1" t="n">
        <v>45835</v>
      </c>
      <c r="D359" t="inlineStr">
        <is>
          <t>JÄMTLANDS LÄN</t>
        </is>
      </c>
      <c r="E359" t="inlineStr">
        <is>
          <t>RAGUNDA</t>
        </is>
      </c>
      <c r="G359" t="n">
        <v>11.5</v>
      </c>
      <c r="H359" t="n">
        <v>0</v>
      </c>
      <c r="I359" t="n">
        <v>0</v>
      </c>
      <c r="J359" t="n">
        <v>0</v>
      </c>
      <c r="K359" t="n">
        <v>0</v>
      </c>
      <c r="L359" t="n">
        <v>0</v>
      </c>
      <c r="M359" t="n">
        <v>0</v>
      </c>
      <c r="N359" t="n">
        <v>0</v>
      </c>
      <c r="O359" t="n">
        <v>0</v>
      </c>
      <c r="P359" t="n">
        <v>0</v>
      </c>
      <c r="Q359" t="n">
        <v>0</v>
      </c>
      <c r="R359" s="2" t="inlineStr"/>
    </row>
    <row r="360" ht="15" customHeight="1">
      <c r="A360" t="inlineStr">
        <is>
          <t>A 19543-2019</t>
        </is>
      </c>
      <c r="B360" s="1" t="n">
        <v>43565</v>
      </c>
      <c r="C360" s="1" t="n">
        <v>45835</v>
      </c>
      <c r="D360" t="inlineStr">
        <is>
          <t>JÄMTLANDS LÄN</t>
        </is>
      </c>
      <c r="E360" t="inlineStr">
        <is>
          <t>RAGUNDA</t>
        </is>
      </c>
      <c r="G360" t="n">
        <v>2.3</v>
      </c>
      <c r="H360" t="n">
        <v>0</v>
      </c>
      <c r="I360" t="n">
        <v>0</v>
      </c>
      <c r="J360" t="n">
        <v>0</v>
      </c>
      <c r="K360" t="n">
        <v>0</v>
      </c>
      <c r="L360" t="n">
        <v>0</v>
      </c>
      <c r="M360" t="n">
        <v>0</v>
      </c>
      <c r="N360" t="n">
        <v>0</v>
      </c>
      <c r="O360" t="n">
        <v>0</v>
      </c>
      <c r="P360" t="n">
        <v>0</v>
      </c>
      <c r="Q360" t="n">
        <v>0</v>
      </c>
      <c r="R360" s="2" t="inlineStr"/>
    </row>
    <row r="361" ht="15" customHeight="1">
      <c r="A361" t="inlineStr">
        <is>
          <t>A 21122-2019</t>
        </is>
      </c>
      <c r="B361" s="1" t="n">
        <v>43578</v>
      </c>
      <c r="C361" s="1" t="n">
        <v>45835</v>
      </c>
      <c r="D361" t="inlineStr">
        <is>
          <t>JÄMTLANDS LÄN</t>
        </is>
      </c>
      <c r="E361" t="inlineStr">
        <is>
          <t>RAGUNDA</t>
        </is>
      </c>
      <c r="F361" t="inlineStr">
        <is>
          <t>SCA</t>
        </is>
      </c>
      <c r="G361" t="n">
        <v>72.09999999999999</v>
      </c>
      <c r="H361" t="n">
        <v>0</v>
      </c>
      <c r="I361" t="n">
        <v>0</v>
      </c>
      <c r="J361" t="n">
        <v>0</v>
      </c>
      <c r="K361" t="n">
        <v>0</v>
      </c>
      <c r="L361" t="n">
        <v>0</v>
      </c>
      <c r="M361" t="n">
        <v>0</v>
      </c>
      <c r="N361" t="n">
        <v>0</v>
      </c>
      <c r="O361" t="n">
        <v>0</v>
      </c>
      <c r="P361" t="n">
        <v>0</v>
      </c>
      <c r="Q361" t="n">
        <v>0</v>
      </c>
      <c r="R361" s="2" t="inlineStr"/>
    </row>
    <row r="362" ht="15" customHeight="1">
      <c r="A362" t="inlineStr">
        <is>
          <t>A 21914-2019</t>
        </is>
      </c>
      <c r="B362" s="1" t="n">
        <v>43584</v>
      </c>
      <c r="C362" s="1" t="n">
        <v>45835</v>
      </c>
      <c r="D362" t="inlineStr">
        <is>
          <t>JÄMTLANDS LÄN</t>
        </is>
      </c>
      <c r="E362" t="inlineStr">
        <is>
          <t>RAGUNDA</t>
        </is>
      </c>
      <c r="G362" t="n">
        <v>3.1</v>
      </c>
      <c r="H362" t="n">
        <v>0</v>
      </c>
      <c r="I362" t="n">
        <v>0</v>
      </c>
      <c r="J362" t="n">
        <v>0</v>
      </c>
      <c r="K362" t="n">
        <v>0</v>
      </c>
      <c r="L362" t="n">
        <v>0</v>
      </c>
      <c r="M362" t="n">
        <v>0</v>
      </c>
      <c r="N362" t="n">
        <v>0</v>
      </c>
      <c r="O362" t="n">
        <v>0</v>
      </c>
      <c r="P362" t="n">
        <v>0</v>
      </c>
      <c r="Q362" t="n">
        <v>0</v>
      </c>
      <c r="R362" s="2" t="inlineStr"/>
    </row>
    <row r="363" ht="15" customHeight="1">
      <c r="A363" t="inlineStr">
        <is>
          <t>A 22799-2019</t>
        </is>
      </c>
      <c r="B363" s="1" t="n">
        <v>43589</v>
      </c>
      <c r="C363" s="1" t="n">
        <v>45835</v>
      </c>
      <c r="D363" t="inlineStr">
        <is>
          <t>JÄMTLANDS LÄN</t>
        </is>
      </c>
      <c r="E363" t="inlineStr">
        <is>
          <t>RAGUNDA</t>
        </is>
      </c>
      <c r="G363" t="n">
        <v>0.5</v>
      </c>
      <c r="H363" t="n">
        <v>0</v>
      </c>
      <c r="I363" t="n">
        <v>0</v>
      </c>
      <c r="J363" t="n">
        <v>0</v>
      </c>
      <c r="K363" t="n">
        <v>0</v>
      </c>
      <c r="L363" t="n">
        <v>0</v>
      </c>
      <c r="M363" t="n">
        <v>0</v>
      </c>
      <c r="N363" t="n">
        <v>0</v>
      </c>
      <c r="O363" t="n">
        <v>0</v>
      </c>
      <c r="P363" t="n">
        <v>0</v>
      </c>
      <c r="Q363" t="n">
        <v>0</v>
      </c>
      <c r="R363" s="2" t="inlineStr"/>
    </row>
    <row r="364" ht="15" customHeight="1">
      <c r="A364" t="inlineStr">
        <is>
          <t>A 23740-2019</t>
        </is>
      </c>
      <c r="B364" s="1" t="n">
        <v>43594</v>
      </c>
      <c r="C364" s="1" t="n">
        <v>45835</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23821-2019</t>
        </is>
      </c>
      <c r="B365" s="1" t="n">
        <v>43594</v>
      </c>
      <c r="C365" s="1" t="n">
        <v>45835</v>
      </c>
      <c r="D365" t="inlineStr">
        <is>
          <t>JÄMTLANDS LÄN</t>
        </is>
      </c>
      <c r="E365" t="inlineStr">
        <is>
          <t>RAGUNDA</t>
        </is>
      </c>
      <c r="G365" t="n">
        <v>0.9</v>
      </c>
      <c r="H365" t="n">
        <v>0</v>
      </c>
      <c r="I365" t="n">
        <v>0</v>
      </c>
      <c r="J365" t="n">
        <v>0</v>
      </c>
      <c r="K365" t="n">
        <v>0</v>
      </c>
      <c r="L365" t="n">
        <v>0</v>
      </c>
      <c r="M365" t="n">
        <v>0</v>
      </c>
      <c r="N365" t="n">
        <v>0</v>
      </c>
      <c r="O365" t="n">
        <v>0</v>
      </c>
      <c r="P365" t="n">
        <v>0</v>
      </c>
      <c r="Q365" t="n">
        <v>0</v>
      </c>
      <c r="R365" s="2" t="inlineStr"/>
    </row>
    <row r="366" ht="15" customHeight="1">
      <c r="A366" t="inlineStr">
        <is>
          <t>A 28251-2019</t>
        </is>
      </c>
      <c r="B366" s="1" t="n">
        <v>43622</v>
      </c>
      <c r="C366" s="1" t="n">
        <v>45835</v>
      </c>
      <c r="D366" t="inlineStr">
        <is>
          <t>JÄMTLANDS LÄN</t>
        </is>
      </c>
      <c r="E366" t="inlineStr">
        <is>
          <t>RAGUNDA</t>
        </is>
      </c>
      <c r="F366" t="inlineStr">
        <is>
          <t>SCA</t>
        </is>
      </c>
      <c r="G366" t="n">
        <v>25.7</v>
      </c>
      <c r="H366" t="n">
        <v>0</v>
      </c>
      <c r="I366" t="n">
        <v>0</v>
      </c>
      <c r="J366" t="n">
        <v>0</v>
      </c>
      <c r="K366" t="n">
        <v>0</v>
      </c>
      <c r="L366" t="n">
        <v>0</v>
      </c>
      <c r="M366" t="n">
        <v>0</v>
      </c>
      <c r="N366" t="n">
        <v>0</v>
      </c>
      <c r="O366" t="n">
        <v>0</v>
      </c>
      <c r="P366" t="n">
        <v>0</v>
      </c>
      <c r="Q366" t="n">
        <v>0</v>
      </c>
      <c r="R366" s="2" t="inlineStr"/>
    </row>
    <row r="367" ht="15" customHeight="1">
      <c r="A367" t="inlineStr">
        <is>
          <t>A 30030-2019</t>
        </is>
      </c>
      <c r="B367" s="1" t="n">
        <v>43633</v>
      </c>
      <c r="C367" s="1" t="n">
        <v>45835</v>
      </c>
      <c r="D367" t="inlineStr">
        <is>
          <t>JÄMTLANDS LÄN</t>
        </is>
      </c>
      <c r="E367" t="inlineStr">
        <is>
          <t>RAGUNDA</t>
        </is>
      </c>
      <c r="G367" t="n">
        <v>10.6</v>
      </c>
      <c r="H367" t="n">
        <v>0</v>
      </c>
      <c r="I367" t="n">
        <v>0</v>
      </c>
      <c r="J367" t="n">
        <v>0</v>
      </c>
      <c r="K367" t="n">
        <v>0</v>
      </c>
      <c r="L367" t="n">
        <v>0</v>
      </c>
      <c r="M367" t="n">
        <v>0</v>
      </c>
      <c r="N367" t="n">
        <v>0</v>
      </c>
      <c r="O367" t="n">
        <v>0</v>
      </c>
      <c r="P367" t="n">
        <v>0</v>
      </c>
      <c r="Q367" t="n">
        <v>0</v>
      </c>
      <c r="R367" s="2" t="inlineStr"/>
    </row>
    <row r="368" ht="15" customHeight="1">
      <c r="A368" t="inlineStr">
        <is>
          <t>A 30034-2019</t>
        </is>
      </c>
      <c r="B368" s="1" t="n">
        <v>43633</v>
      </c>
      <c r="C368" s="1" t="n">
        <v>45835</v>
      </c>
      <c r="D368" t="inlineStr">
        <is>
          <t>JÄMTLANDS LÄN</t>
        </is>
      </c>
      <c r="E368" t="inlineStr">
        <is>
          <t>RAGUNDA</t>
        </is>
      </c>
      <c r="G368" t="n">
        <v>5.6</v>
      </c>
      <c r="H368" t="n">
        <v>0</v>
      </c>
      <c r="I368" t="n">
        <v>0</v>
      </c>
      <c r="J368" t="n">
        <v>0</v>
      </c>
      <c r="K368" t="n">
        <v>0</v>
      </c>
      <c r="L368" t="n">
        <v>0</v>
      </c>
      <c r="M368" t="n">
        <v>0</v>
      </c>
      <c r="N368" t="n">
        <v>0</v>
      </c>
      <c r="O368" t="n">
        <v>0</v>
      </c>
      <c r="P368" t="n">
        <v>0</v>
      </c>
      <c r="Q368" t="n">
        <v>0</v>
      </c>
      <c r="R368" s="2" t="inlineStr"/>
    </row>
    <row r="369" ht="15" customHeight="1">
      <c r="A369" t="inlineStr">
        <is>
          <t>A 31299-2019</t>
        </is>
      </c>
      <c r="B369" s="1" t="n">
        <v>43640</v>
      </c>
      <c r="C369" s="1" t="n">
        <v>45835</v>
      </c>
      <c r="D369" t="inlineStr">
        <is>
          <t>JÄMTLANDS LÄN</t>
        </is>
      </c>
      <c r="E369" t="inlineStr">
        <is>
          <t>RAGUNDA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31562-2019</t>
        </is>
      </c>
      <c r="B370" s="1" t="n">
        <v>43641</v>
      </c>
      <c r="C370" s="1" t="n">
        <v>45835</v>
      </c>
      <c r="D370" t="inlineStr">
        <is>
          <t>JÄMTLANDS LÄN</t>
        </is>
      </c>
      <c r="E370" t="inlineStr">
        <is>
          <t>RAGUNDA</t>
        </is>
      </c>
      <c r="F370" t="inlineStr">
        <is>
          <t>SCA</t>
        </is>
      </c>
      <c r="G370" t="n">
        <v>10.1</v>
      </c>
      <c r="H370" t="n">
        <v>0</v>
      </c>
      <c r="I370" t="n">
        <v>0</v>
      </c>
      <c r="J370" t="n">
        <v>0</v>
      </c>
      <c r="K370" t="n">
        <v>0</v>
      </c>
      <c r="L370" t="n">
        <v>0</v>
      </c>
      <c r="M370" t="n">
        <v>0</v>
      </c>
      <c r="N370" t="n">
        <v>0</v>
      </c>
      <c r="O370" t="n">
        <v>0</v>
      </c>
      <c r="P370" t="n">
        <v>0</v>
      </c>
      <c r="Q370" t="n">
        <v>0</v>
      </c>
      <c r="R370" s="2" t="inlineStr"/>
    </row>
    <row r="371" ht="15" customHeight="1">
      <c r="A371" t="inlineStr">
        <is>
          <t>A 31563-2019</t>
        </is>
      </c>
      <c r="B371" s="1" t="n">
        <v>43641</v>
      </c>
      <c r="C371" s="1" t="n">
        <v>45835</v>
      </c>
      <c r="D371" t="inlineStr">
        <is>
          <t>JÄMTLANDS LÄN</t>
        </is>
      </c>
      <c r="E371" t="inlineStr">
        <is>
          <t>RAGUNDA</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32211-2019</t>
        </is>
      </c>
      <c r="B372" s="1" t="n">
        <v>43643</v>
      </c>
      <c r="C372" s="1" t="n">
        <v>45835</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33341-2019</t>
        </is>
      </c>
      <c r="B373" s="1" t="n">
        <v>43650</v>
      </c>
      <c r="C373" s="1" t="n">
        <v>45835</v>
      </c>
      <c r="D373" t="inlineStr">
        <is>
          <t>JÄMTLANDS LÄN</t>
        </is>
      </c>
      <c r="E373" t="inlineStr">
        <is>
          <t>RAGUNDA</t>
        </is>
      </c>
      <c r="F373" t="inlineStr">
        <is>
          <t>Kommuner</t>
        </is>
      </c>
      <c r="G373" t="n">
        <v>1.3</v>
      </c>
      <c r="H373" t="n">
        <v>0</v>
      </c>
      <c r="I373" t="n">
        <v>0</v>
      </c>
      <c r="J373" t="n">
        <v>0</v>
      </c>
      <c r="K373" t="n">
        <v>0</v>
      </c>
      <c r="L373" t="n">
        <v>0</v>
      </c>
      <c r="M373" t="n">
        <v>0</v>
      </c>
      <c r="N373" t="n">
        <v>0</v>
      </c>
      <c r="O373" t="n">
        <v>0</v>
      </c>
      <c r="P373" t="n">
        <v>0</v>
      </c>
      <c r="Q373" t="n">
        <v>0</v>
      </c>
      <c r="R373" s="2" t="inlineStr"/>
    </row>
    <row r="374" ht="15" customHeight="1">
      <c r="A374" t="inlineStr">
        <is>
          <t>A 35466-2019</t>
        </is>
      </c>
      <c r="B374" s="1" t="n">
        <v>43651</v>
      </c>
      <c r="C374" s="1" t="n">
        <v>45835</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34119-2019</t>
        </is>
      </c>
      <c r="B375" s="1" t="n">
        <v>43654</v>
      </c>
      <c r="C375" s="1" t="n">
        <v>45835</v>
      </c>
      <c r="D375" t="inlineStr">
        <is>
          <t>JÄMTLANDS LÄN</t>
        </is>
      </c>
      <c r="E375" t="inlineStr">
        <is>
          <t>RAGUNDA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34121-2019</t>
        </is>
      </c>
      <c r="B376" s="1" t="n">
        <v>43654</v>
      </c>
      <c r="C376" s="1" t="n">
        <v>45835</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34490-2019</t>
        </is>
      </c>
      <c r="B377" s="1" t="n">
        <v>43656</v>
      </c>
      <c r="C377" s="1" t="n">
        <v>45835</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36230-2019</t>
        </is>
      </c>
      <c r="B378" s="1" t="n">
        <v>43669</v>
      </c>
      <c r="C378" s="1" t="n">
        <v>45835</v>
      </c>
      <c r="D378" t="inlineStr">
        <is>
          <t>JÄMTLANDS LÄN</t>
        </is>
      </c>
      <c r="E378" t="inlineStr">
        <is>
          <t>RAGUNDA</t>
        </is>
      </c>
      <c r="G378" t="n">
        <v>4.4</v>
      </c>
      <c r="H378" t="n">
        <v>0</v>
      </c>
      <c r="I378" t="n">
        <v>0</v>
      </c>
      <c r="J378" t="n">
        <v>0</v>
      </c>
      <c r="K378" t="n">
        <v>0</v>
      </c>
      <c r="L378" t="n">
        <v>0</v>
      </c>
      <c r="M378" t="n">
        <v>0</v>
      </c>
      <c r="N378" t="n">
        <v>0</v>
      </c>
      <c r="O378" t="n">
        <v>0</v>
      </c>
      <c r="P378" t="n">
        <v>0</v>
      </c>
      <c r="Q378" t="n">
        <v>0</v>
      </c>
      <c r="R378" s="2" t="inlineStr"/>
    </row>
    <row r="379" ht="15" customHeight="1">
      <c r="A379" t="inlineStr">
        <is>
          <t>A 37086-2019</t>
        </is>
      </c>
      <c r="B379" s="1" t="n">
        <v>43676</v>
      </c>
      <c r="C379" s="1" t="n">
        <v>45835</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37441-2019</t>
        </is>
      </c>
      <c r="B380" s="1" t="n">
        <v>43678</v>
      </c>
      <c r="C380" s="1" t="n">
        <v>45835</v>
      </c>
      <c r="D380" t="inlineStr">
        <is>
          <t>JÄMTLANDS LÄN</t>
        </is>
      </c>
      <c r="E380" t="inlineStr">
        <is>
          <t>RAGUNDA</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38757-2019</t>
        </is>
      </c>
      <c r="B381" s="1" t="n">
        <v>43686</v>
      </c>
      <c r="C381" s="1" t="n">
        <v>45835</v>
      </c>
      <c r="D381" t="inlineStr">
        <is>
          <t>JÄMTLANDS LÄN</t>
        </is>
      </c>
      <c r="E381" t="inlineStr">
        <is>
          <t>RAGUNDA</t>
        </is>
      </c>
      <c r="G381" t="n">
        <v>10.2</v>
      </c>
      <c r="H381" t="n">
        <v>0</v>
      </c>
      <c r="I381" t="n">
        <v>0</v>
      </c>
      <c r="J381" t="n">
        <v>0</v>
      </c>
      <c r="K381" t="n">
        <v>0</v>
      </c>
      <c r="L381" t="n">
        <v>0</v>
      </c>
      <c r="M381" t="n">
        <v>0</v>
      </c>
      <c r="N381" t="n">
        <v>0</v>
      </c>
      <c r="O381" t="n">
        <v>0</v>
      </c>
      <c r="P381" t="n">
        <v>0</v>
      </c>
      <c r="Q381" t="n">
        <v>0</v>
      </c>
      <c r="R381" s="2" t="inlineStr"/>
    </row>
    <row r="382" ht="15" customHeight="1">
      <c r="A382" t="inlineStr">
        <is>
          <t>A 42786-2019</t>
        </is>
      </c>
      <c r="B382" s="1" t="n">
        <v>43704</v>
      </c>
      <c r="C382" s="1" t="n">
        <v>45835</v>
      </c>
      <c r="D382" t="inlineStr">
        <is>
          <t>JÄMTLANDS LÄN</t>
        </is>
      </c>
      <c r="E382" t="inlineStr">
        <is>
          <t>RAGUNDA</t>
        </is>
      </c>
      <c r="F382" t="inlineStr">
        <is>
          <t>SCA</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42788-2019</t>
        </is>
      </c>
      <c r="B383" s="1" t="n">
        <v>43704</v>
      </c>
      <c r="C383" s="1" t="n">
        <v>45835</v>
      </c>
      <c r="D383" t="inlineStr">
        <is>
          <t>JÄMTLANDS LÄN</t>
        </is>
      </c>
      <c r="E383" t="inlineStr">
        <is>
          <t>RAGUNDA</t>
        </is>
      </c>
      <c r="F383" t="inlineStr">
        <is>
          <t>SCA</t>
        </is>
      </c>
      <c r="G383" t="n">
        <v>20.3</v>
      </c>
      <c r="H383" t="n">
        <v>0</v>
      </c>
      <c r="I383" t="n">
        <v>0</v>
      </c>
      <c r="J383" t="n">
        <v>0</v>
      </c>
      <c r="K383" t="n">
        <v>0</v>
      </c>
      <c r="L383" t="n">
        <v>0</v>
      </c>
      <c r="M383" t="n">
        <v>0</v>
      </c>
      <c r="N383" t="n">
        <v>0</v>
      </c>
      <c r="O383" t="n">
        <v>0</v>
      </c>
      <c r="P383" t="n">
        <v>0</v>
      </c>
      <c r="Q383" t="n">
        <v>0</v>
      </c>
      <c r="R383" s="2" t="inlineStr"/>
    </row>
    <row r="384" ht="15" customHeight="1">
      <c r="A384" t="inlineStr">
        <is>
          <t>A 42785-2019</t>
        </is>
      </c>
      <c r="B384" s="1" t="n">
        <v>43704</v>
      </c>
      <c r="C384" s="1" t="n">
        <v>45835</v>
      </c>
      <c r="D384" t="inlineStr">
        <is>
          <t>JÄMTLANDS LÄN</t>
        </is>
      </c>
      <c r="E384" t="inlineStr">
        <is>
          <t>RAGUNDA</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43412-2019</t>
        </is>
      </c>
      <c r="B385" s="1" t="n">
        <v>43706</v>
      </c>
      <c r="C385" s="1" t="n">
        <v>45835</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45075-2019</t>
        </is>
      </c>
      <c r="B386" s="1" t="n">
        <v>43713</v>
      </c>
      <c r="C386" s="1" t="n">
        <v>45835</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45061-2019</t>
        </is>
      </c>
      <c r="B387" s="1" t="n">
        <v>43713</v>
      </c>
      <c r="C387" s="1" t="n">
        <v>45835</v>
      </c>
      <c r="D387" t="inlineStr">
        <is>
          <t>JÄMTLANDS LÄN</t>
        </is>
      </c>
      <c r="E387" t="inlineStr">
        <is>
          <t>RAGUNDA</t>
        </is>
      </c>
      <c r="G387" t="n">
        <v>3.3</v>
      </c>
      <c r="H387" t="n">
        <v>0</v>
      </c>
      <c r="I387" t="n">
        <v>0</v>
      </c>
      <c r="J387" t="n">
        <v>0</v>
      </c>
      <c r="K387" t="n">
        <v>0</v>
      </c>
      <c r="L387" t="n">
        <v>0</v>
      </c>
      <c r="M387" t="n">
        <v>0</v>
      </c>
      <c r="N387" t="n">
        <v>0</v>
      </c>
      <c r="O387" t="n">
        <v>0</v>
      </c>
      <c r="P387" t="n">
        <v>0</v>
      </c>
      <c r="Q387" t="n">
        <v>0</v>
      </c>
      <c r="R387" s="2" t="inlineStr"/>
    </row>
    <row r="388" ht="15" customHeight="1">
      <c r="A388" t="inlineStr">
        <is>
          <t>A 48961-2019</t>
        </is>
      </c>
      <c r="B388" s="1" t="n">
        <v>43728</v>
      </c>
      <c r="C388" s="1" t="n">
        <v>45835</v>
      </c>
      <c r="D388" t="inlineStr">
        <is>
          <t>JÄMTLANDS LÄN</t>
        </is>
      </c>
      <c r="E388" t="inlineStr">
        <is>
          <t>RAGUNDA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49875-2019</t>
        </is>
      </c>
      <c r="B389" s="1" t="n">
        <v>43733</v>
      </c>
      <c r="C389" s="1" t="n">
        <v>45835</v>
      </c>
      <c r="D389" t="inlineStr">
        <is>
          <t>JÄMTLANDS LÄN</t>
        </is>
      </c>
      <c r="E389" t="inlineStr">
        <is>
          <t>RAGUNDA</t>
        </is>
      </c>
      <c r="G389" t="n">
        <v>1.3</v>
      </c>
      <c r="H389" t="n">
        <v>0</v>
      </c>
      <c r="I389" t="n">
        <v>0</v>
      </c>
      <c r="J389" t="n">
        <v>0</v>
      </c>
      <c r="K389" t="n">
        <v>0</v>
      </c>
      <c r="L389" t="n">
        <v>0</v>
      </c>
      <c r="M389" t="n">
        <v>0</v>
      </c>
      <c r="N389" t="n">
        <v>0</v>
      </c>
      <c r="O389" t="n">
        <v>0</v>
      </c>
      <c r="P389" t="n">
        <v>0</v>
      </c>
      <c r="Q389" t="n">
        <v>0</v>
      </c>
      <c r="R389" s="2" t="inlineStr"/>
    </row>
    <row r="390" ht="15" customHeight="1">
      <c r="A390" t="inlineStr">
        <is>
          <t>A 49945-2019</t>
        </is>
      </c>
      <c r="B390" s="1" t="n">
        <v>43733</v>
      </c>
      <c r="C390" s="1" t="n">
        <v>45835</v>
      </c>
      <c r="D390" t="inlineStr">
        <is>
          <t>JÄMTLANDS LÄN</t>
        </is>
      </c>
      <c r="E390" t="inlineStr">
        <is>
          <t>RAGUNDA</t>
        </is>
      </c>
      <c r="G390" t="n">
        <v>1.5</v>
      </c>
      <c r="H390" t="n">
        <v>0</v>
      </c>
      <c r="I390" t="n">
        <v>0</v>
      </c>
      <c r="J390" t="n">
        <v>0</v>
      </c>
      <c r="K390" t="n">
        <v>0</v>
      </c>
      <c r="L390" t="n">
        <v>0</v>
      </c>
      <c r="M390" t="n">
        <v>0</v>
      </c>
      <c r="N390" t="n">
        <v>0</v>
      </c>
      <c r="O390" t="n">
        <v>0</v>
      </c>
      <c r="P390" t="n">
        <v>0</v>
      </c>
      <c r="Q390" t="n">
        <v>0</v>
      </c>
      <c r="R390" s="2" t="inlineStr"/>
    </row>
    <row r="391" ht="15" customHeight="1">
      <c r="A391" t="inlineStr">
        <is>
          <t>A 52098-2019</t>
        </is>
      </c>
      <c r="B391" s="1" t="n">
        <v>43735</v>
      </c>
      <c r="C391" s="1" t="n">
        <v>45835</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51661-2019</t>
        </is>
      </c>
      <c r="B392" s="1" t="n">
        <v>43740</v>
      </c>
      <c r="C392" s="1" t="n">
        <v>45835</v>
      </c>
      <c r="D392" t="inlineStr">
        <is>
          <t>JÄMTLANDS LÄN</t>
        </is>
      </c>
      <c r="E392" t="inlineStr">
        <is>
          <t>RAGUNDA</t>
        </is>
      </c>
      <c r="G392" t="n">
        <v>1.4</v>
      </c>
      <c r="H392" t="n">
        <v>0</v>
      </c>
      <c r="I392" t="n">
        <v>0</v>
      </c>
      <c r="J392" t="n">
        <v>0</v>
      </c>
      <c r="K392" t="n">
        <v>0</v>
      </c>
      <c r="L392" t="n">
        <v>0</v>
      </c>
      <c r="M392" t="n">
        <v>0</v>
      </c>
      <c r="N392" t="n">
        <v>0</v>
      </c>
      <c r="O392" t="n">
        <v>0</v>
      </c>
      <c r="P392" t="n">
        <v>0</v>
      </c>
      <c r="Q392" t="n">
        <v>0</v>
      </c>
      <c r="R392" s="2" t="inlineStr"/>
    </row>
    <row r="393" ht="15" customHeight="1">
      <c r="A393" t="inlineStr">
        <is>
          <t>A 53849-2019</t>
        </is>
      </c>
      <c r="B393" s="1" t="n">
        <v>43742</v>
      </c>
      <c r="C393" s="1" t="n">
        <v>45835</v>
      </c>
      <c r="D393" t="inlineStr">
        <is>
          <t>JÄMTLANDS LÄN</t>
        </is>
      </c>
      <c r="E393" t="inlineStr">
        <is>
          <t>RAGUNDA</t>
        </is>
      </c>
      <c r="G393" t="n">
        <v>0.3</v>
      </c>
      <c r="H393" t="n">
        <v>0</v>
      </c>
      <c r="I393" t="n">
        <v>0</v>
      </c>
      <c r="J393" t="n">
        <v>0</v>
      </c>
      <c r="K393" t="n">
        <v>0</v>
      </c>
      <c r="L393" t="n">
        <v>0</v>
      </c>
      <c r="M393" t="n">
        <v>0</v>
      </c>
      <c r="N393" t="n">
        <v>0</v>
      </c>
      <c r="O393" t="n">
        <v>0</v>
      </c>
      <c r="P393" t="n">
        <v>0</v>
      </c>
      <c r="Q393" t="n">
        <v>0</v>
      </c>
      <c r="R393" s="2" t="inlineStr"/>
    </row>
    <row r="394" ht="15" customHeight="1">
      <c r="A394" t="inlineStr">
        <is>
          <t>A 52728-2019</t>
        </is>
      </c>
      <c r="B394" s="1" t="n">
        <v>43746</v>
      </c>
      <c r="C394" s="1" t="n">
        <v>45835</v>
      </c>
      <c r="D394" t="inlineStr">
        <is>
          <t>JÄMTLANDS LÄN</t>
        </is>
      </c>
      <c r="E394" t="inlineStr">
        <is>
          <t>RAGUNDA</t>
        </is>
      </c>
      <c r="G394" t="n">
        <v>1.6</v>
      </c>
      <c r="H394" t="n">
        <v>0</v>
      </c>
      <c r="I394" t="n">
        <v>0</v>
      </c>
      <c r="J394" t="n">
        <v>0</v>
      </c>
      <c r="K394" t="n">
        <v>0</v>
      </c>
      <c r="L394" t="n">
        <v>0</v>
      </c>
      <c r="M394" t="n">
        <v>0</v>
      </c>
      <c r="N394" t="n">
        <v>0</v>
      </c>
      <c r="O394" t="n">
        <v>0</v>
      </c>
      <c r="P394" t="n">
        <v>0</v>
      </c>
      <c r="Q394" t="n">
        <v>0</v>
      </c>
      <c r="R394" s="2" t="inlineStr"/>
    </row>
    <row r="395" ht="15" customHeight="1">
      <c r="A395" t="inlineStr">
        <is>
          <t>A 55353-2019</t>
        </is>
      </c>
      <c r="B395" s="1" t="n">
        <v>43756</v>
      </c>
      <c r="C395" s="1" t="n">
        <v>45835</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55875-2019</t>
        </is>
      </c>
      <c r="B396" s="1" t="n">
        <v>43759</v>
      </c>
      <c r="C396" s="1" t="n">
        <v>45835</v>
      </c>
      <c r="D396" t="inlineStr">
        <is>
          <t>JÄMTLANDS LÄN</t>
        </is>
      </c>
      <c r="E396" t="inlineStr">
        <is>
          <t>RAGUNDA</t>
        </is>
      </c>
      <c r="G396" t="n">
        <v>2.8</v>
      </c>
      <c r="H396" t="n">
        <v>0</v>
      </c>
      <c r="I396" t="n">
        <v>0</v>
      </c>
      <c r="J396" t="n">
        <v>0</v>
      </c>
      <c r="K396" t="n">
        <v>0</v>
      </c>
      <c r="L396" t="n">
        <v>0</v>
      </c>
      <c r="M396" t="n">
        <v>0</v>
      </c>
      <c r="N396" t="n">
        <v>0</v>
      </c>
      <c r="O396" t="n">
        <v>0</v>
      </c>
      <c r="P396" t="n">
        <v>0</v>
      </c>
      <c r="Q396" t="n">
        <v>0</v>
      </c>
      <c r="R396" s="2" t="inlineStr"/>
    </row>
    <row r="397" ht="15" customHeight="1">
      <c r="A397" t="inlineStr">
        <is>
          <t>A 55653-2019</t>
        </is>
      </c>
      <c r="B397" s="1" t="n">
        <v>43760</v>
      </c>
      <c r="C397" s="1" t="n">
        <v>45835</v>
      </c>
      <c r="D397" t="inlineStr">
        <is>
          <t>JÄMTLANDS LÄN</t>
        </is>
      </c>
      <c r="E397" t="inlineStr">
        <is>
          <t>RAGUNDA</t>
        </is>
      </c>
      <c r="G397" t="n">
        <v>4.2</v>
      </c>
      <c r="H397" t="n">
        <v>0</v>
      </c>
      <c r="I397" t="n">
        <v>0</v>
      </c>
      <c r="J397" t="n">
        <v>0</v>
      </c>
      <c r="K397" t="n">
        <v>0</v>
      </c>
      <c r="L397" t="n">
        <v>0</v>
      </c>
      <c r="M397" t="n">
        <v>0</v>
      </c>
      <c r="N397" t="n">
        <v>0</v>
      </c>
      <c r="O397" t="n">
        <v>0</v>
      </c>
      <c r="P397" t="n">
        <v>0</v>
      </c>
      <c r="Q397" t="n">
        <v>0</v>
      </c>
      <c r="R397" s="2" t="inlineStr"/>
    </row>
    <row r="398" ht="15" customHeight="1">
      <c r="A398" t="inlineStr">
        <is>
          <t>A 57860-2019</t>
        </is>
      </c>
      <c r="B398" s="1" t="n">
        <v>43768</v>
      </c>
      <c r="C398" s="1" t="n">
        <v>45835</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57783-2019</t>
        </is>
      </c>
      <c r="B399" s="1" t="n">
        <v>43768</v>
      </c>
      <c r="C399" s="1" t="n">
        <v>45835</v>
      </c>
      <c r="D399" t="inlineStr">
        <is>
          <t>JÄMTLANDS LÄN</t>
        </is>
      </c>
      <c r="E399" t="inlineStr">
        <is>
          <t>RAGUNDA</t>
        </is>
      </c>
      <c r="G399" t="n">
        <v>2.9</v>
      </c>
      <c r="H399" t="n">
        <v>0</v>
      </c>
      <c r="I399" t="n">
        <v>0</v>
      </c>
      <c r="J399" t="n">
        <v>0</v>
      </c>
      <c r="K399" t="n">
        <v>0</v>
      </c>
      <c r="L399" t="n">
        <v>0</v>
      </c>
      <c r="M399" t="n">
        <v>0</v>
      </c>
      <c r="N399" t="n">
        <v>0</v>
      </c>
      <c r="O399" t="n">
        <v>0</v>
      </c>
      <c r="P399" t="n">
        <v>0</v>
      </c>
      <c r="Q399" t="n">
        <v>0</v>
      </c>
      <c r="R399" s="2" t="inlineStr"/>
    </row>
    <row r="400" ht="15" customHeight="1">
      <c r="A400" t="inlineStr">
        <is>
          <t>A 58348-2019</t>
        </is>
      </c>
      <c r="B400" s="1" t="n">
        <v>43770</v>
      </c>
      <c r="C400" s="1" t="n">
        <v>45835</v>
      </c>
      <c r="D400" t="inlineStr">
        <is>
          <t>JÄMTLANDS LÄN</t>
        </is>
      </c>
      <c r="E400" t="inlineStr">
        <is>
          <t>RAGUNDA</t>
        </is>
      </c>
      <c r="F400" t="inlineStr">
        <is>
          <t>SCA</t>
        </is>
      </c>
      <c r="G400" t="n">
        <v>5.8</v>
      </c>
      <c r="H400" t="n">
        <v>0</v>
      </c>
      <c r="I400" t="n">
        <v>0</v>
      </c>
      <c r="J400" t="n">
        <v>0</v>
      </c>
      <c r="K400" t="n">
        <v>0</v>
      </c>
      <c r="L400" t="n">
        <v>0</v>
      </c>
      <c r="M400" t="n">
        <v>0</v>
      </c>
      <c r="N400" t="n">
        <v>0</v>
      </c>
      <c r="O400" t="n">
        <v>0</v>
      </c>
      <c r="P400" t="n">
        <v>0</v>
      </c>
      <c r="Q400" t="n">
        <v>0</v>
      </c>
      <c r="R400" s="2" t="inlineStr"/>
    </row>
    <row r="401" ht="15" customHeight="1">
      <c r="A401" t="inlineStr">
        <is>
          <t>A 58355-2019</t>
        </is>
      </c>
      <c r="B401" s="1" t="n">
        <v>43770</v>
      </c>
      <c r="C401" s="1" t="n">
        <v>45835</v>
      </c>
      <c r="D401" t="inlineStr">
        <is>
          <t>JÄMTLANDS LÄN</t>
        </is>
      </c>
      <c r="E401" t="inlineStr">
        <is>
          <t>RAGUNDA</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59484-2019</t>
        </is>
      </c>
      <c r="B402" s="1" t="n">
        <v>43773</v>
      </c>
      <c r="C402" s="1" t="n">
        <v>45835</v>
      </c>
      <c r="D402" t="inlineStr">
        <is>
          <t>JÄMTLANDS LÄN</t>
        </is>
      </c>
      <c r="E402" t="inlineStr">
        <is>
          <t>RAGUNDA</t>
        </is>
      </c>
      <c r="G402" t="n">
        <v>0.5</v>
      </c>
      <c r="H402" t="n">
        <v>0</v>
      </c>
      <c r="I402" t="n">
        <v>0</v>
      </c>
      <c r="J402" t="n">
        <v>0</v>
      </c>
      <c r="K402" t="n">
        <v>0</v>
      </c>
      <c r="L402" t="n">
        <v>0</v>
      </c>
      <c r="M402" t="n">
        <v>0</v>
      </c>
      <c r="N402" t="n">
        <v>0</v>
      </c>
      <c r="O402" t="n">
        <v>0</v>
      </c>
      <c r="P402" t="n">
        <v>0</v>
      </c>
      <c r="Q402" t="n">
        <v>0</v>
      </c>
      <c r="R402" s="2" t="inlineStr"/>
    </row>
    <row r="403" ht="15" customHeight="1">
      <c r="A403" t="inlineStr">
        <is>
          <t>A 58795-2019</t>
        </is>
      </c>
      <c r="B403" s="1" t="n">
        <v>43773</v>
      </c>
      <c r="C403" s="1" t="n">
        <v>45835</v>
      </c>
      <c r="D403" t="inlineStr">
        <is>
          <t>JÄMTLANDS LÄN</t>
        </is>
      </c>
      <c r="E403" t="inlineStr">
        <is>
          <t>RAGUNDA</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59501-2019</t>
        </is>
      </c>
      <c r="B404" s="1" t="n">
        <v>43773</v>
      </c>
      <c r="C404" s="1" t="n">
        <v>45835</v>
      </c>
      <c r="D404" t="inlineStr">
        <is>
          <t>JÄMTLANDS LÄN</t>
        </is>
      </c>
      <c r="E404" t="inlineStr">
        <is>
          <t>RAGUNDA</t>
        </is>
      </c>
      <c r="G404" t="n">
        <v>0.5</v>
      </c>
      <c r="H404" t="n">
        <v>0</v>
      </c>
      <c r="I404" t="n">
        <v>0</v>
      </c>
      <c r="J404" t="n">
        <v>0</v>
      </c>
      <c r="K404" t="n">
        <v>0</v>
      </c>
      <c r="L404" t="n">
        <v>0</v>
      </c>
      <c r="M404" t="n">
        <v>0</v>
      </c>
      <c r="N404" t="n">
        <v>0</v>
      </c>
      <c r="O404" t="n">
        <v>0</v>
      </c>
      <c r="P404" t="n">
        <v>0</v>
      </c>
      <c r="Q404" t="n">
        <v>0</v>
      </c>
      <c r="R404" s="2" t="inlineStr"/>
    </row>
    <row r="405" ht="15" customHeight="1">
      <c r="A405" t="inlineStr">
        <is>
          <t>A 59194-2019</t>
        </is>
      </c>
      <c r="B405" s="1" t="n">
        <v>43775</v>
      </c>
      <c r="C405" s="1" t="n">
        <v>45835</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60119-2019</t>
        </is>
      </c>
      <c r="B406" s="1" t="n">
        <v>43777</v>
      </c>
      <c r="C406" s="1" t="n">
        <v>45835</v>
      </c>
      <c r="D406" t="inlineStr">
        <is>
          <t>JÄMTLANDS LÄN</t>
        </is>
      </c>
      <c r="E406" t="inlineStr">
        <is>
          <t>RAGUNDA</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62340-2019</t>
        </is>
      </c>
      <c r="B407" s="1" t="n">
        <v>43782</v>
      </c>
      <c r="C407" s="1" t="n">
        <v>45835</v>
      </c>
      <c r="D407" t="inlineStr">
        <is>
          <t>JÄMTLANDS LÄN</t>
        </is>
      </c>
      <c r="E407" t="inlineStr">
        <is>
          <t>RAGUNDA</t>
        </is>
      </c>
      <c r="G407" t="n">
        <v>2.5</v>
      </c>
      <c r="H407" t="n">
        <v>0</v>
      </c>
      <c r="I407" t="n">
        <v>0</v>
      </c>
      <c r="J407" t="n">
        <v>0</v>
      </c>
      <c r="K407" t="n">
        <v>0</v>
      </c>
      <c r="L407" t="n">
        <v>0</v>
      </c>
      <c r="M407" t="n">
        <v>0</v>
      </c>
      <c r="N407" t="n">
        <v>0</v>
      </c>
      <c r="O407" t="n">
        <v>0</v>
      </c>
      <c r="P407" t="n">
        <v>0</v>
      </c>
      <c r="Q407" t="n">
        <v>0</v>
      </c>
      <c r="R407" s="2" t="inlineStr"/>
    </row>
    <row r="408" ht="15" customHeight="1">
      <c r="A408" t="inlineStr">
        <is>
          <t>A 61514-2019</t>
        </is>
      </c>
      <c r="B408" s="1" t="n">
        <v>43783</v>
      </c>
      <c r="C408" s="1" t="n">
        <v>45835</v>
      </c>
      <c r="D408" t="inlineStr">
        <is>
          <t>JÄMTLANDS LÄN</t>
        </is>
      </c>
      <c r="E408" t="inlineStr">
        <is>
          <t>RAGUNDA</t>
        </is>
      </c>
      <c r="G408" t="n">
        <v>2.3</v>
      </c>
      <c r="H408" t="n">
        <v>0</v>
      </c>
      <c r="I408" t="n">
        <v>0</v>
      </c>
      <c r="J408" t="n">
        <v>0</v>
      </c>
      <c r="K408" t="n">
        <v>0</v>
      </c>
      <c r="L408" t="n">
        <v>0</v>
      </c>
      <c r="M408" t="n">
        <v>0</v>
      </c>
      <c r="N408" t="n">
        <v>0</v>
      </c>
      <c r="O408" t="n">
        <v>0</v>
      </c>
      <c r="P408" t="n">
        <v>0</v>
      </c>
      <c r="Q408" t="n">
        <v>0</v>
      </c>
      <c r="R408" s="2" t="inlineStr"/>
    </row>
    <row r="409" ht="15" customHeight="1">
      <c r="A409" t="inlineStr">
        <is>
          <t>A 62129-2019</t>
        </is>
      </c>
      <c r="B409" s="1" t="n">
        <v>43787</v>
      </c>
      <c r="C409" s="1" t="n">
        <v>45835</v>
      </c>
      <c r="D409" t="inlineStr">
        <is>
          <t>JÄMTLANDS LÄN</t>
        </is>
      </c>
      <c r="E409" t="inlineStr">
        <is>
          <t>RAGUNDA</t>
        </is>
      </c>
      <c r="G409" t="n">
        <v>1.1</v>
      </c>
      <c r="H409" t="n">
        <v>0</v>
      </c>
      <c r="I409" t="n">
        <v>0</v>
      </c>
      <c r="J409" t="n">
        <v>0</v>
      </c>
      <c r="K409" t="n">
        <v>0</v>
      </c>
      <c r="L409" t="n">
        <v>0</v>
      </c>
      <c r="M409" t="n">
        <v>0</v>
      </c>
      <c r="N409" t="n">
        <v>0</v>
      </c>
      <c r="O409" t="n">
        <v>0</v>
      </c>
      <c r="P409" t="n">
        <v>0</v>
      </c>
      <c r="Q409" t="n">
        <v>0</v>
      </c>
      <c r="R409" s="2" t="inlineStr"/>
    </row>
    <row r="410" ht="15" customHeight="1">
      <c r="A410" t="inlineStr">
        <is>
          <t>A 62484-2019</t>
        </is>
      </c>
      <c r="B410" s="1" t="n">
        <v>43788</v>
      </c>
      <c r="C410" s="1" t="n">
        <v>45835</v>
      </c>
      <c r="D410" t="inlineStr">
        <is>
          <t>JÄMTLANDS LÄN</t>
        </is>
      </c>
      <c r="E410" t="inlineStr">
        <is>
          <t>RAGUNDA</t>
        </is>
      </c>
      <c r="G410" t="n">
        <v>11.9</v>
      </c>
      <c r="H410" t="n">
        <v>0</v>
      </c>
      <c r="I410" t="n">
        <v>0</v>
      </c>
      <c r="J410" t="n">
        <v>0</v>
      </c>
      <c r="K410" t="n">
        <v>0</v>
      </c>
      <c r="L410" t="n">
        <v>0</v>
      </c>
      <c r="M410" t="n">
        <v>0</v>
      </c>
      <c r="N410" t="n">
        <v>0</v>
      </c>
      <c r="O410" t="n">
        <v>0</v>
      </c>
      <c r="P410" t="n">
        <v>0</v>
      </c>
      <c r="Q410" t="n">
        <v>0</v>
      </c>
      <c r="R410" s="2" t="inlineStr"/>
      <c r="U410">
        <f>HYPERLINK("https://klasma.github.io/Logging_2303/knärot/A 62484-2019 karta knärot.png", "A 62484-2019")</f>
        <v/>
      </c>
      <c r="V410">
        <f>HYPERLINK("https://klasma.github.io/Logging_2303/klagomål/A 62484-2019 FSC-klagomål.docx", "A 62484-2019")</f>
        <v/>
      </c>
      <c r="W410">
        <f>HYPERLINK("https://klasma.github.io/Logging_2303/klagomålsmail/A 62484-2019 FSC-klagomål mail.docx", "A 62484-2019")</f>
        <v/>
      </c>
      <c r="X410">
        <f>HYPERLINK("https://klasma.github.io/Logging_2303/tillsyn/A 62484-2019 tillsynsbegäran.docx", "A 62484-2019")</f>
        <v/>
      </c>
      <c r="Y410">
        <f>HYPERLINK("https://klasma.github.io/Logging_2303/tillsynsmail/A 62484-2019 tillsynsbegäran mail.docx", "A 62484-2019")</f>
        <v/>
      </c>
    </row>
    <row r="411" ht="15" customHeight="1">
      <c r="A411" t="inlineStr">
        <is>
          <t>A 64097-2019</t>
        </is>
      </c>
      <c r="B411" s="1" t="n">
        <v>43791</v>
      </c>
      <c r="C411" s="1" t="n">
        <v>45835</v>
      </c>
      <c r="D411" t="inlineStr">
        <is>
          <t>JÄMTLANDS LÄN</t>
        </is>
      </c>
      <c r="E411" t="inlineStr">
        <is>
          <t>RAGUNDA</t>
        </is>
      </c>
      <c r="G411" t="n">
        <v>1.3</v>
      </c>
      <c r="H411" t="n">
        <v>0</v>
      </c>
      <c r="I411" t="n">
        <v>0</v>
      </c>
      <c r="J411" t="n">
        <v>0</v>
      </c>
      <c r="K411" t="n">
        <v>0</v>
      </c>
      <c r="L411" t="n">
        <v>0</v>
      </c>
      <c r="M411" t="n">
        <v>0</v>
      </c>
      <c r="N411" t="n">
        <v>0</v>
      </c>
      <c r="O411" t="n">
        <v>0</v>
      </c>
      <c r="P411" t="n">
        <v>0</v>
      </c>
      <c r="Q411" t="n">
        <v>0</v>
      </c>
      <c r="R411" s="2" t="inlineStr"/>
    </row>
    <row r="412" ht="15" customHeight="1">
      <c r="A412" t="inlineStr">
        <is>
          <t>A 63841-2019</t>
        </is>
      </c>
      <c r="B412" s="1" t="n">
        <v>43795</v>
      </c>
      <c r="C412" s="1" t="n">
        <v>45835</v>
      </c>
      <c r="D412" t="inlineStr">
        <is>
          <t>JÄMTLANDS LÄN</t>
        </is>
      </c>
      <c r="E412" t="inlineStr">
        <is>
          <t>RAGUNDA</t>
        </is>
      </c>
      <c r="F412" t="inlineStr">
        <is>
          <t>SCA</t>
        </is>
      </c>
      <c r="G412" t="n">
        <v>7</v>
      </c>
      <c r="H412" t="n">
        <v>0</v>
      </c>
      <c r="I412" t="n">
        <v>0</v>
      </c>
      <c r="J412" t="n">
        <v>0</v>
      </c>
      <c r="K412" t="n">
        <v>0</v>
      </c>
      <c r="L412" t="n">
        <v>0</v>
      </c>
      <c r="M412" t="n">
        <v>0</v>
      </c>
      <c r="N412" t="n">
        <v>0</v>
      </c>
      <c r="O412" t="n">
        <v>0</v>
      </c>
      <c r="P412" t="n">
        <v>0</v>
      </c>
      <c r="Q412" t="n">
        <v>0</v>
      </c>
      <c r="R412" s="2" t="inlineStr"/>
    </row>
    <row r="413" ht="15" customHeight="1">
      <c r="A413" t="inlineStr">
        <is>
          <t>A 64316-2019</t>
        </is>
      </c>
      <c r="B413" s="1" t="n">
        <v>43797</v>
      </c>
      <c r="C413" s="1" t="n">
        <v>45835</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64432-2019</t>
        </is>
      </c>
      <c r="B414" s="1" t="n">
        <v>43797</v>
      </c>
      <c r="C414" s="1" t="n">
        <v>45835</v>
      </c>
      <c r="D414" t="inlineStr">
        <is>
          <t>JÄMTLANDS LÄN</t>
        </is>
      </c>
      <c r="E414" t="inlineStr">
        <is>
          <t>RAGUNDA</t>
        </is>
      </c>
      <c r="G414" t="n">
        <v>3.1</v>
      </c>
      <c r="H414" t="n">
        <v>0</v>
      </c>
      <c r="I414" t="n">
        <v>0</v>
      </c>
      <c r="J414" t="n">
        <v>0</v>
      </c>
      <c r="K414" t="n">
        <v>0</v>
      </c>
      <c r="L414" t="n">
        <v>0</v>
      </c>
      <c r="M414" t="n">
        <v>0</v>
      </c>
      <c r="N414" t="n">
        <v>0</v>
      </c>
      <c r="O414" t="n">
        <v>0</v>
      </c>
      <c r="P414" t="n">
        <v>0</v>
      </c>
      <c r="Q414" t="n">
        <v>0</v>
      </c>
      <c r="R414" s="2" t="inlineStr"/>
    </row>
    <row r="415" ht="15" customHeight="1">
      <c r="A415" t="inlineStr">
        <is>
          <t>A 66475-2019</t>
        </is>
      </c>
      <c r="B415" s="1" t="n">
        <v>43803</v>
      </c>
      <c r="C415" s="1" t="n">
        <v>45835</v>
      </c>
      <c r="D415" t="inlineStr">
        <is>
          <t>JÄMTLANDS LÄN</t>
        </is>
      </c>
      <c r="E415" t="inlineStr">
        <is>
          <t>RAGUNDA</t>
        </is>
      </c>
      <c r="G415" t="n">
        <v>0.5</v>
      </c>
      <c r="H415" t="n">
        <v>0</v>
      </c>
      <c r="I415" t="n">
        <v>0</v>
      </c>
      <c r="J415" t="n">
        <v>0</v>
      </c>
      <c r="K415" t="n">
        <v>0</v>
      </c>
      <c r="L415" t="n">
        <v>0</v>
      </c>
      <c r="M415" t="n">
        <v>0</v>
      </c>
      <c r="N415" t="n">
        <v>0</v>
      </c>
      <c r="O415" t="n">
        <v>0</v>
      </c>
      <c r="P415" t="n">
        <v>0</v>
      </c>
      <c r="Q415" t="n">
        <v>0</v>
      </c>
      <c r="R415" s="2" t="inlineStr"/>
    </row>
    <row r="416" ht="15" customHeight="1">
      <c r="A416" t="inlineStr">
        <is>
          <t>A 67122-2019</t>
        </is>
      </c>
      <c r="B416" s="1" t="n">
        <v>43805</v>
      </c>
      <c r="C416" s="1" t="n">
        <v>45835</v>
      </c>
      <c r="D416" t="inlineStr">
        <is>
          <t>JÄMTLANDS LÄN</t>
        </is>
      </c>
      <c r="E416" t="inlineStr">
        <is>
          <t>RAGUNDA</t>
        </is>
      </c>
      <c r="G416" t="n">
        <v>0.2</v>
      </c>
      <c r="H416" t="n">
        <v>0</v>
      </c>
      <c r="I416" t="n">
        <v>0</v>
      </c>
      <c r="J416" t="n">
        <v>0</v>
      </c>
      <c r="K416" t="n">
        <v>0</v>
      </c>
      <c r="L416" t="n">
        <v>0</v>
      </c>
      <c r="M416" t="n">
        <v>0</v>
      </c>
      <c r="N416" t="n">
        <v>0</v>
      </c>
      <c r="O416" t="n">
        <v>0</v>
      </c>
      <c r="P416" t="n">
        <v>0</v>
      </c>
      <c r="Q416" t="n">
        <v>0</v>
      </c>
      <c r="R416" s="2" t="inlineStr"/>
    </row>
    <row r="417" ht="15" customHeight="1">
      <c r="A417" t="inlineStr">
        <is>
          <t>A 67285-2019</t>
        </is>
      </c>
      <c r="B417" s="1" t="n">
        <v>43812</v>
      </c>
      <c r="C417" s="1" t="n">
        <v>45835</v>
      </c>
      <c r="D417" t="inlineStr">
        <is>
          <t>JÄMTLANDS LÄN</t>
        </is>
      </c>
      <c r="E417" t="inlineStr">
        <is>
          <t>RAGUNDA</t>
        </is>
      </c>
      <c r="G417" t="n">
        <v>2.5</v>
      </c>
      <c r="H417" t="n">
        <v>0</v>
      </c>
      <c r="I417" t="n">
        <v>0</v>
      </c>
      <c r="J417" t="n">
        <v>0</v>
      </c>
      <c r="K417" t="n">
        <v>0</v>
      </c>
      <c r="L417" t="n">
        <v>0</v>
      </c>
      <c r="M417" t="n">
        <v>0</v>
      </c>
      <c r="N417" t="n">
        <v>0</v>
      </c>
      <c r="O417" t="n">
        <v>0</v>
      </c>
      <c r="P417" t="n">
        <v>0</v>
      </c>
      <c r="Q417" t="n">
        <v>0</v>
      </c>
      <c r="R417" s="2" t="inlineStr"/>
    </row>
    <row r="418" ht="15" customHeight="1">
      <c r="A418" t="inlineStr">
        <is>
          <t>A 68600-2019</t>
        </is>
      </c>
      <c r="B418" s="1" t="n">
        <v>43818</v>
      </c>
      <c r="C418" s="1" t="n">
        <v>45835</v>
      </c>
      <c r="D418" t="inlineStr">
        <is>
          <t>JÄMTLANDS LÄN</t>
        </is>
      </c>
      <c r="E418" t="inlineStr">
        <is>
          <t>RAGUNDA</t>
        </is>
      </c>
      <c r="G418" t="n">
        <v>0.2</v>
      </c>
      <c r="H418" t="n">
        <v>0</v>
      </c>
      <c r="I418" t="n">
        <v>0</v>
      </c>
      <c r="J418" t="n">
        <v>0</v>
      </c>
      <c r="K418" t="n">
        <v>0</v>
      </c>
      <c r="L418" t="n">
        <v>0</v>
      </c>
      <c r="M418" t="n">
        <v>0</v>
      </c>
      <c r="N418" t="n">
        <v>0</v>
      </c>
      <c r="O418" t="n">
        <v>0</v>
      </c>
      <c r="P418" t="n">
        <v>0</v>
      </c>
      <c r="Q418" t="n">
        <v>0</v>
      </c>
      <c r="R418" s="2" t="inlineStr"/>
    </row>
    <row r="419" ht="15" customHeight="1">
      <c r="A419" t="inlineStr">
        <is>
          <t>A 68601-2019</t>
        </is>
      </c>
      <c r="B419" s="1" t="n">
        <v>43818</v>
      </c>
      <c r="C419" s="1" t="n">
        <v>45835</v>
      </c>
      <c r="D419" t="inlineStr">
        <is>
          <t>JÄMTLANDS LÄN</t>
        </is>
      </c>
      <c r="E419" t="inlineStr">
        <is>
          <t>RAGUNDA</t>
        </is>
      </c>
      <c r="G419" t="n">
        <v>1.9</v>
      </c>
      <c r="H419" t="n">
        <v>0</v>
      </c>
      <c r="I419" t="n">
        <v>0</v>
      </c>
      <c r="J419" t="n">
        <v>0</v>
      </c>
      <c r="K419" t="n">
        <v>0</v>
      </c>
      <c r="L419" t="n">
        <v>0</v>
      </c>
      <c r="M419" t="n">
        <v>0</v>
      </c>
      <c r="N419" t="n">
        <v>0</v>
      </c>
      <c r="O419" t="n">
        <v>0</v>
      </c>
      <c r="P419" t="n">
        <v>0</v>
      </c>
      <c r="Q419" t="n">
        <v>0</v>
      </c>
      <c r="R419" s="2" t="inlineStr"/>
    </row>
    <row r="420" ht="15" customHeight="1">
      <c r="A420" t="inlineStr">
        <is>
          <t>A 68840-2019</t>
        </is>
      </c>
      <c r="B420" s="1" t="n">
        <v>43819</v>
      </c>
      <c r="C420" s="1" t="n">
        <v>45835</v>
      </c>
      <c r="D420" t="inlineStr">
        <is>
          <t>JÄMTLANDS LÄN</t>
        </is>
      </c>
      <c r="E420" t="inlineStr">
        <is>
          <t>RAGUNDA</t>
        </is>
      </c>
      <c r="G420" t="n">
        <v>2.2</v>
      </c>
      <c r="H420" t="n">
        <v>0</v>
      </c>
      <c r="I420" t="n">
        <v>0</v>
      </c>
      <c r="J420" t="n">
        <v>0</v>
      </c>
      <c r="K420" t="n">
        <v>0</v>
      </c>
      <c r="L420" t="n">
        <v>0</v>
      </c>
      <c r="M420" t="n">
        <v>0</v>
      </c>
      <c r="N420" t="n">
        <v>0</v>
      </c>
      <c r="O420" t="n">
        <v>0</v>
      </c>
      <c r="P420" t="n">
        <v>0</v>
      </c>
      <c r="Q420" t="n">
        <v>0</v>
      </c>
      <c r="R420" s="2" t="inlineStr"/>
    </row>
    <row r="421" ht="15" customHeight="1">
      <c r="A421" t="inlineStr">
        <is>
          <t>A 1784-2020</t>
        </is>
      </c>
      <c r="B421" s="1" t="n">
        <v>43833</v>
      </c>
      <c r="C421" s="1" t="n">
        <v>45835</v>
      </c>
      <c r="D421" t="inlineStr">
        <is>
          <t>JÄMTLANDS LÄN</t>
        </is>
      </c>
      <c r="E421" t="inlineStr">
        <is>
          <t>RAGUNDA</t>
        </is>
      </c>
      <c r="G421" t="n">
        <v>15.5</v>
      </c>
      <c r="H421" t="n">
        <v>0</v>
      </c>
      <c r="I421" t="n">
        <v>0</v>
      </c>
      <c r="J421" t="n">
        <v>0</v>
      </c>
      <c r="K421" t="n">
        <v>0</v>
      </c>
      <c r="L421" t="n">
        <v>0</v>
      </c>
      <c r="M421" t="n">
        <v>0</v>
      </c>
      <c r="N421" t="n">
        <v>0</v>
      </c>
      <c r="O421" t="n">
        <v>0</v>
      </c>
      <c r="P421" t="n">
        <v>0</v>
      </c>
      <c r="Q421" t="n">
        <v>0</v>
      </c>
      <c r="R421" s="2" t="inlineStr"/>
    </row>
    <row r="422" ht="15" customHeight="1">
      <c r="A422" t="inlineStr">
        <is>
          <t>A 2636-2020</t>
        </is>
      </c>
      <c r="B422" s="1" t="n">
        <v>43847</v>
      </c>
      <c r="C422" s="1" t="n">
        <v>45835</v>
      </c>
      <c r="D422" t="inlineStr">
        <is>
          <t>JÄMTLANDS LÄN</t>
        </is>
      </c>
      <c r="E422" t="inlineStr">
        <is>
          <t>RAGUNDA</t>
        </is>
      </c>
      <c r="G422" t="n">
        <v>2.9</v>
      </c>
      <c r="H422" t="n">
        <v>0</v>
      </c>
      <c r="I422" t="n">
        <v>0</v>
      </c>
      <c r="J422" t="n">
        <v>0</v>
      </c>
      <c r="K422" t="n">
        <v>0</v>
      </c>
      <c r="L422" t="n">
        <v>0</v>
      </c>
      <c r="M422" t="n">
        <v>0</v>
      </c>
      <c r="N422" t="n">
        <v>0</v>
      </c>
      <c r="O422" t="n">
        <v>0</v>
      </c>
      <c r="P422" t="n">
        <v>0</v>
      </c>
      <c r="Q422" t="n">
        <v>0</v>
      </c>
      <c r="R422" s="2" t="inlineStr"/>
    </row>
    <row r="423" ht="15" customHeight="1">
      <c r="A423" t="inlineStr">
        <is>
          <t>A 2791-2020</t>
        </is>
      </c>
      <c r="B423" s="1" t="n">
        <v>43850</v>
      </c>
      <c r="C423" s="1" t="n">
        <v>45835</v>
      </c>
      <c r="D423" t="inlineStr">
        <is>
          <t>JÄMTLANDS LÄN</t>
        </is>
      </c>
      <c r="E423" t="inlineStr">
        <is>
          <t>RAGUNDA</t>
        </is>
      </c>
      <c r="G423" t="n">
        <v>1.1</v>
      </c>
      <c r="H423" t="n">
        <v>0</v>
      </c>
      <c r="I423" t="n">
        <v>0</v>
      </c>
      <c r="J423" t="n">
        <v>0</v>
      </c>
      <c r="K423" t="n">
        <v>0</v>
      </c>
      <c r="L423" t="n">
        <v>0</v>
      </c>
      <c r="M423" t="n">
        <v>0</v>
      </c>
      <c r="N423" t="n">
        <v>0</v>
      </c>
      <c r="O423" t="n">
        <v>0</v>
      </c>
      <c r="P423" t="n">
        <v>0</v>
      </c>
      <c r="Q423" t="n">
        <v>0</v>
      </c>
      <c r="R423" s="2" t="inlineStr"/>
    </row>
    <row r="424" ht="15" customHeight="1">
      <c r="A424" t="inlineStr">
        <is>
          <t>A 6051-2020</t>
        </is>
      </c>
      <c r="B424" s="1" t="n">
        <v>43861</v>
      </c>
      <c r="C424" s="1" t="n">
        <v>45835</v>
      </c>
      <c r="D424" t="inlineStr">
        <is>
          <t>JÄMTLANDS LÄN</t>
        </is>
      </c>
      <c r="E424" t="inlineStr">
        <is>
          <t>RAGUNDA</t>
        </is>
      </c>
      <c r="G424" t="n">
        <v>3.4</v>
      </c>
      <c r="H424" t="n">
        <v>0</v>
      </c>
      <c r="I424" t="n">
        <v>0</v>
      </c>
      <c r="J424" t="n">
        <v>0</v>
      </c>
      <c r="K424" t="n">
        <v>0</v>
      </c>
      <c r="L424" t="n">
        <v>0</v>
      </c>
      <c r="M424" t="n">
        <v>0</v>
      </c>
      <c r="N424" t="n">
        <v>0</v>
      </c>
      <c r="O424" t="n">
        <v>0</v>
      </c>
      <c r="P424" t="n">
        <v>0</v>
      </c>
      <c r="Q424" t="n">
        <v>0</v>
      </c>
      <c r="R424" s="2" t="inlineStr"/>
    </row>
    <row r="425" ht="15" customHeight="1">
      <c r="A425" t="inlineStr">
        <is>
          <t>A 7071-2020</t>
        </is>
      </c>
      <c r="B425" s="1" t="n">
        <v>43868</v>
      </c>
      <c r="C425" s="1" t="n">
        <v>45835</v>
      </c>
      <c r="D425" t="inlineStr">
        <is>
          <t>JÄMTLANDS LÄN</t>
        </is>
      </c>
      <c r="E425" t="inlineStr">
        <is>
          <t>RAGUNDA</t>
        </is>
      </c>
      <c r="G425" t="n">
        <v>2.1</v>
      </c>
      <c r="H425" t="n">
        <v>0</v>
      </c>
      <c r="I425" t="n">
        <v>0</v>
      </c>
      <c r="J425" t="n">
        <v>0</v>
      </c>
      <c r="K425" t="n">
        <v>0</v>
      </c>
      <c r="L425" t="n">
        <v>0</v>
      </c>
      <c r="M425" t="n">
        <v>0</v>
      </c>
      <c r="N425" t="n">
        <v>0</v>
      </c>
      <c r="O425" t="n">
        <v>0</v>
      </c>
      <c r="P425" t="n">
        <v>0</v>
      </c>
      <c r="Q425" t="n">
        <v>0</v>
      </c>
      <c r="R425" s="2" t="inlineStr"/>
    </row>
    <row r="426" ht="15" customHeight="1">
      <c r="A426" t="inlineStr">
        <is>
          <t>A 7720-2020</t>
        </is>
      </c>
      <c r="B426" s="1" t="n">
        <v>43872</v>
      </c>
      <c r="C426" s="1" t="n">
        <v>45835</v>
      </c>
      <c r="D426" t="inlineStr">
        <is>
          <t>JÄMTLANDS LÄN</t>
        </is>
      </c>
      <c r="E426" t="inlineStr">
        <is>
          <t>RAGUNDA</t>
        </is>
      </c>
      <c r="G426" t="n">
        <v>1.5</v>
      </c>
      <c r="H426" t="n">
        <v>0</v>
      </c>
      <c r="I426" t="n">
        <v>0</v>
      </c>
      <c r="J426" t="n">
        <v>0</v>
      </c>
      <c r="K426" t="n">
        <v>0</v>
      </c>
      <c r="L426" t="n">
        <v>0</v>
      </c>
      <c r="M426" t="n">
        <v>0</v>
      </c>
      <c r="N426" t="n">
        <v>0</v>
      </c>
      <c r="O426" t="n">
        <v>0</v>
      </c>
      <c r="P426" t="n">
        <v>0</v>
      </c>
      <c r="Q426" t="n">
        <v>0</v>
      </c>
      <c r="R426" s="2" t="inlineStr"/>
    </row>
    <row r="427" ht="15" customHeight="1">
      <c r="A427" t="inlineStr">
        <is>
          <t>A 8040-2020</t>
        </is>
      </c>
      <c r="B427" s="1" t="n">
        <v>43873</v>
      </c>
      <c r="C427" s="1" t="n">
        <v>45835</v>
      </c>
      <c r="D427" t="inlineStr">
        <is>
          <t>JÄMTLANDS LÄN</t>
        </is>
      </c>
      <c r="E427" t="inlineStr">
        <is>
          <t>RAGUNDA</t>
        </is>
      </c>
      <c r="G427" t="n">
        <v>14</v>
      </c>
      <c r="H427" t="n">
        <v>0</v>
      </c>
      <c r="I427" t="n">
        <v>0</v>
      </c>
      <c r="J427" t="n">
        <v>0</v>
      </c>
      <c r="K427" t="n">
        <v>0</v>
      </c>
      <c r="L427" t="n">
        <v>0</v>
      </c>
      <c r="M427" t="n">
        <v>0</v>
      </c>
      <c r="N427" t="n">
        <v>0</v>
      </c>
      <c r="O427" t="n">
        <v>0</v>
      </c>
      <c r="P427" t="n">
        <v>0</v>
      </c>
      <c r="Q427" t="n">
        <v>0</v>
      </c>
      <c r="R427" s="2" t="inlineStr"/>
    </row>
    <row r="428" ht="15" customHeight="1">
      <c r="A428" t="inlineStr">
        <is>
          <t>A 9527-2020</t>
        </is>
      </c>
      <c r="B428" s="1" t="n">
        <v>43880</v>
      </c>
      <c r="C428" s="1" t="n">
        <v>45835</v>
      </c>
      <c r="D428" t="inlineStr">
        <is>
          <t>JÄMTLANDS LÄN</t>
        </is>
      </c>
      <c r="E428" t="inlineStr">
        <is>
          <t>RAGUNDA</t>
        </is>
      </c>
      <c r="G428" t="n">
        <v>4.7</v>
      </c>
      <c r="H428" t="n">
        <v>0</v>
      </c>
      <c r="I428" t="n">
        <v>0</v>
      </c>
      <c r="J428" t="n">
        <v>0</v>
      </c>
      <c r="K428" t="n">
        <v>0</v>
      </c>
      <c r="L428" t="n">
        <v>0</v>
      </c>
      <c r="M428" t="n">
        <v>0</v>
      </c>
      <c r="N428" t="n">
        <v>0</v>
      </c>
      <c r="O428" t="n">
        <v>0</v>
      </c>
      <c r="P428" t="n">
        <v>0</v>
      </c>
      <c r="Q428" t="n">
        <v>0</v>
      </c>
      <c r="R428" s="2" t="inlineStr"/>
    </row>
    <row r="429" ht="15" customHeight="1">
      <c r="A429" t="inlineStr">
        <is>
          <t>A 9823-2020</t>
        </is>
      </c>
      <c r="B429" s="1" t="n">
        <v>43881</v>
      </c>
      <c r="C429" s="1" t="n">
        <v>45835</v>
      </c>
      <c r="D429" t="inlineStr">
        <is>
          <t>JÄMTLANDS LÄN</t>
        </is>
      </c>
      <c r="E429" t="inlineStr">
        <is>
          <t>RAGUNDA</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9962-2020</t>
        </is>
      </c>
      <c r="B430" s="1" t="n">
        <v>43882</v>
      </c>
      <c r="C430" s="1" t="n">
        <v>45835</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10642-2020</t>
        </is>
      </c>
      <c r="B431" s="1" t="n">
        <v>43887</v>
      </c>
      <c r="C431" s="1" t="n">
        <v>45835</v>
      </c>
      <c r="D431" t="inlineStr">
        <is>
          <t>JÄMTLANDS LÄN</t>
        </is>
      </c>
      <c r="E431" t="inlineStr">
        <is>
          <t>RAGUNDA</t>
        </is>
      </c>
      <c r="G431" t="n">
        <v>4.6</v>
      </c>
      <c r="H431" t="n">
        <v>0</v>
      </c>
      <c r="I431" t="n">
        <v>0</v>
      </c>
      <c r="J431" t="n">
        <v>0</v>
      </c>
      <c r="K431" t="n">
        <v>0</v>
      </c>
      <c r="L431" t="n">
        <v>0</v>
      </c>
      <c r="M431" t="n">
        <v>0</v>
      </c>
      <c r="N431" t="n">
        <v>0</v>
      </c>
      <c r="O431" t="n">
        <v>0</v>
      </c>
      <c r="P431" t="n">
        <v>0</v>
      </c>
      <c r="Q431" t="n">
        <v>0</v>
      </c>
      <c r="R431" s="2" t="inlineStr"/>
    </row>
    <row r="432" ht="15" customHeight="1">
      <c r="A432" t="inlineStr">
        <is>
          <t>A 13057-2020</t>
        </is>
      </c>
      <c r="B432" s="1" t="n">
        <v>43900</v>
      </c>
      <c r="C432" s="1" t="n">
        <v>45835</v>
      </c>
      <c r="D432" t="inlineStr">
        <is>
          <t>JÄMTLANDS LÄN</t>
        </is>
      </c>
      <c r="E432" t="inlineStr">
        <is>
          <t>RAGUNDA</t>
        </is>
      </c>
      <c r="G432" t="n">
        <v>10.8</v>
      </c>
      <c r="H432" t="n">
        <v>0</v>
      </c>
      <c r="I432" t="n">
        <v>0</v>
      </c>
      <c r="J432" t="n">
        <v>0</v>
      </c>
      <c r="K432" t="n">
        <v>0</v>
      </c>
      <c r="L432" t="n">
        <v>0</v>
      </c>
      <c r="M432" t="n">
        <v>0</v>
      </c>
      <c r="N432" t="n">
        <v>0</v>
      </c>
      <c r="O432" t="n">
        <v>0</v>
      </c>
      <c r="P432" t="n">
        <v>0</v>
      </c>
      <c r="Q432" t="n">
        <v>0</v>
      </c>
      <c r="R432" s="2" t="inlineStr"/>
    </row>
    <row r="433" ht="15" customHeight="1">
      <c r="A433" t="inlineStr">
        <is>
          <t>A 13202-2020</t>
        </is>
      </c>
      <c r="B433" s="1" t="n">
        <v>43901</v>
      </c>
      <c r="C433" s="1" t="n">
        <v>45835</v>
      </c>
      <c r="D433" t="inlineStr">
        <is>
          <t>JÄMTLANDS LÄN</t>
        </is>
      </c>
      <c r="E433" t="inlineStr">
        <is>
          <t>RAGUNDA</t>
        </is>
      </c>
      <c r="G433" t="n">
        <v>6.9</v>
      </c>
      <c r="H433" t="n">
        <v>0</v>
      </c>
      <c r="I433" t="n">
        <v>0</v>
      </c>
      <c r="J433" t="n">
        <v>0</v>
      </c>
      <c r="K433" t="n">
        <v>0</v>
      </c>
      <c r="L433" t="n">
        <v>0</v>
      </c>
      <c r="M433" t="n">
        <v>0</v>
      </c>
      <c r="N433" t="n">
        <v>0</v>
      </c>
      <c r="O433" t="n">
        <v>0</v>
      </c>
      <c r="P433" t="n">
        <v>0</v>
      </c>
      <c r="Q433" t="n">
        <v>0</v>
      </c>
      <c r="R433" s="2" t="inlineStr"/>
    </row>
    <row r="434" ht="15" customHeight="1">
      <c r="A434" t="inlineStr">
        <is>
          <t>A 13563-2020</t>
        </is>
      </c>
      <c r="B434" s="1" t="n">
        <v>43902</v>
      </c>
      <c r="C434" s="1" t="n">
        <v>45835</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14293-2020</t>
        </is>
      </c>
      <c r="B435" s="1" t="n">
        <v>43907</v>
      </c>
      <c r="C435" s="1" t="n">
        <v>45835</v>
      </c>
      <c r="D435" t="inlineStr">
        <is>
          <t>JÄMTLANDS LÄN</t>
        </is>
      </c>
      <c r="E435" t="inlineStr">
        <is>
          <t>RAGUNDA</t>
        </is>
      </c>
      <c r="G435" t="n">
        <v>2.7</v>
      </c>
      <c r="H435" t="n">
        <v>0</v>
      </c>
      <c r="I435" t="n">
        <v>0</v>
      </c>
      <c r="J435" t="n">
        <v>0</v>
      </c>
      <c r="K435" t="n">
        <v>0</v>
      </c>
      <c r="L435" t="n">
        <v>0</v>
      </c>
      <c r="M435" t="n">
        <v>0</v>
      </c>
      <c r="N435" t="n">
        <v>0</v>
      </c>
      <c r="O435" t="n">
        <v>0</v>
      </c>
      <c r="P435" t="n">
        <v>0</v>
      </c>
      <c r="Q435" t="n">
        <v>0</v>
      </c>
      <c r="R435" s="2" t="inlineStr"/>
    </row>
    <row r="436" ht="15" customHeight="1">
      <c r="A436" t="inlineStr">
        <is>
          <t>A 15117-2020</t>
        </is>
      </c>
      <c r="B436" s="1" t="n">
        <v>43910</v>
      </c>
      <c r="C436" s="1" t="n">
        <v>45835</v>
      </c>
      <c r="D436" t="inlineStr">
        <is>
          <t>JÄMTLANDS LÄN</t>
        </is>
      </c>
      <c r="E436" t="inlineStr">
        <is>
          <t>RAGUNDA</t>
        </is>
      </c>
      <c r="G436" t="n">
        <v>0.6</v>
      </c>
      <c r="H436" t="n">
        <v>0</v>
      </c>
      <c r="I436" t="n">
        <v>0</v>
      </c>
      <c r="J436" t="n">
        <v>0</v>
      </c>
      <c r="K436" t="n">
        <v>0</v>
      </c>
      <c r="L436" t="n">
        <v>0</v>
      </c>
      <c r="M436" t="n">
        <v>0</v>
      </c>
      <c r="N436" t="n">
        <v>0</v>
      </c>
      <c r="O436" t="n">
        <v>0</v>
      </c>
      <c r="P436" t="n">
        <v>0</v>
      </c>
      <c r="Q436" t="n">
        <v>0</v>
      </c>
      <c r="R436" s="2" t="inlineStr"/>
    </row>
    <row r="437" ht="15" customHeight="1">
      <c r="A437" t="inlineStr">
        <is>
          <t>A 15118-2020</t>
        </is>
      </c>
      <c r="B437" s="1" t="n">
        <v>43910</v>
      </c>
      <c r="C437" s="1" t="n">
        <v>45835</v>
      </c>
      <c r="D437" t="inlineStr">
        <is>
          <t>JÄMTLANDS LÄN</t>
        </is>
      </c>
      <c r="E437" t="inlineStr">
        <is>
          <t>RAGUNDA</t>
        </is>
      </c>
      <c r="G437" t="n">
        <v>2.7</v>
      </c>
      <c r="H437" t="n">
        <v>0</v>
      </c>
      <c r="I437" t="n">
        <v>0</v>
      </c>
      <c r="J437" t="n">
        <v>0</v>
      </c>
      <c r="K437" t="n">
        <v>0</v>
      </c>
      <c r="L437" t="n">
        <v>0</v>
      </c>
      <c r="M437" t="n">
        <v>0</v>
      </c>
      <c r="N437" t="n">
        <v>0</v>
      </c>
      <c r="O437" t="n">
        <v>0</v>
      </c>
      <c r="P437" t="n">
        <v>0</v>
      </c>
      <c r="Q437" t="n">
        <v>0</v>
      </c>
      <c r="R437" s="2" t="inlineStr"/>
    </row>
    <row r="438" ht="15" customHeight="1">
      <c r="A438" t="inlineStr">
        <is>
          <t>A 15345-2020</t>
        </is>
      </c>
      <c r="B438" s="1" t="n">
        <v>43913</v>
      </c>
      <c r="C438" s="1" t="n">
        <v>45835</v>
      </c>
      <c r="D438" t="inlineStr">
        <is>
          <t>JÄMTLANDS LÄN</t>
        </is>
      </c>
      <c r="E438" t="inlineStr">
        <is>
          <t>RAGUNDA</t>
        </is>
      </c>
      <c r="G438" t="n">
        <v>1.9</v>
      </c>
      <c r="H438" t="n">
        <v>0</v>
      </c>
      <c r="I438" t="n">
        <v>0</v>
      </c>
      <c r="J438" t="n">
        <v>0</v>
      </c>
      <c r="K438" t="n">
        <v>0</v>
      </c>
      <c r="L438" t="n">
        <v>0</v>
      </c>
      <c r="M438" t="n">
        <v>0</v>
      </c>
      <c r="N438" t="n">
        <v>0</v>
      </c>
      <c r="O438" t="n">
        <v>0</v>
      </c>
      <c r="P438" t="n">
        <v>0</v>
      </c>
      <c r="Q438" t="n">
        <v>0</v>
      </c>
      <c r="R438" s="2" t="inlineStr"/>
    </row>
    <row r="439" ht="15" customHeight="1">
      <c r="A439" t="inlineStr">
        <is>
          <t>A 17845-2020</t>
        </is>
      </c>
      <c r="B439" s="1" t="n">
        <v>43923</v>
      </c>
      <c r="C439" s="1" t="n">
        <v>45835</v>
      </c>
      <c r="D439" t="inlineStr">
        <is>
          <t>JÄMTLANDS LÄN</t>
        </is>
      </c>
      <c r="E439" t="inlineStr">
        <is>
          <t>RAGUNDA</t>
        </is>
      </c>
      <c r="G439" t="n">
        <v>12.1</v>
      </c>
      <c r="H439" t="n">
        <v>0</v>
      </c>
      <c r="I439" t="n">
        <v>0</v>
      </c>
      <c r="J439" t="n">
        <v>0</v>
      </c>
      <c r="K439" t="n">
        <v>0</v>
      </c>
      <c r="L439" t="n">
        <v>0</v>
      </c>
      <c r="M439" t="n">
        <v>0</v>
      </c>
      <c r="N439" t="n">
        <v>0</v>
      </c>
      <c r="O439" t="n">
        <v>0</v>
      </c>
      <c r="P439" t="n">
        <v>0</v>
      </c>
      <c r="Q439" t="n">
        <v>0</v>
      </c>
      <c r="R439" s="2" t="inlineStr"/>
    </row>
    <row r="440" ht="15" customHeight="1">
      <c r="A440" t="inlineStr">
        <is>
          <t>A 19918-2020</t>
        </is>
      </c>
      <c r="B440" s="1" t="n">
        <v>43943</v>
      </c>
      <c r="C440" s="1" t="n">
        <v>45835</v>
      </c>
      <c r="D440" t="inlineStr">
        <is>
          <t>JÄMTLANDS LÄN</t>
        </is>
      </c>
      <c r="E440" t="inlineStr">
        <is>
          <t>RAGUNDA</t>
        </is>
      </c>
      <c r="G440" t="n">
        <v>6.2</v>
      </c>
      <c r="H440" t="n">
        <v>0</v>
      </c>
      <c r="I440" t="n">
        <v>0</v>
      </c>
      <c r="J440" t="n">
        <v>0</v>
      </c>
      <c r="K440" t="n">
        <v>0</v>
      </c>
      <c r="L440" t="n">
        <v>0</v>
      </c>
      <c r="M440" t="n">
        <v>0</v>
      </c>
      <c r="N440" t="n">
        <v>0</v>
      </c>
      <c r="O440" t="n">
        <v>0</v>
      </c>
      <c r="P440" t="n">
        <v>0</v>
      </c>
      <c r="Q440" t="n">
        <v>0</v>
      </c>
      <c r="R440" s="2" t="inlineStr"/>
    </row>
    <row r="441" ht="15" customHeight="1">
      <c r="A441" t="inlineStr">
        <is>
          <t>A 20616-2020</t>
        </is>
      </c>
      <c r="B441" s="1" t="n">
        <v>43948</v>
      </c>
      <c r="C441" s="1" t="n">
        <v>45835</v>
      </c>
      <c r="D441" t="inlineStr">
        <is>
          <t>JÄMTLANDS LÄN</t>
        </is>
      </c>
      <c r="E441" t="inlineStr">
        <is>
          <t>RAGUNDA</t>
        </is>
      </c>
      <c r="G441" t="n">
        <v>4.1</v>
      </c>
      <c r="H441" t="n">
        <v>0</v>
      </c>
      <c r="I441" t="n">
        <v>0</v>
      </c>
      <c r="J441" t="n">
        <v>0</v>
      </c>
      <c r="K441" t="n">
        <v>0</v>
      </c>
      <c r="L441" t="n">
        <v>0</v>
      </c>
      <c r="M441" t="n">
        <v>0</v>
      </c>
      <c r="N441" t="n">
        <v>0</v>
      </c>
      <c r="O441" t="n">
        <v>0</v>
      </c>
      <c r="P441" t="n">
        <v>0</v>
      </c>
      <c r="Q441" t="n">
        <v>0</v>
      </c>
      <c r="R441" s="2" t="inlineStr"/>
    </row>
    <row r="442" ht="15" customHeight="1">
      <c r="A442" t="inlineStr">
        <is>
          <t>A 20815-2020</t>
        </is>
      </c>
      <c r="B442" s="1" t="n">
        <v>43949</v>
      </c>
      <c r="C442" s="1" t="n">
        <v>45835</v>
      </c>
      <c r="D442" t="inlineStr">
        <is>
          <t>JÄMTLANDS LÄN</t>
        </is>
      </c>
      <c r="E442" t="inlineStr">
        <is>
          <t>RAGUNDA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21172-2020</t>
        </is>
      </c>
      <c r="B443" s="1" t="n">
        <v>43951</v>
      </c>
      <c r="C443" s="1" t="n">
        <v>45835</v>
      </c>
      <c r="D443" t="inlineStr">
        <is>
          <t>JÄMTLANDS LÄN</t>
        </is>
      </c>
      <c r="E443" t="inlineStr">
        <is>
          <t>RAGUNDA</t>
        </is>
      </c>
      <c r="G443" t="n">
        <v>3.6</v>
      </c>
      <c r="H443" t="n">
        <v>0</v>
      </c>
      <c r="I443" t="n">
        <v>0</v>
      </c>
      <c r="J443" t="n">
        <v>0</v>
      </c>
      <c r="K443" t="n">
        <v>0</v>
      </c>
      <c r="L443" t="n">
        <v>0</v>
      </c>
      <c r="M443" t="n">
        <v>0</v>
      </c>
      <c r="N443" t="n">
        <v>0</v>
      </c>
      <c r="O443" t="n">
        <v>0</v>
      </c>
      <c r="P443" t="n">
        <v>0</v>
      </c>
      <c r="Q443" t="n">
        <v>0</v>
      </c>
      <c r="R443" s="2" t="inlineStr"/>
    </row>
    <row r="444" ht="15" customHeight="1">
      <c r="A444" t="inlineStr">
        <is>
          <t>A 21419-2020</t>
        </is>
      </c>
      <c r="B444" s="1" t="n">
        <v>43955</v>
      </c>
      <c r="C444" s="1" t="n">
        <v>45835</v>
      </c>
      <c r="D444" t="inlineStr">
        <is>
          <t>JÄMTLANDS LÄN</t>
        </is>
      </c>
      <c r="E444" t="inlineStr">
        <is>
          <t>RAGUNDA</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21418-2020</t>
        </is>
      </c>
      <c r="B445" s="1" t="n">
        <v>43955</v>
      </c>
      <c r="C445" s="1" t="n">
        <v>45835</v>
      </c>
      <c r="D445" t="inlineStr">
        <is>
          <t>JÄMTLANDS LÄN</t>
        </is>
      </c>
      <c r="E445" t="inlineStr">
        <is>
          <t>RAGUNDA</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21420-2020</t>
        </is>
      </c>
      <c r="B446" s="1" t="n">
        <v>43955</v>
      </c>
      <c r="C446" s="1" t="n">
        <v>45835</v>
      </c>
      <c r="D446" t="inlineStr">
        <is>
          <t>JÄMTLANDS LÄN</t>
        </is>
      </c>
      <c r="E446" t="inlineStr">
        <is>
          <t>RAGUNDA</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21416-2020</t>
        </is>
      </c>
      <c r="B447" s="1" t="n">
        <v>43955</v>
      </c>
      <c r="C447" s="1" t="n">
        <v>45835</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21593-2020</t>
        </is>
      </c>
      <c r="B448" s="1" t="n">
        <v>43956</v>
      </c>
      <c r="C448" s="1" t="n">
        <v>45835</v>
      </c>
      <c r="D448" t="inlineStr">
        <is>
          <t>JÄMTLANDS LÄN</t>
        </is>
      </c>
      <c r="E448" t="inlineStr">
        <is>
          <t>RAGUNDA</t>
        </is>
      </c>
      <c r="F448" t="inlineStr">
        <is>
          <t>SCA</t>
        </is>
      </c>
      <c r="G448" t="n">
        <v>5.9</v>
      </c>
      <c r="H448" t="n">
        <v>0</v>
      </c>
      <c r="I448" t="n">
        <v>0</v>
      </c>
      <c r="J448" t="n">
        <v>0</v>
      </c>
      <c r="K448" t="n">
        <v>0</v>
      </c>
      <c r="L448" t="n">
        <v>0</v>
      </c>
      <c r="M448" t="n">
        <v>0</v>
      </c>
      <c r="N448" t="n">
        <v>0</v>
      </c>
      <c r="O448" t="n">
        <v>0</v>
      </c>
      <c r="P448" t="n">
        <v>0</v>
      </c>
      <c r="Q448" t="n">
        <v>0</v>
      </c>
      <c r="R448" s="2" t="inlineStr"/>
    </row>
    <row r="449" ht="15" customHeight="1">
      <c r="A449" t="inlineStr">
        <is>
          <t>A 21681-2020</t>
        </is>
      </c>
      <c r="B449" s="1" t="n">
        <v>43957</v>
      </c>
      <c r="C449" s="1" t="n">
        <v>45835</v>
      </c>
      <c r="D449" t="inlineStr">
        <is>
          <t>JÄMTLANDS LÄN</t>
        </is>
      </c>
      <c r="E449" t="inlineStr">
        <is>
          <t>RAGUNDA</t>
        </is>
      </c>
      <c r="G449" t="n">
        <v>0.8</v>
      </c>
      <c r="H449" t="n">
        <v>0</v>
      </c>
      <c r="I449" t="n">
        <v>0</v>
      </c>
      <c r="J449" t="n">
        <v>0</v>
      </c>
      <c r="K449" t="n">
        <v>0</v>
      </c>
      <c r="L449" t="n">
        <v>0</v>
      </c>
      <c r="M449" t="n">
        <v>0</v>
      </c>
      <c r="N449" t="n">
        <v>0</v>
      </c>
      <c r="O449" t="n">
        <v>0</v>
      </c>
      <c r="P449" t="n">
        <v>0</v>
      </c>
      <c r="Q449" t="n">
        <v>0</v>
      </c>
      <c r="R449" s="2" t="inlineStr"/>
    </row>
    <row r="450" ht="15" customHeight="1">
      <c r="A450" t="inlineStr">
        <is>
          <t>A 22108-2020</t>
        </is>
      </c>
      <c r="B450" s="1" t="n">
        <v>43960</v>
      </c>
      <c r="C450" s="1" t="n">
        <v>45835</v>
      </c>
      <c r="D450" t="inlineStr">
        <is>
          <t>JÄMTLANDS LÄN</t>
        </is>
      </c>
      <c r="E450" t="inlineStr">
        <is>
          <t>RAGUNDA</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22115-2020</t>
        </is>
      </c>
      <c r="B451" s="1" t="n">
        <v>43960</v>
      </c>
      <c r="C451" s="1" t="n">
        <v>45835</v>
      </c>
      <c r="D451" t="inlineStr">
        <is>
          <t>JÄMTLANDS LÄN</t>
        </is>
      </c>
      <c r="E451" t="inlineStr">
        <is>
          <t>RAGUNDA</t>
        </is>
      </c>
      <c r="F451" t="inlineStr">
        <is>
          <t>SCA</t>
        </is>
      </c>
      <c r="G451" t="n">
        <v>8.6</v>
      </c>
      <c r="H451" t="n">
        <v>0</v>
      </c>
      <c r="I451" t="n">
        <v>0</v>
      </c>
      <c r="J451" t="n">
        <v>0</v>
      </c>
      <c r="K451" t="n">
        <v>0</v>
      </c>
      <c r="L451" t="n">
        <v>0</v>
      </c>
      <c r="M451" t="n">
        <v>0</v>
      </c>
      <c r="N451" t="n">
        <v>0</v>
      </c>
      <c r="O451" t="n">
        <v>0</v>
      </c>
      <c r="P451" t="n">
        <v>0</v>
      </c>
      <c r="Q451" t="n">
        <v>0</v>
      </c>
      <c r="R451" s="2" t="inlineStr"/>
    </row>
    <row r="452" ht="15" customHeight="1">
      <c r="A452" t="inlineStr">
        <is>
          <t>A 22948-2020</t>
        </is>
      </c>
      <c r="B452" s="1" t="n">
        <v>43965</v>
      </c>
      <c r="C452" s="1" t="n">
        <v>45835</v>
      </c>
      <c r="D452" t="inlineStr">
        <is>
          <t>JÄMTLANDS LÄN</t>
        </is>
      </c>
      <c r="E452" t="inlineStr">
        <is>
          <t>RAGUNDA</t>
        </is>
      </c>
      <c r="G452" t="n">
        <v>1.7</v>
      </c>
      <c r="H452" t="n">
        <v>0</v>
      </c>
      <c r="I452" t="n">
        <v>0</v>
      </c>
      <c r="J452" t="n">
        <v>0</v>
      </c>
      <c r="K452" t="n">
        <v>0</v>
      </c>
      <c r="L452" t="n">
        <v>0</v>
      </c>
      <c r="M452" t="n">
        <v>0</v>
      </c>
      <c r="N452" t="n">
        <v>0</v>
      </c>
      <c r="O452" t="n">
        <v>0</v>
      </c>
      <c r="P452" t="n">
        <v>0</v>
      </c>
      <c r="Q452" t="n">
        <v>0</v>
      </c>
      <c r="R452" s="2" t="inlineStr"/>
    </row>
    <row r="453" ht="15" customHeight="1">
      <c r="A453" t="inlineStr">
        <is>
          <t>A 23633-2020</t>
        </is>
      </c>
      <c r="B453" s="1" t="n">
        <v>43969</v>
      </c>
      <c r="C453" s="1" t="n">
        <v>45835</v>
      </c>
      <c r="D453" t="inlineStr">
        <is>
          <t>JÄMTLANDS LÄN</t>
        </is>
      </c>
      <c r="E453" t="inlineStr">
        <is>
          <t>RAGUNDA</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24033-2020</t>
        </is>
      </c>
      <c r="B454" s="1" t="n">
        <v>43971</v>
      </c>
      <c r="C454" s="1" t="n">
        <v>45835</v>
      </c>
      <c r="D454" t="inlineStr">
        <is>
          <t>JÄMTLANDS LÄN</t>
        </is>
      </c>
      <c r="E454" t="inlineStr">
        <is>
          <t>RAGUNDA</t>
        </is>
      </c>
      <c r="G454" t="n">
        <v>3.9</v>
      </c>
      <c r="H454" t="n">
        <v>0</v>
      </c>
      <c r="I454" t="n">
        <v>0</v>
      </c>
      <c r="J454" t="n">
        <v>0</v>
      </c>
      <c r="K454" t="n">
        <v>0</v>
      </c>
      <c r="L454" t="n">
        <v>0</v>
      </c>
      <c r="M454" t="n">
        <v>0</v>
      </c>
      <c r="N454" t="n">
        <v>0</v>
      </c>
      <c r="O454" t="n">
        <v>0</v>
      </c>
      <c r="P454" t="n">
        <v>0</v>
      </c>
      <c r="Q454" t="n">
        <v>0</v>
      </c>
      <c r="R454" s="2" t="inlineStr"/>
    </row>
    <row r="455" ht="15" customHeight="1">
      <c r="A455" t="inlineStr">
        <is>
          <t>A 24032-2020</t>
        </is>
      </c>
      <c r="B455" s="1" t="n">
        <v>43971</v>
      </c>
      <c r="C455" s="1" t="n">
        <v>45835</v>
      </c>
      <c r="D455" t="inlineStr">
        <is>
          <t>JÄMTLANDS LÄN</t>
        </is>
      </c>
      <c r="E455" t="inlineStr">
        <is>
          <t>RAGUNDA</t>
        </is>
      </c>
      <c r="G455" t="n">
        <v>6.9</v>
      </c>
      <c r="H455" t="n">
        <v>0</v>
      </c>
      <c r="I455" t="n">
        <v>0</v>
      </c>
      <c r="J455" t="n">
        <v>0</v>
      </c>
      <c r="K455" t="n">
        <v>0</v>
      </c>
      <c r="L455" t="n">
        <v>0</v>
      </c>
      <c r="M455" t="n">
        <v>0</v>
      </c>
      <c r="N455" t="n">
        <v>0</v>
      </c>
      <c r="O455" t="n">
        <v>0</v>
      </c>
      <c r="P455" t="n">
        <v>0</v>
      </c>
      <c r="Q455" t="n">
        <v>0</v>
      </c>
      <c r="R455" s="2" t="inlineStr"/>
    </row>
    <row r="456" ht="15" customHeight="1">
      <c r="A456" t="inlineStr">
        <is>
          <t>A 24640-2020</t>
        </is>
      </c>
      <c r="B456" s="1" t="n">
        <v>43977</v>
      </c>
      <c r="C456" s="1" t="n">
        <v>45835</v>
      </c>
      <c r="D456" t="inlineStr">
        <is>
          <t>JÄMTLANDS LÄN</t>
        </is>
      </c>
      <c r="E456" t="inlineStr">
        <is>
          <t>RAGUNDA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25115-2020</t>
        </is>
      </c>
      <c r="B457" s="1" t="n">
        <v>43979</v>
      </c>
      <c r="C457" s="1" t="n">
        <v>45835</v>
      </c>
      <c r="D457" t="inlineStr">
        <is>
          <t>JÄMTLANDS LÄN</t>
        </is>
      </c>
      <c r="E457" t="inlineStr">
        <is>
          <t>RAGUNDA</t>
        </is>
      </c>
      <c r="G457" t="n">
        <v>1</v>
      </c>
      <c r="H457" t="n">
        <v>0</v>
      </c>
      <c r="I457" t="n">
        <v>0</v>
      </c>
      <c r="J457" t="n">
        <v>0</v>
      </c>
      <c r="K457" t="n">
        <v>0</v>
      </c>
      <c r="L457" t="n">
        <v>0</v>
      </c>
      <c r="M457" t="n">
        <v>0</v>
      </c>
      <c r="N457" t="n">
        <v>0</v>
      </c>
      <c r="O457" t="n">
        <v>0</v>
      </c>
      <c r="P457" t="n">
        <v>0</v>
      </c>
      <c r="Q457" t="n">
        <v>0</v>
      </c>
      <c r="R457" s="2" t="inlineStr"/>
    </row>
    <row r="458" ht="15" customHeight="1">
      <c r="A458" t="inlineStr">
        <is>
          <t>A 25927-2020</t>
        </is>
      </c>
      <c r="B458" s="1" t="n">
        <v>43984</v>
      </c>
      <c r="C458" s="1" t="n">
        <v>45835</v>
      </c>
      <c r="D458" t="inlineStr">
        <is>
          <t>JÄMTLANDS LÄN</t>
        </is>
      </c>
      <c r="E458" t="inlineStr">
        <is>
          <t>RAGUNDA</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25934-2020</t>
        </is>
      </c>
      <c r="B459" s="1" t="n">
        <v>43984</v>
      </c>
      <c r="C459" s="1" t="n">
        <v>45835</v>
      </c>
      <c r="D459" t="inlineStr">
        <is>
          <t>JÄMTLANDS LÄN</t>
        </is>
      </c>
      <c r="E459" t="inlineStr">
        <is>
          <t>RAGUNDA</t>
        </is>
      </c>
      <c r="F459" t="inlineStr">
        <is>
          <t>SCA</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26264-2020</t>
        </is>
      </c>
      <c r="B460" s="1" t="n">
        <v>43986</v>
      </c>
      <c r="C460" s="1" t="n">
        <v>45835</v>
      </c>
      <c r="D460" t="inlineStr">
        <is>
          <t>JÄMTLANDS LÄN</t>
        </is>
      </c>
      <c r="E460" t="inlineStr">
        <is>
          <t>RAGUNDA</t>
        </is>
      </c>
      <c r="F460" t="inlineStr">
        <is>
          <t>Kommuner</t>
        </is>
      </c>
      <c r="G460" t="n">
        <v>5.5</v>
      </c>
      <c r="H460" t="n">
        <v>0</v>
      </c>
      <c r="I460" t="n">
        <v>0</v>
      </c>
      <c r="J460" t="n">
        <v>0</v>
      </c>
      <c r="K460" t="n">
        <v>0</v>
      </c>
      <c r="L460" t="n">
        <v>0</v>
      </c>
      <c r="M460" t="n">
        <v>0</v>
      </c>
      <c r="N460" t="n">
        <v>0</v>
      </c>
      <c r="O460" t="n">
        <v>0</v>
      </c>
      <c r="P460" t="n">
        <v>0</v>
      </c>
      <c r="Q460" t="n">
        <v>0</v>
      </c>
      <c r="R460" s="2" t="inlineStr"/>
    </row>
    <row r="461" ht="15" customHeight="1">
      <c r="A461" t="inlineStr">
        <is>
          <t>A 26262-2020</t>
        </is>
      </c>
      <c r="B461" s="1" t="n">
        <v>43986</v>
      </c>
      <c r="C461" s="1" t="n">
        <v>45835</v>
      </c>
      <c r="D461" t="inlineStr">
        <is>
          <t>JÄMTLANDS LÄN</t>
        </is>
      </c>
      <c r="E461" t="inlineStr">
        <is>
          <t>RAGUNDA</t>
        </is>
      </c>
      <c r="F461" t="inlineStr">
        <is>
          <t>Kommuner</t>
        </is>
      </c>
      <c r="G461" t="n">
        <v>3.3</v>
      </c>
      <c r="H461" t="n">
        <v>0</v>
      </c>
      <c r="I461" t="n">
        <v>0</v>
      </c>
      <c r="J461" t="n">
        <v>0</v>
      </c>
      <c r="K461" t="n">
        <v>0</v>
      </c>
      <c r="L461" t="n">
        <v>0</v>
      </c>
      <c r="M461" t="n">
        <v>0</v>
      </c>
      <c r="N461" t="n">
        <v>0</v>
      </c>
      <c r="O461" t="n">
        <v>0</v>
      </c>
      <c r="P461" t="n">
        <v>0</v>
      </c>
      <c r="Q461" t="n">
        <v>0</v>
      </c>
      <c r="R461" s="2" t="inlineStr"/>
    </row>
    <row r="462" ht="15" customHeight="1">
      <c r="A462" t="inlineStr">
        <is>
          <t>A 26966-2020</t>
        </is>
      </c>
      <c r="B462" s="1" t="n">
        <v>43990</v>
      </c>
      <c r="C462" s="1" t="n">
        <v>45835</v>
      </c>
      <c r="D462" t="inlineStr">
        <is>
          <t>JÄMTLANDS LÄN</t>
        </is>
      </c>
      <c r="E462" t="inlineStr">
        <is>
          <t>RAGUNDA</t>
        </is>
      </c>
      <c r="F462" t="inlineStr">
        <is>
          <t>SCA</t>
        </is>
      </c>
      <c r="G462" t="n">
        <v>7</v>
      </c>
      <c r="H462" t="n">
        <v>0</v>
      </c>
      <c r="I462" t="n">
        <v>0</v>
      </c>
      <c r="J462" t="n">
        <v>0</v>
      </c>
      <c r="K462" t="n">
        <v>0</v>
      </c>
      <c r="L462" t="n">
        <v>0</v>
      </c>
      <c r="M462" t="n">
        <v>0</v>
      </c>
      <c r="N462" t="n">
        <v>0</v>
      </c>
      <c r="O462" t="n">
        <v>0</v>
      </c>
      <c r="P462" t="n">
        <v>0</v>
      </c>
      <c r="Q462" t="n">
        <v>0</v>
      </c>
      <c r="R462" s="2" t="inlineStr"/>
    </row>
    <row r="463" ht="15" customHeight="1">
      <c r="A463" t="inlineStr">
        <is>
          <t>A 27366-2020</t>
        </is>
      </c>
      <c r="B463" s="1" t="n">
        <v>43992</v>
      </c>
      <c r="C463" s="1" t="n">
        <v>45835</v>
      </c>
      <c r="D463" t="inlineStr">
        <is>
          <t>JÄMTLANDS LÄN</t>
        </is>
      </c>
      <c r="E463" t="inlineStr">
        <is>
          <t>RAGUNDA</t>
        </is>
      </c>
      <c r="G463" t="n">
        <v>2.5</v>
      </c>
      <c r="H463" t="n">
        <v>0</v>
      </c>
      <c r="I463" t="n">
        <v>0</v>
      </c>
      <c r="J463" t="n">
        <v>0</v>
      </c>
      <c r="K463" t="n">
        <v>0</v>
      </c>
      <c r="L463" t="n">
        <v>0</v>
      </c>
      <c r="M463" t="n">
        <v>0</v>
      </c>
      <c r="N463" t="n">
        <v>0</v>
      </c>
      <c r="O463" t="n">
        <v>0</v>
      </c>
      <c r="P463" t="n">
        <v>0</v>
      </c>
      <c r="Q463" t="n">
        <v>0</v>
      </c>
      <c r="R463" s="2" t="inlineStr"/>
    </row>
    <row r="464" ht="15" customHeight="1">
      <c r="A464" t="inlineStr">
        <is>
          <t>A 28776-2020</t>
        </is>
      </c>
      <c r="B464" s="1" t="n">
        <v>43999</v>
      </c>
      <c r="C464" s="1" t="n">
        <v>45835</v>
      </c>
      <c r="D464" t="inlineStr">
        <is>
          <t>JÄMTLANDS LÄN</t>
        </is>
      </c>
      <c r="E464" t="inlineStr">
        <is>
          <t>RAGUNDA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29382-2020</t>
        </is>
      </c>
      <c r="B465" s="1" t="n">
        <v>44000</v>
      </c>
      <c r="C465" s="1" t="n">
        <v>45835</v>
      </c>
      <c r="D465" t="inlineStr">
        <is>
          <t>JÄMTLANDS LÄN</t>
        </is>
      </c>
      <c r="E465" t="inlineStr">
        <is>
          <t>RAGUNDA</t>
        </is>
      </c>
      <c r="G465" t="n">
        <v>46.1</v>
      </c>
      <c r="H465" t="n">
        <v>0</v>
      </c>
      <c r="I465" t="n">
        <v>0</v>
      </c>
      <c r="J465" t="n">
        <v>0</v>
      </c>
      <c r="K465" t="n">
        <v>0</v>
      </c>
      <c r="L465" t="n">
        <v>0</v>
      </c>
      <c r="M465" t="n">
        <v>0</v>
      </c>
      <c r="N465" t="n">
        <v>0</v>
      </c>
      <c r="O465" t="n">
        <v>0</v>
      </c>
      <c r="P465" t="n">
        <v>0</v>
      </c>
      <c r="Q465" t="n">
        <v>0</v>
      </c>
      <c r="R465" s="2" t="inlineStr"/>
    </row>
    <row r="466" ht="15" customHeight="1">
      <c r="A466" t="inlineStr">
        <is>
          <t>A 29499-2020</t>
        </is>
      </c>
      <c r="B466" s="1" t="n">
        <v>44004</v>
      </c>
      <c r="C466" s="1" t="n">
        <v>45835</v>
      </c>
      <c r="D466" t="inlineStr">
        <is>
          <t>JÄMTLANDS LÄN</t>
        </is>
      </c>
      <c r="E466" t="inlineStr">
        <is>
          <t>RAGUNDA</t>
        </is>
      </c>
      <c r="F466" t="inlineStr">
        <is>
          <t>SCA</t>
        </is>
      </c>
      <c r="G466" t="n">
        <v>0.3</v>
      </c>
      <c r="H466" t="n">
        <v>0</v>
      </c>
      <c r="I466" t="n">
        <v>0</v>
      </c>
      <c r="J466" t="n">
        <v>0</v>
      </c>
      <c r="K466" t="n">
        <v>0</v>
      </c>
      <c r="L466" t="n">
        <v>0</v>
      </c>
      <c r="M466" t="n">
        <v>0</v>
      </c>
      <c r="N466" t="n">
        <v>0</v>
      </c>
      <c r="O466" t="n">
        <v>0</v>
      </c>
      <c r="P466" t="n">
        <v>0</v>
      </c>
      <c r="Q466" t="n">
        <v>0</v>
      </c>
      <c r="R466" s="2" t="inlineStr"/>
    </row>
    <row r="467" ht="15" customHeight="1">
      <c r="A467" t="inlineStr">
        <is>
          <t>A 30110-2020</t>
        </is>
      </c>
      <c r="B467" s="1" t="n">
        <v>44006</v>
      </c>
      <c r="C467" s="1" t="n">
        <v>45835</v>
      </c>
      <c r="D467" t="inlineStr">
        <is>
          <t>JÄMTLANDS LÄN</t>
        </is>
      </c>
      <c r="E467" t="inlineStr">
        <is>
          <t>RAGUNDA</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31043-2020</t>
        </is>
      </c>
      <c r="B468" s="1" t="n">
        <v>44011</v>
      </c>
      <c r="C468" s="1" t="n">
        <v>45835</v>
      </c>
      <c r="D468" t="inlineStr">
        <is>
          <t>JÄMTLANDS LÄN</t>
        </is>
      </c>
      <c r="E468" t="inlineStr">
        <is>
          <t>RAGUNDA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31649-2020</t>
        </is>
      </c>
      <c r="B469" s="1" t="n">
        <v>44013</v>
      </c>
      <c r="C469" s="1" t="n">
        <v>45835</v>
      </c>
      <c r="D469" t="inlineStr">
        <is>
          <t>JÄMTLANDS LÄN</t>
        </is>
      </c>
      <c r="E469" t="inlineStr">
        <is>
          <t>RAGUNDA</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31651-2020</t>
        </is>
      </c>
      <c r="B470" s="1" t="n">
        <v>44013</v>
      </c>
      <c r="C470" s="1" t="n">
        <v>45835</v>
      </c>
      <c r="D470" t="inlineStr">
        <is>
          <t>JÄMTLANDS LÄN</t>
        </is>
      </c>
      <c r="E470" t="inlineStr">
        <is>
          <t>RAGUNDA</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31652-2020</t>
        </is>
      </c>
      <c r="B471" s="1" t="n">
        <v>44013</v>
      </c>
      <c r="C471" s="1" t="n">
        <v>45835</v>
      </c>
      <c r="D471" t="inlineStr">
        <is>
          <t>JÄMTLANDS LÄN</t>
        </is>
      </c>
      <c r="E471" t="inlineStr">
        <is>
          <t>RAGUNDA</t>
        </is>
      </c>
      <c r="F471" t="inlineStr">
        <is>
          <t>SCA</t>
        </is>
      </c>
      <c r="G471" t="n">
        <v>22.1</v>
      </c>
      <c r="H471" t="n">
        <v>0</v>
      </c>
      <c r="I471" t="n">
        <v>0</v>
      </c>
      <c r="J471" t="n">
        <v>0</v>
      </c>
      <c r="K471" t="n">
        <v>0</v>
      </c>
      <c r="L471" t="n">
        <v>0</v>
      </c>
      <c r="M471" t="n">
        <v>0</v>
      </c>
      <c r="N471" t="n">
        <v>0</v>
      </c>
      <c r="O471" t="n">
        <v>0</v>
      </c>
      <c r="P471" t="n">
        <v>0</v>
      </c>
      <c r="Q471" t="n">
        <v>0</v>
      </c>
      <c r="R471" s="2" t="inlineStr"/>
    </row>
    <row r="472" ht="15" customHeight="1">
      <c r="A472" t="inlineStr">
        <is>
          <t>A 32780-2020</t>
        </is>
      </c>
      <c r="B472" s="1" t="n">
        <v>44019</v>
      </c>
      <c r="C472" s="1" t="n">
        <v>45835</v>
      </c>
      <c r="D472" t="inlineStr">
        <is>
          <t>JÄMTLANDS LÄN</t>
        </is>
      </c>
      <c r="E472" t="inlineStr">
        <is>
          <t>RAGUNDA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33644-2020</t>
        </is>
      </c>
      <c r="B473" s="1" t="n">
        <v>44026</v>
      </c>
      <c r="C473" s="1" t="n">
        <v>45835</v>
      </c>
      <c r="D473" t="inlineStr">
        <is>
          <t>JÄMTLANDS LÄN</t>
        </is>
      </c>
      <c r="E473" t="inlineStr">
        <is>
          <t>RAGUNDA</t>
        </is>
      </c>
      <c r="G473" t="n">
        <v>4.8</v>
      </c>
      <c r="H473" t="n">
        <v>0</v>
      </c>
      <c r="I473" t="n">
        <v>0</v>
      </c>
      <c r="J473" t="n">
        <v>0</v>
      </c>
      <c r="K473" t="n">
        <v>0</v>
      </c>
      <c r="L473" t="n">
        <v>0</v>
      </c>
      <c r="M473" t="n">
        <v>0</v>
      </c>
      <c r="N473" t="n">
        <v>0</v>
      </c>
      <c r="O473" t="n">
        <v>0</v>
      </c>
      <c r="P473" t="n">
        <v>0</v>
      </c>
      <c r="Q473" t="n">
        <v>0</v>
      </c>
      <c r="R473" s="2" t="inlineStr"/>
    </row>
    <row r="474" ht="15" customHeight="1">
      <c r="A474" t="inlineStr">
        <is>
          <t>A 33932-2020</t>
        </is>
      </c>
      <c r="B474" s="1" t="n">
        <v>44027</v>
      </c>
      <c r="C474" s="1" t="n">
        <v>45835</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34204-2020</t>
        </is>
      </c>
      <c r="B475" s="1" t="n">
        <v>44029</v>
      </c>
      <c r="C475" s="1" t="n">
        <v>45835</v>
      </c>
      <c r="D475" t="inlineStr">
        <is>
          <t>JÄMTLANDS LÄN</t>
        </is>
      </c>
      <c r="E475" t="inlineStr">
        <is>
          <t>RAGUNDA</t>
        </is>
      </c>
      <c r="G475" t="n">
        <v>22.5</v>
      </c>
      <c r="H475" t="n">
        <v>0</v>
      </c>
      <c r="I475" t="n">
        <v>0</v>
      </c>
      <c r="J475" t="n">
        <v>0</v>
      </c>
      <c r="K475" t="n">
        <v>0</v>
      </c>
      <c r="L475" t="n">
        <v>0</v>
      </c>
      <c r="M475" t="n">
        <v>0</v>
      </c>
      <c r="N475" t="n">
        <v>0</v>
      </c>
      <c r="O475" t="n">
        <v>0</v>
      </c>
      <c r="P475" t="n">
        <v>0</v>
      </c>
      <c r="Q475" t="n">
        <v>0</v>
      </c>
      <c r="R475" s="2" t="inlineStr"/>
    </row>
    <row r="476" ht="15" customHeight="1">
      <c r="A476" t="inlineStr">
        <is>
          <t>A 34251-2020</t>
        </is>
      </c>
      <c r="B476" s="1" t="n">
        <v>44029</v>
      </c>
      <c r="C476" s="1" t="n">
        <v>45835</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35193-2020</t>
        </is>
      </c>
      <c r="B477" s="1" t="n">
        <v>44040</v>
      </c>
      <c r="C477" s="1" t="n">
        <v>45835</v>
      </c>
      <c r="D477" t="inlineStr">
        <is>
          <t>JÄMTLANDS LÄN</t>
        </is>
      </c>
      <c r="E477" t="inlineStr">
        <is>
          <t>RAGUNDA</t>
        </is>
      </c>
      <c r="G477" t="n">
        <v>1.1</v>
      </c>
      <c r="H477" t="n">
        <v>0</v>
      </c>
      <c r="I477" t="n">
        <v>0</v>
      </c>
      <c r="J477" t="n">
        <v>0</v>
      </c>
      <c r="K477" t="n">
        <v>0</v>
      </c>
      <c r="L477" t="n">
        <v>0</v>
      </c>
      <c r="M477" t="n">
        <v>0</v>
      </c>
      <c r="N477" t="n">
        <v>0</v>
      </c>
      <c r="O477" t="n">
        <v>0</v>
      </c>
      <c r="P477" t="n">
        <v>0</v>
      </c>
      <c r="Q477" t="n">
        <v>0</v>
      </c>
      <c r="R477" s="2" t="inlineStr"/>
    </row>
    <row r="478" ht="15" customHeight="1">
      <c r="A478" t="inlineStr">
        <is>
          <t>A 35365-2020</t>
        </is>
      </c>
      <c r="B478" s="1" t="n">
        <v>44041</v>
      </c>
      <c r="C478" s="1" t="n">
        <v>45835</v>
      </c>
      <c r="D478" t="inlineStr">
        <is>
          <t>JÄMTLANDS LÄN</t>
        </is>
      </c>
      <c r="E478" t="inlineStr">
        <is>
          <t>RAGUNDA</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36674-2020</t>
        </is>
      </c>
      <c r="B479" s="1" t="n">
        <v>44051</v>
      </c>
      <c r="C479" s="1" t="n">
        <v>45835</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36676-2020</t>
        </is>
      </c>
      <c r="B480" s="1" t="n">
        <v>44051</v>
      </c>
      <c r="C480" s="1" t="n">
        <v>45835</v>
      </c>
      <c r="D480" t="inlineStr">
        <is>
          <t>JÄMTLANDS LÄN</t>
        </is>
      </c>
      <c r="E480" t="inlineStr">
        <is>
          <t>RAGUNDA</t>
        </is>
      </c>
      <c r="G480" t="n">
        <v>0.8</v>
      </c>
      <c r="H480" t="n">
        <v>0</v>
      </c>
      <c r="I480" t="n">
        <v>0</v>
      </c>
      <c r="J480" t="n">
        <v>0</v>
      </c>
      <c r="K480" t="n">
        <v>0</v>
      </c>
      <c r="L480" t="n">
        <v>0</v>
      </c>
      <c r="M480" t="n">
        <v>0</v>
      </c>
      <c r="N480" t="n">
        <v>0</v>
      </c>
      <c r="O480" t="n">
        <v>0</v>
      </c>
      <c r="P480" t="n">
        <v>0</v>
      </c>
      <c r="Q480" t="n">
        <v>0</v>
      </c>
      <c r="R480" s="2" t="inlineStr"/>
    </row>
    <row r="481" ht="15" customHeight="1">
      <c r="A481" t="inlineStr">
        <is>
          <t>A 37498-2020</t>
        </is>
      </c>
      <c r="B481" s="1" t="n">
        <v>44055</v>
      </c>
      <c r="C481" s="1" t="n">
        <v>45835</v>
      </c>
      <c r="D481" t="inlineStr">
        <is>
          <t>JÄMTLANDS LÄN</t>
        </is>
      </c>
      <c r="E481" t="inlineStr">
        <is>
          <t>RAGUNDA</t>
        </is>
      </c>
      <c r="G481" t="n">
        <v>2.4</v>
      </c>
      <c r="H481" t="n">
        <v>0</v>
      </c>
      <c r="I481" t="n">
        <v>0</v>
      </c>
      <c r="J481" t="n">
        <v>0</v>
      </c>
      <c r="K481" t="n">
        <v>0</v>
      </c>
      <c r="L481" t="n">
        <v>0</v>
      </c>
      <c r="M481" t="n">
        <v>0</v>
      </c>
      <c r="N481" t="n">
        <v>0</v>
      </c>
      <c r="O481" t="n">
        <v>0</v>
      </c>
      <c r="P481" t="n">
        <v>0</v>
      </c>
      <c r="Q481" t="n">
        <v>0</v>
      </c>
      <c r="R481" s="2" t="inlineStr"/>
    </row>
    <row r="482" ht="15" customHeight="1">
      <c r="A482" t="inlineStr">
        <is>
          <t>A 39474-2020</t>
        </is>
      </c>
      <c r="B482" s="1" t="n">
        <v>44056</v>
      </c>
      <c r="C482" s="1" t="n">
        <v>45835</v>
      </c>
      <c r="D482" t="inlineStr">
        <is>
          <t>JÄMTLANDS LÄN</t>
        </is>
      </c>
      <c r="E482" t="inlineStr">
        <is>
          <t>RAGUNDA</t>
        </is>
      </c>
      <c r="G482" t="n">
        <v>1.2</v>
      </c>
      <c r="H482" t="n">
        <v>0</v>
      </c>
      <c r="I482" t="n">
        <v>0</v>
      </c>
      <c r="J482" t="n">
        <v>0</v>
      </c>
      <c r="K482" t="n">
        <v>0</v>
      </c>
      <c r="L482" t="n">
        <v>0</v>
      </c>
      <c r="M482" t="n">
        <v>0</v>
      </c>
      <c r="N482" t="n">
        <v>0</v>
      </c>
      <c r="O482" t="n">
        <v>0</v>
      </c>
      <c r="P482" t="n">
        <v>0</v>
      </c>
      <c r="Q482" t="n">
        <v>0</v>
      </c>
      <c r="R482" s="2" t="inlineStr"/>
    </row>
    <row r="483" ht="15" customHeight="1">
      <c r="A483" t="inlineStr">
        <is>
          <t>A 38106-2020</t>
        </is>
      </c>
      <c r="B483" s="1" t="n">
        <v>44057</v>
      </c>
      <c r="C483" s="1" t="n">
        <v>45835</v>
      </c>
      <c r="D483" t="inlineStr">
        <is>
          <t>JÄMTLANDS LÄN</t>
        </is>
      </c>
      <c r="E483" t="inlineStr">
        <is>
          <t>RAGUNDA</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38098-2020</t>
        </is>
      </c>
      <c r="B484" s="1" t="n">
        <v>44057</v>
      </c>
      <c r="C484" s="1" t="n">
        <v>45835</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39040-2020</t>
        </is>
      </c>
      <c r="B485" s="1" t="n">
        <v>44062</v>
      </c>
      <c r="C485" s="1" t="n">
        <v>45835</v>
      </c>
      <c r="D485" t="inlineStr">
        <is>
          <t>JÄMTLANDS LÄN</t>
        </is>
      </c>
      <c r="E485" t="inlineStr">
        <is>
          <t>RAGUNDA</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39340-2020</t>
        </is>
      </c>
      <c r="B486" s="1" t="n">
        <v>44063</v>
      </c>
      <c r="C486" s="1" t="n">
        <v>45835</v>
      </c>
      <c r="D486" t="inlineStr">
        <is>
          <t>JÄMTLANDS LÄN</t>
        </is>
      </c>
      <c r="E486" t="inlineStr">
        <is>
          <t>RAGUNDA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40051-2020</t>
        </is>
      </c>
      <c r="B487" s="1" t="n">
        <v>44067</v>
      </c>
      <c r="C487" s="1" t="n">
        <v>45835</v>
      </c>
      <c r="D487" t="inlineStr">
        <is>
          <t>JÄMTLANDS LÄN</t>
        </is>
      </c>
      <c r="E487" t="inlineStr">
        <is>
          <t>RAGUNDA</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40316-2020</t>
        </is>
      </c>
      <c r="B488" s="1" t="n">
        <v>44068</v>
      </c>
      <c r="C488" s="1" t="n">
        <v>45835</v>
      </c>
      <c r="D488" t="inlineStr">
        <is>
          <t>JÄMTLANDS LÄN</t>
        </is>
      </c>
      <c r="E488" t="inlineStr">
        <is>
          <t>RAGUNDA</t>
        </is>
      </c>
      <c r="G488" t="n">
        <v>2.4</v>
      </c>
      <c r="H488" t="n">
        <v>0</v>
      </c>
      <c r="I488" t="n">
        <v>0</v>
      </c>
      <c r="J488" t="n">
        <v>0</v>
      </c>
      <c r="K488" t="n">
        <v>0</v>
      </c>
      <c r="L488" t="n">
        <v>0</v>
      </c>
      <c r="M488" t="n">
        <v>0</v>
      </c>
      <c r="N488" t="n">
        <v>0</v>
      </c>
      <c r="O488" t="n">
        <v>0</v>
      </c>
      <c r="P488" t="n">
        <v>0</v>
      </c>
      <c r="Q488" t="n">
        <v>0</v>
      </c>
      <c r="R488" s="2" t="inlineStr"/>
    </row>
    <row r="489" ht="15" customHeight="1">
      <c r="A489" t="inlineStr">
        <is>
          <t>A 40742-2020</t>
        </is>
      </c>
      <c r="B489" s="1" t="n">
        <v>44069</v>
      </c>
      <c r="C489" s="1" t="n">
        <v>45835</v>
      </c>
      <c r="D489" t="inlineStr">
        <is>
          <t>JÄMTLANDS LÄN</t>
        </is>
      </c>
      <c r="E489" t="inlineStr">
        <is>
          <t>RAGUNDA</t>
        </is>
      </c>
      <c r="F489" t="inlineStr">
        <is>
          <t>SCA</t>
        </is>
      </c>
      <c r="G489" t="n">
        <v>5.6</v>
      </c>
      <c r="H489" t="n">
        <v>0</v>
      </c>
      <c r="I489" t="n">
        <v>0</v>
      </c>
      <c r="J489" t="n">
        <v>0</v>
      </c>
      <c r="K489" t="n">
        <v>0</v>
      </c>
      <c r="L489" t="n">
        <v>0</v>
      </c>
      <c r="M489" t="n">
        <v>0</v>
      </c>
      <c r="N489" t="n">
        <v>0</v>
      </c>
      <c r="O489" t="n">
        <v>0</v>
      </c>
      <c r="P489" t="n">
        <v>0</v>
      </c>
      <c r="Q489" t="n">
        <v>0</v>
      </c>
      <c r="R489" s="2" t="inlineStr"/>
    </row>
    <row r="490" ht="15" customHeight="1">
      <c r="A490" t="inlineStr">
        <is>
          <t>A 41346-2020</t>
        </is>
      </c>
      <c r="B490" s="1" t="n">
        <v>44071</v>
      </c>
      <c r="C490" s="1" t="n">
        <v>45835</v>
      </c>
      <c r="D490" t="inlineStr">
        <is>
          <t>JÄMTLANDS LÄN</t>
        </is>
      </c>
      <c r="E490" t="inlineStr">
        <is>
          <t>RAGUNDA</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41889-2020</t>
        </is>
      </c>
      <c r="B491" s="1" t="n">
        <v>44075</v>
      </c>
      <c r="C491" s="1" t="n">
        <v>45835</v>
      </c>
      <c r="D491" t="inlineStr">
        <is>
          <t>JÄMTLANDS LÄN</t>
        </is>
      </c>
      <c r="E491" t="inlineStr">
        <is>
          <t>RAGUNDA</t>
        </is>
      </c>
      <c r="F491" t="inlineStr">
        <is>
          <t>SCA</t>
        </is>
      </c>
      <c r="G491" t="n">
        <v>11.4</v>
      </c>
      <c r="H491" t="n">
        <v>0</v>
      </c>
      <c r="I491" t="n">
        <v>0</v>
      </c>
      <c r="J491" t="n">
        <v>0</v>
      </c>
      <c r="K491" t="n">
        <v>0</v>
      </c>
      <c r="L491" t="n">
        <v>0</v>
      </c>
      <c r="M491" t="n">
        <v>0</v>
      </c>
      <c r="N491" t="n">
        <v>0</v>
      </c>
      <c r="O491" t="n">
        <v>0</v>
      </c>
      <c r="P491" t="n">
        <v>0</v>
      </c>
      <c r="Q491" t="n">
        <v>0</v>
      </c>
      <c r="R491" s="2" t="inlineStr"/>
    </row>
    <row r="492" ht="15" customHeight="1">
      <c r="A492" t="inlineStr">
        <is>
          <t>A 41875-2020</t>
        </is>
      </c>
      <c r="B492" s="1" t="n">
        <v>44074</v>
      </c>
      <c r="C492" s="1" t="n">
        <v>45835</v>
      </c>
      <c r="D492" t="inlineStr">
        <is>
          <t>JÄMTLANDS LÄN</t>
        </is>
      </c>
      <c r="E492" t="inlineStr">
        <is>
          <t>RAGUNDA</t>
        </is>
      </c>
      <c r="F492" t="inlineStr">
        <is>
          <t>Naturvårdsverket</t>
        </is>
      </c>
      <c r="G492" t="n">
        <v>3.3</v>
      </c>
      <c r="H492" t="n">
        <v>0</v>
      </c>
      <c r="I492" t="n">
        <v>0</v>
      </c>
      <c r="J492" t="n">
        <v>0</v>
      </c>
      <c r="K492" t="n">
        <v>0</v>
      </c>
      <c r="L492" t="n">
        <v>0</v>
      </c>
      <c r="M492" t="n">
        <v>0</v>
      </c>
      <c r="N492" t="n">
        <v>0</v>
      </c>
      <c r="O492" t="n">
        <v>0</v>
      </c>
      <c r="P492" t="n">
        <v>0</v>
      </c>
      <c r="Q492" t="n">
        <v>0</v>
      </c>
      <c r="R492" s="2" t="inlineStr"/>
    </row>
    <row r="493" ht="15" customHeight="1">
      <c r="A493" t="inlineStr">
        <is>
          <t>A 41887-2020</t>
        </is>
      </c>
      <c r="B493" s="1" t="n">
        <v>44074</v>
      </c>
      <c r="C493" s="1" t="n">
        <v>45835</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41885-2020</t>
        </is>
      </c>
      <c r="B494" s="1" t="n">
        <v>44074</v>
      </c>
      <c r="C494" s="1" t="n">
        <v>45835</v>
      </c>
      <c r="D494" t="inlineStr">
        <is>
          <t>JÄMTLANDS LÄN</t>
        </is>
      </c>
      <c r="E494" t="inlineStr">
        <is>
          <t>RAGUNDA</t>
        </is>
      </c>
      <c r="F494" t="inlineStr">
        <is>
          <t>SCA</t>
        </is>
      </c>
      <c r="G494" t="n">
        <v>0.4</v>
      </c>
      <c r="H494" t="n">
        <v>0</v>
      </c>
      <c r="I494" t="n">
        <v>0</v>
      </c>
      <c r="J494" t="n">
        <v>0</v>
      </c>
      <c r="K494" t="n">
        <v>0</v>
      </c>
      <c r="L494" t="n">
        <v>0</v>
      </c>
      <c r="M494" t="n">
        <v>0</v>
      </c>
      <c r="N494" t="n">
        <v>0</v>
      </c>
      <c r="O494" t="n">
        <v>0</v>
      </c>
      <c r="P494" t="n">
        <v>0</v>
      </c>
      <c r="Q494" t="n">
        <v>0</v>
      </c>
      <c r="R494" s="2" t="inlineStr"/>
    </row>
    <row r="495" ht="15" customHeight="1">
      <c r="A495" t="inlineStr">
        <is>
          <t>A 42208-2020</t>
        </is>
      </c>
      <c r="B495" s="1" t="n">
        <v>44075</v>
      </c>
      <c r="C495" s="1" t="n">
        <v>45835</v>
      </c>
      <c r="D495" t="inlineStr">
        <is>
          <t>JÄMTLANDS LÄN</t>
        </is>
      </c>
      <c r="E495" t="inlineStr">
        <is>
          <t>RAGUNDA</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42899-2020</t>
        </is>
      </c>
      <c r="B496" s="1" t="n">
        <v>44078</v>
      </c>
      <c r="C496" s="1" t="n">
        <v>45835</v>
      </c>
      <c r="D496" t="inlineStr">
        <is>
          <t>JÄMTLANDS LÄN</t>
        </is>
      </c>
      <c r="E496" t="inlineStr">
        <is>
          <t>RAGUNDA</t>
        </is>
      </c>
      <c r="G496" t="n">
        <v>0.6</v>
      </c>
      <c r="H496" t="n">
        <v>0</v>
      </c>
      <c r="I496" t="n">
        <v>0</v>
      </c>
      <c r="J496" t="n">
        <v>0</v>
      </c>
      <c r="K496" t="n">
        <v>0</v>
      </c>
      <c r="L496" t="n">
        <v>0</v>
      </c>
      <c r="M496" t="n">
        <v>0</v>
      </c>
      <c r="N496" t="n">
        <v>0</v>
      </c>
      <c r="O496" t="n">
        <v>0</v>
      </c>
      <c r="P496" t="n">
        <v>0</v>
      </c>
      <c r="Q496" t="n">
        <v>0</v>
      </c>
      <c r="R496" s="2" t="inlineStr"/>
    </row>
    <row r="497" ht="15" customHeight="1">
      <c r="A497" t="inlineStr">
        <is>
          <t>A 43828-2020</t>
        </is>
      </c>
      <c r="B497" s="1" t="n">
        <v>44082</v>
      </c>
      <c r="C497" s="1" t="n">
        <v>45835</v>
      </c>
      <c r="D497" t="inlineStr">
        <is>
          <t>JÄMTLANDS LÄN</t>
        </is>
      </c>
      <c r="E497" t="inlineStr">
        <is>
          <t>RAGUNDA</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44511-2020</t>
        </is>
      </c>
      <c r="B498" s="1" t="n">
        <v>44084</v>
      </c>
      <c r="C498" s="1" t="n">
        <v>45835</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44498-2020</t>
        </is>
      </c>
      <c r="B499" s="1" t="n">
        <v>44084</v>
      </c>
      <c r="C499" s="1" t="n">
        <v>45835</v>
      </c>
      <c r="D499" t="inlineStr">
        <is>
          <t>JÄMTLANDS LÄN</t>
        </is>
      </c>
      <c r="E499" t="inlineStr">
        <is>
          <t>RAGUNDA</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45272-2020</t>
        </is>
      </c>
      <c r="B500" s="1" t="n">
        <v>44084</v>
      </c>
      <c r="C500" s="1" t="n">
        <v>45835</v>
      </c>
      <c r="D500" t="inlineStr">
        <is>
          <t>JÄMTLANDS LÄN</t>
        </is>
      </c>
      <c r="E500" t="inlineStr">
        <is>
          <t>RAGUNDA</t>
        </is>
      </c>
      <c r="G500" t="n">
        <v>4.7</v>
      </c>
      <c r="H500" t="n">
        <v>0</v>
      </c>
      <c r="I500" t="n">
        <v>0</v>
      </c>
      <c r="J500" t="n">
        <v>0</v>
      </c>
      <c r="K500" t="n">
        <v>0</v>
      </c>
      <c r="L500" t="n">
        <v>0</v>
      </c>
      <c r="M500" t="n">
        <v>0</v>
      </c>
      <c r="N500" t="n">
        <v>0</v>
      </c>
      <c r="O500" t="n">
        <v>0</v>
      </c>
      <c r="P500" t="n">
        <v>0</v>
      </c>
      <c r="Q500" t="n">
        <v>0</v>
      </c>
      <c r="R500" s="2" t="inlineStr"/>
    </row>
    <row r="501" ht="15" customHeight="1">
      <c r="A501" t="inlineStr">
        <is>
          <t>A 46920-2020</t>
        </is>
      </c>
      <c r="B501" s="1" t="n">
        <v>44090</v>
      </c>
      <c r="C501" s="1" t="n">
        <v>45835</v>
      </c>
      <c r="D501" t="inlineStr">
        <is>
          <t>JÄMTLANDS LÄN</t>
        </is>
      </c>
      <c r="E501" t="inlineStr">
        <is>
          <t>RAGUNDA</t>
        </is>
      </c>
      <c r="G501" t="n">
        <v>4</v>
      </c>
      <c r="H501" t="n">
        <v>0</v>
      </c>
      <c r="I501" t="n">
        <v>0</v>
      </c>
      <c r="J501" t="n">
        <v>0</v>
      </c>
      <c r="K501" t="n">
        <v>0</v>
      </c>
      <c r="L501" t="n">
        <v>0</v>
      </c>
      <c r="M501" t="n">
        <v>0</v>
      </c>
      <c r="N501" t="n">
        <v>0</v>
      </c>
      <c r="O501" t="n">
        <v>0</v>
      </c>
      <c r="P501" t="n">
        <v>0</v>
      </c>
      <c r="Q501" t="n">
        <v>0</v>
      </c>
      <c r="R501" s="2" t="inlineStr"/>
    </row>
    <row r="502" ht="15" customHeight="1">
      <c r="A502" t="inlineStr">
        <is>
          <t>A 46496-2020</t>
        </is>
      </c>
      <c r="B502" s="1" t="n">
        <v>44095</v>
      </c>
      <c r="C502" s="1" t="n">
        <v>45835</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47122-2020</t>
        </is>
      </c>
      <c r="B503" s="1" t="n">
        <v>44096</v>
      </c>
      <c r="C503" s="1" t="n">
        <v>45835</v>
      </c>
      <c r="D503" t="inlineStr">
        <is>
          <t>JÄMTLANDS LÄN</t>
        </is>
      </c>
      <c r="E503" t="inlineStr">
        <is>
          <t>RAGUNDA</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47131-2020</t>
        </is>
      </c>
      <c r="B504" s="1" t="n">
        <v>44096</v>
      </c>
      <c r="C504" s="1" t="n">
        <v>45835</v>
      </c>
      <c r="D504" t="inlineStr">
        <is>
          <t>JÄMTLANDS LÄN</t>
        </is>
      </c>
      <c r="E504" t="inlineStr">
        <is>
          <t>RAGUNDA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47825-2020</t>
        </is>
      </c>
      <c r="B505" s="1" t="n">
        <v>44098</v>
      </c>
      <c r="C505" s="1" t="n">
        <v>45835</v>
      </c>
      <c r="D505" t="inlineStr">
        <is>
          <t>JÄMTLANDS LÄN</t>
        </is>
      </c>
      <c r="E505" t="inlineStr">
        <is>
          <t>RAGUNDA</t>
        </is>
      </c>
      <c r="G505" t="n">
        <v>1.1</v>
      </c>
      <c r="H505" t="n">
        <v>0</v>
      </c>
      <c r="I505" t="n">
        <v>0</v>
      </c>
      <c r="J505" t="n">
        <v>0</v>
      </c>
      <c r="K505" t="n">
        <v>0</v>
      </c>
      <c r="L505" t="n">
        <v>0</v>
      </c>
      <c r="M505" t="n">
        <v>0</v>
      </c>
      <c r="N505" t="n">
        <v>0</v>
      </c>
      <c r="O505" t="n">
        <v>0</v>
      </c>
      <c r="P505" t="n">
        <v>0</v>
      </c>
      <c r="Q505" t="n">
        <v>0</v>
      </c>
      <c r="R505" s="2" t="inlineStr"/>
    </row>
    <row r="506" ht="15" customHeight="1">
      <c r="A506" t="inlineStr">
        <is>
          <t>A 48056-2020</t>
        </is>
      </c>
      <c r="B506" s="1" t="n">
        <v>44099</v>
      </c>
      <c r="C506" s="1" t="n">
        <v>45835</v>
      </c>
      <c r="D506" t="inlineStr">
        <is>
          <t>JÄMTLANDS LÄN</t>
        </is>
      </c>
      <c r="E506" t="inlineStr">
        <is>
          <t>RAGUNDA</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48806-2020</t>
        </is>
      </c>
      <c r="B507" s="1" t="n">
        <v>44103</v>
      </c>
      <c r="C507" s="1" t="n">
        <v>45835</v>
      </c>
      <c r="D507" t="inlineStr">
        <is>
          <t>JÄMTLANDS LÄN</t>
        </is>
      </c>
      <c r="E507" t="inlineStr">
        <is>
          <t>RAGUNDA</t>
        </is>
      </c>
      <c r="F507" t="inlineStr">
        <is>
          <t>Naturvårdsverket</t>
        </is>
      </c>
      <c r="G507" t="n">
        <v>3</v>
      </c>
      <c r="H507" t="n">
        <v>0</v>
      </c>
      <c r="I507" t="n">
        <v>0</v>
      </c>
      <c r="J507" t="n">
        <v>0</v>
      </c>
      <c r="K507" t="n">
        <v>0</v>
      </c>
      <c r="L507" t="n">
        <v>0</v>
      </c>
      <c r="M507" t="n">
        <v>0</v>
      </c>
      <c r="N507" t="n">
        <v>0</v>
      </c>
      <c r="O507" t="n">
        <v>0</v>
      </c>
      <c r="P507" t="n">
        <v>0</v>
      </c>
      <c r="Q507" t="n">
        <v>0</v>
      </c>
      <c r="R507" s="2" t="inlineStr"/>
    </row>
    <row r="508" ht="15" customHeight="1">
      <c r="A508" t="inlineStr">
        <is>
          <t>A 51481-2020</t>
        </is>
      </c>
      <c r="B508" s="1" t="n">
        <v>44106</v>
      </c>
      <c r="C508" s="1" t="n">
        <v>45835</v>
      </c>
      <c r="D508" t="inlineStr">
        <is>
          <t>JÄMTLANDS LÄN</t>
        </is>
      </c>
      <c r="E508" t="inlineStr">
        <is>
          <t>RAGUNDA</t>
        </is>
      </c>
      <c r="G508" t="n">
        <v>4</v>
      </c>
      <c r="H508" t="n">
        <v>0</v>
      </c>
      <c r="I508" t="n">
        <v>0</v>
      </c>
      <c r="J508" t="n">
        <v>0</v>
      </c>
      <c r="K508" t="n">
        <v>0</v>
      </c>
      <c r="L508" t="n">
        <v>0</v>
      </c>
      <c r="M508" t="n">
        <v>0</v>
      </c>
      <c r="N508" t="n">
        <v>0</v>
      </c>
      <c r="O508" t="n">
        <v>0</v>
      </c>
      <c r="P508" t="n">
        <v>0</v>
      </c>
      <c r="Q508" t="n">
        <v>0</v>
      </c>
      <c r="R508" s="2" t="inlineStr"/>
    </row>
    <row r="509" ht="15" customHeight="1">
      <c r="A509" t="inlineStr">
        <is>
          <t>A 50988-2020</t>
        </is>
      </c>
      <c r="B509" s="1" t="n">
        <v>44111</v>
      </c>
      <c r="C509" s="1" t="n">
        <v>45835</v>
      </c>
      <c r="D509" t="inlineStr">
        <is>
          <t>JÄMTLANDS LÄN</t>
        </is>
      </c>
      <c r="E509" t="inlineStr">
        <is>
          <t>RAGUNDA</t>
        </is>
      </c>
      <c r="G509" t="n">
        <v>2.6</v>
      </c>
      <c r="H509" t="n">
        <v>0</v>
      </c>
      <c r="I509" t="n">
        <v>0</v>
      </c>
      <c r="J509" t="n">
        <v>0</v>
      </c>
      <c r="K509" t="n">
        <v>0</v>
      </c>
      <c r="L509" t="n">
        <v>0</v>
      </c>
      <c r="M509" t="n">
        <v>0</v>
      </c>
      <c r="N509" t="n">
        <v>0</v>
      </c>
      <c r="O509" t="n">
        <v>0</v>
      </c>
      <c r="P509" t="n">
        <v>0</v>
      </c>
      <c r="Q509" t="n">
        <v>0</v>
      </c>
      <c r="R509" s="2" t="inlineStr"/>
    </row>
    <row r="510" ht="15" customHeight="1">
      <c r="A510" t="inlineStr">
        <is>
          <t>A 51016-2020</t>
        </is>
      </c>
      <c r="B510" s="1" t="n">
        <v>44111</v>
      </c>
      <c r="C510" s="1" t="n">
        <v>45835</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51004-2020</t>
        </is>
      </c>
      <c r="B511" s="1" t="n">
        <v>44111</v>
      </c>
      <c r="C511" s="1" t="n">
        <v>45835</v>
      </c>
      <c r="D511" t="inlineStr">
        <is>
          <t>JÄMTLANDS LÄN</t>
        </is>
      </c>
      <c r="E511" t="inlineStr">
        <is>
          <t>RAGUNDA</t>
        </is>
      </c>
      <c r="G511" t="n">
        <v>2.8</v>
      </c>
      <c r="H511" t="n">
        <v>0</v>
      </c>
      <c r="I511" t="n">
        <v>0</v>
      </c>
      <c r="J511" t="n">
        <v>0</v>
      </c>
      <c r="K511" t="n">
        <v>0</v>
      </c>
      <c r="L511" t="n">
        <v>0</v>
      </c>
      <c r="M511" t="n">
        <v>0</v>
      </c>
      <c r="N511" t="n">
        <v>0</v>
      </c>
      <c r="O511" t="n">
        <v>0</v>
      </c>
      <c r="P511" t="n">
        <v>0</v>
      </c>
      <c r="Q511" t="n">
        <v>0</v>
      </c>
      <c r="R511" s="2" t="inlineStr"/>
    </row>
    <row r="512" ht="15" customHeight="1">
      <c r="A512" t="inlineStr">
        <is>
          <t>A 51685-2020</t>
        </is>
      </c>
      <c r="B512" s="1" t="n">
        <v>44113</v>
      </c>
      <c r="C512" s="1" t="n">
        <v>45835</v>
      </c>
      <c r="D512" t="inlineStr">
        <is>
          <t>JÄMTLANDS LÄN</t>
        </is>
      </c>
      <c r="E512" t="inlineStr">
        <is>
          <t>RAGUNDA</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53522-2020</t>
        </is>
      </c>
      <c r="B513" s="1" t="n">
        <v>44124</v>
      </c>
      <c r="C513" s="1" t="n">
        <v>45835</v>
      </c>
      <c r="D513" t="inlineStr">
        <is>
          <t>JÄMTLANDS LÄN</t>
        </is>
      </c>
      <c r="E513" t="inlineStr">
        <is>
          <t>RAGUNDA</t>
        </is>
      </c>
      <c r="G513" t="n">
        <v>1.3</v>
      </c>
      <c r="H513" t="n">
        <v>0</v>
      </c>
      <c r="I513" t="n">
        <v>0</v>
      </c>
      <c r="J513" t="n">
        <v>0</v>
      </c>
      <c r="K513" t="n">
        <v>0</v>
      </c>
      <c r="L513" t="n">
        <v>0</v>
      </c>
      <c r="M513" t="n">
        <v>0</v>
      </c>
      <c r="N513" t="n">
        <v>0</v>
      </c>
      <c r="O513" t="n">
        <v>0</v>
      </c>
      <c r="P513" t="n">
        <v>0</v>
      </c>
      <c r="Q513" t="n">
        <v>0</v>
      </c>
      <c r="R513" s="2" t="inlineStr"/>
    </row>
    <row r="514" ht="15" customHeight="1">
      <c r="A514" t="inlineStr">
        <is>
          <t>A 54199-2020</t>
        </is>
      </c>
      <c r="B514" s="1" t="n">
        <v>44126</v>
      </c>
      <c r="C514" s="1" t="n">
        <v>45835</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54580-2020</t>
        </is>
      </c>
      <c r="B515" s="1" t="n">
        <v>44126</v>
      </c>
      <c r="C515" s="1" t="n">
        <v>45835</v>
      </c>
      <c r="D515" t="inlineStr">
        <is>
          <t>JÄMTLANDS LÄN</t>
        </is>
      </c>
      <c r="E515" t="inlineStr">
        <is>
          <t>RAGUNDA</t>
        </is>
      </c>
      <c r="G515" t="n">
        <v>2.8</v>
      </c>
      <c r="H515" t="n">
        <v>0</v>
      </c>
      <c r="I515" t="n">
        <v>0</v>
      </c>
      <c r="J515" t="n">
        <v>0</v>
      </c>
      <c r="K515" t="n">
        <v>0</v>
      </c>
      <c r="L515" t="n">
        <v>0</v>
      </c>
      <c r="M515" t="n">
        <v>0</v>
      </c>
      <c r="N515" t="n">
        <v>0</v>
      </c>
      <c r="O515" t="n">
        <v>0</v>
      </c>
      <c r="P515" t="n">
        <v>0</v>
      </c>
      <c r="Q515" t="n">
        <v>0</v>
      </c>
      <c r="R515" s="2" t="inlineStr"/>
    </row>
    <row r="516" ht="15" customHeight="1">
      <c r="A516" t="inlineStr">
        <is>
          <t>A 55309-2020</t>
        </is>
      </c>
      <c r="B516" s="1" t="n">
        <v>44130</v>
      </c>
      <c r="C516" s="1" t="n">
        <v>45835</v>
      </c>
      <c r="D516" t="inlineStr">
        <is>
          <t>JÄMTLANDS LÄN</t>
        </is>
      </c>
      <c r="E516" t="inlineStr">
        <is>
          <t>RAGUNDA</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55926-2020</t>
        </is>
      </c>
      <c r="B517" s="1" t="n">
        <v>44132</v>
      </c>
      <c r="C517" s="1" t="n">
        <v>45835</v>
      </c>
      <c r="D517" t="inlineStr">
        <is>
          <t>JÄMTLANDS LÄN</t>
        </is>
      </c>
      <c r="E517" t="inlineStr">
        <is>
          <t>RAGUNDA</t>
        </is>
      </c>
      <c r="F517" t="inlineStr">
        <is>
          <t>SCA</t>
        </is>
      </c>
      <c r="G517" t="n">
        <v>11.5</v>
      </c>
      <c r="H517" t="n">
        <v>0</v>
      </c>
      <c r="I517" t="n">
        <v>0</v>
      </c>
      <c r="J517" t="n">
        <v>0</v>
      </c>
      <c r="K517" t="n">
        <v>0</v>
      </c>
      <c r="L517" t="n">
        <v>0</v>
      </c>
      <c r="M517" t="n">
        <v>0</v>
      </c>
      <c r="N517" t="n">
        <v>0</v>
      </c>
      <c r="O517" t="n">
        <v>0</v>
      </c>
      <c r="P517" t="n">
        <v>0</v>
      </c>
      <c r="Q517" t="n">
        <v>0</v>
      </c>
      <c r="R517" s="2" t="inlineStr"/>
    </row>
    <row r="518" ht="15" customHeight="1">
      <c r="A518" t="inlineStr">
        <is>
          <t>A 56339-2020</t>
        </is>
      </c>
      <c r="B518" s="1" t="n">
        <v>44134</v>
      </c>
      <c r="C518" s="1" t="n">
        <v>45835</v>
      </c>
      <c r="D518" t="inlineStr">
        <is>
          <t>JÄMTLANDS LÄN</t>
        </is>
      </c>
      <c r="E518" t="inlineStr">
        <is>
          <t>RAGUNDA</t>
        </is>
      </c>
      <c r="G518" t="n">
        <v>2.9</v>
      </c>
      <c r="H518" t="n">
        <v>0</v>
      </c>
      <c r="I518" t="n">
        <v>0</v>
      </c>
      <c r="J518" t="n">
        <v>0</v>
      </c>
      <c r="K518" t="n">
        <v>0</v>
      </c>
      <c r="L518" t="n">
        <v>0</v>
      </c>
      <c r="M518" t="n">
        <v>0</v>
      </c>
      <c r="N518" t="n">
        <v>0</v>
      </c>
      <c r="O518" t="n">
        <v>0</v>
      </c>
      <c r="P518" t="n">
        <v>0</v>
      </c>
      <c r="Q518" t="n">
        <v>0</v>
      </c>
      <c r="R518" s="2" t="inlineStr"/>
    </row>
    <row r="519" ht="15" customHeight="1">
      <c r="A519" t="inlineStr">
        <is>
          <t>A 56760-2020</t>
        </is>
      </c>
      <c r="B519" s="1" t="n">
        <v>44137</v>
      </c>
      <c r="C519" s="1" t="n">
        <v>45835</v>
      </c>
      <c r="D519" t="inlineStr">
        <is>
          <t>JÄMTLANDS LÄN</t>
        </is>
      </c>
      <c r="E519" t="inlineStr">
        <is>
          <t>RAGUNDA</t>
        </is>
      </c>
      <c r="G519" t="n">
        <v>1.9</v>
      </c>
      <c r="H519" t="n">
        <v>0</v>
      </c>
      <c r="I519" t="n">
        <v>0</v>
      </c>
      <c r="J519" t="n">
        <v>0</v>
      </c>
      <c r="K519" t="n">
        <v>0</v>
      </c>
      <c r="L519" t="n">
        <v>0</v>
      </c>
      <c r="M519" t="n">
        <v>0</v>
      </c>
      <c r="N519" t="n">
        <v>0</v>
      </c>
      <c r="O519" t="n">
        <v>0</v>
      </c>
      <c r="P519" t="n">
        <v>0</v>
      </c>
      <c r="Q519" t="n">
        <v>0</v>
      </c>
      <c r="R519" s="2" t="inlineStr"/>
    </row>
    <row r="520" ht="15" customHeight="1">
      <c r="A520" t="inlineStr">
        <is>
          <t>A 57246-2020</t>
        </is>
      </c>
      <c r="B520" s="1" t="n">
        <v>44138</v>
      </c>
      <c r="C520" s="1" t="n">
        <v>45835</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57731-2020</t>
        </is>
      </c>
      <c r="B521" s="1" t="n">
        <v>44140</v>
      </c>
      <c r="C521" s="1" t="n">
        <v>45835</v>
      </c>
      <c r="D521" t="inlineStr">
        <is>
          <t>JÄMTLANDS LÄN</t>
        </is>
      </c>
      <c r="E521" t="inlineStr">
        <is>
          <t>RAGUNDA</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57717-2020</t>
        </is>
      </c>
      <c r="B522" s="1" t="n">
        <v>44140</v>
      </c>
      <c r="C522" s="1" t="n">
        <v>45835</v>
      </c>
      <c r="D522" t="inlineStr">
        <is>
          <t>JÄMTLANDS LÄN</t>
        </is>
      </c>
      <c r="E522" t="inlineStr">
        <is>
          <t>RAGUNDA</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57730-2020</t>
        </is>
      </c>
      <c r="B523" s="1" t="n">
        <v>44140</v>
      </c>
      <c r="C523" s="1" t="n">
        <v>45835</v>
      </c>
      <c r="D523" t="inlineStr">
        <is>
          <t>JÄMTLANDS LÄN</t>
        </is>
      </c>
      <c r="E523" t="inlineStr">
        <is>
          <t>RAGUNDA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57713-2020</t>
        </is>
      </c>
      <c r="B524" s="1" t="n">
        <v>44140</v>
      </c>
      <c r="C524" s="1" t="n">
        <v>45835</v>
      </c>
      <c r="D524" t="inlineStr">
        <is>
          <t>JÄMTLANDS LÄN</t>
        </is>
      </c>
      <c r="E524" t="inlineStr">
        <is>
          <t>RAGUNDA</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57941-2020</t>
        </is>
      </c>
      <c r="B525" s="1" t="n">
        <v>44141</v>
      </c>
      <c r="C525" s="1" t="n">
        <v>45835</v>
      </c>
      <c r="D525" t="inlineStr">
        <is>
          <t>JÄMTLANDS LÄN</t>
        </is>
      </c>
      <c r="E525" t="inlineStr">
        <is>
          <t>RAGUNDA</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60744-2020</t>
        </is>
      </c>
      <c r="B526" s="1" t="n">
        <v>44153</v>
      </c>
      <c r="C526" s="1" t="n">
        <v>45835</v>
      </c>
      <c r="D526" t="inlineStr">
        <is>
          <t>JÄMTLANDS LÄN</t>
        </is>
      </c>
      <c r="E526" t="inlineStr">
        <is>
          <t>RAGUNDA</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61088-2020</t>
        </is>
      </c>
      <c r="B527" s="1" t="n">
        <v>44153</v>
      </c>
      <c r="C527" s="1" t="n">
        <v>45835</v>
      </c>
      <c r="D527" t="inlineStr">
        <is>
          <t>JÄMTLANDS LÄN</t>
        </is>
      </c>
      <c r="E527" t="inlineStr">
        <is>
          <t>RAGUNDA</t>
        </is>
      </c>
      <c r="G527" t="n">
        <v>1.2</v>
      </c>
      <c r="H527" t="n">
        <v>0</v>
      </c>
      <c r="I527" t="n">
        <v>0</v>
      </c>
      <c r="J527" t="n">
        <v>0</v>
      </c>
      <c r="K527" t="n">
        <v>0</v>
      </c>
      <c r="L527" t="n">
        <v>0</v>
      </c>
      <c r="M527" t="n">
        <v>0</v>
      </c>
      <c r="N527" t="n">
        <v>0</v>
      </c>
      <c r="O527" t="n">
        <v>0</v>
      </c>
      <c r="P527" t="n">
        <v>0</v>
      </c>
      <c r="Q527" t="n">
        <v>0</v>
      </c>
      <c r="R527" s="2" t="inlineStr"/>
    </row>
    <row r="528" ht="15" customHeight="1">
      <c r="A528" t="inlineStr">
        <is>
          <t>A 61395-2020</t>
        </is>
      </c>
      <c r="B528" s="1" t="n">
        <v>44155</v>
      </c>
      <c r="C528" s="1" t="n">
        <v>45835</v>
      </c>
      <c r="D528" t="inlineStr">
        <is>
          <t>JÄMTLANDS LÄN</t>
        </is>
      </c>
      <c r="E528" t="inlineStr">
        <is>
          <t>RAGUNDA</t>
        </is>
      </c>
      <c r="G528" t="n">
        <v>4.7</v>
      </c>
      <c r="H528" t="n">
        <v>0</v>
      </c>
      <c r="I528" t="n">
        <v>0</v>
      </c>
      <c r="J528" t="n">
        <v>0</v>
      </c>
      <c r="K528" t="n">
        <v>0</v>
      </c>
      <c r="L528" t="n">
        <v>0</v>
      </c>
      <c r="M528" t="n">
        <v>0</v>
      </c>
      <c r="N528" t="n">
        <v>0</v>
      </c>
      <c r="O528" t="n">
        <v>0</v>
      </c>
      <c r="P528" t="n">
        <v>0</v>
      </c>
      <c r="Q528" t="n">
        <v>0</v>
      </c>
      <c r="R528" s="2" t="inlineStr"/>
    </row>
    <row r="529" ht="15" customHeight="1">
      <c r="A529" t="inlineStr">
        <is>
          <t>A 61441-2020</t>
        </is>
      </c>
      <c r="B529" s="1" t="n">
        <v>44157</v>
      </c>
      <c r="C529" s="1" t="n">
        <v>45835</v>
      </c>
      <c r="D529" t="inlineStr">
        <is>
          <t>JÄMTLANDS LÄN</t>
        </is>
      </c>
      <c r="E529" t="inlineStr">
        <is>
          <t>RAGUNDA</t>
        </is>
      </c>
      <c r="G529" t="n">
        <v>0.4</v>
      </c>
      <c r="H529" t="n">
        <v>0</v>
      </c>
      <c r="I529" t="n">
        <v>0</v>
      </c>
      <c r="J529" t="n">
        <v>0</v>
      </c>
      <c r="K529" t="n">
        <v>0</v>
      </c>
      <c r="L529" t="n">
        <v>0</v>
      </c>
      <c r="M529" t="n">
        <v>0</v>
      </c>
      <c r="N529" t="n">
        <v>0</v>
      </c>
      <c r="O529" t="n">
        <v>0</v>
      </c>
      <c r="P529" t="n">
        <v>0</v>
      </c>
      <c r="Q529" t="n">
        <v>0</v>
      </c>
      <c r="R529" s="2" t="inlineStr"/>
    </row>
    <row r="530" ht="15" customHeight="1">
      <c r="A530" t="inlineStr">
        <is>
          <t>A 62228-2020</t>
        </is>
      </c>
      <c r="B530" s="1" t="n">
        <v>44159</v>
      </c>
      <c r="C530" s="1" t="n">
        <v>45835</v>
      </c>
      <c r="D530" t="inlineStr">
        <is>
          <t>JÄMTLANDS LÄN</t>
        </is>
      </c>
      <c r="E530" t="inlineStr">
        <is>
          <t>RAGUNDA</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63606-2020</t>
        </is>
      </c>
      <c r="B531" s="1" t="n">
        <v>44165</v>
      </c>
      <c r="C531" s="1" t="n">
        <v>45835</v>
      </c>
      <c r="D531" t="inlineStr">
        <is>
          <t>JÄMTLANDS LÄN</t>
        </is>
      </c>
      <c r="E531" t="inlineStr">
        <is>
          <t>RAGUNDA</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63597-2020</t>
        </is>
      </c>
      <c r="B532" s="1" t="n">
        <v>44165</v>
      </c>
      <c r="C532" s="1" t="n">
        <v>45835</v>
      </c>
      <c r="D532" t="inlineStr">
        <is>
          <t>JÄMTLANDS LÄN</t>
        </is>
      </c>
      <c r="E532" t="inlineStr">
        <is>
          <t>RAGUNDA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64187-2020</t>
        </is>
      </c>
      <c r="B533" s="1" t="n">
        <v>44167</v>
      </c>
      <c r="C533" s="1" t="n">
        <v>45835</v>
      </c>
      <c r="D533" t="inlineStr">
        <is>
          <t>JÄMTLANDS LÄN</t>
        </is>
      </c>
      <c r="E533" t="inlineStr">
        <is>
          <t>RAGUNDA</t>
        </is>
      </c>
      <c r="F533" t="inlineStr">
        <is>
          <t>SCA</t>
        </is>
      </c>
      <c r="G533" t="n">
        <v>7.8</v>
      </c>
      <c r="H533" t="n">
        <v>0</v>
      </c>
      <c r="I533" t="n">
        <v>0</v>
      </c>
      <c r="J533" t="n">
        <v>0</v>
      </c>
      <c r="K533" t="n">
        <v>0</v>
      </c>
      <c r="L533" t="n">
        <v>0</v>
      </c>
      <c r="M533" t="n">
        <v>0</v>
      </c>
      <c r="N533" t="n">
        <v>0</v>
      </c>
      <c r="O533" t="n">
        <v>0</v>
      </c>
      <c r="P533" t="n">
        <v>0</v>
      </c>
      <c r="Q533" t="n">
        <v>0</v>
      </c>
      <c r="R533" s="2" t="inlineStr"/>
    </row>
    <row r="534" ht="15" customHeight="1">
      <c r="A534" t="inlineStr">
        <is>
          <t>A 64386-2020</t>
        </is>
      </c>
      <c r="B534" s="1" t="n">
        <v>44168</v>
      </c>
      <c r="C534" s="1" t="n">
        <v>45835</v>
      </c>
      <c r="D534" t="inlineStr">
        <is>
          <t>JÄMTLANDS LÄN</t>
        </is>
      </c>
      <c r="E534" t="inlineStr">
        <is>
          <t>RAGUNDA</t>
        </is>
      </c>
      <c r="G534" t="n">
        <v>2.5</v>
      </c>
      <c r="H534" t="n">
        <v>0</v>
      </c>
      <c r="I534" t="n">
        <v>0</v>
      </c>
      <c r="J534" t="n">
        <v>0</v>
      </c>
      <c r="K534" t="n">
        <v>0</v>
      </c>
      <c r="L534" t="n">
        <v>0</v>
      </c>
      <c r="M534" t="n">
        <v>0</v>
      </c>
      <c r="N534" t="n">
        <v>0</v>
      </c>
      <c r="O534" t="n">
        <v>0</v>
      </c>
      <c r="P534" t="n">
        <v>0</v>
      </c>
      <c r="Q534" t="n">
        <v>0</v>
      </c>
      <c r="R534" s="2" t="inlineStr"/>
    </row>
    <row r="535" ht="15" customHeight="1">
      <c r="A535" t="inlineStr">
        <is>
          <t>A 65260-2020</t>
        </is>
      </c>
      <c r="B535" s="1" t="n">
        <v>44172</v>
      </c>
      <c r="C535" s="1" t="n">
        <v>45835</v>
      </c>
      <c r="D535" t="inlineStr">
        <is>
          <t>JÄMTLANDS LÄN</t>
        </is>
      </c>
      <c r="E535" t="inlineStr">
        <is>
          <t>RAGUNDA</t>
        </is>
      </c>
      <c r="F535" t="inlineStr">
        <is>
          <t>SCA</t>
        </is>
      </c>
      <c r="G535" t="n">
        <v>7.8</v>
      </c>
      <c r="H535" t="n">
        <v>0</v>
      </c>
      <c r="I535" t="n">
        <v>0</v>
      </c>
      <c r="J535" t="n">
        <v>0</v>
      </c>
      <c r="K535" t="n">
        <v>0</v>
      </c>
      <c r="L535" t="n">
        <v>0</v>
      </c>
      <c r="M535" t="n">
        <v>0</v>
      </c>
      <c r="N535" t="n">
        <v>0</v>
      </c>
      <c r="O535" t="n">
        <v>0</v>
      </c>
      <c r="P535" t="n">
        <v>0</v>
      </c>
      <c r="Q535" t="n">
        <v>0</v>
      </c>
      <c r="R535" s="2" t="inlineStr"/>
    </row>
    <row r="536" ht="15" customHeight="1">
      <c r="A536" t="inlineStr">
        <is>
          <t>A 65341-2020</t>
        </is>
      </c>
      <c r="B536" s="1" t="n">
        <v>44173</v>
      </c>
      <c r="C536" s="1" t="n">
        <v>45835</v>
      </c>
      <c r="D536" t="inlineStr">
        <is>
          <t>JÄMTLANDS LÄN</t>
        </is>
      </c>
      <c r="E536" t="inlineStr">
        <is>
          <t>RAGUNDA</t>
        </is>
      </c>
      <c r="G536" t="n">
        <v>2.6</v>
      </c>
      <c r="H536" t="n">
        <v>0</v>
      </c>
      <c r="I536" t="n">
        <v>0</v>
      </c>
      <c r="J536" t="n">
        <v>0</v>
      </c>
      <c r="K536" t="n">
        <v>0</v>
      </c>
      <c r="L536" t="n">
        <v>0</v>
      </c>
      <c r="M536" t="n">
        <v>0</v>
      </c>
      <c r="N536" t="n">
        <v>0</v>
      </c>
      <c r="O536" t="n">
        <v>0</v>
      </c>
      <c r="P536" t="n">
        <v>0</v>
      </c>
      <c r="Q536" t="n">
        <v>0</v>
      </c>
      <c r="R536" s="2" t="inlineStr"/>
    </row>
    <row r="537" ht="15" customHeight="1">
      <c r="A537" t="inlineStr">
        <is>
          <t>A 65898-2020</t>
        </is>
      </c>
      <c r="B537" s="1" t="n">
        <v>44174</v>
      </c>
      <c r="C537" s="1" t="n">
        <v>45835</v>
      </c>
      <c r="D537" t="inlineStr">
        <is>
          <t>JÄMTLANDS LÄN</t>
        </is>
      </c>
      <c r="E537" t="inlineStr">
        <is>
          <t>RAGUNDA</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66248-2020</t>
        </is>
      </c>
      <c r="B538" s="1" t="n">
        <v>44175</v>
      </c>
      <c r="C538" s="1" t="n">
        <v>45835</v>
      </c>
      <c r="D538" t="inlineStr">
        <is>
          <t>JÄMTLANDS LÄN</t>
        </is>
      </c>
      <c r="E538" t="inlineStr">
        <is>
          <t>RAGUNDA</t>
        </is>
      </c>
      <c r="F538" t="inlineStr">
        <is>
          <t>SCA</t>
        </is>
      </c>
      <c r="G538" t="n">
        <v>5.6</v>
      </c>
      <c r="H538" t="n">
        <v>0</v>
      </c>
      <c r="I538" t="n">
        <v>0</v>
      </c>
      <c r="J538" t="n">
        <v>0</v>
      </c>
      <c r="K538" t="n">
        <v>0</v>
      </c>
      <c r="L538" t="n">
        <v>0</v>
      </c>
      <c r="M538" t="n">
        <v>0</v>
      </c>
      <c r="N538" t="n">
        <v>0</v>
      </c>
      <c r="O538" t="n">
        <v>0</v>
      </c>
      <c r="P538" t="n">
        <v>0</v>
      </c>
      <c r="Q538" t="n">
        <v>0</v>
      </c>
      <c r="R538" s="2" t="inlineStr"/>
    </row>
    <row r="539" ht="15" customHeight="1">
      <c r="A539" t="inlineStr">
        <is>
          <t>A 69174-2020</t>
        </is>
      </c>
      <c r="B539" s="1" t="n">
        <v>44188</v>
      </c>
      <c r="C539" s="1" t="n">
        <v>45835</v>
      </c>
      <c r="D539" t="inlineStr">
        <is>
          <t>JÄMTLANDS LÄN</t>
        </is>
      </c>
      <c r="E539" t="inlineStr">
        <is>
          <t>RAGUNDA</t>
        </is>
      </c>
      <c r="F539" t="inlineStr">
        <is>
          <t>SCA</t>
        </is>
      </c>
      <c r="G539" t="n">
        <v>4.1</v>
      </c>
      <c r="H539" t="n">
        <v>0</v>
      </c>
      <c r="I539" t="n">
        <v>0</v>
      </c>
      <c r="J539" t="n">
        <v>0</v>
      </c>
      <c r="K539" t="n">
        <v>0</v>
      </c>
      <c r="L539" t="n">
        <v>0</v>
      </c>
      <c r="M539" t="n">
        <v>0</v>
      </c>
      <c r="N539" t="n">
        <v>0</v>
      </c>
      <c r="O539" t="n">
        <v>0</v>
      </c>
      <c r="P539" t="n">
        <v>0</v>
      </c>
      <c r="Q539" t="n">
        <v>0</v>
      </c>
      <c r="R539" s="2" t="inlineStr"/>
    </row>
    <row r="540" ht="15" customHeight="1">
      <c r="A540" t="inlineStr">
        <is>
          <t>A 69481-2020</t>
        </is>
      </c>
      <c r="B540" s="1" t="n">
        <v>44194</v>
      </c>
      <c r="C540" s="1" t="n">
        <v>45835</v>
      </c>
      <c r="D540" t="inlineStr">
        <is>
          <t>JÄMTLANDS LÄN</t>
        </is>
      </c>
      <c r="E540" t="inlineStr">
        <is>
          <t>RAGUNDA</t>
        </is>
      </c>
      <c r="G540" t="n">
        <v>1</v>
      </c>
      <c r="H540" t="n">
        <v>0</v>
      </c>
      <c r="I540" t="n">
        <v>0</v>
      </c>
      <c r="J540" t="n">
        <v>0</v>
      </c>
      <c r="K540" t="n">
        <v>0</v>
      </c>
      <c r="L540" t="n">
        <v>0</v>
      </c>
      <c r="M540" t="n">
        <v>0</v>
      </c>
      <c r="N540" t="n">
        <v>0</v>
      </c>
      <c r="O540" t="n">
        <v>0</v>
      </c>
      <c r="P540" t="n">
        <v>0</v>
      </c>
      <c r="Q540" t="n">
        <v>0</v>
      </c>
      <c r="R540" s="2" t="inlineStr"/>
    </row>
    <row r="541" ht="15" customHeight="1">
      <c r="A541" t="inlineStr">
        <is>
          <t>A 69618-2020</t>
        </is>
      </c>
      <c r="B541" s="1" t="n">
        <v>44195</v>
      </c>
      <c r="C541" s="1" t="n">
        <v>45835</v>
      </c>
      <c r="D541" t="inlineStr">
        <is>
          <t>JÄMTLANDS LÄN</t>
        </is>
      </c>
      <c r="E541" t="inlineStr">
        <is>
          <t>RAGUNDA</t>
        </is>
      </c>
      <c r="G541" t="n">
        <v>2.4</v>
      </c>
      <c r="H541" t="n">
        <v>0</v>
      </c>
      <c r="I541" t="n">
        <v>0</v>
      </c>
      <c r="J541" t="n">
        <v>0</v>
      </c>
      <c r="K541" t="n">
        <v>0</v>
      </c>
      <c r="L541" t="n">
        <v>0</v>
      </c>
      <c r="M541" t="n">
        <v>0</v>
      </c>
      <c r="N541" t="n">
        <v>0</v>
      </c>
      <c r="O541" t="n">
        <v>0</v>
      </c>
      <c r="P541" t="n">
        <v>0</v>
      </c>
      <c r="Q541" t="n">
        <v>0</v>
      </c>
      <c r="R541" s="2" t="inlineStr"/>
    </row>
    <row r="542" ht="15" customHeight="1">
      <c r="A542" t="inlineStr">
        <is>
          <t>A 1990-2021</t>
        </is>
      </c>
      <c r="B542" s="1" t="n">
        <v>44210</v>
      </c>
      <c r="C542" s="1" t="n">
        <v>45835</v>
      </c>
      <c r="D542" t="inlineStr">
        <is>
          <t>JÄMTLANDS LÄN</t>
        </is>
      </c>
      <c r="E542" t="inlineStr">
        <is>
          <t>RAGUNDA</t>
        </is>
      </c>
      <c r="G542" t="n">
        <v>0.6</v>
      </c>
      <c r="H542" t="n">
        <v>0</v>
      </c>
      <c r="I542" t="n">
        <v>0</v>
      </c>
      <c r="J542" t="n">
        <v>0</v>
      </c>
      <c r="K542" t="n">
        <v>0</v>
      </c>
      <c r="L542" t="n">
        <v>0</v>
      </c>
      <c r="M542" t="n">
        <v>0</v>
      </c>
      <c r="N542" t="n">
        <v>0</v>
      </c>
      <c r="O542" t="n">
        <v>0</v>
      </c>
      <c r="P542" t="n">
        <v>0</v>
      </c>
      <c r="Q542" t="n">
        <v>0</v>
      </c>
      <c r="R542" s="2" t="inlineStr"/>
    </row>
    <row r="543" ht="15" customHeight="1">
      <c r="A543" t="inlineStr">
        <is>
          <t>A 2469-2021</t>
        </is>
      </c>
      <c r="B543" s="1" t="n">
        <v>44214</v>
      </c>
      <c r="C543" s="1" t="n">
        <v>45835</v>
      </c>
      <c r="D543" t="inlineStr">
        <is>
          <t>JÄMTLANDS LÄN</t>
        </is>
      </c>
      <c r="E543" t="inlineStr">
        <is>
          <t>RAGUNDA</t>
        </is>
      </c>
      <c r="G543" t="n">
        <v>1.1</v>
      </c>
      <c r="H543" t="n">
        <v>0</v>
      </c>
      <c r="I543" t="n">
        <v>0</v>
      </c>
      <c r="J543" t="n">
        <v>0</v>
      </c>
      <c r="K543" t="n">
        <v>0</v>
      </c>
      <c r="L543" t="n">
        <v>0</v>
      </c>
      <c r="M543" t="n">
        <v>0</v>
      </c>
      <c r="N543" t="n">
        <v>0</v>
      </c>
      <c r="O543" t="n">
        <v>0</v>
      </c>
      <c r="P543" t="n">
        <v>0</v>
      </c>
      <c r="Q543" t="n">
        <v>0</v>
      </c>
      <c r="R543" s="2" t="inlineStr"/>
    </row>
    <row r="544" ht="15" customHeight="1">
      <c r="A544" t="inlineStr">
        <is>
          <t>A 3571-2021</t>
        </is>
      </c>
      <c r="B544" s="1" t="n">
        <v>44218</v>
      </c>
      <c r="C544" s="1" t="n">
        <v>45835</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4826-2021</t>
        </is>
      </c>
      <c r="B545" s="1" t="n">
        <v>44225</v>
      </c>
      <c r="C545" s="1" t="n">
        <v>45835</v>
      </c>
      <c r="D545" t="inlineStr">
        <is>
          <t>JÄMTLANDS LÄN</t>
        </is>
      </c>
      <c r="E545" t="inlineStr">
        <is>
          <t>RAGUNDA</t>
        </is>
      </c>
      <c r="G545" t="n">
        <v>2.2</v>
      </c>
      <c r="H545" t="n">
        <v>0</v>
      </c>
      <c r="I545" t="n">
        <v>0</v>
      </c>
      <c r="J545" t="n">
        <v>0</v>
      </c>
      <c r="K545" t="n">
        <v>0</v>
      </c>
      <c r="L545" t="n">
        <v>0</v>
      </c>
      <c r="M545" t="n">
        <v>0</v>
      </c>
      <c r="N545" t="n">
        <v>0</v>
      </c>
      <c r="O545" t="n">
        <v>0</v>
      </c>
      <c r="P545" t="n">
        <v>0</v>
      </c>
      <c r="Q545" t="n">
        <v>0</v>
      </c>
      <c r="R545" s="2" t="inlineStr"/>
    </row>
    <row r="546" ht="15" customHeight="1">
      <c r="A546" t="inlineStr">
        <is>
          <t>A 5130-2021</t>
        </is>
      </c>
      <c r="B546" s="1" t="n">
        <v>44228</v>
      </c>
      <c r="C546" s="1" t="n">
        <v>45835</v>
      </c>
      <c r="D546" t="inlineStr">
        <is>
          <t>JÄMTLANDS LÄN</t>
        </is>
      </c>
      <c r="E546" t="inlineStr">
        <is>
          <t>RAGUNDA</t>
        </is>
      </c>
      <c r="G546" t="n">
        <v>1.6</v>
      </c>
      <c r="H546" t="n">
        <v>0</v>
      </c>
      <c r="I546" t="n">
        <v>0</v>
      </c>
      <c r="J546" t="n">
        <v>0</v>
      </c>
      <c r="K546" t="n">
        <v>0</v>
      </c>
      <c r="L546" t="n">
        <v>0</v>
      </c>
      <c r="M546" t="n">
        <v>0</v>
      </c>
      <c r="N546" t="n">
        <v>0</v>
      </c>
      <c r="O546" t="n">
        <v>0</v>
      </c>
      <c r="P546" t="n">
        <v>0</v>
      </c>
      <c r="Q546" t="n">
        <v>0</v>
      </c>
      <c r="R546" s="2" t="inlineStr"/>
    </row>
    <row r="547" ht="15" customHeight="1">
      <c r="A547" t="inlineStr">
        <is>
          <t>A 5462-2021</t>
        </is>
      </c>
      <c r="B547" s="1" t="n">
        <v>44229</v>
      </c>
      <c r="C547" s="1" t="n">
        <v>45835</v>
      </c>
      <c r="D547" t="inlineStr">
        <is>
          <t>JÄMTLANDS LÄN</t>
        </is>
      </c>
      <c r="E547" t="inlineStr">
        <is>
          <t>RAGUNDA</t>
        </is>
      </c>
      <c r="G547" t="n">
        <v>1.8</v>
      </c>
      <c r="H547" t="n">
        <v>0</v>
      </c>
      <c r="I547" t="n">
        <v>0</v>
      </c>
      <c r="J547" t="n">
        <v>0</v>
      </c>
      <c r="K547" t="n">
        <v>0</v>
      </c>
      <c r="L547" t="n">
        <v>0</v>
      </c>
      <c r="M547" t="n">
        <v>0</v>
      </c>
      <c r="N547" t="n">
        <v>0</v>
      </c>
      <c r="O547" t="n">
        <v>0</v>
      </c>
      <c r="P547" t="n">
        <v>0</v>
      </c>
      <c r="Q547" t="n">
        <v>0</v>
      </c>
      <c r="R547" s="2" t="inlineStr"/>
    </row>
    <row r="548" ht="15" customHeight="1">
      <c r="A548" t="inlineStr">
        <is>
          <t>A 5803-2021</t>
        </is>
      </c>
      <c r="B548" s="1" t="n">
        <v>44230</v>
      </c>
      <c r="C548" s="1" t="n">
        <v>45835</v>
      </c>
      <c r="D548" t="inlineStr">
        <is>
          <t>JÄMTLANDS LÄN</t>
        </is>
      </c>
      <c r="E548" t="inlineStr">
        <is>
          <t>RAGUNDA</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5967-2021</t>
        </is>
      </c>
      <c r="B549" s="1" t="n">
        <v>44231</v>
      </c>
      <c r="C549" s="1" t="n">
        <v>45835</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5958-2021</t>
        </is>
      </c>
      <c r="B550" s="1" t="n">
        <v>44231</v>
      </c>
      <c r="C550" s="1" t="n">
        <v>45835</v>
      </c>
      <c r="D550" t="inlineStr">
        <is>
          <t>JÄMTLANDS LÄN</t>
        </is>
      </c>
      <c r="E550" t="inlineStr">
        <is>
          <t>RAGUNDA</t>
        </is>
      </c>
      <c r="G550" t="n">
        <v>3.1</v>
      </c>
      <c r="H550" t="n">
        <v>0</v>
      </c>
      <c r="I550" t="n">
        <v>0</v>
      </c>
      <c r="J550" t="n">
        <v>0</v>
      </c>
      <c r="K550" t="n">
        <v>0</v>
      </c>
      <c r="L550" t="n">
        <v>0</v>
      </c>
      <c r="M550" t="n">
        <v>0</v>
      </c>
      <c r="N550" t="n">
        <v>0</v>
      </c>
      <c r="O550" t="n">
        <v>0</v>
      </c>
      <c r="P550" t="n">
        <v>0</v>
      </c>
      <c r="Q550" t="n">
        <v>0</v>
      </c>
      <c r="R550" s="2" t="inlineStr"/>
    </row>
    <row r="551" ht="15" customHeight="1">
      <c r="A551" t="inlineStr">
        <is>
          <t>A 6802-2021</t>
        </is>
      </c>
      <c r="B551" s="1" t="n">
        <v>44236</v>
      </c>
      <c r="C551" s="1" t="n">
        <v>45835</v>
      </c>
      <c r="D551" t="inlineStr">
        <is>
          <t>JÄMTLANDS LÄN</t>
        </is>
      </c>
      <c r="E551" t="inlineStr">
        <is>
          <t>RAGUNDA</t>
        </is>
      </c>
      <c r="G551" t="n">
        <v>11.2</v>
      </c>
      <c r="H551" t="n">
        <v>0</v>
      </c>
      <c r="I551" t="n">
        <v>0</v>
      </c>
      <c r="J551" t="n">
        <v>0</v>
      </c>
      <c r="K551" t="n">
        <v>0</v>
      </c>
      <c r="L551" t="n">
        <v>0</v>
      </c>
      <c r="M551" t="n">
        <v>0</v>
      </c>
      <c r="N551" t="n">
        <v>0</v>
      </c>
      <c r="O551" t="n">
        <v>0</v>
      </c>
      <c r="P551" t="n">
        <v>0</v>
      </c>
      <c r="Q551" t="n">
        <v>0</v>
      </c>
      <c r="R551" s="2" t="inlineStr"/>
    </row>
    <row r="552" ht="15" customHeight="1">
      <c r="A552" t="inlineStr">
        <is>
          <t>A 7575-2021</t>
        </is>
      </c>
      <c r="B552" s="1" t="n">
        <v>44239</v>
      </c>
      <c r="C552" s="1" t="n">
        <v>45835</v>
      </c>
      <c r="D552" t="inlineStr">
        <is>
          <t>JÄMTLANDS LÄN</t>
        </is>
      </c>
      <c r="E552" t="inlineStr">
        <is>
          <t>RAGUNDA</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7886-2021</t>
        </is>
      </c>
      <c r="B553" s="1" t="n">
        <v>44242</v>
      </c>
      <c r="C553" s="1" t="n">
        <v>45835</v>
      </c>
      <c r="D553" t="inlineStr">
        <is>
          <t>JÄMTLANDS LÄN</t>
        </is>
      </c>
      <c r="E553" t="inlineStr">
        <is>
          <t>RAGUNDA</t>
        </is>
      </c>
      <c r="F553" t="inlineStr">
        <is>
          <t>SCA</t>
        </is>
      </c>
      <c r="G553" t="n">
        <v>3.7</v>
      </c>
      <c r="H553" t="n">
        <v>0</v>
      </c>
      <c r="I553" t="n">
        <v>0</v>
      </c>
      <c r="J553" t="n">
        <v>0</v>
      </c>
      <c r="K553" t="n">
        <v>0</v>
      </c>
      <c r="L553" t="n">
        <v>0</v>
      </c>
      <c r="M553" t="n">
        <v>0</v>
      </c>
      <c r="N553" t="n">
        <v>0</v>
      </c>
      <c r="O553" t="n">
        <v>0</v>
      </c>
      <c r="P553" t="n">
        <v>0</v>
      </c>
      <c r="Q553" t="n">
        <v>0</v>
      </c>
      <c r="R553" s="2" t="inlineStr"/>
    </row>
    <row r="554" ht="15" customHeight="1">
      <c r="A554" t="inlineStr">
        <is>
          <t>A 8033-2021</t>
        </is>
      </c>
      <c r="B554" s="1" t="n">
        <v>44243</v>
      </c>
      <c r="C554" s="1" t="n">
        <v>45835</v>
      </c>
      <c r="D554" t="inlineStr">
        <is>
          <t>JÄMTLANDS LÄN</t>
        </is>
      </c>
      <c r="E554" t="inlineStr">
        <is>
          <t>RAGUNDA</t>
        </is>
      </c>
      <c r="G554" t="n">
        <v>2.4</v>
      </c>
      <c r="H554" t="n">
        <v>0</v>
      </c>
      <c r="I554" t="n">
        <v>0</v>
      </c>
      <c r="J554" t="n">
        <v>0</v>
      </c>
      <c r="K554" t="n">
        <v>0</v>
      </c>
      <c r="L554" t="n">
        <v>0</v>
      </c>
      <c r="M554" t="n">
        <v>0</v>
      </c>
      <c r="N554" t="n">
        <v>0</v>
      </c>
      <c r="O554" t="n">
        <v>0</v>
      </c>
      <c r="P554" t="n">
        <v>0</v>
      </c>
      <c r="Q554" t="n">
        <v>0</v>
      </c>
      <c r="R554" s="2" t="inlineStr"/>
    </row>
    <row r="555" ht="15" customHeight="1">
      <c r="A555" t="inlineStr">
        <is>
          <t>A 8626-2021</t>
        </is>
      </c>
      <c r="B555" s="1" t="n">
        <v>44245</v>
      </c>
      <c r="C555" s="1" t="n">
        <v>45835</v>
      </c>
      <c r="D555" t="inlineStr">
        <is>
          <t>JÄMTLANDS LÄN</t>
        </is>
      </c>
      <c r="E555" t="inlineStr">
        <is>
          <t>RAGUNDA</t>
        </is>
      </c>
      <c r="G555" t="n">
        <v>3.3</v>
      </c>
      <c r="H555" t="n">
        <v>0</v>
      </c>
      <c r="I555" t="n">
        <v>0</v>
      </c>
      <c r="J555" t="n">
        <v>0</v>
      </c>
      <c r="K555" t="n">
        <v>0</v>
      </c>
      <c r="L555" t="n">
        <v>0</v>
      </c>
      <c r="M555" t="n">
        <v>0</v>
      </c>
      <c r="N555" t="n">
        <v>0</v>
      </c>
      <c r="O555" t="n">
        <v>0</v>
      </c>
      <c r="P555" t="n">
        <v>0</v>
      </c>
      <c r="Q555" t="n">
        <v>0</v>
      </c>
      <c r="R555" s="2" t="inlineStr"/>
    </row>
    <row r="556" ht="15" customHeight="1">
      <c r="A556" t="inlineStr">
        <is>
          <t>A 10938-2021</t>
        </is>
      </c>
      <c r="B556" s="1" t="n">
        <v>44259</v>
      </c>
      <c r="C556" s="1" t="n">
        <v>45835</v>
      </c>
      <c r="D556" t="inlineStr">
        <is>
          <t>JÄMTLANDS LÄN</t>
        </is>
      </c>
      <c r="E556" t="inlineStr">
        <is>
          <t>RAGUNDA</t>
        </is>
      </c>
      <c r="G556" t="n">
        <v>10.4</v>
      </c>
      <c r="H556" t="n">
        <v>0</v>
      </c>
      <c r="I556" t="n">
        <v>0</v>
      </c>
      <c r="J556" t="n">
        <v>0</v>
      </c>
      <c r="K556" t="n">
        <v>0</v>
      </c>
      <c r="L556" t="n">
        <v>0</v>
      </c>
      <c r="M556" t="n">
        <v>0</v>
      </c>
      <c r="N556" t="n">
        <v>0</v>
      </c>
      <c r="O556" t="n">
        <v>0</v>
      </c>
      <c r="P556" t="n">
        <v>0</v>
      </c>
      <c r="Q556" t="n">
        <v>0</v>
      </c>
      <c r="R556" s="2" t="inlineStr"/>
    </row>
    <row r="557" ht="15" customHeight="1">
      <c r="A557" t="inlineStr">
        <is>
          <t>A 10937-2021</t>
        </is>
      </c>
      <c r="B557" s="1" t="n">
        <v>44259</v>
      </c>
      <c r="C557" s="1" t="n">
        <v>45835</v>
      </c>
      <c r="D557" t="inlineStr">
        <is>
          <t>JÄMTLANDS LÄN</t>
        </is>
      </c>
      <c r="E557" t="inlineStr">
        <is>
          <t>RAGUNDA</t>
        </is>
      </c>
      <c r="G557" t="n">
        <v>10.8</v>
      </c>
      <c r="H557" t="n">
        <v>0</v>
      </c>
      <c r="I557" t="n">
        <v>0</v>
      </c>
      <c r="J557" t="n">
        <v>0</v>
      </c>
      <c r="K557" t="n">
        <v>0</v>
      </c>
      <c r="L557" t="n">
        <v>0</v>
      </c>
      <c r="M557" t="n">
        <v>0</v>
      </c>
      <c r="N557" t="n">
        <v>0</v>
      </c>
      <c r="O557" t="n">
        <v>0</v>
      </c>
      <c r="P557" t="n">
        <v>0</v>
      </c>
      <c r="Q557" t="n">
        <v>0</v>
      </c>
      <c r="R557" s="2" t="inlineStr"/>
    </row>
    <row r="558" ht="15" customHeight="1">
      <c r="A558" t="inlineStr">
        <is>
          <t>A 13571-2021</t>
        </is>
      </c>
      <c r="B558" s="1" t="n">
        <v>44273</v>
      </c>
      <c r="C558" s="1" t="n">
        <v>45835</v>
      </c>
      <c r="D558" t="inlineStr">
        <is>
          <t>JÄMTLANDS LÄN</t>
        </is>
      </c>
      <c r="E558" t="inlineStr">
        <is>
          <t>RAGUNDA</t>
        </is>
      </c>
      <c r="G558" t="n">
        <v>1.9</v>
      </c>
      <c r="H558" t="n">
        <v>0</v>
      </c>
      <c r="I558" t="n">
        <v>0</v>
      </c>
      <c r="J558" t="n">
        <v>0</v>
      </c>
      <c r="K558" t="n">
        <v>0</v>
      </c>
      <c r="L558" t="n">
        <v>0</v>
      </c>
      <c r="M558" t="n">
        <v>0</v>
      </c>
      <c r="N558" t="n">
        <v>0</v>
      </c>
      <c r="O558" t="n">
        <v>0</v>
      </c>
      <c r="P558" t="n">
        <v>0</v>
      </c>
      <c r="Q558" t="n">
        <v>0</v>
      </c>
      <c r="R558" s="2" t="inlineStr"/>
    </row>
    <row r="559" ht="15" customHeight="1">
      <c r="A559" t="inlineStr">
        <is>
          <t>A 13570-2021</t>
        </is>
      </c>
      <c r="B559" s="1" t="n">
        <v>44273</v>
      </c>
      <c r="C559" s="1" t="n">
        <v>45835</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13569-2021</t>
        </is>
      </c>
      <c r="B560" s="1" t="n">
        <v>44273</v>
      </c>
      <c r="C560" s="1" t="n">
        <v>45835</v>
      </c>
      <c r="D560" t="inlineStr">
        <is>
          <t>JÄMTLANDS LÄN</t>
        </is>
      </c>
      <c r="E560" t="inlineStr">
        <is>
          <t>RAGUNDA</t>
        </is>
      </c>
      <c r="G560" t="n">
        <v>2.6</v>
      </c>
      <c r="H560" t="n">
        <v>0</v>
      </c>
      <c r="I560" t="n">
        <v>0</v>
      </c>
      <c r="J560" t="n">
        <v>0</v>
      </c>
      <c r="K560" t="n">
        <v>0</v>
      </c>
      <c r="L560" t="n">
        <v>0</v>
      </c>
      <c r="M560" t="n">
        <v>0</v>
      </c>
      <c r="N560" t="n">
        <v>0</v>
      </c>
      <c r="O560" t="n">
        <v>0</v>
      </c>
      <c r="P560" t="n">
        <v>0</v>
      </c>
      <c r="Q560" t="n">
        <v>0</v>
      </c>
      <c r="R560" s="2" t="inlineStr"/>
    </row>
    <row r="561" ht="15" customHeight="1">
      <c r="A561" t="inlineStr">
        <is>
          <t>A 14790-2021</t>
        </is>
      </c>
      <c r="B561" s="1" t="n">
        <v>44280</v>
      </c>
      <c r="C561" s="1" t="n">
        <v>45835</v>
      </c>
      <c r="D561" t="inlineStr">
        <is>
          <t>JÄMTLANDS LÄN</t>
        </is>
      </c>
      <c r="E561" t="inlineStr">
        <is>
          <t>RAGUNDA</t>
        </is>
      </c>
      <c r="G561" t="n">
        <v>1</v>
      </c>
      <c r="H561" t="n">
        <v>0</v>
      </c>
      <c r="I561" t="n">
        <v>0</v>
      </c>
      <c r="J561" t="n">
        <v>0</v>
      </c>
      <c r="K561" t="n">
        <v>0</v>
      </c>
      <c r="L561" t="n">
        <v>0</v>
      </c>
      <c r="M561" t="n">
        <v>0</v>
      </c>
      <c r="N561" t="n">
        <v>0</v>
      </c>
      <c r="O561" t="n">
        <v>0</v>
      </c>
      <c r="P561" t="n">
        <v>0</v>
      </c>
      <c r="Q561" t="n">
        <v>0</v>
      </c>
      <c r="R561" s="2" t="inlineStr"/>
    </row>
    <row r="562" ht="15" customHeight="1">
      <c r="A562" t="inlineStr">
        <is>
          <t>A 14776-2021</t>
        </is>
      </c>
      <c r="B562" s="1" t="n">
        <v>44280</v>
      </c>
      <c r="C562" s="1" t="n">
        <v>45835</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15102-2021</t>
        </is>
      </c>
      <c r="B563" s="1" t="n">
        <v>44281</v>
      </c>
      <c r="C563" s="1" t="n">
        <v>45835</v>
      </c>
      <c r="D563" t="inlineStr">
        <is>
          <t>JÄMTLANDS LÄN</t>
        </is>
      </c>
      <c r="E563" t="inlineStr">
        <is>
          <t>RAGUNDA</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15720-2021</t>
        </is>
      </c>
      <c r="B564" s="1" t="n">
        <v>44286</v>
      </c>
      <c r="C564" s="1" t="n">
        <v>45835</v>
      </c>
      <c r="D564" t="inlineStr">
        <is>
          <t>JÄMTLANDS LÄN</t>
        </is>
      </c>
      <c r="E564" t="inlineStr">
        <is>
          <t>RAGUNDA</t>
        </is>
      </c>
      <c r="G564" t="n">
        <v>0.5</v>
      </c>
      <c r="H564" t="n">
        <v>0</v>
      </c>
      <c r="I564" t="n">
        <v>0</v>
      </c>
      <c r="J564" t="n">
        <v>0</v>
      </c>
      <c r="K564" t="n">
        <v>0</v>
      </c>
      <c r="L564" t="n">
        <v>0</v>
      </c>
      <c r="M564" t="n">
        <v>0</v>
      </c>
      <c r="N564" t="n">
        <v>0</v>
      </c>
      <c r="O564" t="n">
        <v>0</v>
      </c>
      <c r="P564" t="n">
        <v>0</v>
      </c>
      <c r="Q564" t="n">
        <v>0</v>
      </c>
      <c r="R564" s="2" t="inlineStr"/>
    </row>
    <row r="565" ht="15" customHeight="1">
      <c r="A565" t="inlineStr">
        <is>
          <t>A 15672-2021</t>
        </is>
      </c>
      <c r="B565" s="1" t="n">
        <v>44286</v>
      </c>
      <c r="C565" s="1" t="n">
        <v>45835</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16002-2021</t>
        </is>
      </c>
      <c r="B566" s="1" t="n">
        <v>44287</v>
      </c>
      <c r="C566" s="1" t="n">
        <v>45835</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16379-2021</t>
        </is>
      </c>
      <c r="B567" s="1" t="n">
        <v>44292</v>
      </c>
      <c r="C567" s="1" t="n">
        <v>45835</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17315-2021</t>
        </is>
      </c>
      <c r="B568" s="1" t="n">
        <v>44298</v>
      </c>
      <c r="C568" s="1" t="n">
        <v>45835</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17598-2021</t>
        </is>
      </c>
      <c r="B569" s="1" t="n">
        <v>44299</v>
      </c>
      <c r="C569" s="1" t="n">
        <v>45835</v>
      </c>
      <c r="D569" t="inlineStr">
        <is>
          <t>JÄMTLANDS LÄN</t>
        </is>
      </c>
      <c r="E569" t="inlineStr">
        <is>
          <t>RAGUNDA</t>
        </is>
      </c>
      <c r="G569" t="n">
        <v>4.6</v>
      </c>
      <c r="H569" t="n">
        <v>0</v>
      </c>
      <c r="I569" t="n">
        <v>0</v>
      </c>
      <c r="J569" t="n">
        <v>0</v>
      </c>
      <c r="K569" t="n">
        <v>0</v>
      </c>
      <c r="L569" t="n">
        <v>0</v>
      </c>
      <c r="M569" t="n">
        <v>0</v>
      </c>
      <c r="N569" t="n">
        <v>0</v>
      </c>
      <c r="O569" t="n">
        <v>0</v>
      </c>
      <c r="P569" t="n">
        <v>0</v>
      </c>
      <c r="Q569" t="n">
        <v>0</v>
      </c>
      <c r="R569" s="2" t="inlineStr"/>
    </row>
    <row r="570" ht="15" customHeight="1">
      <c r="A570" t="inlineStr">
        <is>
          <t>A 18454-2021</t>
        </is>
      </c>
      <c r="B570" s="1" t="n">
        <v>44306</v>
      </c>
      <c r="C570" s="1" t="n">
        <v>45835</v>
      </c>
      <c r="D570" t="inlineStr">
        <is>
          <t>JÄMTLANDS LÄN</t>
        </is>
      </c>
      <c r="E570" t="inlineStr">
        <is>
          <t>RAGUNDA</t>
        </is>
      </c>
      <c r="G570" t="n">
        <v>1.3</v>
      </c>
      <c r="H570" t="n">
        <v>0</v>
      </c>
      <c r="I570" t="n">
        <v>0</v>
      </c>
      <c r="J570" t="n">
        <v>0</v>
      </c>
      <c r="K570" t="n">
        <v>0</v>
      </c>
      <c r="L570" t="n">
        <v>0</v>
      </c>
      <c r="M570" t="n">
        <v>0</v>
      </c>
      <c r="N570" t="n">
        <v>0</v>
      </c>
      <c r="O570" t="n">
        <v>0</v>
      </c>
      <c r="P570" t="n">
        <v>0</v>
      </c>
      <c r="Q570" t="n">
        <v>0</v>
      </c>
      <c r="R570" s="2" t="inlineStr"/>
    </row>
    <row r="571" ht="15" customHeight="1">
      <c r="A571" t="inlineStr">
        <is>
          <t>A 19615-2021</t>
        </is>
      </c>
      <c r="B571" s="1" t="n">
        <v>44308</v>
      </c>
      <c r="C571" s="1" t="n">
        <v>45835</v>
      </c>
      <c r="D571" t="inlineStr">
        <is>
          <t>JÄMTLANDS LÄN</t>
        </is>
      </c>
      <c r="E571" t="inlineStr">
        <is>
          <t>RAGUNDA</t>
        </is>
      </c>
      <c r="G571" t="n">
        <v>1.4</v>
      </c>
      <c r="H571" t="n">
        <v>0</v>
      </c>
      <c r="I571" t="n">
        <v>0</v>
      </c>
      <c r="J571" t="n">
        <v>0</v>
      </c>
      <c r="K571" t="n">
        <v>0</v>
      </c>
      <c r="L571" t="n">
        <v>0</v>
      </c>
      <c r="M571" t="n">
        <v>0</v>
      </c>
      <c r="N571" t="n">
        <v>0</v>
      </c>
      <c r="O571" t="n">
        <v>0</v>
      </c>
      <c r="P571" t="n">
        <v>0</v>
      </c>
      <c r="Q571" t="n">
        <v>0</v>
      </c>
      <c r="R571" s="2" t="inlineStr"/>
    </row>
    <row r="572" ht="15" customHeight="1">
      <c r="A572" t="inlineStr">
        <is>
          <t>A 19612-2021</t>
        </is>
      </c>
      <c r="B572" s="1" t="n">
        <v>44308</v>
      </c>
      <c r="C572" s="1" t="n">
        <v>45835</v>
      </c>
      <c r="D572" t="inlineStr">
        <is>
          <t>JÄMTLANDS LÄN</t>
        </is>
      </c>
      <c r="E572" t="inlineStr">
        <is>
          <t>RAGUNDA</t>
        </is>
      </c>
      <c r="G572" t="n">
        <v>1</v>
      </c>
      <c r="H572" t="n">
        <v>0</v>
      </c>
      <c r="I572" t="n">
        <v>0</v>
      </c>
      <c r="J572" t="n">
        <v>0</v>
      </c>
      <c r="K572" t="n">
        <v>0</v>
      </c>
      <c r="L572" t="n">
        <v>0</v>
      </c>
      <c r="M572" t="n">
        <v>0</v>
      </c>
      <c r="N572" t="n">
        <v>0</v>
      </c>
      <c r="O572" t="n">
        <v>0</v>
      </c>
      <c r="P572" t="n">
        <v>0</v>
      </c>
      <c r="Q572" t="n">
        <v>0</v>
      </c>
      <c r="R572" s="2" t="inlineStr"/>
    </row>
    <row r="573" ht="15" customHeight="1">
      <c r="A573" t="inlineStr">
        <is>
          <t>A 19600-2021</t>
        </is>
      </c>
      <c r="B573" s="1" t="n">
        <v>44308</v>
      </c>
      <c r="C573" s="1" t="n">
        <v>45835</v>
      </c>
      <c r="D573" t="inlineStr">
        <is>
          <t>JÄMTLANDS LÄN</t>
        </is>
      </c>
      <c r="E573" t="inlineStr">
        <is>
          <t>RAGUNDA</t>
        </is>
      </c>
      <c r="G573" t="n">
        <v>4.3</v>
      </c>
      <c r="H573" t="n">
        <v>0</v>
      </c>
      <c r="I573" t="n">
        <v>0</v>
      </c>
      <c r="J573" t="n">
        <v>0</v>
      </c>
      <c r="K573" t="n">
        <v>0</v>
      </c>
      <c r="L573" t="n">
        <v>0</v>
      </c>
      <c r="M573" t="n">
        <v>0</v>
      </c>
      <c r="N573" t="n">
        <v>0</v>
      </c>
      <c r="O573" t="n">
        <v>0</v>
      </c>
      <c r="P573" t="n">
        <v>0</v>
      </c>
      <c r="Q573" t="n">
        <v>0</v>
      </c>
      <c r="R573" s="2" t="inlineStr"/>
    </row>
    <row r="574" ht="15" customHeight="1">
      <c r="A574" t="inlineStr">
        <is>
          <t>A 19595-2021</t>
        </is>
      </c>
      <c r="B574" s="1" t="n">
        <v>44308</v>
      </c>
      <c r="C574" s="1" t="n">
        <v>45835</v>
      </c>
      <c r="D574" t="inlineStr">
        <is>
          <t>JÄMTLANDS LÄN</t>
        </is>
      </c>
      <c r="E574" t="inlineStr">
        <is>
          <t>RAGUNDA</t>
        </is>
      </c>
      <c r="G574" t="n">
        <v>5.4</v>
      </c>
      <c r="H574" t="n">
        <v>0</v>
      </c>
      <c r="I574" t="n">
        <v>0</v>
      </c>
      <c r="J574" t="n">
        <v>0</v>
      </c>
      <c r="K574" t="n">
        <v>0</v>
      </c>
      <c r="L574" t="n">
        <v>0</v>
      </c>
      <c r="M574" t="n">
        <v>0</v>
      </c>
      <c r="N574" t="n">
        <v>0</v>
      </c>
      <c r="O574" t="n">
        <v>0</v>
      </c>
      <c r="P574" t="n">
        <v>0</v>
      </c>
      <c r="Q574" t="n">
        <v>0</v>
      </c>
      <c r="R574" s="2" t="inlineStr"/>
    </row>
    <row r="575" ht="15" customHeight="1">
      <c r="A575" t="inlineStr">
        <is>
          <t>A 20548-2021</t>
        </is>
      </c>
      <c r="B575" s="1" t="n">
        <v>44315</v>
      </c>
      <c r="C575" s="1" t="n">
        <v>45835</v>
      </c>
      <c r="D575" t="inlineStr">
        <is>
          <t>JÄMTLANDS LÄN</t>
        </is>
      </c>
      <c r="E575" t="inlineStr">
        <is>
          <t>RAGUNDA</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22655-2021</t>
        </is>
      </c>
      <c r="B576" s="1" t="n">
        <v>44322</v>
      </c>
      <c r="C576" s="1" t="n">
        <v>45835</v>
      </c>
      <c r="D576" t="inlineStr">
        <is>
          <t>JÄMTLANDS LÄN</t>
        </is>
      </c>
      <c r="E576" t="inlineStr">
        <is>
          <t>RAGUNDA</t>
        </is>
      </c>
      <c r="G576" t="n">
        <v>5.8</v>
      </c>
      <c r="H576" t="n">
        <v>0</v>
      </c>
      <c r="I576" t="n">
        <v>0</v>
      </c>
      <c r="J576" t="n">
        <v>0</v>
      </c>
      <c r="K576" t="n">
        <v>0</v>
      </c>
      <c r="L576" t="n">
        <v>0</v>
      </c>
      <c r="M576" t="n">
        <v>0</v>
      </c>
      <c r="N576" t="n">
        <v>0</v>
      </c>
      <c r="O576" t="n">
        <v>0</v>
      </c>
      <c r="P576" t="n">
        <v>0</v>
      </c>
      <c r="Q576" t="n">
        <v>0</v>
      </c>
      <c r="R576" s="2" t="inlineStr"/>
    </row>
    <row r="577" ht="15" customHeight="1">
      <c r="A577" t="inlineStr">
        <is>
          <t>A 22131-2021</t>
        </is>
      </c>
      <c r="B577" s="1" t="n">
        <v>44323</v>
      </c>
      <c r="C577" s="1" t="n">
        <v>45835</v>
      </c>
      <c r="D577" t="inlineStr">
        <is>
          <t>JÄMTLANDS LÄN</t>
        </is>
      </c>
      <c r="E577" t="inlineStr">
        <is>
          <t>RAGUNDA</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23169-2021</t>
        </is>
      </c>
      <c r="B578" s="1" t="n">
        <v>44332</v>
      </c>
      <c r="C578" s="1" t="n">
        <v>45835</v>
      </c>
      <c r="D578" t="inlineStr">
        <is>
          <t>JÄMTLANDS LÄN</t>
        </is>
      </c>
      <c r="E578" t="inlineStr">
        <is>
          <t>RAGUNDA</t>
        </is>
      </c>
      <c r="F578" t="inlineStr">
        <is>
          <t>SCA</t>
        </is>
      </c>
      <c r="G578" t="n">
        <v>59.9</v>
      </c>
      <c r="H578" t="n">
        <v>0</v>
      </c>
      <c r="I578" t="n">
        <v>0</v>
      </c>
      <c r="J578" t="n">
        <v>0</v>
      </c>
      <c r="K578" t="n">
        <v>0</v>
      </c>
      <c r="L578" t="n">
        <v>0</v>
      </c>
      <c r="M578" t="n">
        <v>0</v>
      </c>
      <c r="N578" t="n">
        <v>0</v>
      </c>
      <c r="O578" t="n">
        <v>0</v>
      </c>
      <c r="P578" t="n">
        <v>0</v>
      </c>
      <c r="Q578" t="n">
        <v>0</v>
      </c>
      <c r="R578" s="2" t="inlineStr"/>
    </row>
    <row r="579" ht="15" customHeight="1">
      <c r="A579" t="inlineStr">
        <is>
          <t>A 24171-2021</t>
        </is>
      </c>
      <c r="B579" s="1" t="n">
        <v>44336</v>
      </c>
      <c r="C579" s="1" t="n">
        <v>45835</v>
      </c>
      <c r="D579" t="inlineStr">
        <is>
          <t>JÄMTLANDS LÄN</t>
        </is>
      </c>
      <c r="E579" t="inlineStr">
        <is>
          <t>RAGUNDA</t>
        </is>
      </c>
      <c r="G579" t="n">
        <v>3.6</v>
      </c>
      <c r="H579" t="n">
        <v>0</v>
      </c>
      <c r="I579" t="n">
        <v>0</v>
      </c>
      <c r="J579" t="n">
        <v>0</v>
      </c>
      <c r="K579" t="n">
        <v>0</v>
      </c>
      <c r="L579" t="n">
        <v>0</v>
      </c>
      <c r="M579" t="n">
        <v>0</v>
      </c>
      <c r="N579" t="n">
        <v>0</v>
      </c>
      <c r="O579" t="n">
        <v>0</v>
      </c>
      <c r="P579" t="n">
        <v>0</v>
      </c>
      <c r="Q579" t="n">
        <v>0</v>
      </c>
      <c r="R579" s="2" t="inlineStr"/>
    </row>
    <row r="580" ht="15" customHeight="1">
      <c r="A580" t="inlineStr">
        <is>
          <t>A 24280-2021</t>
        </is>
      </c>
      <c r="B580" s="1" t="n">
        <v>44336</v>
      </c>
      <c r="C580" s="1" t="n">
        <v>45835</v>
      </c>
      <c r="D580" t="inlineStr">
        <is>
          <t>JÄMTLANDS LÄN</t>
        </is>
      </c>
      <c r="E580" t="inlineStr">
        <is>
          <t>RAGUNDA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25811-2021</t>
        </is>
      </c>
      <c r="B581" s="1" t="n">
        <v>44344</v>
      </c>
      <c r="C581" s="1" t="n">
        <v>45835</v>
      </c>
      <c r="D581" t="inlineStr">
        <is>
          <t>JÄMTLANDS LÄN</t>
        </is>
      </c>
      <c r="E581" t="inlineStr">
        <is>
          <t>RAGUNDA</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26942-2021</t>
        </is>
      </c>
      <c r="B582" s="1" t="n">
        <v>44350</v>
      </c>
      <c r="C582" s="1" t="n">
        <v>45835</v>
      </c>
      <c r="D582" t="inlineStr">
        <is>
          <t>JÄMTLANDS LÄN</t>
        </is>
      </c>
      <c r="E582" t="inlineStr">
        <is>
          <t>RAGUNDA</t>
        </is>
      </c>
      <c r="G582" t="n">
        <v>6.2</v>
      </c>
      <c r="H582" t="n">
        <v>0</v>
      </c>
      <c r="I582" t="n">
        <v>0</v>
      </c>
      <c r="J582" t="n">
        <v>0</v>
      </c>
      <c r="K582" t="n">
        <v>0</v>
      </c>
      <c r="L582" t="n">
        <v>0</v>
      </c>
      <c r="M582" t="n">
        <v>0</v>
      </c>
      <c r="N582" t="n">
        <v>0</v>
      </c>
      <c r="O582" t="n">
        <v>0</v>
      </c>
      <c r="P582" t="n">
        <v>0</v>
      </c>
      <c r="Q582" t="n">
        <v>0</v>
      </c>
      <c r="R582" s="2" t="inlineStr"/>
    </row>
    <row r="583" ht="15" customHeight="1">
      <c r="A583" t="inlineStr">
        <is>
          <t>A 26948-2021</t>
        </is>
      </c>
      <c r="B583" s="1" t="n">
        <v>44350</v>
      </c>
      <c r="C583" s="1" t="n">
        <v>45835</v>
      </c>
      <c r="D583" t="inlineStr">
        <is>
          <t>JÄMTLANDS LÄN</t>
        </is>
      </c>
      <c r="E583" t="inlineStr">
        <is>
          <t>RAGUNDA</t>
        </is>
      </c>
      <c r="G583" t="n">
        <v>2.5</v>
      </c>
      <c r="H583" t="n">
        <v>0</v>
      </c>
      <c r="I583" t="n">
        <v>0</v>
      </c>
      <c r="J583" t="n">
        <v>0</v>
      </c>
      <c r="K583" t="n">
        <v>0</v>
      </c>
      <c r="L583" t="n">
        <v>0</v>
      </c>
      <c r="M583" t="n">
        <v>0</v>
      </c>
      <c r="N583" t="n">
        <v>0</v>
      </c>
      <c r="O583" t="n">
        <v>0</v>
      </c>
      <c r="P583" t="n">
        <v>0</v>
      </c>
      <c r="Q583" t="n">
        <v>0</v>
      </c>
      <c r="R583" s="2" t="inlineStr"/>
    </row>
    <row r="584" ht="15" customHeight="1">
      <c r="A584" t="inlineStr">
        <is>
          <t>A 26945-2021</t>
        </is>
      </c>
      <c r="B584" s="1" t="n">
        <v>44350</v>
      </c>
      <c r="C584" s="1" t="n">
        <v>45835</v>
      </c>
      <c r="D584" t="inlineStr">
        <is>
          <t>JÄMTLANDS LÄN</t>
        </is>
      </c>
      <c r="E584" t="inlineStr">
        <is>
          <t>RAGUNDA</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26946-2021</t>
        </is>
      </c>
      <c r="B585" s="1" t="n">
        <v>44349</v>
      </c>
      <c r="C585" s="1" t="n">
        <v>45835</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27399-2021</t>
        </is>
      </c>
      <c r="B586" s="1" t="n">
        <v>44351</v>
      </c>
      <c r="C586" s="1" t="n">
        <v>45835</v>
      </c>
      <c r="D586" t="inlineStr">
        <is>
          <t>JÄMTLANDS LÄN</t>
        </is>
      </c>
      <c r="E586" t="inlineStr">
        <is>
          <t>RAGUNDA</t>
        </is>
      </c>
      <c r="F586" t="inlineStr">
        <is>
          <t>Kommuner</t>
        </is>
      </c>
      <c r="G586" t="n">
        <v>3.1</v>
      </c>
      <c r="H586" t="n">
        <v>0</v>
      </c>
      <c r="I586" t="n">
        <v>0</v>
      </c>
      <c r="J586" t="n">
        <v>0</v>
      </c>
      <c r="K586" t="n">
        <v>0</v>
      </c>
      <c r="L586" t="n">
        <v>0</v>
      </c>
      <c r="M586" t="n">
        <v>0</v>
      </c>
      <c r="N586" t="n">
        <v>0</v>
      </c>
      <c r="O586" t="n">
        <v>0</v>
      </c>
      <c r="P586" t="n">
        <v>0</v>
      </c>
      <c r="Q586" t="n">
        <v>0</v>
      </c>
      <c r="R586" s="2" t="inlineStr"/>
    </row>
    <row r="587" ht="15" customHeight="1">
      <c r="A587" t="inlineStr">
        <is>
          <t>A 27371-2021</t>
        </is>
      </c>
      <c r="B587" s="1" t="n">
        <v>44351</v>
      </c>
      <c r="C587" s="1" t="n">
        <v>45835</v>
      </c>
      <c r="D587" t="inlineStr">
        <is>
          <t>JÄMTLANDS LÄN</t>
        </is>
      </c>
      <c r="E587" t="inlineStr">
        <is>
          <t>RAGUNDA</t>
        </is>
      </c>
      <c r="F587" t="inlineStr">
        <is>
          <t>Kommuner</t>
        </is>
      </c>
      <c r="G587" t="n">
        <v>2.5</v>
      </c>
      <c r="H587" t="n">
        <v>0</v>
      </c>
      <c r="I587" t="n">
        <v>0</v>
      </c>
      <c r="J587" t="n">
        <v>0</v>
      </c>
      <c r="K587" t="n">
        <v>0</v>
      </c>
      <c r="L587" t="n">
        <v>0</v>
      </c>
      <c r="M587" t="n">
        <v>0</v>
      </c>
      <c r="N587" t="n">
        <v>0</v>
      </c>
      <c r="O587" t="n">
        <v>0</v>
      </c>
      <c r="P587" t="n">
        <v>0</v>
      </c>
      <c r="Q587" t="n">
        <v>0</v>
      </c>
      <c r="R587" s="2" t="inlineStr"/>
    </row>
    <row r="588" ht="15" customHeight="1">
      <c r="A588" t="inlineStr">
        <is>
          <t>A 28596-2021</t>
        </is>
      </c>
      <c r="B588" s="1" t="n">
        <v>44356</v>
      </c>
      <c r="C588" s="1" t="n">
        <v>45835</v>
      </c>
      <c r="D588" t="inlineStr">
        <is>
          <t>JÄMTLANDS LÄN</t>
        </is>
      </c>
      <c r="E588" t="inlineStr">
        <is>
          <t>RAGUNDA</t>
        </is>
      </c>
      <c r="G588" t="n">
        <v>5.4</v>
      </c>
      <c r="H588" t="n">
        <v>0</v>
      </c>
      <c r="I588" t="n">
        <v>0</v>
      </c>
      <c r="J588" t="n">
        <v>0</v>
      </c>
      <c r="K588" t="n">
        <v>0</v>
      </c>
      <c r="L588" t="n">
        <v>0</v>
      </c>
      <c r="M588" t="n">
        <v>0</v>
      </c>
      <c r="N588" t="n">
        <v>0</v>
      </c>
      <c r="O588" t="n">
        <v>0</v>
      </c>
      <c r="P588" t="n">
        <v>0</v>
      </c>
      <c r="Q588" t="n">
        <v>0</v>
      </c>
      <c r="R588" s="2" t="inlineStr"/>
    </row>
    <row r="589" ht="15" customHeight="1">
      <c r="A589" t="inlineStr">
        <is>
          <t>A 28597-2021</t>
        </is>
      </c>
      <c r="B589" s="1" t="n">
        <v>44357</v>
      </c>
      <c r="C589" s="1" t="n">
        <v>45835</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28887-2021</t>
        </is>
      </c>
      <c r="B590" s="1" t="n">
        <v>44357</v>
      </c>
      <c r="C590" s="1" t="n">
        <v>45835</v>
      </c>
      <c r="D590" t="inlineStr">
        <is>
          <t>JÄMTLANDS LÄN</t>
        </is>
      </c>
      <c r="E590" t="inlineStr">
        <is>
          <t>RAGUNDA</t>
        </is>
      </c>
      <c r="G590" t="n">
        <v>1.8</v>
      </c>
      <c r="H590" t="n">
        <v>0</v>
      </c>
      <c r="I590" t="n">
        <v>0</v>
      </c>
      <c r="J590" t="n">
        <v>0</v>
      </c>
      <c r="K590" t="n">
        <v>0</v>
      </c>
      <c r="L590" t="n">
        <v>0</v>
      </c>
      <c r="M590" t="n">
        <v>0</v>
      </c>
      <c r="N590" t="n">
        <v>0</v>
      </c>
      <c r="O590" t="n">
        <v>0</v>
      </c>
      <c r="P590" t="n">
        <v>0</v>
      </c>
      <c r="Q590" t="n">
        <v>0</v>
      </c>
      <c r="R590" s="2" t="inlineStr"/>
    </row>
    <row r="591" ht="15" customHeight="1">
      <c r="A591" t="inlineStr">
        <is>
          <t>A 29409-2021</t>
        </is>
      </c>
      <c r="B591" s="1" t="n">
        <v>44361</v>
      </c>
      <c r="C591" s="1" t="n">
        <v>45835</v>
      </c>
      <c r="D591" t="inlineStr">
        <is>
          <t>JÄMTLANDS LÄN</t>
        </is>
      </c>
      <c r="E591" t="inlineStr">
        <is>
          <t>RAGUNDA</t>
        </is>
      </c>
      <c r="G591" t="n">
        <v>0.3</v>
      </c>
      <c r="H591" t="n">
        <v>0</v>
      </c>
      <c r="I591" t="n">
        <v>0</v>
      </c>
      <c r="J591" t="n">
        <v>0</v>
      </c>
      <c r="K591" t="n">
        <v>0</v>
      </c>
      <c r="L591" t="n">
        <v>0</v>
      </c>
      <c r="M591" t="n">
        <v>0</v>
      </c>
      <c r="N591" t="n">
        <v>0</v>
      </c>
      <c r="O591" t="n">
        <v>0</v>
      </c>
      <c r="P591" t="n">
        <v>0</v>
      </c>
      <c r="Q591" t="n">
        <v>0</v>
      </c>
      <c r="R591" s="2" t="inlineStr"/>
    </row>
    <row r="592" ht="15" customHeight="1">
      <c r="A592" t="inlineStr">
        <is>
          <t>A 30438-2021</t>
        </is>
      </c>
      <c r="B592" s="1" t="n">
        <v>44362</v>
      </c>
      <c r="C592" s="1" t="n">
        <v>45835</v>
      </c>
      <c r="D592" t="inlineStr">
        <is>
          <t>JÄMTLANDS LÄN</t>
        </is>
      </c>
      <c r="E592" t="inlineStr">
        <is>
          <t>RAGUNDA</t>
        </is>
      </c>
      <c r="G592" t="n">
        <v>5</v>
      </c>
      <c r="H592" t="n">
        <v>0</v>
      </c>
      <c r="I592" t="n">
        <v>0</v>
      </c>
      <c r="J592" t="n">
        <v>0</v>
      </c>
      <c r="K592" t="n">
        <v>0</v>
      </c>
      <c r="L592" t="n">
        <v>0</v>
      </c>
      <c r="M592" t="n">
        <v>0</v>
      </c>
      <c r="N592" t="n">
        <v>0</v>
      </c>
      <c r="O592" t="n">
        <v>0</v>
      </c>
      <c r="P592" t="n">
        <v>0</v>
      </c>
      <c r="Q592" t="n">
        <v>0</v>
      </c>
      <c r="R592" s="2" t="inlineStr"/>
    </row>
    <row r="593" ht="15" customHeight="1">
      <c r="A593" t="inlineStr">
        <is>
          <t>A 30459-2021</t>
        </is>
      </c>
      <c r="B593" s="1" t="n">
        <v>44362</v>
      </c>
      <c r="C593" s="1" t="n">
        <v>45835</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30581-2021</t>
        </is>
      </c>
      <c r="B594" s="1" t="n">
        <v>44365</v>
      </c>
      <c r="C594" s="1" t="n">
        <v>45835</v>
      </c>
      <c r="D594" t="inlineStr">
        <is>
          <t>JÄMTLANDS LÄN</t>
        </is>
      </c>
      <c r="E594" t="inlineStr">
        <is>
          <t>RAGUNDA</t>
        </is>
      </c>
      <c r="G594" t="n">
        <v>4.2</v>
      </c>
      <c r="H594" t="n">
        <v>0</v>
      </c>
      <c r="I594" t="n">
        <v>0</v>
      </c>
      <c r="J594" t="n">
        <v>0</v>
      </c>
      <c r="K594" t="n">
        <v>0</v>
      </c>
      <c r="L594" t="n">
        <v>0</v>
      </c>
      <c r="M594" t="n">
        <v>0</v>
      </c>
      <c r="N594" t="n">
        <v>0</v>
      </c>
      <c r="O594" t="n">
        <v>0</v>
      </c>
      <c r="P594" t="n">
        <v>0</v>
      </c>
      <c r="Q594" t="n">
        <v>0</v>
      </c>
      <c r="R594" s="2" t="inlineStr"/>
    </row>
    <row r="595" ht="15" customHeight="1">
      <c r="A595" t="inlineStr">
        <is>
          <t>A 31158-2021</t>
        </is>
      </c>
      <c r="B595" s="1" t="n">
        <v>44368</v>
      </c>
      <c r="C595" s="1" t="n">
        <v>45835</v>
      </c>
      <c r="D595" t="inlineStr">
        <is>
          <t>JÄMTLANDS LÄN</t>
        </is>
      </c>
      <c r="E595" t="inlineStr">
        <is>
          <t>RAGUNDA</t>
        </is>
      </c>
      <c r="G595" t="n">
        <v>0.5</v>
      </c>
      <c r="H595" t="n">
        <v>0</v>
      </c>
      <c r="I595" t="n">
        <v>0</v>
      </c>
      <c r="J595" t="n">
        <v>0</v>
      </c>
      <c r="K595" t="n">
        <v>0</v>
      </c>
      <c r="L595" t="n">
        <v>0</v>
      </c>
      <c r="M595" t="n">
        <v>0</v>
      </c>
      <c r="N595" t="n">
        <v>0</v>
      </c>
      <c r="O595" t="n">
        <v>0</v>
      </c>
      <c r="P595" t="n">
        <v>0</v>
      </c>
      <c r="Q595" t="n">
        <v>0</v>
      </c>
      <c r="R595" s="2" t="inlineStr"/>
    </row>
    <row r="596" ht="15" customHeight="1">
      <c r="A596" t="inlineStr">
        <is>
          <t>A 32832-2021</t>
        </is>
      </c>
      <c r="B596" s="1" t="n">
        <v>44375</v>
      </c>
      <c r="C596" s="1" t="n">
        <v>45835</v>
      </c>
      <c r="D596" t="inlineStr">
        <is>
          <t>JÄMTLANDS LÄN</t>
        </is>
      </c>
      <c r="E596" t="inlineStr">
        <is>
          <t>RAGUNDA</t>
        </is>
      </c>
      <c r="G596" t="n">
        <v>3</v>
      </c>
      <c r="H596" t="n">
        <v>0</v>
      </c>
      <c r="I596" t="n">
        <v>0</v>
      </c>
      <c r="J596" t="n">
        <v>0</v>
      </c>
      <c r="K596" t="n">
        <v>0</v>
      </c>
      <c r="L596" t="n">
        <v>0</v>
      </c>
      <c r="M596" t="n">
        <v>0</v>
      </c>
      <c r="N596" t="n">
        <v>0</v>
      </c>
      <c r="O596" t="n">
        <v>0</v>
      </c>
      <c r="P596" t="n">
        <v>0</v>
      </c>
      <c r="Q596" t="n">
        <v>0</v>
      </c>
      <c r="R596" s="2" t="inlineStr"/>
    </row>
    <row r="597" ht="15" customHeight="1">
      <c r="A597" t="inlineStr">
        <is>
          <t>A 34348-2021</t>
        </is>
      </c>
      <c r="B597" s="1" t="n">
        <v>44379</v>
      </c>
      <c r="C597" s="1" t="n">
        <v>45835</v>
      </c>
      <c r="D597" t="inlineStr">
        <is>
          <t>JÄMTLANDS LÄN</t>
        </is>
      </c>
      <c r="E597" t="inlineStr">
        <is>
          <t>RAGUNDA</t>
        </is>
      </c>
      <c r="G597" t="n">
        <v>8.1</v>
      </c>
      <c r="H597" t="n">
        <v>0</v>
      </c>
      <c r="I597" t="n">
        <v>0</v>
      </c>
      <c r="J597" t="n">
        <v>0</v>
      </c>
      <c r="K597" t="n">
        <v>0</v>
      </c>
      <c r="L597" t="n">
        <v>0</v>
      </c>
      <c r="M597" t="n">
        <v>0</v>
      </c>
      <c r="N597" t="n">
        <v>0</v>
      </c>
      <c r="O597" t="n">
        <v>0</v>
      </c>
      <c r="P597" t="n">
        <v>0</v>
      </c>
      <c r="Q597" t="n">
        <v>0</v>
      </c>
      <c r="R597" s="2" t="inlineStr"/>
    </row>
    <row r="598" ht="15" customHeight="1">
      <c r="A598" t="inlineStr">
        <is>
          <t>A 35537-2021</t>
        </is>
      </c>
      <c r="B598" s="1" t="n">
        <v>44384</v>
      </c>
      <c r="C598" s="1" t="n">
        <v>45835</v>
      </c>
      <c r="D598" t="inlineStr">
        <is>
          <t>JÄMTLANDS LÄN</t>
        </is>
      </c>
      <c r="E598" t="inlineStr">
        <is>
          <t>RAGUNDA</t>
        </is>
      </c>
      <c r="G598" t="n">
        <v>3.1</v>
      </c>
      <c r="H598" t="n">
        <v>0</v>
      </c>
      <c r="I598" t="n">
        <v>0</v>
      </c>
      <c r="J598" t="n">
        <v>0</v>
      </c>
      <c r="K598" t="n">
        <v>0</v>
      </c>
      <c r="L598" t="n">
        <v>0</v>
      </c>
      <c r="M598" t="n">
        <v>0</v>
      </c>
      <c r="N598" t="n">
        <v>0</v>
      </c>
      <c r="O598" t="n">
        <v>0</v>
      </c>
      <c r="P598" t="n">
        <v>0</v>
      </c>
      <c r="Q598" t="n">
        <v>0</v>
      </c>
      <c r="R598" s="2" t="inlineStr"/>
    </row>
    <row r="599" ht="15" customHeight="1">
      <c r="A599" t="inlineStr">
        <is>
          <t>A 35386-2021</t>
        </is>
      </c>
      <c r="B599" s="1" t="n">
        <v>44385</v>
      </c>
      <c r="C599" s="1" t="n">
        <v>45835</v>
      </c>
      <c r="D599" t="inlineStr">
        <is>
          <t>JÄMTLANDS LÄN</t>
        </is>
      </c>
      <c r="E599" t="inlineStr">
        <is>
          <t>RAGUNDA</t>
        </is>
      </c>
      <c r="G599" t="n">
        <v>1.7</v>
      </c>
      <c r="H599" t="n">
        <v>0</v>
      </c>
      <c r="I599" t="n">
        <v>0</v>
      </c>
      <c r="J599" t="n">
        <v>0</v>
      </c>
      <c r="K599" t="n">
        <v>0</v>
      </c>
      <c r="L599" t="n">
        <v>0</v>
      </c>
      <c r="M599" t="n">
        <v>0</v>
      </c>
      <c r="N599" t="n">
        <v>0</v>
      </c>
      <c r="O599" t="n">
        <v>0</v>
      </c>
      <c r="P599" t="n">
        <v>0</v>
      </c>
      <c r="Q599" t="n">
        <v>0</v>
      </c>
      <c r="R599" s="2" t="inlineStr"/>
    </row>
    <row r="600" ht="15" customHeight="1">
      <c r="A600" t="inlineStr">
        <is>
          <t>A 35988-2021</t>
        </is>
      </c>
      <c r="B600" s="1" t="n">
        <v>44385</v>
      </c>
      <c r="C600" s="1" t="n">
        <v>45835</v>
      </c>
      <c r="D600" t="inlineStr">
        <is>
          <t>JÄMTLANDS LÄN</t>
        </is>
      </c>
      <c r="E600" t="inlineStr">
        <is>
          <t>RAGUNDA</t>
        </is>
      </c>
      <c r="G600" t="n">
        <v>4.1</v>
      </c>
      <c r="H600" t="n">
        <v>0</v>
      </c>
      <c r="I600" t="n">
        <v>0</v>
      </c>
      <c r="J600" t="n">
        <v>0</v>
      </c>
      <c r="K600" t="n">
        <v>0</v>
      </c>
      <c r="L600" t="n">
        <v>0</v>
      </c>
      <c r="M600" t="n">
        <v>0</v>
      </c>
      <c r="N600" t="n">
        <v>0</v>
      </c>
      <c r="O600" t="n">
        <v>0</v>
      </c>
      <c r="P600" t="n">
        <v>0</v>
      </c>
      <c r="Q600" t="n">
        <v>0</v>
      </c>
      <c r="R600" s="2" t="inlineStr"/>
    </row>
    <row r="601" ht="15" customHeight="1">
      <c r="A601" t="inlineStr">
        <is>
          <t>A 36227-2021</t>
        </is>
      </c>
      <c r="B601" s="1" t="n">
        <v>44390</v>
      </c>
      <c r="C601" s="1" t="n">
        <v>45835</v>
      </c>
      <c r="D601" t="inlineStr">
        <is>
          <t>JÄMTLANDS LÄN</t>
        </is>
      </c>
      <c r="E601" t="inlineStr">
        <is>
          <t>RAGUNDA</t>
        </is>
      </c>
      <c r="G601" t="n">
        <v>0.7</v>
      </c>
      <c r="H601" t="n">
        <v>0</v>
      </c>
      <c r="I601" t="n">
        <v>0</v>
      </c>
      <c r="J601" t="n">
        <v>0</v>
      </c>
      <c r="K601" t="n">
        <v>0</v>
      </c>
      <c r="L601" t="n">
        <v>0</v>
      </c>
      <c r="M601" t="n">
        <v>0</v>
      </c>
      <c r="N601" t="n">
        <v>0</v>
      </c>
      <c r="O601" t="n">
        <v>0</v>
      </c>
      <c r="P601" t="n">
        <v>0</v>
      </c>
      <c r="Q601" t="n">
        <v>0</v>
      </c>
      <c r="R601" s="2" t="inlineStr"/>
    </row>
    <row r="602" ht="15" customHeight="1">
      <c r="A602" t="inlineStr">
        <is>
          <t>A 36228-2021</t>
        </is>
      </c>
      <c r="B602" s="1" t="n">
        <v>44390</v>
      </c>
      <c r="C602" s="1" t="n">
        <v>45835</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36230-2021</t>
        </is>
      </c>
      <c r="B603" s="1" t="n">
        <v>44390</v>
      </c>
      <c r="C603" s="1" t="n">
        <v>45835</v>
      </c>
      <c r="D603" t="inlineStr">
        <is>
          <t>JÄMTLANDS LÄN</t>
        </is>
      </c>
      <c r="E603" t="inlineStr">
        <is>
          <t>RAGUNDA</t>
        </is>
      </c>
      <c r="G603" t="n">
        <v>1.1</v>
      </c>
      <c r="H603" t="n">
        <v>0</v>
      </c>
      <c r="I603" t="n">
        <v>0</v>
      </c>
      <c r="J603" t="n">
        <v>0</v>
      </c>
      <c r="K603" t="n">
        <v>0</v>
      </c>
      <c r="L603" t="n">
        <v>0</v>
      </c>
      <c r="M603" t="n">
        <v>0</v>
      </c>
      <c r="N603" t="n">
        <v>0</v>
      </c>
      <c r="O603" t="n">
        <v>0</v>
      </c>
      <c r="P603" t="n">
        <v>0</v>
      </c>
      <c r="Q603" t="n">
        <v>0</v>
      </c>
      <c r="R603" s="2" t="inlineStr"/>
    </row>
    <row r="604" ht="15" customHeight="1">
      <c r="A604" t="inlineStr">
        <is>
          <t>A 37227-2021</t>
        </is>
      </c>
      <c r="B604" s="1" t="n">
        <v>44396</v>
      </c>
      <c r="C604" s="1" t="n">
        <v>45835</v>
      </c>
      <c r="D604" t="inlineStr">
        <is>
          <t>JÄMTLANDS LÄN</t>
        </is>
      </c>
      <c r="E604" t="inlineStr">
        <is>
          <t>RAGUNDA</t>
        </is>
      </c>
      <c r="G604" t="n">
        <v>10.1</v>
      </c>
      <c r="H604" t="n">
        <v>0</v>
      </c>
      <c r="I604" t="n">
        <v>0</v>
      </c>
      <c r="J604" t="n">
        <v>0</v>
      </c>
      <c r="K604" t="n">
        <v>0</v>
      </c>
      <c r="L604" t="n">
        <v>0</v>
      </c>
      <c r="M604" t="n">
        <v>0</v>
      </c>
      <c r="N604" t="n">
        <v>0</v>
      </c>
      <c r="O604" t="n">
        <v>0</v>
      </c>
      <c r="P604" t="n">
        <v>0</v>
      </c>
      <c r="Q604" t="n">
        <v>0</v>
      </c>
      <c r="R604" s="2" t="inlineStr"/>
    </row>
    <row r="605" ht="15" customHeight="1">
      <c r="A605" t="inlineStr">
        <is>
          <t>A 37806-2021</t>
        </is>
      </c>
      <c r="B605" s="1" t="n">
        <v>44402</v>
      </c>
      <c r="C605" s="1" t="n">
        <v>45835</v>
      </c>
      <c r="D605" t="inlineStr">
        <is>
          <t>JÄMTLANDS LÄN</t>
        </is>
      </c>
      <c r="E605" t="inlineStr">
        <is>
          <t>RAGUNDA</t>
        </is>
      </c>
      <c r="G605" t="n">
        <v>0.3</v>
      </c>
      <c r="H605" t="n">
        <v>0</v>
      </c>
      <c r="I605" t="n">
        <v>0</v>
      </c>
      <c r="J605" t="n">
        <v>0</v>
      </c>
      <c r="K605" t="n">
        <v>0</v>
      </c>
      <c r="L605" t="n">
        <v>0</v>
      </c>
      <c r="M605" t="n">
        <v>0</v>
      </c>
      <c r="N605" t="n">
        <v>0</v>
      </c>
      <c r="O605" t="n">
        <v>0</v>
      </c>
      <c r="P605" t="n">
        <v>0</v>
      </c>
      <c r="Q605" t="n">
        <v>0</v>
      </c>
      <c r="R605" s="2" t="inlineStr"/>
    </row>
    <row r="606" ht="15" customHeight="1">
      <c r="A606" t="inlineStr">
        <is>
          <t>A 38212-2021</t>
        </is>
      </c>
      <c r="B606" s="1" t="n">
        <v>44405</v>
      </c>
      <c r="C606" s="1" t="n">
        <v>45835</v>
      </c>
      <c r="D606" t="inlineStr">
        <is>
          <t>JÄMTLANDS LÄN</t>
        </is>
      </c>
      <c r="E606" t="inlineStr">
        <is>
          <t>RAGUNDA</t>
        </is>
      </c>
      <c r="G606" t="n">
        <v>5.5</v>
      </c>
      <c r="H606" t="n">
        <v>0</v>
      </c>
      <c r="I606" t="n">
        <v>0</v>
      </c>
      <c r="J606" t="n">
        <v>0</v>
      </c>
      <c r="K606" t="n">
        <v>0</v>
      </c>
      <c r="L606" t="n">
        <v>0</v>
      </c>
      <c r="M606" t="n">
        <v>0</v>
      </c>
      <c r="N606" t="n">
        <v>0</v>
      </c>
      <c r="O606" t="n">
        <v>0</v>
      </c>
      <c r="P606" t="n">
        <v>0</v>
      </c>
      <c r="Q606" t="n">
        <v>0</v>
      </c>
      <c r="R606" s="2" t="inlineStr"/>
    </row>
    <row r="607" ht="15" customHeight="1">
      <c r="A607" t="inlineStr">
        <is>
          <t>A 38270-2021</t>
        </is>
      </c>
      <c r="B607" s="1" t="n">
        <v>44406</v>
      </c>
      <c r="C607" s="1" t="n">
        <v>45835</v>
      </c>
      <c r="D607" t="inlineStr">
        <is>
          <t>JÄMTLANDS LÄN</t>
        </is>
      </c>
      <c r="E607" t="inlineStr">
        <is>
          <t>RAGUNDA</t>
        </is>
      </c>
      <c r="G607" t="n">
        <v>1.3</v>
      </c>
      <c r="H607" t="n">
        <v>0</v>
      </c>
      <c r="I607" t="n">
        <v>0</v>
      </c>
      <c r="J607" t="n">
        <v>0</v>
      </c>
      <c r="K607" t="n">
        <v>0</v>
      </c>
      <c r="L607" t="n">
        <v>0</v>
      </c>
      <c r="M607" t="n">
        <v>0</v>
      </c>
      <c r="N607" t="n">
        <v>0</v>
      </c>
      <c r="O607" t="n">
        <v>0</v>
      </c>
      <c r="P607" t="n">
        <v>0</v>
      </c>
      <c r="Q607" t="n">
        <v>0</v>
      </c>
      <c r="R607" s="2" t="inlineStr"/>
    </row>
    <row r="608" ht="15" customHeight="1">
      <c r="A608" t="inlineStr">
        <is>
          <t>A 38269-2021</t>
        </is>
      </c>
      <c r="B608" s="1" t="n">
        <v>44406</v>
      </c>
      <c r="C608" s="1" t="n">
        <v>45835</v>
      </c>
      <c r="D608" t="inlineStr">
        <is>
          <t>JÄMTLANDS LÄN</t>
        </is>
      </c>
      <c r="E608" t="inlineStr">
        <is>
          <t>RAGUNDA</t>
        </is>
      </c>
      <c r="G608" t="n">
        <v>2</v>
      </c>
      <c r="H608" t="n">
        <v>0</v>
      </c>
      <c r="I608" t="n">
        <v>0</v>
      </c>
      <c r="J608" t="n">
        <v>0</v>
      </c>
      <c r="K608" t="n">
        <v>0</v>
      </c>
      <c r="L608" t="n">
        <v>0</v>
      </c>
      <c r="M608" t="n">
        <v>0</v>
      </c>
      <c r="N608" t="n">
        <v>0</v>
      </c>
      <c r="O608" t="n">
        <v>0</v>
      </c>
      <c r="P608" t="n">
        <v>0</v>
      </c>
      <c r="Q608" t="n">
        <v>0</v>
      </c>
      <c r="R608" s="2" t="inlineStr"/>
    </row>
    <row r="609" ht="15" customHeight="1">
      <c r="A609" t="inlineStr">
        <is>
          <t>A 38782-2021</t>
        </is>
      </c>
      <c r="B609" s="1" t="n">
        <v>44410</v>
      </c>
      <c r="C609" s="1" t="n">
        <v>45835</v>
      </c>
      <c r="D609" t="inlineStr">
        <is>
          <t>JÄMTLANDS LÄN</t>
        </is>
      </c>
      <c r="E609" t="inlineStr">
        <is>
          <t>RAGUNDA</t>
        </is>
      </c>
      <c r="G609" t="n">
        <v>3.2</v>
      </c>
      <c r="H609" t="n">
        <v>0</v>
      </c>
      <c r="I609" t="n">
        <v>0</v>
      </c>
      <c r="J609" t="n">
        <v>0</v>
      </c>
      <c r="K609" t="n">
        <v>0</v>
      </c>
      <c r="L609" t="n">
        <v>0</v>
      </c>
      <c r="M609" t="n">
        <v>0</v>
      </c>
      <c r="N609" t="n">
        <v>0</v>
      </c>
      <c r="O609" t="n">
        <v>0</v>
      </c>
      <c r="P609" t="n">
        <v>0</v>
      </c>
      <c r="Q609" t="n">
        <v>0</v>
      </c>
      <c r="R609" s="2" t="inlineStr"/>
    </row>
    <row r="610" ht="15" customHeight="1">
      <c r="A610" t="inlineStr">
        <is>
          <t>A 39258-2021</t>
        </is>
      </c>
      <c r="B610" s="1" t="n">
        <v>44413</v>
      </c>
      <c r="C610" s="1" t="n">
        <v>45835</v>
      </c>
      <c r="D610" t="inlineStr">
        <is>
          <t>JÄMTLANDS LÄN</t>
        </is>
      </c>
      <c r="E610" t="inlineStr">
        <is>
          <t>RAGUNDA</t>
        </is>
      </c>
      <c r="G610" t="n">
        <v>4.2</v>
      </c>
      <c r="H610" t="n">
        <v>0</v>
      </c>
      <c r="I610" t="n">
        <v>0</v>
      </c>
      <c r="J610" t="n">
        <v>0</v>
      </c>
      <c r="K610" t="n">
        <v>0</v>
      </c>
      <c r="L610" t="n">
        <v>0</v>
      </c>
      <c r="M610" t="n">
        <v>0</v>
      </c>
      <c r="N610" t="n">
        <v>0</v>
      </c>
      <c r="O610" t="n">
        <v>0</v>
      </c>
      <c r="P610" t="n">
        <v>0</v>
      </c>
      <c r="Q610" t="n">
        <v>0</v>
      </c>
      <c r="R610" s="2" t="inlineStr"/>
    </row>
    <row r="611" ht="15" customHeight="1">
      <c r="A611" t="inlineStr">
        <is>
          <t>A 40213-2021</t>
        </is>
      </c>
      <c r="B611" s="1" t="n">
        <v>44419</v>
      </c>
      <c r="C611" s="1" t="n">
        <v>45835</v>
      </c>
      <c r="D611" t="inlineStr">
        <is>
          <t>JÄMTLANDS LÄN</t>
        </is>
      </c>
      <c r="E611" t="inlineStr">
        <is>
          <t>RAGUNDA</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40770-2021</t>
        </is>
      </c>
      <c r="B612" s="1" t="n">
        <v>44421</v>
      </c>
      <c r="C612" s="1" t="n">
        <v>45835</v>
      </c>
      <c r="D612" t="inlineStr">
        <is>
          <t>JÄMTLANDS LÄN</t>
        </is>
      </c>
      <c r="E612" t="inlineStr">
        <is>
          <t>RAGUNDA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41062-2021</t>
        </is>
      </c>
      <c r="B613" s="1" t="n">
        <v>44422</v>
      </c>
      <c r="C613" s="1" t="n">
        <v>45835</v>
      </c>
      <c r="D613" t="inlineStr">
        <is>
          <t>JÄMTLANDS LÄN</t>
        </is>
      </c>
      <c r="E613" t="inlineStr">
        <is>
          <t>RAGUNDA</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41262-2021</t>
        </is>
      </c>
      <c r="B614" s="1" t="n">
        <v>44424</v>
      </c>
      <c r="C614" s="1" t="n">
        <v>45835</v>
      </c>
      <c r="D614" t="inlineStr">
        <is>
          <t>JÄMTLANDS LÄN</t>
        </is>
      </c>
      <c r="E614" t="inlineStr">
        <is>
          <t>RAGUNDA</t>
        </is>
      </c>
      <c r="G614" t="n">
        <v>2.6</v>
      </c>
      <c r="H614" t="n">
        <v>0</v>
      </c>
      <c r="I614" t="n">
        <v>0</v>
      </c>
      <c r="J614" t="n">
        <v>0</v>
      </c>
      <c r="K614" t="n">
        <v>0</v>
      </c>
      <c r="L614" t="n">
        <v>0</v>
      </c>
      <c r="M614" t="n">
        <v>0</v>
      </c>
      <c r="N614" t="n">
        <v>0</v>
      </c>
      <c r="O614" t="n">
        <v>0</v>
      </c>
      <c r="P614" t="n">
        <v>0</v>
      </c>
      <c r="Q614" t="n">
        <v>0</v>
      </c>
      <c r="R614" s="2" t="inlineStr"/>
    </row>
    <row r="615" ht="15" customHeight="1">
      <c r="A615" t="inlineStr">
        <is>
          <t>A 41613-2021</t>
        </is>
      </c>
      <c r="B615" s="1" t="n">
        <v>44425</v>
      </c>
      <c r="C615" s="1" t="n">
        <v>45835</v>
      </c>
      <c r="D615" t="inlineStr">
        <is>
          <t>JÄMTLANDS LÄN</t>
        </is>
      </c>
      <c r="E615" t="inlineStr">
        <is>
          <t>RAGUNDA</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41609-2021</t>
        </is>
      </c>
      <c r="B616" s="1" t="n">
        <v>44425</v>
      </c>
      <c r="C616" s="1" t="n">
        <v>45835</v>
      </c>
      <c r="D616" t="inlineStr">
        <is>
          <t>JÄMTLANDS LÄN</t>
        </is>
      </c>
      <c r="E616" t="inlineStr">
        <is>
          <t>RAGUNDA</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41606-2021</t>
        </is>
      </c>
      <c r="B617" s="1" t="n">
        <v>44425</v>
      </c>
      <c r="C617" s="1" t="n">
        <v>45835</v>
      </c>
      <c r="D617" t="inlineStr">
        <is>
          <t>JÄMTLANDS LÄN</t>
        </is>
      </c>
      <c r="E617" t="inlineStr">
        <is>
          <t>RAGUNDA</t>
        </is>
      </c>
      <c r="F617" t="inlineStr">
        <is>
          <t>Kommuner</t>
        </is>
      </c>
      <c r="G617" t="n">
        <v>3.5</v>
      </c>
      <c r="H617" t="n">
        <v>0</v>
      </c>
      <c r="I617" t="n">
        <v>0</v>
      </c>
      <c r="J617" t="n">
        <v>0</v>
      </c>
      <c r="K617" t="n">
        <v>0</v>
      </c>
      <c r="L617" t="n">
        <v>0</v>
      </c>
      <c r="M617" t="n">
        <v>0</v>
      </c>
      <c r="N617" t="n">
        <v>0</v>
      </c>
      <c r="O617" t="n">
        <v>0</v>
      </c>
      <c r="P617" t="n">
        <v>0</v>
      </c>
      <c r="Q617" t="n">
        <v>0</v>
      </c>
      <c r="R617" s="2" t="inlineStr"/>
    </row>
    <row r="618" ht="15" customHeight="1">
      <c r="A618" t="inlineStr">
        <is>
          <t>A 42260-2021</t>
        </is>
      </c>
      <c r="B618" s="1" t="n">
        <v>44427</v>
      </c>
      <c r="C618" s="1" t="n">
        <v>45835</v>
      </c>
      <c r="D618" t="inlineStr">
        <is>
          <t>JÄMTLANDS LÄN</t>
        </is>
      </c>
      <c r="E618" t="inlineStr">
        <is>
          <t>RAGUNDA</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42537-2021</t>
        </is>
      </c>
      <c r="B619" s="1" t="n">
        <v>44428</v>
      </c>
      <c r="C619" s="1" t="n">
        <v>45835</v>
      </c>
      <c r="D619" t="inlineStr">
        <is>
          <t>JÄMTLANDS LÄN</t>
        </is>
      </c>
      <c r="E619" t="inlineStr">
        <is>
          <t>RAGUNDA</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43040-2021</t>
        </is>
      </c>
      <c r="B620" s="1" t="n">
        <v>44431</v>
      </c>
      <c r="C620" s="1" t="n">
        <v>45835</v>
      </c>
      <c r="D620" t="inlineStr">
        <is>
          <t>JÄMTLANDS LÄN</t>
        </is>
      </c>
      <c r="E620" t="inlineStr">
        <is>
          <t>RAGUNDA</t>
        </is>
      </c>
      <c r="G620" t="n">
        <v>4.9</v>
      </c>
      <c r="H620" t="n">
        <v>0</v>
      </c>
      <c r="I620" t="n">
        <v>0</v>
      </c>
      <c r="J620" t="n">
        <v>0</v>
      </c>
      <c r="K620" t="n">
        <v>0</v>
      </c>
      <c r="L620" t="n">
        <v>0</v>
      </c>
      <c r="M620" t="n">
        <v>0</v>
      </c>
      <c r="N620" t="n">
        <v>0</v>
      </c>
      <c r="O620" t="n">
        <v>0</v>
      </c>
      <c r="P620" t="n">
        <v>0</v>
      </c>
      <c r="Q620" t="n">
        <v>0</v>
      </c>
      <c r="R620" s="2" t="inlineStr"/>
    </row>
    <row r="621" ht="15" customHeight="1">
      <c r="A621" t="inlineStr">
        <is>
          <t>A 44163-2021</t>
        </is>
      </c>
      <c r="B621" s="1" t="n">
        <v>44434</v>
      </c>
      <c r="C621" s="1" t="n">
        <v>45835</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44241-2021</t>
        </is>
      </c>
      <c r="B622" s="1" t="n">
        <v>44435</v>
      </c>
      <c r="C622" s="1" t="n">
        <v>45835</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44247-2021</t>
        </is>
      </c>
      <c r="B623" s="1" t="n">
        <v>44435</v>
      </c>
      <c r="C623" s="1" t="n">
        <v>45835</v>
      </c>
      <c r="D623" t="inlineStr">
        <is>
          <t>JÄMTLANDS LÄN</t>
        </is>
      </c>
      <c r="E623" t="inlineStr">
        <is>
          <t>RAGUNDA</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46228-2021</t>
        </is>
      </c>
      <c r="B624" s="1" t="n">
        <v>44441</v>
      </c>
      <c r="C624" s="1" t="n">
        <v>45835</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46368-2021</t>
        </is>
      </c>
      <c r="B625" s="1" t="n">
        <v>44443</v>
      </c>
      <c r="C625" s="1" t="n">
        <v>45835</v>
      </c>
      <c r="D625" t="inlineStr">
        <is>
          <t>JÄMTLANDS LÄN</t>
        </is>
      </c>
      <c r="E625" t="inlineStr">
        <is>
          <t>RAGUNDA</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46401-2021</t>
        </is>
      </c>
      <c r="B626" s="1" t="n">
        <v>44443</v>
      </c>
      <c r="C626" s="1" t="n">
        <v>45835</v>
      </c>
      <c r="D626" t="inlineStr">
        <is>
          <t>JÄMTLANDS LÄN</t>
        </is>
      </c>
      <c r="E626" t="inlineStr">
        <is>
          <t>RAGUNDA</t>
        </is>
      </c>
      <c r="G626" t="n">
        <v>7</v>
      </c>
      <c r="H626" t="n">
        <v>0</v>
      </c>
      <c r="I626" t="n">
        <v>0</v>
      </c>
      <c r="J626" t="n">
        <v>0</v>
      </c>
      <c r="K626" t="n">
        <v>0</v>
      </c>
      <c r="L626" t="n">
        <v>0</v>
      </c>
      <c r="M626" t="n">
        <v>0</v>
      </c>
      <c r="N626" t="n">
        <v>0</v>
      </c>
      <c r="O626" t="n">
        <v>0</v>
      </c>
      <c r="P626" t="n">
        <v>0</v>
      </c>
      <c r="Q626" t="n">
        <v>0</v>
      </c>
      <c r="R626" s="2" t="inlineStr"/>
    </row>
    <row r="627" ht="15" customHeight="1">
      <c r="A627" t="inlineStr">
        <is>
          <t>A 47548-2021</t>
        </is>
      </c>
      <c r="B627" s="1" t="n">
        <v>44448</v>
      </c>
      <c r="C627" s="1" t="n">
        <v>45835</v>
      </c>
      <c r="D627" t="inlineStr">
        <is>
          <t>JÄMTLANDS LÄN</t>
        </is>
      </c>
      <c r="E627" t="inlineStr">
        <is>
          <t>RAGUNDA</t>
        </is>
      </c>
      <c r="G627" t="n">
        <v>0.4</v>
      </c>
      <c r="H627" t="n">
        <v>0</v>
      </c>
      <c r="I627" t="n">
        <v>0</v>
      </c>
      <c r="J627" t="n">
        <v>0</v>
      </c>
      <c r="K627" t="n">
        <v>0</v>
      </c>
      <c r="L627" t="n">
        <v>0</v>
      </c>
      <c r="M627" t="n">
        <v>0</v>
      </c>
      <c r="N627" t="n">
        <v>0</v>
      </c>
      <c r="O627" t="n">
        <v>0</v>
      </c>
      <c r="P627" t="n">
        <v>0</v>
      </c>
      <c r="Q627" t="n">
        <v>0</v>
      </c>
      <c r="R627" s="2" t="inlineStr"/>
    </row>
    <row r="628" ht="15" customHeight="1">
      <c r="A628" t="inlineStr">
        <is>
          <t>A 47546-2021</t>
        </is>
      </c>
      <c r="B628" s="1" t="n">
        <v>44448</v>
      </c>
      <c r="C628" s="1" t="n">
        <v>45835</v>
      </c>
      <c r="D628" t="inlineStr">
        <is>
          <t>JÄMTLANDS LÄN</t>
        </is>
      </c>
      <c r="E628" t="inlineStr">
        <is>
          <t>RAGUNDA</t>
        </is>
      </c>
      <c r="G628" t="n">
        <v>0.4</v>
      </c>
      <c r="H628" t="n">
        <v>0</v>
      </c>
      <c r="I628" t="n">
        <v>0</v>
      </c>
      <c r="J628" t="n">
        <v>0</v>
      </c>
      <c r="K628" t="n">
        <v>0</v>
      </c>
      <c r="L628" t="n">
        <v>0</v>
      </c>
      <c r="M628" t="n">
        <v>0</v>
      </c>
      <c r="N628" t="n">
        <v>0</v>
      </c>
      <c r="O628" t="n">
        <v>0</v>
      </c>
      <c r="P628" t="n">
        <v>0</v>
      </c>
      <c r="Q628" t="n">
        <v>0</v>
      </c>
      <c r="R628" s="2" t="inlineStr"/>
    </row>
    <row r="629" ht="15" customHeight="1">
      <c r="A629" t="inlineStr">
        <is>
          <t>A 47996-2021</t>
        </is>
      </c>
      <c r="B629" s="1" t="n">
        <v>44448</v>
      </c>
      <c r="C629" s="1" t="n">
        <v>45835</v>
      </c>
      <c r="D629" t="inlineStr">
        <is>
          <t>JÄMTLANDS LÄN</t>
        </is>
      </c>
      <c r="E629" t="inlineStr">
        <is>
          <t>RAGUNDA</t>
        </is>
      </c>
      <c r="G629" t="n">
        <v>1.3</v>
      </c>
      <c r="H629" t="n">
        <v>0</v>
      </c>
      <c r="I629" t="n">
        <v>0</v>
      </c>
      <c r="J629" t="n">
        <v>0</v>
      </c>
      <c r="K629" t="n">
        <v>0</v>
      </c>
      <c r="L629" t="n">
        <v>0</v>
      </c>
      <c r="M629" t="n">
        <v>0</v>
      </c>
      <c r="N629" t="n">
        <v>0</v>
      </c>
      <c r="O629" t="n">
        <v>0</v>
      </c>
      <c r="P629" t="n">
        <v>0</v>
      </c>
      <c r="Q629" t="n">
        <v>0</v>
      </c>
      <c r="R629" s="2" t="inlineStr"/>
    </row>
    <row r="630" ht="15" customHeight="1">
      <c r="A630" t="inlineStr">
        <is>
          <t>A 48832-2021</t>
        </is>
      </c>
      <c r="B630" s="1" t="n">
        <v>44452</v>
      </c>
      <c r="C630" s="1" t="n">
        <v>45835</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49202-2021</t>
        </is>
      </c>
      <c r="B631" s="1" t="n">
        <v>44453</v>
      </c>
      <c r="C631" s="1" t="n">
        <v>45835</v>
      </c>
      <c r="D631" t="inlineStr">
        <is>
          <t>JÄMTLANDS LÄN</t>
        </is>
      </c>
      <c r="E631" t="inlineStr">
        <is>
          <t>RAGUNDA</t>
        </is>
      </c>
      <c r="G631" t="n">
        <v>23.4</v>
      </c>
      <c r="H631" t="n">
        <v>0</v>
      </c>
      <c r="I631" t="n">
        <v>0</v>
      </c>
      <c r="J631" t="n">
        <v>0</v>
      </c>
      <c r="K631" t="n">
        <v>0</v>
      </c>
      <c r="L631" t="n">
        <v>0</v>
      </c>
      <c r="M631" t="n">
        <v>0</v>
      </c>
      <c r="N631" t="n">
        <v>0</v>
      </c>
      <c r="O631" t="n">
        <v>0</v>
      </c>
      <c r="P631" t="n">
        <v>0</v>
      </c>
      <c r="Q631" t="n">
        <v>0</v>
      </c>
      <c r="R631" s="2" t="inlineStr"/>
    </row>
    <row r="632" ht="15" customHeight="1">
      <c r="A632" t="inlineStr">
        <is>
          <t>A 50168-2021</t>
        </is>
      </c>
      <c r="B632" s="1" t="n">
        <v>44457</v>
      </c>
      <c r="C632" s="1" t="n">
        <v>45835</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52334-2021</t>
        </is>
      </c>
      <c r="B633" s="1" t="n">
        <v>44464</v>
      </c>
      <c r="C633" s="1" t="n">
        <v>45835</v>
      </c>
      <c r="D633" t="inlineStr">
        <is>
          <t>JÄMTLANDS LÄN</t>
        </is>
      </c>
      <c r="E633" t="inlineStr">
        <is>
          <t>RAGUNDA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52333-2021</t>
        </is>
      </c>
      <c r="B634" s="1" t="n">
        <v>44464</v>
      </c>
      <c r="C634" s="1" t="n">
        <v>45835</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55701-2021</t>
        </is>
      </c>
      <c r="B635" s="1" t="n">
        <v>44475</v>
      </c>
      <c r="C635" s="1" t="n">
        <v>45835</v>
      </c>
      <c r="D635" t="inlineStr">
        <is>
          <t>JÄMTLANDS LÄN</t>
        </is>
      </c>
      <c r="E635" t="inlineStr">
        <is>
          <t>RAGUNDA</t>
        </is>
      </c>
      <c r="G635" t="n">
        <v>5.6</v>
      </c>
      <c r="H635" t="n">
        <v>0</v>
      </c>
      <c r="I635" t="n">
        <v>0</v>
      </c>
      <c r="J635" t="n">
        <v>0</v>
      </c>
      <c r="K635" t="n">
        <v>0</v>
      </c>
      <c r="L635" t="n">
        <v>0</v>
      </c>
      <c r="M635" t="n">
        <v>0</v>
      </c>
      <c r="N635" t="n">
        <v>0</v>
      </c>
      <c r="O635" t="n">
        <v>0</v>
      </c>
      <c r="P635" t="n">
        <v>0</v>
      </c>
      <c r="Q635" t="n">
        <v>0</v>
      </c>
      <c r="R635" s="2" t="inlineStr"/>
    </row>
    <row r="636" ht="15" customHeight="1">
      <c r="A636" t="inlineStr">
        <is>
          <t>A 55932-2021</t>
        </is>
      </c>
      <c r="B636" s="1" t="n">
        <v>44476</v>
      </c>
      <c r="C636" s="1" t="n">
        <v>45835</v>
      </c>
      <c r="D636" t="inlineStr">
        <is>
          <t>JÄMTLANDS LÄN</t>
        </is>
      </c>
      <c r="E636" t="inlineStr">
        <is>
          <t>RAGUNDA</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56055-2021</t>
        </is>
      </c>
      <c r="B637" s="1" t="n">
        <v>44477</v>
      </c>
      <c r="C637" s="1" t="n">
        <v>45835</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56594-2021</t>
        </is>
      </c>
      <c r="B638" s="1" t="n">
        <v>44480</v>
      </c>
      <c r="C638" s="1" t="n">
        <v>45835</v>
      </c>
      <c r="D638" t="inlineStr">
        <is>
          <t>JÄMTLANDS LÄN</t>
        </is>
      </c>
      <c r="E638" t="inlineStr">
        <is>
          <t>RAGUNDA</t>
        </is>
      </c>
      <c r="G638" t="n">
        <v>5.4</v>
      </c>
      <c r="H638" t="n">
        <v>0</v>
      </c>
      <c r="I638" t="n">
        <v>0</v>
      </c>
      <c r="J638" t="n">
        <v>0</v>
      </c>
      <c r="K638" t="n">
        <v>0</v>
      </c>
      <c r="L638" t="n">
        <v>0</v>
      </c>
      <c r="M638" t="n">
        <v>0</v>
      </c>
      <c r="N638" t="n">
        <v>0</v>
      </c>
      <c r="O638" t="n">
        <v>0</v>
      </c>
      <c r="P638" t="n">
        <v>0</v>
      </c>
      <c r="Q638" t="n">
        <v>0</v>
      </c>
      <c r="R638" s="2" t="inlineStr"/>
    </row>
    <row r="639" ht="15" customHeight="1">
      <c r="A639" t="inlineStr">
        <is>
          <t>A 57194-2021</t>
        </is>
      </c>
      <c r="B639" s="1" t="n">
        <v>44483</v>
      </c>
      <c r="C639" s="1" t="n">
        <v>45835</v>
      </c>
      <c r="D639" t="inlineStr">
        <is>
          <t>JÄMTLANDS LÄN</t>
        </is>
      </c>
      <c r="E639" t="inlineStr">
        <is>
          <t>RAGUNDA</t>
        </is>
      </c>
      <c r="G639" t="n">
        <v>7.3</v>
      </c>
      <c r="H639" t="n">
        <v>0</v>
      </c>
      <c r="I639" t="n">
        <v>0</v>
      </c>
      <c r="J639" t="n">
        <v>0</v>
      </c>
      <c r="K639" t="n">
        <v>0</v>
      </c>
      <c r="L639" t="n">
        <v>0</v>
      </c>
      <c r="M639" t="n">
        <v>0</v>
      </c>
      <c r="N639" t="n">
        <v>0</v>
      </c>
      <c r="O639" t="n">
        <v>0</v>
      </c>
      <c r="P639" t="n">
        <v>0</v>
      </c>
      <c r="Q639" t="n">
        <v>0</v>
      </c>
      <c r="R639" s="2" t="inlineStr"/>
    </row>
    <row r="640" ht="15" customHeight="1">
      <c r="A640" t="inlineStr">
        <is>
          <t>A 58960-2021</t>
        </is>
      </c>
      <c r="B640" s="1" t="n">
        <v>44490</v>
      </c>
      <c r="C640" s="1" t="n">
        <v>45835</v>
      </c>
      <c r="D640" t="inlineStr">
        <is>
          <t>JÄMTLANDS LÄN</t>
        </is>
      </c>
      <c r="E640" t="inlineStr">
        <is>
          <t>RAGUNDA</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58984-2021</t>
        </is>
      </c>
      <c r="B641" s="1" t="n">
        <v>44490</v>
      </c>
      <c r="C641" s="1" t="n">
        <v>45835</v>
      </c>
      <c r="D641" t="inlineStr">
        <is>
          <t>JÄMTLANDS LÄN</t>
        </is>
      </c>
      <c r="E641" t="inlineStr">
        <is>
          <t>RAGUNDA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59321-2021</t>
        </is>
      </c>
      <c r="B642" s="1" t="n">
        <v>44491</v>
      </c>
      <c r="C642" s="1" t="n">
        <v>45835</v>
      </c>
      <c r="D642" t="inlineStr">
        <is>
          <t>JÄMTLANDS LÄN</t>
        </is>
      </c>
      <c r="E642" t="inlineStr">
        <is>
          <t>RAGUNDA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59996-2021</t>
        </is>
      </c>
      <c r="B643" s="1" t="n">
        <v>44495</v>
      </c>
      <c r="C643" s="1" t="n">
        <v>45835</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60313-2021</t>
        </is>
      </c>
      <c r="B644" s="1" t="n">
        <v>44495</v>
      </c>
      <c r="C644" s="1" t="n">
        <v>45835</v>
      </c>
      <c r="D644" t="inlineStr">
        <is>
          <t>JÄMTLANDS LÄN</t>
        </is>
      </c>
      <c r="E644" t="inlineStr">
        <is>
          <t>RAGUNDA</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60312-2021</t>
        </is>
      </c>
      <c r="B645" s="1" t="n">
        <v>44496</v>
      </c>
      <c r="C645" s="1" t="n">
        <v>45835</v>
      </c>
      <c r="D645" t="inlineStr">
        <is>
          <t>JÄMTLANDS LÄN</t>
        </is>
      </c>
      <c r="E645" t="inlineStr">
        <is>
          <t>RAGUNDA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60957-2021</t>
        </is>
      </c>
      <c r="B646" s="1" t="n">
        <v>44496</v>
      </c>
      <c r="C646" s="1" t="n">
        <v>45835</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61442-2021</t>
        </is>
      </c>
      <c r="B647" s="1" t="n">
        <v>44500</v>
      </c>
      <c r="C647" s="1" t="n">
        <v>45835</v>
      </c>
      <c r="D647" t="inlineStr">
        <is>
          <t>JÄMTLANDS LÄN</t>
        </is>
      </c>
      <c r="E647" t="inlineStr">
        <is>
          <t>RAGUNDA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62956-2021</t>
        </is>
      </c>
      <c r="B648" s="1" t="n">
        <v>44504</v>
      </c>
      <c r="C648" s="1" t="n">
        <v>45835</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63169-2021</t>
        </is>
      </c>
      <c r="B649" s="1" t="n">
        <v>44505</v>
      </c>
      <c r="C649" s="1" t="n">
        <v>45835</v>
      </c>
      <c r="D649" t="inlineStr">
        <is>
          <t>JÄMTLANDS LÄN</t>
        </is>
      </c>
      <c r="E649" t="inlineStr">
        <is>
          <t>RAGUNDA</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63168-2021</t>
        </is>
      </c>
      <c r="B650" s="1" t="n">
        <v>44505</v>
      </c>
      <c r="C650" s="1" t="n">
        <v>45835</v>
      </c>
      <c r="D650" t="inlineStr">
        <is>
          <t>JÄMTLANDS LÄN</t>
        </is>
      </c>
      <c r="E650" t="inlineStr">
        <is>
          <t>RAGUNDA</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64511-2021</t>
        </is>
      </c>
      <c r="B651" s="1" t="n">
        <v>44511</v>
      </c>
      <c r="C651" s="1" t="n">
        <v>45835</v>
      </c>
      <c r="D651" t="inlineStr">
        <is>
          <t>JÄMTLANDS LÄN</t>
        </is>
      </c>
      <c r="E651" t="inlineStr">
        <is>
          <t>RAGUNDA</t>
        </is>
      </c>
      <c r="G651" t="n">
        <v>19.4</v>
      </c>
      <c r="H651" t="n">
        <v>0</v>
      </c>
      <c r="I651" t="n">
        <v>0</v>
      </c>
      <c r="J651" t="n">
        <v>0</v>
      </c>
      <c r="K651" t="n">
        <v>0</v>
      </c>
      <c r="L651" t="n">
        <v>0</v>
      </c>
      <c r="M651" t="n">
        <v>0</v>
      </c>
      <c r="N651" t="n">
        <v>0</v>
      </c>
      <c r="O651" t="n">
        <v>0</v>
      </c>
      <c r="P651" t="n">
        <v>0</v>
      </c>
      <c r="Q651" t="n">
        <v>0</v>
      </c>
      <c r="R651" s="2" t="inlineStr"/>
    </row>
    <row r="652" ht="15" customHeight="1">
      <c r="A652" t="inlineStr">
        <is>
          <t>A 64629-2021</t>
        </is>
      </c>
      <c r="B652" s="1" t="n">
        <v>44511</v>
      </c>
      <c r="C652" s="1" t="n">
        <v>45835</v>
      </c>
      <c r="D652" t="inlineStr">
        <is>
          <t>JÄMTLANDS LÄN</t>
        </is>
      </c>
      <c r="E652" t="inlineStr">
        <is>
          <t>RAGUNDA</t>
        </is>
      </c>
      <c r="G652" t="n">
        <v>1.6</v>
      </c>
      <c r="H652" t="n">
        <v>0</v>
      </c>
      <c r="I652" t="n">
        <v>0</v>
      </c>
      <c r="J652" t="n">
        <v>0</v>
      </c>
      <c r="K652" t="n">
        <v>0</v>
      </c>
      <c r="L652" t="n">
        <v>0</v>
      </c>
      <c r="M652" t="n">
        <v>0</v>
      </c>
      <c r="N652" t="n">
        <v>0</v>
      </c>
      <c r="O652" t="n">
        <v>0</v>
      </c>
      <c r="P652" t="n">
        <v>0</v>
      </c>
      <c r="Q652" t="n">
        <v>0</v>
      </c>
      <c r="R652" s="2" t="inlineStr"/>
    </row>
    <row r="653" ht="15" customHeight="1">
      <c r="A653" t="inlineStr">
        <is>
          <t>A 64959-2021</t>
        </is>
      </c>
      <c r="B653" s="1" t="n">
        <v>44512</v>
      </c>
      <c r="C653" s="1" t="n">
        <v>45835</v>
      </c>
      <c r="D653" t="inlineStr">
        <is>
          <t>JÄMTLANDS LÄN</t>
        </is>
      </c>
      <c r="E653" t="inlineStr">
        <is>
          <t>RAGUNDA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65017-2021</t>
        </is>
      </c>
      <c r="B654" s="1" t="n">
        <v>44512</v>
      </c>
      <c r="C654" s="1" t="n">
        <v>45835</v>
      </c>
      <c r="D654" t="inlineStr">
        <is>
          <t>JÄMTLANDS LÄN</t>
        </is>
      </c>
      <c r="E654" t="inlineStr">
        <is>
          <t>RAGUNDA</t>
        </is>
      </c>
      <c r="G654" t="n">
        <v>2.3</v>
      </c>
      <c r="H654" t="n">
        <v>0</v>
      </c>
      <c r="I654" t="n">
        <v>0</v>
      </c>
      <c r="J654" t="n">
        <v>0</v>
      </c>
      <c r="K654" t="n">
        <v>0</v>
      </c>
      <c r="L654" t="n">
        <v>0</v>
      </c>
      <c r="M654" t="n">
        <v>0</v>
      </c>
      <c r="N654" t="n">
        <v>0</v>
      </c>
      <c r="O654" t="n">
        <v>0</v>
      </c>
      <c r="P654" t="n">
        <v>0</v>
      </c>
      <c r="Q654" t="n">
        <v>0</v>
      </c>
      <c r="R654" s="2" t="inlineStr"/>
    </row>
    <row r="655" ht="15" customHeight="1">
      <c r="A655" t="inlineStr">
        <is>
          <t>A 65424-2021</t>
        </is>
      </c>
      <c r="B655" s="1" t="n">
        <v>44515</v>
      </c>
      <c r="C655" s="1" t="n">
        <v>45835</v>
      </c>
      <c r="D655" t="inlineStr">
        <is>
          <t>JÄMTLANDS LÄN</t>
        </is>
      </c>
      <c r="E655" t="inlineStr">
        <is>
          <t>RAGUNDA</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66147-2021</t>
        </is>
      </c>
      <c r="B656" s="1" t="n">
        <v>44517</v>
      </c>
      <c r="C656" s="1" t="n">
        <v>45835</v>
      </c>
      <c r="D656" t="inlineStr">
        <is>
          <t>JÄMTLANDS LÄN</t>
        </is>
      </c>
      <c r="E656" t="inlineStr">
        <is>
          <t>RAGUNDA</t>
        </is>
      </c>
      <c r="G656" t="n">
        <v>1.2</v>
      </c>
      <c r="H656" t="n">
        <v>0</v>
      </c>
      <c r="I656" t="n">
        <v>0</v>
      </c>
      <c r="J656" t="n">
        <v>0</v>
      </c>
      <c r="K656" t="n">
        <v>0</v>
      </c>
      <c r="L656" t="n">
        <v>0</v>
      </c>
      <c r="M656" t="n">
        <v>0</v>
      </c>
      <c r="N656" t="n">
        <v>0</v>
      </c>
      <c r="O656" t="n">
        <v>0</v>
      </c>
      <c r="P656" t="n">
        <v>0</v>
      </c>
      <c r="Q656" t="n">
        <v>0</v>
      </c>
      <c r="R656" s="2" t="inlineStr"/>
    </row>
    <row r="657" ht="15" customHeight="1">
      <c r="A657" t="inlineStr">
        <is>
          <t>A 66059-2021</t>
        </is>
      </c>
      <c r="B657" s="1" t="n">
        <v>44517</v>
      </c>
      <c r="C657" s="1" t="n">
        <v>45835</v>
      </c>
      <c r="D657" t="inlineStr">
        <is>
          <t>JÄMTLANDS LÄN</t>
        </is>
      </c>
      <c r="E657" t="inlineStr">
        <is>
          <t>RAGUNDA</t>
        </is>
      </c>
      <c r="G657" t="n">
        <v>0.6</v>
      </c>
      <c r="H657" t="n">
        <v>0</v>
      </c>
      <c r="I657" t="n">
        <v>0</v>
      </c>
      <c r="J657" t="n">
        <v>0</v>
      </c>
      <c r="K657" t="n">
        <v>0</v>
      </c>
      <c r="L657" t="n">
        <v>0</v>
      </c>
      <c r="M657" t="n">
        <v>0</v>
      </c>
      <c r="N657" t="n">
        <v>0</v>
      </c>
      <c r="O657" t="n">
        <v>0</v>
      </c>
      <c r="P657" t="n">
        <v>0</v>
      </c>
      <c r="Q657" t="n">
        <v>0</v>
      </c>
      <c r="R657" s="2" t="inlineStr"/>
    </row>
    <row r="658" ht="15" customHeight="1">
      <c r="A658" t="inlineStr">
        <is>
          <t>A 66472-2021</t>
        </is>
      </c>
      <c r="B658" s="1" t="n">
        <v>44518</v>
      </c>
      <c r="C658" s="1" t="n">
        <v>45835</v>
      </c>
      <c r="D658" t="inlineStr">
        <is>
          <t>JÄMTLANDS LÄN</t>
        </is>
      </c>
      <c r="E658" t="inlineStr">
        <is>
          <t>RAGUNDA</t>
        </is>
      </c>
      <c r="G658" t="n">
        <v>1.7</v>
      </c>
      <c r="H658" t="n">
        <v>0</v>
      </c>
      <c r="I658" t="n">
        <v>0</v>
      </c>
      <c r="J658" t="n">
        <v>0</v>
      </c>
      <c r="K658" t="n">
        <v>0</v>
      </c>
      <c r="L658" t="n">
        <v>0</v>
      </c>
      <c r="M658" t="n">
        <v>0</v>
      </c>
      <c r="N658" t="n">
        <v>0</v>
      </c>
      <c r="O658" t="n">
        <v>0</v>
      </c>
      <c r="P658" t="n">
        <v>0</v>
      </c>
      <c r="Q658" t="n">
        <v>0</v>
      </c>
      <c r="R658" s="2" t="inlineStr"/>
    </row>
    <row r="659" ht="15" customHeight="1">
      <c r="A659" t="inlineStr">
        <is>
          <t>A 66471-2021</t>
        </is>
      </c>
      <c r="B659" s="1" t="n">
        <v>44518</v>
      </c>
      <c r="C659" s="1" t="n">
        <v>45835</v>
      </c>
      <c r="D659" t="inlineStr">
        <is>
          <t>JÄMTLANDS LÄN</t>
        </is>
      </c>
      <c r="E659" t="inlineStr">
        <is>
          <t>RAGUNDA</t>
        </is>
      </c>
      <c r="G659" t="n">
        <v>13.4</v>
      </c>
      <c r="H659" t="n">
        <v>0</v>
      </c>
      <c r="I659" t="n">
        <v>0</v>
      </c>
      <c r="J659" t="n">
        <v>0</v>
      </c>
      <c r="K659" t="n">
        <v>0</v>
      </c>
      <c r="L659" t="n">
        <v>0</v>
      </c>
      <c r="M659" t="n">
        <v>0</v>
      </c>
      <c r="N659" t="n">
        <v>0</v>
      </c>
      <c r="O659" t="n">
        <v>0</v>
      </c>
      <c r="P659" t="n">
        <v>0</v>
      </c>
      <c r="Q659" t="n">
        <v>0</v>
      </c>
      <c r="R659" s="2" t="inlineStr"/>
    </row>
    <row r="660" ht="15" customHeight="1">
      <c r="A660" t="inlineStr">
        <is>
          <t>A 66489-2021</t>
        </is>
      </c>
      <c r="B660" s="1" t="n">
        <v>44518</v>
      </c>
      <c r="C660" s="1" t="n">
        <v>45835</v>
      </c>
      <c r="D660" t="inlineStr">
        <is>
          <t>JÄMTLANDS LÄN</t>
        </is>
      </c>
      <c r="E660" t="inlineStr">
        <is>
          <t>RAGUNDA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66707-2021</t>
        </is>
      </c>
      <c r="B661" s="1" t="n">
        <v>44519</v>
      </c>
      <c r="C661" s="1" t="n">
        <v>45835</v>
      </c>
      <c r="D661" t="inlineStr">
        <is>
          <t>JÄMTLANDS LÄN</t>
        </is>
      </c>
      <c r="E661" t="inlineStr">
        <is>
          <t>RAGUNDA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66706-2021</t>
        </is>
      </c>
      <c r="B662" s="1" t="n">
        <v>44519</v>
      </c>
      <c r="C662" s="1" t="n">
        <v>45835</v>
      </c>
      <c r="D662" t="inlineStr">
        <is>
          <t>JÄMTLANDS LÄN</t>
        </is>
      </c>
      <c r="E662" t="inlineStr">
        <is>
          <t>RAGUNDA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66715-2021</t>
        </is>
      </c>
      <c r="B663" s="1" t="n">
        <v>44519</v>
      </c>
      <c r="C663" s="1" t="n">
        <v>45835</v>
      </c>
      <c r="D663" t="inlineStr">
        <is>
          <t>JÄMTLANDS LÄN</t>
        </is>
      </c>
      <c r="E663" t="inlineStr">
        <is>
          <t>RAGUNDA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69164-2021</t>
        </is>
      </c>
      <c r="B664" s="1" t="n">
        <v>44530</v>
      </c>
      <c r="C664" s="1" t="n">
        <v>45835</v>
      </c>
      <c r="D664" t="inlineStr">
        <is>
          <t>JÄMTLANDS LÄN</t>
        </is>
      </c>
      <c r="E664" t="inlineStr">
        <is>
          <t>RAGUNDA</t>
        </is>
      </c>
      <c r="F664" t="inlineStr">
        <is>
          <t>SCA</t>
        </is>
      </c>
      <c r="G664" t="n">
        <v>5.8</v>
      </c>
      <c r="H664" t="n">
        <v>0</v>
      </c>
      <c r="I664" t="n">
        <v>0</v>
      </c>
      <c r="J664" t="n">
        <v>0</v>
      </c>
      <c r="K664" t="n">
        <v>0</v>
      </c>
      <c r="L664" t="n">
        <v>0</v>
      </c>
      <c r="M664" t="n">
        <v>0</v>
      </c>
      <c r="N664" t="n">
        <v>0</v>
      </c>
      <c r="O664" t="n">
        <v>0</v>
      </c>
      <c r="P664" t="n">
        <v>0</v>
      </c>
      <c r="Q664" t="n">
        <v>0</v>
      </c>
      <c r="R664" s="2" t="inlineStr"/>
    </row>
    <row r="665" ht="15" customHeight="1">
      <c r="A665" t="inlineStr">
        <is>
          <t>A 69316-2021</t>
        </is>
      </c>
      <c r="B665" s="1" t="n">
        <v>44530</v>
      </c>
      <c r="C665" s="1" t="n">
        <v>45835</v>
      </c>
      <c r="D665" t="inlineStr">
        <is>
          <t>JÄMTLANDS LÄN</t>
        </is>
      </c>
      <c r="E665" t="inlineStr">
        <is>
          <t>RAGUNDA</t>
        </is>
      </c>
      <c r="G665" t="n">
        <v>2.3</v>
      </c>
      <c r="H665" t="n">
        <v>0</v>
      </c>
      <c r="I665" t="n">
        <v>0</v>
      </c>
      <c r="J665" t="n">
        <v>0</v>
      </c>
      <c r="K665" t="n">
        <v>0</v>
      </c>
      <c r="L665" t="n">
        <v>0</v>
      </c>
      <c r="M665" t="n">
        <v>0</v>
      </c>
      <c r="N665" t="n">
        <v>0</v>
      </c>
      <c r="O665" t="n">
        <v>0</v>
      </c>
      <c r="P665" t="n">
        <v>0</v>
      </c>
      <c r="Q665" t="n">
        <v>0</v>
      </c>
      <c r="R665" s="2" t="inlineStr"/>
    </row>
    <row r="666" ht="15" customHeight="1">
      <c r="A666" t="inlineStr">
        <is>
          <t>A 69153-2021</t>
        </is>
      </c>
      <c r="B666" s="1" t="n">
        <v>44530</v>
      </c>
      <c r="C666" s="1" t="n">
        <v>45835</v>
      </c>
      <c r="D666" t="inlineStr">
        <is>
          <t>JÄMTLANDS LÄN</t>
        </is>
      </c>
      <c r="E666" t="inlineStr">
        <is>
          <t>RAGUNDA</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70609-2021</t>
        </is>
      </c>
      <c r="B667" s="1" t="n">
        <v>44537</v>
      </c>
      <c r="C667" s="1" t="n">
        <v>45835</v>
      </c>
      <c r="D667" t="inlineStr">
        <is>
          <t>JÄMTLANDS LÄN</t>
        </is>
      </c>
      <c r="E667" t="inlineStr">
        <is>
          <t>RAGUNDA</t>
        </is>
      </c>
      <c r="G667" t="n">
        <v>4.5</v>
      </c>
      <c r="H667" t="n">
        <v>0</v>
      </c>
      <c r="I667" t="n">
        <v>0</v>
      </c>
      <c r="J667" t="n">
        <v>0</v>
      </c>
      <c r="K667" t="n">
        <v>0</v>
      </c>
      <c r="L667" t="n">
        <v>0</v>
      </c>
      <c r="M667" t="n">
        <v>0</v>
      </c>
      <c r="N667" t="n">
        <v>0</v>
      </c>
      <c r="O667" t="n">
        <v>0</v>
      </c>
      <c r="P667" t="n">
        <v>0</v>
      </c>
      <c r="Q667" t="n">
        <v>0</v>
      </c>
      <c r="R667" s="2" t="inlineStr"/>
    </row>
    <row r="668" ht="15" customHeight="1">
      <c r="A668" t="inlineStr">
        <is>
          <t>A 71209-2021</t>
        </is>
      </c>
      <c r="B668" s="1" t="n">
        <v>44538</v>
      </c>
      <c r="C668" s="1" t="n">
        <v>45835</v>
      </c>
      <c r="D668" t="inlineStr">
        <is>
          <t>JÄMTLANDS LÄN</t>
        </is>
      </c>
      <c r="E668" t="inlineStr">
        <is>
          <t>RAGUNDA</t>
        </is>
      </c>
      <c r="G668" t="n">
        <v>8</v>
      </c>
      <c r="H668" t="n">
        <v>0</v>
      </c>
      <c r="I668" t="n">
        <v>0</v>
      </c>
      <c r="J668" t="n">
        <v>0</v>
      </c>
      <c r="K668" t="n">
        <v>0</v>
      </c>
      <c r="L668" t="n">
        <v>0</v>
      </c>
      <c r="M668" t="n">
        <v>0</v>
      </c>
      <c r="N668" t="n">
        <v>0</v>
      </c>
      <c r="O668" t="n">
        <v>0</v>
      </c>
      <c r="P668" t="n">
        <v>0</v>
      </c>
      <c r="Q668" t="n">
        <v>0</v>
      </c>
      <c r="R668" s="2" t="inlineStr"/>
    </row>
    <row r="669" ht="15" customHeight="1">
      <c r="A669" t="inlineStr">
        <is>
          <t>A 73278-2021</t>
        </is>
      </c>
      <c r="B669" s="1" t="n">
        <v>44550</v>
      </c>
      <c r="C669" s="1" t="n">
        <v>45835</v>
      </c>
      <c r="D669" t="inlineStr">
        <is>
          <t>JÄMTLANDS LÄN</t>
        </is>
      </c>
      <c r="E669" t="inlineStr">
        <is>
          <t>RAGUNDA</t>
        </is>
      </c>
      <c r="G669" t="n">
        <v>4.4</v>
      </c>
      <c r="H669" t="n">
        <v>0</v>
      </c>
      <c r="I669" t="n">
        <v>0</v>
      </c>
      <c r="J669" t="n">
        <v>0</v>
      </c>
      <c r="K669" t="n">
        <v>0</v>
      </c>
      <c r="L669" t="n">
        <v>0</v>
      </c>
      <c r="M669" t="n">
        <v>0</v>
      </c>
      <c r="N669" t="n">
        <v>0</v>
      </c>
      <c r="O669" t="n">
        <v>0</v>
      </c>
      <c r="P669" t="n">
        <v>0</v>
      </c>
      <c r="Q669" t="n">
        <v>0</v>
      </c>
      <c r="R669" s="2" t="inlineStr"/>
    </row>
    <row r="670" ht="15" customHeight="1">
      <c r="A670" t="inlineStr">
        <is>
          <t>A 891-2022</t>
        </is>
      </c>
      <c r="B670" s="1" t="n">
        <v>44571</v>
      </c>
      <c r="C670" s="1" t="n">
        <v>45835</v>
      </c>
      <c r="D670" t="inlineStr">
        <is>
          <t>JÄMTLANDS LÄN</t>
        </is>
      </c>
      <c r="E670" t="inlineStr">
        <is>
          <t>RAGUNDA</t>
        </is>
      </c>
      <c r="G670" t="n">
        <v>1.7</v>
      </c>
      <c r="H670" t="n">
        <v>0</v>
      </c>
      <c r="I670" t="n">
        <v>0</v>
      </c>
      <c r="J670" t="n">
        <v>0</v>
      </c>
      <c r="K670" t="n">
        <v>0</v>
      </c>
      <c r="L670" t="n">
        <v>0</v>
      </c>
      <c r="M670" t="n">
        <v>0</v>
      </c>
      <c r="N670" t="n">
        <v>0</v>
      </c>
      <c r="O670" t="n">
        <v>0</v>
      </c>
      <c r="P670" t="n">
        <v>0</v>
      </c>
      <c r="Q670" t="n">
        <v>0</v>
      </c>
      <c r="R670" s="2" t="inlineStr"/>
    </row>
    <row r="671" ht="15" customHeight="1">
      <c r="A671" t="inlineStr">
        <is>
          <t>A 1540-2022</t>
        </is>
      </c>
      <c r="B671" s="1" t="n">
        <v>44573</v>
      </c>
      <c r="C671" s="1" t="n">
        <v>45835</v>
      </c>
      <c r="D671" t="inlineStr">
        <is>
          <t>JÄMTLANDS LÄN</t>
        </is>
      </c>
      <c r="E671" t="inlineStr">
        <is>
          <t>RAGUNDA</t>
        </is>
      </c>
      <c r="G671" t="n">
        <v>1.6</v>
      </c>
      <c r="H671" t="n">
        <v>0</v>
      </c>
      <c r="I671" t="n">
        <v>0</v>
      </c>
      <c r="J671" t="n">
        <v>0</v>
      </c>
      <c r="K671" t="n">
        <v>0</v>
      </c>
      <c r="L671" t="n">
        <v>0</v>
      </c>
      <c r="M671" t="n">
        <v>0</v>
      </c>
      <c r="N671" t="n">
        <v>0</v>
      </c>
      <c r="O671" t="n">
        <v>0</v>
      </c>
      <c r="P671" t="n">
        <v>0</v>
      </c>
      <c r="Q671" t="n">
        <v>0</v>
      </c>
      <c r="R671" s="2" t="inlineStr"/>
    </row>
    <row r="672" ht="15" customHeight="1">
      <c r="A672" t="inlineStr">
        <is>
          <t>A 1782-2022</t>
        </is>
      </c>
      <c r="B672" s="1" t="n">
        <v>44574</v>
      </c>
      <c r="C672" s="1" t="n">
        <v>45835</v>
      </c>
      <c r="D672" t="inlineStr">
        <is>
          <t>JÄMTLANDS LÄN</t>
        </is>
      </c>
      <c r="E672" t="inlineStr">
        <is>
          <t>RAGUNDA</t>
        </is>
      </c>
      <c r="G672" t="n">
        <v>3.7</v>
      </c>
      <c r="H672" t="n">
        <v>0</v>
      </c>
      <c r="I672" t="n">
        <v>0</v>
      </c>
      <c r="J672" t="n">
        <v>0</v>
      </c>
      <c r="K672" t="n">
        <v>0</v>
      </c>
      <c r="L672" t="n">
        <v>0</v>
      </c>
      <c r="M672" t="n">
        <v>0</v>
      </c>
      <c r="N672" t="n">
        <v>0</v>
      </c>
      <c r="O672" t="n">
        <v>0</v>
      </c>
      <c r="P672" t="n">
        <v>0</v>
      </c>
      <c r="Q672" t="n">
        <v>0</v>
      </c>
      <c r="R672" s="2" t="inlineStr"/>
    </row>
    <row r="673" ht="15" customHeight="1">
      <c r="A673" t="inlineStr">
        <is>
          <t>A 1858-2022</t>
        </is>
      </c>
      <c r="B673" s="1" t="n">
        <v>44574</v>
      </c>
      <c r="C673" s="1" t="n">
        <v>45835</v>
      </c>
      <c r="D673" t="inlineStr">
        <is>
          <t>JÄMTLANDS LÄN</t>
        </is>
      </c>
      <c r="E673" t="inlineStr">
        <is>
          <t>RAGUNDA</t>
        </is>
      </c>
      <c r="G673" t="n">
        <v>5.7</v>
      </c>
      <c r="H673" t="n">
        <v>0</v>
      </c>
      <c r="I673" t="n">
        <v>0</v>
      </c>
      <c r="J673" t="n">
        <v>0</v>
      </c>
      <c r="K673" t="n">
        <v>0</v>
      </c>
      <c r="L673" t="n">
        <v>0</v>
      </c>
      <c r="M673" t="n">
        <v>0</v>
      </c>
      <c r="N673" t="n">
        <v>0</v>
      </c>
      <c r="O673" t="n">
        <v>0</v>
      </c>
      <c r="P673" t="n">
        <v>0</v>
      </c>
      <c r="Q673" t="n">
        <v>0</v>
      </c>
      <c r="R673" s="2" t="inlineStr"/>
    </row>
    <row r="674" ht="15" customHeight="1">
      <c r="A674" t="inlineStr">
        <is>
          <t>A 2336-2022</t>
        </is>
      </c>
      <c r="B674" s="1" t="n">
        <v>44578</v>
      </c>
      <c r="C674" s="1" t="n">
        <v>45835</v>
      </c>
      <c r="D674" t="inlineStr">
        <is>
          <t>JÄMTLANDS LÄN</t>
        </is>
      </c>
      <c r="E674" t="inlineStr">
        <is>
          <t>RAGUNDA</t>
        </is>
      </c>
      <c r="G674" t="n">
        <v>0.5</v>
      </c>
      <c r="H674" t="n">
        <v>0</v>
      </c>
      <c r="I674" t="n">
        <v>0</v>
      </c>
      <c r="J674" t="n">
        <v>0</v>
      </c>
      <c r="K674" t="n">
        <v>0</v>
      </c>
      <c r="L674" t="n">
        <v>0</v>
      </c>
      <c r="M674" t="n">
        <v>0</v>
      </c>
      <c r="N674" t="n">
        <v>0</v>
      </c>
      <c r="O674" t="n">
        <v>0</v>
      </c>
      <c r="P674" t="n">
        <v>0</v>
      </c>
      <c r="Q674" t="n">
        <v>0</v>
      </c>
      <c r="R674" s="2" t="inlineStr"/>
    </row>
    <row r="675" ht="15" customHeight="1">
      <c r="A675" t="inlineStr">
        <is>
          <t>A 2337-2022</t>
        </is>
      </c>
      <c r="B675" s="1" t="n">
        <v>44578</v>
      </c>
      <c r="C675" s="1" t="n">
        <v>45835</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2338-2022</t>
        </is>
      </c>
      <c r="B676" s="1" t="n">
        <v>44578</v>
      </c>
      <c r="C676" s="1" t="n">
        <v>45835</v>
      </c>
      <c r="D676" t="inlineStr">
        <is>
          <t>JÄMTLANDS LÄN</t>
        </is>
      </c>
      <c r="E676" t="inlineStr">
        <is>
          <t>RAGUNDA</t>
        </is>
      </c>
      <c r="G676" t="n">
        <v>1.7</v>
      </c>
      <c r="H676" t="n">
        <v>0</v>
      </c>
      <c r="I676" t="n">
        <v>0</v>
      </c>
      <c r="J676" t="n">
        <v>0</v>
      </c>
      <c r="K676" t="n">
        <v>0</v>
      </c>
      <c r="L676" t="n">
        <v>0</v>
      </c>
      <c r="M676" t="n">
        <v>0</v>
      </c>
      <c r="N676" t="n">
        <v>0</v>
      </c>
      <c r="O676" t="n">
        <v>0</v>
      </c>
      <c r="P676" t="n">
        <v>0</v>
      </c>
      <c r="Q676" t="n">
        <v>0</v>
      </c>
      <c r="R676" s="2" t="inlineStr"/>
    </row>
    <row r="677" ht="15" customHeight="1">
      <c r="A677" t="inlineStr">
        <is>
          <t>A 2494-2022</t>
        </is>
      </c>
      <c r="B677" s="1" t="n">
        <v>44579</v>
      </c>
      <c r="C677" s="1" t="n">
        <v>45835</v>
      </c>
      <c r="D677" t="inlineStr">
        <is>
          <t>JÄMTLANDS LÄN</t>
        </is>
      </c>
      <c r="E677" t="inlineStr">
        <is>
          <t>RAGUNDA</t>
        </is>
      </c>
      <c r="G677" t="n">
        <v>0.6</v>
      </c>
      <c r="H677" t="n">
        <v>0</v>
      </c>
      <c r="I677" t="n">
        <v>0</v>
      </c>
      <c r="J677" t="n">
        <v>0</v>
      </c>
      <c r="K677" t="n">
        <v>0</v>
      </c>
      <c r="L677" t="n">
        <v>0</v>
      </c>
      <c r="M677" t="n">
        <v>0</v>
      </c>
      <c r="N677" t="n">
        <v>0</v>
      </c>
      <c r="O677" t="n">
        <v>0</v>
      </c>
      <c r="P677" t="n">
        <v>0</v>
      </c>
      <c r="Q677" t="n">
        <v>0</v>
      </c>
      <c r="R677" s="2" t="inlineStr"/>
    </row>
    <row r="678" ht="15" customHeight="1">
      <c r="A678" t="inlineStr">
        <is>
          <t>A 3796-2022</t>
        </is>
      </c>
      <c r="B678" s="1" t="n">
        <v>44586</v>
      </c>
      <c r="C678" s="1" t="n">
        <v>45835</v>
      </c>
      <c r="D678" t="inlineStr">
        <is>
          <t>JÄMTLANDS LÄN</t>
        </is>
      </c>
      <c r="E678" t="inlineStr">
        <is>
          <t>RAGUNDA</t>
        </is>
      </c>
      <c r="G678" t="n">
        <v>1.2</v>
      </c>
      <c r="H678" t="n">
        <v>0</v>
      </c>
      <c r="I678" t="n">
        <v>0</v>
      </c>
      <c r="J678" t="n">
        <v>0</v>
      </c>
      <c r="K678" t="n">
        <v>0</v>
      </c>
      <c r="L678" t="n">
        <v>0</v>
      </c>
      <c r="M678" t="n">
        <v>0</v>
      </c>
      <c r="N678" t="n">
        <v>0</v>
      </c>
      <c r="O678" t="n">
        <v>0</v>
      </c>
      <c r="P678" t="n">
        <v>0</v>
      </c>
      <c r="Q678" t="n">
        <v>0</v>
      </c>
      <c r="R678" s="2" t="inlineStr"/>
    </row>
    <row r="679" ht="15" customHeight="1">
      <c r="A679" t="inlineStr">
        <is>
          <t>A 4014-2022</t>
        </is>
      </c>
      <c r="B679" s="1" t="n">
        <v>44587</v>
      </c>
      <c r="C679" s="1" t="n">
        <v>45835</v>
      </c>
      <c r="D679" t="inlineStr">
        <is>
          <t>JÄMTLANDS LÄN</t>
        </is>
      </c>
      <c r="E679" t="inlineStr">
        <is>
          <t>RAGUNDA</t>
        </is>
      </c>
      <c r="G679" t="n">
        <v>3.6</v>
      </c>
      <c r="H679" t="n">
        <v>0</v>
      </c>
      <c r="I679" t="n">
        <v>0</v>
      </c>
      <c r="J679" t="n">
        <v>0</v>
      </c>
      <c r="K679" t="n">
        <v>0</v>
      </c>
      <c r="L679" t="n">
        <v>0</v>
      </c>
      <c r="M679" t="n">
        <v>0</v>
      </c>
      <c r="N679" t="n">
        <v>0</v>
      </c>
      <c r="O679" t="n">
        <v>0</v>
      </c>
      <c r="P679" t="n">
        <v>0</v>
      </c>
      <c r="Q679" t="n">
        <v>0</v>
      </c>
      <c r="R679" s="2" t="inlineStr"/>
    </row>
    <row r="680" ht="15" customHeight="1">
      <c r="A680" t="inlineStr">
        <is>
          <t>A 4015-2022</t>
        </is>
      </c>
      <c r="B680" s="1" t="n">
        <v>44587</v>
      </c>
      <c r="C680" s="1" t="n">
        <v>45835</v>
      </c>
      <c r="D680" t="inlineStr">
        <is>
          <t>JÄMTLANDS LÄN</t>
        </is>
      </c>
      <c r="E680" t="inlineStr">
        <is>
          <t>RAGUNDA</t>
        </is>
      </c>
      <c r="G680" t="n">
        <v>3.9</v>
      </c>
      <c r="H680" t="n">
        <v>0</v>
      </c>
      <c r="I680" t="n">
        <v>0</v>
      </c>
      <c r="J680" t="n">
        <v>0</v>
      </c>
      <c r="K680" t="n">
        <v>0</v>
      </c>
      <c r="L680" t="n">
        <v>0</v>
      </c>
      <c r="M680" t="n">
        <v>0</v>
      </c>
      <c r="N680" t="n">
        <v>0</v>
      </c>
      <c r="O680" t="n">
        <v>0</v>
      </c>
      <c r="P680" t="n">
        <v>0</v>
      </c>
      <c r="Q680" t="n">
        <v>0</v>
      </c>
      <c r="R680" s="2" t="inlineStr"/>
    </row>
    <row r="681" ht="15" customHeight="1">
      <c r="A681" t="inlineStr">
        <is>
          <t>A 4878-2022</t>
        </is>
      </c>
      <c r="B681" s="1" t="n">
        <v>44593</v>
      </c>
      <c r="C681" s="1" t="n">
        <v>45835</v>
      </c>
      <c r="D681" t="inlineStr">
        <is>
          <t>JÄMTLANDS LÄN</t>
        </is>
      </c>
      <c r="E681" t="inlineStr">
        <is>
          <t>RAGUNDA</t>
        </is>
      </c>
      <c r="G681" t="n">
        <v>21.7</v>
      </c>
      <c r="H681" t="n">
        <v>0</v>
      </c>
      <c r="I681" t="n">
        <v>0</v>
      </c>
      <c r="J681" t="n">
        <v>0</v>
      </c>
      <c r="K681" t="n">
        <v>0</v>
      </c>
      <c r="L681" t="n">
        <v>0</v>
      </c>
      <c r="M681" t="n">
        <v>0</v>
      </c>
      <c r="N681" t="n">
        <v>0</v>
      </c>
      <c r="O681" t="n">
        <v>0</v>
      </c>
      <c r="P681" t="n">
        <v>0</v>
      </c>
      <c r="Q681" t="n">
        <v>0</v>
      </c>
      <c r="R681" s="2" t="inlineStr"/>
    </row>
    <row r="682" ht="15" customHeight="1">
      <c r="A682" t="inlineStr">
        <is>
          <t>A 5515-2022</t>
        </is>
      </c>
      <c r="B682" s="1" t="n">
        <v>44595</v>
      </c>
      <c r="C682" s="1" t="n">
        <v>45835</v>
      </c>
      <c r="D682" t="inlineStr">
        <is>
          <t>JÄMTLANDS LÄN</t>
        </is>
      </c>
      <c r="E682" t="inlineStr">
        <is>
          <t>RAGUNDA</t>
        </is>
      </c>
      <c r="G682" t="n">
        <v>1</v>
      </c>
      <c r="H682" t="n">
        <v>0</v>
      </c>
      <c r="I682" t="n">
        <v>0</v>
      </c>
      <c r="J682" t="n">
        <v>0</v>
      </c>
      <c r="K682" t="n">
        <v>0</v>
      </c>
      <c r="L682" t="n">
        <v>0</v>
      </c>
      <c r="M682" t="n">
        <v>0</v>
      </c>
      <c r="N682" t="n">
        <v>0</v>
      </c>
      <c r="O682" t="n">
        <v>0</v>
      </c>
      <c r="P682" t="n">
        <v>0</v>
      </c>
      <c r="Q682" t="n">
        <v>0</v>
      </c>
      <c r="R682" s="2" t="inlineStr"/>
    </row>
    <row r="683" ht="15" customHeight="1">
      <c r="A683" t="inlineStr">
        <is>
          <t>A 5644-2022</t>
        </is>
      </c>
      <c r="B683" s="1" t="n">
        <v>44595</v>
      </c>
      <c r="C683" s="1" t="n">
        <v>45835</v>
      </c>
      <c r="D683" t="inlineStr">
        <is>
          <t>JÄMTLANDS LÄN</t>
        </is>
      </c>
      <c r="E683" t="inlineStr">
        <is>
          <t>RAGUNDA</t>
        </is>
      </c>
      <c r="G683" t="n">
        <v>0.7</v>
      </c>
      <c r="H683" t="n">
        <v>0</v>
      </c>
      <c r="I683" t="n">
        <v>0</v>
      </c>
      <c r="J683" t="n">
        <v>0</v>
      </c>
      <c r="K683" t="n">
        <v>0</v>
      </c>
      <c r="L683" t="n">
        <v>0</v>
      </c>
      <c r="M683" t="n">
        <v>0</v>
      </c>
      <c r="N683" t="n">
        <v>0</v>
      </c>
      <c r="O683" t="n">
        <v>0</v>
      </c>
      <c r="P683" t="n">
        <v>0</v>
      </c>
      <c r="Q683" t="n">
        <v>0</v>
      </c>
      <c r="R683" s="2" t="inlineStr"/>
    </row>
    <row r="684" ht="15" customHeight="1">
      <c r="A684" t="inlineStr">
        <is>
          <t>A 5652-2022</t>
        </is>
      </c>
      <c r="B684" s="1" t="n">
        <v>44595</v>
      </c>
      <c r="C684" s="1" t="n">
        <v>45835</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6177-2022</t>
        </is>
      </c>
      <c r="B685" s="1" t="n">
        <v>44600</v>
      </c>
      <c r="C685" s="1" t="n">
        <v>45835</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6492-2022</t>
        </is>
      </c>
      <c r="B686" s="1" t="n">
        <v>44601</v>
      </c>
      <c r="C686" s="1" t="n">
        <v>45835</v>
      </c>
      <c r="D686" t="inlineStr">
        <is>
          <t>JÄMTLANDS LÄN</t>
        </is>
      </c>
      <c r="E686" t="inlineStr">
        <is>
          <t>RAGUNDA</t>
        </is>
      </c>
      <c r="G686" t="n">
        <v>0.8</v>
      </c>
      <c r="H686" t="n">
        <v>0</v>
      </c>
      <c r="I686" t="n">
        <v>0</v>
      </c>
      <c r="J686" t="n">
        <v>0</v>
      </c>
      <c r="K686" t="n">
        <v>0</v>
      </c>
      <c r="L686" t="n">
        <v>0</v>
      </c>
      <c r="M686" t="n">
        <v>0</v>
      </c>
      <c r="N686" t="n">
        <v>0</v>
      </c>
      <c r="O686" t="n">
        <v>0</v>
      </c>
      <c r="P686" t="n">
        <v>0</v>
      </c>
      <c r="Q686" t="n">
        <v>0</v>
      </c>
      <c r="R686" s="2" t="inlineStr"/>
    </row>
    <row r="687" ht="15" customHeight="1">
      <c r="A687" t="inlineStr">
        <is>
          <t>A 6490-2022</t>
        </is>
      </c>
      <c r="B687" s="1" t="n">
        <v>44601</v>
      </c>
      <c r="C687" s="1" t="n">
        <v>45835</v>
      </c>
      <c r="D687" t="inlineStr">
        <is>
          <t>JÄMTLANDS LÄN</t>
        </is>
      </c>
      <c r="E687" t="inlineStr">
        <is>
          <t>RAGUNDA</t>
        </is>
      </c>
      <c r="G687" t="n">
        <v>3.8</v>
      </c>
      <c r="H687" t="n">
        <v>0</v>
      </c>
      <c r="I687" t="n">
        <v>0</v>
      </c>
      <c r="J687" t="n">
        <v>0</v>
      </c>
      <c r="K687" t="n">
        <v>0</v>
      </c>
      <c r="L687" t="n">
        <v>0</v>
      </c>
      <c r="M687" t="n">
        <v>0</v>
      </c>
      <c r="N687" t="n">
        <v>0</v>
      </c>
      <c r="O687" t="n">
        <v>0</v>
      </c>
      <c r="P687" t="n">
        <v>0</v>
      </c>
      <c r="Q687" t="n">
        <v>0</v>
      </c>
      <c r="R687" s="2" t="inlineStr"/>
    </row>
    <row r="688" ht="15" customHeight="1">
      <c r="A688" t="inlineStr">
        <is>
          <t>A 7448-2022</t>
        </is>
      </c>
      <c r="B688" s="1" t="n">
        <v>44606</v>
      </c>
      <c r="C688" s="1" t="n">
        <v>45835</v>
      </c>
      <c r="D688" t="inlineStr">
        <is>
          <t>JÄMTLANDS LÄN</t>
        </is>
      </c>
      <c r="E688" t="inlineStr">
        <is>
          <t>RAGUNDA</t>
        </is>
      </c>
      <c r="G688" t="n">
        <v>2.6</v>
      </c>
      <c r="H688" t="n">
        <v>0</v>
      </c>
      <c r="I688" t="n">
        <v>0</v>
      </c>
      <c r="J688" t="n">
        <v>0</v>
      </c>
      <c r="K688" t="n">
        <v>0</v>
      </c>
      <c r="L688" t="n">
        <v>0</v>
      </c>
      <c r="M688" t="n">
        <v>0</v>
      </c>
      <c r="N688" t="n">
        <v>0</v>
      </c>
      <c r="O688" t="n">
        <v>0</v>
      </c>
      <c r="P688" t="n">
        <v>0</v>
      </c>
      <c r="Q688" t="n">
        <v>0</v>
      </c>
      <c r="R688" s="2" t="inlineStr"/>
    </row>
    <row r="689" ht="15" customHeight="1">
      <c r="A689" t="inlineStr">
        <is>
          <t>A 7668-2022</t>
        </is>
      </c>
      <c r="B689" s="1" t="n">
        <v>44607</v>
      </c>
      <c r="C689" s="1" t="n">
        <v>45835</v>
      </c>
      <c r="D689" t="inlineStr">
        <is>
          <t>JÄMTLANDS LÄN</t>
        </is>
      </c>
      <c r="E689" t="inlineStr">
        <is>
          <t>RAGUNDA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7695-2022</t>
        </is>
      </c>
      <c r="B690" s="1" t="n">
        <v>44607</v>
      </c>
      <c r="C690" s="1" t="n">
        <v>45835</v>
      </c>
      <c r="D690" t="inlineStr">
        <is>
          <t>JÄMTLANDS LÄN</t>
        </is>
      </c>
      <c r="E690" t="inlineStr">
        <is>
          <t>RAGUNDA</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8231-2022</t>
        </is>
      </c>
      <c r="B691" s="1" t="n">
        <v>44609</v>
      </c>
      <c r="C691" s="1" t="n">
        <v>45835</v>
      </c>
      <c r="D691" t="inlineStr">
        <is>
          <t>JÄMTLANDS LÄN</t>
        </is>
      </c>
      <c r="E691" t="inlineStr">
        <is>
          <t>RAGUNDA</t>
        </is>
      </c>
      <c r="F691" t="inlineStr">
        <is>
          <t>SCA</t>
        </is>
      </c>
      <c r="G691" t="n">
        <v>24.1</v>
      </c>
      <c r="H691" t="n">
        <v>0</v>
      </c>
      <c r="I691" t="n">
        <v>0</v>
      </c>
      <c r="J691" t="n">
        <v>0</v>
      </c>
      <c r="K691" t="n">
        <v>0</v>
      </c>
      <c r="L691" t="n">
        <v>0</v>
      </c>
      <c r="M691" t="n">
        <v>0</v>
      </c>
      <c r="N691" t="n">
        <v>0</v>
      </c>
      <c r="O691" t="n">
        <v>0</v>
      </c>
      <c r="P691" t="n">
        <v>0</v>
      </c>
      <c r="Q691" t="n">
        <v>0</v>
      </c>
      <c r="R691" s="2" t="inlineStr"/>
    </row>
    <row r="692" ht="15" customHeight="1">
      <c r="A692" t="inlineStr">
        <is>
          <t>A 8237-2022</t>
        </is>
      </c>
      <c r="B692" s="1" t="n">
        <v>44609</v>
      </c>
      <c r="C692" s="1" t="n">
        <v>45835</v>
      </c>
      <c r="D692" t="inlineStr">
        <is>
          <t>JÄMTLANDS LÄN</t>
        </is>
      </c>
      <c r="E692" t="inlineStr">
        <is>
          <t>RAGUNDA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8795-2022</t>
        </is>
      </c>
      <c r="B693" s="1" t="n">
        <v>44614</v>
      </c>
      <c r="C693" s="1" t="n">
        <v>45835</v>
      </c>
      <c r="D693" t="inlineStr">
        <is>
          <t>JÄMTLANDS LÄN</t>
        </is>
      </c>
      <c r="E693" t="inlineStr">
        <is>
          <t>RAGUNDA</t>
        </is>
      </c>
      <c r="G693" t="n">
        <v>3.9</v>
      </c>
      <c r="H693" t="n">
        <v>0</v>
      </c>
      <c r="I693" t="n">
        <v>0</v>
      </c>
      <c r="J693" t="n">
        <v>0</v>
      </c>
      <c r="K693" t="n">
        <v>0</v>
      </c>
      <c r="L693" t="n">
        <v>0</v>
      </c>
      <c r="M693" t="n">
        <v>0</v>
      </c>
      <c r="N693" t="n">
        <v>0</v>
      </c>
      <c r="O693" t="n">
        <v>0</v>
      </c>
      <c r="P693" t="n">
        <v>0</v>
      </c>
      <c r="Q693" t="n">
        <v>0</v>
      </c>
      <c r="R693" s="2" t="inlineStr"/>
    </row>
    <row r="694" ht="15" customHeight="1">
      <c r="A694" t="inlineStr">
        <is>
          <t>A 8808-2022</t>
        </is>
      </c>
      <c r="B694" s="1" t="n">
        <v>44614</v>
      </c>
      <c r="C694" s="1" t="n">
        <v>45835</v>
      </c>
      <c r="D694" t="inlineStr">
        <is>
          <t>JÄMTLANDS LÄN</t>
        </is>
      </c>
      <c r="E694" t="inlineStr">
        <is>
          <t>RAGUNDA</t>
        </is>
      </c>
      <c r="G694" t="n">
        <v>3.3</v>
      </c>
      <c r="H694" t="n">
        <v>0</v>
      </c>
      <c r="I694" t="n">
        <v>0</v>
      </c>
      <c r="J694" t="n">
        <v>0</v>
      </c>
      <c r="K694" t="n">
        <v>0</v>
      </c>
      <c r="L694" t="n">
        <v>0</v>
      </c>
      <c r="M694" t="n">
        <v>0</v>
      </c>
      <c r="N694" t="n">
        <v>0</v>
      </c>
      <c r="O694" t="n">
        <v>0</v>
      </c>
      <c r="P694" t="n">
        <v>0</v>
      </c>
      <c r="Q694" t="n">
        <v>0</v>
      </c>
      <c r="R694" s="2" t="inlineStr"/>
    </row>
    <row r="695" ht="15" customHeight="1">
      <c r="A695" t="inlineStr">
        <is>
          <t>A 8802-2022</t>
        </is>
      </c>
      <c r="B695" s="1" t="n">
        <v>44614</v>
      </c>
      <c r="C695" s="1" t="n">
        <v>45835</v>
      </c>
      <c r="D695" t="inlineStr">
        <is>
          <t>JÄMTLANDS LÄN</t>
        </is>
      </c>
      <c r="E695" t="inlineStr">
        <is>
          <t>RAGUNDA</t>
        </is>
      </c>
      <c r="G695" t="n">
        <v>2.8</v>
      </c>
      <c r="H695" t="n">
        <v>0</v>
      </c>
      <c r="I695" t="n">
        <v>0</v>
      </c>
      <c r="J695" t="n">
        <v>0</v>
      </c>
      <c r="K695" t="n">
        <v>0</v>
      </c>
      <c r="L695" t="n">
        <v>0</v>
      </c>
      <c r="M695" t="n">
        <v>0</v>
      </c>
      <c r="N695" t="n">
        <v>0</v>
      </c>
      <c r="O695" t="n">
        <v>0</v>
      </c>
      <c r="P695" t="n">
        <v>0</v>
      </c>
      <c r="Q695" t="n">
        <v>0</v>
      </c>
      <c r="R695" s="2" t="inlineStr"/>
    </row>
    <row r="696" ht="15" customHeight="1">
      <c r="A696" t="inlineStr">
        <is>
          <t>A 8811-2022</t>
        </is>
      </c>
      <c r="B696" s="1" t="n">
        <v>44614</v>
      </c>
      <c r="C696" s="1" t="n">
        <v>45835</v>
      </c>
      <c r="D696" t="inlineStr">
        <is>
          <t>JÄMTLANDS LÄN</t>
        </is>
      </c>
      <c r="E696" t="inlineStr">
        <is>
          <t>RAGUNDA</t>
        </is>
      </c>
      <c r="G696" t="n">
        <v>1.4</v>
      </c>
      <c r="H696" t="n">
        <v>0</v>
      </c>
      <c r="I696" t="n">
        <v>0</v>
      </c>
      <c r="J696" t="n">
        <v>0</v>
      </c>
      <c r="K696" t="n">
        <v>0</v>
      </c>
      <c r="L696" t="n">
        <v>0</v>
      </c>
      <c r="M696" t="n">
        <v>0</v>
      </c>
      <c r="N696" t="n">
        <v>0</v>
      </c>
      <c r="O696" t="n">
        <v>0</v>
      </c>
      <c r="P696" t="n">
        <v>0</v>
      </c>
      <c r="Q696" t="n">
        <v>0</v>
      </c>
      <c r="R696" s="2" t="inlineStr"/>
    </row>
    <row r="697" ht="15" customHeight="1">
      <c r="A697" t="inlineStr">
        <is>
          <t>A 8787-2022</t>
        </is>
      </c>
      <c r="B697" s="1" t="n">
        <v>44614</v>
      </c>
      <c r="C697" s="1" t="n">
        <v>45835</v>
      </c>
      <c r="D697" t="inlineStr">
        <is>
          <t>JÄMTLANDS LÄN</t>
        </is>
      </c>
      <c r="E697" t="inlineStr">
        <is>
          <t>RAGUNDA</t>
        </is>
      </c>
      <c r="G697" t="n">
        <v>6.4</v>
      </c>
      <c r="H697" t="n">
        <v>0</v>
      </c>
      <c r="I697" t="n">
        <v>0</v>
      </c>
      <c r="J697" t="n">
        <v>0</v>
      </c>
      <c r="K697" t="n">
        <v>0</v>
      </c>
      <c r="L697" t="n">
        <v>0</v>
      </c>
      <c r="M697" t="n">
        <v>0</v>
      </c>
      <c r="N697" t="n">
        <v>0</v>
      </c>
      <c r="O697" t="n">
        <v>0</v>
      </c>
      <c r="P697" t="n">
        <v>0</v>
      </c>
      <c r="Q697" t="n">
        <v>0</v>
      </c>
      <c r="R697" s="2" t="inlineStr"/>
    </row>
    <row r="698" ht="15" customHeight="1">
      <c r="A698" t="inlineStr">
        <is>
          <t>A 9187-2022</t>
        </is>
      </c>
      <c r="B698" s="1" t="n">
        <v>44615</v>
      </c>
      <c r="C698" s="1" t="n">
        <v>45835</v>
      </c>
      <c r="D698" t="inlineStr">
        <is>
          <t>JÄMTLANDS LÄN</t>
        </is>
      </c>
      <c r="E698" t="inlineStr">
        <is>
          <t>RAGUNDA</t>
        </is>
      </c>
      <c r="G698" t="n">
        <v>2</v>
      </c>
      <c r="H698" t="n">
        <v>0</v>
      </c>
      <c r="I698" t="n">
        <v>0</v>
      </c>
      <c r="J698" t="n">
        <v>0</v>
      </c>
      <c r="K698" t="n">
        <v>0</v>
      </c>
      <c r="L698" t="n">
        <v>0</v>
      </c>
      <c r="M698" t="n">
        <v>0</v>
      </c>
      <c r="N698" t="n">
        <v>0</v>
      </c>
      <c r="O698" t="n">
        <v>0</v>
      </c>
      <c r="P698" t="n">
        <v>0</v>
      </c>
      <c r="Q698" t="n">
        <v>0</v>
      </c>
      <c r="R698" s="2" t="inlineStr"/>
    </row>
    <row r="699" ht="15" customHeight="1">
      <c r="A699" t="inlineStr">
        <is>
          <t>A 9199-2022</t>
        </is>
      </c>
      <c r="B699" s="1" t="n">
        <v>44615</v>
      </c>
      <c r="C699" s="1" t="n">
        <v>45835</v>
      </c>
      <c r="D699" t="inlineStr">
        <is>
          <t>JÄMTLANDS LÄN</t>
        </is>
      </c>
      <c r="E699" t="inlineStr">
        <is>
          <t>RAGUNDA</t>
        </is>
      </c>
      <c r="G699" t="n">
        <v>0.8</v>
      </c>
      <c r="H699" t="n">
        <v>0</v>
      </c>
      <c r="I699" t="n">
        <v>0</v>
      </c>
      <c r="J699" t="n">
        <v>0</v>
      </c>
      <c r="K699" t="n">
        <v>0</v>
      </c>
      <c r="L699" t="n">
        <v>0</v>
      </c>
      <c r="M699" t="n">
        <v>0</v>
      </c>
      <c r="N699" t="n">
        <v>0</v>
      </c>
      <c r="O699" t="n">
        <v>0</v>
      </c>
      <c r="P699" t="n">
        <v>0</v>
      </c>
      <c r="Q699" t="n">
        <v>0</v>
      </c>
      <c r="R699" s="2" t="inlineStr"/>
    </row>
    <row r="700" ht="15" customHeight="1">
      <c r="A700" t="inlineStr">
        <is>
          <t>A 9185-2022</t>
        </is>
      </c>
      <c r="B700" s="1" t="n">
        <v>44615</v>
      </c>
      <c r="C700" s="1" t="n">
        <v>45835</v>
      </c>
      <c r="D700" t="inlineStr">
        <is>
          <t>JÄMTLANDS LÄN</t>
        </is>
      </c>
      <c r="E700" t="inlineStr">
        <is>
          <t>RAGUNDA</t>
        </is>
      </c>
      <c r="G700" t="n">
        <v>1.1</v>
      </c>
      <c r="H700" t="n">
        <v>0</v>
      </c>
      <c r="I700" t="n">
        <v>0</v>
      </c>
      <c r="J700" t="n">
        <v>0</v>
      </c>
      <c r="K700" t="n">
        <v>0</v>
      </c>
      <c r="L700" t="n">
        <v>0</v>
      </c>
      <c r="M700" t="n">
        <v>0</v>
      </c>
      <c r="N700" t="n">
        <v>0</v>
      </c>
      <c r="O700" t="n">
        <v>0</v>
      </c>
      <c r="P700" t="n">
        <v>0</v>
      </c>
      <c r="Q700" t="n">
        <v>0</v>
      </c>
      <c r="R700" s="2" t="inlineStr"/>
    </row>
    <row r="701" ht="15" customHeight="1">
      <c r="A701" t="inlineStr">
        <is>
          <t>A 10120-2022</t>
        </is>
      </c>
      <c r="B701" s="1" t="n">
        <v>44621</v>
      </c>
      <c r="C701" s="1" t="n">
        <v>45835</v>
      </c>
      <c r="D701" t="inlineStr">
        <is>
          <t>JÄMTLANDS LÄN</t>
        </is>
      </c>
      <c r="E701" t="inlineStr">
        <is>
          <t>RAGUNDA</t>
        </is>
      </c>
      <c r="G701" t="n">
        <v>0.4</v>
      </c>
      <c r="H701" t="n">
        <v>0</v>
      </c>
      <c r="I701" t="n">
        <v>0</v>
      </c>
      <c r="J701" t="n">
        <v>0</v>
      </c>
      <c r="K701" t="n">
        <v>0</v>
      </c>
      <c r="L701" t="n">
        <v>0</v>
      </c>
      <c r="M701" t="n">
        <v>0</v>
      </c>
      <c r="N701" t="n">
        <v>0</v>
      </c>
      <c r="O701" t="n">
        <v>0</v>
      </c>
      <c r="P701" t="n">
        <v>0</v>
      </c>
      <c r="Q701" t="n">
        <v>0</v>
      </c>
      <c r="R701" s="2" t="inlineStr"/>
    </row>
    <row r="702" ht="15" customHeight="1">
      <c r="A702" t="inlineStr">
        <is>
          <t>A 10905-2022</t>
        </is>
      </c>
      <c r="B702" s="1" t="n">
        <v>44627</v>
      </c>
      <c r="C702" s="1" t="n">
        <v>45835</v>
      </c>
      <c r="D702" t="inlineStr">
        <is>
          <t>JÄMTLANDS LÄN</t>
        </is>
      </c>
      <c r="E702" t="inlineStr">
        <is>
          <t>RAGUNDA</t>
        </is>
      </c>
      <c r="G702" t="n">
        <v>3.9</v>
      </c>
      <c r="H702" t="n">
        <v>0</v>
      </c>
      <c r="I702" t="n">
        <v>0</v>
      </c>
      <c r="J702" t="n">
        <v>0</v>
      </c>
      <c r="K702" t="n">
        <v>0</v>
      </c>
      <c r="L702" t="n">
        <v>0</v>
      </c>
      <c r="M702" t="n">
        <v>0</v>
      </c>
      <c r="N702" t="n">
        <v>0</v>
      </c>
      <c r="O702" t="n">
        <v>0</v>
      </c>
      <c r="P702" t="n">
        <v>0</v>
      </c>
      <c r="Q702" t="n">
        <v>0</v>
      </c>
      <c r="R702" s="2" t="inlineStr"/>
    </row>
    <row r="703" ht="15" customHeight="1">
      <c r="A703" t="inlineStr">
        <is>
          <t>A 10972-2022</t>
        </is>
      </c>
      <c r="B703" s="1" t="n">
        <v>44628</v>
      </c>
      <c r="C703" s="1" t="n">
        <v>45835</v>
      </c>
      <c r="D703" t="inlineStr">
        <is>
          <t>JÄMTLANDS LÄN</t>
        </is>
      </c>
      <c r="E703" t="inlineStr">
        <is>
          <t>RAGUNDA</t>
        </is>
      </c>
      <c r="G703" t="n">
        <v>9.5</v>
      </c>
      <c r="H703" t="n">
        <v>0</v>
      </c>
      <c r="I703" t="n">
        <v>0</v>
      </c>
      <c r="J703" t="n">
        <v>0</v>
      </c>
      <c r="K703" t="n">
        <v>0</v>
      </c>
      <c r="L703" t="n">
        <v>0</v>
      </c>
      <c r="M703" t="n">
        <v>0</v>
      </c>
      <c r="N703" t="n">
        <v>0</v>
      </c>
      <c r="O703" t="n">
        <v>0</v>
      </c>
      <c r="P703" t="n">
        <v>0</v>
      </c>
      <c r="Q703" t="n">
        <v>0</v>
      </c>
      <c r="R703" s="2" t="inlineStr"/>
    </row>
    <row r="704" ht="15" customHeight="1">
      <c r="A704" t="inlineStr">
        <is>
          <t>A 11217-2022</t>
        </is>
      </c>
      <c r="B704" s="1" t="n">
        <v>44629</v>
      </c>
      <c r="C704" s="1" t="n">
        <v>45835</v>
      </c>
      <c r="D704" t="inlineStr">
        <is>
          <t>JÄMTLANDS LÄN</t>
        </is>
      </c>
      <c r="E704" t="inlineStr">
        <is>
          <t>RAGUNDA</t>
        </is>
      </c>
      <c r="G704" t="n">
        <v>10.2</v>
      </c>
      <c r="H704" t="n">
        <v>0</v>
      </c>
      <c r="I704" t="n">
        <v>0</v>
      </c>
      <c r="J704" t="n">
        <v>0</v>
      </c>
      <c r="K704" t="n">
        <v>0</v>
      </c>
      <c r="L704" t="n">
        <v>0</v>
      </c>
      <c r="M704" t="n">
        <v>0</v>
      </c>
      <c r="N704" t="n">
        <v>0</v>
      </c>
      <c r="O704" t="n">
        <v>0</v>
      </c>
      <c r="P704" t="n">
        <v>0</v>
      </c>
      <c r="Q704" t="n">
        <v>0</v>
      </c>
      <c r="R704" s="2" t="inlineStr"/>
    </row>
    <row r="705" ht="15" customHeight="1">
      <c r="A705" t="inlineStr">
        <is>
          <t>A 11288-2022</t>
        </is>
      </c>
      <c r="B705" s="1" t="n">
        <v>44629</v>
      </c>
      <c r="C705" s="1" t="n">
        <v>45835</v>
      </c>
      <c r="D705" t="inlineStr">
        <is>
          <t>JÄMTLANDS LÄN</t>
        </is>
      </c>
      <c r="E705" t="inlineStr">
        <is>
          <t>RAGUNDA</t>
        </is>
      </c>
      <c r="G705" t="n">
        <v>4.9</v>
      </c>
      <c r="H705" t="n">
        <v>0</v>
      </c>
      <c r="I705" t="n">
        <v>0</v>
      </c>
      <c r="J705" t="n">
        <v>0</v>
      </c>
      <c r="K705" t="n">
        <v>0</v>
      </c>
      <c r="L705" t="n">
        <v>0</v>
      </c>
      <c r="M705" t="n">
        <v>0</v>
      </c>
      <c r="N705" t="n">
        <v>0</v>
      </c>
      <c r="O705" t="n">
        <v>0</v>
      </c>
      <c r="P705" t="n">
        <v>0</v>
      </c>
      <c r="Q705" t="n">
        <v>0</v>
      </c>
      <c r="R705" s="2" t="inlineStr"/>
    </row>
    <row r="706" ht="15" customHeight="1">
      <c r="A706" t="inlineStr">
        <is>
          <t>A 11487-2022</t>
        </is>
      </c>
      <c r="B706" s="1" t="n">
        <v>44630</v>
      </c>
      <c r="C706" s="1" t="n">
        <v>45835</v>
      </c>
      <c r="D706" t="inlineStr">
        <is>
          <t>JÄMTLANDS LÄN</t>
        </is>
      </c>
      <c r="E706" t="inlineStr">
        <is>
          <t>RAGUNDA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12024-2022</t>
        </is>
      </c>
      <c r="B707" s="1" t="n">
        <v>44635</v>
      </c>
      <c r="C707" s="1" t="n">
        <v>45835</v>
      </c>
      <c r="D707" t="inlineStr">
        <is>
          <t>JÄMTLANDS LÄN</t>
        </is>
      </c>
      <c r="E707" t="inlineStr">
        <is>
          <t>RAGUNDA</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12559-2022</t>
        </is>
      </c>
      <c r="B708" s="1" t="n">
        <v>44638</v>
      </c>
      <c r="C708" s="1" t="n">
        <v>45835</v>
      </c>
      <c r="D708" t="inlineStr">
        <is>
          <t>JÄMTLANDS LÄN</t>
        </is>
      </c>
      <c r="E708" t="inlineStr">
        <is>
          <t>RAGUNDA</t>
        </is>
      </c>
      <c r="F708" t="inlineStr">
        <is>
          <t>SCA</t>
        </is>
      </c>
      <c r="G708" t="n">
        <v>6</v>
      </c>
      <c r="H708" t="n">
        <v>0</v>
      </c>
      <c r="I708" t="n">
        <v>0</v>
      </c>
      <c r="J708" t="n">
        <v>0</v>
      </c>
      <c r="K708" t="n">
        <v>0</v>
      </c>
      <c r="L708" t="n">
        <v>0</v>
      </c>
      <c r="M708" t="n">
        <v>0</v>
      </c>
      <c r="N708" t="n">
        <v>0</v>
      </c>
      <c r="O708" t="n">
        <v>0</v>
      </c>
      <c r="P708" t="n">
        <v>0</v>
      </c>
      <c r="Q708" t="n">
        <v>0</v>
      </c>
      <c r="R708" s="2" t="inlineStr"/>
    </row>
    <row r="709" ht="15" customHeight="1">
      <c r="A709" t="inlineStr">
        <is>
          <t>A 12773-2022</t>
        </is>
      </c>
      <c r="B709" s="1" t="n">
        <v>44641</v>
      </c>
      <c r="C709" s="1" t="n">
        <v>45835</v>
      </c>
      <c r="D709" t="inlineStr">
        <is>
          <t>JÄMTLANDS LÄN</t>
        </is>
      </c>
      <c r="E709" t="inlineStr">
        <is>
          <t>RAGUNDA</t>
        </is>
      </c>
      <c r="F709" t="inlineStr">
        <is>
          <t>SCA</t>
        </is>
      </c>
      <c r="G709" t="n">
        <v>14.7</v>
      </c>
      <c r="H709" t="n">
        <v>0</v>
      </c>
      <c r="I709" t="n">
        <v>0</v>
      </c>
      <c r="J709" t="n">
        <v>0</v>
      </c>
      <c r="K709" t="n">
        <v>0</v>
      </c>
      <c r="L709" t="n">
        <v>0</v>
      </c>
      <c r="M709" t="n">
        <v>0</v>
      </c>
      <c r="N709" t="n">
        <v>0</v>
      </c>
      <c r="O709" t="n">
        <v>0</v>
      </c>
      <c r="P709" t="n">
        <v>0</v>
      </c>
      <c r="Q709" t="n">
        <v>0</v>
      </c>
      <c r="R709" s="2" t="inlineStr"/>
    </row>
    <row r="710" ht="15" customHeight="1">
      <c r="A710" t="inlineStr">
        <is>
          <t>A 12768-2022</t>
        </is>
      </c>
      <c r="B710" s="1" t="n">
        <v>44641</v>
      </c>
      <c r="C710" s="1" t="n">
        <v>45835</v>
      </c>
      <c r="D710" t="inlineStr">
        <is>
          <t>JÄMTLANDS LÄN</t>
        </is>
      </c>
      <c r="E710" t="inlineStr">
        <is>
          <t>RAGUNDA</t>
        </is>
      </c>
      <c r="F710" t="inlineStr">
        <is>
          <t>SCA</t>
        </is>
      </c>
      <c r="G710" t="n">
        <v>8</v>
      </c>
      <c r="H710" t="n">
        <v>0</v>
      </c>
      <c r="I710" t="n">
        <v>0</v>
      </c>
      <c r="J710" t="n">
        <v>0</v>
      </c>
      <c r="K710" t="n">
        <v>0</v>
      </c>
      <c r="L710" t="n">
        <v>0</v>
      </c>
      <c r="M710" t="n">
        <v>0</v>
      </c>
      <c r="N710" t="n">
        <v>0</v>
      </c>
      <c r="O710" t="n">
        <v>0</v>
      </c>
      <c r="P710" t="n">
        <v>0</v>
      </c>
      <c r="Q710" t="n">
        <v>0</v>
      </c>
      <c r="R710" s="2" t="inlineStr"/>
    </row>
    <row r="711" ht="15" customHeight="1">
      <c r="A711" t="inlineStr">
        <is>
          <t>A 13302-2022</t>
        </is>
      </c>
      <c r="B711" s="1" t="n">
        <v>44644</v>
      </c>
      <c r="C711" s="1" t="n">
        <v>45835</v>
      </c>
      <c r="D711" t="inlineStr">
        <is>
          <t>JÄMTLANDS LÄN</t>
        </is>
      </c>
      <c r="E711" t="inlineStr">
        <is>
          <t>RAGUNDA</t>
        </is>
      </c>
      <c r="F711" t="inlineStr">
        <is>
          <t>SCA</t>
        </is>
      </c>
      <c r="G711" t="n">
        <v>35.6</v>
      </c>
      <c r="H711" t="n">
        <v>0</v>
      </c>
      <c r="I711" t="n">
        <v>0</v>
      </c>
      <c r="J711" t="n">
        <v>0</v>
      </c>
      <c r="K711" t="n">
        <v>0</v>
      </c>
      <c r="L711" t="n">
        <v>0</v>
      </c>
      <c r="M711" t="n">
        <v>0</v>
      </c>
      <c r="N711" t="n">
        <v>0</v>
      </c>
      <c r="O711" t="n">
        <v>0</v>
      </c>
      <c r="P711" t="n">
        <v>0</v>
      </c>
      <c r="Q711" t="n">
        <v>0</v>
      </c>
      <c r="R711" s="2" t="inlineStr"/>
    </row>
    <row r="712" ht="15" customHeight="1">
      <c r="A712" t="inlineStr">
        <is>
          <t>A 13303-2022</t>
        </is>
      </c>
      <c r="B712" s="1" t="n">
        <v>44644</v>
      </c>
      <c r="C712" s="1" t="n">
        <v>45835</v>
      </c>
      <c r="D712" t="inlineStr">
        <is>
          <t>JÄMTLANDS LÄN</t>
        </is>
      </c>
      <c r="E712" t="inlineStr">
        <is>
          <t>RAGUNDA</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13769-2022</t>
        </is>
      </c>
      <c r="B713" s="1" t="n">
        <v>44649</v>
      </c>
      <c r="C713" s="1" t="n">
        <v>45835</v>
      </c>
      <c r="D713" t="inlineStr">
        <is>
          <t>JÄMTLANDS LÄN</t>
        </is>
      </c>
      <c r="E713" t="inlineStr">
        <is>
          <t>RAGUNDA</t>
        </is>
      </c>
      <c r="F713" t="inlineStr">
        <is>
          <t>Kommuner</t>
        </is>
      </c>
      <c r="G713" t="n">
        <v>2.5</v>
      </c>
      <c r="H713" t="n">
        <v>0</v>
      </c>
      <c r="I713" t="n">
        <v>0</v>
      </c>
      <c r="J713" t="n">
        <v>0</v>
      </c>
      <c r="K713" t="n">
        <v>0</v>
      </c>
      <c r="L713" t="n">
        <v>0</v>
      </c>
      <c r="M713" t="n">
        <v>0</v>
      </c>
      <c r="N713" t="n">
        <v>0</v>
      </c>
      <c r="O713" t="n">
        <v>0</v>
      </c>
      <c r="P713" t="n">
        <v>0</v>
      </c>
      <c r="Q713" t="n">
        <v>0</v>
      </c>
      <c r="R713" s="2" t="inlineStr"/>
    </row>
    <row r="714" ht="15" customHeight="1">
      <c r="A714" t="inlineStr">
        <is>
          <t>A 13767-2022</t>
        </is>
      </c>
      <c r="B714" s="1" t="n">
        <v>44649</v>
      </c>
      <c r="C714" s="1" t="n">
        <v>45835</v>
      </c>
      <c r="D714" t="inlineStr">
        <is>
          <t>JÄMTLANDS LÄN</t>
        </is>
      </c>
      <c r="E714" t="inlineStr">
        <is>
          <t>RAGUNDA</t>
        </is>
      </c>
      <c r="F714" t="inlineStr">
        <is>
          <t>Kommuner</t>
        </is>
      </c>
      <c r="G714" t="n">
        <v>3.1</v>
      </c>
      <c r="H714" t="n">
        <v>0</v>
      </c>
      <c r="I714" t="n">
        <v>0</v>
      </c>
      <c r="J714" t="n">
        <v>0</v>
      </c>
      <c r="K714" t="n">
        <v>0</v>
      </c>
      <c r="L714" t="n">
        <v>0</v>
      </c>
      <c r="M714" t="n">
        <v>0</v>
      </c>
      <c r="N714" t="n">
        <v>0</v>
      </c>
      <c r="O714" t="n">
        <v>0</v>
      </c>
      <c r="P714" t="n">
        <v>0</v>
      </c>
      <c r="Q714" t="n">
        <v>0</v>
      </c>
      <c r="R714" s="2" t="inlineStr"/>
    </row>
    <row r="715" ht="15" customHeight="1">
      <c r="A715" t="inlineStr">
        <is>
          <t>A 13768-2022</t>
        </is>
      </c>
      <c r="B715" s="1" t="n">
        <v>44649</v>
      </c>
      <c r="C715" s="1" t="n">
        <v>45835</v>
      </c>
      <c r="D715" t="inlineStr">
        <is>
          <t>JÄMTLANDS LÄN</t>
        </is>
      </c>
      <c r="E715" t="inlineStr">
        <is>
          <t>RAGUNDA</t>
        </is>
      </c>
      <c r="F715" t="inlineStr">
        <is>
          <t>Kommuner</t>
        </is>
      </c>
      <c r="G715" t="n">
        <v>2.6</v>
      </c>
      <c r="H715" t="n">
        <v>0</v>
      </c>
      <c r="I715" t="n">
        <v>0</v>
      </c>
      <c r="J715" t="n">
        <v>0</v>
      </c>
      <c r="K715" t="n">
        <v>0</v>
      </c>
      <c r="L715" t="n">
        <v>0</v>
      </c>
      <c r="M715" t="n">
        <v>0</v>
      </c>
      <c r="N715" t="n">
        <v>0</v>
      </c>
      <c r="O715" t="n">
        <v>0</v>
      </c>
      <c r="P715" t="n">
        <v>0</v>
      </c>
      <c r="Q715" t="n">
        <v>0</v>
      </c>
      <c r="R715" s="2" t="inlineStr"/>
    </row>
    <row r="716" ht="15" customHeight="1">
      <c r="A716" t="inlineStr">
        <is>
          <t>A 13964-2022</t>
        </is>
      </c>
      <c r="B716" s="1" t="n">
        <v>44650</v>
      </c>
      <c r="C716" s="1" t="n">
        <v>45835</v>
      </c>
      <c r="D716" t="inlineStr">
        <is>
          <t>JÄMTLANDS LÄN</t>
        </is>
      </c>
      <c r="E716" t="inlineStr">
        <is>
          <t>RAGUNDA</t>
        </is>
      </c>
      <c r="G716" t="n">
        <v>2.6</v>
      </c>
      <c r="H716" t="n">
        <v>0</v>
      </c>
      <c r="I716" t="n">
        <v>0</v>
      </c>
      <c r="J716" t="n">
        <v>0</v>
      </c>
      <c r="K716" t="n">
        <v>0</v>
      </c>
      <c r="L716" t="n">
        <v>0</v>
      </c>
      <c r="M716" t="n">
        <v>0</v>
      </c>
      <c r="N716" t="n">
        <v>0</v>
      </c>
      <c r="O716" t="n">
        <v>0</v>
      </c>
      <c r="P716" t="n">
        <v>0</v>
      </c>
      <c r="Q716" t="n">
        <v>0</v>
      </c>
      <c r="R716" s="2" t="inlineStr"/>
    </row>
    <row r="717" ht="15" customHeight="1">
      <c r="A717" t="inlineStr">
        <is>
          <t>A 13911-2022</t>
        </is>
      </c>
      <c r="B717" s="1" t="n">
        <v>44650</v>
      </c>
      <c r="C717" s="1" t="n">
        <v>45835</v>
      </c>
      <c r="D717" t="inlineStr">
        <is>
          <t>JÄMTLANDS LÄN</t>
        </is>
      </c>
      <c r="E717" t="inlineStr">
        <is>
          <t>RAGUNDA</t>
        </is>
      </c>
      <c r="G717" t="n">
        <v>0.6</v>
      </c>
      <c r="H717" t="n">
        <v>0</v>
      </c>
      <c r="I717" t="n">
        <v>0</v>
      </c>
      <c r="J717" t="n">
        <v>0</v>
      </c>
      <c r="K717" t="n">
        <v>0</v>
      </c>
      <c r="L717" t="n">
        <v>0</v>
      </c>
      <c r="M717" t="n">
        <v>0</v>
      </c>
      <c r="N717" t="n">
        <v>0</v>
      </c>
      <c r="O717" t="n">
        <v>0</v>
      </c>
      <c r="P717" t="n">
        <v>0</v>
      </c>
      <c r="Q717" t="n">
        <v>0</v>
      </c>
      <c r="R717" s="2" t="inlineStr"/>
    </row>
    <row r="718" ht="15" customHeight="1">
      <c r="A718" t="inlineStr">
        <is>
          <t>A 14435-2022</t>
        </is>
      </c>
      <c r="B718" s="1" t="n">
        <v>44652</v>
      </c>
      <c r="C718" s="1" t="n">
        <v>45835</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14696-2022</t>
        </is>
      </c>
      <c r="B719" s="1" t="n">
        <v>44655</v>
      </c>
      <c r="C719" s="1" t="n">
        <v>45835</v>
      </c>
      <c r="D719" t="inlineStr">
        <is>
          <t>JÄMTLANDS LÄN</t>
        </is>
      </c>
      <c r="E719" t="inlineStr">
        <is>
          <t>RAGUNDA</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14697-2022</t>
        </is>
      </c>
      <c r="B720" s="1" t="n">
        <v>44655</v>
      </c>
      <c r="C720" s="1" t="n">
        <v>45835</v>
      </c>
      <c r="D720" t="inlineStr">
        <is>
          <t>JÄMTLANDS LÄN</t>
        </is>
      </c>
      <c r="E720" t="inlineStr">
        <is>
          <t>RAGUNDA</t>
        </is>
      </c>
      <c r="F720" t="inlineStr">
        <is>
          <t>SCA</t>
        </is>
      </c>
      <c r="G720" t="n">
        <v>6.7</v>
      </c>
      <c r="H720" t="n">
        <v>0</v>
      </c>
      <c r="I720" t="n">
        <v>0</v>
      </c>
      <c r="J720" t="n">
        <v>0</v>
      </c>
      <c r="K720" t="n">
        <v>0</v>
      </c>
      <c r="L720" t="n">
        <v>0</v>
      </c>
      <c r="M720" t="n">
        <v>0</v>
      </c>
      <c r="N720" t="n">
        <v>0</v>
      </c>
      <c r="O720" t="n">
        <v>0</v>
      </c>
      <c r="P720" t="n">
        <v>0</v>
      </c>
      <c r="Q720" t="n">
        <v>0</v>
      </c>
      <c r="R720" s="2" t="inlineStr"/>
    </row>
    <row r="721" ht="15" customHeight="1">
      <c r="A721" t="inlineStr">
        <is>
          <t>A 14898-2022</t>
        </is>
      </c>
      <c r="B721" s="1" t="n">
        <v>44656</v>
      </c>
      <c r="C721" s="1" t="n">
        <v>45835</v>
      </c>
      <c r="D721" t="inlineStr">
        <is>
          <t>JÄMTLANDS LÄN</t>
        </is>
      </c>
      <c r="E721" t="inlineStr">
        <is>
          <t>RAGUNDA</t>
        </is>
      </c>
      <c r="F721" t="inlineStr">
        <is>
          <t>SCA</t>
        </is>
      </c>
      <c r="G721" t="n">
        <v>7</v>
      </c>
      <c r="H721" t="n">
        <v>0</v>
      </c>
      <c r="I721" t="n">
        <v>0</v>
      </c>
      <c r="J721" t="n">
        <v>0</v>
      </c>
      <c r="K721" t="n">
        <v>0</v>
      </c>
      <c r="L721" t="n">
        <v>0</v>
      </c>
      <c r="M721" t="n">
        <v>0</v>
      </c>
      <c r="N721" t="n">
        <v>0</v>
      </c>
      <c r="O721" t="n">
        <v>0</v>
      </c>
      <c r="P721" t="n">
        <v>0</v>
      </c>
      <c r="Q721" t="n">
        <v>0</v>
      </c>
      <c r="R721" s="2" t="inlineStr"/>
    </row>
    <row r="722" ht="15" customHeight="1">
      <c r="A722" t="inlineStr">
        <is>
          <t>A 14907-2022</t>
        </is>
      </c>
      <c r="B722" s="1" t="n">
        <v>44657</v>
      </c>
      <c r="C722" s="1" t="n">
        <v>45835</v>
      </c>
      <c r="D722" t="inlineStr">
        <is>
          <t>JÄMTLANDS LÄN</t>
        </is>
      </c>
      <c r="E722" t="inlineStr">
        <is>
          <t>RAGUNDA</t>
        </is>
      </c>
      <c r="F722" t="inlineStr">
        <is>
          <t>SCA</t>
        </is>
      </c>
      <c r="G722" t="n">
        <v>5.5</v>
      </c>
      <c r="H722" t="n">
        <v>0</v>
      </c>
      <c r="I722" t="n">
        <v>0</v>
      </c>
      <c r="J722" t="n">
        <v>0</v>
      </c>
      <c r="K722" t="n">
        <v>0</v>
      </c>
      <c r="L722" t="n">
        <v>0</v>
      </c>
      <c r="M722" t="n">
        <v>0</v>
      </c>
      <c r="N722" t="n">
        <v>0</v>
      </c>
      <c r="O722" t="n">
        <v>0</v>
      </c>
      <c r="P722" t="n">
        <v>0</v>
      </c>
      <c r="Q722" t="n">
        <v>0</v>
      </c>
      <c r="R722" s="2" t="inlineStr"/>
    </row>
    <row r="723" ht="15" customHeight="1">
      <c r="A723" t="inlineStr">
        <is>
          <t>A 14896-2022</t>
        </is>
      </c>
      <c r="B723" s="1" t="n">
        <v>44656</v>
      </c>
      <c r="C723" s="1" t="n">
        <v>45835</v>
      </c>
      <c r="D723" t="inlineStr">
        <is>
          <t>JÄMTLANDS LÄN</t>
        </is>
      </c>
      <c r="E723" t="inlineStr">
        <is>
          <t>RAGUNDA</t>
        </is>
      </c>
      <c r="F723" t="inlineStr">
        <is>
          <t>SCA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14906-2022</t>
        </is>
      </c>
      <c r="B724" s="1" t="n">
        <v>44657</v>
      </c>
      <c r="C724" s="1" t="n">
        <v>45835</v>
      </c>
      <c r="D724" t="inlineStr">
        <is>
          <t>JÄMTLANDS LÄN</t>
        </is>
      </c>
      <c r="E724" t="inlineStr">
        <is>
          <t>RAGUNDA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14905-2022</t>
        </is>
      </c>
      <c r="B725" s="1" t="n">
        <v>44657</v>
      </c>
      <c r="C725" s="1" t="n">
        <v>45835</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15024-2022</t>
        </is>
      </c>
      <c r="B726" s="1" t="n">
        <v>44657</v>
      </c>
      <c r="C726" s="1" t="n">
        <v>45835</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15664-2022</t>
        </is>
      </c>
      <c r="B727" s="1" t="n">
        <v>44662</v>
      </c>
      <c r="C727" s="1" t="n">
        <v>45835</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15808-2022</t>
        </is>
      </c>
      <c r="B728" s="1" t="n">
        <v>44663</v>
      </c>
      <c r="C728" s="1" t="n">
        <v>45835</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15969-2022</t>
        </is>
      </c>
      <c r="B729" s="1" t="n">
        <v>44665</v>
      </c>
      <c r="C729" s="1" t="n">
        <v>45835</v>
      </c>
      <c r="D729" t="inlineStr">
        <is>
          <t>JÄMTLANDS LÄN</t>
        </is>
      </c>
      <c r="E729" t="inlineStr">
        <is>
          <t>RAGUNDA</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16246-2022</t>
        </is>
      </c>
      <c r="B730" s="1" t="n">
        <v>44670</v>
      </c>
      <c r="C730" s="1" t="n">
        <v>45835</v>
      </c>
      <c r="D730" t="inlineStr">
        <is>
          <t>JÄMTLANDS LÄN</t>
        </is>
      </c>
      <c r="E730" t="inlineStr">
        <is>
          <t>RAGUNDA</t>
        </is>
      </c>
      <c r="G730" t="n">
        <v>4.1</v>
      </c>
      <c r="H730" t="n">
        <v>0</v>
      </c>
      <c r="I730" t="n">
        <v>0</v>
      </c>
      <c r="J730" t="n">
        <v>0</v>
      </c>
      <c r="K730" t="n">
        <v>0</v>
      </c>
      <c r="L730" t="n">
        <v>0</v>
      </c>
      <c r="M730" t="n">
        <v>0</v>
      </c>
      <c r="N730" t="n">
        <v>0</v>
      </c>
      <c r="O730" t="n">
        <v>0</v>
      </c>
      <c r="P730" t="n">
        <v>0</v>
      </c>
      <c r="Q730" t="n">
        <v>0</v>
      </c>
      <c r="R730" s="2" t="inlineStr"/>
    </row>
    <row r="731" ht="15" customHeight="1">
      <c r="A731" t="inlineStr">
        <is>
          <t>A 16250-2022</t>
        </is>
      </c>
      <c r="B731" s="1" t="n">
        <v>44670</v>
      </c>
      <c r="C731" s="1" t="n">
        <v>45835</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16361-2022</t>
        </is>
      </c>
      <c r="B732" s="1" t="n">
        <v>44670</v>
      </c>
      <c r="C732" s="1" t="n">
        <v>45835</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16460-2022</t>
        </is>
      </c>
      <c r="B733" s="1" t="n">
        <v>44671</v>
      </c>
      <c r="C733" s="1" t="n">
        <v>45835</v>
      </c>
      <c r="D733" t="inlineStr">
        <is>
          <t>JÄMTLANDS LÄN</t>
        </is>
      </c>
      <c r="E733" t="inlineStr">
        <is>
          <t>RAGUNDA</t>
        </is>
      </c>
      <c r="G733" t="n">
        <v>1.7</v>
      </c>
      <c r="H733" t="n">
        <v>0</v>
      </c>
      <c r="I733" t="n">
        <v>0</v>
      </c>
      <c r="J733" t="n">
        <v>0</v>
      </c>
      <c r="K733" t="n">
        <v>0</v>
      </c>
      <c r="L733" t="n">
        <v>0</v>
      </c>
      <c r="M733" t="n">
        <v>0</v>
      </c>
      <c r="N733" t="n">
        <v>0</v>
      </c>
      <c r="O733" t="n">
        <v>0</v>
      </c>
      <c r="P733" t="n">
        <v>0</v>
      </c>
      <c r="Q733" t="n">
        <v>0</v>
      </c>
      <c r="R733" s="2" t="inlineStr"/>
    </row>
    <row r="734" ht="15" customHeight="1">
      <c r="A734" t="inlineStr">
        <is>
          <t>A 16529-2022</t>
        </is>
      </c>
      <c r="B734" s="1" t="n">
        <v>44671</v>
      </c>
      <c r="C734" s="1" t="n">
        <v>45835</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16676-2022</t>
        </is>
      </c>
      <c r="B735" s="1" t="n">
        <v>44673</v>
      </c>
      <c r="C735" s="1" t="n">
        <v>45835</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17058-2022</t>
        </is>
      </c>
      <c r="B736" s="1" t="n">
        <v>44677</v>
      </c>
      <c r="C736" s="1" t="n">
        <v>45835</v>
      </c>
      <c r="D736" t="inlineStr">
        <is>
          <t>JÄMTLANDS LÄN</t>
        </is>
      </c>
      <c r="E736" t="inlineStr">
        <is>
          <t>RAGUNDA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17573-2022</t>
        </is>
      </c>
      <c r="B737" s="1" t="n">
        <v>44679</v>
      </c>
      <c r="C737" s="1" t="n">
        <v>45835</v>
      </c>
      <c r="D737" t="inlineStr">
        <is>
          <t>JÄMTLANDS LÄN</t>
        </is>
      </c>
      <c r="E737" t="inlineStr">
        <is>
          <t>RAGUNDA</t>
        </is>
      </c>
      <c r="G737" t="n">
        <v>6.9</v>
      </c>
      <c r="H737" t="n">
        <v>0</v>
      </c>
      <c r="I737" t="n">
        <v>0</v>
      </c>
      <c r="J737" t="n">
        <v>0</v>
      </c>
      <c r="K737" t="n">
        <v>0</v>
      </c>
      <c r="L737" t="n">
        <v>0</v>
      </c>
      <c r="M737" t="n">
        <v>0</v>
      </c>
      <c r="N737" t="n">
        <v>0</v>
      </c>
      <c r="O737" t="n">
        <v>0</v>
      </c>
      <c r="P737" t="n">
        <v>0</v>
      </c>
      <c r="Q737" t="n">
        <v>0</v>
      </c>
      <c r="R737" s="2" t="inlineStr"/>
    </row>
    <row r="738" ht="15" customHeight="1">
      <c r="A738" t="inlineStr">
        <is>
          <t>A 17730-2022</t>
        </is>
      </c>
      <c r="B738" s="1" t="n">
        <v>44680</v>
      </c>
      <c r="C738" s="1" t="n">
        <v>45835</v>
      </c>
      <c r="D738" t="inlineStr">
        <is>
          <t>JÄMTLANDS LÄN</t>
        </is>
      </c>
      <c r="E738" t="inlineStr">
        <is>
          <t>RAGUNDA</t>
        </is>
      </c>
      <c r="G738" t="n">
        <v>3.4</v>
      </c>
      <c r="H738" t="n">
        <v>0</v>
      </c>
      <c r="I738" t="n">
        <v>0</v>
      </c>
      <c r="J738" t="n">
        <v>0</v>
      </c>
      <c r="K738" t="n">
        <v>0</v>
      </c>
      <c r="L738" t="n">
        <v>0</v>
      </c>
      <c r="M738" t="n">
        <v>0</v>
      </c>
      <c r="N738" t="n">
        <v>0</v>
      </c>
      <c r="O738" t="n">
        <v>0</v>
      </c>
      <c r="P738" t="n">
        <v>0</v>
      </c>
      <c r="Q738" t="n">
        <v>0</v>
      </c>
      <c r="R738" s="2" t="inlineStr"/>
    </row>
    <row r="739" ht="15" customHeight="1">
      <c r="A739" t="inlineStr">
        <is>
          <t>A 17742-2022</t>
        </is>
      </c>
      <c r="B739" s="1" t="n">
        <v>44681</v>
      </c>
      <c r="C739" s="1" t="n">
        <v>45835</v>
      </c>
      <c r="D739" t="inlineStr">
        <is>
          <t>JÄMTLANDS LÄN</t>
        </is>
      </c>
      <c r="E739" t="inlineStr">
        <is>
          <t>RAGUNDA</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18008-2022</t>
        </is>
      </c>
      <c r="B740" s="1" t="n">
        <v>44684</v>
      </c>
      <c r="C740" s="1" t="n">
        <v>45835</v>
      </c>
      <c r="D740" t="inlineStr">
        <is>
          <t>JÄMTLANDS LÄN</t>
        </is>
      </c>
      <c r="E740" t="inlineStr">
        <is>
          <t>RAGUNDA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18193-2022</t>
        </is>
      </c>
      <c r="B741" s="1" t="n">
        <v>44685</v>
      </c>
      <c r="C741" s="1" t="n">
        <v>45835</v>
      </c>
      <c r="D741" t="inlineStr">
        <is>
          <t>JÄMTLANDS LÄN</t>
        </is>
      </c>
      <c r="E741" t="inlineStr">
        <is>
          <t>RAGUNDA</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18290-2022</t>
        </is>
      </c>
      <c r="B742" s="1" t="n">
        <v>44685</v>
      </c>
      <c r="C742" s="1" t="n">
        <v>45835</v>
      </c>
      <c r="D742" t="inlineStr">
        <is>
          <t>JÄMTLANDS LÄN</t>
        </is>
      </c>
      <c r="E742" t="inlineStr">
        <is>
          <t>RAGUNDA</t>
        </is>
      </c>
      <c r="G742" t="n">
        <v>7.7</v>
      </c>
      <c r="H742" t="n">
        <v>0</v>
      </c>
      <c r="I742" t="n">
        <v>0</v>
      </c>
      <c r="J742" t="n">
        <v>0</v>
      </c>
      <c r="K742" t="n">
        <v>0</v>
      </c>
      <c r="L742" t="n">
        <v>0</v>
      </c>
      <c r="M742" t="n">
        <v>0</v>
      </c>
      <c r="N742" t="n">
        <v>0</v>
      </c>
      <c r="O742" t="n">
        <v>0</v>
      </c>
      <c r="P742" t="n">
        <v>0</v>
      </c>
      <c r="Q742" t="n">
        <v>0</v>
      </c>
      <c r="R742" s="2" t="inlineStr"/>
    </row>
    <row r="743" ht="15" customHeight="1">
      <c r="A743" t="inlineStr">
        <is>
          <t>A 18341-2022</t>
        </is>
      </c>
      <c r="B743" s="1" t="n">
        <v>44685</v>
      </c>
      <c r="C743" s="1" t="n">
        <v>45835</v>
      </c>
      <c r="D743" t="inlineStr">
        <is>
          <t>JÄMTLANDS LÄN</t>
        </is>
      </c>
      <c r="E743" t="inlineStr">
        <is>
          <t>RAGUNDA</t>
        </is>
      </c>
      <c r="G743" t="n">
        <v>0.2</v>
      </c>
      <c r="H743" t="n">
        <v>0</v>
      </c>
      <c r="I743" t="n">
        <v>0</v>
      </c>
      <c r="J743" t="n">
        <v>0</v>
      </c>
      <c r="K743" t="n">
        <v>0</v>
      </c>
      <c r="L743" t="n">
        <v>0</v>
      </c>
      <c r="M743" t="n">
        <v>0</v>
      </c>
      <c r="N743" t="n">
        <v>0</v>
      </c>
      <c r="O743" t="n">
        <v>0</v>
      </c>
      <c r="P743" t="n">
        <v>0</v>
      </c>
      <c r="Q743" t="n">
        <v>0</v>
      </c>
      <c r="R743" s="2" t="inlineStr"/>
    </row>
    <row r="744" ht="15" customHeight="1">
      <c r="A744" t="inlineStr">
        <is>
          <t>A 18375-2022</t>
        </is>
      </c>
      <c r="B744" s="1" t="n">
        <v>44685</v>
      </c>
      <c r="C744" s="1" t="n">
        <v>45835</v>
      </c>
      <c r="D744" t="inlineStr">
        <is>
          <t>JÄMTLANDS LÄN</t>
        </is>
      </c>
      <c r="E744" t="inlineStr">
        <is>
          <t>RAGUNDA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18548-2022</t>
        </is>
      </c>
      <c r="B745" s="1" t="n">
        <v>44687</v>
      </c>
      <c r="C745" s="1" t="n">
        <v>45835</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18974-2022</t>
        </is>
      </c>
      <c r="B746" s="1" t="n">
        <v>44690</v>
      </c>
      <c r="C746" s="1" t="n">
        <v>45835</v>
      </c>
      <c r="D746" t="inlineStr">
        <is>
          <t>JÄMTLANDS LÄN</t>
        </is>
      </c>
      <c r="E746" t="inlineStr">
        <is>
          <t>RAGUNDA</t>
        </is>
      </c>
      <c r="G746" t="n">
        <v>2.6</v>
      </c>
      <c r="H746" t="n">
        <v>0</v>
      </c>
      <c r="I746" t="n">
        <v>0</v>
      </c>
      <c r="J746" t="n">
        <v>0</v>
      </c>
      <c r="K746" t="n">
        <v>0</v>
      </c>
      <c r="L746" t="n">
        <v>0</v>
      </c>
      <c r="M746" t="n">
        <v>0</v>
      </c>
      <c r="N746" t="n">
        <v>0</v>
      </c>
      <c r="O746" t="n">
        <v>0</v>
      </c>
      <c r="P746" t="n">
        <v>0</v>
      </c>
      <c r="Q746" t="n">
        <v>0</v>
      </c>
      <c r="R746" s="2" t="inlineStr"/>
    </row>
    <row r="747" ht="15" customHeight="1">
      <c r="A747" t="inlineStr">
        <is>
          <t>A 18980-2022</t>
        </is>
      </c>
      <c r="B747" s="1" t="n">
        <v>44690</v>
      </c>
      <c r="C747" s="1" t="n">
        <v>45835</v>
      </c>
      <c r="D747" t="inlineStr">
        <is>
          <t>JÄMTLANDS LÄN</t>
        </is>
      </c>
      <c r="E747" t="inlineStr">
        <is>
          <t>RAGUNDA</t>
        </is>
      </c>
      <c r="G747" t="n">
        <v>3.9</v>
      </c>
      <c r="H747" t="n">
        <v>0</v>
      </c>
      <c r="I747" t="n">
        <v>0</v>
      </c>
      <c r="J747" t="n">
        <v>0</v>
      </c>
      <c r="K747" t="n">
        <v>0</v>
      </c>
      <c r="L747" t="n">
        <v>0</v>
      </c>
      <c r="M747" t="n">
        <v>0</v>
      </c>
      <c r="N747" t="n">
        <v>0</v>
      </c>
      <c r="O747" t="n">
        <v>0</v>
      </c>
      <c r="P747" t="n">
        <v>0</v>
      </c>
      <c r="Q747" t="n">
        <v>0</v>
      </c>
      <c r="R747" s="2" t="inlineStr"/>
    </row>
    <row r="748" ht="15" customHeight="1">
      <c r="A748" t="inlineStr">
        <is>
          <t>A 19005-2022</t>
        </is>
      </c>
      <c r="B748" s="1" t="n">
        <v>44690</v>
      </c>
      <c r="C748" s="1" t="n">
        <v>45835</v>
      </c>
      <c r="D748" t="inlineStr">
        <is>
          <t>JÄMTLANDS LÄN</t>
        </is>
      </c>
      <c r="E748" t="inlineStr">
        <is>
          <t>RAGUNDA</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19011-2022</t>
        </is>
      </c>
      <c r="B749" s="1" t="n">
        <v>44690</v>
      </c>
      <c r="C749" s="1" t="n">
        <v>45835</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19010-2022</t>
        </is>
      </c>
      <c r="B750" s="1" t="n">
        <v>44690</v>
      </c>
      <c r="C750" s="1" t="n">
        <v>45835</v>
      </c>
      <c r="D750" t="inlineStr">
        <is>
          <t>JÄMTLANDS LÄN</t>
        </is>
      </c>
      <c r="E750" t="inlineStr">
        <is>
          <t>RAGUNDA</t>
        </is>
      </c>
      <c r="F750" t="inlineStr">
        <is>
          <t>SCA</t>
        </is>
      </c>
      <c r="G750" t="n">
        <v>19.6</v>
      </c>
      <c r="H750" t="n">
        <v>0</v>
      </c>
      <c r="I750" t="n">
        <v>0</v>
      </c>
      <c r="J750" t="n">
        <v>0</v>
      </c>
      <c r="K750" t="n">
        <v>0</v>
      </c>
      <c r="L750" t="n">
        <v>0</v>
      </c>
      <c r="M750" t="n">
        <v>0</v>
      </c>
      <c r="N750" t="n">
        <v>0</v>
      </c>
      <c r="O750" t="n">
        <v>0</v>
      </c>
      <c r="P750" t="n">
        <v>0</v>
      </c>
      <c r="Q750" t="n">
        <v>0</v>
      </c>
      <c r="R750" s="2" t="inlineStr"/>
    </row>
    <row r="751" ht="15" customHeight="1">
      <c r="A751" t="inlineStr">
        <is>
          <t>A 19006-2022</t>
        </is>
      </c>
      <c r="B751" s="1" t="n">
        <v>44690</v>
      </c>
      <c r="C751" s="1" t="n">
        <v>45835</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19596-2022</t>
        </is>
      </c>
      <c r="B752" s="1" t="n">
        <v>44694</v>
      </c>
      <c r="C752" s="1" t="n">
        <v>45835</v>
      </c>
      <c r="D752" t="inlineStr">
        <is>
          <t>JÄMTLANDS LÄN</t>
        </is>
      </c>
      <c r="E752" t="inlineStr">
        <is>
          <t>RAGUNDA</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19801-2022</t>
        </is>
      </c>
      <c r="B753" s="1" t="n">
        <v>44695</v>
      </c>
      <c r="C753" s="1" t="n">
        <v>45835</v>
      </c>
      <c r="D753" t="inlineStr">
        <is>
          <t>JÄMTLANDS LÄN</t>
        </is>
      </c>
      <c r="E753" t="inlineStr">
        <is>
          <t>RAGUNDA</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19850-2022</t>
        </is>
      </c>
      <c r="B754" s="1" t="n">
        <v>44697</v>
      </c>
      <c r="C754" s="1" t="n">
        <v>45835</v>
      </c>
      <c r="D754" t="inlineStr">
        <is>
          <t>JÄMTLANDS LÄN</t>
        </is>
      </c>
      <c r="E754" t="inlineStr">
        <is>
          <t>RAGUNDA</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20967-2022</t>
        </is>
      </c>
      <c r="B755" s="1" t="n">
        <v>44702</v>
      </c>
      <c r="C755" s="1" t="n">
        <v>45835</v>
      </c>
      <c r="D755" t="inlineStr">
        <is>
          <t>JÄMTLANDS LÄN</t>
        </is>
      </c>
      <c r="E755" t="inlineStr">
        <is>
          <t>RAGUNDA</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20961-2022</t>
        </is>
      </c>
      <c r="B756" s="1" t="n">
        <v>44702</v>
      </c>
      <c r="C756" s="1" t="n">
        <v>45835</v>
      </c>
      <c r="D756" t="inlineStr">
        <is>
          <t>JÄMTLANDS LÄN</t>
        </is>
      </c>
      <c r="E756" t="inlineStr">
        <is>
          <t>RAGUNDA</t>
        </is>
      </c>
      <c r="F756" t="inlineStr">
        <is>
          <t>SCA</t>
        </is>
      </c>
      <c r="G756" t="n">
        <v>9.4</v>
      </c>
      <c r="H756" t="n">
        <v>0</v>
      </c>
      <c r="I756" t="n">
        <v>0</v>
      </c>
      <c r="J756" t="n">
        <v>0</v>
      </c>
      <c r="K756" t="n">
        <v>0</v>
      </c>
      <c r="L756" t="n">
        <v>0</v>
      </c>
      <c r="M756" t="n">
        <v>0</v>
      </c>
      <c r="N756" t="n">
        <v>0</v>
      </c>
      <c r="O756" t="n">
        <v>0</v>
      </c>
      <c r="P756" t="n">
        <v>0</v>
      </c>
      <c r="Q756" t="n">
        <v>0</v>
      </c>
      <c r="R756" s="2" t="inlineStr"/>
    </row>
    <row r="757" ht="15" customHeight="1">
      <c r="A757" t="inlineStr">
        <is>
          <t>A 21194-2022</t>
        </is>
      </c>
      <c r="B757" s="1" t="n">
        <v>44705</v>
      </c>
      <c r="C757" s="1" t="n">
        <v>45835</v>
      </c>
      <c r="D757" t="inlineStr">
        <is>
          <t>JÄMTLANDS LÄN</t>
        </is>
      </c>
      <c r="E757" t="inlineStr">
        <is>
          <t>RAGUNDA</t>
        </is>
      </c>
      <c r="F757" t="inlineStr">
        <is>
          <t>SCA</t>
        </is>
      </c>
      <c r="G757" t="n">
        <v>10.6</v>
      </c>
      <c r="H757" t="n">
        <v>0</v>
      </c>
      <c r="I757" t="n">
        <v>0</v>
      </c>
      <c r="J757" t="n">
        <v>0</v>
      </c>
      <c r="K757" t="n">
        <v>0</v>
      </c>
      <c r="L757" t="n">
        <v>0</v>
      </c>
      <c r="M757" t="n">
        <v>0</v>
      </c>
      <c r="N757" t="n">
        <v>0</v>
      </c>
      <c r="O757" t="n">
        <v>0</v>
      </c>
      <c r="P757" t="n">
        <v>0</v>
      </c>
      <c r="Q757" t="n">
        <v>0</v>
      </c>
      <c r="R757" s="2" t="inlineStr"/>
    </row>
    <row r="758" ht="15" customHeight="1">
      <c r="A758" t="inlineStr">
        <is>
          <t>A 21196-2022</t>
        </is>
      </c>
      <c r="B758" s="1" t="n">
        <v>44705</v>
      </c>
      <c r="C758" s="1" t="n">
        <v>45835</v>
      </c>
      <c r="D758" t="inlineStr">
        <is>
          <t>JÄMTLANDS LÄN</t>
        </is>
      </c>
      <c r="E758" t="inlineStr">
        <is>
          <t>RAGUNDA</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21195-2022</t>
        </is>
      </c>
      <c r="B759" s="1" t="n">
        <v>44705</v>
      </c>
      <c r="C759" s="1" t="n">
        <v>45835</v>
      </c>
      <c r="D759" t="inlineStr">
        <is>
          <t>JÄMTLANDS LÄN</t>
        </is>
      </c>
      <c r="E759" t="inlineStr">
        <is>
          <t>RAGUNDA</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21193-2022</t>
        </is>
      </c>
      <c r="B760" s="1" t="n">
        <v>44705</v>
      </c>
      <c r="C760" s="1" t="n">
        <v>45835</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21984-2022</t>
        </is>
      </c>
      <c r="B761" s="1" t="n">
        <v>44704</v>
      </c>
      <c r="C761" s="1" t="n">
        <v>45835</v>
      </c>
      <c r="D761" t="inlineStr">
        <is>
          <t>JÄMTLANDS LÄN</t>
        </is>
      </c>
      <c r="E761" t="inlineStr">
        <is>
          <t>RAGUNDA</t>
        </is>
      </c>
      <c r="G761" t="n">
        <v>0.5</v>
      </c>
      <c r="H761" t="n">
        <v>0</v>
      </c>
      <c r="I761" t="n">
        <v>0</v>
      </c>
      <c r="J761" t="n">
        <v>0</v>
      </c>
      <c r="K761" t="n">
        <v>0</v>
      </c>
      <c r="L761" t="n">
        <v>0</v>
      </c>
      <c r="M761" t="n">
        <v>0</v>
      </c>
      <c r="N761" t="n">
        <v>0</v>
      </c>
      <c r="O761" t="n">
        <v>0</v>
      </c>
      <c r="P761" t="n">
        <v>0</v>
      </c>
      <c r="Q761" t="n">
        <v>0</v>
      </c>
      <c r="R761" s="2" t="inlineStr"/>
    </row>
    <row r="762" ht="15" customHeight="1">
      <c r="A762" t="inlineStr">
        <is>
          <t>A 21413-2022</t>
        </is>
      </c>
      <c r="B762" s="1" t="n">
        <v>44705</v>
      </c>
      <c r="C762" s="1" t="n">
        <v>45835</v>
      </c>
      <c r="D762" t="inlineStr">
        <is>
          <t>JÄMTLANDS LÄN</t>
        </is>
      </c>
      <c r="E762" t="inlineStr">
        <is>
          <t>RAGUNDA</t>
        </is>
      </c>
      <c r="G762" t="n">
        <v>2.4</v>
      </c>
      <c r="H762" t="n">
        <v>0</v>
      </c>
      <c r="I762" t="n">
        <v>0</v>
      </c>
      <c r="J762" t="n">
        <v>0</v>
      </c>
      <c r="K762" t="n">
        <v>0</v>
      </c>
      <c r="L762" t="n">
        <v>0</v>
      </c>
      <c r="M762" t="n">
        <v>0</v>
      </c>
      <c r="N762" t="n">
        <v>0</v>
      </c>
      <c r="O762" t="n">
        <v>0</v>
      </c>
      <c r="P762" t="n">
        <v>0</v>
      </c>
      <c r="Q762" t="n">
        <v>0</v>
      </c>
      <c r="R762" s="2" t="inlineStr"/>
    </row>
    <row r="763" ht="15" customHeight="1">
      <c r="A763" t="inlineStr">
        <is>
          <t>A 21500-2022</t>
        </is>
      </c>
      <c r="B763" s="1" t="n">
        <v>44706</v>
      </c>
      <c r="C763" s="1" t="n">
        <v>45835</v>
      </c>
      <c r="D763" t="inlineStr">
        <is>
          <t>JÄMTLANDS LÄN</t>
        </is>
      </c>
      <c r="E763" t="inlineStr">
        <is>
          <t>RAGUNDA</t>
        </is>
      </c>
      <c r="G763" t="n">
        <v>1</v>
      </c>
      <c r="H763" t="n">
        <v>0</v>
      </c>
      <c r="I763" t="n">
        <v>0</v>
      </c>
      <c r="J763" t="n">
        <v>0</v>
      </c>
      <c r="K763" t="n">
        <v>0</v>
      </c>
      <c r="L763" t="n">
        <v>0</v>
      </c>
      <c r="M763" t="n">
        <v>0</v>
      </c>
      <c r="N763" t="n">
        <v>0</v>
      </c>
      <c r="O763" t="n">
        <v>0</v>
      </c>
      <c r="P763" t="n">
        <v>0</v>
      </c>
      <c r="Q763" t="n">
        <v>0</v>
      </c>
      <c r="R763" s="2" t="inlineStr"/>
    </row>
    <row r="764" ht="15" customHeight="1">
      <c r="A764" t="inlineStr">
        <is>
          <t>A 22329-2022</t>
        </is>
      </c>
      <c r="B764" s="1" t="n">
        <v>44713</v>
      </c>
      <c r="C764" s="1" t="n">
        <v>45835</v>
      </c>
      <c r="D764" t="inlineStr">
        <is>
          <t>JÄMTLANDS LÄN</t>
        </is>
      </c>
      <c r="E764" t="inlineStr">
        <is>
          <t>RAGUNDA</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22327-2022</t>
        </is>
      </c>
      <c r="B765" s="1" t="n">
        <v>44713</v>
      </c>
      <c r="C765" s="1" t="n">
        <v>45835</v>
      </c>
      <c r="D765" t="inlineStr">
        <is>
          <t>JÄMTLANDS LÄN</t>
        </is>
      </c>
      <c r="E765" t="inlineStr">
        <is>
          <t>RAGUNDA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22686-2022</t>
        </is>
      </c>
      <c r="B766" s="1" t="n">
        <v>44714</v>
      </c>
      <c r="C766" s="1" t="n">
        <v>45835</v>
      </c>
      <c r="D766" t="inlineStr">
        <is>
          <t>JÄMTLANDS LÄN</t>
        </is>
      </c>
      <c r="E766" t="inlineStr">
        <is>
          <t>RAGUNDA</t>
        </is>
      </c>
      <c r="G766" t="n">
        <v>2.8</v>
      </c>
      <c r="H766" t="n">
        <v>0</v>
      </c>
      <c r="I766" t="n">
        <v>0</v>
      </c>
      <c r="J766" t="n">
        <v>0</v>
      </c>
      <c r="K766" t="n">
        <v>0</v>
      </c>
      <c r="L766" t="n">
        <v>0</v>
      </c>
      <c r="M766" t="n">
        <v>0</v>
      </c>
      <c r="N766" t="n">
        <v>0</v>
      </c>
      <c r="O766" t="n">
        <v>0</v>
      </c>
      <c r="P766" t="n">
        <v>0</v>
      </c>
      <c r="Q766" t="n">
        <v>0</v>
      </c>
      <c r="R766" s="2" t="inlineStr"/>
    </row>
    <row r="767" ht="15" customHeight="1">
      <c r="A767" t="inlineStr">
        <is>
          <t>A 22772-2022</t>
        </is>
      </c>
      <c r="B767" s="1" t="n">
        <v>44715</v>
      </c>
      <c r="C767" s="1" t="n">
        <v>45835</v>
      </c>
      <c r="D767" t="inlineStr">
        <is>
          <t>JÄMTLANDS LÄN</t>
        </is>
      </c>
      <c r="E767" t="inlineStr">
        <is>
          <t>RAGUNDA</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22695-2022</t>
        </is>
      </c>
      <c r="B768" s="1" t="n">
        <v>44714</v>
      </c>
      <c r="C768" s="1" t="n">
        <v>45835</v>
      </c>
      <c r="D768" t="inlineStr">
        <is>
          <t>JÄMTLANDS LÄN</t>
        </is>
      </c>
      <c r="E768" t="inlineStr">
        <is>
          <t>RAGUNDA</t>
        </is>
      </c>
      <c r="G768" t="n">
        <v>1.8</v>
      </c>
      <c r="H768" t="n">
        <v>0</v>
      </c>
      <c r="I768" t="n">
        <v>0</v>
      </c>
      <c r="J768" t="n">
        <v>0</v>
      </c>
      <c r="K768" t="n">
        <v>0</v>
      </c>
      <c r="L768" t="n">
        <v>0</v>
      </c>
      <c r="M768" t="n">
        <v>0</v>
      </c>
      <c r="N768" t="n">
        <v>0</v>
      </c>
      <c r="O768" t="n">
        <v>0</v>
      </c>
      <c r="P768" t="n">
        <v>0</v>
      </c>
      <c r="Q768" t="n">
        <v>0</v>
      </c>
      <c r="R768" s="2" t="inlineStr"/>
    </row>
    <row r="769" ht="15" customHeight="1">
      <c r="A769" t="inlineStr">
        <is>
          <t>A 22770-2022</t>
        </is>
      </c>
      <c r="B769" s="1" t="n">
        <v>44714</v>
      </c>
      <c r="C769" s="1" t="n">
        <v>45835</v>
      </c>
      <c r="D769" t="inlineStr">
        <is>
          <t>JÄMTLANDS LÄN</t>
        </is>
      </c>
      <c r="E769" t="inlineStr">
        <is>
          <t>RAGUNDA</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23668-2022</t>
        </is>
      </c>
      <c r="B770" s="1" t="n">
        <v>44722</v>
      </c>
      <c r="C770" s="1" t="n">
        <v>45835</v>
      </c>
      <c r="D770" t="inlineStr">
        <is>
          <t>JÄMTLANDS LÄN</t>
        </is>
      </c>
      <c r="E770" t="inlineStr">
        <is>
          <t>RAGUNDA</t>
        </is>
      </c>
      <c r="G770" t="n">
        <v>3.9</v>
      </c>
      <c r="H770" t="n">
        <v>0</v>
      </c>
      <c r="I770" t="n">
        <v>0</v>
      </c>
      <c r="J770" t="n">
        <v>0</v>
      </c>
      <c r="K770" t="n">
        <v>0</v>
      </c>
      <c r="L770" t="n">
        <v>0</v>
      </c>
      <c r="M770" t="n">
        <v>0</v>
      </c>
      <c r="N770" t="n">
        <v>0</v>
      </c>
      <c r="O770" t="n">
        <v>0</v>
      </c>
      <c r="P770" t="n">
        <v>0</v>
      </c>
      <c r="Q770" t="n">
        <v>0</v>
      </c>
      <c r="R770" s="2" t="inlineStr"/>
    </row>
    <row r="771" ht="15" customHeight="1">
      <c r="A771" t="inlineStr">
        <is>
          <t>A 24359-2022</t>
        </is>
      </c>
      <c r="B771" s="1" t="n">
        <v>44725</v>
      </c>
      <c r="C771" s="1" t="n">
        <v>45835</v>
      </c>
      <c r="D771" t="inlineStr">
        <is>
          <t>JÄMTLANDS LÄN</t>
        </is>
      </c>
      <c r="E771" t="inlineStr">
        <is>
          <t>RAGUNDA</t>
        </is>
      </c>
      <c r="G771" t="n">
        <v>11.4</v>
      </c>
      <c r="H771" t="n">
        <v>0</v>
      </c>
      <c r="I771" t="n">
        <v>0</v>
      </c>
      <c r="J771" t="n">
        <v>0</v>
      </c>
      <c r="K771" t="n">
        <v>0</v>
      </c>
      <c r="L771" t="n">
        <v>0</v>
      </c>
      <c r="M771" t="n">
        <v>0</v>
      </c>
      <c r="N771" t="n">
        <v>0</v>
      </c>
      <c r="O771" t="n">
        <v>0</v>
      </c>
      <c r="P771" t="n">
        <v>0</v>
      </c>
      <c r="Q771" t="n">
        <v>0</v>
      </c>
      <c r="R771" s="2" t="inlineStr"/>
    </row>
    <row r="772" ht="15" customHeight="1">
      <c r="A772" t="inlineStr">
        <is>
          <t>A 24720-2022</t>
        </is>
      </c>
      <c r="B772" s="1" t="n">
        <v>44728</v>
      </c>
      <c r="C772" s="1" t="n">
        <v>45835</v>
      </c>
      <c r="D772" t="inlineStr">
        <is>
          <t>JÄMTLANDS LÄN</t>
        </is>
      </c>
      <c r="E772" t="inlineStr">
        <is>
          <t>RAGUNDA</t>
        </is>
      </c>
      <c r="F772" t="inlineStr">
        <is>
          <t>SCA</t>
        </is>
      </c>
      <c r="G772" t="n">
        <v>4.4</v>
      </c>
      <c r="H772" t="n">
        <v>0</v>
      </c>
      <c r="I772" t="n">
        <v>0</v>
      </c>
      <c r="J772" t="n">
        <v>0</v>
      </c>
      <c r="K772" t="n">
        <v>0</v>
      </c>
      <c r="L772" t="n">
        <v>0</v>
      </c>
      <c r="M772" t="n">
        <v>0</v>
      </c>
      <c r="N772" t="n">
        <v>0</v>
      </c>
      <c r="O772" t="n">
        <v>0</v>
      </c>
      <c r="P772" t="n">
        <v>0</v>
      </c>
      <c r="Q772" t="n">
        <v>0</v>
      </c>
      <c r="R772" s="2" t="inlineStr"/>
    </row>
    <row r="773" ht="15" customHeight="1">
      <c r="A773" t="inlineStr">
        <is>
          <t>A 24741-2022</t>
        </is>
      </c>
      <c r="B773" s="1" t="n">
        <v>44727</v>
      </c>
      <c r="C773" s="1" t="n">
        <v>45835</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25028-2022</t>
        </is>
      </c>
      <c r="B774" s="1" t="n">
        <v>44729</v>
      </c>
      <c r="C774" s="1" t="n">
        <v>45835</v>
      </c>
      <c r="D774" t="inlineStr">
        <is>
          <t>JÄMTLANDS LÄN</t>
        </is>
      </c>
      <c r="E774" t="inlineStr">
        <is>
          <t>RAGUNDA</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25027-2022</t>
        </is>
      </c>
      <c r="B775" s="1" t="n">
        <v>44729</v>
      </c>
      <c r="C775" s="1" t="n">
        <v>45835</v>
      </c>
      <c r="D775" t="inlineStr">
        <is>
          <t>JÄMTLANDS LÄN</t>
        </is>
      </c>
      <c r="E775" t="inlineStr">
        <is>
          <t>RAGUNDA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25253-2022</t>
        </is>
      </c>
      <c r="B776" s="1" t="n">
        <v>44730</v>
      </c>
      <c r="C776" s="1" t="n">
        <v>45835</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25342-2022</t>
        </is>
      </c>
      <c r="B777" s="1" t="n">
        <v>44732</v>
      </c>
      <c r="C777" s="1" t="n">
        <v>45835</v>
      </c>
      <c r="D777" t="inlineStr">
        <is>
          <t>JÄMTLANDS LÄN</t>
        </is>
      </c>
      <c r="E777" t="inlineStr">
        <is>
          <t>RAGUNDA</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25433-2022</t>
        </is>
      </c>
      <c r="B778" s="1" t="n">
        <v>44732</v>
      </c>
      <c r="C778" s="1" t="n">
        <v>45835</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25962-2022</t>
        </is>
      </c>
      <c r="B779" s="1" t="n">
        <v>44734</v>
      </c>
      <c r="C779" s="1" t="n">
        <v>45835</v>
      </c>
      <c r="D779" t="inlineStr">
        <is>
          <t>JÄMTLANDS LÄN</t>
        </is>
      </c>
      <c r="E779" t="inlineStr">
        <is>
          <t>RAGUNDA</t>
        </is>
      </c>
      <c r="G779" t="n">
        <v>1.4</v>
      </c>
      <c r="H779" t="n">
        <v>0</v>
      </c>
      <c r="I779" t="n">
        <v>0</v>
      </c>
      <c r="J779" t="n">
        <v>0</v>
      </c>
      <c r="K779" t="n">
        <v>0</v>
      </c>
      <c r="L779" t="n">
        <v>0</v>
      </c>
      <c r="M779" t="n">
        <v>0</v>
      </c>
      <c r="N779" t="n">
        <v>0</v>
      </c>
      <c r="O779" t="n">
        <v>0</v>
      </c>
      <c r="P779" t="n">
        <v>0</v>
      </c>
      <c r="Q779" t="n">
        <v>0</v>
      </c>
      <c r="R779" s="2" t="inlineStr"/>
    </row>
    <row r="780" ht="15" customHeight="1">
      <c r="A780" t="inlineStr">
        <is>
          <t>A 26122-2022</t>
        </is>
      </c>
      <c r="B780" s="1" t="n">
        <v>44735</v>
      </c>
      <c r="C780" s="1" t="n">
        <v>45835</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26123-2022</t>
        </is>
      </c>
      <c r="B781" s="1" t="n">
        <v>44735</v>
      </c>
      <c r="C781" s="1" t="n">
        <v>45835</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27291-2022</t>
        </is>
      </c>
      <c r="B782" s="1" t="n">
        <v>44742</v>
      </c>
      <c r="C782" s="1" t="n">
        <v>45835</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27302-2022</t>
        </is>
      </c>
      <c r="B783" s="1" t="n">
        <v>44741</v>
      </c>
      <c r="C783" s="1" t="n">
        <v>45835</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27292-2022</t>
        </is>
      </c>
      <c r="B784" s="1" t="n">
        <v>44742</v>
      </c>
      <c r="C784" s="1" t="n">
        <v>45835</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27777-2022</t>
        </is>
      </c>
      <c r="B785" s="1" t="n">
        <v>44743</v>
      </c>
      <c r="C785" s="1" t="n">
        <v>45835</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27939-2022</t>
        </is>
      </c>
      <c r="B786" s="1" t="n">
        <v>44744</v>
      </c>
      <c r="C786" s="1" t="n">
        <v>45835</v>
      </c>
      <c r="D786" t="inlineStr">
        <is>
          <t>JÄMTLANDS LÄN</t>
        </is>
      </c>
      <c r="E786" t="inlineStr">
        <is>
          <t>RAGUNDA</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28081-2022</t>
        </is>
      </c>
      <c r="B787" s="1" t="n">
        <v>44746</v>
      </c>
      <c r="C787" s="1" t="n">
        <v>45835</v>
      </c>
      <c r="D787" t="inlineStr">
        <is>
          <t>JÄMTLANDS LÄN</t>
        </is>
      </c>
      <c r="E787" t="inlineStr">
        <is>
          <t>RAGUNDA</t>
        </is>
      </c>
      <c r="G787" t="n">
        <v>7</v>
      </c>
      <c r="H787" t="n">
        <v>0</v>
      </c>
      <c r="I787" t="n">
        <v>0</v>
      </c>
      <c r="J787" t="n">
        <v>0</v>
      </c>
      <c r="K787" t="n">
        <v>0</v>
      </c>
      <c r="L787" t="n">
        <v>0</v>
      </c>
      <c r="M787" t="n">
        <v>0</v>
      </c>
      <c r="N787" t="n">
        <v>0</v>
      </c>
      <c r="O787" t="n">
        <v>0</v>
      </c>
      <c r="P787" t="n">
        <v>0</v>
      </c>
      <c r="Q787" t="n">
        <v>0</v>
      </c>
      <c r="R787" s="2" t="inlineStr"/>
    </row>
    <row r="788" ht="15" customHeight="1">
      <c r="A788" t="inlineStr">
        <is>
          <t>A 28283-2022</t>
        </is>
      </c>
      <c r="B788" s="1" t="n">
        <v>44746</v>
      </c>
      <c r="C788" s="1" t="n">
        <v>45835</v>
      </c>
      <c r="D788" t="inlineStr">
        <is>
          <t>JÄMTLANDS LÄN</t>
        </is>
      </c>
      <c r="E788" t="inlineStr">
        <is>
          <t>RAGUNDA</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28277-2022</t>
        </is>
      </c>
      <c r="B789" s="1" t="n">
        <v>44747</v>
      </c>
      <c r="C789" s="1" t="n">
        <v>45835</v>
      </c>
      <c r="D789" t="inlineStr">
        <is>
          <t>JÄMTLANDS LÄN</t>
        </is>
      </c>
      <c r="E789" t="inlineStr">
        <is>
          <t>RAGUNDA</t>
        </is>
      </c>
      <c r="G789" t="n">
        <v>4</v>
      </c>
      <c r="H789" t="n">
        <v>0</v>
      </c>
      <c r="I789" t="n">
        <v>0</v>
      </c>
      <c r="J789" t="n">
        <v>0</v>
      </c>
      <c r="K789" t="n">
        <v>0</v>
      </c>
      <c r="L789" t="n">
        <v>0</v>
      </c>
      <c r="M789" t="n">
        <v>0</v>
      </c>
      <c r="N789" t="n">
        <v>0</v>
      </c>
      <c r="O789" t="n">
        <v>0</v>
      </c>
      <c r="P789" t="n">
        <v>0</v>
      </c>
      <c r="Q789" t="n">
        <v>0</v>
      </c>
      <c r="R789" s="2" t="inlineStr"/>
    </row>
    <row r="790" ht="15" customHeight="1">
      <c r="A790" t="inlineStr">
        <is>
          <t>A 28292-2022</t>
        </is>
      </c>
      <c r="B790" s="1" t="n">
        <v>44747</v>
      </c>
      <c r="C790" s="1" t="n">
        <v>45835</v>
      </c>
      <c r="D790" t="inlineStr">
        <is>
          <t>JÄMTLANDS LÄN</t>
        </is>
      </c>
      <c r="E790" t="inlineStr">
        <is>
          <t>RAGUNDA</t>
        </is>
      </c>
      <c r="F790" t="inlineStr">
        <is>
          <t>SCA</t>
        </is>
      </c>
      <c r="G790" t="n">
        <v>7.5</v>
      </c>
      <c r="H790" t="n">
        <v>0</v>
      </c>
      <c r="I790" t="n">
        <v>0</v>
      </c>
      <c r="J790" t="n">
        <v>0</v>
      </c>
      <c r="K790" t="n">
        <v>0</v>
      </c>
      <c r="L790" t="n">
        <v>0</v>
      </c>
      <c r="M790" t="n">
        <v>0</v>
      </c>
      <c r="N790" t="n">
        <v>0</v>
      </c>
      <c r="O790" t="n">
        <v>0</v>
      </c>
      <c r="P790" t="n">
        <v>0</v>
      </c>
      <c r="Q790" t="n">
        <v>0</v>
      </c>
      <c r="R790" s="2" t="inlineStr"/>
    </row>
    <row r="791" ht="15" customHeight="1">
      <c r="A791" t="inlineStr">
        <is>
          <t>A 28737-2022</t>
        </is>
      </c>
      <c r="B791" s="1" t="n">
        <v>44749</v>
      </c>
      <c r="C791" s="1" t="n">
        <v>45835</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29537-2022</t>
        </is>
      </c>
      <c r="B792" s="1" t="n">
        <v>44754</v>
      </c>
      <c r="C792" s="1" t="n">
        <v>45835</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30609-2022</t>
        </is>
      </c>
      <c r="B793" s="1" t="n">
        <v>44761</v>
      </c>
      <c r="C793" s="1" t="n">
        <v>45835</v>
      </c>
      <c r="D793" t="inlineStr">
        <is>
          <t>JÄMTLANDS LÄN</t>
        </is>
      </c>
      <c r="E793" t="inlineStr">
        <is>
          <t>RAGUNDA</t>
        </is>
      </c>
      <c r="G793" t="n">
        <v>2.4</v>
      </c>
      <c r="H793" t="n">
        <v>0</v>
      </c>
      <c r="I793" t="n">
        <v>0</v>
      </c>
      <c r="J793" t="n">
        <v>0</v>
      </c>
      <c r="K793" t="n">
        <v>0</v>
      </c>
      <c r="L793" t="n">
        <v>0</v>
      </c>
      <c r="M793" t="n">
        <v>0</v>
      </c>
      <c r="N793" t="n">
        <v>0</v>
      </c>
      <c r="O793" t="n">
        <v>0</v>
      </c>
      <c r="P793" t="n">
        <v>0</v>
      </c>
      <c r="Q793" t="n">
        <v>0</v>
      </c>
      <c r="R793" s="2" t="inlineStr"/>
      <c r="U793">
        <f>HYPERLINK("https://klasma.github.io/Logging_2303/knärot/A 30609-2022 karta knärot.png", "A 30609-2022")</f>
        <v/>
      </c>
      <c r="V793">
        <f>HYPERLINK("https://klasma.github.io/Logging_2303/klagomål/A 30609-2022 FSC-klagomål.docx", "A 30609-2022")</f>
        <v/>
      </c>
      <c r="W793">
        <f>HYPERLINK("https://klasma.github.io/Logging_2303/klagomålsmail/A 30609-2022 FSC-klagomål mail.docx", "A 30609-2022")</f>
        <v/>
      </c>
      <c r="X793">
        <f>HYPERLINK("https://klasma.github.io/Logging_2303/tillsyn/A 30609-2022 tillsynsbegäran.docx", "A 30609-2022")</f>
        <v/>
      </c>
      <c r="Y793">
        <f>HYPERLINK("https://klasma.github.io/Logging_2303/tillsynsmail/A 30609-2022 tillsynsbegäran mail.docx", "A 30609-2022")</f>
        <v/>
      </c>
    </row>
    <row r="794" ht="15" customHeight="1">
      <c r="A794" t="inlineStr">
        <is>
          <t>A 30931-2022</t>
        </is>
      </c>
      <c r="B794" s="1" t="n">
        <v>44768</v>
      </c>
      <c r="C794" s="1" t="n">
        <v>45835</v>
      </c>
      <c r="D794" t="inlineStr">
        <is>
          <t>JÄMTLANDS LÄN</t>
        </is>
      </c>
      <c r="E794" t="inlineStr">
        <is>
          <t>RAGUNDA</t>
        </is>
      </c>
      <c r="G794" t="n">
        <v>6</v>
      </c>
      <c r="H794" t="n">
        <v>0</v>
      </c>
      <c r="I794" t="n">
        <v>0</v>
      </c>
      <c r="J794" t="n">
        <v>0</v>
      </c>
      <c r="K794" t="n">
        <v>0</v>
      </c>
      <c r="L794" t="n">
        <v>0</v>
      </c>
      <c r="M794" t="n">
        <v>0</v>
      </c>
      <c r="N794" t="n">
        <v>0</v>
      </c>
      <c r="O794" t="n">
        <v>0</v>
      </c>
      <c r="P794" t="n">
        <v>0</v>
      </c>
      <c r="Q794" t="n">
        <v>0</v>
      </c>
      <c r="R794" s="2" t="inlineStr"/>
    </row>
    <row r="795" ht="15" customHeight="1">
      <c r="A795" t="inlineStr">
        <is>
          <t>A 31436-2022</t>
        </is>
      </c>
      <c r="B795" s="1" t="n">
        <v>44774</v>
      </c>
      <c r="C795" s="1" t="n">
        <v>45835</v>
      </c>
      <c r="D795" t="inlineStr">
        <is>
          <t>JÄMTLANDS LÄN</t>
        </is>
      </c>
      <c r="E795" t="inlineStr">
        <is>
          <t>RAGUNDA</t>
        </is>
      </c>
      <c r="G795" t="n">
        <v>2</v>
      </c>
      <c r="H795" t="n">
        <v>0</v>
      </c>
      <c r="I795" t="n">
        <v>0</v>
      </c>
      <c r="J795" t="n">
        <v>0</v>
      </c>
      <c r="K795" t="n">
        <v>0</v>
      </c>
      <c r="L795" t="n">
        <v>0</v>
      </c>
      <c r="M795" t="n">
        <v>0</v>
      </c>
      <c r="N795" t="n">
        <v>0</v>
      </c>
      <c r="O795" t="n">
        <v>0</v>
      </c>
      <c r="P795" t="n">
        <v>0</v>
      </c>
      <c r="Q795" t="n">
        <v>0</v>
      </c>
      <c r="R795" s="2" t="inlineStr"/>
    </row>
    <row r="796" ht="15" customHeight="1">
      <c r="A796" t="inlineStr">
        <is>
          <t>A 31484-2022</t>
        </is>
      </c>
      <c r="B796" s="1" t="n">
        <v>44775</v>
      </c>
      <c r="C796" s="1" t="n">
        <v>45835</v>
      </c>
      <c r="D796" t="inlineStr">
        <is>
          <t>JÄMTLANDS LÄN</t>
        </is>
      </c>
      <c r="E796" t="inlineStr">
        <is>
          <t>RAGUNDA</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31435-2022</t>
        </is>
      </c>
      <c r="B797" s="1" t="n">
        <v>44774</v>
      </c>
      <c r="C797" s="1" t="n">
        <v>45835</v>
      </c>
      <c r="D797" t="inlineStr">
        <is>
          <t>JÄMTLANDS LÄN</t>
        </is>
      </c>
      <c r="E797" t="inlineStr">
        <is>
          <t>RAGUNDA</t>
        </is>
      </c>
      <c r="G797" t="n">
        <v>1.6</v>
      </c>
      <c r="H797" t="n">
        <v>0</v>
      </c>
      <c r="I797" t="n">
        <v>0</v>
      </c>
      <c r="J797" t="n">
        <v>0</v>
      </c>
      <c r="K797" t="n">
        <v>0</v>
      </c>
      <c r="L797" t="n">
        <v>0</v>
      </c>
      <c r="M797" t="n">
        <v>0</v>
      </c>
      <c r="N797" t="n">
        <v>0</v>
      </c>
      <c r="O797" t="n">
        <v>0</v>
      </c>
      <c r="P797" t="n">
        <v>0</v>
      </c>
      <c r="Q797" t="n">
        <v>0</v>
      </c>
      <c r="R797" s="2" t="inlineStr"/>
    </row>
    <row r="798" ht="15" customHeight="1">
      <c r="A798" t="inlineStr">
        <is>
          <t>A 31854-2022</t>
        </is>
      </c>
      <c r="B798" s="1" t="n">
        <v>44776</v>
      </c>
      <c r="C798" s="1" t="n">
        <v>45835</v>
      </c>
      <c r="D798" t="inlineStr">
        <is>
          <t>JÄMTLANDS LÄN</t>
        </is>
      </c>
      <c r="E798" t="inlineStr">
        <is>
          <t>RAGUNDA</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31841-2022</t>
        </is>
      </c>
      <c r="B799" s="1" t="n">
        <v>44776</v>
      </c>
      <c r="C799" s="1" t="n">
        <v>45835</v>
      </c>
      <c r="D799" t="inlineStr">
        <is>
          <t>JÄMTLANDS LÄN</t>
        </is>
      </c>
      <c r="E799" t="inlineStr">
        <is>
          <t>RAGUNDA</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31970-2022</t>
        </is>
      </c>
      <c r="B800" s="1" t="n">
        <v>44777</v>
      </c>
      <c r="C800" s="1" t="n">
        <v>45835</v>
      </c>
      <c r="D800" t="inlineStr">
        <is>
          <t>JÄMTLANDS LÄN</t>
        </is>
      </c>
      <c r="E800" t="inlineStr">
        <is>
          <t>RAGUNDA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31972-2022</t>
        </is>
      </c>
      <c r="B801" s="1" t="n">
        <v>44778</v>
      </c>
      <c r="C801" s="1" t="n">
        <v>45835</v>
      </c>
      <c r="D801" t="inlineStr">
        <is>
          <t>JÄMTLANDS LÄN</t>
        </is>
      </c>
      <c r="E801" t="inlineStr">
        <is>
          <t>RAGUNDA</t>
        </is>
      </c>
      <c r="F801" t="inlineStr">
        <is>
          <t>Naturvårdsverket</t>
        </is>
      </c>
      <c r="G801" t="n">
        <v>0.8</v>
      </c>
      <c r="H801" t="n">
        <v>0</v>
      </c>
      <c r="I801" t="n">
        <v>0</v>
      </c>
      <c r="J801" t="n">
        <v>0</v>
      </c>
      <c r="K801" t="n">
        <v>0</v>
      </c>
      <c r="L801" t="n">
        <v>0</v>
      </c>
      <c r="M801" t="n">
        <v>0</v>
      </c>
      <c r="N801" t="n">
        <v>0</v>
      </c>
      <c r="O801" t="n">
        <v>0</v>
      </c>
      <c r="P801" t="n">
        <v>0</v>
      </c>
      <c r="Q801" t="n">
        <v>0</v>
      </c>
      <c r="R801" s="2" t="inlineStr"/>
    </row>
    <row r="802" ht="15" customHeight="1">
      <c r="A802" t="inlineStr">
        <is>
          <t>A 32135-2022</t>
        </is>
      </c>
      <c r="B802" s="1" t="n">
        <v>44778</v>
      </c>
      <c r="C802" s="1" t="n">
        <v>45835</v>
      </c>
      <c r="D802" t="inlineStr">
        <is>
          <t>JÄMTLANDS LÄN</t>
        </is>
      </c>
      <c r="E802" t="inlineStr">
        <is>
          <t>RAGUNDA</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32288-2022</t>
        </is>
      </c>
      <c r="B803" s="1" t="n">
        <v>44781</v>
      </c>
      <c r="C803" s="1" t="n">
        <v>45835</v>
      </c>
      <c r="D803" t="inlineStr">
        <is>
          <t>JÄMTLANDS LÄN</t>
        </is>
      </c>
      <c r="E803" t="inlineStr">
        <is>
          <t>RAGUNDA</t>
        </is>
      </c>
      <c r="G803" t="n">
        <v>0.8</v>
      </c>
      <c r="H803" t="n">
        <v>0</v>
      </c>
      <c r="I803" t="n">
        <v>0</v>
      </c>
      <c r="J803" t="n">
        <v>0</v>
      </c>
      <c r="K803" t="n">
        <v>0</v>
      </c>
      <c r="L803" t="n">
        <v>0</v>
      </c>
      <c r="M803" t="n">
        <v>0</v>
      </c>
      <c r="N803" t="n">
        <v>0</v>
      </c>
      <c r="O803" t="n">
        <v>0</v>
      </c>
      <c r="P803" t="n">
        <v>0</v>
      </c>
      <c r="Q803" t="n">
        <v>0</v>
      </c>
      <c r="R803" s="2" t="inlineStr"/>
    </row>
    <row r="804" ht="15" customHeight="1">
      <c r="A804" t="inlineStr">
        <is>
          <t>A 32526-2022</t>
        </is>
      </c>
      <c r="B804" s="1" t="n">
        <v>44782</v>
      </c>
      <c r="C804" s="1" t="n">
        <v>45835</v>
      </c>
      <c r="D804" t="inlineStr">
        <is>
          <t>JÄMTLANDS LÄN</t>
        </is>
      </c>
      <c r="E804" t="inlineStr">
        <is>
          <t>RAGUNDA</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32780-2022</t>
        </is>
      </c>
      <c r="B805" s="1" t="n">
        <v>44783</v>
      </c>
      <c r="C805" s="1" t="n">
        <v>45835</v>
      </c>
      <c r="D805" t="inlineStr">
        <is>
          <t>JÄMTLANDS LÄN</t>
        </is>
      </c>
      <c r="E805" t="inlineStr">
        <is>
          <t>RAGUNDA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32979-2022</t>
        </is>
      </c>
      <c r="B806" s="1" t="n">
        <v>44785</v>
      </c>
      <c r="C806" s="1" t="n">
        <v>45835</v>
      </c>
      <c r="D806" t="inlineStr">
        <is>
          <t>JÄMTLANDS LÄN</t>
        </is>
      </c>
      <c r="E806" t="inlineStr">
        <is>
          <t>RAGUNDA</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32986-2022</t>
        </is>
      </c>
      <c r="B807" s="1" t="n">
        <v>44785</v>
      </c>
      <c r="C807" s="1" t="n">
        <v>45835</v>
      </c>
      <c r="D807" t="inlineStr">
        <is>
          <t>JÄMTLANDS LÄN</t>
        </is>
      </c>
      <c r="E807" t="inlineStr">
        <is>
          <t>RAGUNDA</t>
        </is>
      </c>
      <c r="F807" t="inlineStr">
        <is>
          <t>SCA</t>
        </is>
      </c>
      <c r="G807" t="n">
        <v>6.7</v>
      </c>
      <c r="H807" t="n">
        <v>0</v>
      </c>
      <c r="I807" t="n">
        <v>0</v>
      </c>
      <c r="J807" t="n">
        <v>0</v>
      </c>
      <c r="K807" t="n">
        <v>0</v>
      </c>
      <c r="L807" t="n">
        <v>0</v>
      </c>
      <c r="M807" t="n">
        <v>0</v>
      </c>
      <c r="N807" t="n">
        <v>0</v>
      </c>
      <c r="O807" t="n">
        <v>0</v>
      </c>
      <c r="P807" t="n">
        <v>0</v>
      </c>
      <c r="Q807" t="n">
        <v>0</v>
      </c>
      <c r="R807" s="2" t="inlineStr"/>
    </row>
    <row r="808" ht="15" customHeight="1">
      <c r="A808" t="inlineStr">
        <is>
          <t>A 33218-2022</t>
        </is>
      </c>
      <c r="B808" s="1" t="n">
        <v>44786</v>
      </c>
      <c r="C808" s="1" t="n">
        <v>45835</v>
      </c>
      <c r="D808" t="inlineStr">
        <is>
          <t>JÄMTLANDS LÄN</t>
        </is>
      </c>
      <c r="E808" t="inlineStr">
        <is>
          <t>RAGUNDA</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33279-2022</t>
        </is>
      </c>
      <c r="B809" s="1" t="n">
        <v>44788</v>
      </c>
      <c r="C809" s="1" t="n">
        <v>45835</v>
      </c>
      <c r="D809" t="inlineStr">
        <is>
          <t>JÄMTLANDS LÄN</t>
        </is>
      </c>
      <c r="E809" t="inlineStr">
        <is>
          <t>RAGUNDA</t>
        </is>
      </c>
      <c r="G809" t="n">
        <v>17</v>
      </c>
      <c r="H809" t="n">
        <v>0</v>
      </c>
      <c r="I809" t="n">
        <v>0</v>
      </c>
      <c r="J809" t="n">
        <v>0</v>
      </c>
      <c r="K809" t="n">
        <v>0</v>
      </c>
      <c r="L809" t="n">
        <v>0</v>
      </c>
      <c r="M809" t="n">
        <v>0</v>
      </c>
      <c r="N809" t="n">
        <v>0</v>
      </c>
      <c r="O809" t="n">
        <v>0</v>
      </c>
      <c r="P809" t="n">
        <v>0</v>
      </c>
      <c r="Q809" t="n">
        <v>0</v>
      </c>
      <c r="R809" s="2" t="inlineStr"/>
    </row>
    <row r="810" ht="15" customHeight="1">
      <c r="A810" t="inlineStr">
        <is>
          <t>A 35018-2022</t>
        </is>
      </c>
      <c r="B810" s="1" t="n">
        <v>44797</v>
      </c>
      <c r="C810" s="1" t="n">
        <v>45835</v>
      </c>
      <c r="D810" t="inlineStr">
        <is>
          <t>JÄMTLANDS LÄN</t>
        </is>
      </c>
      <c r="E810" t="inlineStr">
        <is>
          <t>RAGUNDA</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35235-2022</t>
        </is>
      </c>
      <c r="B811" s="1" t="n">
        <v>44797</v>
      </c>
      <c r="C811" s="1" t="n">
        <v>45835</v>
      </c>
      <c r="D811" t="inlineStr">
        <is>
          <t>JÄMTLANDS LÄN</t>
        </is>
      </c>
      <c r="E811" t="inlineStr">
        <is>
          <t>RAGUNDA</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35495-2022</t>
        </is>
      </c>
      <c r="B812" s="1" t="n">
        <v>44798</v>
      </c>
      <c r="C812" s="1" t="n">
        <v>45835</v>
      </c>
      <c r="D812" t="inlineStr">
        <is>
          <t>JÄMTLANDS LÄN</t>
        </is>
      </c>
      <c r="E812" t="inlineStr">
        <is>
          <t>RAGUNDA</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35492-2022</t>
        </is>
      </c>
      <c r="B813" s="1" t="n">
        <v>44799</v>
      </c>
      <c r="C813" s="1" t="n">
        <v>45835</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35757-2022</t>
        </is>
      </c>
      <c r="B814" s="1" t="n">
        <v>44799</v>
      </c>
      <c r="C814" s="1" t="n">
        <v>45835</v>
      </c>
      <c r="D814" t="inlineStr">
        <is>
          <t>JÄMTLANDS LÄN</t>
        </is>
      </c>
      <c r="E814" t="inlineStr">
        <is>
          <t>RAGUNDA</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35749-2022</t>
        </is>
      </c>
      <c r="B815" s="1" t="n">
        <v>44800</v>
      </c>
      <c r="C815" s="1" t="n">
        <v>45835</v>
      </c>
      <c r="D815" t="inlineStr">
        <is>
          <t>JÄMTLANDS LÄN</t>
        </is>
      </c>
      <c r="E815" t="inlineStr">
        <is>
          <t>RAGUNDA</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35998-2022</t>
        </is>
      </c>
      <c r="B816" s="1" t="n">
        <v>44802</v>
      </c>
      <c r="C816" s="1" t="n">
        <v>45835</v>
      </c>
      <c r="D816" t="inlineStr">
        <is>
          <t>JÄMTLANDS LÄN</t>
        </is>
      </c>
      <c r="E816" t="inlineStr">
        <is>
          <t>RAGUNDA</t>
        </is>
      </c>
      <c r="G816" t="n">
        <v>25.4</v>
      </c>
      <c r="H816" t="n">
        <v>0</v>
      </c>
      <c r="I816" t="n">
        <v>0</v>
      </c>
      <c r="J816" t="n">
        <v>0</v>
      </c>
      <c r="K816" t="n">
        <v>0</v>
      </c>
      <c r="L816" t="n">
        <v>0</v>
      </c>
      <c r="M816" t="n">
        <v>0</v>
      </c>
      <c r="N816" t="n">
        <v>0</v>
      </c>
      <c r="O816" t="n">
        <v>0</v>
      </c>
      <c r="P816" t="n">
        <v>0</v>
      </c>
      <c r="Q816" t="n">
        <v>0</v>
      </c>
      <c r="R816" s="2" t="inlineStr"/>
    </row>
    <row r="817" ht="15" customHeight="1">
      <c r="A817" t="inlineStr">
        <is>
          <t>A 36084-2022</t>
        </is>
      </c>
      <c r="B817" s="1" t="n">
        <v>44802</v>
      </c>
      <c r="C817" s="1" t="n">
        <v>45835</v>
      </c>
      <c r="D817" t="inlineStr">
        <is>
          <t>JÄMTLANDS LÄN</t>
        </is>
      </c>
      <c r="E817" t="inlineStr">
        <is>
          <t>RAGUNDA</t>
        </is>
      </c>
      <c r="F817" t="inlineStr">
        <is>
          <t>SCA</t>
        </is>
      </c>
      <c r="G817" t="n">
        <v>5.7</v>
      </c>
      <c r="H817" t="n">
        <v>0</v>
      </c>
      <c r="I817" t="n">
        <v>0</v>
      </c>
      <c r="J817" t="n">
        <v>0</v>
      </c>
      <c r="K817" t="n">
        <v>0</v>
      </c>
      <c r="L817" t="n">
        <v>0</v>
      </c>
      <c r="M817" t="n">
        <v>0</v>
      </c>
      <c r="N817" t="n">
        <v>0</v>
      </c>
      <c r="O817" t="n">
        <v>0</v>
      </c>
      <c r="P817" t="n">
        <v>0</v>
      </c>
      <c r="Q817" t="n">
        <v>0</v>
      </c>
      <c r="R817" s="2" t="inlineStr"/>
    </row>
    <row r="818" ht="15" customHeight="1">
      <c r="A818" t="inlineStr">
        <is>
          <t>A 36106-2022</t>
        </is>
      </c>
      <c r="B818" s="1" t="n">
        <v>44803</v>
      </c>
      <c r="C818" s="1" t="n">
        <v>45835</v>
      </c>
      <c r="D818" t="inlineStr">
        <is>
          <t>JÄMTLANDS LÄN</t>
        </is>
      </c>
      <c r="E818" t="inlineStr">
        <is>
          <t>RAGUNDA</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36375-2022</t>
        </is>
      </c>
      <c r="B819" s="1" t="n">
        <v>44804</v>
      </c>
      <c r="C819" s="1" t="n">
        <v>45835</v>
      </c>
      <c r="D819" t="inlineStr">
        <is>
          <t>JÄMTLANDS LÄN</t>
        </is>
      </c>
      <c r="E819" t="inlineStr">
        <is>
          <t>RAGUNDA</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36612-2022</t>
        </is>
      </c>
      <c r="B820" s="1" t="n">
        <v>44804</v>
      </c>
      <c r="C820" s="1" t="n">
        <v>45835</v>
      </c>
      <c r="D820" t="inlineStr">
        <is>
          <t>JÄMTLANDS LÄN</t>
        </is>
      </c>
      <c r="E820" t="inlineStr">
        <is>
          <t>RAGUNDA</t>
        </is>
      </c>
      <c r="G820" t="n">
        <v>2.1</v>
      </c>
      <c r="H820" t="n">
        <v>0</v>
      </c>
      <c r="I820" t="n">
        <v>0</v>
      </c>
      <c r="J820" t="n">
        <v>0</v>
      </c>
      <c r="K820" t="n">
        <v>0</v>
      </c>
      <c r="L820" t="n">
        <v>0</v>
      </c>
      <c r="M820" t="n">
        <v>0</v>
      </c>
      <c r="N820" t="n">
        <v>0</v>
      </c>
      <c r="O820" t="n">
        <v>0</v>
      </c>
      <c r="P820" t="n">
        <v>0</v>
      </c>
      <c r="Q820" t="n">
        <v>0</v>
      </c>
      <c r="R820" s="2" t="inlineStr"/>
    </row>
    <row r="821" ht="15" customHeight="1">
      <c r="A821" t="inlineStr">
        <is>
          <t>A 36692-2022</t>
        </is>
      </c>
      <c r="B821" s="1" t="n">
        <v>44804</v>
      </c>
      <c r="C821" s="1" t="n">
        <v>45835</v>
      </c>
      <c r="D821" t="inlineStr">
        <is>
          <t>JÄMTLANDS LÄN</t>
        </is>
      </c>
      <c r="E821" t="inlineStr">
        <is>
          <t>RAGUNDA</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36696-2022</t>
        </is>
      </c>
      <c r="B822" s="1" t="n">
        <v>44805</v>
      </c>
      <c r="C822" s="1" t="n">
        <v>45835</v>
      </c>
      <c r="D822" t="inlineStr">
        <is>
          <t>JÄMTLANDS LÄN</t>
        </is>
      </c>
      <c r="E822" t="inlineStr">
        <is>
          <t>RAGUNDA</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36922-2022</t>
        </is>
      </c>
      <c r="B823" s="1" t="n">
        <v>44806</v>
      </c>
      <c r="C823" s="1" t="n">
        <v>45835</v>
      </c>
      <c r="D823" t="inlineStr">
        <is>
          <t>JÄMTLANDS LÄN</t>
        </is>
      </c>
      <c r="E823" t="inlineStr">
        <is>
          <t>RAGUNDA</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36941-2022</t>
        </is>
      </c>
      <c r="B824" s="1" t="n">
        <v>44805</v>
      </c>
      <c r="C824" s="1" t="n">
        <v>45835</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37324-2022</t>
        </is>
      </c>
      <c r="B825" s="1" t="n">
        <v>44806</v>
      </c>
      <c r="C825" s="1" t="n">
        <v>45835</v>
      </c>
      <c r="D825" t="inlineStr">
        <is>
          <t>JÄMTLANDS LÄN</t>
        </is>
      </c>
      <c r="E825" t="inlineStr">
        <is>
          <t>RAGUNDA</t>
        </is>
      </c>
      <c r="G825" t="n">
        <v>2.3</v>
      </c>
      <c r="H825" t="n">
        <v>0</v>
      </c>
      <c r="I825" t="n">
        <v>0</v>
      </c>
      <c r="J825" t="n">
        <v>0</v>
      </c>
      <c r="K825" t="n">
        <v>0</v>
      </c>
      <c r="L825" t="n">
        <v>0</v>
      </c>
      <c r="M825" t="n">
        <v>0</v>
      </c>
      <c r="N825" t="n">
        <v>0</v>
      </c>
      <c r="O825" t="n">
        <v>0</v>
      </c>
      <c r="P825" t="n">
        <v>0</v>
      </c>
      <c r="Q825" t="n">
        <v>0</v>
      </c>
      <c r="R825" s="2" t="inlineStr"/>
    </row>
    <row r="826" ht="15" customHeight="1">
      <c r="A826" t="inlineStr">
        <is>
          <t>A 38426-2022</t>
        </is>
      </c>
      <c r="B826" s="1" t="n">
        <v>44812</v>
      </c>
      <c r="C826" s="1" t="n">
        <v>45835</v>
      </c>
      <c r="D826" t="inlineStr">
        <is>
          <t>JÄMTLANDS LÄN</t>
        </is>
      </c>
      <c r="E826" t="inlineStr">
        <is>
          <t>RAGUNDA</t>
        </is>
      </c>
      <c r="F826" t="inlineStr">
        <is>
          <t>SCA</t>
        </is>
      </c>
      <c r="G826" t="n">
        <v>11.3</v>
      </c>
      <c r="H826" t="n">
        <v>0</v>
      </c>
      <c r="I826" t="n">
        <v>0</v>
      </c>
      <c r="J826" t="n">
        <v>0</v>
      </c>
      <c r="K826" t="n">
        <v>0</v>
      </c>
      <c r="L826" t="n">
        <v>0</v>
      </c>
      <c r="M826" t="n">
        <v>0</v>
      </c>
      <c r="N826" t="n">
        <v>0</v>
      </c>
      <c r="O826" t="n">
        <v>0</v>
      </c>
      <c r="P826" t="n">
        <v>0</v>
      </c>
      <c r="Q826" t="n">
        <v>0</v>
      </c>
      <c r="R826" s="2" t="inlineStr"/>
    </row>
    <row r="827" ht="15" customHeight="1">
      <c r="A827" t="inlineStr">
        <is>
          <t>A 38425-2022</t>
        </is>
      </c>
      <c r="B827" s="1" t="n">
        <v>44813</v>
      </c>
      <c r="C827" s="1" t="n">
        <v>45835</v>
      </c>
      <c r="D827" t="inlineStr">
        <is>
          <t>JÄMTLANDS LÄN</t>
        </is>
      </c>
      <c r="E827" t="inlineStr">
        <is>
          <t>RAGUNDA</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38683-2022</t>
        </is>
      </c>
      <c r="B828" s="1" t="n">
        <v>44813</v>
      </c>
      <c r="C828" s="1" t="n">
        <v>45835</v>
      </c>
      <c r="D828" t="inlineStr">
        <is>
          <t>JÄMTLANDS LÄN</t>
        </is>
      </c>
      <c r="E828" t="inlineStr">
        <is>
          <t>RAGUNDA</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38664-2022</t>
        </is>
      </c>
      <c r="B829" s="1" t="n">
        <v>44813</v>
      </c>
      <c r="C829" s="1" t="n">
        <v>45835</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38733-2022</t>
        </is>
      </c>
      <c r="B830" s="1" t="n">
        <v>44815</v>
      </c>
      <c r="C830" s="1" t="n">
        <v>45835</v>
      </c>
      <c r="D830" t="inlineStr">
        <is>
          <t>JÄMTLANDS LÄN</t>
        </is>
      </c>
      <c r="E830" t="inlineStr">
        <is>
          <t>RAGUNDA</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39003-2022</t>
        </is>
      </c>
      <c r="B831" s="1" t="n">
        <v>44817</v>
      </c>
      <c r="C831" s="1" t="n">
        <v>45835</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39011-2022</t>
        </is>
      </c>
      <c r="B832" s="1" t="n">
        <v>44816</v>
      </c>
      <c r="C832" s="1" t="n">
        <v>45835</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39004-2022</t>
        </is>
      </c>
      <c r="B833" s="1" t="n">
        <v>44816</v>
      </c>
      <c r="C833" s="1" t="n">
        <v>45835</v>
      </c>
      <c r="D833" t="inlineStr">
        <is>
          <t>JÄMTLANDS LÄN</t>
        </is>
      </c>
      <c r="E833" t="inlineStr">
        <is>
          <t>RAGUNDA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39402-2022</t>
        </is>
      </c>
      <c r="B834" s="1" t="n">
        <v>44818</v>
      </c>
      <c r="C834" s="1" t="n">
        <v>45835</v>
      </c>
      <c r="D834" t="inlineStr">
        <is>
          <t>JÄMTLANDS LÄN</t>
        </is>
      </c>
      <c r="E834" t="inlineStr">
        <is>
          <t>RAGUNDA</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39408-2022</t>
        </is>
      </c>
      <c r="B835" s="1" t="n">
        <v>44817</v>
      </c>
      <c r="C835" s="1" t="n">
        <v>45835</v>
      </c>
      <c r="D835" t="inlineStr">
        <is>
          <t>JÄMTLANDS LÄN</t>
        </is>
      </c>
      <c r="E835" t="inlineStr">
        <is>
          <t>RAGUNDA</t>
        </is>
      </c>
      <c r="F835" t="inlineStr">
        <is>
          <t>SCA</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39693-2022</t>
        </is>
      </c>
      <c r="B836" s="1" t="n">
        <v>44819</v>
      </c>
      <c r="C836" s="1" t="n">
        <v>45835</v>
      </c>
      <c r="D836" t="inlineStr">
        <is>
          <t>JÄMTLANDS LÄN</t>
        </is>
      </c>
      <c r="E836" t="inlineStr">
        <is>
          <t>RAGUNDA</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40200-2022</t>
        </is>
      </c>
      <c r="B837" s="1" t="n">
        <v>44818</v>
      </c>
      <c r="C837" s="1" t="n">
        <v>45835</v>
      </c>
      <c r="D837" t="inlineStr">
        <is>
          <t>JÄMTLANDS LÄN</t>
        </is>
      </c>
      <c r="E837" t="inlineStr">
        <is>
          <t>RAGUNDA</t>
        </is>
      </c>
      <c r="G837" t="n">
        <v>1.8</v>
      </c>
      <c r="H837" t="n">
        <v>0</v>
      </c>
      <c r="I837" t="n">
        <v>0</v>
      </c>
      <c r="J837" t="n">
        <v>0</v>
      </c>
      <c r="K837" t="n">
        <v>0</v>
      </c>
      <c r="L837" t="n">
        <v>0</v>
      </c>
      <c r="M837" t="n">
        <v>0</v>
      </c>
      <c r="N837" t="n">
        <v>0</v>
      </c>
      <c r="O837" t="n">
        <v>0</v>
      </c>
      <c r="P837" t="n">
        <v>0</v>
      </c>
      <c r="Q837" t="n">
        <v>0</v>
      </c>
      <c r="R837" s="2" t="inlineStr"/>
    </row>
    <row r="838" ht="15" customHeight="1">
      <c r="A838" t="inlineStr">
        <is>
          <t>A 39698-2022</t>
        </is>
      </c>
      <c r="B838" s="1" t="n">
        <v>44818</v>
      </c>
      <c r="C838" s="1" t="n">
        <v>45835</v>
      </c>
      <c r="D838" t="inlineStr">
        <is>
          <t>JÄMTLANDS LÄN</t>
        </is>
      </c>
      <c r="E838" t="inlineStr">
        <is>
          <t>RAGUNDA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40265-2022</t>
        </is>
      </c>
      <c r="B839" s="1" t="n">
        <v>44821</v>
      </c>
      <c r="C839" s="1" t="n">
        <v>45835</v>
      </c>
      <c r="D839" t="inlineStr">
        <is>
          <t>JÄMTLANDS LÄN</t>
        </is>
      </c>
      <c r="E839" t="inlineStr">
        <is>
          <t>RAGUNDA</t>
        </is>
      </c>
      <c r="G839" t="n">
        <v>3.7</v>
      </c>
      <c r="H839" t="n">
        <v>0</v>
      </c>
      <c r="I839" t="n">
        <v>0</v>
      </c>
      <c r="J839" t="n">
        <v>0</v>
      </c>
      <c r="K839" t="n">
        <v>0</v>
      </c>
      <c r="L839" t="n">
        <v>0</v>
      </c>
      <c r="M839" t="n">
        <v>0</v>
      </c>
      <c r="N839" t="n">
        <v>0</v>
      </c>
      <c r="O839" t="n">
        <v>0</v>
      </c>
      <c r="P839" t="n">
        <v>0</v>
      </c>
      <c r="Q839" t="n">
        <v>0</v>
      </c>
      <c r="R839" s="2" t="inlineStr"/>
    </row>
    <row r="840" ht="15" customHeight="1">
      <c r="A840" t="inlineStr">
        <is>
          <t>A 40269-2022</t>
        </is>
      </c>
      <c r="B840" s="1" t="n">
        <v>44820</v>
      </c>
      <c r="C840" s="1" t="n">
        <v>45835</v>
      </c>
      <c r="D840" t="inlineStr">
        <is>
          <t>JÄMTLANDS LÄN</t>
        </is>
      </c>
      <c r="E840" t="inlineStr">
        <is>
          <t>RAGUNDA</t>
        </is>
      </c>
      <c r="F840" t="inlineStr">
        <is>
          <t>SCA</t>
        </is>
      </c>
      <c r="G840" t="n">
        <v>77.8</v>
      </c>
      <c r="H840" t="n">
        <v>0</v>
      </c>
      <c r="I840" t="n">
        <v>0</v>
      </c>
      <c r="J840" t="n">
        <v>0</v>
      </c>
      <c r="K840" t="n">
        <v>0</v>
      </c>
      <c r="L840" t="n">
        <v>0</v>
      </c>
      <c r="M840" t="n">
        <v>0</v>
      </c>
      <c r="N840" t="n">
        <v>0</v>
      </c>
      <c r="O840" t="n">
        <v>0</v>
      </c>
      <c r="P840" t="n">
        <v>0</v>
      </c>
      <c r="Q840" t="n">
        <v>0</v>
      </c>
      <c r="R840" s="2" t="inlineStr"/>
    </row>
    <row r="841" ht="15" customHeight="1">
      <c r="A841" t="inlineStr">
        <is>
          <t>A 40267-2022</t>
        </is>
      </c>
      <c r="B841" s="1" t="n">
        <v>44820</v>
      </c>
      <c r="C841" s="1" t="n">
        <v>45835</v>
      </c>
      <c r="D841" t="inlineStr">
        <is>
          <t>JÄMTLANDS LÄN</t>
        </is>
      </c>
      <c r="E841" t="inlineStr">
        <is>
          <t>RAGUNDA</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40266-2022</t>
        </is>
      </c>
      <c r="B842" s="1" t="n">
        <v>44820</v>
      </c>
      <c r="C842" s="1" t="n">
        <v>45835</v>
      </c>
      <c r="D842" t="inlineStr">
        <is>
          <t>JÄMTLANDS LÄN</t>
        </is>
      </c>
      <c r="E842" t="inlineStr">
        <is>
          <t>RAGUNDA</t>
        </is>
      </c>
      <c r="F842" t="inlineStr">
        <is>
          <t>SCA</t>
        </is>
      </c>
      <c r="G842" t="n">
        <v>9</v>
      </c>
      <c r="H842" t="n">
        <v>0</v>
      </c>
      <c r="I842" t="n">
        <v>0</v>
      </c>
      <c r="J842" t="n">
        <v>0</v>
      </c>
      <c r="K842" t="n">
        <v>0</v>
      </c>
      <c r="L842" t="n">
        <v>0</v>
      </c>
      <c r="M842" t="n">
        <v>0</v>
      </c>
      <c r="N842" t="n">
        <v>0</v>
      </c>
      <c r="O842" t="n">
        <v>0</v>
      </c>
      <c r="P842" t="n">
        <v>0</v>
      </c>
      <c r="Q842" t="n">
        <v>0</v>
      </c>
      <c r="R842" s="2" t="inlineStr"/>
    </row>
    <row r="843" ht="15" customHeight="1">
      <c r="A843" t="inlineStr">
        <is>
          <t>A 40951-2022</t>
        </is>
      </c>
      <c r="B843" s="1" t="n">
        <v>44820</v>
      </c>
      <c r="C843" s="1" t="n">
        <v>45835</v>
      </c>
      <c r="D843" t="inlineStr">
        <is>
          <t>JÄMTLANDS LÄN</t>
        </is>
      </c>
      <c r="E843" t="inlineStr">
        <is>
          <t>RAGUNDA</t>
        </is>
      </c>
      <c r="G843" t="n">
        <v>3</v>
      </c>
      <c r="H843" t="n">
        <v>0</v>
      </c>
      <c r="I843" t="n">
        <v>0</v>
      </c>
      <c r="J843" t="n">
        <v>0</v>
      </c>
      <c r="K843" t="n">
        <v>0</v>
      </c>
      <c r="L843" t="n">
        <v>0</v>
      </c>
      <c r="M843" t="n">
        <v>0</v>
      </c>
      <c r="N843" t="n">
        <v>0</v>
      </c>
      <c r="O843" t="n">
        <v>0</v>
      </c>
      <c r="P843" t="n">
        <v>0</v>
      </c>
      <c r="Q843" t="n">
        <v>0</v>
      </c>
      <c r="R843" s="2" t="inlineStr"/>
    </row>
    <row r="844" ht="15" customHeight="1">
      <c r="A844" t="inlineStr">
        <is>
          <t>A 40436-2022</t>
        </is>
      </c>
      <c r="B844" s="1" t="n">
        <v>44823</v>
      </c>
      <c r="C844" s="1" t="n">
        <v>45835</v>
      </c>
      <c r="D844" t="inlineStr">
        <is>
          <t>JÄMTLANDS LÄN</t>
        </is>
      </c>
      <c r="E844" t="inlineStr">
        <is>
          <t>RAGUNDA</t>
        </is>
      </c>
      <c r="G844" t="n">
        <v>3</v>
      </c>
      <c r="H844" t="n">
        <v>0</v>
      </c>
      <c r="I844" t="n">
        <v>0</v>
      </c>
      <c r="J844" t="n">
        <v>0</v>
      </c>
      <c r="K844" t="n">
        <v>0</v>
      </c>
      <c r="L844" t="n">
        <v>0</v>
      </c>
      <c r="M844" t="n">
        <v>0</v>
      </c>
      <c r="N844" t="n">
        <v>0</v>
      </c>
      <c r="O844" t="n">
        <v>0</v>
      </c>
      <c r="P844" t="n">
        <v>0</v>
      </c>
      <c r="Q844" t="n">
        <v>0</v>
      </c>
      <c r="R844" s="2" t="inlineStr"/>
    </row>
    <row r="845" ht="15" customHeight="1">
      <c r="A845" t="inlineStr">
        <is>
          <t>A 40612-2022</t>
        </is>
      </c>
      <c r="B845" s="1" t="n">
        <v>44824</v>
      </c>
      <c r="C845" s="1" t="n">
        <v>45835</v>
      </c>
      <c r="D845" t="inlineStr">
        <is>
          <t>JÄMTLANDS LÄN</t>
        </is>
      </c>
      <c r="E845" t="inlineStr">
        <is>
          <t>RAGUNDA</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40978-2022</t>
        </is>
      </c>
      <c r="B846" s="1" t="n">
        <v>44823</v>
      </c>
      <c r="C846" s="1" t="n">
        <v>45835</v>
      </c>
      <c r="D846" t="inlineStr">
        <is>
          <t>JÄMTLANDS LÄN</t>
        </is>
      </c>
      <c r="E846" t="inlineStr">
        <is>
          <t>RAGUNDA</t>
        </is>
      </c>
      <c r="G846" t="n">
        <v>1.5</v>
      </c>
      <c r="H846" t="n">
        <v>0</v>
      </c>
      <c r="I846" t="n">
        <v>0</v>
      </c>
      <c r="J846" t="n">
        <v>0</v>
      </c>
      <c r="K846" t="n">
        <v>0</v>
      </c>
      <c r="L846" t="n">
        <v>0</v>
      </c>
      <c r="M846" t="n">
        <v>0</v>
      </c>
      <c r="N846" t="n">
        <v>0</v>
      </c>
      <c r="O846" t="n">
        <v>0</v>
      </c>
      <c r="P846" t="n">
        <v>0</v>
      </c>
      <c r="Q846" t="n">
        <v>0</v>
      </c>
      <c r="R846" s="2" t="inlineStr"/>
    </row>
    <row r="847" ht="15" customHeight="1">
      <c r="A847" t="inlineStr">
        <is>
          <t>A 40829-2022</t>
        </is>
      </c>
      <c r="B847" s="1" t="n">
        <v>44825</v>
      </c>
      <c r="C847" s="1" t="n">
        <v>45835</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41180-2022</t>
        </is>
      </c>
      <c r="B848" s="1" t="n">
        <v>44825</v>
      </c>
      <c r="C848" s="1" t="n">
        <v>45835</v>
      </c>
      <c r="D848" t="inlineStr">
        <is>
          <t>JÄMTLANDS LÄN</t>
        </is>
      </c>
      <c r="E848" t="inlineStr">
        <is>
          <t>RAGUNDA</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41179-2022</t>
        </is>
      </c>
      <c r="B849" s="1" t="n">
        <v>44825</v>
      </c>
      <c r="C849" s="1" t="n">
        <v>45835</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42267-2022</t>
        </is>
      </c>
      <c r="B850" s="1" t="n">
        <v>44830</v>
      </c>
      <c r="C850" s="1" t="n">
        <v>45835</v>
      </c>
      <c r="D850" t="inlineStr">
        <is>
          <t>JÄMTLANDS LÄN</t>
        </is>
      </c>
      <c r="E850" t="inlineStr">
        <is>
          <t>RAGUNDA</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42266-2022</t>
        </is>
      </c>
      <c r="B851" s="1" t="n">
        <v>44831</v>
      </c>
      <c r="C851" s="1" t="n">
        <v>45835</v>
      </c>
      <c r="D851" t="inlineStr">
        <is>
          <t>JÄMTLANDS LÄN</t>
        </is>
      </c>
      <c r="E851" t="inlineStr">
        <is>
          <t>RAGUNDA</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42652-2022</t>
        </is>
      </c>
      <c r="B852" s="1" t="n">
        <v>44832</v>
      </c>
      <c r="C852" s="1" t="n">
        <v>45835</v>
      </c>
      <c r="D852" t="inlineStr">
        <is>
          <t>JÄMTLANDS LÄN</t>
        </is>
      </c>
      <c r="E852" t="inlineStr">
        <is>
          <t>RAGUNDA</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42644-2022</t>
        </is>
      </c>
      <c r="B853" s="1" t="n">
        <v>44831</v>
      </c>
      <c r="C853" s="1" t="n">
        <v>45835</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42655-2022</t>
        </is>
      </c>
      <c r="B854" s="1" t="n">
        <v>44831</v>
      </c>
      <c r="C854" s="1" t="n">
        <v>45835</v>
      </c>
      <c r="D854" t="inlineStr">
        <is>
          <t>JÄMTLANDS LÄN</t>
        </is>
      </c>
      <c r="E854" t="inlineStr">
        <is>
          <t>RAGUNDA</t>
        </is>
      </c>
      <c r="F854" t="inlineStr">
        <is>
          <t>Naturvårdsverket</t>
        </is>
      </c>
      <c r="G854" t="n">
        <v>2</v>
      </c>
      <c r="H854" t="n">
        <v>0</v>
      </c>
      <c r="I854" t="n">
        <v>0</v>
      </c>
      <c r="J854" t="n">
        <v>0</v>
      </c>
      <c r="K854" t="n">
        <v>0</v>
      </c>
      <c r="L854" t="n">
        <v>0</v>
      </c>
      <c r="M854" t="n">
        <v>0</v>
      </c>
      <c r="N854" t="n">
        <v>0</v>
      </c>
      <c r="O854" t="n">
        <v>0</v>
      </c>
      <c r="P854" t="n">
        <v>0</v>
      </c>
      <c r="Q854" t="n">
        <v>0</v>
      </c>
      <c r="R854" s="2" t="inlineStr"/>
    </row>
    <row r="855" ht="15" customHeight="1">
      <c r="A855" t="inlineStr">
        <is>
          <t>A 42653-2022</t>
        </is>
      </c>
      <c r="B855" s="1" t="n">
        <v>44832</v>
      </c>
      <c r="C855" s="1" t="n">
        <v>45835</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42882-2022</t>
        </is>
      </c>
      <c r="B856" s="1" t="n">
        <v>44833</v>
      </c>
      <c r="C856" s="1" t="n">
        <v>45835</v>
      </c>
      <c r="D856" t="inlineStr">
        <is>
          <t>JÄMTLANDS LÄN</t>
        </is>
      </c>
      <c r="E856" t="inlineStr">
        <is>
          <t>RAGUNDA</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42892-2022</t>
        </is>
      </c>
      <c r="B857" s="1" t="n">
        <v>44832</v>
      </c>
      <c r="C857" s="1" t="n">
        <v>45835</v>
      </c>
      <c r="D857" t="inlineStr">
        <is>
          <t>JÄMTLANDS LÄN</t>
        </is>
      </c>
      <c r="E857" t="inlineStr">
        <is>
          <t>RAGUNDA</t>
        </is>
      </c>
      <c r="F857" t="inlineStr">
        <is>
          <t>SCA</t>
        </is>
      </c>
      <c r="G857" t="n">
        <v>84</v>
      </c>
      <c r="H857" t="n">
        <v>0</v>
      </c>
      <c r="I857" t="n">
        <v>0</v>
      </c>
      <c r="J857" t="n">
        <v>0</v>
      </c>
      <c r="K857" t="n">
        <v>0</v>
      </c>
      <c r="L857" t="n">
        <v>0</v>
      </c>
      <c r="M857" t="n">
        <v>0</v>
      </c>
      <c r="N857" t="n">
        <v>0</v>
      </c>
      <c r="O857" t="n">
        <v>0</v>
      </c>
      <c r="P857" t="n">
        <v>0</v>
      </c>
      <c r="Q857" t="n">
        <v>0</v>
      </c>
      <c r="R857" s="2" t="inlineStr"/>
    </row>
    <row r="858" ht="15" customHeight="1">
      <c r="A858" t="inlineStr">
        <is>
          <t>A 42893-2022</t>
        </is>
      </c>
      <c r="B858" s="1" t="n">
        <v>44832</v>
      </c>
      <c r="C858" s="1" t="n">
        <v>45835</v>
      </c>
      <c r="D858" t="inlineStr">
        <is>
          <t>JÄMTLANDS LÄN</t>
        </is>
      </c>
      <c r="E858" t="inlineStr">
        <is>
          <t>RAGUNDA</t>
        </is>
      </c>
      <c r="F858" t="inlineStr">
        <is>
          <t>SCA</t>
        </is>
      </c>
      <c r="G858" t="n">
        <v>28.4</v>
      </c>
      <c r="H858" t="n">
        <v>0</v>
      </c>
      <c r="I858" t="n">
        <v>0</v>
      </c>
      <c r="J858" t="n">
        <v>0</v>
      </c>
      <c r="K858" t="n">
        <v>0</v>
      </c>
      <c r="L858" t="n">
        <v>0</v>
      </c>
      <c r="M858" t="n">
        <v>0</v>
      </c>
      <c r="N858" t="n">
        <v>0</v>
      </c>
      <c r="O858" t="n">
        <v>0</v>
      </c>
      <c r="P858" t="n">
        <v>0</v>
      </c>
      <c r="Q858" t="n">
        <v>0</v>
      </c>
      <c r="R858" s="2" t="inlineStr"/>
    </row>
    <row r="859" ht="15" customHeight="1">
      <c r="A859" t="inlineStr">
        <is>
          <t>A 42900-2022</t>
        </is>
      </c>
      <c r="B859" s="1" t="n">
        <v>44833</v>
      </c>
      <c r="C859" s="1" t="n">
        <v>45835</v>
      </c>
      <c r="D859" t="inlineStr">
        <is>
          <t>JÄMTLANDS LÄN</t>
        </is>
      </c>
      <c r="E859" t="inlineStr">
        <is>
          <t>RAGUNDA</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42901-2022</t>
        </is>
      </c>
      <c r="B860" s="1" t="n">
        <v>44832</v>
      </c>
      <c r="C860" s="1" t="n">
        <v>45835</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43147-2022</t>
        </is>
      </c>
      <c r="B861" s="1" t="n">
        <v>44834</v>
      </c>
      <c r="C861" s="1" t="n">
        <v>45835</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43163-2022</t>
        </is>
      </c>
      <c r="B862" s="1" t="n">
        <v>44834</v>
      </c>
      <c r="C862" s="1" t="n">
        <v>45835</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43478-2022</t>
        </is>
      </c>
      <c r="B863" s="1" t="n">
        <v>44837</v>
      </c>
      <c r="C863" s="1" t="n">
        <v>45835</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43793-2022</t>
        </is>
      </c>
      <c r="B864" s="1" t="n">
        <v>44837</v>
      </c>
      <c r="C864" s="1" t="n">
        <v>45835</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43794-2022</t>
        </is>
      </c>
      <c r="B865" s="1" t="n">
        <v>44837</v>
      </c>
      <c r="C865" s="1" t="n">
        <v>45835</v>
      </c>
      <c r="D865" t="inlineStr">
        <is>
          <t>JÄMTLANDS LÄN</t>
        </is>
      </c>
      <c r="E865" t="inlineStr">
        <is>
          <t>RAGUNDA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44050-2022</t>
        </is>
      </c>
      <c r="B866" s="1" t="n">
        <v>44838</v>
      </c>
      <c r="C866" s="1" t="n">
        <v>45835</v>
      </c>
      <c r="D866" t="inlineStr">
        <is>
          <t>JÄMTLANDS LÄN</t>
        </is>
      </c>
      <c r="E866" t="inlineStr">
        <is>
          <t>RAGUNDA</t>
        </is>
      </c>
      <c r="F866" t="inlineStr">
        <is>
          <t>SCA</t>
        </is>
      </c>
      <c r="G866" t="n">
        <v>9.6</v>
      </c>
      <c r="H866" t="n">
        <v>0</v>
      </c>
      <c r="I866" t="n">
        <v>0</v>
      </c>
      <c r="J866" t="n">
        <v>0</v>
      </c>
      <c r="K866" t="n">
        <v>0</v>
      </c>
      <c r="L866" t="n">
        <v>0</v>
      </c>
      <c r="M866" t="n">
        <v>0</v>
      </c>
      <c r="N866" t="n">
        <v>0</v>
      </c>
      <c r="O866" t="n">
        <v>0</v>
      </c>
      <c r="P866" t="n">
        <v>0</v>
      </c>
      <c r="Q866" t="n">
        <v>0</v>
      </c>
      <c r="R866" s="2" t="inlineStr"/>
    </row>
    <row r="867" ht="15" customHeight="1">
      <c r="A867" t="inlineStr">
        <is>
          <t>A 44536-2022</t>
        </is>
      </c>
      <c r="B867" s="1" t="n">
        <v>44839</v>
      </c>
      <c r="C867" s="1" t="n">
        <v>45835</v>
      </c>
      <c r="D867" t="inlineStr">
        <is>
          <t>JÄMTLANDS LÄN</t>
        </is>
      </c>
      <c r="E867" t="inlineStr">
        <is>
          <t>RAGUNDA</t>
        </is>
      </c>
      <c r="G867" t="n">
        <v>4</v>
      </c>
      <c r="H867" t="n">
        <v>0</v>
      </c>
      <c r="I867" t="n">
        <v>0</v>
      </c>
      <c r="J867" t="n">
        <v>0</v>
      </c>
      <c r="K867" t="n">
        <v>0</v>
      </c>
      <c r="L867" t="n">
        <v>0</v>
      </c>
      <c r="M867" t="n">
        <v>0</v>
      </c>
      <c r="N867" t="n">
        <v>0</v>
      </c>
      <c r="O867" t="n">
        <v>0</v>
      </c>
      <c r="P867" t="n">
        <v>0</v>
      </c>
      <c r="Q867" t="n">
        <v>0</v>
      </c>
      <c r="R867" s="2" t="inlineStr"/>
    </row>
    <row r="868" ht="15" customHeight="1">
      <c r="A868" t="inlineStr">
        <is>
          <t>A 44600-2022</t>
        </is>
      </c>
      <c r="B868" s="1" t="n">
        <v>44839</v>
      </c>
      <c r="C868" s="1" t="n">
        <v>45835</v>
      </c>
      <c r="D868" t="inlineStr">
        <is>
          <t>JÄMTLANDS LÄN</t>
        </is>
      </c>
      <c r="E868" t="inlineStr">
        <is>
          <t>RAGUNDA</t>
        </is>
      </c>
      <c r="G868" t="n">
        <v>1.6</v>
      </c>
      <c r="H868" t="n">
        <v>0</v>
      </c>
      <c r="I868" t="n">
        <v>0</v>
      </c>
      <c r="J868" t="n">
        <v>0</v>
      </c>
      <c r="K868" t="n">
        <v>0</v>
      </c>
      <c r="L868" t="n">
        <v>0</v>
      </c>
      <c r="M868" t="n">
        <v>0</v>
      </c>
      <c r="N868" t="n">
        <v>0</v>
      </c>
      <c r="O868" t="n">
        <v>0</v>
      </c>
      <c r="P868" t="n">
        <v>0</v>
      </c>
      <c r="Q868" t="n">
        <v>0</v>
      </c>
      <c r="R868" s="2" t="inlineStr"/>
    </row>
    <row r="869" ht="15" customHeight="1">
      <c r="A869" t="inlineStr">
        <is>
          <t>A 44767-2022</t>
        </is>
      </c>
      <c r="B869" s="1" t="n">
        <v>44840</v>
      </c>
      <c r="C869" s="1" t="n">
        <v>45835</v>
      </c>
      <c r="D869" t="inlineStr">
        <is>
          <t>JÄMTLANDS LÄN</t>
        </is>
      </c>
      <c r="E869" t="inlineStr">
        <is>
          <t>RAGUNDA</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44766-2022</t>
        </is>
      </c>
      <c r="B870" s="1" t="n">
        <v>44841</v>
      </c>
      <c r="C870" s="1" t="n">
        <v>45835</v>
      </c>
      <c r="D870" t="inlineStr">
        <is>
          <t>JÄMTLANDS LÄN</t>
        </is>
      </c>
      <c r="E870" t="inlineStr">
        <is>
          <t>RAGUNDA</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45437-2022</t>
        </is>
      </c>
      <c r="B871" s="1" t="n">
        <v>44844</v>
      </c>
      <c r="C871" s="1" t="n">
        <v>45835</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45438-2022</t>
        </is>
      </c>
      <c r="B872" s="1" t="n">
        <v>44845</v>
      </c>
      <c r="C872" s="1" t="n">
        <v>45835</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45708-2022</t>
        </is>
      </c>
      <c r="B873" s="1" t="n">
        <v>44846</v>
      </c>
      <c r="C873" s="1" t="n">
        <v>45835</v>
      </c>
      <c r="D873" t="inlineStr">
        <is>
          <t>JÄMTLANDS LÄN</t>
        </is>
      </c>
      <c r="E873" t="inlineStr">
        <is>
          <t>RAGUNDA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45712-2022</t>
        </is>
      </c>
      <c r="B874" s="1" t="n">
        <v>44845</v>
      </c>
      <c r="C874" s="1" t="n">
        <v>45835</v>
      </c>
      <c r="D874" t="inlineStr">
        <is>
          <t>JÄMTLANDS LÄN</t>
        </is>
      </c>
      <c r="E874" t="inlineStr">
        <is>
          <t>RAGUNDA</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45710-2022</t>
        </is>
      </c>
      <c r="B875" s="1" t="n">
        <v>44845</v>
      </c>
      <c r="C875" s="1" t="n">
        <v>45835</v>
      </c>
      <c r="D875" t="inlineStr">
        <is>
          <t>JÄMTLANDS LÄN</t>
        </is>
      </c>
      <c r="E875" t="inlineStr">
        <is>
          <t>RAGUNDA</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45718-2022</t>
        </is>
      </c>
      <c r="B876" s="1" t="n">
        <v>44845</v>
      </c>
      <c r="C876" s="1" t="n">
        <v>45835</v>
      </c>
      <c r="D876" t="inlineStr">
        <is>
          <t>JÄMTLANDS LÄN</t>
        </is>
      </c>
      <c r="E876" t="inlineStr">
        <is>
          <t>RAGUNDA</t>
        </is>
      </c>
      <c r="F876" t="inlineStr">
        <is>
          <t>SCA</t>
        </is>
      </c>
      <c r="G876" t="n">
        <v>19.3</v>
      </c>
      <c r="H876" t="n">
        <v>0</v>
      </c>
      <c r="I876" t="n">
        <v>0</v>
      </c>
      <c r="J876" t="n">
        <v>0</v>
      </c>
      <c r="K876" t="n">
        <v>0</v>
      </c>
      <c r="L876" t="n">
        <v>0</v>
      </c>
      <c r="M876" t="n">
        <v>0</v>
      </c>
      <c r="N876" t="n">
        <v>0</v>
      </c>
      <c r="O876" t="n">
        <v>0</v>
      </c>
      <c r="P876" t="n">
        <v>0</v>
      </c>
      <c r="Q876" t="n">
        <v>0</v>
      </c>
      <c r="R876" s="2" t="inlineStr"/>
    </row>
    <row r="877" ht="15" customHeight="1">
      <c r="A877" t="inlineStr">
        <is>
          <t>A 45715-2022</t>
        </is>
      </c>
      <c r="B877" s="1" t="n">
        <v>44845</v>
      </c>
      <c r="C877" s="1" t="n">
        <v>45835</v>
      </c>
      <c r="D877" t="inlineStr">
        <is>
          <t>JÄMTLANDS LÄN</t>
        </is>
      </c>
      <c r="E877" t="inlineStr">
        <is>
          <t>RAGUNDA</t>
        </is>
      </c>
      <c r="F877" t="inlineStr">
        <is>
          <t>SCA</t>
        </is>
      </c>
      <c r="G877" t="n">
        <v>8.6</v>
      </c>
      <c r="H877" t="n">
        <v>0</v>
      </c>
      <c r="I877" t="n">
        <v>0</v>
      </c>
      <c r="J877" t="n">
        <v>0</v>
      </c>
      <c r="K877" t="n">
        <v>0</v>
      </c>
      <c r="L877" t="n">
        <v>0</v>
      </c>
      <c r="M877" t="n">
        <v>0</v>
      </c>
      <c r="N877" t="n">
        <v>0</v>
      </c>
      <c r="O877" t="n">
        <v>0</v>
      </c>
      <c r="P877" t="n">
        <v>0</v>
      </c>
      <c r="Q877" t="n">
        <v>0</v>
      </c>
      <c r="R877" s="2" t="inlineStr"/>
    </row>
    <row r="878" ht="15" customHeight="1">
      <c r="A878" t="inlineStr">
        <is>
          <t>A 46047-2022</t>
        </is>
      </c>
      <c r="B878" s="1" t="n">
        <v>44847</v>
      </c>
      <c r="C878" s="1" t="n">
        <v>45835</v>
      </c>
      <c r="D878" t="inlineStr">
        <is>
          <t>JÄMTLANDS LÄN</t>
        </is>
      </c>
      <c r="E878" t="inlineStr">
        <is>
          <t>RAGUNDA</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46040-2022</t>
        </is>
      </c>
      <c r="B879" s="1" t="n">
        <v>44847</v>
      </c>
      <c r="C879" s="1" t="n">
        <v>45835</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46050-2022</t>
        </is>
      </c>
      <c r="B880" s="1" t="n">
        <v>44846</v>
      </c>
      <c r="C880" s="1" t="n">
        <v>45835</v>
      </c>
      <c r="D880" t="inlineStr">
        <is>
          <t>JÄMTLANDS LÄN</t>
        </is>
      </c>
      <c r="E880" t="inlineStr">
        <is>
          <t>RAGUNDA</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46049-2022</t>
        </is>
      </c>
      <c r="B881" s="1" t="n">
        <v>44847</v>
      </c>
      <c r="C881" s="1" t="n">
        <v>45835</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46048-2022</t>
        </is>
      </c>
      <c r="B882" s="1" t="n">
        <v>44846</v>
      </c>
      <c r="C882" s="1" t="n">
        <v>45835</v>
      </c>
      <c r="D882" t="inlineStr">
        <is>
          <t>JÄMTLANDS LÄN</t>
        </is>
      </c>
      <c r="E882" t="inlineStr">
        <is>
          <t>RAGUNDA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46991-2022</t>
        </is>
      </c>
      <c r="B883" s="1" t="n">
        <v>44852</v>
      </c>
      <c r="C883" s="1" t="n">
        <v>45835</v>
      </c>
      <c r="D883" t="inlineStr">
        <is>
          <t>JÄMTLANDS LÄN</t>
        </is>
      </c>
      <c r="E883" t="inlineStr">
        <is>
          <t>RAGUNDA</t>
        </is>
      </c>
      <c r="F883" t="inlineStr">
        <is>
          <t>SCA</t>
        </is>
      </c>
      <c r="G883" t="n">
        <v>17.3</v>
      </c>
      <c r="H883" t="n">
        <v>0</v>
      </c>
      <c r="I883" t="n">
        <v>0</v>
      </c>
      <c r="J883" t="n">
        <v>0</v>
      </c>
      <c r="K883" t="n">
        <v>0</v>
      </c>
      <c r="L883" t="n">
        <v>0</v>
      </c>
      <c r="M883" t="n">
        <v>0</v>
      </c>
      <c r="N883" t="n">
        <v>0</v>
      </c>
      <c r="O883" t="n">
        <v>0</v>
      </c>
      <c r="P883" t="n">
        <v>0</v>
      </c>
      <c r="Q883" t="n">
        <v>0</v>
      </c>
      <c r="R883" s="2" t="inlineStr"/>
    </row>
    <row r="884" ht="15" customHeight="1">
      <c r="A884" t="inlineStr">
        <is>
          <t>A 46992-2022</t>
        </is>
      </c>
      <c r="B884" s="1" t="n">
        <v>44852</v>
      </c>
      <c r="C884" s="1" t="n">
        <v>45835</v>
      </c>
      <c r="D884" t="inlineStr">
        <is>
          <t>JÄMTLANDS LÄN</t>
        </is>
      </c>
      <c r="E884" t="inlineStr">
        <is>
          <t>RAGUNDA</t>
        </is>
      </c>
      <c r="F884" t="inlineStr">
        <is>
          <t>SCA</t>
        </is>
      </c>
      <c r="G884" t="n">
        <v>26.4</v>
      </c>
      <c r="H884" t="n">
        <v>0</v>
      </c>
      <c r="I884" t="n">
        <v>0</v>
      </c>
      <c r="J884" t="n">
        <v>0</v>
      </c>
      <c r="K884" t="n">
        <v>0</v>
      </c>
      <c r="L884" t="n">
        <v>0</v>
      </c>
      <c r="M884" t="n">
        <v>0</v>
      </c>
      <c r="N884" t="n">
        <v>0</v>
      </c>
      <c r="O884" t="n">
        <v>0</v>
      </c>
      <c r="P884" t="n">
        <v>0</v>
      </c>
      <c r="Q884" t="n">
        <v>0</v>
      </c>
      <c r="R884" s="2" t="inlineStr"/>
    </row>
    <row r="885" ht="15" customHeight="1">
      <c r="A885" t="inlineStr">
        <is>
          <t>A 47262-2022</t>
        </is>
      </c>
      <c r="B885" s="1" t="n">
        <v>44852</v>
      </c>
      <c r="C885" s="1" t="n">
        <v>45835</v>
      </c>
      <c r="D885" t="inlineStr">
        <is>
          <t>JÄMTLANDS LÄN</t>
        </is>
      </c>
      <c r="E885" t="inlineStr">
        <is>
          <t>RAGUNDA</t>
        </is>
      </c>
      <c r="F885" t="inlineStr">
        <is>
          <t>SCA</t>
        </is>
      </c>
      <c r="G885" t="n">
        <v>8.1</v>
      </c>
      <c r="H885" t="n">
        <v>0</v>
      </c>
      <c r="I885" t="n">
        <v>0</v>
      </c>
      <c r="J885" t="n">
        <v>0</v>
      </c>
      <c r="K885" t="n">
        <v>0</v>
      </c>
      <c r="L885" t="n">
        <v>0</v>
      </c>
      <c r="M885" t="n">
        <v>0</v>
      </c>
      <c r="N885" t="n">
        <v>0</v>
      </c>
      <c r="O885" t="n">
        <v>0</v>
      </c>
      <c r="P885" t="n">
        <v>0</v>
      </c>
      <c r="Q885" t="n">
        <v>0</v>
      </c>
      <c r="R885" s="2" t="inlineStr"/>
    </row>
    <row r="886" ht="15" customHeight="1">
      <c r="A886" t="inlineStr">
        <is>
          <t>A 47280-2022</t>
        </is>
      </c>
      <c r="B886" s="1" t="n">
        <v>44852</v>
      </c>
      <c r="C886" s="1" t="n">
        <v>45835</v>
      </c>
      <c r="D886" t="inlineStr">
        <is>
          <t>JÄMTLANDS LÄN</t>
        </is>
      </c>
      <c r="E886" t="inlineStr">
        <is>
          <t>RAGUNDA</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47278-2022</t>
        </is>
      </c>
      <c r="B887" s="1" t="n">
        <v>44852</v>
      </c>
      <c r="C887" s="1" t="n">
        <v>45835</v>
      </c>
      <c r="D887" t="inlineStr">
        <is>
          <t>JÄMTLANDS LÄN</t>
        </is>
      </c>
      <c r="E887" t="inlineStr">
        <is>
          <t>RAGUNDA</t>
        </is>
      </c>
      <c r="F887" t="inlineStr">
        <is>
          <t>SCA</t>
        </is>
      </c>
      <c r="G887" t="n">
        <v>10.1</v>
      </c>
      <c r="H887" t="n">
        <v>0</v>
      </c>
      <c r="I887" t="n">
        <v>0</v>
      </c>
      <c r="J887" t="n">
        <v>0</v>
      </c>
      <c r="K887" t="n">
        <v>0</v>
      </c>
      <c r="L887" t="n">
        <v>0</v>
      </c>
      <c r="M887" t="n">
        <v>0</v>
      </c>
      <c r="N887" t="n">
        <v>0</v>
      </c>
      <c r="O887" t="n">
        <v>0</v>
      </c>
      <c r="P887" t="n">
        <v>0</v>
      </c>
      <c r="Q887" t="n">
        <v>0</v>
      </c>
      <c r="R887" s="2" t="inlineStr"/>
    </row>
    <row r="888" ht="15" customHeight="1">
      <c r="A888" t="inlineStr">
        <is>
          <t>A 47567-2022</t>
        </is>
      </c>
      <c r="B888" s="1" t="n">
        <v>44853</v>
      </c>
      <c r="C888" s="1" t="n">
        <v>45835</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47568-2022</t>
        </is>
      </c>
      <c r="B889" s="1" t="n">
        <v>44854</v>
      </c>
      <c r="C889" s="1" t="n">
        <v>45835</v>
      </c>
      <c r="D889" t="inlineStr">
        <is>
          <t>JÄMTLANDS LÄN</t>
        </is>
      </c>
      <c r="E889" t="inlineStr">
        <is>
          <t>RAGUNDA</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47801-2022</t>
        </is>
      </c>
      <c r="B890" s="1" t="n">
        <v>44854</v>
      </c>
      <c r="C890" s="1" t="n">
        <v>45835</v>
      </c>
      <c r="D890" t="inlineStr">
        <is>
          <t>JÄMTLANDS LÄN</t>
        </is>
      </c>
      <c r="E890" t="inlineStr">
        <is>
          <t>RAGUNDA</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47803-2022</t>
        </is>
      </c>
      <c r="B891" s="1" t="n">
        <v>44855</v>
      </c>
      <c r="C891" s="1" t="n">
        <v>45835</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48060-2022</t>
        </is>
      </c>
      <c r="B892" s="1" t="n">
        <v>44856</v>
      </c>
      <c r="C892" s="1" t="n">
        <v>45835</v>
      </c>
      <c r="D892" t="inlineStr">
        <is>
          <t>JÄMTLANDS LÄN</t>
        </is>
      </c>
      <c r="E892" t="inlineStr">
        <is>
          <t>RAGUNDA</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48055-2022</t>
        </is>
      </c>
      <c r="B893" s="1" t="n">
        <v>44856</v>
      </c>
      <c r="C893" s="1" t="n">
        <v>45835</v>
      </c>
      <c r="D893" t="inlineStr">
        <is>
          <t>JÄMTLANDS LÄN</t>
        </is>
      </c>
      <c r="E893" t="inlineStr">
        <is>
          <t>RAGUNDA</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48058-2022</t>
        </is>
      </c>
      <c r="B894" s="1" t="n">
        <v>44856</v>
      </c>
      <c r="C894" s="1" t="n">
        <v>45835</v>
      </c>
      <c r="D894" t="inlineStr">
        <is>
          <t>JÄMTLANDS LÄN</t>
        </is>
      </c>
      <c r="E894" t="inlineStr">
        <is>
          <t>RAGUNDA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48066-2022</t>
        </is>
      </c>
      <c r="B895" s="1" t="n">
        <v>44855</v>
      </c>
      <c r="C895" s="1" t="n">
        <v>45835</v>
      </c>
      <c r="D895" t="inlineStr">
        <is>
          <t>JÄMTLANDS LÄN</t>
        </is>
      </c>
      <c r="E895" t="inlineStr">
        <is>
          <t>RAGUNDA</t>
        </is>
      </c>
      <c r="F895" t="inlineStr">
        <is>
          <t>SCA</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48076-2022</t>
        </is>
      </c>
      <c r="B896" s="1" t="n">
        <v>44856</v>
      </c>
      <c r="C896" s="1" t="n">
        <v>45835</v>
      </c>
      <c r="D896" t="inlineStr">
        <is>
          <t>JÄMTLANDS LÄN</t>
        </is>
      </c>
      <c r="E896" t="inlineStr">
        <is>
          <t>RAGUNDA</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48053-2022</t>
        </is>
      </c>
      <c r="B897" s="1" t="n">
        <v>44856</v>
      </c>
      <c r="C897" s="1" t="n">
        <v>45835</v>
      </c>
      <c r="D897" t="inlineStr">
        <is>
          <t>JÄMTLANDS LÄN</t>
        </is>
      </c>
      <c r="E897" t="inlineStr">
        <is>
          <t>RAGUNDA</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48075-2022</t>
        </is>
      </c>
      <c r="B898" s="1" t="n">
        <v>44855</v>
      </c>
      <c r="C898" s="1" t="n">
        <v>45835</v>
      </c>
      <c r="D898" t="inlineStr">
        <is>
          <t>JÄMTLANDS LÄN</t>
        </is>
      </c>
      <c r="E898" t="inlineStr">
        <is>
          <t>RAGUNDA</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48086-2022</t>
        </is>
      </c>
      <c r="B899" s="1" t="n">
        <v>44856</v>
      </c>
      <c r="C899" s="1" t="n">
        <v>45835</v>
      </c>
      <c r="D899" t="inlineStr">
        <is>
          <t>JÄMTLANDS LÄN</t>
        </is>
      </c>
      <c r="E899" t="inlineStr">
        <is>
          <t>RAGUNDA</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48085-2022</t>
        </is>
      </c>
      <c r="B900" s="1" t="n">
        <v>44855</v>
      </c>
      <c r="C900" s="1" t="n">
        <v>45835</v>
      </c>
      <c r="D900" t="inlineStr">
        <is>
          <t>JÄMTLANDS LÄN</t>
        </is>
      </c>
      <c r="E900" t="inlineStr">
        <is>
          <t>RAGUNDA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48536-2022</t>
        </is>
      </c>
      <c r="B901" s="1" t="n">
        <v>44858</v>
      </c>
      <c r="C901" s="1" t="n">
        <v>45835</v>
      </c>
      <c r="D901" t="inlineStr">
        <is>
          <t>JÄMTLANDS LÄN</t>
        </is>
      </c>
      <c r="E901" t="inlineStr">
        <is>
          <t>RAGUNDA</t>
        </is>
      </c>
      <c r="F901" t="inlineStr">
        <is>
          <t>SCA</t>
        </is>
      </c>
      <c r="G901" t="n">
        <v>9.5</v>
      </c>
      <c r="H901" t="n">
        <v>0</v>
      </c>
      <c r="I901" t="n">
        <v>0</v>
      </c>
      <c r="J901" t="n">
        <v>0</v>
      </c>
      <c r="K901" t="n">
        <v>0</v>
      </c>
      <c r="L901" t="n">
        <v>0</v>
      </c>
      <c r="M901" t="n">
        <v>0</v>
      </c>
      <c r="N901" t="n">
        <v>0</v>
      </c>
      <c r="O901" t="n">
        <v>0</v>
      </c>
      <c r="P901" t="n">
        <v>0</v>
      </c>
      <c r="Q901" t="n">
        <v>0</v>
      </c>
      <c r="R901" s="2" t="inlineStr"/>
    </row>
    <row r="902" ht="15" customHeight="1">
      <c r="A902" t="inlineStr">
        <is>
          <t>A 48538-2022</t>
        </is>
      </c>
      <c r="B902" s="1" t="n">
        <v>44858</v>
      </c>
      <c r="C902" s="1" t="n">
        <v>45835</v>
      </c>
      <c r="D902" t="inlineStr">
        <is>
          <t>JÄMTLANDS LÄN</t>
        </is>
      </c>
      <c r="E902" t="inlineStr">
        <is>
          <t>RAGUNDA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48522-2022</t>
        </is>
      </c>
      <c r="B903" s="1" t="n">
        <v>44859</v>
      </c>
      <c r="C903" s="1" t="n">
        <v>45835</v>
      </c>
      <c r="D903" t="inlineStr">
        <is>
          <t>JÄMTLANDS LÄN</t>
        </is>
      </c>
      <c r="E903" t="inlineStr">
        <is>
          <t>RAGUNDA</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48534-2022</t>
        </is>
      </c>
      <c r="B904" s="1" t="n">
        <v>44859</v>
      </c>
      <c r="C904" s="1" t="n">
        <v>45835</v>
      </c>
      <c r="D904" t="inlineStr">
        <is>
          <t>JÄMTLANDS LÄN</t>
        </is>
      </c>
      <c r="E904" t="inlineStr">
        <is>
          <t>RAGUNDA</t>
        </is>
      </c>
      <c r="F904" t="inlineStr">
        <is>
          <t>SCA</t>
        </is>
      </c>
      <c r="G904" t="n">
        <v>6.7</v>
      </c>
      <c r="H904" t="n">
        <v>0</v>
      </c>
      <c r="I904" t="n">
        <v>0</v>
      </c>
      <c r="J904" t="n">
        <v>0</v>
      </c>
      <c r="K904" t="n">
        <v>0</v>
      </c>
      <c r="L904" t="n">
        <v>0</v>
      </c>
      <c r="M904" t="n">
        <v>0</v>
      </c>
      <c r="N904" t="n">
        <v>0</v>
      </c>
      <c r="O904" t="n">
        <v>0</v>
      </c>
      <c r="P904" t="n">
        <v>0</v>
      </c>
      <c r="Q904" t="n">
        <v>0</v>
      </c>
      <c r="R904" s="2" t="inlineStr"/>
    </row>
    <row r="905" ht="15" customHeight="1">
      <c r="A905" t="inlineStr">
        <is>
          <t>A 48938-2022</t>
        </is>
      </c>
      <c r="B905" s="1" t="n">
        <v>44860</v>
      </c>
      <c r="C905" s="1" t="n">
        <v>45835</v>
      </c>
      <c r="D905" t="inlineStr">
        <is>
          <t>JÄMTLANDS LÄN</t>
        </is>
      </c>
      <c r="E905" t="inlineStr">
        <is>
          <t>RAGUNDA</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49183-2022</t>
        </is>
      </c>
      <c r="B906" s="1" t="n">
        <v>44860</v>
      </c>
      <c r="C906" s="1" t="n">
        <v>45835</v>
      </c>
      <c r="D906" t="inlineStr">
        <is>
          <t>JÄMTLANDS LÄN</t>
        </is>
      </c>
      <c r="E906" t="inlineStr">
        <is>
          <t>RAGUNDA</t>
        </is>
      </c>
      <c r="F906" t="inlineStr">
        <is>
          <t>SCA</t>
        </is>
      </c>
      <c r="G906" t="n">
        <v>10.3</v>
      </c>
      <c r="H906" t="n">
        <v>0</v>
      </c>
      <c r="I906" t="n">
        <v>0</v>
      </c>
      <c r="J906" t="n">
        <v>0</v>
      </c>
      <c r="K906" t="n">
        <v>0</v>
      </c>
      <c r="L906" t="n">
        <v>0</v>
      </c>
      <c r="M906" t="n">
        <v>0</v>
      </c>
      <c r="N906" t="n">
        <v>0</v>
      </c>
      <c r="O906" t="n">
        <v>0</v>
      </c>
      <c r="P906" t="n">
        <v>0</v>
      </c>
      <c r="Q906" t="n">
        <v>0</v>
      </c>
      <c r="R906" s="2" t="inlineStr"/>
    </row>
    <row r="907" ht="15" customHeight="1">
      <c r="A907" t="inlineStr">
        <is>
          <t>A 49182-2022</t>
        </is>
      </c>
      <c r="B907" s="1" t="n">
        <v>44861</v>
      </c>
      <c r="C907" s="1" t="n">
        <v>45835</v>
      </c>
      <c r="D907" t="inlineStr">
        <is>
          <t>JÄMTLANDS LÄN</t>
        </is>
      </c>
      <c r="E907" t="inlineStr">
        <is>
          <t>RAGUNDA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49197-2022</t>
        </is>
      </c>
      <c r="B908" s="1" t="n">
        <v>44860</v>
      </c>
      <c r="C908" s="1" t="n">
        <v>45835</v>
      </c>
      <c r="D908" t="inlineStr">
        <is>
          <t>JÄMTLANDS LÄN</t>
        </is>
      </c>
      <c r="E908" t="inlineStr">
        <is>
          <t>RAGUNDA</t>
        </is>
      </c>
      <c r="F908" t="inlineStr">
        <is>
          <t>SCA</t>
        </is>
      </c>
      <c r="G908" t="n">
        <v>2.9</v>
      </c>
      <c r="H908" t="n">
        <v>0</v>
      </c>
      <c r="I908" t="n">
        <v>0</v>
      </c>
      <c r="J908" t="n">
        <v>0</v>
      </c>
      <c r="K908" t="n">
        <v>0</v>
      </c>
      <c r="L908" t="n">
        <v>0</v>
      </c>
      <c r="M908" t="n">
        <v>0</v>
      </c>
      <c r="N908" t="n">
        <v>0</v>
      </c>
      <c r="O908" t="n">
        <v>0</v>
      </c>
      <c r="P908" t="n">
        <v>0</v>
      </c>
      <c r="Q908" t="n">
        <v>0</v>
      </c>
      <c r="R908" s="2" t="inlineStr"/>
    </row>
    <row r="909" ht="15" customHeight="1">
      <c r="A909" t="inlineStr">
        <is>
          <t>A 49531-2022</t>
        </is>
      </c>
      <c r="B909" s="1" t="n">
        <v>44861</v>
      </c>
      <c r="C909" s="1" t="n">
        <v>45835</v>
      </c>
      <c r="D909" t="inlineStr">
        <is>
          <t>JÄMTLANDS LÄN</t>
        </is>
      </c>
      <c r="E909" t="inlineStr">
        <is>
          <t>RAGUNDA</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49530-2022</t>
        </is>
      </c>
      <c r="B910" s="1" t="n">
        <v>44861</v>
      </c>
      <c r="C910" s="1" t="n">
        <v>45835</v>
      </c>
      <c r="D910" t="inlineStr">
        <is>
          <t>JÄMTLANDS LÄN</t>
        </is>
      </c>
      <c r="E910" t="inlineStr">
        <is>
          <t>RAGUNDA</t>
        </is>
      </c>
      <c r="F910" t="inlineStr">
        <is>
          <t>SCA</t>
        </is>
      </c>
      <c r="G910" t="n">
        <v>13.4</v>
      </c>
      <c r="H910" t="n">
        <v>0</v>
      </c>
      <c r="I910" t="n">
        <v>0</v>
      </c>
      <c r="J910" t="n">
        <v>0</v>
      </c>
      <c r="K910" t="n">
        <v>0</v>
      </c>
      <c r="L910" t="n">
        <v>0</v>
      </c>
      <c r="M910" t="n">
        <v>0</v>
      </c>
      <c r="N910" t="n">
        <v>0</v>
      </c>
      <c r="O910" t="n">
        <v>0</v>
      </c>
      <c r="P910" t="n">
        <v>0</v>
      </c>
      <c r="Q910" t="n">
        <v>0</v>
      </c>
      <c r="R910" s="2" t="inlineStr"/>
    </row>
    <row r="911" ht="15" customHeight="1">
      <c r="A911" t="inlineStr">
        <is>
          <t>A 49544-2022</t>
        </is>
      </c>
      <c r="B911" s="1" t="n">
        <v>44862</v>
      </c>
      <c r="C911" s="1" t="n">
        <v>45835</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49543-2022</t>
        </is>
      </c>
      <c r="B912" s="1" t="n">
        <v>44862</v>
      </c>
      <c r="C912" s="1" t="n">
        <v>45835</v>
      </c>
      <c r="D912" t="inlineStr">
        <is>
          <t>JÄMTLANDS LÄN</t>
        </is>
      </c>
      <c r="E912" t="inlineStr">
        <is>
          <t>RAGUNDA</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49844-2022</t>
        </is>
      </c>
      <c r="B913" s="1" t="n">
        <v>44863</v>
      </c>
      <c r="C913" s="1" t="n">
        <v>45835</v>
      </c>
      <c r="D913" t="inlineStr">
        <is>
          <t>JÄMTLANDS LÄN</t>
        </is>
      </c>
      <c r="E913" t="inlineStr">
        <is>
          <t>RAGUNDA</t>
        </is>
      </c>
      <c r="G913" t="n">
        <v>3.9</v>
      </c>
      <c r="H913" t="n">
        <v>0</v>
      </c>
      <c r="I913" t="n">
        <v>0</v>
      </c>
      <c r="J913" t="n">
        <v>0</v>
      </c>
      <c r="K913" t="n">
        <v>0</v>
      </c>
      <c r="L913" t="n">
        <v>0</v>
      </c>
      <c r="M913" t="n">
        <v>0</v>
      </c>
      <c r="N913" t="n">
        <v>0</v>
      </c>
      <c r="O913" t="n">
        <v>0</v>
      </c>
      <c r="P913" t="n">
        <v>0</v>
      </c>
      <c r="Q913" t="n">
        <v>0</v>
      </c>
      <c r="R913" s="2" t="inlineStr"/>
    </row>
    <row r="914" ht="15" customHeight="1">
      <c r="A914" t="inlineStr">
        <is>
          <t>A 49904-2022</t>
        </is>
      </c>
      <c r="B914" s="1" t="n">
        <v>44864</v>
      </c>
      <c r="C914" s="1" t="n">
        <v>45835</v>
      </c>
      <c r="D914" t="inlineStr">
        <is>
          <t>JÄMTLANDS LÄN</t>
        </is>
      </c>
      <c r="E914" t="inlineStr">
        <is>
          <t>RAGUNDA</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50087-2022</t>
        </is>
      </c>
      <c r="B915" s="1" t="n">
        <v>44865</v>
      </c>
      <c r="C915" s="1" t="n">
        <v>45835</v>
      </c>
      <c r="D915" t="inlineStr">
        <is>
          <t>JÄMTLANDS LÄN</t>
        </is>
      </c>
      <c r="E915" t="inlineStr">
        <is>
          <t>RAGUNDA</t>
        </is>
      </c>
      <c r="G915" t="n">
        <v>2</v>
      </c>
      <c r="H915" t="n">
        <v>0</v>
      </c>
      <c r="I915" t="n">
        <v>0</v>
      </c>
      <c r="J915" t="n">
        <v>0</v>
      </c>
      <c r="K915" t="n">
        <v>0</v>
      </c>
      <c r="L915" t="n">
        <v>0</v>
      </c>
      <c r="M915" t="n">
        <v>0</v>
      </c>
      <c r="N915" t="n">
        <v>0</v>
      </c>
      <c r="O915" t="n">
        <v>0</v>
      </c>
      <c r="P915" t="n">
        <v>0</v>
      </c>
      <c r="Q915" t="n">
        <v>0</v>
      </c>
      <c r="R915" s="2" t="inlineStr"/>
    </row>
    <row r="916" ht="15" customHeight="1">
      <c r="A916" t="inlineStr">
        <is>
          <t>A 50649-2022</t>
        </is>
      </c>
      <c r="B916" s="1" t="n">
        <v>44866</v>
      </c>
      <c r="C916" s="1" t="n">
        <v>45835</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50682-2022</t>
        </is>
      </c>
      <c r="B917" s="1" t="n">
        <v>44866</v>
      </c>
      <c r="C917" s="1" t="n">
        <v>45835</v>
      </c>
      <c r="D917" t="inlineStr">
        <is>
          <t>JÄMTLANDS LÄN</t>
        </is>
      </c>
      <c r="E917" t="inlineStr">
        <is>
          <t>RAGUNDA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51012-2022</t>
        </is>
      </c>
      <c r="B918" s="1" t="n">
        <v>44867</v>
      </c>
      <c r="C918" s="1" t="n">
        <v>45835</v>
      </c>
      <c r="D918" t="inlineStr">
        <is>
          <t>JÄMTLANDS LÄN</t>
        </is>
      </c>
      <c r="E918" t="inlineStr">
        <is>
          <t>RAGUNDA</t>
        </is>
      </c>
      <c r="F918" t="inlineStr">
        <is>
          <t>Sveaskog</t>
        </is>
      </c>
      <c r="G918" t="n">
        <v>8.4</v>
      </c>
      <c r="H918" t="n">
        <v>0</v>
      </c>
      <c r="I918" t="n">
        <v>0</v>
      </c>
      <c r="J918" t="n">
        <v>0</v>
      </c>
      <c r="K918" t="n">
        <v>0</v>
      </c>
      <c r="L918" t="n">
        <v>0</v>
      </c>
      <c r="M918" t="n">
        <v>0</v>
      </c>
      <c r="N918" t="n">
        <v>0</v>
      </c>
      <c r="O918" t="n">
        <v>0</v>
      </c>
      <c r="P918" t="n">
        <v>0</v>
      </c>
      <c r="Q918" t="n">
        <v>0</v>
      </c>
      <c r="R918" s="2" t="inlineStr"/>
    </row>
    <row r="919" ht="15" customHeight="1">
      <c r="A919" t="inlineStr">
        <is>
          <t>A 51540-2022</t>
        </is>
      </c>
      <c r="B919" s="1" t="n">
        <v>44869</v>
      </c>
      <c r="C919" s="1" t="n">
        <v>45835</v>
      </c>
      <c r="D919" t="inlineStr">
        <is>
          <t>JÄMTLANDS LÄN</t>
        </is>
      </c>
      <c r="E919" t="inlineStr">
        <is>
          <t>RAGUNDA</t>
        </is>
      </c>
      <c r="G919" t="n">
        <v>1.3</v>
      </c>
      <c r="H919" t="n">
        <v>0</v>
      </c>
      <c r="I919" t="n">
        <v>0</v>
      </c>
      <c r="J919" t="n">
        <v>0</v>
      </c>
      <c r="K919" t="n">
        <v>0</v>
      </c>
      <c r="L919" t="n">
        <v>0</v>
      </c>
      <c r="M919" t="n">
        <v>0</v>
      </c>
      <c r="N919" t="n">
        <v>0</v>
      </c>
      <c r="O919" t="n">
        <v>0</v>
      </c>
      <c r="P919" t="n">
        <v>0</v>
      </c>
      <c r="Q919" t="n">
        <v>0</v>
      </c>
      <c r="R919" s="2" t="inlineStr"/>
    </row>
    <row r="920" ht="15" customHeight="1">
      <c r="A920" t="inlineStr">
        <is>
          <t>A 51538-2022</t>
        </is>
      </c>
      <c r="B920" s="1" t="n">
        <v>44869</v>
      </c>
      <c r="C920" s="1" t="n">
        <v>45835</v>
      </c>
      <c r="D920" t="inlineStr">
        <is>
          <t>JÄMTLANDS LÄN</t>
        </is>
      </c>
      <c r="E920" t="inlineStr">
        <is>
          <t>RAGUNDA</t>
        </is>
      </c>
      <c r="G920" t="n">
        <v>6.8</v>
      </c>
      <c r="H920" t="n">
        <v>0</v>
      </c>
      <c r="I920" t="n">
        <v>0</v>
      </c>
      <c r="J920" t="n">
        <v>0</v>
      </c>
      <c r="K920" t="n">
        <v>0</v>
      </c>
      <c r="L920" t="n">
        <v>0</v>
      </c>
      <c r="M920" t="n">
        <v>0</v>
      </c>
      <c r="N920" t="n">
        <v>0</v>
      </c>
      <c r="O920" t="n">
        <v>0</v>
      </c>
      <c r="P920" t="n">
        <v>0</v>
      </c>
      <c r="Q920" t="n">
        <v>0</v>
      </c>
      <c r="R920" s="2" t="inlineStr"/>
    </row>
    <row r="921" ht="15" customHeight="1">
      <c r="A921" t="inlineStr">
        <is>
          <t>A 51537-2022</t>
        </is>
      </c>
      <c r="B921" s="1" t="n">
        <v>44869</v>
      </c>
      <c r="C921" s="1" t="n">
        <v>45835</v>
      </c>
      <c r="D921" t="inlineStr">
        <is>
          <t>JÄMTLANDS LÄN</t>
        </is>
      </c>
      <c r="E921" t="inlineStr">
        <is>
          <t>RAGUNDA</t>
        </is>
      </c>
      <c r="G921" t="n">
        <v>1.8</v>
      </c>
      <c r="H921" t="n">
        <v>0</v>
      </c>
      <c r="I921" t="n">
        <v>0</v>
      </c>
      <c r="J921" t="n">
        <v>0</v>
      </c>
      <c r="K921" t="n">
        <v>0</v>
      </c>
      <c r="L921" t="n">
        <v>0</v>
      </c>
      <c r="M921" t="n">
        <v>0</v>
      </c>
      <c r="N921" t="n">
        <v>0</v>
      </c>
      <c r="O921" t="n">
        <v>0</v>
      </c>
      <c r="P921" t="n">
        <v>0</v>
      </c>
      <c r="Q921" t="n">
        <v>0</v>
      </c>
      <c r="R921" s="2" t="inlineStr"/>
    </row>
    <row r="922" ht="15" customHeight="1">
      <c r="A922" t="inlineStr">
        <is>
          <t>A 52697-2022</t>
        </is>
      </c>
      <c r="B922" s="1" t="n">
        <v>44874</v>
      </c>
      <c r="C922" s="1" t="n">
        <v>45835</v>
      </c>
      <c r="D922" t="inlineStr">
        <is>
          <t>JÄMTLANDS LÄN</t>
        </is>
      </c>
      <c r="E922" t="inlineStr">
        <is>
          <t>RAGUNDA</t>
        </is>
      </c>
      <c r="G922" t="n">
        <v>3.9</v>
      </c>
      <c r="H922" t="n">
        <v>0</v>
      </c>
      <c r="I922" t="n">
        <v>0</v>
      </c>
      <c r="J922" t="n">
        <v>0</v>
      </c>
      <c r="K922" t="n">
        <v>0</v>
      </c>
      <c r="L922" t="n">
        <v>0</v>
      </c>
      <c r="M922" t="n">
        <v>0</v>
      </c>
      <c r="N922" t="n">
        <v>0</v>
      </c>
      <c r="O922" t="n">
        <v>0</v>
      </c>
      <c r="P922" t="n">
        <v>0</v>
      </c>
      <c r="Q922" t="n">
        <v>0</v>
      </c>
      <c r="R922" s="2" t="inlineStr"/>
    </row>
    <row r="923" ht="15" customHeight="1">
      <c r="A923" t="inlineStr">
        <is>
          <t>A 52720-2022</t>
        </is>
      </c>
      <c r="B923" s="1" t="n">
        <v>44874</v>
      </c>
      <c r="C923" s="1" t="n">
        <v>45835</v>
      </c>
      <c r="D923" t="inlineStr">
        <is>
          <t>JÄMTLANDS LÄN</t>
        </is>
      </c>
      <c r="E923" t="inlineStr">
        <is>
          <t>RAGUNDA</t>
        </is>
      </c>
      <c r="F923" t="inlineStr">
        <is>
          <t>SCA</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53287-2022</t>
        </is>
      </c>
      <c r="B924" s="1" t="n">
        <v>44876</v>
      </c>
      <c r="C924" s="1" t="n">
        <v>45835</v>
      </c>
      <c r="D924" t="inlineStr">
        <is>
          <t>JÄMTLANDS LÄN</t>
        </is>
      </c>
      <c r="E924" t="inlineStr">
        <is>
          <t>RAGUNDA</t>
        </is>
      </c>
      <c r="F924" t="inlineStr">
        <is>
          <t>SCA</t>
        </is>
      </c>
      <c r="G924" t="n">
        <v>6.2</v>
      </c>
      <c r="H924" t="n">
        <v>0</v>
      </c>
      <c r="I924" t="n">
        <v>0</v>
      </c>
      <c r="J924" t="n">
        <v>0</v>
      </c>
      <c r="K924" t="n">
        <v>0</v>
      </c>
      <c r="L924" t="n">
        <v>0</v>
      </c>
      <c r="M924" t="n">
        <v>0</v>
      </c>
      <c r="N924" t="n">
        <v>0</v>
      </c>
      <c r="O924" t="n">
        <v>0</v>
      </c>
      <c r="P924" t="n">
        <v>0</v>
      </c>
      <c r="Q924" t="n">
        <v>0</v>
      </c>
      <c r="R924" s="2" t="inlineStr"/>
    </row>
    <row r="925" ht="15" customHeight="1">
      <c r="A925" t="inlineStr">
        <is>
          <t>A 53288-2022</t>
        </is>
      </c>
      <c r="B925" s="1" t="n">
        <v>44876</v>
      </c>
      <c r="C925" s="1" t="n">
        <v>45835</v>
      </c>
      <c r="D925" t="inlineStr">
        <is>
          <t>JÄMTLANDS LÄN</t>
        </is>
      </c>
      <c r="E925" t="inlineStr">
        <is>
          <t>RAGUNDA</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53676-2022</t>
        </is>
      </c>
      <c r="B926" s="1" t="n">
        <v>44879</v>
      </c>
      <c r="C926" s="1" t="n">
        <v>45835</v>
      </c>
      <c r="D926" t="inlineStr">
        <is>
          <t>JÄMTLANDS LÄN</t>
        </is>
      </c>
      <c r="E926" t="inlineStr">
        <is>
          <t>RAGUNDA</t>
        </is>
      </c>
      <c r="F926" t="inlineStr">
        <is>
          <t>Sveaskog</t>
        </is>
      </c>
      <c r="G926" t="n">
        <v>2.5</v>
      </c>
      <c r="H926" t="n">
        <v>0</v>
      </c>
      <c r="I926" t="n">
        <v>0</v>
      </c>
      <c r="J926" t="n">
        <v>0</v>
      </c>
      <c r="K926" t="n">
        <v>0</v>
      </c>
      <c r="L926" t="n">
        <v>0</v>
      </c>
      <c r="M926" t="n">
        <v>0</v>
      </c>
      <c r="N926" t="n">
        <v>0</v>
      </c>
      <c r="O926" t="n">
        <v>0</v>
      </c>
      <c r="P926" t="n">
        <v>0</v>
      </c>
      <c r="Q926" t="n">
        <v>0</v>
      </c>
      <c r="R926" s="2" t="inlineStr"/>
    </row>
    <row r="927" ht="15" customHeight="1">
      <c r="A927" t="inlineStr">
        <is>
          <t>A 53678-2022</t>
        </is>
      </c>
      <c r="B927" s="1" t="n">
        <v>44879</v>
      </c>
      <c r="C927" s="1" t="n">
        <v>45835</v>
      </c>
      <c r="D927" t="inlineStr">
        <is>
          <t>JÄMTLANDS LÄN</t>
        </is>
      </c>
      <c r="E927" t="inlineStr">
        <is>
          <t>RAGUNDA</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53677-2022</t>
        </is>
      </c>
      <c r="B928" s="1" t="n">
        <v>44879</v>
      </c>
      <c r="C928" s="1" t="n">
        <v>45835</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53674-2022</t>
        </is>
      </c>
      <c r="B929" s="1" t="n">
        <v>44879</v>
      </c>
      <c r="C929" s="1" t="n">
        <v>45835</v>
      </c>
      <c r="D929" t="inlineStr">
        <is>
          <t>JÄMTLANDS LÄN</t>
        </is>
      </c>
      <c r="E929" t="inlineStr">
        <is>
          <t>RAGUNDA</t>
        </is>
      </c>
      <c r="F929" t="inlineStr">
        <is>
          <t>Sveaskog</t>
        </is>
      </c>
      <c r="G929" t="n">
        <v>4.2</v>
      </c>
      <c r="H929" t="n">
        <v>0</v>
      </c>
      <c r="I929" t="n">
        <v>0</v>
      </c>
      <c r="J929" t="n">
        <v>0</v>
      </c>
      <c r="K929" t="n">
        <v>0</v>
      </c>
      <c r="L929" t="n">
        <v>0</v>
      </c>
      <c r="M929" t="n">
        <v>0</v>
      </c>
      <c r="N929" t="n">
        <v>0</v>
      </c>
      <c r="O929" t="n">
        <v>0</v>
      </c>
      <c r="P929" t="n">
        <v>0</v>
      </c>
      <c r="Q929" t="n">
        <v>0</v>
      </c>
      <c r="R929" s="2" t="inlineStr"/>
    </row>
    <row r="930" ht="15" customHeight="1">
      <c r="A930" t="inlineStr">
        <is>
          <t>A 53935-2022</t>
        </is>
      </c>
      <c r="B930" s="1" t="n">
        <v>44880</v>
      </c>
      <c r="C930" s="1" t="n">
        <v>45835</v>
      </c>
      <c r="D930" t="inlineStr">
        <is>
          <t>JÄMTLANDS LÄN</t>
        </is>
      </c>
      <c r="E930" t="inlineStr">
        <is>
          <t>RAGUNDA</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53954-2022</t>
        </is>
      </c>
      <c r="B931" s="1" t="n">
        <v>44880</v>
      </c>
      <c r="C931" s="1" t="n">
        <v>45835</v>
      </c>
      <c r="D931" t="inlineStr">
        <is>
          <t>JÄMTLANDS LÄN</t>
        </is>
      </c>
      <c r="E931" t="inlineStr">
        <is>
          <t>RAGUNDA</t>
        </is>
      </c>
      <c r="F931" t="inlineStr">
        <is>
          <t>SCA</t>
        </is>
      </c>
      <c r="G931" t="n">
        <v>9.6</v>
      </c>
      <c r="H931" t="n">
        <v>0</v>
      </c>
      <c r="I931" t="n">
        <v>0</v>
      </c>
      <c r="J931" t="n">
        <v>0</v>
      </c>
      <c r="K931" t="n">
        <v>0</v>
      </c>
      <c r="L931" t="n">
        <v>0</v>
      </c>
      <c r="M931" t="n">
        <v>0</v>
      </c>
      <c r="N931" t="n">
        <v>0</v>
      </c>
      <c r="O931" t="n">
        <v>0</v>
      </c>
      <c r="P931" t="n">
        <v>0</v>
      </c>
      <c r="Q931" t="n">
        <v>0</v>
      </c>
      <c r="R931" s="2" t="inlineStr"/>
    </row>
    <row r="932" ht="15" customHeight="1">
      <c r="A932" t="inlineStr">
        <is>
          <t>A 53951-2022</t>
        </is>
      </c>
      <c r="B932" s="1" t="n">
        <v>44880</v>
      </c>
      <c r="C932" s="1" t="n">
        <v>45835</v>
      </c>
      <c r="D932" t="inlineStr">
        <is>
          <t>JÄMTLANDS LÄN</t>
        </is>
      </c>
      <c r="E932" t="inlineStr">
        <is>
          <t>RAGUNDA</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53952-2022</t>
        </is>
      </c>
      <c r="B933" s="1" t="n">
        <v>44880</v>
      </c>
      <c r="C933" s="1" t="n">
        <v>45835</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53958-2022</t>
        </is>
      </c>
      <c r="B934" s="1" t="n">
        <v>44880</v>
      </c>
      <c r="C934" s="1" t="n">
        <v>45835</v>
      </c>
      <c r="D934" t="inlineStr">
        <is>
          <t>JÄMTLANDS LÄN</t>
        </is>
      </c>
      <c r="E934" t="inlineStr">
        <is>
          <t>RAGUNDA</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53937-2022</t>
        </is>
      </c>
      <c r="B935" s="1" t="n">
        <v>44880</v>
      </c>
      <c r="C935" s="1" t="n">
        <v>45835</v>
      </c>
      <c r="D935" t="inlineStr">
        <is>
          <t>JÄMTLANDS LÄN</t>
        </is>
      </c>
      <c r="E935" t="inlineStr">
        <is>
          <t>RAGUNDA</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53955-2022</t>
        </is>
      </c>
      <c r="B936" s="1" t="n">
        <v>44880</v>
      </c>
      <c r="C936" s="1" t="n">
        <v>45835</v>
      </c>
      <c r="D936" t="inlineStr">
        <is>
          <t>JÄMTLANDS LÄN</t>
        </is>
      </c>
      <c r="E936" t="inlineStr">
        <is>
          <t>RAGUNDA</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54244-2022</t>
        </is>
      </c>
      <c r="B937" s="1" t="n">
        <v>44881</v>
      </c>
      <c r="C937" s="1" t="n">
        <v>45835</v>
      </c>
      <c r="D937" t="inlineStr">
        <is>
          <t>JÄMTLANDS LÄN</t>
        </is>
      </c>
      <c r="E937" t="inlineStr">
        <is>
          <t>RAGUNDA</t>
        </is>
      </c>
      <c r="G937" t="n">
        <v>2.8</v>
      </c>
      <c r="H937" t="n">
        <v>0</v>
      </c>
      <c r="I937" t="n">
        <v>0</v>
      </c>
      <c r="J937" t="n">
        <v>0</v>
      </c>
      <c r="K937" t="n">
        <v>0</v>
      </c>
      <c r="L937" t="n">
        <v>0</v>
      </c>
      <c r="M937" t="n">
        <v>0</v>
      </c>
      <c r="N937" t="n">
        <v>0</v>
      </c>
      <c r="O937" t="n">
        <v>0</v>
      </c>
      <c r="P937" t="n">
        <v>0</v>
      </c>
      <c r="Q937" t="n">
        <v>0</v>
      </c>
      <c r="R937" s="2" t="inlineStr"/>
    </row>
    <row r="938" ht="15" customHeight="1">
      <c r="A938" t="inlineStr">
        <is>
          <t>A 54570-2022</t>
        </is>
      </c>
      <c r="B938" s="1" t="n">
        <v>44882</v>
      </c>
      <c r="C938" s="1" t="n">
        <v>45835</v>
      </c>
      <c r="D938" t="inlineStr">
        <is>
          <t>JÄMTLANDS LÄN</t>
        </is>
      </c>
      <c r="E938" t="inlineStr">
        <is>
          <t>RAGUNDA</t>
        </is>
      </c>
      <c r="G938" t="n">
        <v>2.3</v>
      </c>
      <c r="H938" t="n">
        <v>0</v>
      </c>
      <c r="I938" t="n">
        <v>0</v>
      </c>
      <c r="J938" t="n">
        <v>0</v>
      </c>
      <c r="K938" t="n">
        <v>0</v>
      </c>
      <c r="L938" t="n">
        <v>0</v>
      </c>
      <c r="M938" t="n">
        <v>0</v>
      </c>
      <c r="N938" t="n">
        <v>0</v>
      </c>
      <c r="O938" t="n">
        <v>0</v>
      </c>
      <c r="P938" t="n">
        <v>0</v>
      </c>
      <c r="Q938" t="n">
        <v>0</v>
      </c>
      <c r="R938" s="2" t="inlineStr"/>
    </row>
    <row r="939" ht="15" customHeight="1">
      <c r="A939" t="inlineStr">
        <is>
          <t>A 54572-2022</t>
        </is>
      </c>
      <c r="B939" s="1" t="n">
        <v>44882</v>
      </c>
      <c r="C939" s="1" t="n">
        <v>45835</v>
      </c>
      <c r="D939" t="inlineStr">
        <is>
          <t>JÄMTLANDS LÄN</t>
        </is>
      </c>
      <c r="E939" t="inlineStr">
        <is>
          <t>RAGUNDA</t>
        </is>
      </c>
      <c r="G939" t="n">
        <v>10.1</v>
      </c>
      <c r="H939" t="n">
        <v>0</v>
      </c>
      <c r="I939" t="n">
        <v>0</v>
      </c>
      <c r="J939" t="n">
        <v>0</v>
      </c>
      <c r="K939" t="n">
        <v>0</v>
      </c>
      <c r="L939" t="n">
        <v>0</v>
      </c>
      <c r="M939" t="n">
        <v>0</v>
      </c>
      <c r="N939" t="n">
        <v>0</v>
      </c>
      <c r="O939" t="n">
        <v>0</v>
      </c>
      <c r="P939" t="n">
        <v>0</v>
      </c>
      <c r="Q939" t="n">
        <v>0</v>
      </c>
      <c r="R939" s="2" t="inlineStr"/>
    </row>
    <row r="940" ht="15" customHeight="1">
      <c r="A940" t="inlineStr">
        <is>
          <t>A 54836-2022</t>
        </is>
      </c>
      <c r="B940" s="1" t="n">
        <v>44883</v>
      </c>
      <c r="C940" s="1" t="n">
        <v>45835</v>
      </c>
      <c r="D940" t="inlineStr">
        <is>
          <t>JÄMTLANDS LÄN</t>
        </is>
      </c>
      <c r="E940" t="inlineStr">
        <is>
          <t>RAGUNDA</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54835-2022</t>
        </is>
      </c>
      <c r="B941" s="1" t="n">
        <v>44883</v>
      </c>
      <c r="C941" s="1" t="n">
        <v>45835</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54830-2022</t>
        </is>
      </c>
      <c r="B942" s="1" t="n">
        <v>44883</v>
      </c>
      <c r="C942" s="1" t="n">
        <v>45835</v>
      </c>
      <c r="D942" t="inlineStr">
        <is>
          <t>JÄMTLANDS LÄN</t>
        </is>
      </c>
      <c r="E942" t="inlineStr">
        <is>
          <t>RAGUNDA</t>
        </is>
      </c>
      <c r="F942" t="inlineStr">
        <is>
          <t>Sveaskog</t>
        </is>
      </c>
      <c r="G942" t="n">
        <v>7</v>
      </c>
      <c r="H942" t="n">
        <v>0</v>
      </c>
      <c r="I942" t="n">
        <v>0</v>
      </c>
      <c r="J942" t="n">
        <v>0</v>
      </c>
      <c r="K942" t="n">
        <v>0</v>
      </c>
      <c r="L942" t="n">
        <v>0</v>
      </c>
      <c r="M942" t="n">
        <v>0</v>
      </c>
      <c r="N942" t="n">
        <v>0</v>
      </c>
      <c r="O942" t="n">
        <v>0</v>
      </c>
      <c r="P942" t="n">
        <v>0</v>
      </c>
      <c r="Q942" t="n">
        <v>0</v>
      </c>
      <c r="R942" s="2" t="inlineStr"/>
    </row>
    <row r="943" ht="15" customHeight="1">
      <c r="A943" t="inlineStr">
        <is>
          <t>A 54837-2022</t>
        </is>
      </c>
      <c r="B943" s="1" t="n">
        <v>44883</v>
      </c>
      <c r="C943" s="1" t="n">
        <v>45835</v>
      </c>
      <c r="D943" t="inlineStr">
        <is>
          <t>JÄMTLANDS LÄN</t>
        </is>
      </c>
      <c r="E943" t="inlineStr">
        <is>
          <t>RAGUNDA</t>
        </is>
      </c>
      <c r="F943" t="inlineStr">
        <is>
          <t>SCA</t>
        </is>
      </c>
      <c r="G943" t="n">
        <v>5.4</v>
      </c>
      <c r="H943" t="n">
        <v>0</v>
      </c>
      <c r="I943" t="n">
        <v>0</v>
      </c>
      <c r="J943" t="n">
        <v>0</v>
      </c>
      <c r="K943" t="n">
        <v>0</v>
      </c>
      <c r="L943" t="n">
        <v>0</v>
      </c>
      <c r="M943" t="n">
        <v>0</v>
      </c>
      <c r="N943" t="n">
        <v>0</v>
      </c>
      <c r="O943" t="n">
        <v>0</v>
      </c>
      <c r="P943" t="n">
        <v>0</v>
      </c>
      <c r="Q943" t="n">
        <v>0</v>
      </c>
      <c r="R943" s="2" t="inlineStr"/>
    </row>
    <row r="944" ht="15" customHeight="1">
      <c r="A944" t="inlineStr">
        <is>
          <t>A 54827-2022</t>
        </is>
      </c>
      <c r="B944" s="1" t="n">
        <v>44883</v>
      </c>
      <c r="C944" s="1" t="n">
        <v>45835</v>
      </c>
      <c r="D944" t="inlineStr">
        <is>
          <t>JÄMTLANDS LÄN</t>
        </is>
      </c>
      <c r="E944" t="inlineStr">
        <is>
          <t>RAGUNDA</t>
        </is>
      </c>
      <c r="F944" t="inlineStr">
        <is>
          <t>SCA</t>
        </is>
      </c>
      <c r="G944" t="n">
        <v>10.6</v>
      </c>
      <c r="H944" t="n">
        <v>0</v>
      </c>
      <c r="I944" t="n">
        <v>0</v>
      </c>
      <c r="J944" t="n">
        <v>0</v>
      </c>
      <c r="K944" t="n">
        <v>0</v>
      </c>
      <c r="L944" t="n">
        <v>0</v>
      </c>
      <c r="M944" t="n">
        <v>0</v>
      </c>
      <c r="N944" t="n">
        <v>0</v>
      </c>
      <c r="O944" t="n">
        <v>0</v>
      </c>
      <c r="P944" t="n">
        <v>0</v>
      </c>
      <c r="Q944" t="n">
        <v>0</v>
      </c>
      <c r="R944" s="2" t="inlineStr"/>
    </row>
    <row r="945" ht="15" customHeight="1">
      <c r="A945" t="inlineStr">
        <is>
          <t>A 55214-2022</t>
        </is>
      </c>
      <c r="B945" s="1" t="n">
        <v>44886</v>
      </c>
      <c r="C945" s="1" t="n">
        <v>45835</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55904-2022</t>
        </is>
      </c>
      <c r="B946" s="1" t="n">
        <v>44888</v>
      </c>
      <c r="C946" s="1" t="n">
        <v>45835</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56191-2022</t>
        </is>
      </c>
      <c r="B947" s="1" t="n">
        <v>44889</v>
      </c>
      <c r="C947" s="1" t="n">
        <v>45835</v>
      </c>
      <c r="D947" t="inlineStr">
        <is>
          <t>JÄMTLANDS LÄN</t>
        </is>
      </c>
      <c r="E947" t="inlineStr">
        <is>
          <t>RAGUNDA</t>
        </is>
      </c>
      <c r="F947" t="inlineStr">
        <is>
          <t>Sveaskog</t>
        </is>
      </c>
      <c r="G947" t="n">
        <v>3</v>
      </c>
      <c r="H947" t="n">
        <v>0</v>
      </c>
      <c r="I947" t="n">
        <v>0</v>
      </c>
      <c r="J947" t="n">
        <v>0</v>
      </c>
      <c r="K947" t="n">
        <v>0</v>
      </c>
      <c r="L947" t="n">
        <v>0</v>
      </c>
      <c r="M947" t="n">
        <v>0</v>
      </c>
      <c r="N947" t="n">
        <v>0</v>
      </c>
      <c r="O947" t="n">
        <v>0</v>
      </c>
      <c r="P947" t="n">
        <v>0</v>
      </c>
      <c r="Q947" t="n">
        <v>0</v>
      </c>
      <c r="R947" s="2" t="inlineStr"/>
    </row>
    <row r="948" ht="15" customHeight="1">
      <c r="A948" t="inlineStr">
        <is>
          <t>A 56186-2022</t>
        </is>
      </c>
      <c r="B948" s="1" t="n">
        <v>44889</v>
      </c>
      <c r="C948" s="1" t="n">
        <v>45835</v>
      </c>
      <c r="D948" t="inlineStr">
        <is>
          <t>JÄMTLANDS LÄN</t>
        </is>
      </c>
      <c r="E948" t="inlineStr">
        <is>
          <t>RAGUNDA</t>
        </is>
      </c>
      <c r="F948" t="inlineStr">
        <is>
          <t>Sveaskog</t>
        </is>
      </c>
      <c r="G948" t="n">
        <v>6</v>
      </c>
      <c r="H948" t="n">
        <v>0</v>
      </c>
      <c r="I948" t="n">
        <v>0</v>
      </c>
      <c r="J948" t="n">
        <v>0</v>
      </c>
      <c r="K948" t="n">
        <v>0</v>
      </c>
      <c r="L948" t="n">
        <v>0</v>
      </c>
      <c r="M948" t="n">
        <v>0</v>
      </c>
      <c r="N948" t="n">
        <v>0</v>
      </c>
      <c r="O948" t="n">
        <v>0</v>
      </c>
      <c r="P948" t="n">
        <v>0</v>
      </c>
      <c r="Q948" t="n">
        <v>0</v>
      </c>
      <c r="R948" s="2" t="inlineStr"/>
    </row>
    <row r="949" ht="15" customHeight="1">
      <c r="A949" t="inlineStr">
        <is>
          <t>A 56192-2022</t>
        </is>
      </c>
      <c r="B949" s="1" t="n">
        <v>44889</v>
      </c>
      <c r="C949" s="1" t="n">
        <v>45835</v>
      </c>
      <c r="D949" t="inlineStr">
        <is>
          <t>JÄMTLANDS LÄN</t>
        </is>
      </c>
      <c r="E949" t="inlineStr">
        <is>
          <t>RAGUNDA</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56193-2022</t>
        </is>
      </c>
      <c r="B950" s="1" t="n">
        <v>44889</v>
      </c>
      <c r="C950" s="1" t="n">
        <v>45835</v>
      </c>
      <c r="D950" t="inlineStr">
        <is>
          <t>JÄMTLANDS LÄN</t>
        </is>
      </c>
      <c r="E950" t="inlineStr">
        <is>
          <t>RAGUNDA</t>
        </is>
      </c>
      <c r="F950" t="inlineStr">
        <is>
          <t>Sveaskog</t>
        </is>
      </c>
      <c r="G950" t="n">
        <v>4.2</v>
      </c>
      <c r="H950" t="n">
        <v>0</v>
      </c>
      <c r="I950" t="n">
        <v>0</v>
      </c>
      <c r="J950" t="n">
        <v>0</v>
      </c>
      <c r="K950" t="n">
        <v>0</v>
      </c>
      <c r="L950" t="n">
        <v>0</v>
      </c>
      <c r="M950" t="n">
        <v>0</v>
      </c>
      <c r="N950" t="n">
        <v>0</v>
      </c>
      <c r="O950" t="n">
        <v>0</v>
      </c>
      <c r="P950" t="n">
        <v>0</v>
      </c>
      <c r="Q950" t="n">
        <v>0</v>
      </c>
      <c r="R950" s="2" t="inlineStr"/>
    </row>
    <row r="951" ht="15" customHeight="1">
      <c r="A951" t="inlineStr">
        <is>
          <t>A 57237-2022</t>
        </is>
      </c>
      <c r="B951" s="1" t="n">
        <v>44889</v>
      </c>
      <c r="C951" s="1" t="n">
        <v>45835</v>
      </c>
      <c r="D951" t="inlineStr">
        <is>
          <t>JÄMTLANDS LÄN</t>
        </is>
      </c>
      <c r="E951" t="inlineStr">
        <is>
          <t>RAGUNDA</t>
        </is>
      </c>
      <c r="G951" t="n">
        <v>2.2</v>
      </c>
      <c r="H951" t="n">
        <v>0</v>
      </c>
      <c r="I951" t="n">
        <v>0</v>
      </c>
      <c r="J951" t="n">
        <v>0</v>
      </c>
      <c r="K951" t="n">
        <v>0</v>
      </c>
      <c r="L951" t="n">
        <v>0</v>
      </c>
      <c r="M951" t="n">
        <v>0</v>
      </c>
      <c r="N951" t="n">
        <v>0</v>
      </c>
      <c r="O951" t="n">
        <v>0</v>
      </c>
      <c r="P951" t="n">
        <v>0</v>
      </c>
      <c r="Q951" t="n">
        <v>0</v>
      </c>
      <c r="R951" s="2" t="inlineStr"/>
    </row>
    <row r="952" ht="15" customHeight="1">
      <c r="A952" t="inlineStr">
        <is>
          <t>A 56630-2022</t>
        </is>
      </c>
      <c r="B952" s="1" t="n">
        <v>44893</v>
      </c>
      <c r="C952" s="1" t="n">
        <v>45835</v>
      </c>
      <c r="D952" t="inlineStr">
        <is>
          <t>JÄMTLANDS LÄN</t>
        </is>
      </c>
      <c r="E952" t="inlineStr">
        <is>
          <t>RAGUNDA</t>
        </is>
      </c>
      <c r="G952" t="n">
        <v>1.9</v>
      </c>
      <c r="H952" t="n">
        <v>0</v>
      </c>
      <c r="I952" t="n">
        <v>0</v>
      </c>
      <c r="J952" t="n">
        <v>0</v>
      </c>
      <c r="K952" t="n">
        <v>0</v>
      </c>
      <c r="L952" t="n">
        <v>0</v>
      </c>
      <c r="M952" t="n">
        <v>0</v>
      </c>
      <c r="N952" t="n">
        <v>0</v>
      </c>
      <c r="O952" t="n">
        <v>0</v>
      </c>
      <c r="P952" t="n">
        <v>0</v>
      </c>
      <c r="Q952" t="n">
        <v>0</v>
      </c>
      <c r="R952" s="2" t="inlineStr"/>
    </row>
    <row r="953" ht="15" customHeight="1">
      <c r="A953" t="inlineStr">
        <is>
          <t>A 56984-2022</t>
        </is>
      </c>
      <c r="B953" s="1" t="n">
        <v>44894</v>
      </c>
      <c r="C953" s="1" t="n">
        <v>45835</v>
      </c>
      <c r="D953" t="inlineStr">
        <is>
          <t>JÄMTLANDS LÄN</t>
        </is>
      </c>
      <c r="E953" t="inlineStr">
        <is>
          <t>RAGUNDA</t>
        </is>
      </c>
      <c r="G953" t="n">
        <v>1.4</v>
      </c>
      <c r="H953" t="n">
        <v>0</v>
      </c>
      <c r="I953" t="n">
        <v>0</v>
      </c>
      <c r="J953" t="n">
        <v>0</v>
      </c>
      <c r="K953" t="n">
        <v>0</v>
      </c>
      <c r="L953" t="n">
        <v>0</v>
      </c>
      <c r="M953" t="n">
        <v>0</v>
      </c>
      <c r="N953" t="n">
        <v>0</v>
      </c>
      <c r="O953" t="n">
        <v>0</v>
      </c>
      <c r="P953" t="n">
        <v>0</v>
      </c>
      <c r="Q953" t="n">
        <v>0</v>
      </c>
      <c r="R953" s="2" t="inlineStr"/>
    </row>
    <row r="954" ht="15" customHeight="1">
      <c r="A954" t="inlineStr">
        <is>
          <t>A 58537-2022</t>
        </is>
      </c>
      <c r="B954" s="1" t="n">
        <v>44894</v>
      </c>
      <c r="C954" s="1" t="n">
        <v>45835</v>
      </c>
      <c r="D954" t="inlineStr">
        <is>
          <t>JÄMTLANDS LÄN</t>
        </is>
      </c>
      <c r="E954" t="inlineStr">
        <is>
          <t>RAGUNDA</t>
        </is>
      </c>
      <c r="G954" t="n">
        <v>1.2</v>
      </c>
      <c r="H954" t="n">
        <v>0</v>
      </c>
      <c r="I954" t="n">
        <v>0</v>
      </c>
      <c r="J954" t="n">
        <v>0</v>
      </c>
      <c r="K954" t="n">
        <v>0</v>
      </c>
      <c r="L954" t="n">
        <v>0</v>
      </c>
      <c r="M954" t="n">
        <v>0</v>
      </c>
      <c r="N954" t="n">
        <v>0</v>
      </c>
      <c r="O954" t="n">
        <v>0</v>
      </c>
      <c r="P954" t="n">
        <v>0</v>
      </c>
      <c r="Q954" t="n">
        <v>0</v>
      </c>
      <c r="R954" s="2" t="inlineStr"/>
    </row>
    <row r="955" ht="15" customHeight="1">
      <c r="A955" t="inlineStr">
        <is>
          <t>A 57298-2022</t>
        </is>
      </c>
      <c r="B955" s="1" t="n">
        <v>44895</v>
      </c>
      <c r="C955" s="1" t="n">
        <v>45835</v>
      </c>
      <c r="D955" t="inlineStr">
        <is>
          <t>JÄMTLANDS LÄN</t>
        </is>
      </c>
      <c r="E955" t="inlineStr">
        <is>
          <t>RAGUNDA</t>
        </is>
      </c>
      <c r="F955" t="inlineStr">
        <is>
          <t>SCA</t>
        </is>
      </c>
      <c r="G955" t="n">
        <v>27.4</v>
      </c>
      <c r="H955" t="n">
        <v>0</v>
      </c>
      <c r="I955" t="n">
        <v>0</v>
      </c>
      <c r="J955" t="n">
        <v>0</v>
      </c>
      <c r="K955" t="n">
        <v>0</v>
      </c>
      <c r="L955" t="n">
        <v>0</v>
      </c>
      <c r="M955" t="n">
        <v>0</v>
      </c>
      <c r="N955" t="n">
        <v>0</v>
      </c>
      <c r="O955" t="n">
        <v>0</v>
      </c>
      <c r="P955" t="n">
        <v>0</v>
      </c>
      <c r="Q955" t="n">
        <v>0</v>
      </c>
      <c r="R955" s="2" t="inlineStr"/>
    </row>
    <row r="956" ht="15" customHeight="1">
      <c r="A956" t="inlineStr">
        <is>
          <t>A 59242-2022</t>
        </is>
      </c>
      <c r="B956" s="1" t="n">
        <v>44896</v>
      </c>
      <c r="C956" s="1" t="n">
        <v>45835</v>
      </c>
      <c r="D956" t="inlineStr">
        <is>
          <t>JÄMTLANDS LÄN</t>
        </is>
      </c>
      <c r="E956" t="inlineStr">
        <is>
          <t>RAGUNDA</t>
        </is>
      </c>
      <c r="G956" t="n">
        <v>4</v>
      </c>
      <c r="H956" t="n">
        <v>0</v>
      </c>
      <c r="I956" t="n">
        <v>0</v>
      </c>
      <c r="J956" t="n">
        <v>0</v>
      </c>
      <c r="K956" t="n">
        <v>0</v>
      </c>
      <c r="L956" t="n">
        <v>0</v>
      </c>
      <c r="M956" t="n">
        <v>0</v>
      </c>
      <c r="N956" t="n">
        <v>0</v>
      </c>
      <c r="O956" t="n">
        <v>0</v>
      </c>
      <c r="P956" t="n">
        <v>0</v>
      </c>
      <c r="Q956" t="n">
        <v>0</v>
      </c>
      <c r="R956" s="2" t="inlineStr"/>
    </row>
    <row r="957" ht="15" customHeight="1">
      <c r="A957" t="inlineStr">
        <is>
          <t>A 57599-2022</t>
        </is>
      </c>
      <c r="B957" s="1" t="n">
        <v>44897</v>
      </c>
      <c r="C957" s="1" t="n">
        <v>45835</v>
      </c>
      <c r="D957" t="inlineStr">
        <is>
          <t>JÄMTLANDS LÄN</t>
        </is>
      </c>
      <c r="E957" t="inlineStr">
        <is>
          <t>RAGUNDA</t>
        </is>
      </c>
      <c r="F957" t="inlineStr">
        <is>
          <t>SCA</t>
        </is>
      </c>
      <c r="G957" t="n">
        <v>16.8</v>
      </c>
      <c r="H957" t="n">
        <v>0</v>
      </c>
      <c r="I957" t="n">
        <v>0</v>
      </c>
      <c r="J957" t="n">
        <v>0</v>
      </c>
      <c r="K957" t="n">
        <v>0</v>
      </c>
      <c r="L957" t="n">
        <v>0</v>
      </c>
      <c r="M957" t="n">
        <v>0</v>
      </c>
      <c r="N957" t="n">
        <v>0</v>
      </c>
      <c r="O957" t="n">
        <v>0</v>
      </c>
      <c r="P957" t="n">
        <v>0</v>
      </c>
      <c r="Q957" t="n">
        <v>0</v>
      </c>
      <c r="R957" s="2" t="inlineStr"/>
    </row>
    <row r="958" ht="15" customHeight="1">
      <c r="A958" t="inlineStr">
        <is>
          <t>A 57839-2022</t>
        </is>
      </c>
      <c r="B958" s="1" t="n">
        <v>44897</v>
      </c>
      <c r="C958" s="1" t="n">
        <v>45835</v>
      </c>
      <c r="D958" t="inlineStr">
        <is>
          <t>JÄMTLANDS LÄN</t>
        </is>
      </c>
      <c r="E958" t="inlineStr">
        <is>
          <t>RAGUNDA</t>
        </is>
      </c>
      <c r="F958" t="inlineStr">
        <is>
          <t>SCA</t>
        </is>
      </c>
      <c r="G958" t="n">
        <v>8.5</v>
      </c>
      <c r="H958" t="n">
        <v>0</v>
      </c>
      <c r="I958" t="n">
        <v>0</v>
      </c>
      <c r="J958" t="n">
        <v>0</v>
      </c>
      <c r="K958" t="n">
        <v>0</v>
      </c>
      <c r="L958" t="n">
        <v>0</v>
      </c>
      <c r="M958" t="n">
        <v>0</v>
      </c>
      <c r="N958" t="n">
        <v>0</v>
      </c>
      <c r="O958" t="n">
        <v>0</v>
      </c>
      <c r="P958" t="n">
        <v>0</v>
      </c>
      <c r="Q958" t="n">
        <v>0</v>
      </c>
      <c r="R958" s="2" t="inlineStr"/>
    </row>
    <row r="959" ht="15" customHeight="1">
      <c r="A959" t="inlineStr">
        <is>
          <t>A 58194-2022</t>
        </is>
      </c>
      <c r="B959" s="1" t="n">
        <v>44900</v>
      </c>
      <c r="C959" s="1" t="n">
        <v>45835</v>
      </c>
      <c r="D959" t="inlineStr">
        <is>
          <t>JÄMTLANDS LÄN</t>
        </is>
      </c>
      <c r="E959" t="inlineStr">
        <is>
          <t>RAGUNDA</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58193-2022</t>
        </is>
      </c>
      <c r="B960" s="1" t="n">
        <v>44900</v>
      </c>
      <c r="C960" s="1" t="n">
        <v>45835</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58442-2022</t>
        </is>
      </c>
      <c r="B961" s="1" t="n">
        <v>44901</v>
      </c>
      <c r="C961" s="1" t="n">
        <v>45835</v>
      </c>
      <c r="D961" t="inlineStr">
        <is>
          <t>JÄMTLANDS LÄN</t>
        </is>
      </c>
      <c r="E961" t="inlineStr">
        <is>
          <t>RAGUNDA</t>
        </is>
      </c>
      <c r="F961" t="inlineStr">
        <is>
          <t>SCA</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58438-2022</t>
        </is>
      </c>
      <c r="B962" s="1" t="n">
        <v>44901</v>
      </c>
      <c r="C962" s="1" t="n">
        <v>45835</v>
      </c>
      <c r="D962" t="inlineStr">
        <is>
          <t>JÄMTLANDS LÄN</t>
        </is>
      </c>
      <c r="E962" t="inlineStr">
        <is>
          <t>RAGUNDA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58443-2022</t>
        </is>
      </c>
      <c r="B963" s="1" t="n">
        <v>44901</v>
      </c>
      <c r="C963" s="1" t="n">
        <v>45835</v>
      </c>
      <c r="D963" t="inlineStr">
        <is>
          <t>JÄMTLANDS LÄN</t>
        </is>
      </c>
      <c r="E963" t="inlineStr">
        <is>
          <t>RAGUNDA</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60225-2022</t>
        </is>
      </c>
      <c r="B964" s="1" t="n">
        <v>44903</v>
      </c>
      <c r="C964" s="1" t="n">
        <v>45835</v>
      </c>
      <c r="D964" t="inlineStr">
        <is>
          <t>JÄMTLANDS LÄN</t>
        </is>
      </c>
      <c r="E964" t="inlineStr">
        <is>
          <t>RAGUNDA</t>
        </is>
      </c>
      <c r="G964" t="n">
        <v>1</v>
      </c>
      <c r="H964" t="n">
        <v>0</v>
      </c>
      <c r="I964" t="n">
        <v>0</v>
      </c>
      <c r="J964" t="n">
        <v>0</v>
      </c>
      <c r="K964" t="n">
        <v>0</v>
      </c>
      <c r="L964" t="n">
        <v>0</v>
      </c>
      <c r="M964" t="n">
        <v>0</v>
      </c>
      <c r="N964" t="n">
        <v>0</v>
      </c>
      <c r="O964" t="n">
        <v>0</v>
      </c>
      <c r="P964" t="n">
        <v>0</v>
      </c>
      <c r="Q964" t="n">
        <v>0</v>
      </c>
      <c r="R964" s="2" t="inlineStr"/>
    </row>
    <row r="965" ht="15" customHeight="1">
      <c r="A965" t="inlineStr">
        <is>
          <t>A 59044-2022</t>
        </is>
      </c>
      <c r="B965" s="1" t="n">
        <v>44903</v>
      </c>
      <c r="C965" s="1" t="n">
        <v>45835</v>
      </c>
      <c r="D965" t="inlineStr">
        <is>
          <t>JÄMTLANDS LÄN</t>
        </is>
      </c>
      <c r="E965" t="inlineStr">
        <is>
          <t>RAGUNDA</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59368-2022</t>
        </is>
      </c>
      <c r="B966" s="1" t="n">
        <v>44904</v>
      </c>
      <c r="C966" s="1" t="n">
        <v>45835</v>
      </c>
      <c r="D966" t="inlineStr">
        <is>
          <t>JÄMTLANDS LÄN</t>
        </is>
      </c>
      <c r="E966" t="inlineStr">
        <is>
          <t>RAGUNDA</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59911-2022</t>
        </is>
      </c>
      <c r="B967" s="1" t="n">
        <v>44909</v>
      </c>
      <c r="C967" s="1" t="n">
        <v>45835</v>
      </c>
      <c r="D967" t="inlineStr">
        <is>
          <t>JÄMTLANDS LÄN</t>
        </is>
      </c>
      <c r="E967" t="inlineStr">
        <is>
          <t>RAGUNDA</t>
        </is>
      </c>
      <c r="F967" t="inlineStr">
        <is>
          <t>SCA</t>
        </is>
      </c>
      <c r="G967" t="n">
        <v>17.1</v>
      </c>
      <c r="H967" t="n">
        <v>0</v>
      </c>
      <c r="I967" t="n">
        <v>0</v>
      </c>
      <c r="J967" t="n">
        <v>0</v>
      </c>
      <c r="K967" t="n">
        <v>0</v>
      </c>
      <c r="L967" t="n">
        <v>0</v>
      </c>
      <c r="M967" t="n">
        <v>0</v>
      </c>
      <c r="N967" t="n">
        <v>0</v>
      </c>
      <c r="O967" t="n">
        <v>0</v>
      </c>
      <c r="P967" t="n">
        <v>0</v>
      </c>
      <c r="Q967" t="n">
        <v>0</v>
      </c>
      <c r="R967" s="2" t="inlineStr"/>
    </row>
    <row r="968" ht="15" customHeight="1">
      <c r="A968" t="inlineStr">
        <is>
          <t>A 60177-2022</t>
        </is>
      </c>
      <c r="B968" s="1" t="n">
        <v>44909</v>
      </c>
      <c r="C968" s="1" t="n">
        <v>45835</v>
      </c>
      <c r="D968" t="inlineStr">
        <is>
          <t>JÄMTLANDS LÄN</t>
        </is>
      </c>
      <c r="E968" t="inlineStr">
        <is>
          <t>RAGUNDA</t>
        </is>
      </c>
      <c r="F968" t="inlineStr">
        <is>
          <t>SCA</t>
        </is>
      </c>
      <c r="G968" t="n">
        <v>17.9</v>
      </c>
      <c r="H968" t="n">
        <v>0</v>
      </c>
      <c r="I968" t="n">
        <v>0</v>
      </c>
      <c r="J968" t="n">
        <v>0</v>
      </c>
      <c r="K968" t="n">
        <v>0</v>
      </c>
      <c r="L968" t="n">
        <v>0</v>
      </c>
      <c r="M968" t="n">
        <v>0</v>
      </c>
      <c r="N968" t="n">
        <v>0</v>
      </c>
      <c r="O968" t="n">
        <v>0</v>
      </c>
      <c r="P968" t="n">
        <v>0</v>
      </c>
      <c r="Q968" t="n">
        <v>0</v>
      </c>
      <c r="R968" s="2" t="inlineStr"/>
    </row>
    <row r="969" ht="15" customHeight="1">
      <c r="A969" t="inlineStr">
        <is>
          <t>A 60660-2022</t>
        </is>
      </c>
      <c r="B969" s="1" t="n">
        <v>44911</v>
      </c>
      <c r="C969" s="1" t="n">
        <v>45835</v>
      </c>
      <c r="D969" t="inlineStr">
        <is>
          <t>JÄMTLANDS LÄN</t>
        </is>
      </c>
      <c r="E969" t="inlineStr">
        <is>
          <t>RAGUNDA</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60659-2022</t>
        </is>
      </c>
      <c r="B970" s="1" t="n">
        <v>44911</v>
      </c>
      <c r="C970" s="1" t="n">
        <v>45835</v>
      </c>
      <c r="D970" t="inlineStr">
        <is>
          <t>JÄMTLANDS LÄN</t>
        </is>
      </c>
      <c r="E970" t="inlineStr">
        <is>
          <t>RAGUNDA</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60673-2022</t>
        </is>
      </c>
      <c r="B971" s="1" t="n">
        <v>44911</v>
      </c>
      <c r="C971" s="1" t="n">
        <v>45835</v>
      </c>
      <c r="D971" t="inlineStr">
        <is>
          <t>JÄMTLANDS LÄN</t>
        </is>
      </c>
      <c r="E971" t="inlineStr">
        <is>
          <t>RAGUNDA</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60663-2022</t>
        </is>
      </c>
      <c r="B972" s="1" t="n">
        <v>44911</v>
      </c>
      <c r="C972" s="1" t="n">
        <v>45835</v>
      </c>
      <c r="D972" t="inlineStr">
        <is>
          <t>JÄMTLANDS LÄN</t>
        </is>
      </c>
      <c r="E972" t="inlineStr">
        <is>
          <t>RAGUNDA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60699-2022</t>
        </is>
      </c>
      <c r="B973" s="1" t="n">
        <v>44911</v>
      </c>
      <c r="C973" s="1" t="n">
        <v>45835</v>
      </c>
      <c r="D973" t="inlineStr">
        <is>
          <t>JÄMTLANDS LÄN</t>
        </is>
      </c>
      <c r="E973" t="inlineStr">
        <is>
          <t>RAGUNDA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60739-2022</t>
        </is>
      </c>
      <c r="B974" s="1" t="n">
        <v>44913</v>
      </c>
      <c r="C974" s="1" t="n">
        <v>45835</v>
      </c>
      <c r="D974" t="inlineStr">
        <is>
          <t>JÄMTLANDS LÄN</t>
        </is>
      </c>
      <c r="E974" t="inlineStr">
        <is>
          <t>RAGUNDA</t>
        </is>
      </c>
      <c r="F974" t="inlineStr">
        <is>
          <t>Naturvårdsverket</t>
        </is>
      </c>
      <c r="G974" t="n">
        <v>6.6</v>
      </c>
      <c r="H974" t="n">
        <v>0</v>
      </c>
      <c r="I974" t="n">
        <v>0</v>
      </c>
      <c r="J974" t="n">
        <v>0</v>
      </c>
      <c r="K974" t="n">
        <v>0</v>
      </c>
      <c r="L974" t="n">
        <v>0</v>
      </c>
      <c r="M974" t="n">
        <v>0</v>
      </c>
      <c r="N974" t="n">
        <v>0</v>
      </c>
      <c r="O974" t="n">
        <v>0</v>
      </c>
      <c r="P974" t="n">
        <v>0</v>
      </c>
      <c r="Q974" t="n">
        <v>0</v>
      </c>
      <c r="R974" s="2" t="inlineStr"/>
    </row>
    <row r="975" ht="15" customHeight="1">
      <c r="A975" t="inlineStr">
        <is>
          <t>A 62011-2022</t>
        </is>
      </c>
      <c r="B975" s="1" t="n">
        <v>44914</v>
      </c>
      <c r="C975" s="1" t="n">
        <v>45835</v>
      </c>
      <c r="D975" t="inlineStr">
        <is>
          <t>JÄMTLANDS LÄN</t>
        </is>
      </c>
      <c r="E975" t="inlineStr">
        <is>
          <t>RAGUNDA</t>
        </is>
      </c>
      <c r="G975" t="n">
        <v>0.3</v>
      </c>
      <c r="H975" t="n">
        <v>0</v>
      </c>
      <c r="I975" t="n">
        <v>0</v>
      </c>
      <c r="J975" t="n">
        <v>0</v>
      </c>
      <c r="K975" t="n">
        <v>0</v>
      </c>
      <c r="L975" t="n">
        <v>0</v>
      </c>
      <c r="M975" t="n">
        <v>0</v>
      </c>
      <c r="N975" t="n">
        <v>0</v>
      </c>
      <c r="O975" t="n">
        <v>0</v>
      </c>
      <c r="P975" t="n">
        <v>0</v>
      </c>
      <c r="Q975" t="n">
        <v>0</v>
      </c>
      <c r="R975" s="2" t="inlineStr"/>
    </row>
    <row r="976" ht="15" customHeight="1">
      <c r="A976" t="inlineStr">
        <is>
          <t>A 61045-2022</t>
        </is>
      </c>
      <c r="B976" s="1" t="n">
        <v>44914</v>
      </c>
      <c r="C976" s="1" t="n">
        <v>45835</v>
      </c>
      <c r="D976" t="inlineStr">
        <is>
          <t>JÄMTLANDS LÄN</t>
        </is>
      </c>
      <c r="E976" t="inlineStr">
        <is>
          <t>RAGUNDA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61080-2022</t>
        </is>
      </c>
      <c r="B977" s="1" t="n">
        <v>44915</v>
      </c>
      <c r="C977" s="1" t="n">
        <v>45835</v>
      </c>
      <c r="D977" t="inlineStr">
        <is>
          <t>JÄMTLANDS LÄN</t>
        </is>
      </c>
      <c r="E977" t="inlineStr">
        <is>
          <t>RAGUNDA</t>
        </is>
      </c>
      <c r="G977" t="n">
        <v>3.4</v>
      </c>
      <c r="H977" t="n">
        <v>0</v>
      </c>
      <c r="I977" t="n">
        <v>0</v>
      </c>
      <c r="J977" t="n">
        <v>0</v>
      </c>
      <c r="K977" t="n">
        <v>0</v>
      </c>
      <c r="L977" t="n">
        <v>0</v>
      </c>
      <c r="M977" t="n">
        <v>0</v>
      </c>
      <c r="N977" t="n">
        <v>0</v>
      </c>
      <c r="O977" t="n">
        <v>0</v>
      </c>
      <c r="P977" t="n">
        <v>0</v>
      </c>
      <c r="Q977" t="n">
        <v>0</v>
      </c>
      <c r="R977" s="2" t="inlineStr"/>
    </row>
    <row r="978" ht="15" customHeight="1">
      <c r="A978" t="inlineStr">
        <is>
          <t>A 61400-2022</t>
        </is>
      </c>
      <c r="B978" s="1" t="n">
        <v>44915</v>
      </c>
      <c r="C978" s="1" t="n">
        <v>45835</v>
      </c>
      <c r="D978" t="inlineStr">
        <is>
          <t>JÄMTLANDS LÄN</t>
        </is>
      </c>
      <c r="E978" t="inlineStr">
        <is>
          <t>RAGUNDA</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61401-2022</t>
        </is>
      </c>
      <c r="B979" s="1" t="n">
        <v>44915</v>
      </c>
      <c r="C979" s="1" t="n">
        <v>45835</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62541-2022</t>
        </is>
      </c>
      <c r="B980" s="1" t="n">
        <v>44917</v>
      </c>
      <c r="C980" s="1" t="n">
        <v>45835</v>
      </c>
      <c r="D980" t="inlineStr">
        <is>
          <t>JÄMTLANDS LÄN</t>
        </is>
      </c>
      <c r="E980" t="inlineStr">
        <is>
          <t>RAGUNDA</t>
        </is>
      </c>
      <c r="G980" t="n">
        <v>2.6</v>
      </c>
      <c r="H980" t="n">
        <v>0</v>
      </c>
      <c r="I980" t="n">
        <v>0</v>
      </c>
      <c r="J980" t="n">
        <v>0</v>
      </c>
      <c r="K980" t="n">
        <v>0</v>
      </c>
      <c r="L980" t="n">
        <v>0</v>
      </c>
      <c r="M980" t="n">
        <v>0</v>
      </c>
      <c r="N980" t="n">
        <v>0</v>
      </c>
      <c r="O980" t="n">
        <v>0</v>
      </c>
      <c r="P980" t="n">
        <v>0</v>
      </c>
      <c r="Q980" t="n">
        <v>0</v>
      </c>
      <c r="R980" s="2" t="inlineStr"/>
    </row>
    <row r="981" ht="15" customHeight="1">
      <c r="A981" t="inlineStr">
        <is>
          <t>A 61934-2022</t>
        </is>
      </c>
      <c r="B981" s="1" t="n">
        <v>44917</v>
      </c>
      <c r="C981" s="1" t="n">
        <v>45835</v>
      </c>
      <c r="D981" t="inlineStr">
        <is>
          <t>JÄMTLANDS LÄN</t>
        </is>
      </c>
      <c r="E981" t="inlineStr">
        <is>
          <t>RAGUNDA</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62081-2022</t>
        </is>
      </c>
      <c r="B982" s="1" t="n">
        <v>44918</v>
      </c>
      <c r="C982" s="1" t="n">
        <v>45835</v>
      </c>
      <c r="D982" t="inlineStr">
        <is>
          <t>JÄMTLANDS LÄN</t>
        </is>
      </c>
      <c r="E982" t="inlineStr">
        <is>
          <t>RAGUNDA</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182-2023</t>
        </is>
      </c>
      <c r="B983" s="1" t="n">
        <v>44922</v>
      </c>
      <c r="C983" s="1" t="n">
        <v>45835</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62407-2022</t>
        </is>
      </c>
      <c r="B984" s="1" t="n">
        <v>44923</v>
      </c>
      <c r="C984" s="1" t="n">
        <v>45835</v>
      </c>
      <c r="D984" t="inlineStr">
        <is>
          <t>JÄMTLANDS LÄN</t>
        </is>
      </c>
      <c r="E984" t="inlineStr">
        <is>
          <t>RAGUNDA</t>
        </is>
      </c>
      <c r="F984" t="inlineStr">
        <is>
          <t>SCA</t>
        </is>
      </c>
      <c r="G984" t="n">
        <v>53.6</v>
      </c>
      <c r="H984" t="n">
        <v>0</v>
      </c>
      <c r="I984" t="n">
        <v>0</v>
      </c>
      <c r="J984" t="n">
        <v>0</v>
      </c>
      <c r="K984" t="n">
        <v>0</v>
      </c>
      <c r="L984" t="n">
        <v>0</v>
      </c>
      <c r="M984" t="n">
        <v>0</v>
      </c>
      <c r="N984" t="n">
        <v>0</v>
      </c>
      <c r="O984" t="n">
        <v>0</v>
      </c>
      <c r="P984" t="n">
        <v>0</v>
      </c>
      <c r="Q984" t="n">
        <v>0</v>
      </c>
      <c r="R984" s="2" t="inlineStr"/>
    </row>
    <row r="985" ht="15" customHeight="1">
      <c r="A985" t="inlineStr">
        <is>
          <t>A 17-2023</t>
        </is>
      </c>
      <c r="B985" s="1" t="n">
        <v>44927</v>
      </c>
      <c r="C985" s="1" t="n">
        <v>45835</v>
      </c>
      <c r="D985" t="inlineStr">
        <is>
          <t>JÄMTLANDS LÄN</t>
        </is>
      </c>
      <c r="E985" t="inlineStr">
        <is>
          <t>RAGUNDA</t>
        </is>
      </c>
      <c r="F985" t="inlineStr">
        <is>
          <t>SCA</t>
        </is>
      </c>
      <c r="G985" t="n">
        <v>49.6</v>
      </c>
      <c r="H985" t="n">
        <v>0</v>
      </c>
      <c r="I985" t="n">
        <v>0</v>
      </c>
      <c r="J985" t="n">
        <v>0</v>
      </c>
      <c r="K985" t="n">
        <v>0</v>
      </c>
      <c r="L985" t="n">
        <v>0</v>
      </c>
      <c r="M985" t="n">
        <v>0</v>
      </c>
      <c r="N985" t="n">
        <v>0</v>
      </c>
      <c r="O985" t="n">
        <v>0</v>
      </c>
      <c r="P985" t="n">
        <v>0</v>
      </c>
      <c r="Q985" t="n">
        <v>0</v>
      </c>
      <c r="R985" s="2" t="inlineStr"/>
    </row>
    <row r="986" ht="15" customHeight="1">
      <c r="A986" t="inlineStr">
        <is>
          <t>A 462-2023</t>
        </is>
      </c>
      <c r="B986" s="1" t="n">
        <v>44929</v>
      </c>
      <c r="C986" s="1" t="n">
        <v>45835</v>
      </c>
      <c r="D986" t="inlineStr">
        <is>
          <t>JÄMTLANDS LÄN</t>
        </is>
      </c>
      <c r="E986" t="inlineStr">
        <is>
          <t>RAGUNDA</t>
        </is>
      </c>
      <c r="G986" t="n">
        <v>4.5</v>
      </c>
      <c r="H986" t="n">
        <v>0</v>
      </c>
      <c r="I986" t="n">
        <v>0</v>
      </c>
      <c r="J986" t="n">
        <v>0</v>
      </c>
      <c r="K986" t="n">
        <v>0</v>
      </c>
      <c r="L986" t="n">
        <v>0</v>
      </c>
      <c r="M986" t="n">
        <v>0</v>
      </c>
      <c r="N986" t="n">
        <v>0</v>
      </c>
      <c r="O986" t="n">
        <v>0</v>
      </c>
      <c r="P986" t="n">
        <v>0</v>
      </c>
      <c r="Q986" t="n">
        <v>0</v>
      </c>
      <c r="R986" s="2" t="inlineStr"/>
    </row>
    <row r="987" ht="15" customHeight="1">
      <c r="A987" t="inlineStr">
        <is>
          <t>A 467-2023</t>
        </is>
      </c>
      <c r="B987" s="1" t="n">
        <v>44929</v>
      </c>
      <c r="C987" s="1" t="n">
        <v>45835</v>
      </c>
      <c r="D987" t="inlineStr">
        <is>
          <t>JÄMTLANDS LÄN</t>
        </is>
      </c>
      <c r="E987" t="inlineStr">
        <is>
          <t>RAGUNDA</t>
        </is>
      </c>
      <c r="G987" t="n">
        <v>2</v>
      </c>
      <c r="H987" t="n">
        <v>0</v>
      </c>
      <c r="I987" t="n">
        <v>0</v>
      </c>
      <c r="J987" t="n">
        <v>0</v>
      </c>
      <c r="K987" t="n">
        <v>0</v>
      </c>
      <c r="L987" t="n">
        <v>0</v>
      </c>
      <c r="M987" t="n">
        <v>0</v>
      </c>
      <c r="N987" t="n">
        <v>0</v>
      </c>
      <c r="O987" t="n">
        <v>0</v>
      </c>
      <c r="P987" t="n">
        <v>0</v>
      </c>
      <c r="Q987" t="n">
        <v>0</v>
      </c>
      <c r="R987" s="2" t="inlineStr"/>
    </row>
    <row r="988" ht="15" customHeight="1">
      <c r="A988" t="inlineStr">
        <is>
          <t>A 465-2023</t>
        </is>
      </c>
      <c r="B988" s="1" t="n">
        <v>44929</v>
      </c>
      <c r="C988" s="1" t="n">
        <v>45835</v>
      </c>
      <c r="D988" t="inlineStr">
        <is>
          <t>JÄMTLANDS LÄN</t>
        </is>
      </c>
      <c r="E988" t="inlineStr">
        <is>
          <t>RAGUNDA</t>
        </is>
      </c>
      <c r="G988" t="n">
        <v>0.8</v>
      </c>
      <c r="H988" t="n">
        <v>0</v>
      </c>
      <c r="I988" t="n">
        <v>0</v>
      </c>
      <c r="J988" t="n">
        <v>0</v>
      </c>
      <c r="K988" t="n">
        <v>0</v>
      </c>
      <c r="L988" t="n">
        <v>0</v>
      </c>
      <c r="M988" t="n">
        <v>0</v>
      </c>
      <c r="N988" t="n">
        <v>0</v>
      </c>
      <c r="O988" t="n">
        <v>0</v>
      </c>
      <c r="P988" t="n">
        <v>0</v>
      </c>
      <c r="Q988" t="n">
        <v>0</v>
      </c>
      <c r="R988" s="2" t="inlineStr"/>
    </row>
    <row r="989" ht="15" customHeight="1">
      <c r="A989" t="inlineStr">
        <is>
          <t>A 464-2023</t>
        </is>
      </c>
      <c r="B989" s="1" t="n">
        <v>44929</v>
      </c>
      <c r="C989" s="1" t="n">
        <v>45835</v>
      </c>
      <c r="D989" t="inlineStr">
        <is>
          <t>JÄMTLANDS LÄN</t>
        </is>
      </c>
      <c r="E989" t="inlineStr">
        <is>
          <t>RAGUNDA</t>
        </is>
      </c>
      <c r="G989" t="n">
        <v>1.4</v>
      </c>
      <c r="H989" t="n">
        <v>0</v>
      </c>
      <c r="I989" t="n">
        <v>0</v>
      </c>
      <c r="J989" t="n">
        <v>0</v>
      </c>
      <c r="K989" t="n">
        <v>0</v>
      </c>
      <c r="L989" t="n">
        <v>0</v>
      </c>
      <c r="M989" t="n">
        <v>0</v>
      </c>
      <c r="N989" t="n">
        <v>0</v>
      </c>
      <c r="O989" t="n">
        <v>0</v>
      </c>
      <c r="P989" t="n">
        <v>0</v>
      </c>
      <c r="Q989" t="n">
        <v>0</v>
      </c>
      <c r="R989" s="2" t="inlineStr"/>
    </row>
    <row r="990" ht="15" customHeight="1">
      <c r="A990" t="inlineStr">
        <is>
          <t>A 719-2023</t>
        </is>
      </c>
      <c r="B990" s="1" t="n">
        <v>44930</v>
      </c>
      <c r="C990" s="1" t="n">
        <v>45835</v>
      </c>
      <c r="D990" t="inlineStr">
        <is>
          <t>JÄMTLANDS LÄN</t>
        </is>
      </c>
      <c r="E990" t="inlineStr">
        <is>
          <t>RAGUNDA</t>
        </is>
      </c>
      <c r="F990" t="inlineStr">
        <is>
          <t>SCA</t>
        </is>
      </c>
      <c r="G990" t="n">
        <v>10.7</v>
      </c>
      <c r="H990" t="n">
        <v>0</v>
      </c>
      <c r="I990" t="n">
        <v>0</v>
      </c>
      <c r="J990" t="n">
        <v>0</v>
      </c>
      <c r="K990" t="n">
        <v>0</v>
      </c>
      <c r="L990" t="n">
        <v>0</v>
      </c>
      <c r="M990" t="n">
        <v>0</v>
      </c>
      <c r="N990" t="n">
        <v>0</v>
      </c>
      <c r="O990" t="n">
        <v>0</v>
      </c>
      <c r="P990" t="n">
        <v>0</v>
      </c>
      <c r="Q990" t="n">
        <v>0</v>
      </c>
      <c r="R990" s="2" t="inlineStr"/>
    </row>
    <row r="991" ht="15" customHeight="1">
      <c r="A991" t="inlineStr">
        <is>
          <t>A 718-2023</t>
        </is>
      </c>
      <c r="B991" s="1" t="n">
        <v>44930</v>
      </c>
      <c r="C991" s="1" t="n">
        <v>45835</v>
      </c>
      <c r="D991" t="inlineStr">
        <is>
          <t>JÄMTLANDS LÄN</t>
        </is>
      </c>
      <c r="E991" t="inlineStr">
        <is>
          <t>RAGUNDA</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934-2023</t>
        </is>
      </c>
      <c r="B992" s="1" t="n">
        <v>44932</v>
      </c>
      <c r="C992" s="1" t="n">
        <v>45835</v>
      </c>
      <c r="D992" t="inlineStr">
        <is>
          <t>JÄMTLANDS LÄN</t>
        </is>
      </c>
      <c r="E992" t="inlineStr">
        <is>
          <t>RAGUNDA</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1876-2023</t>
        </is>
      </c>
      <c r="B993" s="1" t="n">
        <v>44938</v>
      </c>
      <c r="C993" s="1" t="n">
        <v>45835</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1870-2023</t>
        </is>
      </c>
      <c r="B994" s="1" t="n">
        <v>44938</v>
      </c>
      <c r="C994" s="1" t="n">
        <v>45835</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1871-2023</t>
        </is>
      </c>
      <c r="B995" s="1" t="n">
        <v>44938</v>
      </c>
      <c r="C995" s="1" t="n">
        <v>45835</v>
      </c>
      <c r="D995" t="inlineStr">
        <is>
          <t>JÄMTLANDS LÄN</t>
        </is>
      </c>
      <c r="E995" t="inlineStr">
        <is>
          <t>RAGUNDA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1875-2023</t>
        </is>
      </c>
      <c r="B996" s="1" t="n">
        <v>44938</v>
      </c>
      <c r="C996" s="1" t="n">
        <v>45835</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2117-2023</t>
        </is>
      </c>
      <c r="B997" s="1" t="n">
        <v>44939</v>
      </c>
      <c r="C997" s="1" t="n">
        <v>45835</v>
      </c>
      <c r="D997" t="inlineStr">
        <is>
          <t>JÄMTLANDS LÄN</t>
        </is>
      </c>
      <c r="E997" t="inlineStr">
        <is>
          <t>RAGUNDA</t>
        </is>
      </c>
      <c r="F997" t="inlineStr">
        <is>
          <t>SCA</t>
        </is>
      </c>
      <c r="G997" t="n">
        <v>7.3</v>
      </c>
      <c r="H997" t="n">
        <v>0</v>
      </c>
      <c r="I997" t="n">
        <v>0</v>
      </c>
      <c r="J997" t="n">
        <v>0</v>
      </c>
      <c r="K997" t="n">
        <v>0</v>
      </c>
      <c r="L997" t="n">
        <v>0</v>
      </c>
      <c r="M997" t="n">
        <v>0</v>
      </c>
      <c r="N997" t="n">
        <v>0</v>
      </c>
      <c r="O997" t="n">
        <v>0</v>
      </c>
      <c r="P997" t="n">
        <v>0</v>
      </c>
      <c r="Q997" t="n">
        <v>0</v>
      </c>
      <c r="R997" s="2" t="inlineStr"/>
    </row>
    <row r="998" ht="15" customHeight="1">
      <c r="A998" t="inlineStr">
        <is>
          <t>A 2130-2023</t>
        </is>
      </c>
      <c r="B998" s="1" t="n">
        <v>44939</v>
      </c>
      <c r="C998" s="1" t="n">
        <v>45835</v>
      </c>
      <c r="D998" t="inlineStr">
        <is>
          <t>JÄMTLANDS LÄN</t>
        </is>
      </c>
      <c r="E998" t="inlineStr">
        <is>
          <t>RAGUNDA</t>
        </is>
      </c>
      <c r="F998" t="inlineStr">
        <is>
          <t>SCA</t>
        </is>
      </c>
      <c r="G998" t="n">
        <v>6</v>
      </c>
      <c r="H998" t="n">
        <v>0</v>
      </c>
      <c r="I998" t="n">
        <v>0</v>
      </c>
      <c r="J998" t="n">
        <v>0</v>
      </c>
      <c r="K998" t="n">
        <v>0</v>
      </c>
      <c r="L998" t="n">
        <v>0</v>
      </c>
      <c r="M998" t="n">
        <v>0</v>
      </c>
      <c r="N998" t="n">
        <v>0</v>
      </c>
      <c r="O998" t="n">
        <v>0</v>
      </c>
      <c r="P998" t="n">
        <v>0</v>
      </c>
      <c r="Q998" t="n">
        <v>0</v>
      </c>
      <c r="R998" s="2" t="inlineStr"/>
    </row>
    <row r="999" ht="15" customHeight="1">
      <c r="A999" t="inlineStr">
        <is>
          <t>A 2127-2023</t>
        </is>
      </c>
      <c r="B999" s="1" t="n">
        <v>44939</v>
      </c>
      <c r="C999" s="1" t="n">
        <v>45835</v>
      </c>
      <c r="D999" t="inlineStr">
        <is>
          <t>JÄMTLANDS LÄN</t>
        </is>
      </c>
      <c r="E999" t="inlineStr">
        <is>
          <t>RAGUNDA</t>
        </is>
      </c>
      <c r="F999" t="inlineStr">
        <is>
          <t>SCA</t>
        </is>
      </c>
      <c r="G999" t="n">
        <v>6.6</v>
      </c>
      <c r="H999" t="n">
        <v>0</v>
      </c>
      <c r="I999" t="n">
        <v>0</v>
      </c>
      <c r="J999" t="n">
        <v>0</v>
      </c>
      <c r="K999" t="n">
        <v>0</v>
      </c>
      <c r="L999" t="n">
        <v>0</v>
      </c>
      <c r="M999" t="n">
        <v>0</v>
      </c>
      <c r="N999" t="n">
        <v>0</v>
      </c>
      <c r="O999" t="n">
        <v>0</v>
      </c>
      <c r="P999" t="n">
        <v>0</v>
      </c>
      <c r="Q999" t="n">
        <v>0</v>
      </c>
      <c r="R999" s="2" t="inlineStr"/>
    </row>
    <row r="1000" ht="15" customHeight="1">
      <c r="A1000" t="inlineStr">
        <is>
          <t>A 2133-2023</t>
        </is>
      </c>
      <c r="B1000" s="1" t="n">
        <v>44939</v>
      </c>
      <c r="C1000" s="1" t="n">
        <v>45835</v>
      </c>
      <c r="D1000" t="inlineStr">
        <is>
          <t>JÄMTLANDS LÄN</t>
        </is>
      </c>
      <c r="E1000" t="inlineStr">
        <is>
          <t>RAGUNDA</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2401-2023</t>
        </is>
      </c>
      <c r="B1001" s="1" t="n">
        <v>44942</v>
      </c>
      <c r="C1001" s="1" t="n">
        <v>45835</v>
      </c>
      <c r="D1001" t="inlineStr">
        <is>
          <t>JÄMTLANDS LÄN</t>
        </is>
      </c>
      <c r="E1001" t="inlineStr">
        <is>
          <t>RAGUNDA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2411-2023</t>
        </is>
      </c>
      <c r="B1002" s="1" t="n">
        <v>44942</v>
      </c>
      <c r="C1002" s="1" t="n">
        <v>45835</v>
      </c>
      <c r="D1002" t="inlineStr">
        <is>
          <t>JÄMTLANDS LÄN</t>
        </is>
      </c>
      <c r="E1002" t="inlineStr">
        <is>
          <t>RAGUNDA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2402-2023</t>
        </is>
      </c>
      <c r="B1003" s="1" t="n">
        <v>44942</v>
      </c>
      <c r="C1003" s="1" t="n">
        <v>45835</v>
      </c>
      <c r="D1003" t="inlineStr">
        <is>
          <t>JÄMTLANDS LÄN</t>
        </is>
      </c>
      <c r="E1003" t="inlineStr">
        <is>
          <t>RAGUNDA</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2414-2023</t>
        </is>
      </c>
      <c r="B1004" s="1" t="n">
        <v>44942</v>
      </c>
      <c r="C1004" s="1" t="n">
        <v>45835</v>
      </c>
      <c r="D1004" t="inlineStr">
        <is>
          <t>JÄMTLANDS LÄN</t>
        </is>
      </c>
      <c r="E1004" t="inlineStr">
        <is>
          <t>RAGUNDA</t>
        </is>
      </c>
      <c r="F1004" t="inlineStr">
        <is>
          <t>SCA</t>
        </is>
      </c>
      <c r="G1004" t="n">
        <v>28.4</v>
      </c>
      <c r="H1004" t="n">
        <v>0</v>
      </c>
      <c r="I1004" t="n">
        <v>0</v>
      </c>
      <c r="J1004" t="n">
        <v>0</v>
      </c>
      <c r="K1004" t="n">
        <v>0</v>
      </c>
      <c r="L1004" t="n">
        <v>0</v>
      </c>
      <c r="M1004" t="n">
        <v>0</v>
      </c>
      <c r="N1004" t="n">
        <v>0</v>
      </c>
      <c r="O1004" t="n">
        <v>0</v>
      </c>
      <c r="P1004" t="n">
        <v>0</v>
      </c>
      <c r="Q1004" t="n">
        <v>0</v>
      </c>
      <c r="R1004" s="2" t="inlineStr"/>
    </row>
    <row r="1005" ht="15" customHeight="1">
      <c r="A1005" t="inlineStr">
        <is>
          <t>A 2599-2023</t>
        </is>
      </c>
      <c r="B1005" s="1" t="n">
        <v>44943</v>
      </c>
      <c r="C1005" s="1" t="n">
        <v>45835</v>
      </c>
      <c r="D1005" t="inlineStr">
        <is>
          <t>JÄMTLANDS LÄN</t>
        </is>
      </c>
      <c r="E1005" t="inlineStr">
        <is>
          <t>RAGUNDA</t>
        </is>
      </c>
      <c r="F1005" t="inlineStr">
        <is>
          <t>SCA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2600-2023</t>
        </is>
      </c>
      <c r="B1006" s="1" t="n">
        <v>44943</v>
      </c>
      <c r="C1006" s="1" t="n">
        <v>45835</v>
      </c>
      <c r="D1006" t="inlineStr">
        <is>
          <t>JÄMTLANDS LÄN</t>
        </is>
      </c>
      <c r="E1006" t="inlineStr">
        <is>
          <t>RAGUNDA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2819-2023</t>
        </is>
      </c>
      <c r="B1007" s="1" t="n">
        <v>44944</v>
      </c>
      <c r="C1007" s="1" t="n">
        <v>45835</v>
      </c>
      <c r="D1007" t="inlineStr">
        <is>
          <t>JÄMTLANDS LÄN</t>
        </is>
      </c>
      <c r="E1007" t="inlineStr">
        <is>
          <t>RAGUNDA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3034-2023</t>
        </is>
      </c>
      <c r="B1008" s="1" t="n">
        <v>44945</v>
      </c>
      <c r="C1008" s="1" t="n">
        <v>45835</v>
      </c>
      <c r="D1008" t="inlineStr">
        <is>
          <t>JÄMTLANDS LÄN</t>
        </is>
      </c>
      <c r="E1008" t="inlineStr">
        <is>
          <t>RAGUNDA</t>
        </is>
      </c>
      <c r="F1008" t="inlineStr">
        <is>
          <t>SCA</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3242-2023</t>
        </is>
      </c>
      <c r="B1009" s="1" t="n">
        <v>44946</v>
      </c>
      <c r="C1009" s="1" t="n">
        <v>45835</v>
      </c>
      <c r="D1009" t="inlineStr">
        <is>
          <t>JÄMTLANDS LÄN</t>
        </is>
      </c>
      <c r="E1009" t="inlineStr">
        <is>
          <t>RAGUNDA</t>
        </is>
      </c>
      <c r="F1009" t="inlineStr">
        <is>
          <t>SCA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3243-2023</t>
        </is>
      </c>
      <c r="B1010" s="1" t="n">
        <v>44946</v>
      </c>
      <c r="C1010" s="1" t="n">
        <v>45835</v>
      </c>
      <c r="D1010" t="inlineStr">
        <is>
          <t>JÄMTLANDS LÄN</t>
        </is>
      </c>
      <c r="E1010" t="inlineStr">
        <is>
          <t>RAGUNDA</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4348-2023</t>
        </is>
      </c>
      <c r="B1011" s="1" t="n">
        <v>44953</v>
      </c>
      <c r="C1011" s="1" t="n">
        <v>45835</v>
      </c>
      <c r="D1011" t="inlineStr">
        <is>
          <t>JÄMTLANDS LÄN</t>
        </is>
      </c>
      <c r="E1011" t="inlineStr">
        <is>
          <t>RAGUNDA</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4346-2023</t>
        </is>
      </c>
      <c r="B1012" s="1" t="n">
        <v>44954</v>
      </c>
      <c r="C1012" s="1" t="n">
        <v>45835</v>
      </c>
      <c r="D1012" t="inlineStr">
        <is>
          <t>JÄMTLANDS LÄN</t>
        </is>
      </c>
      <c r="E1012" t="inlineStr">
        <is>
          <t>RAGUNDA</t>
        </is>
      </c>
      <c r="F1012" t="inlineStr">
        <is>
          <t>SCA</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4350-2023</t>
        </is>
      </c>
      <c r="B1013" s="1" t="n">
        <v>44953</v>
      </c>
      <c r="C1013" s="1" t="n">
        <v>45835</v>
      </c>
      <c r="D1013" t="inlineStr">
        <is>
          <t>JÄMTLANDS LÄN</t>
        </is>
      </c>
      <c r="E1013" t="inlineStr">
        <is>
          <t>RAGUNDA</t>
        </is>
      </c>
      <c r="F1013" t="inlineStr">
        <is>
          <t>Naturvårdsverket</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4349-2023</t>
        </is>
      </c>
      <c r="B1014" s="1" t="n">
        <v>44954</v>
      </c>
      <c r="C1014" s="1" t="n">
        <v>45835</v>
      </c>
      <c r="D1014" t="inlineStr">
        <is>
          <t>JÄMTLANDS LÄN</t>
        </is>
      </c>
      <c r="E1014" t="inlineStr">
        <is>
          <t>RAGUNDA</t>
        </is>
      </c>
      <c r="F1014" t="inlineStr">
        <is>
          <t>SCA</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4622-2023</t>
        </is>
      </c>
      <c r="B1015" s="1" t="n">
        <v>44956</v>
      </c>
      <c r="C1015" s="1" t="n">
        <v>45835</v>
      </c>
      <c r="D1015" t="inlineStr">
        <is>
          <t>JÄMTLANDS LÄN</t>
        </is>
      </c>
      <c r="E1015" t="inlineStr">
        <is>
          <t>RAGUNDA</t>
        </is>
      </c>
      <c r="F1015" t="inlineStr">
        <is>
          <t>Sveaskog</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4620-2023</t>
        </is>
      </c>
      <c r="B1016" s="1" t="n">
        <v>44956</v>
      </c>
      <c r="C1016" s="1" t="n">
        <v>45835</v>
      </c>
      <c r="D1016" t="inlineStr">
        <is>
          <t>JÄMTLANDS LÄN</t>
        </is>
      </c>
      <c r="E1016" t="inlineStr">
        <is>
          <t>RAGUNDA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4615-2023</t>
        </is>
      </c>
      <c r="B1017" s="1" t="n">
        <v>44956</v>
      </c>
      <c r="C1017" s="1" t="n">
        <v>45835</v>
      </c>
      <c r="D1017" t="inlineStr">
        <is>
          <t>JÄMTLANDS LÄN</t>
        </is>
      </c>
      <c r="E1017" t="inlineStr">
        <is>
          <t>RAGUNDA</t>
        </is>
      </c>
      <c r="F1017" t="inlineStr">
        <is>
          <t>SCA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4882-2023</t>
        </is>
      </c>
      <c r="B1018" s="1" t="n">
        <v>44957</v>
      </c>
      <c r="C1018" s="1" t="n">
        <v>45835</v>
      </c>
      <c r="D1018" t="inlineStr">
        <is>
          <t>JÄMTLANDS LÄN</t>
        </is>
      </c>
      <c r="E1018" t="inlineStr">
        <is>
          <t>RAGUNDA</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4874-2023</t>
        </is>
      </c>
      <c r="B1019" s="1" t="n">
        <v>44957</v>
      </c>
      <c r="C1019" s="1" t="n">
        <v>45835</v>
      </c>
      <c r="D1019" t="inlineStr">
        <is>
          <t>JÄMTLANDS LÄN</t>
        </is>
      </c>
      <c r="E1019" t="inlineStr">
        <is>
          <t>RAGUNDA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4879-2023</t>
        </is>
      </c>
      <c r="B1020" s="1" t="n">
        <v>44957</v>
      </c>
      <c r="C1020" s="1" t="n">
        <v>45835</v>
      </c>
      <c r="D1020" t="inlineStr">
        <is>
          <t>JÄMTLANDS LÄN</t>
        </is>
      </c>
      <c r="E1020" t="inlineStr">
        <is>
          <t>RAGUNDA</t>
        </is>
      </c>
      <c r="F1020" t="inlineStr">
        <is>
          <t>SCA</t>
        </is>
      </c>
      <c r="G1020" t="n">
        <v>17.4</v>
      </c>
      <c r="H1020" t="n">
        <v>0</v>
      </c>
      <c r="I1020" t="n">
        <v>0</v>
      </c>
      <c r="J1020" t="n">
        <v>0</v>
      </c>
      <c r="K1020" t="n">
        <v>0</v>
      </c>
      <c r="L1020" t="n">
        <v>0</v>
      </c>
      <c r="M1020" t="n">
        <v>0</v>
      </c>
      <c r="N1020" t="n">
        <v>0</v>
      </c>
      <c r="O1020" t="n">
        <v>0</v>
      </c>
      <c r="P1020" t="n">
        <v>0</v>
      </c>
      <c r="Q1020" t="n">
        <v>0</v>
      </c>
      <c r="R1020" s="2" t="inlineStr"/>
    </row>
    <row r="1021" ht="15" customHeight="1">
      <c r="A1021" t="inlineStr">
        <is>
          <t>A 5163-2023</t>
        </is>
      </c>
      <c r="B1021" s="1" t="n">
        <v>44958</v>
      </c>
      <c r="C1021" s="1" t="n">
        <v>45835</v>
      </c>
      <c r="D1021" t="inlineStr">
        <is>
          <t>JÄMTLANDS LÄN</t>
        </is>
      </c>
      <c r="E1021" t="inlineStr">
        <is>
          <t>RAGUNDA</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5815-2023</t>
        </is>
      </c>
      <c r="B1022" s="1" t="n">
        <v>44958</v>
      </c>
      <c r="C1022" s="1" t="n">
        <v>45835</v>
      </c>
      <c r="D1022" t="inlineStr">
        <is>
          <t>JÄMTLANDS LÄN</t>
        </is>
      </c>
      <c r="E1022" t="inlineStr">
        <is>
          <t>RAGUNDA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5148-2023</t>
        </is>
      </c>
      <c r="B1023" s="1" t="n">
        <v>44958</v>
      </c>
      <c r="C1023" s="1" t="n">
        <v>45835</v>
      </c>
      <c r="D1023" t="inlineStr">
        <is>
          <t>JÄMTLANDS LÄN</t>
        </is>
      </c>
      <c r="E1023" t="inlineStr">
        <is>
          <t>RAGUNDA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5164-2023</t>
        </is>
      </c>
      <c r="B1024" s="1" t="n">
        <v>44958</v>
      </c>
      <c r="C1024" s="1" t="n">
        <v>45835</v>
      </c>
      <c r="D1024" t="inlineStr">
        <is>
          <t>JÄMTLANDS LÄN</t>
        </is>
      </c>
      <c r="E1024" t="inlineStr">
        <is>
          <t>RAGUNDA</t>
        </is>
      </c>
      <c r="F1024" t="inlineStr">
        <is>
          <t>SCA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5175-2023</t>
        </is>
      </c>
      <c r="B1025" s="1" t="n">
        <v>44958</v>
      </c>
      <c r="C1025" s="1" t="n">
        <v>45835</v>
      </c>
      <c r="D1025" t="inlineStr">
        <is>
          <t>JÄMTLANDS LÄN</t>
        </is>
      </c>
      <c r="E1025" t="inlineStr">
        <is>
          <t>RAGUNDA</t>
        </is>
      </c>
      <c r="F1025" t="inlineStr">
        <is>
          <t>SCA</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5439-2023</t>
        </is>
      </c>
      <c r="B1026" s="1" t="n">
        <v>44959</v>
      </c>
      <c r="C1026" s="1" t="n">
        <v>45835</v>
      </c>
      <c r="D1026" t="inlineStr">
        <is>
          <t>JÄMTLANDS LÄN</t>
        </is>
      </c>
      <c r="E1026" t="inlineStr">
        <is>
          <t>RAGUNDA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5711-2023</t>
        </is>
      </c>
      <c r="B1027" s="1" t="n">
        <v>44960</v>
      </c>
      <c r="C1027" s="1" t="n">
        <v>45835</v>
      </c>
      <c r="D1027" t="inlineStr">
        <is>
          <t>JÄMTLANDS LÄN</t>
        </is>
      </c>
      <c r="E1027" t="inlineStr">
        <is>
          <t>RAGUNDA</t>
        </is>
      </c>
      <c r="F1027" t="inlineStr">
        <is>
          <t>SCA</t>
        </is>
      </c>
      <c r="G1027" t="n">
        <v>15.4</v>
      </c>
      <c r="H1027" t="n">
        <v>0</v>
      </c>
      <c r="I1027" t="n">
        <v>0</v>
      </c>
      <c r="J1027" t="n">
        <v>0</v>
      </c>
      <c r="K1027" t="n">
        <v>0</v>
      </c>
      <c r="L1027" t="n">
        <v>0</v>
      </c>
      <c r="M1027" t="n">
        <v>0</v>
      </c>
      <c r="N1027" t="n">
        <v>0</v>
      </c>
      <c r="O1027" t="n">
        <v>0</v>
      </c>
      <c r="P1027" t="n">
        <v>0</v>
      </c>
      <c r="Q1027" t="n">
        <v>0</v>
      </c>
      <c r="R1027" s="2" t="inlineStr"/>
    </row>
    <row r="1028" ht="15" customHeight="1">
      <c r="A1028" t="inlineStr">
        <is>
          <t>A 5958-2023</t>
        </is>
      </c>
      <c r="B1028" s="1" t="n">
        <v>44963</v>
      </c>
      <c r="C1028" s="1" t="n">
        <v>45835</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6586-2023</t>
        </is>
      </c>
      <c r="B1029" s="1" t="n">
        <v>44963</v>
      </c>
      <c r="C1029" s="1" t="n">
        <v>45835</v>
      </c>
      <c r="D1029" t="inlineStr">
        <is>
          <t>JÄMTLANDS LÄN</t>
        </is>
      </c>
      <c r="E1029" t="inlineStr">
        <is>
          <t>RAGUNDA</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6467-2023</t>
        </is>
      </c>
      <c r="B1030" s="1" t="n">
        <v>44965</v>
      </c>
      <c r="C1030" s="1" t="n">
        <v>45835</v>
      </c>
      <c r="D1030" t="inlineStr">
        <is>
          <t>JÄMTLANDS LÄN</t>
        </is>
      </c>
      <c r="E1030" t="inlineStr">
        <is>
          <t>RAGUNDA</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6470-2023</t>
        </is>
      </c>
      <c r="B1031" s="1" t="n">
        <v>44965</v>
      </c>
      <c r="C1031" s="1" t="n">
        <v>45835</v>
      </c>
      <c r="D1031" t="inlineStr">
        <is>
          <t>JÄMTLANDS LÄN</t>
        </is>
      </c>
      <c r="E1031" t="inlineStr">
        <is>
          <t>RAGUNDA</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6801-2023</t>
        </is>
      </c>
      <c r="B1032" s="1" t="n">
        <v>44966</v>
      </c>
      <c r="C1032" s="1" t="n">
        <v>45835</v>
      </c>
      <c r="D1032" t="inlineStr">
        <is>
          <t>JÄMTLANDS LÄN</t>
        </is>
      </c>
      <c r="E1032" t="inlineStr">
        <is>
          <t>RAGUNDA</t>
        </is>
      </c>
      <c r="F1032" t="inlineStr">
        <is>
          <t>SCA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6802-2023</t>
        </is>
      </c>
      <c r="B1033" s="1" t="n">
        <v>44966</v>
      </c>
      <c r="C1033" s="1" t="n">
        <v>45835</v>
      </c>
      <c r="D1033" t="inlineStr">
        <is>
          <t>JÄMTLANDS LÄN</t>
        </is>
      </c>
      <c r="E1033" t="inlineStr">
        <is>
          <t>RAGUNDA</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6800-2023</t>
        </is>
      </c>
      <c r="B1034" s="1" t="n">
        <v>44966</v>
      </c>
      <c r="C1034" s="1" t="n">
        <v>45835</v>
      </c>
      <c r="D1034" t="inlineStr">
        <is>
          <t>JÄMTLANDS LÄN</t>
        </is>
      </c>
      <c r="E1034" t="inlineStr">
        <is>
          <t>RAGUNDA</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7019-2023</t>
        </is>
      </c>
      <c r="B1035" s="1" t="n">
        <v>44968</v>
      </c>
      <c r="C1035" s="1" t="n">
        <v>45835</v>
      </c>
      <c r="D1035" t="inlineStr">
        <is>
          <t>JÄMTLANDS LÄN</t>
        </is>
      </c>
      <c r="E1035" t="inlineStr">
        <is>
          <t>RAGUNDA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7021-2023</t>
        </is>
      </c>
      <c r="B1036" s="1" t="n">
        <v>44967</v>
      </c>
      <c r="C1036" s="1" t="n">
        <v>45835</v>
      </c>
      <c r="D1036" t="inlineStr">
        <is>
          <t>JÄMTLANDS LÄN</t>
        </is>
      </c>
      <c r="E1036" t="inlineStr">
        <is>
          <t>RAGUNDA</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7520-2023</t>
        </is>
      </c>
      <c r="B1037" s="1" t="n">
        <v>44971</v>
      </c>
      <c r="C1037" s="1" t="n">
        <v>45835</v>
      </c>
      <c r="D1037" t="inlineStr">
        <is>
          <t>JÄMTLANDS LÄN</t>
        </is>
      </c>
      <c r="E1037" t="inlineStr">
        <is>
          <t>RAGUNDA</t>
        </is>
      </c>
      <c r="F1037" t="inlineStr">
        <is>
          <t>SCA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7521-2023</t>
        </is>
      </c>
      <c r="B1038" s="1" t="n">
        <v>44972</v>
      </c>
      <c r="C1038" s="1" t="n">
        <v>45835</v>
      </c>
      <c r="D1038" t="inlineStr">
        <is>
          <t>JÄMTLANDS LÄN</t>
        </is>
      </c>
      <c r="E1038" t="inlineStr">
        <is>
          <t>RAGUNDA</t>
        </is>
      </c>
      <c r="F1038" t="inlineStr">
        <is>
          <t>SCA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7722-2023</t>
        </is>
      </c>
      <c r="B1039" s="1" t="n">
        <v>44972</v>
      </c>
      <c r="C1039" s="1" t="n">
        <v>45835</v>
      </c>
      <c r="D1039" t="inlineStr">
        <is>
          <t>JÄMTLANDS LÄN</t>
        </is>
      </c>
      <c r="E1039" t="inlineStr">
        <is>
          <t>RAGUNDA</t>
        </is>
      </c>
      <c r="F1039" t="inlineStr">
        <is>
          <t>SCA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8416-2023</t>
        </is>
      </c>
      <c r="B1040" s="1" t="n">
        <v>44977</v>
      </c>
      <c r="C1040" s="1" t="n">
        <v>45835</v>
      </c>
      <c r="D1040" t="inlineStr">
        <is>
          <t>JÄMTLANDS LÄN</t>
        </is>
      </c>
      <c r="E1040" t="inlineStr">
        <is>
          <t>RAGUNDA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8403-2023</t>
        </is>
      </c>
      <c r="B1041" s="1" t="n">
        <v>44977</v>
      </c>
      <c r="C1041" s="1" t="n">
        <v>45835</v>
      </c>
      <c r="D1041" t="inlineStr">
        <is>
          <t>JÄMTLANDS LÄN</t>
        </is>
      </c>
      <c r="E1041" t="inlineStr">
        <is>
          <t>RAGUNDA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8678-2023</t>
        </is>
      </c>
      <c r="B1042" s="1" t="n">
        <v>44978</v>
      </c>
      <c r="C1042" s="1" t="n">
        <v>45835</v>
      </c>
      <c r="D1042" t="inlineStr">
        <is>
          <t>JÄMTLANDS LÄN</t>
        </is>
      </c>
      <c r="E1042" t="inlineStr">
        <is>
          <t>RAGUNDA</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8679-2023</t>
        </is>
      </c>
      <c r="B1043" s="1" t="n">
        <v>44978</v>
      </c>
      <c r="C1043" s="1" t="n">
        <v>45835</v>
      </c>
      <c r="D1043" t="inlineStr">
        <is>
          <t>JÄMTLANDS LÄN</t>
        </is>
      </c>
      <c r="E1043" t="inlineStr">
        <is>
          <t>RAGUNDA</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8877-2023</t>
        </is>
      </c>
      <c r="B1044" s="1" t="n">
        <v>44978</v>
      </c>
      <c r="C1044" s="1" t="n">
        <v>45835</v>
      </c>
      <c r="D1044" t="inlineStr">
        <is>
          <t>JÄMTLANDS LÄN</t>
        </is>
      </c>
      <c r="E1044" t="inlineStr">
        <is>
          <t>RAGUNDA</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8878-2023</t>
        </is>
      </c>
      <c r="B1045" s="1" t="n">
        <v>44978</v>
      </c>
      <c r="C1045" s="1" t="n">
        <v>45835</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8876-2023</t>
        </is>
      </c>
      <c r="B1046" s="1" t="n">
        <v>44978</v>
      </c>
      <c r="C1046" s="1" t="n">
        <v>45835</v>
      </c>
      <c r="D1046" t="inlineStr">
        <is>
          <t>JÄMTLANDS LÄN</t>
        </is>
      </c>
      <c r="E1046" t="inlineStr">
        <is>
          <t>RAGUNDA</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9084-2023</t>
        </is>
      </c>
      <c r="B1047" s="1" t="n">
        <v>44979</v>
      </c>
      <c r="C1047" s="1" t="n">
        <v>45835</v>
      </c>
      <c r="D1047" t="inlineStr">
        <is>
          <t>JÄMTLANDS LÄN</t>
        </is>
      </c>
      <c r="E1047" t="inlineStr">
        <is>
          <t>RAGUNDA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9082-2023</t>
        </is>
      </c>
      <c r="B1048" s="1" t="n">
        <v>44979</v>
      </c>
      <c r="C1048" s="1" t="n">
        <v>45835</v>
      </c>
      <c r="D1048" t="inlineStr">
        <is>
          <t>JÄMTLANDS LÄN</t>
        </is>
      </c>
      <c r="E1048" t="inlineStr">
        <is>
          <t>RAGUNDA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9100-2023</t>
        </is>
      </c>
      <c r="B1049" s="1" t="n">
        <v>44979</v>
      </c>
      <c r="C1049" s="1" t="n">
        <v>45835</v>
      </c>
      <c r="D1049" t="inlineStr">
        <is>
          <t>JÄMTLANDS LÄN</t>
        </is>
      </c>
      <c r="E1049" t="inlineStr">
        <is>
          <t>RAGUNDA</t>
        </is>
      </c>
      <c r="F1049" t="inlineStr">
        <is>
          <t>SCA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9094-2023</t>
        </is>
      </c>
      <c r="B1050" s="1" t="n">
        <v>44979</v>
      </c>
      <c r="C1050" s="1" t="n">
        <v>45835</v>
      </c>
      <c r="D1050" t="inlineStr">
        <is>
          <t>JÄMTLANDS LÄN</t>
        </is>
      </c>
      <c r="E1050" t="inlineStr">
        <is>
          <t>RAGUNDA</t>
        </is>
      </c>
      <c r="F1050" t="inlineStr">
        <is>
          <t>SCA</t>
        </is>
      </c>
      <c r="G1050" t="n">
        <v>28.2</v>
      </c>
      <c r="H1050" t="n">
        <v>0</v>
      </c>
      <c r="I1050" t="n">
        <v>0</v>
      </c>
      <c r="J1050" t="n">
        <v>0</v>
      </c>
      <c r="K1050" t="n">
        <v>0</v>
      </c>
      <c r="L1050" t="n">
        <v>0</v>
      </c>
      <c r="M1050" t="n">
        <v>0</v>
      </c>
      <c r="N1050" t="n">
        <v>0</v>
      </c>
      <c r="O1050" t="n">
        <v>0</v>
      </c>
      <c r="P1050" t="n">
        <v>0</v>
      </c>
      <c r="Q1050" t="n">
        <v>0</v>
      </c>
      <c r="R1050" s="2" t="inlineStr"/>
    </row>
    <row r="1051" ht="15" customHeight="1">
      <c r="A1051" t="inlineStr">
        <is>
          <t>A 9346-2023</t>
        </is>
      </c>
      <c r="B1051" s="1" t="n">
        <v>44980</v>
      </c>
      <c r="C1051" s="1" t="n">
        <v>45835</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9360-2023</t>
        </is>
      </c>
      <c r="B1052" s="1" t="n">
        <v>44980</v>
      </c>
      <c r="C1052" s="1" t="n">
        <v>45835</v>
      </c>
      <c r="D1052" t="inlineStr">
        <is>
          <t>JÄMTLANDS LÄN</t>
        </is>
      </c>
      <c r="E1052" t="inlineStr">
        <is>
          <t>RAGUNDA</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9339-2023</t>
        </is>
      </c>
      <c r="B1053" s="1" t="n">
        <v>44980</v>
      </c>
      <c r="C1053" s="1" t="n">
        <v>45835</v>
      </c>
      <c r="D1053" t="inlineStr">
        <is>
          <t>JÄMTLANDS LÄN</t>
        </is>
      </c>
      <c r="E1053" t="inlineStr">
        <is>
          <t>RAGUNDA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10706-2023</t>
        </is>
      </c>
      <c r="B1054" s="1" t="n">
        <v>44984</v>
      </c>
      <c r="C1054" s="1" t="n">
        <v>45835</v>
      </c>
      <c r="D1054" t="inlineStr">
        <is>
          <t>JÄMTLANDS LÄN</t>
        </is>
      </c>
      <c r="E1054" t="inlineStr">
        <is>
          <t>RAGUNDA</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10092-2023</t>
        </is>
      </c>
      <c r="B1055" s="1" t="n">
        <v>44985</v>
      </c>
      <c r="C1055" s="1" t="n">
        <v>45835</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11093-2023</t>
        </is>
      </c>
      <c r="B1056" s="1" t="n">
        <v>44986</v>
      </c>
      <c r="C1056" s="1" t="n">
        <v>45835</v>
      </c>
      <c r="D1056" t="inlineStr">
        <is>
          <t>JÄMTLANDS LÄN</t>
        </is>
      </c>
      <c r="E1056" t="inlineStr">
        <is>
          <t>RAGUNDA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10550-2023</t>
        </is>
      </c>
      <c r="B1057" s="1" t="n">
        <v>44987</v>
      </c>
      <c r="C1057" s="1" t="n">
        <v>45835</v>
      </c>
      <c r="D1057" t="inlineStr">
        <is>
          <t>JÄMTLANDS LÄN</t>
        </is>
      </c>
      <c r="E1057" t="inlineStr">
        <is>
          <t>RAGUNDA</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11048-2023</t>
        </is>
      </c>
      <c r="B1058" s="1" t="n">
        <v>44991</v>
      </c>
      <c r="C1058" s="1" t="n">
        <v>45835</v>
      </c>
      <c r="D1058" t="inlineStr">
        <is>
          <t>JÄMTLANDS LÄN</t>
        </is>
      </c>
      <c r="E1058" t="inlineStr">
        <is>
          <t>RAGUNDA</t>
        </is>
      </c>
      <c r="F1058" t="inlineStr">
        <is>
          <t>SCA</t>
        </is>
      </c>
      <c r="G1058" t="n">
        <v>13.5</v>
      </c>
      <c r="H1058" t="n">
        <v>0</v>
      </c>
      <c r="I1058" t="n">
        <v>0</v>
      </c>
      <c r="J1058" t="n">
        <v>0</v>
      </c>
      <c r="K1058" t="n">
        <v>0</v>
      </c>
      <c r="L1058" t="n">
        <v>0</v>
      </c>
      <c r="M1058" t="n">
        <v>0</v>
      </c>
      <c r="N1058" t="n">
        <v>0</v>
      </c>
      <c r="O1058" t="n">
        <v>0</v>
      </c>
      <c r="P1058" t="n">
        <v>0</v>
      </c>
      <c r="Q1058" t="n">
        <v>0</v>
      </c>
      <c r="R1058" s="2" t="inlineStr"/>
    </row>
    <row r="1059" ht="15" customHeight="1">
      <c r="A1059" t="inlineStr">
        <is>
          <t>A 11063-2023</t>
        </is>
      </c>
      <c r="B1059" s="1" t="n">
        <v>44991</v>
      </c>
      <c r="C1059" s="1" t="n">
        <v>45835</v>
      </c>
      <c r="D1059" t="inlineStr">
        <is>
          <t>JÄMTLANDS LÄN</t>
        </is>
      </c>
      <c r="E1059" t="inlineStr">
        <is>
          <t>RAGUNDA</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11062-2023</t>
        </is>
      </c>
      <c r="B1060" s="1" t="n">
        <v>44991</v>
      </c>
      <c r="C1060" s="1" t="n">
        <v>45835</v>
      </c>
      <c r="D1060" t="inlineStr">
        <is>
          <t>JÄMTLANDS LÄN</t>
        </is>
      </c>
      <c r="E1060" t="inlineStr">
        <is>
          <t>RAGUNDA</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11603-2023</t>
        </is>
      </c>
      <c r="B1061" s="1" t="n">
        <v>44992</v>
      </c>
      <c r="C1061" s="1" t="n">
        <v>45835</v>
      </c>
      <c r="D1061" t="inlineStr">
        <is>
          <t>JÄMTLANDS LÄN</t>
        </is>
      </c>
      <c r="E1061" t="inlineStr">
        <is>
          <t>RAGUNDA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11556-2023</t>
        </is>
      </c>
      <c r="B1062" s="1" t="n">
        <v>44993</v>
      </c>
      <c r="C1062" s="1" t="n">
        <v>45835</v>
      </c>
      <c r="D1062" t="inlineStr">
        <is>
          <t>JÄMTLANDS LÄN</t>
        </is>
      </c>
      <c r="E1062" t="inlineStr">
        <is>
          <t>RAGUNDA</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11322-2023</t>
        </is>
      </c>
      <c r="B1063" s="1" t="n">
        <v>44993</v>
      </c>
      <c r="C1063" s="1" t="n">
        <v>45835</v>
      </c>
      <c r="D1063" t="inlineStr">
        <is>
          <t>JÄMTLANDS LÄN</t>
        </is>
      </c>
      <c r="E1063" t="inlineStr">
        <is>
          <t>RAGUNDA</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11558-2023</t>
        </is>
      </c>
      <c r="B1064" s="1" t="n">
        <v>44993</v>
      </c>
      <c r="C1064" s="1" t="n">
        <v>45835</v>
      </c>
      <c r="D1064" t="inlineStr">
        <is>
          <t>JÄMTLANDS LÄN</t>
        </is>
      </c>
      <c r="E1064" t="inlineStr">
        <is>
          <t>RAGUNDA</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11553-2023</t>
        </is>
      </c>
      <c r="B1065" s="1" t="n">
        <v>44993</v>
      </c>
      <c r="C1065" s="1" t="n">
        <v>45835</v>
      </c>
      <c r="D1065" t="inlineStr">
        <is>
          <t>JÄMTLANDS LÄN</t>
        </is>
      </c>
      <c r="E1065" t="inlineStr">
        <is>
          <t>RAGUNDA</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11557-2023</t>
        </is>
      </c>
      <c r="B1066" s="1" t="n">
        <v>44993</v>
      </c>
      <c r="C1066" s="1" t="n">
        <v>45835</v>
      </c>
      <c r="D1066" t="inlineStr">
        <is>
          <t>JÄMTLANDS LÄN</t>
        </is>
      </c>
      <c r="E1066" t="inlineStr">
        <is>
          <t>RAGUNDA</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11562-2023</t>
        </is>
      </c>
      <c r="B1067" s="1" t="n">
        <v>44993</v>
      </c>
      <c r="C1067" s="1" t="n">
        <v>45835</v>
      </c>
      <c r="D1067" t="inlineStr">
        <is>
          <t>JÄMTLANDS LÄN</t>
        </is>
      </c>
      <c r="E1067" t="inlineStr">
        <is>
          <t>RAGUNDA</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11834-2023</t>
        </is>
      </c>
      <c r="B1068" s="1" t="n">
        <v>44994</v>
      </c>
      <c r="C1068" s="1" t="n">
        <v>45835</v>
      </c>
      <c r="D1068" t="inlineStr">
        <is>
          <t>JÄMTLANDS LÄN</t>
        </is>
      </c>
      <c r="E1068" t="inlineStr">
        <is>
          <t>RAGUNDA</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12055-2023</t>
        </is>
      </c>
      <c r="B1069" s="1" t="n">
        <v>44995</v>
      </c>
      <c r="C1069" s="1" t="n">
        <v>45835</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12051-2023</t>
        </is>
      </c>
      <c r="B1070" s="1" t="n">
        <v>44995</v>
      </c>
      <c r="C1070" s="1" t="n">
        <v>45835</v>
      </c>
      <c r="D1070" t="inlineStr">
        <is>
          <t>JÄMTLANDS LÄN</t>
        </is>
      </c>
      <c r="E1070" t="inlineStr">
        <is>
          <t>RAGUNDA</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12040-2023</t>
        </is>
      </c>
      <c r="B1071" s="1" t="n">
        <v>44996</v>
      </c>
      <c r="C1071" s="1" t="n">
        <v>45835</v>
      </c>
      <c r="D1071" t="inlineStr">
        <is>
          <t>JÄMTLANDS LÄN</t>
        </is>
      </c>
      <c r="E1071" t="inlineStr">
        <is>
          <t>RAGUNDA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12050-2023</t>
        </is>
      </c>
      <c r="B1072" s="1" t="n">
        <v>44996</v>
      </c>
      <c r="C1072" s="1" t="n">
        <v>45835</v>
      </c>
      <c r="D1072" t="inlineStr">
        <is>
          <t>JÄMTLANDS LÄN</t>
        </is>
      </c>
      <c r="E1072" t="inlineStr">
        <is>
          <t>RAGUNDA</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12039-2023</t>
        </is>
      </c>
      <c r="B1073" s="1" t="n">
        <v>44996</v>
      </c>
      <c r="C1073" s="1" t="n">
        <v>45835</v>
      </c>
      <c r="D1073" t="inlineStr">
        <is>
          <t>JÄMTLANDS LÄN</t>
        </is>
      </c>
      <c r="E1073" t="inlineStr">
        <is>
          <t>RAGUNDA</t>
        </is>
      </c>
      <c r="F1073" t="inlineStr">
        <is>
          <t>SCA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12523-2023</t>
        </is>
      </c>
      <c r="B1074" s="1" t="n">
        <v>45000</v>
      </c>
      <c r="C1074" s="1" t="n">
        <v>45835</v>
      </c>
      <c r="D1074" t="inlineStr">
        <is>
          <t>JÄMTLANDS LÄN</t>
        </is>
      </c>
      <c r="E1074" t="inlineStr">
        <is>
          <t>RAGUNDA</t>
        </is>
      </c>
      <c r="F1074" t="inlineStr">
        <is>
          <t>SCA</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12522-2023</t>
        </is>
      </c>
      <c r="B1075" s="1" t="n">
        <v>45000</v>
      </c>
      <c r="C1075" s="1" t="n">
        <v>45835</v>
      </c>
      <c r="D1075" t="inlineStr">
        <is>
          <t>JÄMTLANDS LÄN</t>
        </is>
      </c>
      <c r="E1075" t="inlineStr">
        <is>
          <t>RAGUNDA</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12521-2023</t>
        </is>
      </c>
      <c r="B1076" s="1" t="n">
        <v>45000</v>
      </c>
      <c r="C1076" s="1" t="n">
        <v>45835</v>
      </c>
      <c r="D1076" t="inlineStr">
        <is>
          <t>JÄMTLANDS LÄN</t>
        </is>
      </c>
      <c r="E1076" t="inlineStr">
        <is>
          <t>RAGUNDA</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12783-2023</t>
        </is>
      </c>
      <c r="B1077" s="1" t="n">
        <v>45000</v>
      </c>
      <c r="C1077" s="1" t="n">
        <v>45835</v>
      </c>
      <c r="D1077" t="inlineStr">
        <is>
          <t>JÄMTLANDS LÄN</t>
        </is>
      </c>
      <c r="E1077" t="inlineStr">
        <is>
          <t>RAGUNDA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12750-2023</t>
        </is>
      </c>
      <c r="B1078" s="1" t="n">
        <v>45000</v>
      </c>
      <c r="C1078" s="1" t="n">
        <v>45835</v>
      </c>
      <c r="D1078" t="inlineStr">
        <is>
          <t>JÄMTLANDS LÄN</t>
        </is>
      </c>
      <c r="E1078" t="inlineStr">
        <is>
          <t>RAGUNDA</t>
        </is>
      </c>
      <c r="F1078" t="inlineStr">
        <is>
          <t>Naturvårdsverket</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12995-2023</t>
        </is>
      </c>
      <c r="B1079" s="1" t="n">
        <v>45002</v>
      </c>
      <c r="C1079" s="1" t="n">
        <v>45835</v>
      </c>
      <c r="D1079" t="inlineStr">
        <is>
          <t>JÄMTLANDS LÄN</t>
        </is>
      </c>
      <c r="E1079" t="inlineStr">
        <is>
          <t>RAGUNDA</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13246-2023</t>
        </is>
      </c>
      <c r="B1080" s="1" t="n">
        <v>45002</v>
      </c>
      <c r="C1080" s="1" t="n">
        <v>45835</v>
      </c>
      <c r="D1080" t="inlineStr">
        <is>
          <t>JÄMTLANDS LÄN</t>
        </is>
      </c>
      <c r="E1080" t="inlineStr">
        <is>
          <t>RAGUNDA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13700-2023</t>
        </is>
      </c>
      <c r="B1081" s="1" t="n">
        <v>45006</v>
      </c>
      <c r="C1081" s="1" t="n">
        <v>45835</v>
      </c>
      <c r="D1081" t="inlineStr">
        <is>
          <t>JÄMTLANDS LÄN</t>
        </is>
      </c>
      <c r="E1081" t="inlineStr">
        <is>
          <t>RAGUNDA</t>
        </is>
      </c>
      <c r="F1081" t="inlineStr">
        <is>
          <t>SCA</t>
        </is>
      </c>
      <c r="G1081" t="n">
        <v>50.3</v>
      </c>
      <c r="H1081" t="n">
        <v>0</v>
      </c>
      <c r="I1081" t="n">
        <v>0</v>
      </c>
      <c r="J1081" t="n">
        <v>0</v>
      </c>
      <c r="K1081" t="n">
        <v>0</v>
      </c>
      <c r="L1081" t="n">
        <v>0</v>
      </c>
      <c r="M1081" t="n">
        <v>0</v>
      </c>
      <c r="N1081" t="n">
        <v>0</v>
      </c>
      <c r="O1081" t="n">
        <v>0</v>
      </c>
      <c r="P1081" t="n">
        <v>0</v>
      </c>
      <c r="Q1081" t="n">
        <v>0</v>
      </c>
      <c r="R1081" s="2" t="inlineStr"/>
    </row>
    <row r="1082" ht="15" customHeight="1">
      <c r="A1082" t="inlineStr">
        <is>
          <t>A 13917-2023</t>
        </is>
      </c>
      <c r="B1082" s="1" t="n">
        <v>45007</v>
      </c>
      <c r="C1082" s="1" t="n">
        <v>45835</v>
      </c>
      <c r="D1082" t="inlineStr">
        <is>
          <t>JÄMTLANDS LÄN</t>
        </is>
      </c>
      <c r="E1082" t="inlineStr">
        <is>
          <t>RAGUNDA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13900-2023</t>
        </is>
      </c>
      <c r="B1083" s="1" t="n">
        <v>45008</v>
      </c>
      <c r="C1083" s="1" t="n">
        <v>45835</v>
      </c>
      <c r="D1083" t="inlineStr">
        <is>
          <t>JÄMTLANDS LÄN</t>
        </is>
      </c>
      <c r="E1083" t="inlineStr">
        <is>
          <t>RAGUNDA</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13898-2023</t>
        </is>
      </c>
      <c r="B1084" s="1" t="n">
        <v>45008</v>
      </c>
      <c r="C1084" s="1" t="n">
        <v>45835</v>
      </c>
      <c r="D1084" t="inlineStr">
        <is>
          <t>JÄMTLANDS LÄN</t>
        </is>
      </c>
      <c r="E1084" t="inlineStr">
        <is>
          <t>RAGUNDA</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14179-2023</t>
        </is>
      </c>
      <c r="B1085" s="1" t="n">
        <v>45009</v>
      </c>
      <c r="C1085" s="1" t="n">
        <v>45835</v>
      </c>
      <c r="D1085" t="inlineStr">
        <is>
          <t>JÄMTLANDS LÄN</t>
        </is>
      </c>
      <c r="E1085" t="inlineStr">
        <is>
          <t>RAGUNDA</t>
        </is>
      </c>
      <c r="G1085" t="n">
        <v>33.8</v>
      </c>
      <c r="H1085" t="n">
        <v>0</v>
      </c>
      <c r="I1085" t="n">
        <v>0</v>
      </c>
      <c r="J1085" t="n">
        <v>0</v>
      </c>
      <c r="K1085" t="n">
        <v>0</v>
      </c>
      <c r="L1085" t="n">
        <v>0</v>
      </c>
      <c r="M1085" t="n">
        <v>0</v>
      </c>
      <c r="N1085" t="n">
        <v>0</v>
      </c>
      <c r="O1085" t="n">
        <v>0</v>
      </c>
      <c r="P1085" t="n">
        <v>0</v>
      </c>
      <c r="Q1085" t="n">
        <v>0</v>
      </c>
      <c r="R1085" s="2" t="inlineStr"/>
    </row>
    <row r="1086" ht="15" customHeight="1">
      <c r="A1086" t="inlineStr">
        <is>
          <t>A 14074-2023</t>
        </is>
      </c>
      <c r="B1086" s="1" t="n">
        <v>45009</v>
      </c>
      <c r="C1086" s="1" t="n">
        <v>45835</v>
      </c>
      <c r="D1086" t="inlineStr">
        <is>
          <t>JÄMTLANDS LÄN</t>
        </is>
      </c>
      <c r="E1086" t="inlineStr">
        <is>
          <t>RAGUNDA</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14212-2023</t>
        </is>
      </c>
      <c r="B1087" s="1" t="n">
        <v>45009</v>
      </c>
      <c r="C1087" s="1" t="n">
        <v>45835</v>
      </c>
      <c r="D1087" t="inlineStr">
        <is>
          <t>JÄMTLANDS LÄN</t>
        </is>
      </c>
      <c r="E1087" t="inlineStr">
        <is>
          <t>RAGUNDA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14076-2023</t>
        </is>
      </c>
      <c r="B1088" s="1" t="n">
        <v>45009</v>
      </c>
      <c r="C1088" s="1" t="n">
        <v>45835</v>
      </c>
      <c r="D1088" t="inlineStr">
        <is>
          <t>JÄMTLANDS LÄN</t>
        </is>
      </c>
      <c r="E1088" t="inlineStr">
        <is>
          <t>RAGUNDA</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14081-2023</t>
        </is>
      </c>
      <c r="B1089" s="1" t="n">
        <v>45009</v>
      </c>
      <c r="C1089" s="1" t="n">
        <v>45835</v>
      </c>
      <c r="D1089" t="inlineStr">
        <is>
          <t>JÄMTLANDS LÄN</t>
        </is>
      </c>
      <c r="E1089" t="inlineStr">
        <is>
          <t>RAGUNDA</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14080-2023</t>
        </is>
      </c>
      <c r="B1090" s="1" t="n">
        <v>45009</v>
      </c>
      <c r="C1090" s="1" t="n">
        <v>45835</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14531-2023</t>
        </is>
      </c>
      <c r="B1091" s="1" t="n">
        <v>45013</v>
      </c>
      <c r="C1091" s="1" t="n">
        <v>45835</v>
      </c>
      <c r="D1091" t="inlineStr">
        <is>
          <t>JÄMTLANDS LÄN</t>
        </is>
      </c>
      <c r="E1091" t="inlineStr">
        <is>
          <t>RAGUNDA</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14869-2023</t>
        </is>
      </c>
      <c r="B1092" s="1" t="n">
        <v>45015</v>
      </c>
      <c r="C1092" s="1" t="n">
        <v>45835</v>
      </c>
      <c r="D1092" t="inlineStr">
        <is>
          <t>JÄMTLANDS LÄN</t>
        </is>
      </c>
      <c r="E1092" t="inlineStr">
        <is>
          <t>RAGUNDA</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14868-2023</t>
        </is>
      </c>
      <c r="B1093" s="1" t="n">
        <v>45015</v>
      </c>
      <c r="C1093" s="1" t="n">
        <v>45835</v>
      </c>
      <c r="D1093" t="inlineStr">
        <is>
          <t>JÄMTLANDS LÄN</t>
        </is>
      </c>
      <c r="E1093" t="inlineStr">
        <is>
          <t>RAGUNDA</t>
        </is>
      </c>
      <c r="F1093" t="inlineStr">
        <is>
          <t>SCA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15078-2023</t>
        </is>
      </c>
      <c r="B1094" s="1" t="n">
        <v>45015</v>
      </c>
      <c r="C1094" s="1" t="n">
        <v>45835</v>
      </c>
      <c r="D1094" t="inlineStr">
        <is>
          <t>JÄMTLANDS LÄN</t>
        </is>
      </c>
      <c r="E1094" t="inlineStr">
        <is>
          <t>RAGUNDA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15077-2023</t>
        </is>
      </c>
      <c r="B1095" s="1" t="n">
        <v>45015</v>
      </c>
      <c r="C1095" s="1" t="n">
        <v>45835</v>
      </c>
      <c r="D1095" t="inlineStr">
        <is>
          <t>JÄMTLANDS LÄN</t>
        </is>
      </c>
      <c r="E1095" t="inlineStr">
        <is>
          <t>RAGUNDA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16364-2023</t>
        </is>
      </c>
      <c r="B1096" s="1" t="n">
        <v>45028</v>
      </c>
      <c r="C1096" s="1" t="n">
        <v>45835</v>
      </c>
      <c r="D1096" t="inlineStr">
        <is>
          <t>JÄMTLANDS LÄN</t>
        </is>
      </c>
      <c r="E1096" t="inlineStr">
        <is>
          <t>RAGUNDA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17248-2023</t>
        </is>
      </c>
      <c r="B1097" s="1" t="n">
        <v>45033</v>
      </c>
      <c r="C1097" s="1" t="n">
        <v>45835</v>
      </c>
      <c r="D1097" t="inlineStr">
        <is>
          <t>JÄMTLANDS LÄN</t>
        </is>
      </c>
      <c r="E1097" t="inlineStr">
        <is>
          <t>RAGUNDA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17207-2023</t>
        </is>
      </c>
      <c r="B1098" s="1" t="n">
        <v>45035</v>
      </c>
      <c r="C1098" s="1" t="n">
        <v>45835</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17206-2023</t>
        </is>
      </c>
      <c r="B1099" s="1" t="n">
        <v>45035</v>
      </c>
      <c r="C1099" s="1" t="n">
        <v>45835</v>
      </c>
      <c r="D1099" t="inlineStr">
        <is>
          <t>JÄMTLANDS LÄN</t>
        </is>
      </c>
      <c r="E1099" t="inlineStr">
        <is>
          <t>RAGUNDA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17559-2023</t>
        </is>
      </c>
      <c r="B1100" s="1" t="n">
        <v>45034</v>
      </c>
      <c r="C1100" s="1" t="n">
        <v>45835</v>
      </c>
      <c r="D1100" t="inlineStr">
        <is>
          <t>JÄMTLANDS LÄN</t>
        </is>
      </c>
      <c r="E1100" t="inlineStr">
        <is>
          <t>RAGUNDA</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17864-2023</t>
        </is>
      </c>
      <c r="B1101" s="1" t="n">
        <v>45038</v>
      </c>
      <c r="C1101" s="1" t="n">
        <v>45835</v>
      </c>
      <c r="D1101" t="inlineStr">
        <is>
          <t>JÄMTLANDS LÄN</t>
        </is>
      </c>
      <c r="E1101" t="inlineStr">
        <is>
          <t>RAGUNDA</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17863-2023</t>
        </is>
      </c>
      <c r="B1102" s="1" t="n">
        <v>45038</v>
      </c>
      <c r="C1102" s="1" t="n">
        <v>45835</v>
      </c>
      <c r="D1102" t="inlineStr">
        <is>
          <t>JÄMTLANDS LÄN</t>
        </is>
      </c>
      <c r="E1102" t="inlineStr">
        <is>
          <t>RAGUNDA</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18159-2023</t>
        </is>
      </c>
      <c r="B1103" s="1" t="n">
        <v>45041</v>
      </c>
      <c r="C1103" s="1" t="n">
        <v>45835</v>
      </c>
      <c r="D1103" t="inlineStr">
        <is>
          <t>JÄMTLANDS LÄN</t>
        </is>
      </c>
      <c r="E1103" t="inlineStr">
        <is>
          <t>RAGUNDA</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18145-2023</t>
        </is>
      </c>
      <c r="B1104" s="1" t="n">
        <v>45041</v>
      </c>
      <c r="C1104" s="1" t="n">
        <v>45835</v>
      </c>
      <c r="D1104" t="inlineStr">
        <is>
          <t>JÄMTLANDS LÄN</t>
        </is>
      </c>
      <c r="E1104" t="inlineStr">
        <is>
          <t>RAGUNDA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18248-2023</t>
        </is>
      </c>
      <c r="B1105" s="1" t="n">
        <v>45040</v>
      </c>
      <c r="C1105" s="1" t="n">
        <v>45835</v>
      </c>
      <c r="D1105" t="inlineStr">
        <is>
          <t>JÄMTLANDS LÄN</t>
        </is>
      </c>
      <c r="E1105" t="inlineStr">
        <is>
          <t>RAGUNDA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18557-2023</t>
        </is>
      </c>
      <c r="B1106" s="1" t="n">
        <v>45043</v>
      </c>
      <c r="C1106" s="1" t="n">
        <v>45835</v>
      </c>
      <c r="D1106" t="inlineStr">
        <is>
          <t>JÄMTLANDS LÄN</t>
        </is>
      </c>
      <c r="E1106" t="inlineStr">
        <is>
          <t>RAGUNDA</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18556-2023</t>
        </is>
      </c>
      <c r="B1107" s="1" t="n">
        <v>45043</v>
      </c>
      <c r="C1107" s="1" t="n">
        <v>45835</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18820-2023</t>
        </is>
      </c>
      <c r="B1108" s="1" t="n">
        <v>45042</v>
      </c>
      <c r="C1108" s="1" t="n">
        <v>45835</v>
      </c>
      <c r="D1108" t="inlineStr">
        <is>
          <t>JÄMTLANDS LÄN</t>
        </is>
      </c>
      <c r="E1108" t="inlineStr">
        <is>
          <t>RAGUNDA</t>
        </is>
      </c>
      <c r="G1108" t="n">
        <v>18.8</v>
      </c>
      <c r="H1108" t="n">
        <v>0</v>
      </c>
      <c r="I1108" t="n">
        <v>0</v>
      </c>
      <c r="J1108" t="n">
        <v>0</v>
      </c>
      <c r="K1108" t="n">
        <v>0</v>
      </c>
      <c r="L1108" t="n">
        <v>0</v>
      </c>
      <c r="M1108" t="n">
        <v>0</v>
      </c>
      <c r="N1108" t="n">
        <v>0</v>
      </c>
      <c r="O1108" t="n">
        <v>0</v>
      </c>
      <c r="P1108" t="n">
        <v>0</v>
      </c>
      <c r="Q1108" t="n">
        <v>0</v>
      </c>
      <c r="R1108" s="2" t="inlineStr"/>
    </row>
    <row r="1109" ht="15" customHeight="1">
      <c r="A1109" t="inlineStr">
        <is>
          <t>A 18984-2023</t>
        </is>
      </c>
      <c r="B1109" s="1" t="n">
        <v>45044</v>
      </c>
      <c r="C1109" s="1" t="n">
        <v>45835</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18995-2023</t>
        </is>
      </c>
      <c r="B1110" s="1" t="n">
        <v>45045</v>
      </c>
      <c r="C1110" s="1" t="n">
        <v>45835</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18996-2023</t>
        </is>
      </c>
      <c r="B1111" s="1" t="n">
        <v>45045</v>
      </c>
      <c r="C1111" s="1" t="n">
        <v>45835</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19242-2023</t>
        </is>
      </c>
      <c r="B1112" s="1" t="n">
        <v>45048</v>
      </c>
      <c r="C1112" s="1" t="n">
        <v>45835</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19246-2023</t>
        </is>
      </c>
      <c r="B1113" s="1" t="n">
        <v>45049</v>
      </c>
      <c r="C1113" s="1" t="n">
        <v>45835</v>
      </c>
      <c r="D1113" t="inlineStr">
        <is>
          <t>JÄMTLANDS LÄN</t>
        </is>
      </c>
      <c r="E1113" t="inlineStr">
        <is>
          <t>RAGUNDA</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19438-2023</t>
        </is>
      </c>
      <c r="B1114" s="1" t="n">
        <v>45049</v>
      </c>
      <c r="C1114" s="1" t="n">
        <v>45835</v>
      </c>
      <c r="D1114" t="inlineStr">
        <is>
          <t>JÄMTLANDS LÄN</t>
        </is>
      </c>
      <c r="E1114" t="inlineStr">
        <is>
          <t>RAGUNDA</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19613-2023</t>
        </is>
      </c>
      <c r="B1115" s="1" t="n">
        <v>45051</v>
      </c>
      <c r="C1115" s="1" t="n">
        <v>45835</v>
      </c>
      <c r="D1115" t="inlineStr">
        <is>
          <t>JÄMTLANDS LÄN</t>
        </is>
      </c>
      <c r="E1115" t="inlineStr">
        <is>
          <t>RAGUNDA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19612-2023</t>
        </is>
      </c>
      <c r="B1116" s="1" t="n">
        <v>45051</v>
      </c>
      <c r="C1116" s="1" t="n">
        <v>45835</v>
      </c>
      <c r="D1116" t="inlineStr">
        <is>
          <t>JÄMTLANDS LÄN</t>
        </is>
      </c>
      <c r="E1116" t="inlineStr">
        <is>
          <t>RAGUNDA</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19620-2023</t>
        </is>
      </c>
      <c r="B1117" s="1" t="n">
        <v>45050</v>
      </c>
      <c r="C1117" s="1" t="n">
        <v>45835</v>
      </c>
      <c r="D1117" t="inlineStr">
        <is>
          <t>JÄMTLANDS LÄN</t>
        </is>
      </c>
      <c r="E1117" t="inlineStr">
        <is>
          <t>RAGUNDA</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19865-2023</t>
        </is>
      </c>
      <c r="B1118" s="1" t="n">
        <v>45054</v>
      </c>
      <c r="C1118" s="1" t="n">
        <v>45835</v>
      </c>
      <c r="D1118" t="inlineStr">
        <is>
          <t>JÄMTLANDS LÄN</t>
        </is>
      </c>
      <c r="E1118" t="inlineStr">
        <is>
          <t>RAGUNDA</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19866-2023</t>
        </is>
      </c>
      <c r="B1119" s="1" t="n">
        <v>45054</v>
      </c>
      <c r="C1119" s="1" t="n">
        <v>45835</v>
      </c>
      <c r="D1119" t="inlineStr">
        <is>
          <t>JÄMTLANDS LÄN</t>
        </is>
      </c>
      <c r="E1119" t="inlineStr">
        <is>
          <t>RAGUNDA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20079-2023</t>
        </is>
      </c>
      <c r="B1120" s="1" t="n">
        <v>45055</v>
      </c>
      <c r="C1120" s="1" t="n">
        <v>45835</v>
      </c>
      <c r="D1120" t="inlineStr">
        <is>
          <t>JÄMTLANDS LÄN</t>
        </is>
      </c>
      <c r="E1120" t="inlineStr">
        <is>
          <t>RAGUNDA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20088-2023</t>
        </is>
      </c>
      <c r="B1121" s="1" t="n">
        <v>45054</v>
      </c>
      <c r="C1121" s="1" t="n">
        <v>45835</v>
      </c>
      <c r="D1121" t="inlineStr">
        <is>
          <t>JÄMTLANDS LÄN</t>
        </is>
      </c>
      <c r="E1121" t="inlineStr">
        <is>
          <t>RAGUNDA</t>
        </is>
      </c>
      <c r="F1121" t="inlineStr">
        <is>
          <t>SCA</t>
        </is>
      </c>
      <c r="G1121" t="n">
        <v>23.4</v>
      </c>
      <c r="H1121" t="n">
        <v>0</v>
      </c>
      <c r="I1121" t="n">
        <v>0</v>
      </c>
      <c r="J1121" t="n">
        <v>0</v>
      </c>
      <c r="K1121" t="n">
        <v>0</v>
      </c>
      <c r="L1121" t="n">
        <v>0</v>
      </c>
      <c r="M1121" t="n">
        <v>0</v>
      </c>
      <c r="N1121" t="n">
        <v>0</v>
      </c>
      <c r="O1121" t="n">
        <v>0</v>
      </c>
      <c r="P1121" t="n">
        <v>0</v>
      </c>
      <c r="Q1121" t="n">
        <v>0</v>
      </c>
      <c r="R1121" s="2" t="inlineStr"/>
    </row>
    <row r="1122" ht="15" customHeight="1">
      <c r="A1122" t="inlineStr">
        <is>
          <t>A 20987-2023</t>
        </is>
      </c>
      <c r="B1122" s="1" t="n">
        <v>45056</v>
      </c>
      <c r="C1122" s="1" t="n">
        <v>45835</v>
      </c>
      <c r="D1122" t="inlineStr">
        <is>
          <t>JÄMTLANDS LÄN</t>
        </is>
      </c>
      <c r="E1122" t="inlineStr">
        <is>
          <t>RAGUNDA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20994-2023</t>
        </is>
      </c>
      <c r="B1123" s="1" t="n">
        <v>45056</v>
      </c>
      <c r="C1123" s="1" t="n">
        <v>45835</v>
      </c>
      <c r="D1123" t="inlineStr">
        <is>
          <t>JÄMTLANDS LÄN</t>
        </is>
      </c>
      <c r="E1123" t="inlineStr">
        <is>
          <t>RAGUNDA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20901-2023</t>
        </is>
      </c>
      <c r="B1124" s="1" t="n">
        <v>45060</v>
      </c>
      <c r="C1124" s="1" t="n">
        <v>45835</v>
      </c>
      <c r="D1124" t="inlineStr">
        <is>
          <t>JÄMTLANDS LÄN</t>
        </is>
      </c>
      <c r="E1124" t="inlineStr">
        <is>
          <t>RAGUNDA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21102-2023</t>
        </is>
      </c>
      <c r="B1125" s="1" t="n">
        <v>45062</v>
      </c>
      <c r="C1125" s="1" t="n">
        <v>45835</v>
      </c>
      <c r="D1125" t="inlineStr">
        <is>
          <t>JÄMTLANDS LÄN</t>
        </is>
      </c>
      <c r="E1125" t="inlineStr">
        <is>
          <t>RAGUNDA</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21661-2023</t>
        </is>
      </c>
      <c r="B1126" s="1" t="n">
        <v>45063</v>
      </c>
      <c r="C1126" s="1" t="n">
        <v>45835</v>
      </c>
      <c r="D1126" t="inlineStr">
        <is>
          <t>JÄMTLANDS LÄN</t>
        </is>
      </c>
      <c r="E1126" t="inlineStr">
        <is>
          <t>RAGUNDA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21662-2023</t>
        </is>
      </c>
      <c r="B1127" s="1" t="n">
        <v>45063</v>
      </c>
      <c r="C1127" s="1" t="n">
        <v>45835</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21726-2023</t>
        </is>
      </c>
      <c r="B1128" s="1" t="n">
        <v>45065</v>
      </c>
      <c r="C1128" s="1" t="n">
        <v>45835</v>
      </c>
      <c r="D1128" t="inlineStr">
        <is>
          <t>JÄMTLANDS LÄN</t>
        </is>
      </c>
      <c r="E1128" t="inlineStr">
        <is>
          <t>RAGUNDA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22011-2023</t>
        </is>
      </c>
      <c r="B1129" s="1" t="n">
        <v>45068</v>
      </c>
      <c r="C1129" s="1" t="n">
        <v>45835</v>
      </c>
      <c r="D1129" t="inlineStr">
        <is>
          <t>JÄMTLANDS LÄN</t>
        </is>
      </c>
      <c r="E1129" t="inlineStr">
        <is>
          <t>RAGUNDA</t>
        </is>
      </c>
      <c r="F1129" t="inlineStr">
        <is>
          <t>SCA</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22569-2023</t>
        </is>
      </c>
      <c r="B1130" s="1" t="n">
        <v>45069</v>
      </c>
      <c r="C1130" s="1" t="n">
        <v>45835</v>
      </c>
      <c r="D1130" t="inlineStr">
        <is>
          <t>JÄMTLANDS LÄN</t>
        </is>
      </c>
      <c r="E1130" t="inlineStr">
        <is>
          <t>RAGUNDA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22479-2023</t>
        </is>
      </c>
      <c r="B1131" s="1" t="n">
        <v>45070</v>
      </c>
      <c r="C1131" s="1" t="n">
        <v>45835</v>
      </c>
      <c r="D1131" t="inlineStr">
        <is>
          <t>JÄMTLANDS LÄN</t>
        </is>
      </c>
      <c r="E1131" t="inlineStr">
        <is>
          <t>RAGUNDA</t>
        </is>
      </c>
      <c r="F1131" t="inlineStr">
        <is>
          <t>SCA</t>
        </is>
      </c>
      <c r="G1131" t="n">
        <v>31.8</v>
      </c>
      <c r="H1131" t="n">
        <v>0</v>
      </c>
      <c r="I1131" t="n">
        <v>0</v>
      </c>
      <c r="J1131" t="n">
        <v>0</v>
      </c>
      <c r="K1131" t="n">
        <v>0</v>
      </c>
      <c r="L1131" t="n">
        <v>0</v>
      </c>
      <c r="M1131" t="n">
        <v>0</v>
      </c>
      <c r="N1131" t="n">
        <v>0</v>
      </c>
      <c r="O1131" t="n">
        <v>0</v>
      </c>
      <c r="P1131" t="n">
        <v>0</v>
      </c>
      <c r="Q1131" t="n">
        <v>0</v>
      </c>
      <c r="R1131" s="2" t="inlineStr"/>
    </row>
    <row r="1132" ht="15" customHeight="1">
      <c r="A1132" t="inlineStr">
        <is>
          <t>A 23074-2023</t>
        </is>
      </c>
      <c r="B1132" s="1" t="n">
        <v>45070</v>
      </c>
      <c r="C1132" s="1" t="n">
        <v>45835</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23140-2023</t>
        </is>
      </c>
      <c r="B1133" s="1" t="n">
        <v>45070</v>
      </c>
      <c r="C1133" s="1" t="n">
        <v>45835</v>
      </c>
      <c r="D1133" t="inlineStr">
        <is>
          <t>JÄMTLANDS LÄN</t>
        </is>
      </c>
      <c r="E1133" t="inlineStr">
        <is>
          <t>RAGUNDA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22731-2023</t>
        </is>
      </c>
      <c r="B1134" s="1" t="n">
        <v>45071</v>
      </c>
      <c r="C1134" s="1" t="n">
        <v>45835</v>
      </c>
      <c r="D1134" t="inlineStr">
        <is>
          <t>JÄMTLANDS LÄN</t>
        </is>
      </c>
      <c r="E1134" t="inlineStr">
        <is>
          <t>RAGUNDA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22981-2023</t>
        </is>
      </c>
      <c r="B1135" s="1" t="n">
        <v>45073</v>
      </c>
      <c r="C1135" s="1" t="n">
        <v>45835</v>
      </c>
      <c r="D1135" t="inlineStr">
        <is>
          <t>JÄMTLANDS LÄN</t>
        </is>
      </c>
      <c r="E1135" t="inlineStr">
        <is>
          <t>RAGUNDA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23299-2023</t>
        </is>
      </c>
      <c r="B1136" s="1" t="n">
        <v>45076</v>
      </c>
      <c r="C1136" s="1" t="n">
        <v>45835</v>
      </c>
      <c r="D1136" t="inlineStr">
        <is>
          <t>JÄMTLANDS LÄN</t>
        </is>
      </c>
      <c r="E1136" t="inlineStr">
        <is>
          <t>RAGUNDA</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23304-2023</t>
        </is>
      </c>
      <c r="B1137" s="1" t="n">
        <v>45076</v>
      </c>
      <c r="C1137" s="1" t="n">
        <v>45835</v>
      </c>
      <c r="D1137" t="inlineStr">
        <is>
          <t>JÄMTLANDS LÄN</t>
        </is>
      </c>
      <c r="E1137" t="inlineStr">
        <is>
          <t>RAGUNDA</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23305-2023</t>
        </is>
      </c>
      <c r="B1138" s="1" t="n">
        <v>45076</v>
      </c>
      <c r="C1138" s="1" t="n">
        <v>45835</v>
      </c>
      <c r="D1138" t="inlineStr">
        <is>
          <t>JÄMTLANDS LÄN</t>
        </is>
      </c>
      <c r="E1138" t="inlineStr">
        <is>
          <t>RAGUNDA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23298-2023</t>
        </is>
      </c>
      <c r="B1139" s="1" t="n">
        <v>45076</v>
      </c>
      <c r="C1139" s="1" t="n">
        <v>45835</v>
      </c>
      <c r="D1139" t="inlineStr">
        <is>
          <t>JÄMTLANDS LÄN</t>
        </is>
      </c>
      <c r="E1139" t="inlineStr">
        <is>
          <t>RAGUNDA</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24861-2023</t>
        </is>
      </c>
      <c r="B1140" s="1" t="n">
        <v>45078</v>
      </c>
      <c r="C1140" s="1" t="n">
        <v>45835</v>
      </c>
      <c r="D1140" t="inlineStr">
        <is>
          <t>JÄMTLANDS LÄN</t>
        </is>
      </c>
      <c r="E1140" t="inlineStr">
        <is>
          <t>RAGUNDA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25086-2023</t>
        </is>
      </c>
      <c r="B1141" s="1" t="n">
        <v>45078</v>
      </c>
      <c r="C1141" s="1" t="n">
        <v>45835</v>
      </c>
      <c r="D1141" t="inlineStr">
        <is>
          <t>JÄMTLANDS LÄN</t>
        </is>
      </c>
      <c r="E1141" t="inlineStr">
        <is>
          <t>RAGUNDA</t>
        </is>
      </c>
      <c r="G1141" t="n">
        <v>16.7</v>
      </c>
      <c r="H1141" t="n">
        <v>0</v>
      </c>
      <c r="I1141" t="n">
        <v>0</v>
      </c>
      <c r="J1141" t="n">
        <v>0</v>
      </c>
      <c r="K1141" t="n">
        <v>0</v>
      </c>
      <c r="L1141" t="n">
        <v>0</v>
      </c>
      <c r="M1141" t="n">
        <v>0</v>
      </c>
      <c r="N1141" t="n">
        <v>0</v>
      </c>
      <c r="O1141" t="n">
        <v>0</v>
      </c>
      <c r="P1141" t="n">
        <v>0</v>
      </c>
      <c r="Q1141" t="n">
        <v>0</v>
      </c>
      <c r="R1141" s="2" t="inlineStr"/>
    </row>
    <row r="1142" ht="15" customHeight="1">
      <c r="A1142" t="inlineStr">
        <is>
          <t>A 25416-2023</t>
        </is>
      </c>
      <c r="B1142" s="1" t="n">
        <v>45078</v>
      </c>
      <c r="C1142" s="1" t="n">
        <v>45835</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24300-2023</t>
        </is>
      </c>
      <c r="B1143" s="1" t="n">
        <v>45079</v>
      </c>
      <c r="C1143" s="1" t="n">
        <v>45835</v>
      </c>
      <c r="D1143" t="inlineStr">
        <is>
          <t>JÄMTLANDS LÄN</t>
        </is>
      </c>
      <c r="E1143" t="inlineStr">
        <is>
          <t>RAGUNDA</t>
        </is>
      </c>
      <c r="F1143" t="inlineStr">
        <is>
          <t>SCA</t>
        </is>
      </c>
      <c r="G1143" t="n">
        <v>13.3</v>
      </c>
      <c r="H1143" t="n">
        <v>0</v>
      </c>
      <c r="I1143" t="n">
        <v>0</v>
      </c>
      <c r="J1143" t="n">
        <v>0</v>
      </c>
      <c r="K1143" t="n">
        <v>0</v>
      </c>
      <c r="L1143" t="n">
        <v>0</v>
      </c>
      <c r="M1143" t="n">
        <v>0</v>
      </c>
      <c r="N1143" t="n">
        <v>0</v>
      </c>
      <c r="O1143" t="n">
        <v>0</v>
      </c>
      <c r="P1143" t="n">
        <v>0</v>
      </c>
      <c r="Q1143" t="n">
        <v>0</v>
      </c>
      <c r="R1143" s="2" t="inlineStr"/>
    </row>
    <row r="1144" ht="15" customHeight="1">
      <c r="A1144" t="inlineStr">
        <is>
          <t>A 24821-2023</t>
        </is>
      </c>
      <c r="B1144" s="1" t="n">
        <v>45085</v>
      </c>
      <c r="C1144" s="1" t="n">
        <v>45835</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24822-2023</t>
        </is>
      </c>
      <c r="B1145" s="1" t="n">
        <v>45085</v>
      </c>
      <c r="C1145" s="1" t="n">
        <v>45835</v>
      </c>
      <c r="D1145" t="inlineStr">
        <is>
          <t>JÄMTLANDS LÄN</t>
        </is>
      </c>
      <c r="E1145" t="inlineStr">
        <is>
          <t>RAGUNDA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24820-2023</t>
        </is>
      </c>
      <c r="B1146" s="1" t="n">
        <v>45084</v>
      </c>
      <c r="C1146" s="1" t="n">
        <v>45835</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25892-2023</t>
        </is>
      </c>
      <c r="B1147" s="1" t="n">
        <v>45085</v>
      </c>
      <c r="C1147" s="1" t="n">
        <v>45835</v>
      </c>
      <c r="D1147" t="inlineStr">
        <is>
          <t>JÄMTLANDS LÄN</t>
        </is>
      </c>
      <c r="E1147" t="inlineStr">
        <is>
          <t>RAGUNDA</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25332-2023</t>
        </is>
      </c>
      <c r="B1148" s="1" t="n">
        <v>45087</v>
      </c>
      <c r="C1148" s="1" t="n">
        <v>45835</v>
      </c>
      <c r="D1148" t="inlineStr">
        <is>
          <t>JÄMTLANDS LÄN</t>
        </is>
      </c>
      <c r="E1148" t="inlineStr">
        <is>
          <t>RAGUNDA</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25304-2023</t>
        </is>
      </c>
      <c r="B1149" s="1" t="n">
        <v>45086</v>
      </c>
      <c r="C1149" s="1" t="n">
        <v>45835</v>
      </c>
      <c r="D1149" t="inlineStr">
        <is>
          <t>JÄMTLANDS LÄN</t>
        </is>
      </c>
      <c r="E1149" t="inlineStr">
        <is>
          <t>RAGUNDA</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25430-2023</t>
        </is>
      </c>
      <c r="B1150" s="1" t="n">
        <v>45089</v>
      </c>
      <c r="C1150" s="1" t="n">
        <v>45835</v>
      </c>
      <c r="D1150" t="inlineStr">
        <is>
          <t>JÄMTLANDS LÄN</t>
        </is>
      </c>
      <c r="E1150" t="inlineStr">
        <is>
          <t>RAGUNDA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25669-2023</t>
        </is>
      </c>
      <c r="B1151" s="1" t="n">
        <v>45089</v>
      </c>
      <c r="C1151" s="1" t="n">
        <v>45835</v>
      </c>
      <c r="D1151" t="inlineStr">
        <is>
          <t>JÄMTLANDS LÄN</t>
        </is>
      </c>
      <c r="E1151" t="inlineStr">
        <is>
          <t>RAGUNDA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25666-2023</t>
        </is>
      </c>
      <c r="B1152" s="1" t="n">
        <v>45089</v>
      </c>
      <c r="C1152" s="1" t="n">
        <v>45835</v>
      </c>
      <c r="D1152" t="inlineStr">
        <is>
          <t>JÄMTLANDS LÄN</t>
        </is>
      </c>
      <c r="E1152" t="inlineStr">
        <is>
          <t>RAGUNDA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25670-2023</t>
        </is>
      </c>
      <c r="B1153" s="1" t="n">
        <v>45090</v>
      </c>
      <c r="C1153" s="1" t="n">
        <v>45835</v>
      </c>
      <c r="D1153" t="inlineStr">
        <is>
          <t>JÄMTLANDS LÄN</t>
        </is>
      </c>
      <c r="E1153" t="inlineStr">
        <is>
          <t>RAGUNDA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25708-2023</t>
        </is>
      </c>
      <c r="B1154" s="1" t="n">
        <v>45090</v>
      </c>
      <c r="C1154" s="1" t="n">
        <v>45835</v>
      </c>
      <c r="D1154" t="inlineStr">
        <is>
          <t>JÄMTLANDS LÄN</t>
        </is>
      </c>
      <c r="E1154" t="inlineStr">
        <is>
          <t>RAGUNDA</t>
        </is>
      </c>
      <c r="G1154" t="n">
        <v>16.1</v>
      </c>
      <c r="H1154" t="n">
        <v>0</v>
      </c>
      <c r="I1154" t="n">
        <v>0</v>
      </c>
      <c r="J1154" t="n">
        <v>0</v>
      </c>
      <c r="K1154" t="n">
        <v>0</v>
      </c>
      <c r="L1154" t="n">
        <v>0</v>
      </c>
      <c r="M1154" t="n">
        <v>0</v>
      </c>
      <c r="N1154" t="n">
        <v>0</v>
      </c>
      <c r="O1154" t="n">
        <v>0</v>
      </c>
      <c r="P1154" t="n">
        <v>0</v>
      </c>
      <c r="Q1154" t="n">
        <v>0</v>
      </c>
      <c r="R1154" s="2" t="inlineStr"/>
    </row>
    <row r="1155" ht="15" customHeight="1">
      <c r="A1155" t="inlineStr">
        <is>
          <t>A 26002-2023</t>
        </is>
      </c>
      <c r="B1155" s="1" t="n">
        <v>45091</v>
      </c>
      <c r="C1155" s="1" t="n">
        <v>45835</v>
      </c>
      <c r="D1155" t="inlineStr">
        <is>
          <t>JÄMTLANDS LÄN</t>
        </is>
      </c>
      <c r="E1155" t="inlineStr">
        <is>
          <t>RAGUNDA</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26347-2023</t>
        </is>
      </c>
      <c r="B1156" s="1" t="n">
        <v>45091</v>
      </c>
      <c r="C1156" s="1" t="n">
        <v>45835</v>
      </c>
      <c r="D1156" t="inlineStr">
        <is>
          <t>JÄMTLANDS LÄN</t>
        </is>
      </c>
      <c r="E1156" t="inlineStr">
        <is>
          <t>RAGUNDA</t>
        </is>
      </c>
      <c r="F1156" t="inlineStr">
        <is>
          <t>SCA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26455-2023</t>
        </is>
      </c>
      <c r="B1157" s="1" t="n">
        <v>45092</v>
      </c>
      <c r="C1157" s="1" t="n">
        <v>45835</v>
      </c>
      <c r="D1157" t="inlineStr">
        <is>
          <t>JÄMTLANDS LÄN</t>
        </is>
      </c>
      <c r="E1157" t="inlineStr">
        <is>
          <t>RAGUNDA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26644-2023</t>
        </is>
      </c>
      <c r="B1158" s="1" t="n">
        <v>45093</v>
      </c>
      <c r="C1158" s="1" t="n">
        <v>45835</v>
      </c>
      <c r="D1158" t="inlineStr">
        <is>
          <t>JÄMTLANDS LÄN</t>
        </is>
      </c>
      <c r="E1158" t="inlineStr">
        <is>
          <t>RAGUNDA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26646-2023</t>
        </is>
      </c>
      <c r="B1159" s="1" t="n">
        <v>45092</v>
      </c>
      <c r="C1159" s="1" t="n">
        <v>45835</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27091-2023</t>
        </is>
      </c>
      <c r="B1160" s="1" t="n">
        <v>45092</v>
      </c>
      <c r="C1160" s="1" t="n">
        <v>45835</v>
      </c>
      <c r="D1160" t="inlineStr">
        <is>
          <t>JÄMTLANDS LÄN</t>
        </is>
      </c>
      <c r="E1160" t="inlineStr">
        <is>
          <t>RAGUNDA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27085-2023</t>
        </is>
      </c>
      <c r="B1161" s="1" t="n">
        <v>45092</v>
      </c>
      <c r="C1161" s="1" t="n">
        <v>45835</v>
      </c>
      <c r="D1161" t="inlineStr">
        <is>
          <t>JÄMTLANDS LÄN</t>
        </is>
      </c>
      <c r="E1161" t="inlineStr">
        <is>
          <t>RAGUNDA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26991-2023</t>
        </is>
      </c>
      <c r="B1162" s="1" t="n">
        <v>45094</v>
      </c>
      <c r="C1162" s="1" t="n">
        <v>45835</v>
      </c>
      <c r="D1162" t="inlineStr">
        <is>
          <t>JÄMTLANDS LÄN</t>
        </is>
      </c>
      <c r="E1162" t="inlineStr">
        <is>
          <t>RAGUNDA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26995-2023</t>
        </is>
      </c>
      <c r="B1163" s="1" t="n">
        <v>45093</v>
      </c>
      <c r="C1163" s="1" t="n">
        <v>45835</v>
      </c>
      <c r="D1163" t="inlineStr">
        <is>
          <t>JÄMTLANDS LÄN</t>
        </is>
      </c>
      <c r="E1163" t="inlineStr">
        <is>
          <t>RAGUNDA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26993-2023</t>
        </is>
      </c>
      <c r="B1164" s="1" t="n">
        <v>45093</v>
      </c>
      <c r="C1164" s="1" t="n">
        <v>45835</v>
      </c>
      <c r="D1164" t="inlineStr">
        <is>
          <t>JÄMTLANDS LÄN</t>
        </is>
      </c>
      <c r="E1164" t="inlineStr">
        <is>
          <t>RAGUNDA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26994-2023</t>
        </is>
      </c>
      <c r="B1165" s="1" t="n">
        <v>45094</v>
      </c>
      <c r="C1165" s="1" t="n">
        <v>45835</v>
      </c>
      <c r="D1165" t="inlineStr">
        <is>
          <t>JÄMTLANDS LÄN</t>
        </is>
      </c>
      <c r="E1165" t="inlineStr">
        <is>
          <t>RAGUNDA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26992-2023</t>
        </is>
      </c>
      <c r="B1166" s="1" t="n">
        <v>45094</v>
      </c>
      <c r="C1166" s="1" t="n">
        <v>45835</v>
      </c>
      <c r="D1166" t="inlineStr">
        <is>
          <t>JÄMTLANDS LÄN</t>
        </is>
      </c>
      <c r="E1166" t="inlineStr">
        <is>
          <t>RAGUNDA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27373-2023</t>
        </is>
      </c>
      <c r="B1167" s="1" t="n">
        <v>45097</v>
      </c>
      <c r="C1167" s="1" t="n">
        <v>45835</v>
      </c>
      <c r="D1167" t="inlineStr">
        <is>
          <t>JÄMTLANDS LÄN</t>
        </is>
      </c>
      <c r="E1167" t="inlineStr">
        <is>
          <t>RAGUNDA</t>
        </is>
      </c>
      <c r="F1167" t="inlineStr">
        <is>
          <t>SCA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27379-2023</t>
        </is>
      </c>
      <c r="B1168" s="1" t="n">
        <v>45097</v>
      </c>
      <c r="C1168" s="1" t="n">
        <v>45835</v>
      </c>
      <c r="D1168" t="inlineStr">
        <is>
          <t>JÄMTLANDS LÄN</t>
        </is>
      </c>
      <c r="E1168" t="inlineStr">
        <is>
          <t>RAGUNDA</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28685-2023</t>
        </is>
      </c>
      <c r="B1169" s="1" t="n">
        <v>45096</v>
      </c>
      <c r="C1169" s="1" t="n">
        <v>45835</v>
      </c>
      <c r="D1169" t="inlineStr">
        <is>
          <t>JÄMTLANDS LÄN</t>
        </is>
      </c>
      <c r="E1169" t="inlineStr">
        <is>
          <t>RAGUNDA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28806-2023</t>
        </is>
      </c>
      <c r="B1170" s="1" t="n">
        <v>45096</v>
      </c>
      <c r="C1170" s="1" t="n">
        <v>45835</v>
      </c>
      <c r="D1170" t="inlineStr">
        <is>
          <t>JÄMTLANDS LÄN</t>
        </is>
      </c>
      <c r="E1170" t="inlineStr">
        <is>
          <t>RAGUNDA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29775-2023</t>
        </is>
      </c>
      <c r="B1171" s="1" t="n">
        <v>45098</v>
      </c>
      <c r="C1171" s="1" t="n">
        <v>45835</v>
      </c>
      <c r="D1171" t="inlineStr">
        <is>
          <t>JÄMTLANDS LÄN</t>
        </is>
      </c>
      <c r="E1171" t="inlineStr">
        <is>
          <t>RAGUNDA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29766-2023</t>
        </is>
      </c>
      <c r="B1172" s="1" t="n">
        <v>45098</v>
      </c>
      <c r="C1172" s="1" t="n">
        <v>45835</v>
      </c>
      <c r="D1172" t="inlineStr">
        <is>
          <t>JÄMTLANDS LÄN</t>
        </is>
      </c>
      <c r="E1172" t="inlineStr">
        <is>
          <t>RAGUNDA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28352-2023</t>
        </is>
      </c>
      <c r="B1173" s="1" t="n">
        <v>45100</v>
      </c>
      <c r="C1173" s="1" t="n">
        <v>45835</v>
      </c>
      <c r="D1173" t="inlineStr">
        <is>
          <t>JÄMTLANDS LÄN</t>
        </is>
      </c>
      <c r="E1173" t="inlineStr">
        <is>
          <t>RAGUNDA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28351-2023</t>
        </is>
      </c>
      <c r="B1174" s="1" t="n">
        <v>45100</v>
      </c>
      <c r="C1174" s="1" t="n">
        <v>45835</v>
      </c>
      <c r="D1174" t="inlineStr">
        <is>
          <t>JÄMTLANDS LÄN</t>
        </is>
      </c>
      <c r="E1174" t="inlineStr">
        <is>
          <t>RAGUNDA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28742-2023</t>
        </is>
      </c>
      <c r="B1175" s="1" t="n">
        <v>45103</v>
      </c>
      <c r="C1175" s="1" t="n">
        <v>45835</v>
      </c>
      <c r="D1175" t="inlineStr">
        <is>
          <t>JÄMTLANDS LÄN</t>
        </is>
      </c>
      <c r="E1175" t="inlineStr">
        <is>
          <t>RAGUNDA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31135-2023</t>
        </is>
      </c>
      <c r="B1176" s="1" t="n">
        <v>45103</v>
      </c>
      <c r="C1176" s="1" t="n">
        <v>45835</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29053-2023</t>
        </is>
      </c>
      <c r="B1177" s="1" t="n">
        <v>45104</v>
      </c>
      <c r="C1177" s="1" t="n">
        <v>45835</v>
      </c>
      <c r="D1177" t="inlineStr">
        <is>
          <t>JÄMTLANDS LÄN</t>
        </is>
      </c>
      <c r="E1177" t="inlineStr">
        <is>
          <t>RAGUNDA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29319-2023</t>
        </is>
      </c>
      <c r="B1178" s="1" t="n">
        <v>45105</v>
      </c>
      <c r="C1178" s="1" t="n">
        <v>45835</v>
      </c>
      <c r="D1178" t="inlineStr">
        <is>
          <t>JÄMTLANDS LÄN</t>
        </is>
      </c>
      <c r="E1178" t="inlineStr">
        <is>
          <t>RAGUNDA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29940-2023</t>
        </is>
      </c>
      <c r="B1179" s="1" t="n">
        <v>45107</v>
      </c>
      <c r="C1179" s="1" t="n">
        <v>45835</v>
      </c>
      <c r="D1179" t="inlineStr">
        <is>
          <t>JÄMTLANDS LÄN</t>
        </is>
      </c>
      <c r="E1179" t="inlineStr">
        <is>
          <t>RAGUNDA</t>
        </is>
      </c>
      <c r="G1179" t="n">
        <v>13.5</v>
      </c>
      <c r="H1179" t="n">
        <v>0</v>
      </c>
      <c r="I1179" t="n">
        <v>0</v>
      </c>
      <c r="J1179" t="n">
        <v>0</v>
      </c>
      <c r="K1179" t="n">
        <v>0</v>
      </c>
      <c r="L1179" t="n">
        <v>0</v>
      </c>
      <c r="M1179" t="n">
        <v>0</v>
      </c>
      <c r="N1179" t="n">
        <v>0</v>
      </c>
      <c r="O1179" t="n">
        <v>0</v>
      </c>
      <c r="P1179" t="n">
        <v>0</v>
      </c>
      <c r="Q1179" t="n">
        <v>0</v>
      </c>
      <c r="R1179" s="2" t="inlineStr"/>
    </row>
    <row r="1180" ht="15" customHeight="1">
      <c r="A1180" t="inlineStr">
        <is>
          <t>A 29939-2023</t>
        </is>
      </c>
      <c r="B1180" s="1" t="n">
        <v>45107</v>
      </c>
      <c r="C1180" s="1" t="n">
        <v>45835</v>
      </c>
      <c r="D1180" t="inlineStr">
        <is>
          <t>JÄMTLANDS LÄN</t>
        </is>
      </c>
      <c r="E1180" t="inlineStr">
        <is>
          <t>RAGUNDA</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30563-2023</t>
        </is>
      </c>
      <c r="B1181" s="1" t="n">
        <v>45112</v>
      </c>
      <c r="C1181" s="1" t="n">
        <v>45835</v>
      </c>
      <c r="D1181" t="inlineStr">
        <is>
          <t>JÄMTLANDS LÄN</t>
        </is>
      </c>
      <c r="E1181" t="inlineStr">
        <is>
          <t>RAGUNDA</t>
        </is>
      </c>
      <c r="F1181" t="inlineStr">
        <is>
          <t>Övriga Aktiebolag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32592-2023</t>
        </is>
      </c>
      <c r="B1182" s="1" t="n">
        <v>45111</v>
      </c>
      <c r="C1182" s="1" t="n">
        <v>45835</v>
      </c>
      <c r="D1182" t="inlineStr">
        <is>
          <t>JÄMTLANDS LÄN</t>
        </is>
      </c>
      <c r="E1182" t="inlineStr">
        <is>
          <t>RAGUNDA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30826-2023</t>
        </is>
      </c>
      <c r="B1183" s="1" t="n">
        <v>45112</v>
      </c>
      <c r="C1183" s="1" t="n">
        <v>45835</v>
      </c>
      <c r="D1183" t="inlineStr">
        <is>
          <t>JÄMTLANDS LÄN</t>
        </is>
      </c>
      <c r="E1183" t="inlineStr">
        <is>
          <t>RAGUNDA</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30825-2023</t>
        </is>
      </c>
      <c r="B1184" s="1" t="n">
        <v>45113</v>
      </c>
      <c r="C1184" s="1" t="n">
        <v>45835</v>
      </c>
      <c r="D1184" t="inlineStr">
        <is>
          <t>JÄMTLANDS LÄN</t>
        </is>
      </c>
      <c r="E1184" t="inlineStr">
        <is>
          <t>RAGUNDA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30823-2023</t>
        </is>
      </c>
      <c r="B1185" s="1" t="n">
        <v>45112</v>
      </c>
      <c r="C1185" s="1" t="n">
        <v>45835</v>
      </c>
      <c r="D1185" t="inlineStr">
        <is>
          <t>JÄMTLANDS LÄN</t>
        </is>
      </c>
      <c r="E1185" t="inlineStr">
        <is>
          <t>RAGUNDA</t>
        </is>
      </c>
      <c r="F1185" t="inlineStr">
        <is>
          <t>SCA</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30824-2023</t>
        </is>
      </c>
      <c r="B1186" s="1" t="n">
        <v>45113</v>
      </c>
      <c r="C1186" s="1" t="n">
        <v>45835</v>
      </c>
      <c r="D1186" t="inlineStr">
        <is>
          <t>JÄMTLANDS LÄN</t>
        </is>
      </c>
      <c r="E1186" t="inlineStr">
        <is>
          <t>RAGUNDA</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31200-2023</t>
        </is>
      </c>
      <c r="B1187" s="1" t="n">
        <v>45114</v>
      </c>
      <c r="C1187" s="1" t="n">
        <v>45835</v>
      </c>
      <c r="D1187" t="inlineStr">
        <is>
          <t>JÄMTLANDS LÄN</t>
        </is>
      </c>
      <c r="E1187" t="inlineStr">
        <is>
          <t>RAGUNDA</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31926-2023</t>
        </is>
      </c>
      <c r="B1188" s="1" t="n">
        <v>45119</v>
      </c>
      <c r="C1188" s="1" t="n">
        <v>45835</v>
      </c>
      <c r="D1188" t="inlineStr">
        <is>
          <t>JÄMTLANDS LÄN</t>
        </is>
      </c>
      <c r="E1188" t="inlineStr">
        <is>
          <t>RAGUNDA</t>
        </is>
      </c>
      <c r="F1188" t="inlineStr">
        <is>
          <t>SCA</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32207-2023</t>
        </is>
      </c>
      <c r="B1189" s="1" t="n">
        <v>45120</v>
      </c>
      <c r="C1189" s="1" t="n">
        <v>45835</v>
      </c>
      <c r="D1189" t="inlineStr">
        <is>
          <t>JÄMTLANDS LÄN</t>
        </is>
      </c>
      <c r="E1189" t="inlineStr">
        <is>
          <t>RAGUNDA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33615-2023</t>
        </is>
      </c>
      <c r="B1190" s="1" t="n">
        <v>45119</v>
      </c>
      <c r="C1190" s="1" t="n">
        <v>45835</v>
      </c>
      <c r="D1190" t="inlineStr">
        <is>
          <t>JÄMTLANDS LÄN</t>
        </is>
      </c>
      <c r="E1190" t="inlineStr">
        <is>
          <t>RAGUNDA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33621-2023</t>
        </is>
      </c>
      <c r="B1191" s="1" t="n">
        <v>45119</v>
      </c>
      <c r="C1191" s="1" t="n">
        <v>45835</v>
      </c>
      <c r="D1191" t="inlineStr">
        <is>
          <t>JÄMTLANDS LÄN</t>
        </is>
      </c>
      <c r="E1191" t="inlineStr">
        <is>
          <t>RAGUNDA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33035-2023</t>
        </is>
      </c>
      <c r="B1192" s="1" t="n">
        <v>45126</v>
      </c>
      <c r="C1192" s="1" t="n">
        <v>45835</v>
      </c>
      <c r="D1192" t="inlineStr">
        <is>
          <t>JÄMTLANDS LÄN</t>
        </is>
      </c>
      <c r="E1192" t="inlineStr">
        <is>
          <t>RAGUNDA</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33047-2023</t>
        </is>
      </c>
      <c r="B1193" s="1" t="n">
        <v>45126</v>
      </c>
      <c r="C1193" s="1" t="n">
        <v>45835</v>
      </c>
      <c r="D1193" t="inlineStr">
        <is>
          <t>JÄMTLANDS LÄN</t>
        </is>
      </c>
      <c r="E1193" t="inlineStr">
        <is>
          <t>RAGUNDA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33038-2023</t>
        </is>
      </c>
      <c r="B1194" s="1" t="n">
        <v>45126</v>
      </c>
      <c r="C1194" s="1" t="n">
        <v>45835</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33046-2023</t>
        </is>
      </c>
      <c r="B1195" s="1" t="n">
        <v>45126</v>
      </c>
      <c r="C1195" s="1" t="n">
        <v>45835</v>
      </c>
      <c r="D1195" t="inlineStr">
        <is>
          <t>JÄMTLANDS LÄN</t>
        </is>
      </c>
      <c r="E1195" t="inlineStr">
        <is>
          <t>RAGUNDA</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33432-2023</t>
        </is>
      </c>
      <c r="B1196" s="1" t="n">
        <v>45128</v>
      </c>
      <c r="C1196" s="1" t="n">
        <v>45835</v>
      </c>
      <c r="D1196" t="inlineStr">
        <is>
          <t>JÄMTLANDS LÄN</t>
        </is>
      </c>
      <c r="E1196" t="inlineStr">
        <is>
          <t>RAGUNDA</t>
        </is>
      </c>
      <c r="F1196" t="inlineStr">
        <is>
          <t>SCA</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33589-2023</t>
        </is>
      </c>
      <c r="B1197" s="1" t="n">
        <v>45132</v>
      </c>
      <c r="C1197" s="1" t="n">
        <v>45835</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33588-2023</t>
        </is>
      </c>
      <c r="B1198" s="1" t="n">
        <v>45131</v>
      </c>
      <c r="C1198" s="1" t="n">
        <v>45835</v>
      </c>
      <c r="D1198" t="inlineStr">
        <is>
          <t>JÄMTLANDS LÄN</t>
        </is>
      </c>
      <c r="E1198" t="inlineStr">
        <is>
          <t>RAGUNDA</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33717-2023</t>
        </is>
      </c>
      <c r="B1199" s="1" t="n">
        <v>45132</v>
      </c>
      <c r="C1199" s="1" t="n">
        <v>45835</v>
      </c>
      <c r="D1199" t="inlineStr">
        <is>
          <t>JÄMTLANDS LÄN</t>
        </is>
      </c>
      <c r="E1199" t="inlineStr">
        <is>
          <t>RAGUNDA</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33877-2023</t>
        </is>
      </c>
      <c r="B1200" s="1" t="n">
        <v>45133</v>
      </c>
      <c r="C1200" s="1" t="n">
        <v>45835</v>
      </c>
      <c r="D1200" t="inlineStr">
        <is>
          <t>JÄMTLANDS LÄN</t>
        </is>
      </c>
      <c r="E1200" t="inlineStr">
        <is>
          <t>RAGUNDA</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34322-2023</t>
        </is>
      </c>
      <c r="B1201" s="1" t="n">
        <v>45139</v>
      </c>
      <c r="C1201" s="1" t="n">
        <v>45835</v>
      </c>
      <c r="D1201" t="inlineStr">
        <is>
          <t>JÄMTLANDS LÄN</t>
        </is>
      </c>
      <c r="E1201" t="inlineStr">
        <is>
          <t>RAGUNDA</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34321-2023</t>
        </is>
      </c>
      <c r="B1202" s="1" t="n">
        <v>45138</v>
      </c>
      <c r="C1202" s="1" t="n">
        <v>45835</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34323-2023</t>
        </is>
      </c>
      <c r="B1203" s="1" t="n">
        <v>45139</v>
      </c>
      <c r="C1203" s="1" t="n">
        <v>45835</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34483-2023</t>
        </is>
      </c>
      <c r="B1204" s="1" t="n">
        <v>45140</v>
      </c>
      <c r="C1204" s="1" t="n">
        <v>45835</v>
      </c>
      <c r="D1204" t="inlineStr">
        <is>
          <t>JÄMTLANDS LÄN</t>
        </is>
      </c>
      <c r="E1204" t="inlineStr">
        <is>
          <t>RAGUNDA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34689-2023</t>
        </is>
      </c>
      <c r="B1205" s="1" t="n">
        <v>45141</v>
      </c>
      <c r="C1205" s="1" t="n">
        <v>45835</v>
      </c>
      <c r="D1205" t="inlineStr">
        <is>
          <t>JÄMTLANDS LÄN</t>
        </is>
      </c>
      <c r="E1205" t="inlineStr">
        <is>
          <t>RAGUNDA</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34691-2023</t>
        </is>
      </c>
      <c r="B1206" s="1" t="n">
        <v>45141</v>
      </c>
      <c r="C1206" s="1" t="n">
        <v>45835</v>
      </c>
      <c r="D1206" t="inlineStr">
        <is>
          <t>JÄMTLANDS LÄN</t>
        </is>
      </c>
      <c r="E1206" t="inlineStr">
        <is>
          <t>RAGUNDA</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35009-2023</t>
        </is>
      </c>
      <c r="B1207" s="1" t="n">
        <v>45142</v>
      </c>
      <c r="C1207" s="1" t="n">
        <v>45835</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35272-2023</t>
        </is>
      </c>
      <c r="B1208" s="1" t="n">
        <v>45146</v>
      </c>
      <c r="C1208" s="1" t="n">
        <v>45835</v>
      </c>
      <c r="D1208" t="inlineStr">
        <is>
          <t>JÄMTLANDS LÄN</t>
        </is>
      </c>
      <c r="E1208" t="inlineStr">
        <is>
          <t>RAGUNDA</t>
        </is>
      </c>
      <c r="F1208" t="inlineStr">
        <is>
          <t>SCA</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35265-2023</t>
        </is>
      </c>
      <c r="B1209" s="1" t="n">
        <v>45146</v>
      </c>
      <c r="C1209" s="1" t="n">
        <v>45835</v>
      </c>
      <c r="D1209" t="inlineStr">
        <is>
          <t>JÄMTLANDS LÄN</t>
        </is>
      </c>
      <c r="E1209" t="inlineStr">
        <is>
          <t>RAGUNDA</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35273-2023</t>
        </is>
      </c>
      <c r="B1210" s="1" t="n">
        <v>45146</v>
      </c>
      <c r="C1210" s="1" t="n">
        <v>45835</v>
      </c>
      <c r="D1210" t="inlineStr">
        <is>
          <t>JÄMTLANDS LÄN</t>
        </is>
      </c>
      <c r="E1210" t="inlineStr">
        <is>
          <t>RAGUNDA</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35274-2023</t>
        </is>
      </c>
      <c r="B1211" s="1" t="n">
        <v>45145</v>
      </c>
      <c r="C1211" s="1" t="n">
        <v>45835</v>
      </c>
      <c r="D1211" t="inlineStr">
        <is>
          <t>JÄMTLANDS LÄN</t>
        </is>
      </c>
      <c r="E1211" t="inlineStr">
        <is>
          <t>RAGUNDA</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35565-2023</t>
        </is>
      </c>
      <c r="B1212" s="1" t="n">
        <v>45146</v>
      </c>
      <c r="C1212" s="1" t="n">
        <v>45835</v>
      </c>
      <c r="D1212" t="inlineStr">
        <is>
          <t>JÄMTLANDS LÄN</t>
        </is>
      </c>
      <c r="E1212" t="inlineStr">
        <is>
          <t>RAGUNDA</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35912-2023</t>
        </is>
      </c>
      <c r="B1213" s="1" t="n">
        <v>45148</v>
      </c>
      <c r="C1213" s="1" t="n">
        <v>45835</v>
      </c>
      <c r="D1213" t="inlineStr">
        <is>
          <t>JÄMTLANDS LÄN</t>
        </is>
      </c>
      <c r="E1213" t="inlineStr">
        <is>
          <t>RAGUNDA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36046-2023</t>
        </is>
      </c>
      <c r="B1214" s="1" t="n">
        <v>45148</v>
      </c>
      <c r="C1214" s="1" t="n">
        <v>45835</v>
      </c>
      <c r="D1214" t="inlineStr">
        <is>
          <t>JÄMTLANDS LÄN</t>
        </is>
      </c>
      <c r="E1214" t="inlineStr">
        <is>
          <t>RAGUNDA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36206-2023</t>
        </is>
      </c>
      <c r="B1215" s="1" t="n">
        <v>45150</v>
      </c>
      <c r="C1215" s="1" t="n">
        <v>45835</v>
      </c>
      <c r="D1215" t="inlineStr">
        <is>
          <t>JÄMTLANDS LÄN</t>
        </is>
      </c>
      <c r="E1215" t="inlineStr">
        <is>
          <t>RAGUNDA</t>
        </is>
      </c>
      <c r="F1215" t="inlineStr">
        <is>
          <t>SCA</t>
        </is>
      </c>
      <c r="G1215" t="n">
        <v>20.4</v>
      </c>
      <c r="H1215" t="n">
        <v>0</v>
      </c>
      <c r="I1215" t="n">
        <v>0</v>
      </c>
      <c r="J1215" t="n">
        <v>0</v>
      </c>
      <c r="K1215" t="n">
        <v>0</v>
      </c>
      <c r="L1215" t="n">
        <v>0</v>
      </c>
      <c r="M1215" t="n">
        <v>0</v>
      </c>
      <c r="N1215" t="n">
        <v>0</v>
      </c>
      <c r="O1215" t="n">
        <v>0</v>
      </c>
      <c r="P1215" t="n">
        <v>0</v>
      </c>
      <c r="Q1215" t="n">
        <v>0</v>
      </c>
      <c r="R1215" s="2" t="inlineStr"/>
    </row>
    <row r="1216" ht="15" customHeight="1">
      <c r="A1216" t="inlineStr">
        <is>
          <t>A 36227-2023</t>
        </is>
      </c>
      <c r="B1216" s="1" t="n">
        <v>45150</v>
      </c>
      <c r="C1216" s="1" t="n">
        <v>45835</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36212-2023</t>
        </is>
      </c>
      <c r="B1217" s="1" t="n">
        <v>45150</v>
      </c>
      <c r="C1217" s="1" t="n">
        <v>45835</v>
      </c>
      <c r="D1217" t="inlineStr">
        <is>
          <t>JÄMTLANDS LÄN</t>
        </is>
      </c>
      <c r="E1217" t="inlineStr">
        <is>
          <t>RAGUNDA</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36213-2023</t>
        </is>
      </c>
      <c r="B1218" s="1" t="n">
        <v>45150</v>
      </c>
      <c r="C1218" s="1" t="n">
        <v>45835</v>
      </c>
      <c r="D1218" t="inlineStr">
        <is>
          <t>JÄMTLANDS LÄN</t>
        </is>
      </c>
      <c r="E1218" t="inlineStr">
        <is>
          <t>RAGUNDA</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36226-2023</t>
        </is>
      </c>
      <c r="B1219" s="1" t="n">
        <v>45150</v>
      </c>
      <c r="C1219" s="1" t="n">
        <v>45835</v>
      </c>
      <c r="D1219" t="inlineStr">
        <is>
          <t>JÄMTLANDS LÄN</t>
        </is>
      </c>
      <c r="E1219" t="inlineStr">
        <is>
          <t>RAGUNDA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36371-2023</t>
        </is>
      </c>
      <c r="B1220" s="1" t="n">
        <v>45149</v>
      </c>
      <c r="C1220" s="1" t="n">
        <v>45835</v>
      </c>
      <c r="D1220" t="inlineStr">
        <is>
          <t>JÄMTLANDS LÄN</t>
        </is>
      </c>
      <c r="E1220" t="inlineStr">
        <is>
          <t>RAGUNDA</t>
        </is>
      </c>
      <c r="G1220" t="n">
        <v>25.7</v>
      </c>
      <c r="H1220" t="n">
        <v>0</v>
      </c>
      <c r="I1220" t="n">
        <v>0</v>
      </c>
      <c r="J1220" t="n">
        <v>0</v>
      </c>
      <c r="K1220" t="n">
        <v>0</v>
      </c>
      <c r="L1220" t="n">
        <v>0</v>
      </c>
      <c r="M1220" t="n">
        <v>0</v>
      </c>
      <c r="N1220" t="n">
        <v>0</v>
      </c>
      <c r="O1220" t="n">
        <v>0</v>
      </c>
      <c r="P1220" t="n">
        <v>0</v>
      </c>
      <c r="Q1220" t="n">
        <v>0</v>
      </c>
      <c r="R1220" s="2" t="inlineStr"/>
    </row>
    <row r="1221" ht="15" customHeight="1">
      <c r="A1221" t="inlineStr">
        <is>
          <t>A 36506-2023</t>
        </is>
      </c>
      <c r="B1221" s="1" t="n">
        <v>45153</v>
      </c>
      <c r="C1221" s="1" t="n">
        <v>45835</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36755-2023</t>
        </is>
      </c>
      <c r="B1222" s="1" t="n">
        <v>45153</v>
      </c>
      <c r="C1222" s="1" t="n">
        <v>45835</v>
      </c>
      <c r="D1222" t="inlineStr">
        <is>
          <t>JÄMTLANDS LÄN</t>
        </is>
      </c>
      <c r="E1222" t="inlineStr">
        <is>
          <t>RAGUNDA</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36859-2023</t>
        </is>
      </c>
      <c r="B1223" s="1" t="n">
        <v>45153</v>
      </c>
      <c r="C1223" s="1" t="n">
        <v>45835</v>
      </c>
      <c r="D1223" t="inlineStr">
        <is>
          <t>JÄMTLANDS LÄN</t>
        </is>
      </c>
      <c r="E1223" t="inlineStr">
        <is>
          <t>RAGUNDA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36985-2023</t>
        </is>
      </c>
      <c r="B1224" s="1" t="n">
        <v>45155</v>
      </c>
      <c r="C1224" s="1" t="n">
        <v>45835</v>
      </c>
      <c r="D1224" t="inlineStr">
        <is>
          <t>JÄMTLANDS LÄN</t>
        </is>
      </c>
      <c r="E1224" t="inlineStr">
        <is>
          <t>RAGUNDA</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36986-2023</t>
        </is>
      </c>
      <c r="B1225" s="1" t="n">
        <v>45155</v>
      </c>
      <c r="C1225" s="1" t="n">
        <v>45835</v>
      </c>
      <c r="D1225" t="inlineStr">
        <is>
          <t>JÄMTLANDS LÄN</t>
        </is>
      </c>
      <c r="E1225" t="inlineStr">
        <is>
          <t>RAGUNDA</t>
        </is>
      </c>
      <c r="F1225" t="inlineStr">
        <is>
          <t>SCA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37251-2023</t>
        </is>
      </c>
      <c r="B1226" s="1" t="n">
        <v>45156</v>
      </c>
      <c r="C1226" s="1" t="n">
        <v>45835</v>
      </c>
      <c r="D1226" t="inlineStr">
        <is>
          <t>JÄMTLANDS LÄN</t>
        </is>
      </c>
      <c r="E1226" t="inlineStr">
        <is>
          <t>RAGUNDA</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37480-2023</t>
        </is>
      </c>
      <c r="B1227" s="1" t="n">
        <v>45156</v>
      </c>
      <c r="C1227" s="1" t="n">
        <v>45835</v>
      </c>
      <c r="D1227" t="inlineStr">
        <is>
          <t>JÄMTLANDS LÄN</t>
        </is>
      </c>
      <c r="E1227" t="inlineStr">
        <is>
          <t>RAGUNDA</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37479-2023</t>
        </is>
      </c>
      <c r="B1228" s="1" t="n">
        <v>45156</v>
      </c>
      <c r="C1228" s="1" t="n">
        <v>45835</v>
      </c>
      <c r="D1228" t="inlineStr">
        <is>
          <t>JÄMTLANDS LÄN</t>
        </is>
      </c>
      <c r="E1228" t="inlineStr">
        <is>
          <t>RAGUNDA</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37536-2023</t>
        </is>
      </c>
      <c r="B1229" s="1" t="n">
        <v>45159</v>
      </c>
      <c r="C1229" s="1" t="n">
        <v>45835</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37544-2023</t>
        </is>
      </c>
      <c r="B1230" s="1" t="n">
        <v>45159</v>
      </c>
      <c r="C1230" s="1" t="n">
        <v>45835</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37543-2023</t>
        </is>
      </c>
      <c r="B1231" s="1" t="n">
        <v>45159</v>
      </c>
      <c r="C1231" s="1" t="n">
        <v>45835</v>
      </c>
      <c r="D1231" t="inlineStr">
        <is>
          <t>JÄMTLANDS LÄN</t>
        </is>
      </c>
      <c r="E1231" t="inlineStr">
        <is>
          <t>RAGUNDA</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37795-2023</t>
        </is>
      </c>
      <c r="B1232" s="1" t="n">
        <v>45160</v>
      </c>
      <c r="C1232" s="1" t="n">
        <v>45835</v>
      </c>
      <c r="D1232" t="inlineStr">
        <is>
          <t>JÄMTLANDS LÄN</t>
        </is>
      </c>
      <c r="E1232" t="inlineStr">
        <is>
          <t>RAGUNDA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37805-2023</t>
        </is>
      </c>
      <c r="B1233" s="1" t="n">
        <v>45160</v>
      </c>
      <c r="C1233" s="1" t="n">
        <v>45835</v>
      </c>
      <c r="D1233" t="inlineStr">
        <is>
          <t>JÄMTLANDS LÄN</t>
        </is>
      </c>
      <c r="E1233" t="inlineStr">
        <is>
          <t>RAGUNDA</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37804-2023</t>
        </is>
      </c>
      <c r="B1234" s="1" t="n">
        <v>45160</v>
      </c>
      <c r="C1234" s="1" t="n">
        <v>45835</v>
      </c>
      <c r="D1234" t="inlineStr">
        <is>
          <t>JÄMTLANDS LÄN</t>
        </is>
      </c>
      <c r="E1234" t="inlineStr">
        <is>
          <t>RAGUNDA</t>
        </is>
      </c>
      <c r="F1234" t="inlineStr">
        <is>
          <t>SCA</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39070-2023</t>
        </is>
      </c>
      <c r="B1235" s="1" t="n">
        <v>45164</v>
      </c>
      <c r="C1235" s="1" t="n">
        <v>45835</v>
      </c>
      <c r="D1235" t="inlineStr">
        <is>
          <t>JÄMTLANDS LÄN</t>
        </is>
      </c>
      <c r="E1235" t="inlineStr">
        <is>
          <t>RAGUNDA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39076-2023</t>
        </is>
      </c>
      <c r="B1236" s="1" t="n">
        <v>45163</v>
      </c>
      <c r="C1236" s="1" t="n">
        <v>45835</v>
      </c>
      <c r="D1236" t="inlineStr">
        <is>
          <t>JÄMTLANDS LÄN</t>
        </is>
      </c>
      <c r="E1236" t="inlineStr">
        <is>
          <t>RAGUNDA</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39478-2023</t>
        </is>
      </c>
      <c r="B1237" s="1" t="n">
        <v>45166</v>
      </c>
      <c r="C1237" s="1" t="n">
        <v>45835</v>
      </c>
      <c r="D1237" t="inlineStr">
        <is>
          <t>JÄMTLANDS LÄN</t>
        </is>
      </c>
      <c r="E1237" t="inlineStr">
        <is>
          <t>RAGUNDA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39482-2023</t>
        </is>
      </c>
      <c r="B1238" s="1" t="n">
        <v>45167</v>
      </c>
      <c r="C1238" s="1" t="n">
        <v>45835</v>
      </c>
      <c r="D1238" t="inlineStr">
        <is>
          <t>JÄMTLANDS LÄN</t>
        </is>
      </c>
      <c r="E1238" t="inlineStr">
        <is>
          <t>RAGUNDA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39487-2023</t>
        </is>
      </c>
      <c r="B1239" s="1" t="n">
        <v>45167</v>
      </c>
      <c r="C1239" s="1" t="n">
        <v>45835</v>
      </c>
      <c r="D1239" t="inlineStr">
        <is>
          <t>JÄMTLANDS LÄN</t>
        </is>
      </c>
      <c r="E1239" t="inlineStr">
        <is>
          <t>RAGUNDA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39489-2023</t>
        </is>
      </c>
      <c r="B1240" s="1" t="n">
        <v>45166</v>
      </c>
      <c r="C1240" s="1" t="n">
        <v>45835</v>
      </c>
      <c r="D1240" t="inlineStr">
        <is>
          <t>JÄMTLANDS LÄN</t>
        </is>
      </c>
      <c r="E1240" t="inlineStr">
        <is>
          <t>RAGUNDA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39488-2023</t>
        </is>
      </c>
      <c r="B1241" s="1" t="n">
        <v>45166</v>
      </c>
      <c r="C1241" s="1" t="n">
        <v>45835</v>
      </c>
      <c r="D1241" t="inlineStr">
        <is>
          <t>JÄMTLANDS LÄN</t>
        </is>
      </c>
      <c r="E1241" t="inlineStr">
        <is>
          <t>RAGUNDA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39481-2023</t>
        </is>
      </c>
      <c r="B1242" s="1" t="n">
        <v>45167</v>
      </c>
      <c r="C1242" s="1" t="n">
        <v>45835</v>
      </c>
      <c r="D1242" t="inlineStr">
        <is>
          <t>JÄMTLANDS LÄN</t>
        </is>
      </c>
      <c r="E1242" t="inlineStr">
        <is>
          <t>RAGUNDA</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39820-2023</t>
        </is>
      </c>
      <c r="B1243" s="1" t="n">
        <v>45167</v>
      </c>
      <c r="C1243" s="1" t="n">
        <v>45835</v>
      </c>
      <c r="D1243" t="inlineStr">
        <is>
          <t>JÄMTLANDS LÄN</t>
        </is>
      </c>
      <c r="E1243" t="inlineStr">
        <is>
          <t>RAGUNDA</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40801-2023</t>
        </is>
      </c>
      <c r="B1244" s="1" t="n">
        <v>45170</v>
      </c>
      <c r="C1244" s="1" t="n">
        <v>45835</v>
      </c>
      <c r="D1244" t="inlineStr">
        <is>
          <t>JÄMTLANDS LÄN</t>
        </is>
      </c>
      <c r="E1244" t="inlineStr">
        <is>
          <t>RAGUNDA</t>
        </is>
      </c>
      <c r="F1244" t="inlineStr">
        <is>
          <t>SCA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40800-2023</t>
        </is>
      </c>
      <c r="B1245" s="1" t="n">
        <v>45171</v>
      </c>
      <c r="C1245" s="1" t="n">
        <v>45835</v>
      </c>
      <c r="D1245" t="inlineStr">
        <is>
          <t>JÄMTLANDS LÄN</t>
        </is>
      </c>
      <c r="E1245" t="inlineStr">
        <is>
          <t>RAGUNDA</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41413-2023</t>
        </is>
      </c>
      <c r="B1246" s="1" t="n">
        <v>45175</v>
      </c>
      <c r="C1246" s="1" t="n">
        <v>45835</v>
      </c>
      <c r="D1246" t="inlineStr">
        <is>
          <t>JÄMTLANDS LÄN</t>
        </is>
      </c>
      <c r="E1246" t="inlineStr">
        <is>
          <t>RAGUNDA</t>
        </is>
      </c>
      <c r="F1246" t="inlineStr">
        <is>
          <t>SCA</t>
        </is>
      </c>
      <c r="G1246" t="n">
        <v>40.6</v>
      </c>
      <c r="H1246" t="n">
        <v>0</v>
      </c>
      <c r="I1246" t="n">
        <v>0</v>
      </c>
      <c r="J1246" t="n">
        <v>0</v>
      </c>
      <c r="K1246" t="n">
        <v>0</v>
      </c>
      <c r="L1246" t="n">
        <v>0</v>
      </c>
      <c r="M1246" t="n">
        <v>0</v>
      </c>
      <c r="N1246" t="n">
        <v>0</v>
      </c>
      <c r="O1246" t="n">
        <v>0</v>
      </c>
      <c r="P1246" t="n">
        <v>0</v>
      </c>
      <c r="Q1246" t="n">
        <v>0</v>
      </c>
      <c r="R1246" s="2" t="inlineStr"/>
    </row>
    <row r="1247" ht="15" customHeight="1">
      <c r="A1247" t="inlineStr">
        <is>
          <t>A 41402-2023</t>
        </is>
      </c>
      <c r="B1247" s="1" t="n">
        <v>45175</v>
      </c>
      <c r="C1247" s="1" t="n">
        <v>45835</v>
      </c>
      <c r="D1247" t="inlineStr">
        <is>
          <t>JÄMTLANDS LÄN</t>
        </is>
      </c>
      <c r="E1247" t="inlineStr">
        <is>
          <t>RAGUNDA</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42295-2023</t>
        </is>
      </c>
      <c r="B1248" s="1" t="n">
        <v>45175</v>
      </c>
      <c r="C1248" s="1" t="n">
        <v>45835</v>
      </c>
      <c r="D1248" t="inlineStr">
        <is>
          <t>JÄMTLANDS LÄN</t>
        </is>
      </c>
      <c r="E1248" t="inlineStr">
        <is>
          <t>RAGUNDA</t>
        </is>
      </c>
      <c r="F1248" t="inlineStr">
        <is>
          <t>Kommuner</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41656-2023</t>
        </is>
      </c>
      <c r="B1249" s="1" t="n">
        <v>45175</v>
      </c>
      <c r="C1249" s="1" t="n">
        <v>45835</v>
      </c>
      <c r="D1249" t="inlineStr">
        <is>
          <t>JÄMTLANDS LÄN</t>
        </is>
      </c>
      <c r="E1249" t="inlineStr">
        <is>
          <t>RAGUNDA</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41693-2023</t>
        </is>
      </c>
      <c r="B1250" s="1" t="n">
        <v>45176</v>
      </c>
      <c r="C1250" s="1" t="n">
        <v>45835</v>
      </c>
      <c r="D1250" t="inlineStr">
        <is>
          <t>JÄMTLANDS LÄN</t>
        </is>
      </c>
      <c r="E1250" t="inlineStr">
        <is>
          <t>RAGUNDA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41766-2023</t>
        </is>
      </c>
      <c r="B1251" s="1" t="n">
        <v>45176</v>
      </c>
      <c r="C1251" s="1" t="n">
        <v>45835</v>
      </c>
      <c r="D1251" t="inlineStr">
        <is>
          <t>JÄMTLANDS LÄN</t>
        </is>
      </c>
      <c r="E1251" t="inlineStr">
        <is>
          <t>RAGUNDA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41905-2023</t>
        </is>
      </c>
      <c r="B1252" s="1" t="n">
        <v>45176</v>
      </c>
      <c r="C1252" s="1" t="n">
        <v>45835</v>
      </c>
      <c r="D1252" t="inlineStr">
        <is>
          <t>JÄMTLANDS LÄN</t>
        </is>
      </c>
      <c r="E1252" t="inlineStr">
        <is>
          <t>RAGUNDA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42149-2023</t>
        </is>
      </c>
      <c r="B1253" s="1" t="n">
        <v>45177</v>
      </c>
      <c r="C1253" s="1" t="n">
        <v>45835</v>
      </c>
      <c r="D1253" t="inlineStr">
        <is>
          <t>JÄMTLANDS LÄN</t>
        </is>
      </c>
      <c r="E1253" t="inlineStr">
        <is>
          <t>RAGUNDA</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42510-2023</t>
        </is>
      </c>
      <c r="B1254" s="1" t="n">
        <v>45181</v>
      </c>
      <c r="C1254" s="1" t="n">
        <v>45835</v>
      </c>
      <c r="D1254" t="inlineStr">
        <is>
          <t>JÄMTLANDS LÄN</t>
        </is>
      </c>
      <c r="E1254" t="inlineStr">
        <is>
          <t>RAGUNDA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42509-2023</t>
        </is>
      </c>
      <c r="B1255" s="1" t="n">
        <v>45180</v>
      </c>
      <c r="C1255" s="1" t="n">
        <v>45835</v>
      </c>
      <c r="D1255" t="inlineStr">
        <is>
          <t>JÄMTLANDS LÄN</t>
        </is>
      </c>
      <c r="E1255" t="inlineStr">
        <is>
          <t>RAGUNDA</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42508-2023</t>
        </is>
      </c>
      <c r="B1256" s="1" t="n">
        <v>45181</v>
      </c>
      <c r="C1256" s="1" t="n">
        <v>45835</v>
      </c>
      <c r="D1256" t="inlineStr">
        <is>
          <t>JÄMTLANDS LÄN</t>
        </is>
      </c>
      <c r="E1256" t="inlineStr">
        <is>
          <t>RAGUNDA</t>
        </is>
      </c>
      <c r="F1256" t="inlineStr">
        <is>
          <t>SCA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43607-2023</t>
        </is>
      </c>
      <c r="B1257" s="1" t="n">
        <v>45181</v>
      </c>
      <c r="C1257" s="1" t="n">
        <v>45835</v>
      </c>
      <c r="D1257" t="inlineStr">
        <is>
          <t>JÄMTLANDS LÄN</t>
        </is>
      </c>
      <c r="E1257" t="inlineStr">
        <is>
          <t>RAGUNDA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43102-2023</t>
        </is>
      </c>
      <c r="B1258" s="1" t="n">
        <v>45182</v>
      </c>
      <c r="C1258" s="1" t="n">
        <v>45835</v>
      </c>
      <c r="D1258" t="inlineStr">
        <is>
          <t>JÄMTLANDS LÄN</t>
        </is>
      </c>
      <c r="E1258" t="inlineStr">
        <is>
          <t>RAGUNDA</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43122-2023</t>
        </is>
      </c>
      <c r="B1259" s="1" t="n">
        <v>45183</v>
      </c>
      <c r="C1259" s="1" t="n">
        <v>45835</v>
      </c>
      <c r="D1259" t="inlineStr">
        <is>
          <t>JÄMTLANDS LÄN</t>
        </is>
      </c>
      <c r="E1259" t="inlineStr">
        <is>
          <t>RAGUNDA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43132-2023</t>
        </is>
      </c>
      <c r="B1260" s="1" t="n">
        <v>45182</v>
      </c>
      <c r="C1260" s="1" t="n">
        <v>45835</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43926-2023</t>
        </is>
      </c>
      <c r="B1261" s="1" t="n">
        <v>45182</v>
      </c>
      <c r="C1261" s="1" t="n">
        <v>45835</v>
      </c>
      <c r="D1261" t="inlineStr">
        <is>
          <t>JÄMTLANDS LÄN</t>
        </is>
      </c>
      <c r="E1261" t="inlineStr">
        <is>
          <t>RAGUNDA</t>
        </is>
      </c>
      <c r="F1261" t="inlineStr">
        <is>
          <t>Kommuner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43405-2023</t>
        </is>
      </c>
      <c r="B1262" s="1" t="n">
        <v>45184</v>
      </c>
      <c r="C1262" s="1" t="n">
        <v>45835</v>
      </c>
      <c r="D1262" t="inlineStr">
        <is>
          <t>JÄMTLANDS LÄN</t>
        </is>
      </c>
      <c r="E1262" t="inlineStr">
        <is>
          <t>RAGUNDA</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43409-2023</t>
        </is>
      </c>
      <c r="B1263" s="1" t="n">
        <v>45184</v>
      </c>
      <c r="C1263" s="1" t="n">
        <v>45835</v>
      </c>
      <c r="D1263" t="inlineStr">
        <is>
          <t>JÄMTLANDS LÄN</t>
        </is>
      </c>
      <c r="E1263" t="inlineStr">
        <is>
          <t>RAGUNDA</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44630-2023</t>
        </is>
      </c>
      <c r="B1264" s="1" t="n">
        <v>45184</v>
      </c>
      <c r="C1264" s="1" t="n">
        <v>45835</v>
      </c>
      <c r="D1264" t="inlineStr">
        <is>
          <t>JÄMTLANDS LÄN</t>
        </is>
      </c>
      <c r="E1264" t="inlineStr">
        <is>
          <t>RAGUNDA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44881-2023</t>
        </is>
      </c>
      <c r="B1265" s="1" t="n">
        <v>45187</v>
      </c>
      <c r="C1265" s="1" t="n">
        <v>45835</v>
      </c>
      <c r="D1265" t="inlineStr">
        <is>
          <t>JÄMTLANDS LÄN</t>
        </is>
      </c>
      <c r="E1265" t="inlineStr">
        <is>
          <t>RAGUNDA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45257-2023</t>
        </is>
      </c>
      <c r="B1266" s="1" t="n">
        <v>45187</v>
      </c>
      <c r="C1266" s="1" t="n">
        <v>45835</v>
      </c>
      <c r="D1266" t="inlineStr">
        <is>
          <t>JÄMTLANDS LÄN</t>
        </is>
      </c>
      <c r="E1266" t="inlineStr">
        <is>
          <t>RAGUNDA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45253-2023</t>
        </is>
      </c>
      <c r="B1267" s="1" t="n">
        <v>45187</v>
      </c>
      <c r="C1267" s="1" t="n">
        <v>45835</v>
      </c>
      <c r="D1267" t="inlineStr">
        <is>
          <t>JÄMTLANDS LÄN</t>
        </is>
      </c>
      <c r="E1267" t="inlineStr">
        <is>
          <t>RAGUNDA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44987-2023</t>
        </is>
      </c>
      <c r="B1268" s="1" t="n">
        <v>45191</v>
      </c>
      <c r="C1268" s="1" t="n">
        <v>45835</v>
      </c>
      <c r="D1268" t="inlineStr">
        <is>
          <t>JÄMTLANDS LÄN</t>
        </is>
      </c>
      <c r="E1268" t="inlineStr">
        <is>
          <t>RAGUNDA</t>
        </is>
      </c>
      <c r="F1268" t="inlineStr">
        <is>
          <t>SCA</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44999-2023</t>
        </is>
      </c>
      <c r="B1269" s="1" t="n">
        <v>45191</v>
      </c>
      <c r="C1269" s="1" t="n">
        <v>45835</v>
      </c>
      <c r="D1269" t="inlineStr">
        <is>
          <t>JÄMTLANDS LÄN</t>
        </is>
      </c>
      <c r="E1269" t="inlineStr">
        <is>
          <t>RAGUNDA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44980-2023</t>
        </is>
      </c>
      <c r="B1270" s="1" t="n">
        <v>45190</v>
      </c>
      <c r="C1270" s="1" t="n">
        <v>45835</v>
      </c>
      <c r="D1270" t="inlineStr">
        <is>
          <t>JÄMTLANDS LÄN</t>
        </is>
      </c>
      <c r="E1270" t="inlineStr">
        <is>
          <t>RAGUNDA</t>
        </is>
      </c>
      <c r="F1270" t="inlineStr">
        <is>
          <t>SCA</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44988-2023</t>
        </is>
      </c>
      <c r="B1271" s="1" t="n">
        <v>45190</v>
      </c>
      <c r="C1271" s="1" t="n">
        <v>45835</v>
      </c>
      <c r="D1271" t="inlineStr">
        <is>
          <t>JÄMTLANDS LÄN</t>
        </is>
      </c>
      <c r="E1271" t="inlineStr">
        <is>
          <t>RAGUNDA</t>
        </is>
      </c>
      <c r="F1271" t="inlineStr">
        <is>
          <t>SCA</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44996-2023</t>
        </is>
      </c>
      <c r="B1272" s="1" t="n">
        <v>45191</v>
      </c>
      <c r="C1272" s="1" t="n">
        <v>45835</v>
      </c>
      <c r="D1272" t="inlineStr">
        <is>
          <t>JÄMTLANDS LÄN</t>
        </is>
      </c>
      <c r="E1272" t="inlineStr">
        <is>
          <t>RAGUNDA</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45020-2023</t>
        </is>
      </c>
      <c r="B1273" s="1" t="n">
        <v>45191</v>
      </c>
      <c r="C1273" s="1" t="n">
        <v>45835</v>
      </c>
      <c r="D1273" t="inlineStr">
        <is>
          <t>JÄMTLANDS LÄN</t>
        </is>
      </c>
      <c r="E1273" t="inlineStr">
        <is>
          <t>RAGUNDA</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44997-2023</t>
        </is>
      </c>
      <c r="B1274" s="1" t="n">
        <v>45191</v>
      </c>
      <c r="C1274" s="1" t="n">
        <v>45835</v>
      </c>
      <c r="D1274" t="inlineStr">
        <is>
          <t>JÄMTLANDS LÄN</t>
        </is>
      </c>
      <c r="E1274" t="inlineStr">
        <is>
          <t>RAGUNDA</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45336-2023</t>
        </is>
      </c>
      <c r="B1275" s="1" t="n">
        <v>45192</v>
      </c>
      <c r="C1275" s="1" t="n">
        <v>45835</v>
      </c>
      <c r="D1275" t="inlineStr">
        <is>
          <t>JÄMTLANDS LÄN</t>
        </is>
      </c>
      <c r="E1275" t="inlineStr">
        <is>
          <t>RAGUNDA</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45335-2023</t>
        </is>
      </c>
      <c r="B1276" s="1" t="n">
        <v>45191</v>
      </c>
      <c r="C1276" s="1" t="n">
        <v>45835</v>
      </c>
      <c r="D1276" t="inlineStr">
        <is>
          <t>JÄMTLANDS LÄN</t>
        </is>
      </c>
      <c r="E1276" t="inlineStr">
        <is>
          <t>RAGUNDA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45338-2023</t>
        </is>
      </c>
      <c r="B1277" s="1" t="n">
        <v>45192</v>
      </c>
      <c r="C1277" s="1" t="n">
        <v>45835</v>
      </c>
      <c r="D1277" t="inlineStr">
        <is>
          <t>JÄMTLANDS LÄN</t>
        </is>
      </c>
      <c r="E1277" t="inlineStr">
        <is>
          <t>RAGUNDA</t>
        </is>
      </c>
      <c r="F1277" t="inlineStr">
        <is>
          <t>SCA</t>
        </is>
      </c>
      <c r="G1277" t="n">
        <v>23.4</v>
      </c>
      <c r="H1277" t="n">
        <v>0</v>
      </c>
      <c r="I1277" t="n">
        <v>0</v>
      </c>
      <c r="J1277" t="n">
        <v>0</v>
      </c>
      <c r="K1277" t="n">
        <v>0</v>
      </c>
      <c r="L1277" t="n">
        <v>0</v>
      </c>
      <c r="M1277" t="n">
        <v>0</v>
      </c>
      <c r="N1277" t="n">
        <v>0</v>
      </c>
      <c r="O1277" t="n">
        <v>0</v>
      </c>
      <c r="P1277" t="n">
        <v>0</v>
      </c>
      <c r="Q1277" t="n">
        <v>0</v>
      </c>
      <c r="R1277" s="2" t="inlineStr"/>
    </row>
    <row r="1278" ht="15" customHeight="1">
      <c r="A1278" t="inlineStr">
        <is>
          <t>A 45953-2023</t>
        </is>
      </c>
      <c r="B1278" s="1" t="n">
        <v>45196</v>
      </c>
      <c r="C1278" s="1" t="n">
        <v>45835</v>
      </c>
      <c r="D1278" t="inlineStr">
        <is>
          <t>JÄMTLANDS LÄN</t>
        </is>
      </c>
      <c r="E1278" t="inlineStr">
        <is>
          <t>RAGUNDA</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45974-2023</t>
        </is>
      </c>
      <c r="B1279" s="1" t="n">
        <v>45196</v>
      </c>
      <c r="C1279" s="1" t="n">
        <v>45835</v>
      </c>
      <c r="D1279" t="inlineStr">
        <is>
          <t>JÄMTLANDS LÄN</t>
        </is>
      </c>
      <c r="E1279" t="inlineStr">
        <is>
          <t>RAGUNDA</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45954-2023</t>
        </is>
      </c>
      <c r="B1280" s="1" t="n">
        <v>45196</v>
      </c>
      <c r="C1280" s="1" t="n">
        <v>45835</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45952-2023</t>
        </is>
      </c>
      <c r="B1281" s="1" t="n">
        <v>45195</v>
      </c>
      <c r="C1281" s="1" t="n">
        <v>45835</v>
      </c>
      <c r="D1281" t="inlineStr">
        <is>
          <t>JÄMTLANDS LÄN</t>
        </is>
      </c>
      <c r="E1281" t="inlineStr">
        <is>
          <t>RAGUNDA</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45955-2023</t>
        </is>
      </c>
      <c r="B1282" s="1" t="n">
        <v>45196</v>
      </c>
      <c r="C1282" s="1" t="n">
        <v>45835</v>
      </c>
      <c r="D1282" t="inlineStr">
        <is>
          <t>JÄMTLANDS LÄN</t>
        </is>
      </c>
      <c r="E1282" t="inlineStr">
        <is>
          <t>RAGUNDA</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47319-2023</t>
        </is>
      </c>
      <c r="B1283" s="1" t="n">
        <v>45196</v>
      </c>
      <c r="C1283" s="1" t="n">
        <v>45835</v>
      </c>
      <c r="D1283" t="inlineStr">
        <is>
          <t>JÄMTLANDS LÄN</t>
        </is>
      </c>
      <c r="E1283" t="inlineStr">
        <is>
          <t>RAGUNDA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46536-2023</t>
        </is>
      </c>
      <c r="B1284" s="1" t="n">
        <v>45198</v>
      </c>
      <c r="C1284" s="1" t="n">
        <v>45835</v>
      </c>
      <c r="D1284" t="inlineStr">
        <is>
          <t>JÄMTLANDS LÄN</t>
        </is>
      </c>
      <c r="E1284" t="inlineStr">
        <is>
          <t>RAGUNDA</t>
        </is>
      </c>
      <c r="G1284" t="n">
        <v>11.2</v>
      </c>
      <c r="H1284" t="n">
        <v>0</v>
      </c>
      <c r="I1284" t="n">
        <v>0</v>
      </c>
      <c r="J1284" t="n">
        <v>0</v>
      </c>
      <c r="K1284" t="n">
        <v>0</v>
      </c>
      <c r="L1284" t="n">
        <v>0</v>
      </c>
      <c r="M1284" t="n">
        <v>0</v>
      </c>
      <c r="N1284" t="n">
        <v>0</v>
      </c>
      <c r="O1284" t="n">
        <v>0</v>
      </c>
      <c r="P1284" t="n">
        <v>0</v>
      </c>
      <c r="Q1284" t="n">
        <v>0</v>
      </c>
      <c r="R1284" s="2" t="inlineStr"/>
    </row>
    <row r="1285" ht="15" customHeight="1">
      <c r="A1285" t="inlineStr">
        <is>
          <t>A 46549-2023</t>
        </is>
      </c>
      <c r="B1285" s="1" t="n">
        <v>45198</v>
      </c>
      <c r="C1285" s="1" t="n">
        <v>45835</v>
      </c>
      <c r="D1285" t="inlineStr">
        <is>
          <t>JÄMTLANDS LÄN</t>
        </is>
      </c>
      <c r="E1285" t="inlineStr">
        <is>
          <t>RAGUNDA</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46537-2023</t>
        </is>
      </c>
      <c r="B1286" s="1" t="n">
        <v>45197</v>
      </c>
      <c r="C1286" s="1" t="n">
        <v>45835</v>
      </c>
      <c r="D1286" t="inlineStr">
        <is>
          <t>JÄMTLANDS LÄN</t>
        </is>
      </c>
      <c r="E1286" t="inlineStr">
        <is>
          <t>RAGUNDA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46546-2023</t>
        </is>
      </c>
      <c r="B1287" s="1" t="n">
        <v>45198</v>
      </c>
      <c r="C1287" s="1" t="n">
        <v>45835</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47444-2023</t>
        </is>
      </c>
      <c r="B1288" s="1" t="n">
        <v>45197</v>
      </c>
      <c r="C1288" s="1" t="n">
        <v>45835</v>
      </c>
      <c r="D1288" t="inlineStr">
        <is>
          <t>JÄMTLANDS LÄN</t>
        </is>
      </c>
      <c r="E1288" t="inlineStr">
        <is>
          <t>RAGUNDA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46817-2023</t>
        </is>
      </c>
      <c r="B1289" s="1" t="n">
        <v>45199</v>
      </c>
      <c r="C1289" s="1" t="n">
        <v>45835</v>
      </c>
      <c r="D1289" t="inlineStr">
        <is>
          <t>JÄMTLANDS LÄN</t>
        </is>
      </c>
      <c r="E1289" t="inlineStr">
        <is>
          <t>RAGUNDA</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46806-2023</t>
        </is>
      </c>
      <c r="B1290" s="1" t="n">
        <v>45199</v>
      </c>
      <c r="C1290" s="1" t="n">
        <v>45835</v>
      </c>
      <c r="D1290" t="inlineStr">
        <is>
          <t>JÄMTLANDS LÄN</t>
        </is>
      </c>
      <c r="E1290" t="inlineStr">
        <is>
          <t>RAGUNDA</t>
        </is>
      </c>
      <c r="F1290" t="inlineStr">
        <is>
          <t>SCA</t>
        </is>
      </c>
      <c r="G1290" t="n">
        <v>39.8</v>
      </c>
      <c r="H1290" t="n">
        <v>0</v>
      </c>
      <c r="I1290" t="n">
        <v>0</v>
      </c>
      <c r="J1290" t="n">
        <v>0</v>
      </c>
      <c r="K1290" t="n">
        <v>0</v>
      </c>
      <c r="L1290" t="n">
        <v>0</v>
      </c>
      <c r="M1290" t="n">
        <v>0</v>
      </c>
      <c r="N1290" t="n">
        <v>0</v>
      </c>
      <c r="O1290" t="n">
        <v>0</v>
      </c>
      <c r="P1290" t="n">
        <v>0</v>
      </c>
      <c r="Q1290" t="n">
        <v>0</v>
      </c>
      <c r="R1290" s="2" t="inlineStr"/>
    </row>
    <row r="1291" ht="15" customHeight="1">
      <c r="A1291" t="inlineStr">
        <is>
          <t>A 47168-2023</t>
        </is>
      </c>
      <c r="B1291" s="1" t="n">
        <v>45201</v>
      </c>
      <c r="C1291" s="1" t="n">
        <v>45835</v>
      </c>
      <c r="D1291" t="inlineStr">
        <is>
          <t>JÄMTLANDS LÄN</t>
        </is>
      </c>
      <c r="E1291" t="inlineStr">
        <is>
          <t>RAGUNDA</t>
        </is>
      </c>
      <c r="F1291" t="inlineStr">
        <is>
          <t>SCA</t>
        </is>
      </c>
      <c r="G1291" t="n">
        <v>15.6</v>
      </c>
      <c r="H1291" t="n">
        <v>0</v>
      </c>
      <c r="I1291" t="n">
        <v>0</v>
      </c>
      <c r="J1291" t="n">
        <v>0</v>
      </c>
      <c r="K1291" t="n">
        <v>0</v>
      </c>
      <c r="L1291" t="n">
        <v>0</v>
      </c>
      <c r="M1291" t="n">
        <v>0</v>
      </c>
      <c r="N1291" t="n">
        <v>0</v>
      </c>
      <c r="O1291" t="n">
        <v>0</v>
      </c>
      <c r="P1291" t="n">
        <v>0</v>
      </c>
      <c r="Q1291" t="n">
        <v>0</v>
      </c>
      <c r="R1291" s="2" t="inlineStr"/>
    </row>
    <row r="1292" ht="15" customHeight="1">
      <c r="A1292" t="inlineStr">
        <is>
          <t>A 47173-2023</t>
        </is>
      </c>
      <c r="B1292" s="1" t="n">
        <v>45202</v>
      </c>
      <c r="C1292" s="1" t="n">
        <v>45835</v>
      </c>
      <c r="D1292" t="inlineStr">
        <is>
          <t>JÄMTLANDS LÄN</t>
        </is>
      </c>
      <c r="E1292" t="inlineStr">
        <is>
          <t>RAGUNDA</t>
        </is>
      </c>
      <c r="F1292" t="inlineStr">
        <is>
          <t>SCA</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48065-2023</t>
        </is>
      </c>
      <c r="B1293" s="1" t="n">
        <v>45205</v>
      </c>
      <c r="C1293" s="1" t="n">
        <v>45835</v>
      </c>
      <c r="D1293" t="inlineStr">
        <is>
          <t>JÄMTLANDS LÄN</t>
        </is>
      </c>
      <c r="E1293" t="inlineStr">
        <is>
          <t>RAGUNDA</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48066-2023</t>
        </is>
      </c>
      <c r="B1294" s="1" t="n">
        <v>45205</v>
      </c>
      <c r="C1294" s="1" t="n">
        <v>45835</v>
      </c>
      <c r="D1294" t="inlineStr">
        <is>
          <t>JÄMTLANDS LÄN</t>
        </is>
      </c>
      <c r="E1294" t="inlineStr">
        <is>
          <t>RAGUNDA</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48421-2023</t>
        </is>
      </c>
      <c r="B1295" s="1" t="n">
        <v>45205</v>
      </c>
      <c r="C1295" s="1" t="n">
        <v>45835</v>
      </c>
      <c r="D1295" t="inlineStr">
        <is>
          <t>JÄMTLANDS LÄN</t>
        </is>
      </c>
      <c r="E1295" t="inlineStr">
        <is>
          <t>RAGUNDA</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48469-2023</t>
        </is>
      </c>
      <c r="B1296" s="1" t="n">
        <v>45207</v>
      </c>
      <c r="C1296" s="1" t="n">
        <v>45835</v>
      </c>
      <c r="D1296" t="inlineStr">
        <is>
          <t>JÄMTLANDS LÄN</t>
        </is>
      </c>
      <c r="E1296" t="inlineStr">
        <is>
          <t>RAGUNDA</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50160-2023</t>
        </is>
      </c>
      <c r="B1297" s="1" t="n">
        <v>45208</v>
      </c>
      <c r="C1297" s="1" t="n">
        <v>45835</v>
      </c>
      <c r="D1297" t="inlineStr">
        <is>
          <t>JÄMTLANDS LÄN</t>
        </is>
      </c>
      <c r="E1297" t="inlineStr">
        <is>
          <t>RAGUNDA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50157-2023</t>
        </is>
      </c>
      <c r="B1298" s="1" t="n">
        <v>45208</v>
      </c>
      <c r="C1298" s="1" t="n">
        <v>45835</v>
      </c>
      <c r="D1298" t="inlineStr">
        <is>
          <t>JÄMTLANDS LÄN</t>
        </is>
      </c>
      <c r="E1298" t="inlineStr">
        <is>
          <t>RAGUNDA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50658-2023</t>
        </is>
      </c>
      <c r="B1299" s="1" t="n">
        <v>45210</v>
      </c>
      <c r="C1299" s="1" t="n">
        <v>45835</v>
      </c>
      <c r="D1299" t="inlineStr">
        <is>
          <t>JÄMTLANDS LÄN</t>
        </is>
      </c>
      <c r="E1299" t="inlineStr">
        <is>
          <t>RAGUNDA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50650-2023</t>
        </is>
      </c>
      <c r="B1300" s="1" t="n">
        <v>45210</v>
      </c>
      <c r="C1300" s="1" t="n">
        <v>45835</v>
      </c>
      <c r="D1300" t="inlineStr">
        <is>
          <t>JÄMTLANDS LÄN</t>
        </is>
      </c>
      <c r="E1300" t="inlineStr">
        <is>
          <t>RAGUNDA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49650-2023</t>
        </is>
      </c>
      <c r="B1301" s="1" t="n">
        <v>45212</v>
      </c>
      <c r="C1301" s="1" t="n">
        <v>45835</v>
      </c>
      <c r="D1301" t="inlineStr">
        <is>
          <t>JÄMTLANDS LÄN</t>
        </is>
      </c>
      <c r="E1301" t="inlineStr">
        <is>
          <t>RAGUNDA</t>
        </is>
      </c>
      <c r="F1301" t="inlineStr">
        <is>
          <t>SCA</t>
        </is>
      </c>
      <c r="G1301" t="n">
        <v>19.8</v>
      </c>
      <c r="H1301" t="n">
        <v>0</v>
      </c>
      <c r="I1301" t="n">
        <v>0</v>
      </c>
      <c r="J1301" t="n">
        <v>0</v>
      </c>
      <c r="K1301" t="n">
        <v>0</v>
      </c>
      <c r="L1301" t="n">
        <v>0</v>
      </c>
      <c r="M1301" t="n">
        <v>0</v>
      </c>
      <c r="N1301" t="n">
        <v>0</v>
      </c>
      <c r="O1301" t="n">
        <v>0</v>
      </c>
      <c r="P1301" t="n">
        <v>0</v>
      </c>
      <c r="Q1301" t="n">
        <v>0</v>
      </c>
      <c r="R1301" s="2" t="inlineStr"/>
    </row>
    <row r="1302" ht="15" customHeight="1">
      <c r="A1302" t="inlineStr">
        <is>
          <t>A 49648-2023</t>
        </is>
      </c>
      <c r="B1302" s="1" t="n">
        <v>45212</v>
      </c>
      <c r="C1302" s="1" t="n">
        <v>45835</v>
      </c>
      <c r="D1302" t="inlineStr">
        <is>
          <t>JÄMTLANDS LÄN</t>
        </is>
      </c>
      <c r="E1302" t="inlineStr">
        <is>
          <t>RAGUNDA</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49659-2023</t>
        </is>
      </c>
      <c r="B1303" s="1" t="n">
        <v>45212</v>
      </c>
      <c r="C1303" s="1" t="n">
        <v>45835</v>
      </c>
      <c r="D1303" t="inlineStr">
        <is>
          <t>JÄMTLANDS LÄN</t>
        </is>
      </c>
      <c r="E1303" t="inlineStr">
        <is>
          <t>RAGUNDA</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50211-2023</t>
        </is>
      </c>
      <c r="B1304" s="1" t="n">
        <v>45216</v>
      </c>
      <c r="C1304" s="1" t="n">
        <v>45835</v>
      </c>
      <c r="D1304" t="inlineStr">
        <is>
          <t>JÄMTLANDS LÄN</t>
        </is>
      </c>
      <c r="E1304" t="inlineStr">
        <is>
          <t>RAGUNDA</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51503-2023</t>
        </is>
      </c>
      <c r="B1305" s="1" t="n">
        <v>45215</v>
      </c>
      <c r="C1305" s="1" t="n">
        <v>45835</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51646-2023</t>
        </is>
      </c>
      <c r="B1306" s="1" t="n">
        <v>45215</v>
      </c>
      <c r="C1306" s="1" t="n">
        <v>45835</v>
      </c>
      <c r="D1306" t="inlineStr">
        <is>
          <t>JÄMTLANDS LÄN</t>
        </is>
      </c>
      <c r="E1306" t="inlineStr">
        <is>
          <t>RAGUNDA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50486-2023</t>
        </is>
      </c>
      <c r="B1307" s="1" t="n">
        <v>45217</v>
      </c>
      <c r="C1307" s="1" t="n">
        <v>45835</v>
      </c>
      <c r="D1307" t="inlineStr">
        <is>
          <t>JÄMTLANDS LÄN</t>
        </is>
      </c>
      <c r="E1307" t="inlineStr">
        <is>
          <t>RAGUNDA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50485-2023</t>
        </is>
      </c>
      <c r="B1308" s="1" t="n">
        <v>45217</v>
      </c>
      <c r="C1308" s="1" t="n">
        <v>45835</v>
      </c>
      <c r="D1308" t="inlineStr">
        <is>
          <t>JÄMTLANDS LÄN</t>
        </is>
      </c>
      <c r="E1308" t="inlineStr">
        <is>
          <t>RAGUNDA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50487-2023</t>
        </is>
      </c>
      <c r="B1309" s="1" t="n">
        <v>45217</v>
      </c>
      <c r="C1309" s="1" t="n">
        <v>45835</v>
      </c>
      <c r="D1309" t="inlineStr">
        <is>
          <t>JÄMTLANDS LÄN</t>
        </is>
      </c>
      <c r="E1309" t="inlineStr">
        <is>
          <t>RAGUNDA</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50483-2023</t>
        </is>
      </c>
      <c r="B1310" s="1" t="n">
        <v>45217</v>
      </c>
      <c r="C1310" s="1" t="n">
        <v>45835</v>
      </c>
      <c r="D1310" t="inlineStr">
        <is>
          <t>JÄMTLANDS LÄN</t>
        </is>
      </c>
      <c r="E1310" t="inlineStr">
        <is>
          <t>RAGUNDA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50484-2023</t>
        </is>
      </c>
      <c r="B1311" s="1" t="n">
        <v>45217</v>
      </c>
      <c r="C1311" s="1" t="n">
        <v>45835</v>
      </c>
      <c r="D1311" t="inlineStr">
        <is>
          <t>JÄMTLANDS LÄN</t>
        </is>
      </c>
      <c r="E1311" t="inlineStr">
        <is>
          <t>RAGUNDA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50831-2023</t>
        </is>
      </c>
      <c r="B1312" s="1" t="n">
        <v>45217</v>
      </c>
      <c r="C1312" s="1" t="n">
        <v>45835</v>
      </c>
      <c r="D1312" t="inlineStr">
        <is>
          <t>JÄMTLANDS LÄN</t>
        </is>
      </c>
      <c r="E1312" t="inlineStr">
        <is>
          <t>RAGUNDA</t>
        </is>
      </c>
      <c r="F1312" t="inlineStr">
        <is>
          <t>SCA</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50832-2023</t>
        </is>
      </c>
      <c r="B1313" s="1" t="n">
        <v>45218</v>
      </c>
      <c r="C1313" s="1" t="n">
        <v>45835</v>
      </c>
      <c r="D1313" t="inlineStr">
        <is>
          <t>JÄMTLANDS LÄN</t>
        </is>
      </c>
      <c r="E1313" t="inlineStr">
        <is>
          <t>RAGUNDA</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50848-2023</t>
        </is>
      </c>
      <c r="B1314" s="1" t="n">
        <v>45217</v>
      </c>
      <c r="C1314" s="1" t="n">
        <v>45835</v>
      </c>
      <c r="D1314" t="inlineStr">
        <is>
          <t>JÄMTLANDS LÄN</t>
        </is>
      </c>
      <c r="E1314" t="inlineStr">
        <is>
          <t>RAGUNDA</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52195-2023</t>
        </is>
      </c>
      <c r="B1315" s="1" t="n">
        <v>45217</v>
      </c>
      <c r="C1315" s="1" t="n">
        <v>45835</v>
      </c>
      <c r="D1315" t="inlineStr">
        <is>
          <t>JÄMTLANDS LÄN</t>
        </is>
      </c>
      <c r="E1315" t="inlineStr">
        <is>
          <t>RAGUNDA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50847-2023</t>
        </is>
      </c>
      <c r="B1316" s="1" t="n">
        <v>45217</v>
      </c>
      <c r="C1316" s="1" t="n">
        <v>45835</v>
      </c>
      <c r="D1316" t="inlineStr">
        <is>
          <t>JÄMTLANDS LÄN</t>
        </is>
      </c>
      <c r="E1316" t="inlineStr">
        <is>
          <t>RAGUNDA</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52550-2023</t>
        </is>
      </c>
      <c r="B1317" s="1" t="n">
        <v>45218</v>
      </c>
      <c r="C1317" s="1" t="n">
        <v>45835</v>
      </c>
      <c r="D1317" t="inlineStr">
        <is>
          <t>JÄMTLANDS LÄN</t>
        </is>
      </c>
      <c r="E1317" t="inlineStr">
        <is>
          <t>RAGUNDA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52544-2023</t>
        </is>
      </c>
      <c r="B1318" s="1" t="n">
        <v>45218</v>
      </c>
      <c r="C1318" s="1" t="n">
        <v>45835</v>
      </c>
      <c r="D1318" t="inlineStr">
        <is>
          <t>JÄMTLANDS LÄN</t>
        </is>
      </c>
      <c r="E1318" t="inlineStr">
        <is>
          <t>RAGUNDA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52631-2023</t>
        </is>
      </c>
      <c r="B1319" s="1" t="n">
        <v>45219</v>
      </c>
      <c r="C1319" s="1" t="n">
        <v>45835</v>
      </c>
      <c r="D1319" t="inlineStr">
        <is>
          <t>JÄMTLANDS LÄN</t>
        </is>
      </c>
      <c r="E1319" t="inlineStr">
        <is>
          <t>RAGUNDA</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52622-2023</t>
        </is>
      </c>
      <c r="B1320" s="1" t="n">
        <v>45219</v>
      </c>
      <c r="C1320" s="1" t="n">
        <v>45835</v>
      </c>
      <c r="D1320" t="inlineStr">
        <is>
          <t>JÄMTLANDS LÄN</t>
        </is>
      </c>
      <c r="E1320" t="inlineStr">
        <is>
          <t>RAGUNDA</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51435-2023</t>
        </is>
      </c>
      <c r="B1321" s="1" t="n">
        <v>45220</v>
      </c>
      <c r="C1321" s="1" t="n">
        <v>45835</v>
      </c>
      <c r="D1321" t="inlineStr">
        <is>
          <t>JÄMTLANDS LÄN</t>
        </is>
      </c>
      <c r="E1321" t="inlineStr">
        <is>
          <t>RAGUNDA</t>
        </is>
      </c>
      <c r="F1321" t="inlineStr">
        <is>
          <t>SCA</t>
        </is>
      </c>
      <c r="G1321" t="n">
        <v>39.6</v>
      </c>
      <c r="H1321" t="n">
        <v>0</v>
      </c>
      <c r="I1321" t="n">
        <v>0</v>
      </c>
      <c r="J1321" t="n">
        <v>0</v>
      </c>
      <c r="K1321" t="n">
        <v>0</v>
      </c>
      <c r="L1321" t="n">
        <v>0</v>
      </c>
      <c r="M1321" t="n">
        <v>0</v>
      </c>
      <c r="N1321" t="n">
        <v>0</v>
      </c>
      <c r="O1321" t="n">
        <v>0</v>
      </c>
      <c r="P1321" t="n">
        <v>0</v>
      </c>
      <c r="Q1321" t="n">
        <v>0</v>
      </c>
      <c r="R1321" s="2" t="inlineStr"/>
    </row>
    <row r="1322" ht="15" customHeight="1">
      <c r="A1322" t="inlineStr">
        <is>
          <t>A 51209-2023</t>
        </is>
      </c>
      <c r="B1322" s="1" t="n">
        <v>45219</v>
      </c>
      <c r="C1322" s="1" t="n">
        <v>45835</v>
      </c>
      <c r="D1322" t="inlineStr">
        <is>
          <t>JÄMTLANDS LÄN</t>
        </is>
      </c>
      <c r="E1322" t="inlineStr">
        <is>
          <t>RAGUNDA</t>
        </is>
      </c>
      <c r="G1322" t="n">
        <v>9.4</v>
      </c>
      <c r="H1322" t="n">
        <v>0</v>
      </c>
      <c r="I1322" t="n">
        <v>0</v>
      </c>
      <c r="J1322" t="n">
        <v>0</v>
      </c>
      <c r="K1322" t="n">
        <v>0</v>
      </c>
      <c r="L1322" t="n">
        <v>0</v>
      </c>
      <c r="M1322" t="n">
        <v>0</v>
      </c>
      <c r="N1322" t="n">
        <v>0</v>
      </c>
      <c r="O1322" t="n">
        <v>0</v>
      </c>
      <c r="P1322" t="n">
        <v>0</v>
      </c>
      <c r="Q1322" t="n">
        <v>0</v>
      </c>
      <c r="R1322" s="2" t="inlineStr"/>
    </row>
    <row r="1323" ht="15" customHeight="1">
      <c r="A1323" t="inlineStr">
        <is>
          <t>A 51807-2023</t>
        </is>
      </c>
      <c r="B1323" s="1" t="n">
        <v>45223</v>
      </c>
      <c r="C1323" s="1" t="n">
        <v>45835</v>
      </c>
      <c r="D1323" t="inlineStr">
        <is>
          <t>JÄMTLANDS LÄN</t>
        </is>
      </c>
      <c r="E1323" t="inlineStr">
        <is>
          <t>RAGUNDA</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52878-2023</t>
        </is>
      </c>
      <c r="B1324" s="1" t="n">
        <v>45222</v>
      </c>
      <c r="C1324" s="1" t="n">
        <v>45835</v>
      </c>
      <c r="D1324" t="inlineStr">
        <is>
          <t>JÄMTLANDS LÄN</t>
        </is>
      </c>
      <c r="E1324" t="inlineStr">
        <is>
          <t>RAGUNDA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53019-2023</t>
        </is>
      </c>
      <c r="B1325" s="1" t="n">
        <v>45222</v>
      </c>
      <c r="C1325" s="1" t="n">
        <v>45835</v>
      </c>
      <c r="D1325" t="inlineStr">
        <is>
          <t>JÄMTLANDS LÄN</t>
        </is>
      </c>
      <c r="E1325" t="inlineStr">
        <is>
          <t>RAGUNDA</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53347-2023</t>
        </is>
      </c>
      <c r="B1326" s="1" t="n">
        <v>45223</v>
      </c>
      <c r="C1326" s="1" t="n">
        <v>45835</v>
      </c>
      <c r="D1326" t="inlineStr">
        <is>
          <t>JÄMTLANDS LÄN</t>
        </is>
      </c>
      <c r="E1326" t="inlineStr">
        <is>
          <t>RAGUNDA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53860-2023</t>
        </is>
      </c>
      <c r="B1327" s="1" t="n">
        <v>45224</v>
      </c>
      <c r="C1327" s="1" t="n">
        <v>45835</v>
      </c>
      <c r="D1327" t="inlineStr">
        <is>
          <t>JÄMTLANDS LÄN</t>
        </is>
      </c>
      <c r="E1327" t="inlineStr">
        <is>
          <t>RAGUNDA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53847-2023</t>
        </is>
      </c>
      <c r="B1328" s="1" t="n">
        <v>45224</v>
      </c>
      <c r="C1328" s="1" t="n">
        <v>45835</v>
      </c>
      <c r="D1328" t="inlineStr">
        <is>
          <t>JÄMTLANDS LÄN</t>
        </is>
      </c>
      <c r="E1328" t="inlineStr">
        <is>
          <t>RAGUNDA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53455-2023</t>
        </is>
      </c>
      <c r="B1329" s="1" t="n">
        <v>45230</v>
      </c>
      <c r="C1329" s="1" t="n">
        <v>45835</v>
      </c>
      <c r="D1329" t="inlineStr">
        <is>
          <t>JÄMTLANDS LÄN</t>
        </is>
      </c>
      <c r="E1329" t="inlineStr">
        <is>
          <t>RAGUNDA</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53762-2023</t>
        </is>
      </c>
      <c r="B1330" s="1" t="n">
        <v>45231</v>
      </c>
      <c r="C1330" s="1" t="n">
        <v>45835</v>
      </c>
      <c r="D1330" t="inlineStr">
        <is>
          <t>JÄMTLANDS LÄN</t>
        </is>
      </c>
      <c r="E1330" t="inlineStr">
        <is>
          <t>RAGUNDA</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53766-2023</t>
        </is>
      </c>
      <c r="B1331" s="1" t="n">
        <v>45231</v>
      </c>
      <c r="C1331" s="1" t="n">
        <v>45835</v>
      </c>
      <c r="D1331" t="inlineStr">
        <is>
          <t>JÄMTLANDS LÄN</t>
        </is>
      </c>
      <c r="E1331" t="inlineStr">
        <is>
          <t>RAGUNDA</t>
        </is>
      </c>
      <c r="F1331" t="inlineStr">
        <is>
          <t>SCA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53769-2023</t>
        </is>
      </c>
      <c r="B1332" s="1" t="n">
        <v>45230</v>
      </c>
      <c r="C1332" s="1" t="n">
        <v>45835</v>
      </c>
      <c r="D1332" t="inlineStr">
        <is>
          <t>JÄMTLANDS LÄN</t>
        </is>
      </c>
      <c r="E1332" t="inlineStr">
        <is>
          <t>RAGUNDA</t>
        </is>
      </c>
      <c r="F1332" t="inlineStr">
        <is>
          <t>SCA</t>
        </is>
      </c>
      <c r="G1332" t="n">
        <v>11.6</v>
      </c>
      <c r="H1332" t="n">
        <v>0</v>
      </c>
      <c r="I1332" t="n">
        <v>0</v>
      </c>
      <c r="J1332" t="n">
        <v>0</v>
      </c>
      <c r="K1332" t="n">
        <v>0</v>
      </c>
      <c r="L1332" t="n">
        <v>0</v>
      </c>
      <c r="M1332" t="n">
        <v>0</v>
      </c>
      <c r="N1332" t="n">
        <v>0</v>
      </c>
      <c r="O1332" t="n">
        <v>0</v>
      </c>
      <c r="P1332" t="n">
        <v>0</v>
      </c>
      <c r="Q1332" t="n">
        <v>0</v>
      </c>
      <c r="R1332" s="2" t="inlineStr"/>
    </row>
    <row r="1333" ht="15" customHeight="1">
      <c r="A1333" t="inlineStr">
        <is>
          <t>A 55250-2023</t>
        </is>
      </c>
      <c r="B1333" s="1" t="n">
        <v>45231</v>
      </c>
      <c r="C1333" s="1" t="n">
        <v>45835</v>
      </c>
      <c r="D1333" t="inlineStr">
        <is>
          <t>JÄMTLANDS LÄN</t>
        </is>
      </c>
      <c r="E1333" t="inlineStr">
        <is>
          <t>RAGUNDA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54322-2023</t>
        </is>
      </c>
      <c r="B1334" s="1" t="n">
        <v>45232</v>
      </c>
      <c r="C1334" s="1" t="n">
        <v>45835</v>
      </c>
      <c r="D1334" t="inlineStr">
        <is>
          <t>JÄMTLANDS LÄN</t>
        </is>
      </c>
      <c r="E1334" t="inlineStr">
        <is>
          <t>RAGUNDA</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54321-2023</t>
        </is>
      </c>
      <c r="B1335" s="1" t="n">
        <v>45232</v>
      </c>
      <c r="C1335" s="1" t="n">
        <v>45835</v>
      </c>
      <c r="D1335" t="inlineStr">
        <is>
          <t>JÄMTLANDS LÄN</t>
        </is>
      </c>
      <c r="E1335" t="inlineStr">
        <is>
          <t>RAGUNDA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54599-2023</t>
        </is>
      </c>
      <c r="B1336" s="1" t="n">
        <v>45233</v>
      </c>
      <c r="C1336" s="1" t="n">
        <v>45835</v>
      </c>
      <c r="D1336" t="inlineStr">
        <is>
          <t>JÄMTLANDS LÄN</t>
        </is>
      </c>
      <c r="E1336" t="inlineStr">
        <is>
          <t>RAGUNDA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56338-2023</t>
        </is>
      </c>
      <c r="B1337" s="1" t="n">
        <v>45236</v>
      </c>
      <c r="C1337" s="1" t="n">
        <v>45835</v>
      </c>
      <c r="D1337" t="inlineStr">
        <is>
          <t>JÄMTLANDS LÄN</t>
        </is>
      </c>
      <c r="E1337" t="inlineStr">
        <is>
          <t>RAGUNDA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56331-2023</t>
        </is>
      </c>
      <c r="B1338" s="1" t="n">
        <v>45236</v>
      </c>
      <c r="C1338" s="1" t="n">
        <v>45835</v>
      </c>
      <c r="D1338" t="inlineStr">
        <is>
          <t>JÄMTLANDS LÄN</t>
        </is>
      </c>
      <c r="E1338" t="inlineStr">
        <is>
          <t>RAGUNDA</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56343-2023</t>
        </is>
      </c>
      <c r="B1339" s="1" t="n">
        <v>45236</v>
      </c>
      <c r="C1339" s="1" t="n">
        <v>45835</v>
      </c>
      <c r="D1339" t="inlineStr">
        <is>
          <t>JÄMTLANDS LÄN</t>
        </is>
      </c>
      <c r="E1339" t="inlineStr">
        <is>
          <t>RAGUNDA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56351-2023</t>
        </is>
      </c>
      <c r="B1340" s="1" t="n">
        <v>45236</v>
      </c>
      <c r="C1340" s="1" t="n">
        <v>45835</v>
      </c>
      <c r="D1340" t="inlineStr">
        <is>
          <t>JÄMTLANDS LÄN</t>
        </is>
      </c>
      <c r="E1340" t="inlineStr">
        <is>
          <t>RAGUNDA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55649-2023</t>
        </is>
      </c>
      <c r="B1341" s="1" t="n">
        <v>45238</v>
      </c>
      <c r="C1341" s="1" t="n">
        <v>45835</v>
      </c>
      <c r="D1341" t="inlineStr">
        <is>
          <t>JÄMTLANDS LÄN</t>
        </is>
      </c>
      <c r="E1341" t="inlineStr">
        <is>
          <t>RAGUNDA</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55669-2023</t>
        </is>
      </c>
      <c r="B1342" s="1" t="n">
        <v>45239</v>
      </c>
      <c r="C1342" s="1" t="n">
        <v>45835</v>
      </c>
      <c r="D1342" t="inlineStr">
        <is>
          <t>JÄMTLANDS LÄN</t>
        </is>
      </c>
      <c r="E1342" t="inlineStr">
        <is>
          <t>RAGUNDA</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56618-2023</t>
        </is>
      </c>
      <c r="B1343" s="1" t="n">
        <v>45238</v>
      </c>
      <c r="C1343" s="1" t="n">
        <v>45835</v>
      </c>
      <c r="D1343" t="inlineStr">
        <is>
          <t>JÄMTLANDS LÄN</t>
        </is>
      </c>
      <c r="E1343" t="inlineStr">
        <is>
          <t>RAGUNDA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55487-2023</t>
        </is>
      </c>
      <c r="B1344" s="1" t="n">
        <v>45238</v>
      </c>
      <c r="C1344" s="1" t="n">
        <v>45835</v>
      </c>
      <c r="D1344" t="inlineStr">
        <is>
          <t>JÄMTLANDS LÄN</t>
        </is>
      </c>
      <c r="E1344" t="inlineStr">
        <is>
          <t>RAGUNDA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57433-2023</t>
        </is>
      </c>
      <c r="B1345" s="1" t="n">
        <v>45240</v>
      </c>
      <c r="C1345" s="1" t="n">
        <v>45835</v>
      </c>
      <c r="D1345" t="inlineStr">
        <is>
          <t>JÄMTLANDS LÄN</t>
        </is>
      </c>
      <c r="E1345" t="inlineStr">
        <is>
          <t>RAGUNDA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57425-2023</t>
        </is>
      </c>
      <c r="B1346" s="1" t="n">
        <v>45240</v>
      </c>
      <c r="C1346" s="1" t="n">
        <v>45835</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56284-2023</t>
        </is>
      </c>
      <c r="B1347" s="1" t="n">
        <v>45241</v>
      </c>
      <c r="C1347" s="1" t="n">
        <v>45835</v>
      </c>
      <c r="D1347" t="inlineStr">
        <is>
          <t>JÄMTLANDS LÄN</t>
        </is>
      </c>
      <c r="E1347" t="inlineStr">
        <is>
          <t>RAGUNDA</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56287-2023</t>
        </is>
      </c>
      <c r="B1348" s="1" t="n">
        <v>45241</v>
      </c>
      <c r="C1348" s="1" t="n">
        <v>45835</v>
      </c>
      <c r="D1348" t="inlineStr">
        <is>
          <t>JÄMTLANDS LÄN</t>
        </is>
      </c>
      <c r="E1348" t="inlineStr">
        <is>
          <t>RAGUNDA</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56286-2023</t>
        </is>
      </c>
      <c r="B1349" s="1" t="n">
        <v>45241</v>
      </c>
      <c r="C1349" s="1" t="n">
        <v>45835</v>
      </c>
      <c r="D1349" t="inlineStr">
        <is>
          <t>JÄMTLANDS LÄN</t>
        </is>
      </c>
      <c r="E1349" t="inlineStr">
        <is>
          <t>RAGUNDA</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56658-2023</t>
        </is>
      </c>
      <c r="B1350" s="1" t="n">
        <v>45243</v>
      </c>
      <c r="C1350" s="1" t="n">
        <v>45835</v>
      </c>
      <c r="D1350" t="inlineStr">
        <is>
          <t>JÄMTLANDS LÄN</t>
        </is>
      </c>
      <c r="E1350" t="inlineStr">
        <is>
          <t>RAGUNDA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56702-2023</t>
        </is>
      </c>
      <c r="B1351" s="1" t="n">
        <v>45244</v>
      </c>
      <c r="C1351" s="1" t="n">
        <v>45835</v>
      </c>
      <c r="D1351" t="inlineStr">
        <is>
          <t>JÄMTLANDS LÄN</t>
        </is>
      </c>
      <c r="E1351" t="inlineStr">
        <is>
          <t>RAGUNDA</t>
        </is>
      </c>
      <c r="F1351" t="inlineStr">
        <is>
          <t>SCA</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57078-2023</t>
        </is>
      </c>
      <c r="B1352" s="1" t="n">
        <v>45245</v>
      </c>
      <c r="C1352" s="1" t="n">
        <v>45835</v>
      </c>
      <c r="D1352" t="inlineStr">
        <is>
          <t>JÄMTLANDS LÄN</t>
        </is>
      </c>
      <c r="E1352" t="inlineStr">
        <is>
          <t>RAGUNDA</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57925-2023</t>
        </is>
      </c>
      <c r="B1353" s="1" t="n">
        <v>45244</v>
      </c>
      <c r="C1353" s="1" t="n">
        <v>45835</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57778-2023</t>
        </is>
      </c>
      <c r="B1354" s="1" t="n">
        <v>45246</v>
      </c>
      <c r="C1354" s="1" t="n">
        <v>45835</v>
      </c>
      <c r="D1354" t="inlineStr">
        <is>
          <t>JÄMTLANDS LÄN</t>
        </is>
      </c>
      <c r="E1354" t="inlineStr">
        <is>
          <t>RAGUNDA</t>
        </is>
      </c>
      <c r="F1354" t="inlineStr">
        <is>
          <t>SCA</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58084-2023</t>
        </is>
      </c>
      <c r="B1355" s="1" t="n">
        <v>45248</v>
      </c>
      <c r="C1355" s="1" t="n">
        <v>45835</v>
      </c>
      <c r="D1355" t="inlineStr">
        <is>
          <t>JÄMTLANDS LÄN</t>
        </is>
      </c>
      <c r="E1355" t="inlineStr">
        <is>
          <t>RAGUNDA</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58992-2023</t>
        </is>
      </c>
      <c r="B1356" s="1" t="n">
        <v>45250</v>
      </c>
      <c r="C1356" s="1" t="n">
        <v>45835</v>
      </c>
      <c r="D1356" t="inlineStr">
        <is>
          <t>JÄMTLANDS LÄN</t>
        </is>
      </c>
      <c r="E1356" t="inlineStr">
        <is>
          <t>RAGUNDA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58863-2023</t>
        </is>
      </c>
      <c r="B1357" s="1" t="n">
        <v>45250</v>
      </c>
      <c r="C1357" s="1" t="n">
        <v>45835</v>
      </c>
      <c r="D1357" t="inlineStr">
        <is>
          <t>JÄMTLANDS LÄN</t>
        </is>
      </c>
      <c r="E1357" t="inlineStr">
        <is>
          <t>RAGUNDA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58921-2023</t>
        </is>
      </c>
      <c r="B1358" s="1" t="n">
        <v>45250</v>
      </c>
      <c r="C1358" s="1" t="n">
        <v>45835</v>
      </c>
      <c r="D1358" t="inlineStr">
        <is>
          <t>JÄMTLANDS LÄN</t>
        </is>
      </c>
      <c r="E1358" t="inlineStr">
        <is>
          <t>RAGUNDA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59136-2023</t>
        </is>
      </c>
      <c r="B1359" s="1" t="n">
        <v>45251</v>
      </c>
      <c r="C1359" s="1" t="n">
        <v>45835</v>
      </c>
      <c r="D1359" t="inlineStr">
        <is>
          <t>JÄMTLANDS LÄN</t>
        </is>
      </c>
      <c r="E1359" t="inlineStr">
        <is>
          <t>RAGUNDA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59286-2023</t>
        </is>
      </c>
      <c r="B1360" s="1" t="n">
        <v>45253</v>
      </c>
      <c r="C1360" s="1" t="n">
        <v>45835</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59557-2023</t>
        </is>
      </c>
      <c r="B1361" s="1" t="n">
        <v>45253</v>
      </c>
      <c r="C1361" s="1" t="n">
        <v>45835</v>
      </c>
      <c r="D1361" t="inlineStr">
        <is>
          <t>JÄMTLANDS LÄN</t>
        </is>
      </c>
      <c r="E1361" t="inlineStr">
        <is>
          <t>RAGUNDA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59658-2023</t>
        </is>
      </c>
      <c r="B1362" s="1" t="n">
        <v>45255</v>
      </c>
      <c r="C1362" s="1" t="n">
        <v>45835</v>
      </c>
      <c r="D1362" t="inlineStr">
        <is>
          <t>JÄMTLANDS LÄN</t>
        </is>
      </c>
      <c r="E1362" t="inlineStr">
        <is>
          <t>RAGUNDA</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59670-2023</t>
        </is>
      </c>
      <c r="B1363" s="1" t="n">
        <v>45255</v>
      </c>
      <c r="C1363" s="1" t="n">
        <v>45835</v>
      </c>
      <c r="D1363" t="inlineStr">
        <is>
          <t>JÄMTLANDS LÄN</t>
        </is>
      </c>
      <c r="E1363" t="inlineStr">
        <is>
          <t>RAGUNDA</t>
        </is>
      </c>
      <c r="F1363" t="inlineStr">
        <is>
          <t>SCA</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59669-2023</t>
        </is>
      </c>
      <c r="B1364" s="1" t="n">
        <v>45255</v>
      </c>
      <c r="C1364" s="1" t="n">
        <v>45835</v>
      </c>
      <c r="D1364" t="inlineStr">
        <is>
          <t>JÄMTLANDS LÄN</t>
        </is>
      </c>
      <c r="E1364" t="inlineStr">
        <is>
          <t>RAGUNDA</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59996-2023</t>
        </is>
      </c>
      <c r="B1365" s="1" t="n">
        <v>45257</v>
      </c>
      <c r="C1365" s="1" t="n">
        <v>45835</v>
      </c>
      <c r="D1365" t="inlineStr">
        <is>
          <t>JÄMTLANDS LÄN</t>
        </is>
      </c>
      <c r="E1365" t="inlineStr">
        <is>
          <t>RAGUNDA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60185-2023</t>
        </is>
      </c>
      <c r="B1366" s="1" t="n">
        <v>45257</v>
      </c>
      <c r="C1366" s="1" t="n">
        <v>45835</v>
      </c>
      <c r="D1366" t="inlineStr">
        <is>
          <t>JÄMTLANDS LÄN</t>
        </is>
      </c>
      <c r="E1366" t="inlineStr">
        <is>
          <t>RAGUNDA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60012-2023</t>
        </is>
      </c>
      <c r="B1367" s="1" t="n">
        <v>45257</v>
      </c>
      <c r="C1367" s="1" t="n">
        <v>45835</v>
      </c>
      <c r="D1367" t="inlineStr">
        <is>
          <t>JÄMTLANDS LÄN</t>
        </is>
      </c>
      <c r="E1367" t="inlineStr">
        <is>
          <t>RAGUNDA</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60222-2023</t>
        </is>
      </c>
      <c r="B1368" s="1" t="n">
        <v>45257</v>
      </c>
      <c r="C1368" s="1" t="n">
        <v>45835</v>
      </c>
      <c r="D1368" t="inlineStr">
        <is>
          <t>JÄMTLANDS LÄN</t>
        </is>
      </c>
      <c r="E1368" t="inlineStr">
        <is>
          <t>RAGUNDA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60235-2023</t>
        </is>
      </c>
      <c r="B1369" s="1" t="n">
        <v>45257</v>
      </c>
      <c r="C1369" s="1" t="n">
        <v>45835</v>
      </c>
      <c r="D1369" t="inlineStr">
        <is>
          <t>JÄMTLANDS LÄN</t>
        </is>
      </c>
      <c r="E1369" t="inlineStr">
        <is>
          <t>RAGUNDA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60228-2023</t>
        </is>
      </c>
      <c r="B1370" s="1" t="n">
        <v>45257</v>
      </c>
      <c r="C1370" s="1" t="n">
        <v>45835</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60199-2023</t>
        </is>
      </c>
      <c r="B1371" s="1" t="n">
        <v>45257</v>
      </c>
      <c r="C1371" s="1" t="n">
        <v>45835</v>
      </c>
      <c r="D1371" t="inlineStr">
        <is>
          <t>JÄMTLANDS LÄN</t>
        </is>
      </c>
      <c r="E1371" t="inlineStr">
        <is>
          <t>RAGUNDA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60195-2023</t>
        </is>
      </c>
      <c r="B1372" s="1" t="n">
        <v>45257</v>
      </c>
      <c r="C1372" s="1" t="n">
        <v>45835</v>
      </c>
      <c r="D1372" t="inlineStr">
        <is>
          <t>JÄMTLANDS LÄN</t>
        </is>
      </c>
      <c r="E1372" t="inlineStr">
        <is>
          <t>RAGUNDA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60330-2023</t>
        </is>
      </c>
      <c r="B1373" s="1" t="n">
        <v>45258</v>
      </c>
      <c r="C1373" s="1" t="n">
        <v>45835</v>
      </c>
      <c r="D1373" t="inlineStr">
        <is>
          <t>JÄMTLANDS LÄN</t>
        </is>
      </c>
      <c r="E1373" t="inlineStr">
        <is>
          <t>RAGUNDA</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60456-2023</t>
        </is>
      </c>
      <c r="B1374" s="1" t="n">
        <v>45258</v>
      </c>
      <c r="C1374" s="1" t="n">
        <v>45835</v>
      </c>
      <c r="D1374" t="inlineStr">
        <is>
          <t>JÄMTLANDS LÄN</t>
        </is>
      </c>
      <c r="E1374" t="inlineStr">
        <is>
          <t>RAGUNDA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60413-2023</t>
        </is>
      </c>
      <c r="B1375" s="1" t="n">
        <v>45258</v>
      </c>
      <c r="C1375" s="1" t="n">
        <v>45835</v>
      </c>
      <c r="D1375" t="inlineStr">
        <is>
          <t>JÄMTLANDS LÄN</t>
        </is>
      </c>
      <c r="E1375" t="inlineStr">
        <is>
          <t>RAGUNDA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60450-2023</t>
        </is>
      </c>
      <c r="B1376" s="1" t="n">
        <v>45258</v>
      </c>
      <c r="C1376" s="1" t="n">
        <v>45835</v>
      </c>
      <c r="D1376" t="inlineStr">
        <is>
          <t>JÄMTLANDS LÄN</t>
        </is>
      </c>
      <c r="E1376" t="inlineStr">
        <is>
          <t>RAGUNDA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60443-2023</t>
        </is>
      </c>
      <c r="B1377" s="1" t="n">
        <v>45258</v>
      </c>
      <c r="C1377" s="1" t="n">
        <v>45835</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60629-2023</t>
        </is>
      </c>
      <c r="B1378" s="1" t="n">
        <v>45259</v>
      </c>
      <c r="C1378" s="1" t="n">
        <v>45835</v>
      </c>
      <c r="D1378" t="inlineStr">
        <is>
          <t>JÄMTLANDS LÄN</t>
        </is>
      </c>
      <c r="E1378" t="inlineStr">
        <is>
          <t>RAGUNDA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60643-2023</t>
        </is>
      </c>
      <c r="B1379" s="1" t="n">
        <v>45259</v>
      </c>
      <c r="C1379" s="1" t="n">
        <v>45835</v>
      </c>
      <c r="D1379" t="inlineStr">
        <is>
          <t>JÄMTLANDS LÄN</t>
        </is>
      </c>
      <c r="E1379" t="inlineStr">
        <is>
          <t>RAGUNDA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60836-2023</t>
        </is>
      </c>
      <c r="B1380" s="1" t="n">
        <v>45260</v>
      </c>
      <c r="C1380" s="1" t="n">
        <v>45835</v>
      </c>
      <c r="D1380" t="inlineStr">
        <is>
          <t>JÄMTLANDS LÄN</t>
        </is>
      </c>
      <c r="E1380" t="inlineStr">
        <is>
          <t>RAGUNDA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60860-2023</t>
        </is>
      </c>
      <c r="B1381" s="1" t="n">
        <v>45260</v>
      </c>
      <c r="C1381" s="1" t="n">
        <v>45835</v>
      </c>
      <c r="D1381" t="inlineStr">
        <is>
          <t>JÄMTLANDS LÄN</t>
        </is>
      </c>
      <c r="E1381" t="inlineStr">
        <is>
          <t>RAGUNDA</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60838-2023</t>
        </is>
      </c>
      <c r="B1382" s="1" t="n">
        <v>45260</v>
      </c>
      <c r="C1382" s="1" t="n">
        <v>45835</v>
      </c>
      <c r="D1382" t="inlineStr">
        <is>
          <t>JÄMTLANDS LÄN</t>
        </is>
      </c>
      <c r="E1382" t="inlineStr">
        <is>
          <t>RAGUNDA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61197-2023</t>
        </is>
      </c>
      <c r="B1383" s="1" t="n">
        <v>45260</v>
      </c>
      <c r="C1383" s="1" t="n">
        <v>45835</v>
      </c>
      <c r="D1383" t="inlineStr">
        <is>
          <t>JÄMTLANDS LÄN</t>
        </is>
      </c>
      <c r="E1383" t="inlineStr">
        <is>
          <t>RAGUNDA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61191-2023</t>
        </is>
      </c>
      <c r="B1384" s="1" t="n">
        <v>45260</v>
      </c>
      <c r="C1384" s="1" t="n">
        <v>45835</v>
      </c>
      <c r="D1384" t="inlineStr">
        <is>
          <t>JÄMTLANDS LÄN</t>
        </is>
      </c>
      <c r="E1384" t="inlineStr">
        <is>
          <t>RAGUNDA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62106-2023</t>
        </is>
      </c>
      <c r="B1385" s="1" t="n">
        <v>45266</v>
      </c>
      <c r="C1385" s="1" t="n">
        <v>45835</v>
      </c>
      <c r="D1385" t="inlineStr">
        <is>
          <t>JÄMTLANDS LÄN</t>
        </is>
      </c>
      <c r="E1385" t="inlineStr">
        <is>
          <t>RAGUNDA</t>
        </is>
      </c>
      <c r="F1385" t="inlineStr">
        <is>
          <t>SCA</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62107-2023</t>
        </is>
      </c>
      <c r="B1386" s="1" t="n">
        <v>45266</v>
      </c>
      <c r="C1386" s="1" t="n">
        <v>45835</v>
      </c>
      <c r="D1386" t="inlineStr">
        <is>
          <t>JÄMTLANDS LÄN</t>
        </is>
      </c>
      <c r="E1386" t="inlineStr">
        <is>
          <t>RAGUNDA</t>
        </is>
      </c>
      <c r="F1386" t="inlineStr">
        <is>
          <t>SCA</t>
        </is>
      </c>
      <c r="G1386" t="n">
        <v>38.4</v>
      </c>
      <c r="H1386" t="n">
        <v>0</v>
      </c>
      <c r="I1386" t="n">
        <v>0</v>
      </c>
      <c r="J1386" t="n">
        <v>0</v>
      </c>
      <c r="K1386" t="n">
        <v>0</v>
      </c>
      <c r="L1386" t="n">
        <v>0</v>
      </c>
      <c r="M1386" t="n">
        <v>0</v>
      </c>
      <c r="N1386" t="n">
        <v>0</v>
      </c>
      <c r="O1386" t="n">
        <v>0</v>
      </c>
      <c r="P1386" t="n">
        <v>0</v>
      </c>
      <c r="Q1386" t="n">
        <v>0</v>
      </c>
      <c r="R1386" s="2" t="inlineStr"/>
    </row>
    <row r="1387" ht="15" customHeight="1">
      <c r="A1387" t="inlineStr">
        <is>
          <t>A 62397-2023</t>
        </is>
      </c>
      <c r="B1387" s="1" t="n">
        <v>45266</v>
      </c>
      <c r="C1387" s="1" t="n">
        <v>45835</v>
      </c>
      <c r="D1387" t="inlineStr">
        <is>
          <t>JÄMTLANDS LÄN</t>
        </is>
      </c>
      <c r="E1387" t="inlineStr">
        <is>
          <t>RAGUNDA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62405-2023</t>
        </is>
      </c>
      <c r="B1388" s="1" t="n">
        <v>45266</v>
      </c>
      <c r="C1388" s="1" t="n">
        <v>45835</v>
      </c>
      <c r="D1388" t="inlineStr">
        <is>
          <t>JÄMTLANDS LÄN</t>
        </is>
      </c>
      <c r="E1388" t="inlineStr">
        <is>
          <t>RAGUNDA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62407-2023</t>
        </is>
      </c>
      <c r="B1389" s="1" t="n">
        <v>45266</v>
      </c>
      <c r="C1389" s="1" t="n">
        <v>45835</v>
      </c>
      <c r="D1389" t="inlineStr">
        <is>
          <t>JÄMTLANDS LÄN</t>
        </is>
      </c>
      <c r="E1389" t="inlineStr">
        <is>
          <t>RAGUNDA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62358-2023</t>
        </is>
      </c>
      <c r="B1390" s="1" t="n">
        <v>45267</v>
      </c>
      <c r="C1390" s="1" t="n">
        <v>45835</v>
      </c>
      <c r="D1390" t="inlineStr">
        <is>
          <t>JÄMTLANDS LÄN</t>
        </is>
      </c>
      <c r="E1390" t="inlineStr">
        <is>
          <t>RAGUNDA</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62526-2023</t>
        </is>
      </c>
      <c r="B1391" s="1" t="n">
        <v>45267</v>
      </c>
      <c r="C1391" s="1" t="n">
        <v>45835</v>
      </c>
      <c r="D1391" t="inlineStr">
        <is>
          <t>JÄMTLANDS LÄN</t>
        </is>
      </c>
      <c r="E1391" t="inlineStr">
        <is>
          <t>RAGUNDA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62839-2023</t>
        </is>
      </c>
      <c r="B1392" s="1" t="n">
        <v>45271</v>
      </c>
      <c r="C1392" s="1" t="n">
        <v>45835</v>
      </c>
      <c r="D1392" t="inlineStr">
        <is>
          <t>JÄMTLANDS LÄN</t>
        </is>
      </c>
      <c r="E1392" t="inlineStr">
        <is>
          <t>RAGUNDA</t>
        </is>
      </c>
      <c r="F1392" t="inlineStr">
        <is>
          <t>SCA</t>
        </is>
      </c>
      <c r="G1392" t="n">
        <v>26.7</v>
      </c>
      <c r="H1392" t="n">
        <v>0</v>
      </c>
      <c r="I1392" t="n">
        <v>0</v>
      </c>
      <c r="J1392" t="n">
        <v>0</v>
      </c>
      <c r="K1392" t="n">
        <v>0</v>
      </c>
      <c r="L1392" t="n">
        <v>0</v>
      </c>
      <c r="M1392" t="n">
        <v>0</v>
      </c>
      <c r="N1392" t="n">
        <v>0</v>
      </c>
      <c r="O1392" t="n">
        <v>0</v>
      </c>
      <c r="P1392" t="n">
        <v>0</v>
      </c>
      <c r="Q1392" t="n">
        <v>0</v>
      </c>
      <c r="R1392" s="2" t="inlineStr"/>
    </row>
    <row r="1393" ht="15" customHeight="1">
      <c r="A1393" t="inlineStr">
        <is>
          <t>A 63708-2023</t>
        </is>
      </c>
      <c r="B1393" s="1" t="n">
        <v>45275</v>
      </c>
      <c r="C1393" s="1" t="n">
        <v>45835</v>
      </c>
      <c r="D1393" t="inlineStr">
        <is>
          <t>JÄMTLANDS LÄN</t>
        </is>
      </c>
      <c r="E1393" t="inlineStr">
        <is>
          <t>RAGUNDA</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64017-2023</t>
        </is>
      </c>
      <c r="B1394" s="1" t="n">
        <v>45278</v>
      </c>
      <c r="C1394" s="1" t="n">
        <v>45835</v>
      </c>
      <c r="D1394" t="inlineStr">
        <is>
          <t>JÄMTLANDS LÄN</t>
        </is>
      </c>
      <c r="E1394" t="inlineStr">
        <is>
          <t>RAGUNDA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64039-2023</t>
        </is>
      </c>
      <c r="B1395" s="1" t="n">
        <v>45278</v>
      </c>
      <c r="C1395" s="1" t="n">
        <v>45835</v>
      </c>
      <c r="D1395" t="inlineStr">
        <is>
          <t>JÄMTLANDS LÄN</t>
        </is>
      </c>
      <c r="E1395" t="inlineStr">
        <is>
          <t>RAGUNDA</t>
        </is>
      </c>
      <c r="F1395" t="inlineStr">
        <is>
          <t>SCA</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64265-2023</t>
        </is>
      </c>
      <c r="B1396" s="1" t="n">
        <v>45279</v>
      </c>
      <c r="C1396" s="1" t="n">
        <v>45835</v>
      </c>
      <c r="D1396" t="inlineStr">
        <is>
          <t>JÄMTLANDS LÄN</t>
        </is>
      </c>
      <c r="E1396" t="inlineStr">
        <is>
          <t>RAGUNDA</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64264-2023</t>
        </is>
      </c>
      <c r="B1397" s="1" t="n">
        <v>45279</v>
      </c>
      <c r="C1397" s="1" t="n">
        <v>45835</v>
      </c>
      <c r="D1397" t="inlineStr">
        <is>
          <t>JÄMTLANDS LÄN</t>
        </is>
      </c>
      <c r="E1397" t="inlineStr">
        <is>
          <t>RAGUNDA</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64415-2023</t>
        </is>
      </c>
      <c r="B1398" s="1" t="n">
        <v>45280</v>
      </c>
      <c r="C1398" s="1" t="n">
        <v>45835</v>
      </c>
      <c r="D1398" t="inlineStr">
        <is>
          <t>JÄMTLANDS LÄN</t>
        </is>
      </c>
      <c r="E1398" t="inlineStr">
        <is>
          <t>RAGUNDA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64492-2023</t>
        </is>
      </c>
      <c r="B1399" s="1" t="n">
        <v>45280</v>
      </c>
      <c r="C1399" s="1" t="n">
        <v>45835</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65083-2023</t>
        </is>
      </c>
      <c r="B1400" s="1" t="n">
        <v>45287</v>
      </c>
      <c r="C1400" s="1" t="n">
        <v>45835</v>
      </c>
      <c r="D1400" t="inlineStr">
        <is>
          <t>JÄMTLANDS LÄN</t>
        </is>
      </c>
      <c r="E1400" t="inlineStr">
        <is>
          <t>RAGUNDA</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65216-2023</t>
        </is>
      </c>
      <c r="B1401" s="1" t="n">
        <v>45289</v>
      </c>
      <c r="C1401" s="1" t="n">
        <v>45835</v>
      </c>
      <c r="D1401" t="inlineStr">
        <is>
          <t>JÄMTLANDS LÄN</t>
        </is>
      </c>
      <c r="E1401" t="inlineStr">
        <is>
          <t>RAGUNDA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65242-2023</t>
        </is>
      </c>
      <c r="B1402" s="1" t="n">
        <v>45289</v>
      </c>
      <c r="C1402" s="1" t="n">
        <v>45835</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1130-2024</t>
        </is>
      </c>
      <c r="B1403" s="1" t="n">
        <v>45302</v>
      </c>
      <c r="C1403" s="1" t="n">
        <v>45835</v>
      </c>
      <c r="D1403" t="inlineStr">
        <is>
          <t>JÄMTLANDS LÄN</t>
        </is>
      </c>
      <c r="E1403" t="inlineStr">
        <is>
          <t>RAGUNDA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1123-2024</t>
        </is>
      </c>
      <c r="B1404" s="1" t="n">
        <v>45302</v>
      </c>
      <c r="C1404" s="1" t="n">
        <v>45835</v>
      </c>
      <c r="D1404" t="inlineStr">
        <is>
          <t>JÄMTLANDS LÄN</t>
        </is>
      </c>
      <c r="E1404" t="inlineStr">
        <is>
          <t>RAGUNDA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1465-2024</t>
        </is>
      </c>
      <c r="B1405" s="1" t="n">
        <v>45304</v>
      </c>
      <c r="C1405" s="1" t="n">
        <v>45835</v>
      </c>
      <c r="D1405" t="inlineStr">
        <is>
          <t>JÄMTLANDS LÄN</t>
        </is>
      </c>
      <c r="E1405" t="inlineStr">
        <is>
          <t>RAGUNDA</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1466-2024</t>
        </is>
      </c>
      <c r="B1406" s="1" t="n">
        <v>45304</v>
      </c>
      <c r="C1406" s="1" t="n">
        <v>45835</v>
      </c>
      <c r="D1406" t="inlineStr">
        <is>
          <t>JÄMTLANDS LÄN</t>
        </is>
      </c>
      <c r="E1406" t="inlineStr">
        <is>
          <t>RAGUNDA</t>
        </is>
      </c>
      <c r="F1406" t="inlineStr">
        <is>
          <t>SCA</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1523-2024</t>
        </is>
      </c>
      <c r="B1407" s="1" t="n">
        <v>45306</v>
      </c>
      <c r="C1407" s="1" t="n">
        <v>45835</v>
      </c>
      <c r="D1407" t="inlineStr">
        <is>
          <t>JÄMTLANDS LÄN</t>
        </is>
      </c>
      <c r="E1407" t="inlineStr">
        <is>
          <t>RAGUNDA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1554-2024</t>
        </is>
      </c>
      <c r="B1408" s="1" t="n">
        <v>45306</v>
      </c>
      <c r="C1408" s="1" t="n">
        <v>45835</v>
      </c>
      <c r="D1408" t="inlineStr">
        <is>
          <t>JÄMTLANDS LÄN</t>
        </is>
      </c>
      <c r="E1408" t="inlineStr">
        <is>
          <t>RAGUNDA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1537-2024</t>
        </is>
      </c>
      <c r="B1409" s="1" t="n">
        <v>45306</v>
      </c>
      <c r="C1409" s="1" t="n">
        <v>45835</v>
      </c>
      <c r="D1409" t="inlineStr">
        <is>
          <t>JÄMTLANDS LÄN</t>
        </is>
      </c>
      <c r="E1409" t="inlineStr">
        <is>
          <t>RAGUNDA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1884-2024</t>
        </is>
      </c>
      <c r="B1410" s="1" t="n">
        <v>45307</v>
      </c>
      <c r="C1410" s="1" t="n">
        <v>45835</v>
      </c>
      <c r="D1410" t="inlineStr">
        <is>
          <t>JÄMTLANDS LÄN</t>
        </is>
      </c>
      <c r="E1410" t="inlineStr">
        <is>
          <t>RAGUNDA</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1888-2024</t>
        </is>
      </c>
      <c r="B1411" s="1" t="n">
        <v>45308</v>
      </c>
      <c r="C1411" s="1" t="n">
        <v>45835</v>
      </c>
      <c r="D1411" t="inlineStr">
        <is>
          <t>JÄMTLANDS LÄN</t>
        </is>
      </c>
      <c r="E1411" t="inlineStr">
        <is>
          <t>RAGUNDA</t>
        </is>
      </c>
      <c r="F1411" t="inlineStr">
        <is>
          <t>SCA</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1887-2024</t>
        </is>
      </c>
      <c r="B1412" s="1" t="n">
        <v>45308</v>
      </c>
      <c r="C1412" s="1" t="n">
        <v>45835</v>
      </c>
      <c r="D1412" t="inlineStr">
        <is>
          <t>JÄMTLANDS LÄN</t>
        </is>
      </c>
      <c r="E1412" t="inlineStr">
        <is>
          <t>RAGUNDA</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1889-2024</t>
        </is>
      </c>
      <c r="B1413" s="1" t="n">
        <v>45308</v>
      </c>
      <c r="C1413" s="1" t="n">
        <v>45835</v>
      </c>
      <c r="D1413" t="inlineStr">
        <is>
          <t>JÄMTLANDS LÄN</t>
        </is>
      </c>
      <c r="E1413" t="inlineStr">
        <is>
          <t>RAGUNDA</t>
        </is>
      </c>
      <c r="F1413" t="inlineStr">
        <is>
          <t>SCA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2143-2024</t>
        </is>
      </c>
      <c r="B1414" s="1" t="n">
        <v>45309</v>
      </c>
      <c r="C1414" s="1" t="n">
        <v>45835</v>
      </c>
      <c r="D1414" t="inlineStr">
        <is>
          <t>JÄMTLANDS LÄN</t>
        </is>
      </c>
      <c r="E1414" t="inlineStr">
        <is>
          <t>RAGUNDA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2224-2024</t>
        </is>
      </c>
      <c r="B1415" s="1" t="n">
        <v>45309</v>
      </c>
      <c r="C1415" s="1" t="n">
        <v>45835</v>
      </c>
      <c r="D1415" t="inlineStr">
        <is>
          <t>JÄMTLANDS LÄN</t>
        </is>
      </c>
      <c r="E1415" t="inlineStr">
        <is>
          <t>RAGUNDA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2241-2024</t>
        </is>
      </c>
      <c r="B1416" s="1" t="n">
        <v>45309</v>
      </c>
      <c r="C1416" s="1" t="n">
        <v>45835</v>
      </c>
      <c r="D1416" t="inlineStr">
        <is>
          <t>JÄMTLANDS LÄN</t>
        </is>
      </c>
      <c r="E1416" t="inlineStr">
        <is>
          <t>RAGUNDA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2245-2024</t>
        </is>
      </c>
      <c r="B1417" s="1" t="n">
        <v>45309</v>
      </c>
      <c r="C1417" s="1" t="n">
        <v>45835</v>
      </c>
      <c r="D1417" t="inlineStr">
        <is>
          <t>JÄMTLANDS LÄN</t>
        </is>
      </c>
      <c r="E1417" t="inlineStr">
        <is>
          <t>RAGUNDA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2242-2024</t>
        </is>
      </c>
      <c r="B1418" s="1" t="n">
        <v>45309</v>
      </c>
      <c r="C1418" s="1" t="n">
        <v>45835</v>
      </c>
      <c r="D1418" t="inlineStr">
        <is>
          <t>JÄMTLANDS LÄN</t>
        </is>
      </c>
      <c r="E1418" t="inlineStr">
        <is>
          <t>RAGUNDA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2248-2024</t>
        </is>
      </c>
      <c r="B1419" s="1" t="n">
        <v>45309</v>
      </c>
      <c r="C1419" s="1" t="n">
        <v>45835</v>
      </c>
      <c r="D1419" t="inlineStr">
        <is>
          <t>JÄMTLANDS LÄN</t>
        </is>
      </c>
      <c r="E1419" t="inlineStr">
        <is>
          <t>RAGUNDA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2240-2024</t>
        </is>
      </c>
      <c r="B1420" s="1" t="n">
        <v>45309</v>
      </c>
      <c r="C1420" s="1" t="n">
        <v>45835</v>
      </c>
      <c r="D1420" t="inlineStr">
        <is>
          <t>JÄMTLANDS LÄN</t>
        </is>
      </c>
      <c r="E1420" t="inlineStr">
        <is>
          <t>RAGUNDA</t>
        </is>
      </c>
      <c r="G1420" t="n">
        <v>15.9</v>
      </c>
      <c r="H1420" t="n">
        <v>0</v>
      </c>
      <c r="I1420" t="n">
        <v>0</v>
      </c>
      <c r="J1420" t="n">
        <v>0</v>
      </c>
      <c r="K1420" t="n">
        <v>0</v>
      </c>
      <c r="L1420" t="n">
        <v>0</v>
      </c>
      <c r="M1420" t="n">
        <v>0</v>
      </c>
      <c r="N1420" t="n">
        <v>0</v>
      </c>
      <c r="O1420" t="n">
        <v>0</v>
      </c>
      <c r="P1420" t="n">
        <v>0</v>
      </c>
      <c r="Q1420" t="n">
        <v>0</v>
      </c>
      <c r="R1420" s="2" t="inlineStr"/>
    </row>
    <row r="1421" ht="15" customHeight="1">
      <c r="A1421" t="inlineStr">
        <is>
          <t>A 2244-2024</t>
        </is>
      </c>
      <c r="B1421" s="1" t="n">
        <v>45309</v>
      </c>
      <c r="C1421" s="1" t="n">
        <v>45835</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2243-2024</t>
        </is>
      </c>
      <c r="B1422" s="1" t="n">
        <v>45309</v>
      </c>
      <c r="C1422" s="1" t="n">
        <v>45835</v>
      </c>
      <c r="D1422" t="inlineStr">
        <is>
          <t>JÄMTLANDS LÄN</t>
        </is>
      </c>
      <c r="E1422" t="inlineStr">
        <is>
          <t>RAGUNDA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2424-2024</t>
        </is>
      </c>
      <c r="B1423" s="1" t="n">
        <v>45310</v>
      </c>
      <c r="C1423" s="1" t="n">
        <v>45835</v>
      </c>
      <c r="D1423" t="inlineStr">
        <is>
          <t>JÄMTLANDS LÄN</t>
        </is>
      </c>
      <c r="E1423" t="inlineStr">
        <is>
          <t>RAGUNDA</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2629-2024</t>
        </is>
      </c>
      <c r="B1424" s="1" t="n">
        <v>45313</v>
      </c>
      <c r="C1424" s="1" t="n">
        <v>45835</v>
      </c>
      <c r="D1424" t="inlineStr">
        <is>
          <t>JÄMTLANDS LÄN</t>
        </is>
      </c>
      <c r="E1424" t="inlineStr">
        <is>
          <t>RAGUNDA</t>
        </is>
      </c>
      <c r="F1424" t="inlineStr">
        <is>
          <t>SCA</t>
        </is>
      </c>
      <c r="G1424" t="n">
        <v>40.9</v>
      </c>
      <c r="H1424" t="n">
        <v>0</v>
      </c>
      <c r="I1424" t="n">
        <v>0</v>
      </c>
      <c r="J1424" t="n">
        <v>0</v>
      </c>
      <c r="K1424" t="n">
        <v>0</v>
      </c>
      <c r="L1424" t="n">
        <v>0</v>
      </c>
      <c r="M1424" t="n">
        <v>0</v>
      </c>
      <c r="N1424" t="n">
        <v>0</v>
      </c>
      <c r="O1424" t="n">
        <v>0</v>
      </c>
      <c r="P1424" t="n">
        <v>0</v>
      </c>
      <c r="Q1424" t="n">
        <v>0</v>
      </c>
      <c r="R1424" s="2" t="inlineStr"/>
    </row>
    <row r="1425" ht="15" customHeight="1">
      <c r="A1425" t="inlineStr">
        <is>
          <t>A 2630-2024</t>
        </is>
      </c>
      <c r="B1425" s="1" t="n">
        <v>45313</v>
      </c>
      <c r="C1425" s="1" t="n">
        <v>45835</v>
      </c>
      <c r="D1425" t="inlineStr">
        <is>
          <t>JÄMTLANDS LÄN</t>
        </is>
      </c>
      <c r="E1425" t="inlineStr">
        <is>
          <t>RAGUNDA</t>
        </is>
      </c>
      <c r="F1425" t="inlineStr">
        <is>
          <t>SCA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2673-2024</t>
        </is>
      </c>
      <c r="B1426" s="1" t="n">
        <v>45314</v>
      </c>
      <c r="C1426" s="1" t="n">
        <v>45835</v>
      </c>
      <c r="D1426" t="inlineStr">
        <is>
          <t>JÄMTLANDS LÄN</t>
        </is>
      </c>
      <c r="E1426" t="inlineStr">
        <is>
          <t>RAGUNDA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2751-2024</t>
        </is>
      </c>
      <c r="B1427" s="1" t="n">
        <v>45314</v>
      </c>
      <c r="C1427" s="1" t="n">
        <v>45835</v>
      </c>
      <c r="D1427" t="inlineStr">
        <is>
          <t>JÄMTLANDS LÄN</t>
        </is>
      </c>
      <c r="E1427" t="inlineStr">
        <is>
          <t>RAGUNDA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2678-2024</t>
        </is>
      </c>
      <c r="B1428" s="1" t="n">
        <v>45314</v>
      </c>
      <c r="C1428" s="1" t="n">
        <v>45835</v>
      </c>
      <c r="D1428" t="inlineStr">
        <is>
          <t>JÄMTLANDS LÄN</t>
        </is>
      </c>
      <c r="E1428" t="inlineStr">
        <is>
          <t>RAGUNDA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2834-2024</t>
        </is>
      </c>
      <c r="B1429" s="1" t="n">
        <v>45314</v>
      </c>
      <c r="C1429" s="1" t="n">
        <v>45835</v>
      </c>
      <c r="D1429" t="inlineStr">
        <is>
          <t>JÄMTLANDS LÄN</t>
        </is>
      </c>
      <c r="E1429" t="inlineStr">
        <is>
          <t>RAGUNDA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2831-2024</t>
        </is>
      </c>
      <c r="B1430" s="1" t="n">
        <v>45314</v>
      </c>
      <c r="C1430" s="1" t="n">
        <v>45835</v>
      </c>
      <c r="D1430" t="inlineStr">
        <is>
          <t>JÄMTLANDS LÄN</t>
        </is>
      </c>
      <c r="E1430" t="inlineStr">
        <is>
          <t>RAGUNDA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3016-2024</t>
        </is>
      </c>
      <c r="B1431" s="1" t="n">
        <v>45315</v>
      </c>
      <c r="C1431" s="1" t="n">
        <v>45835</v>
      </c>
      <c r="D1431" t="inlineStr">
        <is>
          <t>JÄMTLANDS LÄN</t>
        </is>
      </c>
      <c r="E1431" t="inlineStr">
        <is>
          <t>RAGUNDA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3018-2024</t>
        </is>
      </c>
      <c r="B1432" s="1" t="n">
        <v>45315</v>
      </c>
      <c r="C1432" s="1" t="n">
        <v>45835</v>
      </c>
      <c r="D1432" t="inlineStr">
        <is>
          <t>JÄMTLANDS LÄN</t>
        </is>
      </c>
      <c r="E1432" t="inlineStr">
        <is>
          <t>RAGUNDA</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3240-2024</t>
        </is>
      </c>
      <c r="B1433" s="1" t="n">
        <v>45316</v>
      </c>
      <c r="C1433" s="1" t="n">
        <v>45835</v>
      </c>
      <c r="D1433" t="inlineStr">
        <is>
          <t>JÄMTLANDS LÄN</t>
        </is>
      </c>
      <c r="E1433" t="inlineStr">
        <is>
          <t>RAGUNDA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3635-2024</t>
        </is>
      </c>
      <c r="B1434" s="1" t="n">
        <v>45320</v>
      </c>
      <c r="C1434" s="1" t="n">
        <v>45835</v>
      </c>
      <c r="D1434" t="inlineStr">
        <is>
          <t>JÄMTLANDS LÄN</t>
        </is>
      </c>
      <c r="E1434" t="inlineStr">
        <is>
          <t>RAGUNDA</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3938-2024</t>
        </is>
      </c>
      <c r="B1435" s="1" t="n">
        <v>45322</v>
      </c>
      <c r="C1435" s="1" t="n">
        <v>45835</v>
      </c>
      <c r="D1435" t="inlineStr">
        <is>
          <t>JÄMTLANDS LÄN</t>
        </is>
      </c>
      <c r="E1435" t="inlineStr">
        <is>
          <t>RAGUNDA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3992-2024</t>
        </is>
      </c>
      <c r="B1436" s="1" t="n">
        <v>45322</v>
      </c>
      <c r="C1436" s="1" t="n">
        <v>45835</v>
      </c>
      <c r="D1436" t="inlineStr">
        <is>
          <t>JÄMTLANDS LÄN</t>
        </is>
      </c>
      <c r="E1436" t="inlineStr">
        <is>
          <t>RAGUNDA</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4125-2024</t>
        </is>
      </c>
      <c r="B1437" s="1" t="n">
        <v>45323</v>
      </c>
      <c r="C1437" s="1" t="n">
        <v>45835</v>
      </c>
      <c r="D1437" t="inlineStr">
        <is>
          <t>JÄMTLANDS LÄN</t>
        </is>
      </c>
      <c r="E1437" t="inlineStr">
        <is>
          <t>RAGUNDA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4212-2024</t>
        </is>
      </c>
      <c r="B1438" s="1" t="n">
        <v>45324</v>
      </c>
      <c r="C1438" s="1" t="n">
        <v>45835</v>
      </c>
      <c r="D1438" t="inlineStr">
        <is>
          <t>JÄMTLANDS LÄN</t>
        </is>
      </c>
      <c r="E1438" t="inlineStr">
        <is>
          <t>RAGUNDA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4249-2024</t>
        </is>
      </c>
      <c r="B1439" s="1" t="n">
        <v>45324</v>
      </c>
      <c r="C1439" s="1" t="n">
        <v>45835</v>
      </c>
      <c r="D1439" t="inlineStr">
        <is>
          <t>JÄMTLANDS LÄN</t>
        </is>
      </c>
      <c r="E1439" t="inlineStr">
        <is>
          <t>RAGUNDA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4594-2024</t>
        </is>
      </c>
      <c r="B1440" s="1" t="n">
        <v>45327</v>
      </c>
      <c r="C1440" s="1" t="n">
        <v>45835</v>
      </c>
      <c r="D1440" t="inlineStr">
        <is>
          <t>JÄMTLANDS LÄN</t>
        </is>
      </c>
      <c r="E1440" t="inlineStr">
        <is>
          <t>RAGUNDA</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4592-2024</t>
        </is>
      </c>
      <c r="B1441" s="1" t="n">
        <v>45327</v>
      </c>
      <c r="C1441" s="1" t="n">
        <v>45835</v>
      </c>
      <c r="D1441" t="inlineStr">
        <is>
          <t>JÄMTLANDS LÄN</t>
        </is>
      </c>
      <c r="E1441" t="inlineStr">
        <is>
          <t>RAGUNDA</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4591-2024</t>
        </is>
      </c>
      <c r="B1442" s="1" t="n">
        <v>45327</v>
      </c>
      <c r="C1442" s="1" t="n">
        <v>45835</v>
      </c>
      <c r="D1442" t="inlineStr">
        <is>
          <t>JÄMTLANDS LÄN</t>
        </is>
      </c>
      <c r="E1442" t="inlineStr">
        <is>
          <t>RAGUNDA</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4820-2024</t>
        </is>
      </c>
      <c r="B1443" s="1" t="n">
        <v>45328</v>
      </c>
      <c r="C1443" s="1" t="n">
        <v>45835</v>
      </c>
      <c r="D1443" t="inlineStr">
        <is>
          <t>JÄMTLANDS LÄN</t>
        </is>
      </c>
      <c r="E1443" t="inlineStr">
        <is>
          <t>RAGUNDA</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4822-2024</t>
        </is>
      </c>
      <c r="B1444" s="1" t="n">
        <v>45328</v>
      </c>
      <c r="C1444" s="1" t="n">
        <v>45835</v>
      </c>
      <c r="D1444" t="inlineStr">
        <is>
          <t>JÄMTLANDS LÄN</t>
        </is>
      </c>
      <c r="E1444" t="inlineStr">
        <is>
          <t>RAGUNDA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4811-2024</t>
        </is>
      </c>
      <c r="B1445" s="1" t="n">
        <v>45328</v>
      </c>
      <c r="C1445" s="1" t="n">
        <v>45835</v>
      </c>
      <c r="D1445" t="inlineStr">
        <is>
          <t>JÄMTLANDS LÄN</t>
        </is>
      </c>
      <c r="E1445" t="inlineStr">
        <is>
          <t>RAGUNDA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4936-2024</t>
        </is>
      </c>
      <c r="B1446" s="1" t="n">
        <v>45329</v>
      </c>
      <c r="C1446" s="1" t="n">
        <v>45835</v>
      </c>
      <c r="D1446" t="inlineStr">
        <is>
          <t>JÄMTLANDS LÄN</t>
        </is>
      </c>
      <c r="E1446" t="inlineStr">
        <is>
          <t>RAGUNDA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5067-2024</t>
        </is>
      </c>
      <c r="B1447" s="1" t="n">
        <v>45329</v>
      </c>
      <c r="C1447" s="1" t="n">
        <v>45835</v>
      </c>
      <c r="D1447" t="inlineStr">
        <is>
          <t>JÄMTLANDS LÄN</t>
        </is>
      </c>
      <c r="E1447" t="inlineStr">
        <is>
          <t>RAGUNDA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5250-2024</t>
        </is>
      </c>
      <c r="B1448" s="1" t="n">
        <v>45330</v>
      </c>
      <c r="C1448" s="1" t="n">
        <v>45835</v>
      </c>
      <c r="D1448" t="inlineStr">
        <is>
          <t>JÄMTLANDS LÄN</t>
        </is>
      </c>
      <c r="E1448" t="inlineStr">
        <is>
          <t>RAGUNDA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5263-2024</t>
        </is>
      </c>
      <c r="B1449" s="1" t="n">
        <v>45331</v>
      </c>
      <c r="C1449" s="1" t="n">
        <v>45835</v>
      </c>
      <c r="D1449" t="inlineStr">
        <is>
          <t>JÄMTLANDS LÄN</t>
        </is>
      </c>
      <c r="E1449" t="inlineStr">
        <is>
          <t>RAGUNDA</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5429-2024</t>
        </is>
      </c>
      <c r="B1450" s="1" t="n">
        <v>45331</v>
      </c>
      <c r="C1450" s="1" t="n">
        <v>45835</v>
      </c>
      <c r="D1450" t="inlineStr">
        <is>
          <t>JÄMTLANDS LÄN</t>
        </is>
      </c>
      <c r="E1450" t="inlineStr">
        <is>
          <t>RAGUNDA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6267-2024</t>
        </is>
      </c>
      <c r="B1451" s="1" t="n">
        <v>45337</v>
      </c>
      <c r="C1451" s="1" t="n">
        <v>45835</v>
      </c>
      <c r="D1451" t="inlineStr">
        <is>
          <t>JÄMTLANDS LÄN</t>
        </is>
      </c>
      <c r="E1451" t="inlineStr">
        <is>
          <t>RAGUNDA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6477-2024</t>
        </is>
      </c>
      <c r="B1452" s="1" t="n">
        <v>45338</v>
      </c>
      <c r="C1452" s="1" t="n">
        <v>45835</v>
      </c>
      <c r="D1452" t="inlineStr">
        <is>
          <t>JÄMTLANDS LÄN</t>
        </is>
      </c>
      <c r="E1452" t="inlineStr">
        <is>
          <t>RAGUNDA</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6687-2024</t>
        </is>
      </c>
      <c r="B1453" s="1" t="n">
        <v>45341</v>
      </c>
      <c r="C1453" s="1" t="n">
        <v>45835</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6694-2024</t>
        </is>
      </c>
      <c r="B1454" s="1" t="n">
        <v>45341</v>
      </c>
      <c r="C1454" s="1" t="n">
        <v>45835</v>
      </c>
      <c r="D1454" t="inlineStr">
        <is>
          <t>JÄMTLANDS LÄN</t>
        </is>
      </c>
      <c r="E1454" t="inlineStr">
        <is>
          <t>RAGUNDA</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6688-2024</t>
        </is>
      </c>
      <c r="B1455" s="1" t="n">
        <v>45341</v>
      </c>
      <c r="C1455" s="1" t="n">
        <v>45835</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6736-2024</t>
        </is>
      </c>
      <c r="B1456" s="1" t="n">
        <v>45342</v>
      </c>
      <c r="C1456" s="1" t="n">
        <v>45835</v>
      </c>
      <c r="D1456" t="inlineStr">
        <is>
          <t>JÄMTLANDS LÄN</t>
        </is>
      </c>
      <c r="E1456" t="inlineStr">
        <is>
          <t>RAGUNDA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6902-2024</t>
        </is>
      </c>
      <c r="B1457" s="1" t="n">
        <v>45342</v>
      </c>
      <c r="C1457" s="1" t="n">
        <v>45835</v>
      </c>
      <c r="D1457" t="inlineStr">
        <is>
          <t>JÄMTLANDS LÄN</t>
        </is>
      </c>
      <c r="E1457" t="inlineStr">
        <is>
          <t>RAGUNDA</t>
        </is>
      </c>
      <c r="F1457" t="inlineStr">
        <is>
          <t>SCA</t>
        </is>
      </c>
      <c r="G1457" t="n">
        <v>18.7</v>
      </c>
      <c r="H1457" t="n">
        <v>0</v>
      </c>
      <c r="I1457" t="n">
        <v>0</v>
      </c>
      <c r="J1457" t="n">
        <v>0</v>
      </c>
      <c r="K1457" t="n">
        <v>0</v>
      </c>
      <c r="L1457" t="n">
        <v>0</v>
      </c>
      <c r="M1457" t="n">
        <v>0</v>
      </c>
      <c r="N1457" t="n">
        <v>0</v>
      </c>
      <c r="O1457" t="n">
        <v>0</v>
      </c>
      <c r="P1457" t="n">
        <v>0</v>
      </c>
      <c r="Q1457" t="n">
        <v>0</v>
      </c>
      <c r="R1457" s="2" t="inlineStr"/>
    </row>
    <row r="1458" ht="15" customHeight="1">
      <c r="A1458" t="inlineStr">
        <is>
          <t>A 6905-2024</t>
        </is>
      </c>
      <c r="B1458" s="1" t="n">
        <v>45342</v>
      </c>
      <c r="C1458" s="1" t="n">
        <v>45835</v>
      </c>
      <c r="D1458" t="inlineStr">
        <is>
          <t>JÄMTLANDS LÄN</t>
        </is>
      </c>
      <c r="E1458" t="inlineStr">
        <is>
          <t>RAGUNDA</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6929-2024</t>
        </is>
      </c>
      <c r="B1459" s="1" t="n">
        <v>45343</v>
      </c>
      <c r="C1459" s="1" t="n">
        <v>45835</v>
      </c>
      <c r="D1459" t="inlineStr">
        <is>
          <t>JÄMTLANDS LÄN</t>
        </is>
      </c>
      <c r="E1459" t="inlineStr">
        <is>
          <t>RAGUNDA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7279-2024</t>
        </is>
      </c>
      <c r="B1460" s="1" t="n">
        <v>45344</v>
      </c>
      <c r="C1460" s="1" t="n">
        <v>45835</v>
      </c>
      <c r="D1460" t="inlineStr">
        <is>
          <t>JÄMTLANDS LÄN</t>
        </is>
      </c>
      <c r="E1460" t="inlineStr">
        <is>
          <t>RAGUNDA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7281-2024</t>
        </is>
      </c>
      <c r="B1461" s="1" t="n">
        <v>45344</v>
      </c>
      <c r="C1461" s="1" t="n">
        <v>45835</v>
      </c>
      <c r="D1461" t="inlineStr">
        <is>
          <t>JÄMTLANDS LÄN</t>
        </is>
      </c>
      <c r="E1461" t="inlineStr">
        <is>
          <t>RAGUNDA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7285-2024</t>
        </is>
      </c>
      <c r="B1462" s="1" t="n">
        <v>45344</v>
      </c>
      <c r="C1462" s="1" t="n">
        <v>45835</v>
      </c>
      <c r="D1462" t="inlineStr">
        <is>
          <t>JÄMTLANDS LÄN</t>
        </is>
      </c>
      <c r="E1462" t="inlineStr">
        <is>
          <t>RAGUNDA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7280-2024</t>
        </is>
      </c>
      <c r="B1463" s="1" t="n">
        <v>45344</v>
      </c>
      <c r="C1463" s="1" t="n">
        <v>45835</v>
      </c>
      <c r="D1463" t="inlineStr">
        <is>
          <t>JÄMTLANDS LÄN</t>
        </is>
      </c>
      <c r="E1463" t="inlineStr">
        <is>
          <t>RAGUNDA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7284-2024</t>
        </is>
      </c>
      <c r="B1464" s="1" t="n">
        <v>45344</v>
      </c>
      <c r="C1464" s="1" t="n">
        <v>45835</v>
      </c>
      <c r="D1464" t="inlineStr">
        <is>
          <t>JÄMTLANDS LÄN</t>
        </is>
      </c>
      <c r="E1464" t="inlineStr">
        <is>
          <t>RAGUNDA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7850-2024</t>
        </is>
      </c>
      <c r="B1465" s="1" t="n">
        <v>45350</v>
      </c>
      <c r="C1465" s="1" t="n">
        <v>45835</v>
      </c>
      <c r="D1465" t="inlineStr">
        <is>
          <t>JÄMTLANDS LÄN</t>
        </is>
      </c>
      <c r="E1465" t="inlineStr">
        <is>
          <t>RAGUNDA</t>
        </is>
      </c>
      <c r="F1465" t="inlineStr">
        <is>
          <t>SCA</t>
        </is>
      </c>
      <c r="G1465" t="n">
        <v>27.8</v>
      </c>
      <c r="H1465" t="n">
        <v>0</v>
      </c>
      <c r="I1465" t="n">
        <v>0</v>
      </c>
      <c r="J1465" t="n">
        <v>0</v>
      </c>
      <c r="K1465" t="n">
        <v>0</v>
      </c>
      <c r="L1465" t="n">
        <v>0</v>
      </c>
      <c r="M1465" t="n">
        <v>0</v>
      </c>
      <c r="N1465" t="n">
        <v>0</v>
      </c>
      <c r="O1465" t="n">
        <v>0</v>
      </c>
      <c r="P1465" t="n">
        <v>0</v>
      </c>
      <c r="Q1465" t="n">
        <v>0</v>
      </c>
      <c r="R1465" s="2" t="inlineStr"/>
    </row>
    <row r="1466" ht="15" customHeight="1">
      <c r="A1466" t="inlineStr">
        <is>
          <t>A 7855-2024</t>
        </is>
      </c>
      <c r="B1466" s="1" t="n">
        <v>45350</v>
      </c>
      <c r="C1466" s="1" t="n">
        <v>45835</v>
      </c>
      <c r="D1466" t="inlineStr">
        <is>
          <t>JÄMTLANDS LÄN</t>
        </is>
      </c>
      <c r="E1466" t="inlineStr">
        <is>
          <t>RAGUNDA</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8241-2024</t>
        </is>
      </c>
      <c r="B1467" s="1" t="n">
        <v>45352</v>
      </c>
      <c r="C1467" s="1" t="n">
        <v>45835</v>
      </c>
      <c r="D1467" t="inlineStr">
        <is>
          <t>JÄMTLANDS LÄN</t>
        </is>
      </c>
      <c r="E1467" t="inlineStr">
        <is>
          <t>RAGUNDA</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8243-2024</t>
        </is>
      </c>
      <c r="B1468" s="1" t="n">
        <v>45352</v>
      </c>
      <c r="C1468" s="1" t="n">
        <v>45835</v>
      </c>
      <c r="D1468" t="inlineStr">
        <is>
          <t>JÄMTLANDS LÄN</t>
        </is>
      </c>
      <c r="E1468" t="inlineStr">
        <is>
          <t>RAGUNDA</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8639-2024</t>
        </is>
      </c>
      <c r="B1469" s="1" t="n">
        <v>45356</v>
      </c>
      <c r="C1469" s="1" t="n">
        <v>45835</v>
      </c>
      <c r="D1469" t="inlineStr">
        <is>
          <t>JÄMTLANDS LÄN</t>
        </is>
      </c>
      <c r="E1469" t="inlineStr">
        <is>
          <t>RAGUNDA</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8643-2024</t>
        </is>
      </c>
      <c r="B1470" s="1" t="n">
        <v>45356</v>
      </c>
      <c r="C1470" s="1" t="n">
        <v>45835</v>
      </c>
      <c r="D1470" t="inlineStr">
        <is>
          <t>JÄMTLANDS LÄN</t>
        </is>
      </c>
      <c r="E1470" t="inlineStr">
        <is>
          <t>RAGUNDA</t>
        </is>
      </c>
      <c r="F1470" t="inlineStr">
        <is>
          <t>SCA</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8644-2024</t>
        </is>
      </c>
      <c r="B1471" s="1" t="n">
        <v>45356</v>
      </c>
      <c r="C1471" s="1" t="n">
        <v>45835</v>
      </c>
      <c r="D1471" t="inlineStr">
        <is>
          <t>JÄMTLANDS LÄN</t>
        </is>
      </c>
      <c r="E1471" t="inlineStr">
        <is>
          <t>RAGUNDA</t>
        </is>
      </c>
      <c r="F1471" t="inlineStr">
        <is>
          <t>SCA</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8642-2024</t>
        </is>
      </c>
      <c r="B1472" s="1" t="n">
        <v>45356</v>
      </c>
      <c r="C1472" s="1" t="n">
        <v>45835</v>
      </c>
      <c r="D1472" t="inlineStr">
        <is>
          <t>JÄMTLANDS LÄN</t>
        </is>
      </c>
      <c r="E1472" t="inlineStr">
        <is>
          <t>RAGUNDA</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8654-2024</t>
        </is>
      </c>
      <c r="B1473" s="1" t="n">
        <v>45356</v>
      </c>
      <c r="C1473" s="1" t="n">
        <v>45835</v>
      </c>
      <c r="D1473" t="inlineStr">
        <is>
          <t>JÄMTLANDS LÄN</t>
        </is>
      </c>
      <c r="E1473" t="inlineStr">
        <is>
          <t>RAGUNDA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8886-2024</t>
        </is>
      </c>
      <c r="B1474" s="1" t="n">
        <v>45357</v>
      </c>
      <c r="C1474" s="1" t="n">
        <v>45835</v>
      </c>
      <c r="D1474" t="inlineStr">
        <is>
          <t>JÄMTLANDS LÄN</t>
        </is>
      </c>
      <c r="E1474" t="inlineStr">
        <is>
          <t>RAGUNDA</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9326-2024</t>
        </is>
      </c>
      <c r="B1475" s="1" t="n">
        <v>45358</v>
      </c>
      <c r="C1475" s="1" t="n">
        <v>45835</v>
      </c>
      <c r="D1475" t="inlineStr">
        <is>
          <t>JÄMTLANDS LÄN</t>
        </is>
      </c>
      <c r="E1475" t="inlineStr">
        <is>
          <t>RAGUNDA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9325-2024</t>
        </is>
      </c>
      <c r="B1476" s="1" t="n">
        <v>45358</v>
      </c>
      <c r="C1476" s="1" t="n">
        <v>45835</v>
      </c>
      <c r="D1476" t="inlineStr">
        <is>
          <t>JÄMTLANDS LÄN</t>
        </is>
      </c>
      <c r="E1476" t="inlineStr">
        <is>
          <t>RAGUNDA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9560-2024</t>
        </is>
      </c>
      <c r="B1477" s="1" t="n">
        <v>45360</v>
      </c>
      <c r="C1477" s="1" t="n">
        <v>45835</v>
      </c>
      <c r="D1477" t="inlineStr">
        <is>
          <t>JÄMTLANDS LÄN</t>
        </is>
      </c>
      <c r="E1477" t="inlineStr">
        <is>
          <t>RAGUNDA</t>
        </is>
      </c>
      <c r="F1477" t="inlineStr">
        <is>
          <t>SCA</t>
        </is>
      </c>
      <c r="G1477" t="n">
        <v>21.7</v>
      </c>
      <c r="H1477" t="n">
        <v>0</v>
      </c>
      <c r="I1477" t="n">
        <v>0</v>
      </c>
      <c r="J1477" t="n">
        <v>0</v>
      </c>
      <c r="K1477" t="n">
        <v>0</v>
      </c>
      <c r="L1477" t="n">
        <v>0</v>
      </c>
      <c r="M1477" t="n">
        <v>0</v>
      </c>
      <c r="N1477" t="n">
        <v>0</v>
      </c>
      <c r="O1477" t="n">
        <v>0</v>
      </c>
      <c r="P1477" t="n">
        <v>0</v>
      </c>
      <c r="Q1477" t="n">
        <v>0</v>
      </c>
      <c r="R1477" s="2" t="inlineStr"/>
    </row>
    <row r="1478" ht="15" customHeight="1">
      <c r="A1478" t="inlineStr">
        <is>
          <t>A 10196-2024</t>
        </is>
      </c>
      <c r="B1478" s="1" t="n">
        <v>45364</v>
      </c>
      <c r="C1478" s="1" t="n">
        <v>45835</v>
      </c>
      <c r="D1478" t="inlineStr">
        <is>
          <t>JÄMTLANDS LÄN</t>
        </is>
      </c>
      <c r="E1478" t="inlineStr">
        <is>
          <t>RAGUNDA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10197-2024</t>
        </is>
      </c>
      <c r="B1479" s="1" t="n">
        <v>45364</v>
      </c>
      <c r="C1479" s="1" t="n">
        <v>45835</v>
      </c>
      <c r="D1479" t="inlineStr">
        <is>
          <t>JÄMTLANDS LÄN</t>
        </is>
      </c>
      <c r="E1479" t="inlineStr">
        <is>
          <t>RAGUNDA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10205-2024</t>
        </is>
      </c>
      <c r="B1480" s="1" t="n">
        <v>45364</v>
      </c>
      <c r="C1480" s="1" t="n">
        <v>45835</v>
      </c>
      <c r="D1480" t="inlineStr">
        <is>
          <t>JÄMTLANDS LÄN</t>
        </is>
      </c>
      <c r="E1480" t="inlineStr">
        <is>
          <t>RAGUNDA</t>
        </is>
      </c>
      <c r="G1480" t="n">
        <v>25.3</v>
      </c>
      <c r="H1480" t="n">
        <v>0</v>
      </c>
      <c r="I1480" t="n">
        <v>0</v>
      </c>
      <c r="J1480" t="n">
        <v>0</v>
      </c>
      <c r="K1480" t="n">
        <v>0</v>
      </c>
      <c r="L1480" t="n">
        <v>0</v>
      </c>
      <c r="M1480" t="n">
        <v>0</v>
      </c>
      <c r="N1480" t="n">
        <v>0</v>
      </c>
      <c r="O1480" t="n">
        <v>0</v>
      </c>
      <c r="P1480" t="n">
        <v>0</v>
      </c>
      <c r="Q1480" t="n">
        <v>0</v>
      </c>
      <c r="R1480" s="2" t="inlineStr"/>
    </row>
    <row r="1481" ht="15" customHeight="1">
      <c r="A1481" t="inlineStr">
        <is>
          <t>A 10194-2024</t>
        </is>
      </c>
      <c r="B1481" s="1" t="n">
        <v>45364</v>
      </c>
      <c r="C1481" s="1" t="n">
        <v>45835</v>
      </c>
      <c r="D1481" t="inlineStr">
        <is>
          <t>JÄMTLANDS LÄN</t>
        </is>
      </c>
      <c r="E1481" t="inlineStr">
        <is>
          <t>RAGUNDA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10217-2024</t>
        </is>
      </c>
      <c r="B1482" s="1" t="n">
        <v>45364</v>
      </c>
      <c r="C1482" s="1" t="n">
        <v>45835</v>
      </c>
      <c r="D1482" t="inlineStr">
        <is>
          <t>JÄMTLANDS LÄN</t>
        </is>
      </c>
      <c r="E1482" t="inlineStr">
        <is>
          <t>RAGUNDA</t>
        </is>
      </c>
      <c r="F1482" t="inlineStr">
        <is>
          <t>SCA</t>
        </is>
      </c>
      <c r="G1482" t="n">
        <v>4.6</v>
      </c>
      <c r="H1482" t="n">
        <v>0</v>
      </c>
      <c r="I1482" t="n">
        <v>0</v>
      </c>
      <c r="J1482" t="n">
        <v>0</v>
      </c>
      <c r="K1482" t="n">
        <v>0</v>
      </c>
      <c r="L1482" t="n">
        <v>0</v>
      </c>
      <c r="M1482" t="n">
        <v>0</v>
      </c>
      <c r="N1482" t="n">
        <v>0</v>
      </c>
      <c r="O1482" t="n">
        <v>0</v>
      </c>
      <c r="P1482" t="n">
        <v>0</v>
      </c>
      <c r="Q1482" t="n">
        <v>0</v>
      </c>
      <c r="R1482" s="2" t="inlineStr"/>
      <c r="U1482">
        <f>HYPERLINK("https://klasma.github.io/Logging_2303/knärot/A 10217-2024 karta knärot.png", "A 10217-2024")</f>
        <v/>
      </c>
      <c r="V1482">
        <f>HYPERLINK("https://klasma.github.io/Logging_2303/klagomål/A 10217-2024 FSC-klagomål.docx", "A 10217-2024")</f>
        <v/>
      </c>
      <c r="W1482">
        <f>HYPERLINK("https://klasma.github.io/Logging_2303/klagomålsmail/A 10217-2024 FSC-klagomål mail.docx", "A 10217-2024")</f>
        <v/>
      </c>
      <c r="X1482">
        <f>HYPERLINK("https://klasma.github.io/Logging_2303/tillsyn/A 10217-2024 tillsynsbegäran.docx", "A 10217-2024")</f>
        <v/>
      </c>
      <c r="Y1482">
        <f>HYPERLINK("https://klasma.github.io/Logging_2303/tillsynsmail/A 10217-2024 tillsynsbegäran mail.docx", "A 10217-2024")</f>
        <v/>
      </c>
    </row>
    <row r="1483" ht="15" customHeight="1">
      <c r="A1483" t="inlineStr">
        <is>
          <t>A 10644-2024</t>
        </is>
      </c>
      <c r="B1483" s="1" t="n">
        <v>45367</v>
      </c>
      <c r="C1483" s="1" t="n">
        <v>45835</v>
      </c>
      <c r="D1483" t="inlineStr">
        <is>
          <t>JÄMTLANDS LÄN</t>
        </is>
      </c>
      <c r="E1483" t="inlineStr">
        <is>
          <t>RAGUNDA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10639-2024</t>
        </is>
      </c>
      <c r="B1484" s="1" t="n">
        <v>45367</v>
      </c>
      <c r="C1484" s="1" t="n">
        <v>45835</v>
      </c>
      <c r="D1484" t="inlineStr">
        <is>
          <t>JÄMTLANDS LÄN</t>
        </is>
      </c>
      <c r="E1484" t="inlineStr">
        <is>
          <t>RAGUNDA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10610-2024</t>
        </is>
      </c>
      <c r="B1485" s="1" t="n">
        <v>45367</v>
      </c>
      <c r="C1485" s="1" t="n">
        <v>45835</v>
      </c>
      <c r="D1485" t="inlineStr">
        <is>
          <t>JÄMTLANDS LÄN</t>
        </is>
      </c>
      <c r="E1485" t="inlineStr">
        <is>
          <t>RAGUNDA</t>
        </is>
      </c>
      <c r="F1485" t="inlineStr">
        <is>
          <t>SCA</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10614-2024</t>
        </is>
      </c>
      <c r="B1486" s="1" t="n">
        <v>45367</v>
      </c>
      <c r="C1486" s="1" t="n">
        <v>45835</v>
      </c>
      <c r="D1486" t="inlineStr">
        <is>
          <t>JÄMTLANDS LÄN</t>
        </is>
      </c>
      <c r="E1486" t="inlineStr">
        <is>
          <t>RAGUNDA</t>
        </is>
      </c>
      <c r="F1486" t="inlineStr">
        <is>
          <t>SCA</t>
        </is>
      </c>
      <c r="G1486" t="n">
        <v>16.5</v>
      </c>
      <c r="H1486" t="n">
        <v>0</v>
      </c>
      <c r="I1486" t="n">
        <v>0</v>
      </c>
      <c r="J1486" t="n">
        <v>0</v>
      </c>
      <c r="K1486" t="n">
        <v>0</v>
      </c>
      <c r="L1486" t="n">
        <v>0</v>
      </c>
      <c r="M1486" t="n">
        <v>0</v>
      </c>
      <c r="N1486" t="n">
        <v>0</v>
      </c>
      <c r="O1486" t="n">
        <v>0</v>
      </c>
      <c r="P1486" t="n">
        <v>0</v>
      </c>
      <c r="Q1486" t="n">
        <v>0</v>
      </c>
      <c r="R1486" s="2" t="inlineStr"/>
    </row>
    <row r="1487" ht="15" customHeight="1">
      <c r="A1487" t="inlineStr">
        <is>
          <t>A 10609-2024</t>
        </is>
      </c>
      <c r="B1487" s="1" t="n">
        <v>45367</v>
      </c>
      <c r="C1487" s="1" t="n">
        <v>45835</v>
      </c>
      <c r="D1487" t="inlineStr">
        <is>
          <t>JÄMTLANDS LÄN</t>
        </is>
      </c>
      <c r="E1487" t="inlineStr">
        <is>
          <t>RAGUNDA</t>
        </is>
      </c>
      <c r="F1487" t="inlineStr">
        <is>
          <t>SCA</t>
        </is>
      </c>
      <c r="G1487" t="n">
        <v>20.3</v>
      </c>
      <c r="H1487" t="n">
        <v>0</v>
      </c>
      <c r="I1487" t="n">
        <v>0</v>
      </c>
      <c r="J1487" t="n">
        <v>0</v>
      </c>
      <c r="K1487" t="n">
        <v>0</v>
      </c>
      <c r="L1487" t="n">
        <v>0</v>
      </c>
      <c r="M1487" t="n">
        <v>0</v>
      </c>
      <c r="N1487" t="n">
        <v>0</v>
      </c>
      <c r="O1487" t="n">
        <v>0</v>
      </c>
      <c r="P1487" t="n">
        <v>0</v>
      </c>
      <c r="Q1487" t="n">
        <v>0</v>
      </c>
      <c r="R1487" s="2" t="inlineStr"/>
    </row>
    <row r="1488" ht="15" customHeight="1">
      <c r="A1488" t="inlineStr">
        <is>
          <t>A 10613-2024</t>
        </is>
      </c>
      <c r="B1488" s="1" t="n">
        <v>45367</v>
      </c>
      <c r="C1488" s="1" t="n">
        <v>45835</v>
      </c>
      <c r="D1488" t="inlineStr">
        <is>
          <t>JÄMTLANDS LÄN</t>
        </is>
      </c>
      <c r="E1488" t="inlineStr">
        <is>
          <t>RAGUNDA</t>
        </is>
      </c>
      <c r="F1488" t="inlineStr">
        <is>
          <t>SCA</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10641-2024</t>
        </is>
      </c>
      <c r="B1489" s="1" t="n">
        <v>45367</v>
      </c>
      <c r="C1489" s="1" t="n">
        <v>45835</v>
      </c>
      <c r="D1489" t="inlineStr">
        <is>
          <t>JÄMTLANDS LÄN</t>
        </is>
      </c>
      <c r="E1489" t="inlineStr">
        <is>
          <t>RAGUNDA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10867-2024</t>
        </is>
      </c>
      <c r="B1490" s="1" t="n">
        <v>45370</v>
      </c>
      <c r="C1490" s="1" t="n">
        <v>45835</v>
      </c>
      <c r="D1490" t="inlineStr">
        <is>
          <t>JÄMTLANDS LÄN</t>
        </is>
      </c>
      <c r="E1490" t="inlineStr">
        <is>
          <t>RAGUNDA</t>
        </is>
      </c>
      <c r="F1490" t="inlineStr">
        <is>
          <t>SCA</t>
        </is>
      </c>
      <c r="G1490" t="n">
        <v>20.8</v>
      </c>
      <c r="H1490" t="n">
        <v>0</v>
      </c>
      <c r="I1490" t="n">
        <v>0</v>
      </c>
      <c r="J1490" t="n">
        <v>0</v>
      </c>
      <c r="K1490" t="n">
        <v>0</v>
      </c>
      <c r="L1490" t="n">
        <v>0</v>
      </c>
      <c r="M1490" t="n">
        <v>0</v>
      </c>
      <c r="N1490" t="n">
        <v>0</v>
      </c>
      <c r="O1490" t="n">
        <v>0</v>
      </c>
      <c r="P1490" t="n">
        <v>0</v>
      </c>
      <c r="Q1490" t="n">
        <v>0</v>
      </c>
      <c r="R1490" s="2" t="inlineStr"/>
    </row>
    <row r="1491" ht="15" customHeight="1">
      <c r="A1491" t="inlineStr">
        <is>
          <t>A 10920-2024</t>
        </is>
      </c>
      <c r="B1491" s="1" t="n">
        <v>45370</v>
      </c>
      <c r="C1491" s="1" t="n">
        <v>45835</v>
      </c>
      <c r="D1491" t="inlineStr">
        <is>
          <t>JÄMTLANDS LÄN</t>
        </is>
      </c>
      <c r="E1491" t="inlineStr">
        <is>
          <t>RAGUNDA</t>
        </is>
      </c>
      <c r="G1491" t="n">
        <v>10.8</v>
      </c>
      <c r="H1491" t="n">
        <v>0</v>
      </c>
      <c r="I1491" t="n">
        <v>0</v>
      </c>
      <c r="J1491" t="n">
        <v>0</v>
      </c>
      <c r="K1491" t="n">
        <v>0</v>
      </c>
      <c r="L1491" t="n">
        <v>0</v>
      </c>
      <c r="M1491" t="n">
        <v>0</v>
      </c>
      <c r="N1491" t="n">
        <v>0</v>
      </c>
      <c r="O1491" t="n">
        <v>0</v>
      </c>
      <c r="P1491" t="n">
        <v>0</v>
      </c>
      <c r="Q1491" t="n">
        <v>0</v>
      </c>
      <c r="R1491" s="2" t="inlineStr"/>
    </row>
    <row r="1492" ht="15" customHeight="1">
      <c r="A1492" t="inlineStr">
        <is>
          <t>A 11547-2024</t>
        </is>
      </c>
      <c r="B1492" s="1" t="n">
        <v>45372</v>
      </c>
      <c r="C1492" s="1" t="n">
        <v>45835</v>
      </c>
      <c r="D1492" t="inlineStr">
        <is>
          <t>JÄMTLANDS LÄN</t>
        </is>
      </c>
      <c r="E1492" t="inlineStr">
        <is>
          <t>RAGUNDA</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11551-2024</t>
        </is>
      </c>
      <c r="B1493" s="1" t="n">
        <v>45372</v>
      </c>
      <c r="C1493" s="1" t="n">
        <v>45835</v>
      </c>
      <c r="D1493" t="inlineStr">
        <is>
          <t>JÄMTLANDS LÄN</t>
        </is>
      </c>
      <c r="E1493" t="inlineStr">
        <is>
          <t>RAGUNDA</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11550-2024</t>
        </is>
      </c>
      <c r="B1494" s="1" t="n">
        <v>45372</v>
      </c>
      <c r="C1494" s="1" t="n">
        <v>45835</v>
      </c>
      <c r="D1494" t="inlineStr">
        <is>
          <t>JÄMTLANDS LÄN</t>
        </is>
      </c>
      <c r="E1494" t="inlineStr">
        <is>
          <t>RAGUNDA</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11541-2024</t>
        </is>
      </c>
      <c r="B1495" s="1" t="n">
        <v>45372</v>
      </c>
      <c r="C1495" s="1" t="n">
        <v>45835</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11780-2024</t>
        </is>
      </c>
      <c r="B1496" s="1" t="n">
        <v>45374</v>
      </c>
      <c r="C1496" s="1" t="n">
        <v>45835</v>
      </c>
      <c r="D1496" t="inlineStr">
        <is>
          <t>JÄMTLANDS LÄN</t>
        </is>
      </c>
      <c r="E1496" t="inlineStr">
        <is>
          <t>RAGUNDA</t>
        </is>
      </c>
      <c r="G1496" t="n">
        <v>14.6</v>
      </c>
      <c r="H1496" t="n">
        <v>0</v>
      </c>
      <c r="I1496" t="n">
        <v>0</v>
      </c>
      <c r="J1496" t="n">
        <v>0</v>
      </c>
      <c r="K1496" t="n">
        <v>0</v>
      </c>
      <c r="L1496" t="n">
        <v>0</v>
      </c>
      <c r="M1496" t="n">
        <v>0</v>
      </c>
      <c r="N1496" t="n">
        <v>0</v>
      </c>
      <c r="O1496" t="n">
        <v>0</v>
      </c>
      <c r="P1496" t="n">
        <v>0</v>
      </c>
      <c r="Q1496" t="n">
        <v>0</v>
      </c>
      <c r="R1496" s="2" t="inlineStr"/>
    </row>
    <row r="1497" ht="15" customHeight="1">
      <c r="A1497" t="inlineStr">
        <is>
          <t>A 11990-2024</t>
        </is>
      </c>
      <c r="B1497" s="1" t="n">
        <v>45376</v>
      </c>
      <c r="C1497" s="1" t="n">
        <v>45835</v>
      </c>
      <c r="D1497" t="inlineStr">
        <is>
          <t>JÄMTLANDS LÄN</t>
        </is>
      </c>
      <c r="E1497" t="inlineStr">
        <is>
          <t>RAGUNDA</t>
        </is>
      </c>
      <c r="F1497" t="inlineStr">
        <is>
          <t>SCA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12201-2024</t>
        </is>
      </c>
      <c r="B1498" s="1" t="n">
        <v>45377</v>
      </c>
      <c r="C1498" s="1" t="n">
        <v>45835</v>
      </c>
      <c r="D1498" t="inlineStr">
        <is>
          <t>JÄMTLANDS LÄN</t>
        </is>
      </c>
      <c r="E1498" t="inlineStr">
        <is>
          <t>RAGUNDA</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12362-2024</t>
        </is>
      </c>
      <c r="B1499" s="1" t="n">
        <v>45378</v>
      </c>
      <c r="C1499" s="1" t="n">
        <v>45835</v>
      </c>
      <c r="D1499" t="inlineStr">
        <is>
          <t>JÄMTLANDS LÄN</t>
        </is>
      </c>
      <c r="E1499" t="inlineStr">
        <is>
          <t>RAGUNDA</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12585-2024</t>
        </is>
      </c>
      <c r="B1500" s="1" t="n">
        <v>45379</v>
      </c>
      <c r="C1500" s="1" t="n">
        <v>45835</v>
      </c>
      <c r="D1500" t="inlineStr">
        <is>
          <t>JÄMTLANDS LÄN</t>
        </is>
      </c>
      <c r="E1500" t="inlineStr">
        <is>
          <t>RAGUNDA</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12653-2024</t>
        </is>
      </c>
      <c r="B1501" s="1" t="n">
        <v>45384</v>
      </c>
      <c r="C1501" s="1" t="n">
        <v>45835</v>
      </c>
      <c r="D1501" t="inlineStr">
        <is>
          <t>JÄMTLANDS LÄN</t>
        </is>
      </c>
      <c r="E1501" t="inlineStr">
        <is>
          <t>RAGUNDA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12660-2024</t>
        </is>
      </c>
      <c r="B1502" s="1" t="n">
        <v>45384</v>
      </c>
      <c r="C1502" s="1" t="n">
        <v>45835</v>
      </c>
      <c r="D1502" t="inlineStr">
        <is>
          <t>JÄMTLANDS LÄN</t>
        </is>
      </c>
      <c r="E1502" t="inlineStr">
        <is>
          <t>RAGUNDA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12867-2024</t>
        </is>
      </c>
      <c r="B1503" s="1" t="n">
        <v>45385</v>
      </c>
      <c r="C1503" s="1" t="n">
        <v>45835</v>
      </c>
      <c r="D1503" t="inlineStr">
        <is>
          <t>JÄMTLANDS LÄN</t>
        </is>
      </c>
      <c r="E1503" t="inlineStr">
        <is>
          <t>RAGUNDA</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12868-2024</t>
        </is>
      </c>
      <c r="B1504" s="1" t="n">
        <v>45385</v>
      </c>
      <c r="C1504" s="1" t="n">
        <v>45835</v>
      </c>
      <c r="D1504" t="inlineStr">
        <is>
          <t>JÄMTLANDS LÄN</t>
        </is>
      </c>
      <c r="E1504" t="inlineStr">
        <is>
          <t>RAGUNDA</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13299-2024</t>
        </is>
      </c>
      <c r="B1505" s="1" t="n">
        <v>45386</v>
      </c>
      <c r="C1505" s="1" t="n">
        <v>45835</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13335-2024</t>
        </is>
      </c>
      <c r="B1506" s="1" t="n">
        <v>45387</v>
      </c>
      <c r="C1506" s="1" t="n">
        <v>45835</v>
      </c>
      <c r="D1506" t="inlineStr">
        <is>
          <t>JÄMTLANDS LÄN</t>
        </is>
      </c>
      <c r="E1506" t="inlineStr">
        <is>
          <t>RAGUNDA</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13336-2024</t>
        </is>
      </c>
      <c r="B1507" s="1" t="n">
        <v>45387</v>
      </c>
      <c r="C1507" s="1" t="n">
        <v>45835</v>
      </c>
      <c r="D1507" t="inlineStr">
        <is>
          <t>JÄMTLANDS LÄN</t>
        </is>
      </c>
      <c r="E1507" t="inlineStr">
        <is>
          <t>RAGUNDA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13322-2024</t>
        </is>
      </c>
      <c r="B1508" s="1" t="n">
        <v>45386</v>
      </c>
      <c r="C1508" s="1" t="n">
        <v>45835</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13334-2024</t>
        </is>
      </c>
      <c r="B1509" s="1" t="n">
        <v>45386</v>
      </c>
      <c r="C1509" s="1" t="n">
        <v>45835</v>
      </c>
      <c r="D1509" t="inlineStr">
        <is>
          <t>JÄMTLANDS LÄN</t>
        </is>
      </c>
      <c r="E1509" t="inlineStr">
        <is>
          <t>RAGUNDA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13547-2024</t>
        </is>
      </c>
      <c r="B1510" s="1" t="n">
        <v>45388</v>
      </c>
      <c r="C1510" s="1" t="n">
        <v>45835</v>
      </c>
      <c r="D1510" t="inlineStr">
        <is>
          <t>JÄMTLANDS LÄN</t>
        </is>
      </c>
      <c r="E1510" t="inlineStr">
        <is>
          <t>RAGUNDA</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13628-2024</t>
        </is>
      </c>
      <c r="B1511" s="1" t="n">
        <v>45387</v>
      </c>
      <c r="C1511" s="1" t="n">
        <v>45835</v>
      </c>
      <c r="D1511" t="inlineStr">
        <is>
          <t>JÄMTLANDS LÄN</t>
        </is>
      </c>
      <c r="E1511" t="inlineStr">
        <is>
          <t>RAGUNDA</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13767-2024</t>
        </is>
      </c>
      <c r="B1512" s="1" t="n">
        <v>45390</v>
      </c>
      <c r="C1512" s="1" t="n">
        <v>45835</v>
      </c>
      <c r="D1512" t="inlineStr">
        <is>
          <t>JÄMTLANDS LÄN</t>
        </is>
      </c>
      <c r="E1512" t="inlineStr">
        <is>
          <t>RAGUNDA</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13935-2024</t>
        </is>
      </c>
      <c r="B1513" s="1" t="n">
        <v>45392</v>
      </c>
      <c r="C1513" s="1" t="n">
        <v>45835</v>
      </c>
      <c r="D1513" t="inlineStr">
        <is>
          <t>JÄMTLANDS LÄN</t>
        </is>
      </c>
      <c r="E1513" t="inlineStr">
        <is>
          <t>RAGUNDA</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14156-2024</t>
        </is>
      </c>
      <c r="B1514" s="1" t="n">
        <v>45392</v>
      </c>
      <c r="C1514" s="1" t="n">
        <v>45835</v>
      </c>
      <c r="D1514" t="inlineStr">
        <is>
          <t>JÄMTLANDS LÄN</t>
        </is>
      </c>
      <c r="E1514" t="inlineStr">
        <is>
          <t>RAGUNDA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14016-2024</t>
        </is>
      </c>
      <c r="B1515" s="1" t="n">
        <v>45392</v>
      </c>
      <c r="C1515" s="1" t="n">
        <v>45835</v>
      </c>
      <c r="D1515" t="inlineStr">
        <is>
          <t>JÄMTLANDS LÄN</t>
        </is>
      </c>
      <c r="E1515" t="inlineStr">
        <is>
          <t>RAGUNDA</t>
        </is>
      </c>
      <c r="F1515" t="inlineStr">
        <is>
          <t>Kyrkan</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14151-2024</t>
        </is>
      </c>
      <c r="B1516" s="1" t="n">
        <v>45393</v>
      </c>
      <c r="C1516" s="1" t="n">
        <v>45835</v>
      </c>
      <c r="D1516" t="inlineStr">
        <is>
          <t>JÄMTLANDS LÄN</t>
        </is>
      </c>
      <c r="E1516" t="inlineStr">
        <is>
          <t>RAGUNDA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14158-2024</t>
        </is>
      </c>
      <c r="B1517" s="1" t="n">
        <v>45392</v>
      </c>
      <c r="C1517" s="1" t="n">
        <v>45835</v>
      </c>
      <c r="D1517" t="inlineStr">
        <is>
          <t>JÄMTLANDS LÄN</t>
        </is>
      </c>
      <c r="E1517" t="inlineStr">
        <is>
          <t>RAGUNDA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14157-2024</t>
        </is>
      </c>
      <c r="B1518" s="1" t="n">
        <v>45393</v>
      </c>
      <c r="C1518" s="1" t="n">
        <v>45835</v>
      </c>
      <c r="D1518" t="inlineStr">
        <is>
          <t>JÄMTLANDS LÄN</t>
        </is>
      </c>
      <c r="E1518" t="inlineStr">
        <is>
          <t>RAGUNDA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14368-2024</t>
        </is>
      </c>
      <c r="B1519" s="1" t="n">
        <v>45394</v>
      </c>
      <c r="C1519" s="1" t="n">
        <v>45835</v>
      </c>
      <c r="D1519" t="inlineStr">
        <is>
          <t>JÄMTLANDS LÄN</t>
        </is>
      </c>
      <c r="E1519" t="inlineStr">
        <is>
          <t>RAGUNDA</t>
        </is>
      </c>
      <c r="F1519" t="inlineStr">
        <is>
          <t>Naturvårdsverket</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14369-2024</t>
        </is>
      </c>
      <c r="B1520" s="1" t="n">
        <v>45394</v>
      </c>
      <c r="C1520" s="1" t="n">
        <v>45835</v>
      </c>
      <c r="D1520" t="inlineStr">
        <is>
          <t>JÄMTLANDS LÄN</t>
        </is>
      </c>
      <c r="E1520" t="inlineStr">
        <is>
          <t>RAGUNDA</t>
        </is>
      </c>
      <c r="F1520" t="inlineStr">
        <is>
          <t>Naturvårdsverket</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14566-2024</t>
        </is>
      </c>
      <c r="B1521" s="1" t="n">
        <v>45395</v>
      </c>
      <c r="C1521" s="1" t="n">
        <v>45835</v>
      </c>
      <c r="D1521" t="inlineStr">
        <is>
          <t>JÄMTLANDS LÄN</t>
        </is>
      </c>
      <c r="E1521" t="inlineStr">
        <is>
          <t>RAGUNDA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14540-2024</t>
        </is>
      </c>
      <c r="B1522" s="1" t="n">
        <v>45394</v>
      </c>
      <c r="C1522" s="1" t="n">
        <v>45835</v>
      </c>
      <c r="D1522" t="inlineStr">
        <is>
          <t>JÄMTLANDS LÄN</t>
        </is>
      </c>
      <c r="E1522" t="inlineStr">
        <is>
          <t>RAGUNDA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14813-2024</t>
        </is>
      </c>
      <c r="B1523" s="1" t="n">
        <v>45398</v>
      </c>
      <c r="C1523" s="1" t="n">
        <v>45835</v>
      </c>
      <c r="D1523" t="inlineStr">
        <is>
          <t>JÄMTLANDS LÄN</t>
        </is>
      </c>
      <c r="E1523" t="inlineStr">
        <is>
          <t>RAGUNDA</t>
        </is>
      </c>
      <c r="F1523" t="inlineStr">
        <is>
          <t>SCA</t>
        </is>
      </c>
      <c r="G1523" t="n">
        <v>13.7</v>
      </c>
      <c r="H1523" t="n">
        <v>0</v>
      </c>
      <c r="I1523" t="n">
        <v>0</v>
      </c>
      <c r="J1523" t="n">
        <v>0</v>
      </c>
      <c r="K1523" t="n">
        <v>0</v>
      </c>
      <c r="L1523" t="n">
        <v>0</v>
      </c>
      <c r="M1523" t="n">
        <v>0</v>
      </c>
      <c r="N1523" t="n">
        <v>0</v>
      </c>
      <c r="O1523" t="n">
        <v>0</v>
      </c>
      <c r="P1523" t="n">
        <v>0</v>
      </c>
      <c r="Q1523" t="n">
        <v>0</v>
      </c>
      <c r="R1523" s="2" t="inlineStr"/>
    </row>
    <row r="1524" ht="15" customHeight="1">
      <c r="A1524" t="inlineStr">
        <is>
          <t>A 15583-2024</t>
        </is>
      </c>
      <c r="B1524" s="1" t="n">
        <v>45401</v>
      </c>
      <c r="C1524" s="1" t="n">
        <v>45835</v>
      </c>
      <c r="D1524" t="inlineStr">
        <is>
          <t>JÄMTLANDS LÄN</t>
        </is>
      </c>
      <c r="E1524" t="inlineStr">
        <is>
          <t>RAGUNDA</t>
        </is>
      </c>
      <c r="F1524" t="inlineStr">
        <is>
          <t>Kommuner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15611-2024</t>
        </is>
      </c>
      <c r="B1525" s="1" t="n">
        <v>45401</v>
      </c>
      <c r="C1525" s="1" t="n">
        <v>45835</v>
      </c>
      <c r="D1525" t="inlineStr">
        <is>
          <t>JÄMTLANDS LÄN</t>
        </is>
      </c>
      <c r="E1525" t="inlineStr">
        <is>
          <t>RAGUNDA</t>
        </is>
      </c>
      <c r="F1525" t="inlineStr">
        <is>
          <t>SCA</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15581-2024</t>
        </is>
      </c>
      <c r="B1526" s="1" t="n">
        <v>45401</v>
      </c>
      <c r="C1526" s="1" t="n">
        <v>45835</v>
      </c>
      <c r="D1526" t="inlineStr">
        <is>
          <t>JÄMTLANDS LÄN</t>
        </is>
      </c>
      <c r="E1526" t="inlineStr">
        <is>
          <t>RAGUNDA</t>
        </is>
      </c>
      <c r="F1526" t="inlineStr">
        <is>
          <t>Kommuner</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15585-2024</t>
        </is>
      </c>
      <c r="B1527" s="1" t="n">
        <v>45401</v>
      </c>
      <c r="C1527" s="1" t="n">
        <v>45835</v>
      </c>
      <c r="D1527" t="inlineStr">
        <is>
          <t>JÄMTLANDS LÄN</t>
        </is>
      </c>
      <c r="E1527" t="inlineStr">
        <is>
          <t>RAGUNDA</t>
        </is>
      </c>
      <c r="F1527" t="inlineStr">
        <is>
          <t>Kommuner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15864-2024</t>
        </is>
      </c>
      <c r="B1528" s="1" t="n">
        <v>45405</v>
      </c>
      <c r="C1528" s="1" t="n">
        <v>45835</v>
      </c>
      <c r="D1528" t="inlineStr">
        <is>
          <t>JÄMTLANDS LÄN</t>
        </is>
      </c>
      <c r="E1528" t="inlineStr">
        <is>
          <t>RAGUNDA</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15842-2024</t>
        </is>
      </c>
      <c r="B1529" s="1" t="n">
        <v>45405</v>
      </c>
      <c r="C1529" s="1" t="n">
        <v>45835</v>
      </c>
      <c r="D1529" t="inlineStr">
        <is>
          <t>JÄMTLANDS LÄN</t>
        </is>
      </c>
      <c r="E1529" t="inlineStr">
        <is>
          <t>RAGUNDA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16698-2024</t>
        </is>
      </c>
      <c r="B1530" s="1" t="n">
        <v>45409</v>
      </c>
      <c r="C1530" s="1" t="n">
        <v>45835</v>
      </c>
      <c r="D1530" t="inlineStr">
        <is>
          <t>JÄMTLANDS LÄN</t>
        </is>
      </c>
      <c r="E1530" t="inlineStr">
        <is>
          <t>RAGUNDA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16982-2024</t>
        </is>
      </c>
      <c r="B1531" s="1" t="n">
        <v>45412</v>
      </c>
      <c r="C1531" s="1" t="n">
        <v>45835</v>
      </c>
      <c r="D1531" t="inlineStr">
        <is>
          <t>JÄMTLANDS LÄN</t>
        </is>
      </c>
      <c r="E1531" t="inlineStr">
        <is>
          <t>RAGUNDA</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17208-2024</t>
        </is>
      </c>
      <c r="B1532" s="1" t="n">
        <v>45414</v>
      </c>
      <c r="C1532" s="1" t="n">
        <v>45835</v>
      </c>
      <c r="D1532" t="inlineStr">
        <is>
          <t>JÄMTLANDS LÄN</t>
        </is>
      </c>
      <c r="E1532" t="inlineStr">
        <is>
          <t>RAGUNDA</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17443-2024</t>
        </is>
      </c>
      <c r="B1533" s="1" t="n">
        <v>45415</v>
      </c>
      <c r="C1533" s="1" t="n">
        <v>45835</v>
      </c>
      <c r="D1533" t="inlineStr">
        <is>
          <t>JÄMTLANDS LÄN</t>
        </is>
      </c>
      <c r="E1533" t="inlineStr">
        <is>
          <t>RAGUNDA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17521-2024</t>
        </is>
      </c>
      <c r="B1534" s="1" t="n">
        <v>45415</v>
      </c>
      <c r="C1534" s="1" t="n">
        <v>45835</v>
      </c>
      <c r="D1534" t="inlineStr">
        <is>
          <t>JÄMTLANDS LÄN</t>
        </is>
      </c>
      <c r="E1534" t="inlineStr">
        <is>
          <t>RAGUNDA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17595-2024</t>
        </is>
      </c>
      <c r="B1535" s="1" t="n">
        <v>45416</v>
      </c>
      <c r="C1535" s="1" t="n">
        <v>45835</v>
      </c>
      <c r="D1535" t="inlineStr">
        <is>
          <t>JÄMTLANDS LÄN</t>
        </is>
      </c>
      <c r="E1535" t="inlineStr">
        <is>
          <t>RAGUNDA</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18225-2024</t>
        </is>
      </c>
      <c r="B1536" s="1" t="n">
        <v>45420</v>
      </c>
      <c r="C1536" s="1" t="n">
        <v>45835</v>
      </c>
      <c r="D1536" t="inlineStr">
        <is>
          <t>JÄMTLANDS LÄN</t>
        </is>
      </c>
      <c r="E1536" t="inlineStr">
        <is>
          <t>RAGUNDA</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18615-2024</t>
        </is>
      </c>
      <c r="B1537" s="1" t="n">
        <v>45426</v>
      </c>
      <c r="C1537" s="1" t="n">
        <v>45835</v>
      </c>
      <c r="D1537" t="inlineStr">
        <is>
          <t>JÄMTLANDS LÄN</t>
        </is>
      </c>
      <c r="E1537" t="inlineStr">
        <is>
          <t>RAGUNDA</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18631-2024</t>
        </is>
      </c>
      <c r="B1538" s="1" t="n">
        <v>45426</v>
      </c>
      <c r="C1538" s="1" t="n">
        <v>45835</v>
      </c>
      <c r="D1538" t="inlineStr">
        <is>
          <t>JÄMTLANDS LÄN</t>
        </is>
      </c>
      <c r="E1538" t="inlineStr">
        <is>
          <t>RAGUNDA</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18635-2024</t>
        </is>
      </c>
      <c r="B1539" s="1" t="n">
        <v>45426</v>
      </c>
      <c r="C1539" s="1" t="n">
        <v>45835</v>
      </c>
      <c r="D1539" t="inlineStr">
        <is>
          <t>JÄMTLANDS LÄN</t>
        </is>
      </c>
      <c r="E1539" t="inlineStr">
        <is>
          <t>RAGUNDA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18612-2024</t>
        </is>
      </c>
      <c r="B1540" s="1" t="n">
        <v>45426</v>
      </c>
      <c r="C1540" s="1" t="n">
        <v>45835</v>
      </c>
      <c r="D1540" t="inlineStr">
        <is>
          <t>JÄMTLANDS LÄN</t>
        </is>
      </c>
      <c r="E1540" t="inlineStr">
        <is>
          <t>RAGUNDA</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18636-2024</t>
        </is>
      </c>
      <c r="B1541" s="1" t="n">
        <v>45426</v>
      </c>
      <c r="C1541" s="1" t="n">
        <v>45835</v>
      </c>
      <c r="D1541" t="inlineStr">
        <is>
          <t>JÄMTLANDS LÄN</t>
        </is>
      </c>
      <c r="E1541" t="inlineStr">
        <is>
          <t>RAGUNDA</t>
        </is>
      </c>
      <c r="F1541" t="inlineStr">
        <is>
          <t>SCA</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18610-2024</t>
        </is>
      </c>
      <c r="B1542" s="1" t="n">
        <v>45426</v>
      </c>
      <c r="C1542" s="1" t="n">
        <v>45835</v>
      </c>
      <c r="D1542" t="inlineStr">
        <is>
          <t>JÄMTLANDS LÄN</t>
        </is>
      </c>
      <c r="E1542" t="inlineStr">
        <is>
          <t>RAGUNDA</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18614-2024</t>
        </is>
      </c>
      <c r="B1543" s="1" t="n">
        <v>45426</v>
      </c>
      <c r="C1543" s="1" t="n">
        <v>45835</v>
      </c>
      <c r="D1543" t="inlineStr">
        <is>
          <t>JÄMTLANDS LÄN</t>
        </is>
      </c>
      <c r="E1543" t="inlineStr">
        <is>
          <t>RAGUNDA</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18782-2024</t>
        </is>
      </c>
      <c r="B1544" s="1" t="n">
        <v>45426</v>
      </c>
      <c r="C1544" s="1" t="n">
        <v>45835</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18777-2024</t>
        </is>
      </c>
      <c r="B1545" s="1" t="n">
        <v>45426</v>
      </c>
      <c r="C1545" s="1" t="n">
        <v>45835</v>
      </c>
      <c r="D1545" t="inlineStr">
        <is>
          <t>JÄMTLANDS LÄN</t>
        </is>
      </c>
      <c r="E1545" t="inlineStr">
        <is>
          <t>RAGUNDA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18781-2024</t>
        </is>
      </c>
      <c r="B1546" s="1" t="n">
        <v>45426</v>
      </c>
      <c r="C1546" s="1" t="n">
        <v>45835</v>
      </c>
      <c r="D1546" t="inlineStr">
        <is>
          <t>JÄMTLANDS LÄN</t>
        </is>
      </c>
      <c r="E1546" t="inlineStr">
        <is>
          <t>RAGUNDA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18778-2024</t>
        </is>
      </c>
      <c r="B1547" s="1" t="n">
        <v>45426</v>
      </c>
      <c r="C1547" s="1" t="n">
        <v>45835</v>
      </c>
      <c r="D1547" t="inlineStr">
        <is>
          <t>JÄMTLANDS LÄN</t>
        </is>
      </c>
      <c r="E1547" t="inlineStr">
        <is>
          <t>RAGUNDA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19089-2024</t>
        </is>
      </c>
      <c r="B1548" s="1" t="n">
        <v>45428</v>
      </c>
      <c r="C1548" s="1" t="n">
        <v>45835</v>
      </c>
      <c r="D1548" t="inlineStr">
        <is>
          <t>JÄMTLANDS LÄN</t>
        </is>
      </c>
      <c r="E1548" t="inlineStr">
        <is>
          <t>RAGUNDA</t>
        </is>
      </c>
      <c r="F1548" t="inlineStr">
        <is>
          <t>SCA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19329-2024</t>
        </is>
      </c>
      <c r="B1549" s="1" t="n">
        <v>45429</v>
      </c>
      <c r="C1549" s="1" t="n">
        <v>45835</v>
      </c>
      <c r="D1549" t="inlineStr">
        <is>
          <t>JÄMTLANDS LÄN</t>
        </is>
      </c>
      <c r="E1549" t="inlineStr">
        <is>
          <t>RAGUNDA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19335-2024</t>
        </is>
      </c>
      <c r="B1550" s="1" t="n">
        <v>45429</v>
      </c>
      <c r="C1550" s="1" t="n">
        <v>45835</v>
      </c>
      <c r="D1550" t="inlineStr">
        <is>
          <t>JÄMTLANDS LÄN</t>
        </is>
      </c>
      <c r="E1550" t="inlineStr">
        <is>
          <t>RAGUNDA</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19419-2024</t>
        </is>
      </c>
      <c r="B1551" s="1" t="n">
        <v>45429</v>
      </c>
      <c r="C1551" s="1" t="n">
        <v>45835</v>
      </c>
      <c r="D1551" t="inlineStr">
        <is>
          <t>JÄMTLANDS LÄN</t>
        </is>
      </c>
      <c r="E1551" t="inlineStr">
        <is>
          <t>RAGUNDA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19486-2024</t>
        </is>
      </c>
      <c r="B1552" s="1" t="n">
        <v>45429</v>
      </c>
      <c r="C1552" s="1" t="n">
        <v>45835</v>
      </c>
      <c r="D1552" t="inlineStr">
        <is>
          <t>JÄMTLANDS LÄN</t>
        </is>
      </c>
      <c r="E1552" t="inlineStr">
        <is>
          <t>RAGUNDA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19850-2024</t>
        </is>
      </c>
      <c r="B1553" s="1" t="n">
        <v>45433</v>
      </c>
      <c r="C1553" s="1" t="n">
        <v>45835</v>
      </c>
      <c r="D1553" t="inlineStr">
        <is>
          <t>JÄMTLANDS LÄN</t>
        </is>
      </c>
      <c r="E1553" t="inlineStr">
        <is>
          <t>RAGUNDA</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19897-2024</t>
        </is>
      </c>
      <c r="B1554" s="1" t="n">
        <v>45433</v>
      </c>
      <c r="C1554" s="1" t="n">
        <v>45835</v>
      </c>
      <c r="D1554" t="inlineStr">
        <is>
          <t>JÄMTLANDS LÄN</t>
        </is>
      </c>
      <c r="E1554" t="inlineStr">
        <is>
          <t>RAGUNDA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19997-2024</t>
        </is>
      </c>
      <c r="B1555" s="1" t="n">
        <v>45434</v>
      </c>
      <c r="C1555" s="1" t="n">
        <v>45835</v>
      </c>
      <c r="D1555" t="inlineStr">
        <is>
          <t>JÄMTLANDS LÄN</t>
        </is>
      </c>
      <c r="E1555" t="inlineStr">
        <is>
          <t>RAGUNDA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20426-2024</t>
        </is>
      </c>
      <c r="B1556" s="1" t="n">
        <v>45435</v>
      </c>
      <c r="C1556" s="1" t="n">
        <v>45835</v>
      </c>
      <c r="D1556" t="inlineStr">
        <is>
          <t>JÄMTLANDS LÄN</t>
        </is>
      </c>
      <c r="E1556" t="inlineStr">
        <is>
          <t>RAGUNDA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20363-2024</t>
        </is>
      </c>
      <c r="B1557" s="1" t="n">
        <v>45435</v>
      </c>
      <c r="C1557" s="1" t="n">
        <v>45835</v>
      </c>
      <c r="D1557" t="inlineStr">
        <is>
          <t>JÄMTLANDS LÄN</t>
        </is>
      </c>
      <c r="E1557" t="inlineStr">
        <is>
          <t>RAGUNDA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20770-2024</t>
        </is>
      </c>
      <c r="B1558" s="1" t="n">
        <v>45437</v>
      </c>
      <c r="C1558" s="1" t="n">
        <v>45835</v>
      </c>
      <c r="D1558" t="inlineStr">
        <is>
          <t>JÄMTLANDS LÄN</t>
        </is>
      </c>
      <c r="E1558" t="inlineStr">
        <is>
          <t>RAGUNDA</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20773-2024</t>
        </is>
      </c>
      <c r="B1559" s="1" t="n">
        <v>45437</v>
      </c>
      <c r="C1559" s="1" t="n">
        <v>45835</v>
      </c>
      <c r="D1559" t="inlineStr">
        <is>
          <t>JÄMTLANDS LÄN</t>
        </is>
      </c>
      <c r="E1559" t="inlineStr">
        <is>
          <t>RAGUNDA</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20772-2024</t>
        </is>
      </c>
      <c r="B1560" s="1" t="n">
        <v>45437</v>
      </c>
      <c r="C1560" s="1" t="n">
        <v>45835</v>
      </c>
      <c r="D1560" t="inlineStr">
        <is>
          <t>JÄMTLANDS LÄN</t>
        </is>
      </c>
      <c r="E1560" t="inlineStr">
        <is>
          <t>RAGUNDA</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21082-2024</t>
        </is>
      </c>
      <c r="B1561" s="1" t="n">
        <v>45440</v>
      </c>
      <c r="C1561" s="1" t="n">
        <v>45835</v>
      </c>
      <c r="D1561" t="inlineStr">
        <is>
          <t>JÄMTLANDS LÄN</t>
        </is>
      </c>
      <c r="E1561" t="inlineStr">
        <is>
          <t>RAGUNDA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21083-2024</t>
        </is>
      </c>
      <c r="B1562" s="1" t="n">
        <v>45440</v>
      </c>
      <c r="C1562" s="1" t="n">
        <v>45835</v>
      </c>
      <c r="D1562" t="inlineStr">
        <is>
          <t>JÄMTLANDS LÄN</t>
        </is>
      </c>
      <c r="E1562" t="inlineStr">
        <is>
          <t>RAGUNDA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21105-2024</t>
        </is>
      </c>
      <c r="B1563" s="1" t="n">
        <v>45440</v>
      </c>
      <c r="C1563" s="1" t="n">
        <v>45835</v>
      </c>
      <c r="D1563" t="inlineStr">
        <is>
          <t>JÄMTLANDS LÄN</t>
        </is>
      </c>
      <c r="E1563" t="inlineStr">
        <is>
          <t>RAGUNDA</t>
        </is>
      </c>
      <c r="F1563" t="inlineStr">
        <is>
          <t>SCA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21401-2024</t>
        </is>
      </c>
      <c r="B1564" s="1" t="n">
        <v>45441</v>
      </c>
      <c r="C1564" s="1" t="n">
        <v>45835</v>
      </c>
      <c r="D1564" t="inlineStr">
        <is>
          <t>JÄMTLANDS LÄN</t>
        </is>
      </c>
      <c r="E1564" t="inlineStr">
        <is>
          <t>RAGUNDA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21524-2024</t>
        </is>
      </c>
      <c r="B1565" s="1" t="n">
        <v>45441</v>
      </c>
      <c r="C1565" s="1" t="n">
        <v>45835</v>
      </c>
      <c r="D1565" t="inlineStr">
        <is>
          <t>JÄMTLANDS LÄN</t>
        </is>
      </c>
      <c r="E1565" t="inlineStr">
        <is>
          <t>RAGUNDA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21853-2024</t>
        </is>
      </c>
      <c r="B1566" s="1" t="n">
        <v>45443</v>
      </c>
      <c r="C1566" s="1" t="n">
        <v>45835</v>
      </c>
      <c r="D1566" t="inlineStr">
        <is>
          <t>JÄMTLANDS LÄN</t>
        </is>
      </c>
      <c r="E1566" t="inlineStr">
        <is>
          <t>RAGUNDA</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22412-2024</t>
        </is>
      </c>
      <c r="B1567" s="1" t="n">
        <v>45446</v>
      </c>
      <c r="C1567" s="1" t="n">
        <v>45835</v>
      </c>
      <c r="D1567" t="inlineStr">
        <is>
          <t>JÄMTLANDS LÄN</t>
        </is>
      </c>
      <c r="E1567" t="inlineStr">
        <is>
          <t>RAGUNDA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22482-2024</t>
        </is>
      </c>
      <c r="B1568" s="1" t="n">
        <v>45447</v>
      </c>
      <c r="C1568" s="1" t="n">
        <v>45835</v>
      </c>
      <c r="D1568" t="inlineStr">
        <is>
          <t>JÄMTLANDS LÄN</t>
        </is>
      </c>
      <c r="E1568" t="inlineStr">
        <is>
          <t>RAGUNDA</t>
        </is>
      </c>
      <c r="F1568" t="inlineStr">
        <is>
          <t>SCA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22311-2024</t>
        </is>
      </c>
      <c r="B1569" s="1" t="n">
        <v>45446</v>
      </c>
      <c r="C1569" s="1" t="n">
        <v>45835</v>
      </c>
      <c r="D1569" t="inlineStr">
        <is>
          <t>JÄMTLANDS LÄN</t>
        </is>
      </c>
      <c r="E1569" t="inlineStr">
        <is>
          <t>RAGUNDA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22948-2024</t>
        </is>
      </c>
      <c r="B1570" s="1" t="n">
        <v>45449</v>
      </c>
      <c r="C1570" s="1" t="n">
        <v>45835</v>
      </c>
      <c r="D1570" t="inlineStr">
        <is>
          <t>JÄMTLANDS LÄN</t>
        </is>
      </c>
      <c r="E1570" t="inlineStr">
        <is>
          <t>RAGUNDA</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22941-2024</t>
        </is>
      </c>
      <c r="B1571" s="1" t="n">
        <v>45449</v>
      </c>
      <c r="C1571" s="1" t="n">
        <v>45835</v>
      </c>
      <c r="D1571" t="inlineStr">
        <is>
          <t>JÄMTLANDS LÄN</t>
        </is>
      </c>
      <c r="E1571" t="inlineStr">
        <is>
          <t>RAGUNDA</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22951-2024</t>
        </is>
      </c>
      <c r="B1572" s="1" t="n">
        <v>45449</v>
      </c>
      <c r="C1572" s="1" t="n">
        <v>45835</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23223-2024</t>
        </is>
      </c>
      <c r="B1573" s="1" t="n">
        <v>45453</v>
      </c>
      <c r="C1573" s="1" t="n">
        <v>45835</v>
      </c>
      <c r="D1573" t="inlineStr">
        <is>
          <t>JÄMTLANDS LÄN</t>
        </is>
      </c>
      <c r="E1573" t="inlineStr">
        <is>
          <t>RAGUNDA</t>
        </is>
      </c>
      <c r="F1573" t="inlineStr">
        <is>
          <t>SCA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23287-2024</t>
        </is>
      </c>
      <c r="B1574" s="1" t="n">
        <v>45453</v>
      </c>
      <c r="C1574" s="1" t="n">
        <v>45835</v>
      </c>
      <c r="D1574" t="inlineStr">
        <is>
          <t>JÄMTLANDS LÄN</t>
        </is>
      </c>
      <c r="E1574" t="inlineStr">
        <is>
          <t>RAGUNDA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23303-2024</t>
        </is>
      </c>
      <c r="B1575" s="1" t="n">
        <v>45453</v>
      </c>
      <c r="C1575" s="1" t="n">
        <v>45835</v>
      </c>
      <c r="D1575" t="inlineStr">
        <is>
          <t>JÄMTLANDS LÄN</t>
        </is>
      </c>
      <c r="E1575" t="inlineStr">
        <is>
          <t>RAGUNDA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23312-2024</t>
        </is>
      </c>
      <c r="B1576" s="1" t="n">
        <v>45453</v>
      </c>
      <c r="C1576" s="1" t="n">
        <v>45835</v>
      </c>
      <c r="D1576" t="inlineStr">
        <is>
          <t>JÄMTLANDS LÄN</t>
        </is>
      </c>
      <c r="E1576" t="inlineStr">
        <is>
          <t>RAGUNDA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23528-2024</t>
        </is>
      </c>
      <c r="B1577" s="1" t="n">
        <v>45454</v>
      </c>
      <c r="C1577" s="1" t="n">
        <v>45835</v>
      </c>
      <c r="D1577" t="inlineStr">
        <is>
          <t>JÄMTLANDS LÄN</t>
        </is>
      </c>
      <c r="E1577" t="inlineStr">
        <is>
          <t>RAGUNDA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23535-2024</t>
        </is>
      </c>
      <c r="B1578" s="1" t="n">
        <v>45454</v>
      </c>
      <c r="C1578" s="1" t="n">
        <v>45835</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23567-2024</t>
        </is>
      </c>
      <c r="B1579" s="1" t="n">
        <v>45454</v>
      </c>
      <c r="C1579" s="1" t="n">
        <v>45835</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23727-2024</t>
        </is>
      </c>
      <c r="B1580" s="1" t="n">
        <v>45455</v>
      </c>
      <c r="C1580" s="1" t="n">
        <v>45835</v>
      </c>
      <c r="D1580" t="inlineStr">
        <is>
          <t>JÄMTLANDS LÄN</t>
        </is>
      </c>
      <c r="E1580" t="inlineStr">
        <is>
          <t>RAGUNDA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23734-2024</t>
        </is>
      </c>
      <c r="B1581" s="1" t="n">
        <v>45455</v>
      </c>
      <c r="C1581" s="1" t="n">
        <v>45835</v>
      </c>
      <c r="D1581" t="inlineStr">
        <is>
          <t>JÄMTLANDS LÄN</t>
        </is>
      </c>
      <c r="E1581" t="inlineStr">
        <is>
          <t>RAGUNDA</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23726-2024</t>
        </is>
      </c>
      <c r="B1582" s="1" t="n">
        <v>45455</v>
      </c>
      <c r="C1582" s="1" t="n">
        <v>45835</v>
      </c>
      <c r="D1582" t="inlineStr">
        <is>
          <t>JÄMTLANDS LÄN</t>
        </is>
      </c>
      <c r="E1582" t="inlineStr">
        <is>
          <t>RAGUNDA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24207-2024</t>
        </is>
      </c>
      <c r="B1583" s="1" t="n">
        <v>45457</v>
      </c>
      <c r="C1583" s="1" t="n">
        <v>45835</v>
      </c>
      <c r="D1583" t="inlineStr">
        <is>
          <t>JÄMTLANDS LÄN</t>
        </is>
      </c>
      <c r="E1583" t="inlineStr">
        <is>
          <t>RAGUNDA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24197-2024</t>
        </is>
      </c>
      <c r="B1584" s="1" t="n">
        <v>45457</v>
      </c>
      <c r="C1584" s="1" t="n">
        <v>45835</v>
      </c>
      <c r="D1584" t="inlineStr">
        <is>
          <t>JÄMTLANDS LÄN</t>
        </is>
      </c>
      <c r="E1584" t="inlineStr">
        <is>
          <t>RAGUNDA</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24196-2024</t>
        </is>
      </c>
      <c r="B1585" s="1" t="n">
        <v>45457</v>
      </c>
      <c r="C1585" s="1" t="n">
        <v>45835</v>
      </c>
      <c r="D1585" t="inlineStr">
        <is>
          <t>JÄMTLANDS LÄN</t>
        </is>
      </c>
      <c r="E1585" t="inlineStr">
        <is>
          <t>RAGUNDA</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24224-2024</t>
        </is>
      </c>
      <c r="B1586" s="1" t="n">
        <v>45457</v>
      </c>
      <c r="C1586" s="1" t="n">
        <v>45835</v>
      </c>
      <c r="D1586" t="inlineStr">
        <is>
          <t>JÄMTLANDS LÄN</t>
        </is>
      </c>
      <c r="E1586" t="inlineStr">
        <is>
          <t>RAGUNDA</t>
        </is>
      </c>
      <c r="G1586" t="n">
        <v>31.5</v>
      </c>
      <c r="H1586" t="n">
        <v>0</v>
      </c>
      <c r="I1586" t="n">
        <v>0</v>
      </c>
      <c r="J1586" t="n">
        <v>0</v>
      </c>
      <c r="K1586" t="n">
        <v>0</v>
      </c>
      <c r="L1586" t="n">
        <v>0</v>
      </c>
      <c r="M1586" t="n">
        <v>0</v>
      </c>
      <c r="N1586" t="n">
        <v>0</v>
      </c>
      <c r="O1586" t="n">
        <v>0</v>
      </c>
      <c r="P1586" t="n">
        <v>0</v>
      </c>
      <c r="Q1586" t="n">
        <v>0</v>
      </c>
      <c r="R1586" s="2" t="inlineStr"/>
    </row>
    <row r="1587" ht="15" customHeight="1">
      <c r="A1587" t="inlineStr">
        <is>
          <t>A 24441-2024</t>
        </is>
      </c>
      <c r="B1587" s="1" t="n">
        <v>45458</v>
      </c>
      <c r="C1587" s="1" t="n">
        <v>45835</v>
      </c>
      <c r="D1587" t="inlineStr">
        <is>
          <t>JÄMTLANDS LÄN</t>
        </is>
      </c>
      <c r="E1587" t="inlineStr">
        <is>
          <t>RAGUNDA</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25366-2024</t>
        </is>
      </c>
      <c r="B1588" s="1" t="n">
        <v>45463</v>
      </c>
      <c r="C1588" s="1" t="n">
        <v>45835</v>
      </c>
      <c r="D1588" t="inlineStr">
        <is>
          <t>JÄMTLANDS LÄN</t>
        </is>
      </c>
      <c r="E1588" t="inlineStr">
        <is>
          <t>RAGUNDA</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25193-2024</t>
        </is>
      </c>
      <c r="B1589" s="1" t="n">
        <v>45462</v>
      </c>
      <c r="C1589" s="1" t="n">
        <v>45835</v>
      </c>
      <c r="D1589" t="inlineStr">
        <is>
          <t>JÄMTLANDS LÄN</t>
        </is>
      </c>
      <c r="E1589" t="inlineStr">
        <is>
          <t>RAGUNDA</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25353-2024</t>
        </is>
      </c>
      <c r="B1590" s="1" t="n">
        <v>45463</v>
      </c>
      <c r="C1590" s="1" t="n">
        <v>45835</v>
      </c>
      <c r="D1590" t="inlineStr">
        <is>
          <t>JÄMTLANDS LÄN</t>
        </is>
      </c>
      <c r="E1590" t="inlineStr">
        <is>
          <t>RAGUNDA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25683-2024</t>
        </is>
      </c>
      <c r="B1591" s="1" t="n">
        <v>45464</v>
      </c>
      <c r="C1591" s="1" t="n">
        <v>45835</v>
      </c>
      <c r="D1591" t="inlineStr">
        <is>
          <t>JÄMTLANDS LÄN</t>
        </is>
      </c>
      <c r="E1591" t="inlineStr">
        <is>
          <t>RAGUNDA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25684-2024</t>
        </is>
      </c>
      <c r="B1592" s="1" t="n">
        <v>45464</v>
      </c>
      <c r="C1592" s="1" t="n">
        <v>45835</v>
      </c>
      <c r="D1592" t="inlineStr">
        <is>
          <t>JÄMTLANDS LÄN</t>
        </is>
      </c>
      <c r="E1592" t="inlineStr">
        <is>
          <t>RAGUNDA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25720-2024</t>
        </is>
      </c>
      <c r="B1593" s="1" t="n">
        <v>45464</v>
      </c>
      <c r="C1593" s="1" t="n">
        <v>45835</v>
      </c>
      <c r="D1593" t="inlineStr">
        <is>
          <t>JÄMTLANDS LÄN</t>
        </is>
      </c>
      <c r="E1593" t="inlineStr">
        <is>
          <t>RAGUNDA</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25685-2024</t>
        </is>
      </c>
      <c r="B1594" s="1" t="n">
        <v>45464</v>
      </c>
      <c r="C1594" s="1" t="n">
        <v>45835</v>
      </c>
      <c r="D1594" t="inlineStr">
        <is>
          <t>JÄMTLANDS LÄN</t>
        </is>
      </c>
      <c r="E1594" t="inlineStr">
        <is>
          <t>RAGUNDA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26026-2024</t>
        </is>
      </c>
      <c r="B1595" s="1" t="n">
        <v>45468</v>
      </c>
      <c r="C1595" s="1" t="n">
        <v>45835</v>
      </c>
      <c r="D1595" t="inlineStr">
        <is>
          <t>JÄMTLANDS LÄN</t>
        </is>
      </c>
      <c r="E1595" t="inlineStr">
        <is>
          <t>RAGUNDA</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26282-2024</t>
        </is>
      </c>
      <c r="B1596" s="1" t="n">
        <v>45468</v>
      </c>
      <c r="C1596" s="1" t="n">
        <v>45835</v>
      </c>
      <c r="D1596" t="inlineStr">
        <is>
          <t>JÄMTLANDS LÄN</t>
        </is>
      </c>
      <c r="E1596" t="inlineStr">
        <is>
          <t>RAGUNDA</t>
        </is>
      </c>
      <c r="F1596" t="inlineStr">
        <is>
          <t>Kommuner</t>
        </is>
      </c>
      <c r="G1596" t="n">
        <v>20</v>
      </c>
      <c r="H1596" t="n">
        <v>0</v>
      </c>
      <c r="I1596" t="n">
        <v>0</v>
      </c>
      <c r="J1596" t="n">
        <v>0</v>
      </c>
      <c r="K1596" t="n">
        <v>0</v>
      </c>
      <c r="L1596" t="n">
        <v>0</v>
      </c>
      <c r="M1596" t="n">
        <v>0</v>
      </c>
      <c r="N1596" t="n">
        <v>0</v>
      </c>
      <c r="O1596" t="n">
        <v>0</v>
      </c>
      <c r="P1596" t="n">
        <v>0</v>
      </c>
      <c r="Q1596" t="n">
        <v>0</v>
      </c>
      <c r="R1596" s="2" t="inlineStr"/>
    </row>
    <row r="1597" ht="15" customHeight="1">
      <c r="A1597" t="inlineStr">
        <is>
          <t>A 26300-2024</t>
        </is>
      </c>
      <c r="B1597" s="1" t="n">
        <v>45469</v>
      </c>
      <c r="C1597" s="1" t="n">
        <v>45835</v>
      </c>
      <c r="D1597" t="inlineStr">
        <is>
          <t>JÄMTLANDS LÄN</t>
        </is>
      </c>
      <c r="E1597" t="inlineStr">
        <is>
          <t>RAGUNDA</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26651-2024</t>
        </is>
      </c>
      <c r="B1598" s="1" t="n">
        <v>45470</v>
      </c>
      <c r="C1598" s="1" t="n">
        <v>45835</v>
      </c>
      <c r="D1598" t="inlineStr">
        <is>
          <t>JÄMTLANDS LÄN</t>
        </is>
      </c>
      <c r="E1598" t="inlineStr">
        <is>
          <t>RAGUNDA</t>
        </is>
      </c>
      <c r="F1598" t="inlineStr">
        <is>
          <t>SCA</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26645-2024</t>
        </is>
      </c>
      <c r="B1599" s="1" t="n">
        <v>45470</v>
      </c>
      <c r="C1599" s="1" t="n">
        <v>45835</v>
      </c>
      <c r="D1599" t="inlineStr">
        <is>
          <t>JÄMTLANDS LÄN</t>
        </is>
      </c>
      <c r="E1599" t="inlineStr">
        <is>
          <t>RAGUNDA</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26652-2024</t>
        </is>
      </c>
      <c r="B1600" s="1" t="n">
        <v>45470</v>
      </c>
      <c r="C1600" s="1" t="n">
        <v>45835</v>
      </c>
      <c r="D1600" t="inlineStr">
        <is>
          <t>JÄMTLANDS LÄN</t>
        </is>
      </c>
      <c r="E1600" t="inlineStr">
        <is>
          <t>RAGUNDA</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26768-2024</t>
        </is>
      </c>
      <c r="B1601" s="1" t="n">
        <v>45470</v>
      </c>
      <c r="C1601" s="1" t="n">
        <v>45835</v>
      </c>
      <c r="D1601" t="inlineStr">
        <is>
          <t>JÄMTLANDS LÄN</t>
        </is>
      </c>
      <c r="E1601" t="inlineStr">
        <is>
          <t>RAGUNDA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27307-2024</t>
        </is>
      </c>
      <c r="B1602" s="1" t="n">
        <v>45472</v>
      </c>
      <c r="C1602" s="1" t="n">
        <v>45835</v>
      </c>
      <c r="D1602" t="inlineStr">
        <is>
          <t>JÄMTLANDS LÄN</t>
        </is>
      </c>
      <c r="E1602" t="inlineStr">
        <is>
          <t>RAGUNDA</t>
        </is>
      </c>
      <c r="F1602" t="inlineStr">
        <is>
          <t>SCA</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27499-2024</t>
        </is>
      </c>
      <c r="B1603" s="1" t="n">
        <v>45474</v>
      </c>
      <c r="C1603" s="1" t="n">
        <v>45835</v>
      </c>
      <c r="D1603" t="inlineStr">
        <is>
          <t>JÄMTLANDS LÄN</t>
        </is>
      </c>
      <c r="E1603" t="inlineStr">
        <is>
          <t>RAGUNDA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27647-2024</t>
        </is>
      </c>
      <c r="B1604" s="1" t="n">
        <v>45475</v>
      </c>
      <c r="C1604" s="1" t="n">
        <v>45835</v>
      </c>
      <c r="D1604" t="inlineStr">
        <is>
          <t>JÄMTLANDS LÄN</t>
        </is>
      </c>
      <c r="E1604" t="inlineStr">
        <is>
          <t>RAGUNDA</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27632-2024</t>
        </is>
      </c>
      <c r="B1605" s="1" t="n">
        <v>45475</v>
      </c>
      <c r="C1605" s="1" t="n">
        <v>45835</v>
      </c>
      <c r="D1605" t="inlineStr">
        <is>
          <t>JÄMTLANDS LÄN</t>
        </is>
      </c>
      <c r="E1605" t="inlineStr">
        <is>
          <t>RAGUNDA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27934-2024</t>
        </is>
      </c>
      <c r="B1606" s="1" t="n">
        <v>45476</v>
      </c>
      <c r="C1606" s="1" t="n">
        <v>45835</v>
      </c>
      <c r="D1606" t="inlineStr">
        <is>
          <t>JÄMTLANDS LÄN</t>
        </is>
      </c>
      <c r="E1606" t="inlineStr">
        <is>
          <t>RAGUNDA</t>
        </is>
      </c>
      <c r="F1606" t="inlineStr">
        <is>
          <t>SCA</t>
        </is>
      </c>
      <c r="G1606" t="n">
        <v>16.8</v>
      </c>
      <c r="H1606" t="n">
        <v>0</v>
      </c>
      <c r="I1606" t="n">
        <v>0</v>
      </c>
      <c r="J1606" t="n">
        <v>0</v>
      </c>
      <c r="K1606" t="n">
        <v>0</v>
      </c>
      <c r="L1606" t="n">
        <v>0</v>
      </c>
      <c r="M1606" t="n">
        <v>0</v>
      </c>
      <c r="N1606" t="n">
        <v>0</v>
      </c>
      <c r="O1606" t="n">
        <v>0</v>
      </c>
      <c r="P1606" t="n">
        <v>0</v>
      </c>
      <c r="Q1606" t="n">
        <v>0</v>
      </c>
      <c r="R1606" s="2" t="inlineStr"/>
    </row>
    <row r="1607" ht="15" customHeight="1">
      <c r="A1607" t="inlineStr">
        <is>
          <t>A 27899-2024</t>
        </is>
      </c>
      <c r="B1607" s="1" t="n">
        <v>45476</v>
      </c>
      <c r="C1607" s="1" t="n">
        <v>45835</v>
      </c>
      <c r="D1607" t="inlineStr">
        <is>
          <t>JÄMTLANDS LÄN</t>
        </is>
      </c>
      <c r="E1607" t="inlineStr">
        <is>
          <t>RAGUNDA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28173-2024</t>
        </is>
      </c>
      <c r="B1608" s="1" t="n">
        <v>45477</v>
      </c>
      <c r="C1608" s="1" t="n">
        <v>45835</v>
      </c>
      <c r="D1608" t="inlineStr">
        <is>
          <t>JÄMTLANDS LÄN</t>
        </is>
      </c>
      <c r="E1608" t="inlineStr">
        <is>
          <t>RAGUNDA</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28500-2024</t>
        </is>
      </c>
      <c r="B1609" s="1" t="n">
        <v>45478</v>
      </c>
      <c r="C1609" s="1" t="n">
        <v>45835</v>
      </c>
      <c r="D1609" t="inlineStr">
        <is>
          <t>JÄMTLANDS LÄN</t>
        </is>
      </c>
      <c r="E1609" t="inlineStr">
        <is>
          <t>RAGUNDA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28292-2024</t>
        </is>
      </c>
      <c r="B1610" s="1" t="n">
        <v>45477</v>
      </c>
      <c r="C1610" s="1" t="n">
        <v>45835</v>
      </c>
      <c r="D1610" t="inlineStr">
        <is>
          <t>JÄMTLANDS LÄN</t>
        </is>
      </c>
      <c r="E1610" t="inlineStr">
        <is>
          <t>RAGUNDA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28639-2024</t>
        </is>
      </c>
      <c r="B1611" s="1" t="n">
        <v>45478</v>
      </c>
      <c r="C1611" s="1" t="n">
        <v>45835</v>
      </c>
      <c r="D1611" t="inlineStr">
        <is>
          <t>JÄMTLANDS LÄN</t>
        </is>
      </c>
      <c r="E1611" t="inlineStr">
        <is>
          <t>RAGUNDA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28829-2024</t>
        </is>
      </c>
      <c r="B1612" s="1" t="n">
        <v>45478</v>
      </c>
      <c r="C1612" s="1" t="n">
        <v>45835</v>
      </c>
      <c r="D1612" t="inlineStr">
        <is>
          <t>JÄMTLANDS LÄN</t>
        </is>
      </c>
      <c r="E1612" t="inlineStr">
        <is>
          <t>RAGUNDA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28636-2024</t>
        </is>
      </c>
      <c r="B1613" s="1" t="n">
        <v>45478</v>
      </c>
      <c r="C1613" s="1" t="n">
        <v>45835</v>
      </c>
      <c r="D1613" t="inlineStr">
        <is>
          <t>JÄMTLANDS LÄN</t>
        </is>
      </c>
      <c r="E1613" t="inlineStr">
        <is>
          <t>RAGUNDA</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28641-2024</t>
        </is>
      </c>
      <c r="B1614" s="1" t="n">
        <v>45478</v>
      </c>
      <c r="C1614" s="1" t="n">
        <v>45835</v>
      </c>
      <c r="D1614" t="inlineStr">
        <is>
          <t>JÄMTLANDS LÄN</t>
        </is>
      </c>
      <c r="E1614" t="inlineStr">
        <is>
          <t>RAGUNDA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29257-2024</t>
        </is>
      </c>
      <c r="B1615" s="1" t="n">
        <v>45483</v>
      </c>
      <c r="C1615" s="1" t="n">
        <v>45835</v>
      </c>
      <c r="D1615" t="inlineStr">
        <is>
          <t>JÄMTLANDS LÄN</t>
        </is>
      </c>
      <c r="E1615" t="inlineStr">
        <is>
          <t>RAGUNDA</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29265-2024</t>
        </is>
      </c>
      <c r="B1616" s="1" t="n">
        <v>45483</v>
      </c>
      <c r="C1616" s="1" t="n">
        <v>45835</v>
      </c>
      <c r="D1616" t="inlineStr">
        <is>
          <t>JÄMTLANDS LÄN</t>
        </is>
      </c>
      <c r="E1616" t="inlineStr">
        <is>
          <t>RAGUNDA</t>
        </is>
      </c>
      <c r="F1616" t="inlineStr">
        <is>
          <t>SCA</t>
        </is>
      </c>
      <c r="G1616" t="n">
        <v>11.6</v>
      </c>
      <c r="H1616" t="n">
        <v>0</v>
      </c>
      <c r="I1616" t="n">
        <v>0</v>
      </c>
      <c r="J1616" t="n">
        <v>0</v>
      </c>
      <c r="K1616" t="n">
        <v>0</v>
      </c>
      <c r="L1616" t="n">
        <v>0</v>
      </c>
      <c r="M1616" t="n">
        <v>0</v>
      </c>
      <c r="N1616" t="n">
        <v>0</v>
      </c>
      <c r="O1616" t="n">
        <v>0</v>
      </c>
      <c r="P1616" t="n">
        <v>0</v>
      </c>
      <c r="Q1616" t="n">
        <v>0</v>
      </c>
      <c r="R1616" s="2" t="inlineStr"/>
    </row>
    <row r="1617" ht="15" customHeight="1">
      <c r="A1617" t="inlineStr">
        <is>
          <t>A 29263-2024</t>
        </is>
      </c>
      <c r="B1617" s="1" t="n">
        <v>45483</v>
      </c>
      <c r="C1617" s="1" t="n">
        <v>45835</v>
      </c>
      <c r="D1617" t="inlineStr">
        <is>
          <t>JÄMTLANDS LÄN</t>
        </is>
      </c>
      <c r="E1617" t="inlineStr">
        <is>
          <t>RAGUNDA</t>
        </is>
      </c>
      <c r="F1617" t="inlineStr">
        <is>
          <t>SCA</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29261-2024</t>
        </is>
      </c>
      <c r="B1618" s="1" t="n">
        <v>45483</v>
      </c>
      <c r="C1618" s="1" t="n">
        <v>45835</v>
      </c>
      <c r="D1618" t="inlineStr">
        <is>
          <t>JÄMTLANDS LÄN</t>
        </is>
      </c>
      <c r="E1618" t="inlineStr">
        <is>
          <t>RAGUNDA</t>
        </is>
      </c>
      <c r="F1618" t="inlineStr">
        <is>
          <t>SCA</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29311-2024</t>
        </is>
      </c>
      <c r="B1619" s="1" t="n">
        <v>45483</v>
      </c>
      <c r="C1619" s="1" t="n">
        <v>45835</v>
      </c>
      <c r="D1619" t="inlineStr">
        <is>
          <t>JÄMTLANDS LÄN</t>
        </is>
      </c>
      <c r="E1619" t="inlineStr">
        <is>
          <t>RAGUNDA</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29920-2024</t>
        </is>
      </c>
      <c r="B1620" s="1" t="n">
        <v>45488</v>
      </c>
      <c r="C1620" s="1" t="n">
        <v>45835</v>
      </c>
      <c r="D1620" t="inlineStr">
        <is>
          <t>JÄMTLANDS LÄN</t>
        </is>
      </c>
      <c r="E1620" t="inlineStr">
        <is>
          <t>RAGUNDA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30053-2024</t>
        </is>
      </c>
      <c r="B1621" s="1" t="n">
        <v>45489</v>
      </c>
      <c r="C1621" s="1" t="n">
        <v>45835</v>
      </c>
      <c r="D1621" t="inlineStr">
        <is>
          <t>JÄMTLANDS LÄN</t>
        </is>
      </c>
      <c r="E1621" t="inlineStr">
        <is>
          <t>RAGUNDA</t>
        </is>
      </c>
      <c r="F1621" t="inlineStr">
        <is>
          <t>SCA</t>
        </is>
      </c>
      <c r="G1621" t="n">
        <v>9.6</v>
      </c>
      <c r="H1621" t="n">
        <v>0</v>
      </c>
      <c r="I1621" t="n">
        <v>0</v>
      </c>
      <c r="J1621" t="n">
        <v>0</v>
      </c>
      <c r="K1621" t="n">
        <v>0</v>
      </c>
      <c r="L1621" t="n">
        <v>0</v>
      </c>
      <c r="M1621" t="n">
        <v>0</v>
      </c>
      <c r="N1621" t="n">
        <v>0</v>
      </c>
      <c r="O1621" t="n">
        <v>0</v>
      </c>
      <c r="P1621" t="n">
        <v>0</v>
      </c>
      <c r="Q1621" t="n">
        <v>0</v>
      </c>
      <c r="R1621" s="2" t="inlineStr"/>
    </row>
    <row r="1622" ht="15" customHeight="1">
      <c r="A1622" t="inlineStr">
        <is>
          <t>A 30472-2024</t>
        </is>
      </c>
      <c r="B1622" s="1" t="n">
        <v>45492</v>
      </c>
      <c r="C1622" s="1" t="n">
        <v>45835</v>
      </c>
      <c r="D1622" t="inlineStr">
        <is>
          <t>JÄMTLANDS LÄN</t>
        </is>
      </c>
      <c r="E1622" t="inlineStr">
        <is>
          <t>RAGUNDA</t>
        </is>
      </c>
      <c r="F1622" t="inlineStr">
        <is>
          <t>SCA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30484-2024</t>
        </is>
      </c>
      <c r="B1623" s="1" t="n">
        <v>45491</v>
      </c>
      <c r="C1623" s="1" t="n">
        <v>45835</v>
      </c>
      <c r="D1623" t="inlineStr">
        <is>
          <t>JÄMTLANDS LÄN</t>
        </is>
      </c>
      <c r="E1623" t="inlineStr">
        <is>
          <t>RAGUNDA</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30637-2024</t>
        </is>
      </c>
      <c r="B1624" s="1" t="n">
        <v>45495</v>
      </c>
      <c r="C1624" s="1" t="n">
        <v>45835</v>
      </c>
      <c r="D1624" t="inlineStr">
        <is>
          <t>JÄMTLANDS LÄN</t>
        </is>
      </c>
      <c r="E1624" t="inlineStr">
        <is>
          <t>RAGUNDA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30642-2024</t>
        </is>
      </c>
      <c r="B1625" s="1" t="n">
        <v>45495</v>
      </c>
      <c r="C1625" s="1" t="n">
        <v>45835</v>
      </c>
      <c r="D1625" t="inlineStr">
        <is>
          <t>JÄMTLANDS LÄN</t>
        </is>
      </c>
      <c r="E1625" t="inlineStr">
        <is>
          <t>RAGUNDA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30771-2024</t>
        </is>
      </c>
      <c r="B1626" s="1" t="n">
        <v>45497</v>
      </c>
      <c r="C1626" s="1" t="n">
        <v>45835</v>
      </c>
      <c r="D1626" t="inlineStr">
        <is>
          <t>JÄMTLANDS LÄN</t>
        </is>
      </c>
      <c r="E1626" t="inlineStr">
        <is>
          <t>RAGUNDA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31111-2024</t>
        </is>
      </c>
      <c r="B1627" s="1" t="n">
        <v>45502</v>
      </c>
      <c r="C1627" s="1" t="n">
        <v>45835</v>
      </c>
      <c r="D1627" t="inlineStr">
        <is>
          <t>JÄMTLANDS LÄN</t>
        </is>
      </c>
      <c r="E1627" t="inlineStr">
        <is>
          <t>RAGUNDA</t>
        </is>
      </c>
      <c r="G1627" t="n">
        <v>17.8</v>
      </c>
      <c r="H1627" t="n">
        <v>0</v>
      </c>
      <c r="I1627" t="n">
        <v>0</v>
      </c>
      <c r="J1627" t="n">
        <v>0</v>
      </c>
      <c r="K1627" t="n">
        <v>0</v>
      </c>
      <c r="L1627" t="n">
        <v>0</v>
      </c>
      <c r="M1627" t="n">
        <v>0</v>
      </c>
      <c r="N1627" t="n">
        <v>0</v>
      </c>
      <c r="O1627" t="n">
        <v>0</v>
      </c>
      <c r="P1627" t="n">
        <v>0</v>
      </c>
      <c r="Q1627" t="n">
        <v>0</v>
      </c>
      <c r="R1627" s="2" t="inlineStr"/>
    </row>
    <row r="1628" ht="15" customHeight="1">
      <c r="A1628" t="inlineStr">
        <is>
          <t>A 31506-2024</t>
        </is>
      </c>
      <c r="B1628" s="1" t="n">
        <v>45505</v>
      </c>
      <c r="C1628" s="1" t="n">
        <v>45835</v>
      </c>
      <c r="D1628" t="inlineStr">
        <is>
          <t>JÄMTLANDS LÄN</t>
        </is>
      </c>
      <c r="E1628" t="inlineStr">
        <is>
          <t>RAGUNDA</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31463-2024</t>
        </is>
      </c>
      <c r="B1629" s="1" t="n">
        <v>45505</v>
      </c>
      <c r="C1629" s="1" t="n">
        <v>45835</v>
      </c>
      <c r="D1629" t="inlineStr">
        <is>
          <t>JÄMTLANDS LÄN</t>
        </is>
      </c>
      <c r="E1629" t="inlineStr">
        <is>
          <t>RAGUNDA</t>
        </is>
      </c>
      <c r="F1629" t="inlineStr">
        <is>
          <t>SCA</t>
        </is>
      </c>
      <c r="G1629" t="n">
        <v>20.3</v>
      </c>
      <c r="H1629" t="n">
        <v>0</v>
      </c>
      <c r="I1629" t="n">
        <v>0</v>
      </c>
      <c r="J1629" t="n">
        <v>0</v>
      </c>
      <c r="K1629" t="n">
        <v>0</v>
      </c>
      <c r="L1629" t="n">
        <v>0</v>
      </c>
      <c r="M1629" t="n">
        <v>0</v>
      </c>
      <c r="N1629" t="n">
        <v>0</v>
      </c>
      <c r="O1629" t="n">
        <v>0</v>
      </c>
      <c r="P1629" t="n">
        <v>0</v>
      </c>
      <c r="Q1629" t="n">
        <v>0</v>
      </c>
      <c r="R1629" s="2" t="inlineStr"/>
    </row>
    <row r="1630" ht="15" customHeight="1">
      <c r="A1630" t="inlineStr">
        <is>
          <t>A 31636-2024</t>
        </is>
      </c>
      <c r="B1630" s="1" t="n">
        <v>45506</v>
      </c>
      <c r="C1630" s="1" t="n">
        <v>45835</v>
      </c>
      <c r="D1630" t="inlineStr">
        <is>
          <t>JÄMTLANDS LÄN</t>
        </is>
      </c>
      <c r="E1630" t="inlineStr">
        <is>
          <t>RAGUNDA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31879-2024</t>
        </is>
      </c>
      <c r="B1631" s="1" t="n">
        <v>45510</v>
      </c>
      <c r="C1631" s="1" t="n">
        <v>45835</v>
      </c>
      <c r="D1631" t="inlineStr">
        <is>
          <t>JÄMTLANDS LÄN</t>
        </is>
      </c>
      <c r="E1631" t="inlineStr">
        <is>
          <t>RAGUNDA</t>
        </is>
      </c>
      <c r="F1631" t="inlineStr">
        <is>
          <t>SCA</t>
        </is>
      </c>
      <c r="G1631" t="n">
        <v>24.9</v>
      </c>
      <c r="H1631" t="n">
        <v>0</v>
      </c>
      <c r="I1631" t="n">
        <v>0</v>
      </c>
      <c r="J1631" t="n">
        <v>0</v>
      </c>
      <c r="K1631" t="n">
        <v>0</v>
      </c>
      <c r="L1631" t="n">
        <v>0</v>
      </c>
      <c r="M1631" t="n">
        <v>0</v>
      </c>
      <c r="N1631" t="n">
        <v>0</v>
      </c>
      <c r="O1631" t="n">
        <v>0</v>
      </c>
      <c r="P1631" t="n">
        <v>0</v>
      </c>
      <c r="Q1631" t="n">
        <v>0</v>
      </c>
      <c r="R1631" s="2" t="inlineStr"/>
    </row>
    <row r="1632" ht="15" customHeight="1">
      <c r="A1632" t="inlineStr">
        <is>
          <t>A 32063-2024</t>
        </is>
      </c>
      <c r="B1632" s="1" t="n">
        <v>45510</v>
      </c>
      <c r="C1632" s="1" t="n">
        <v>45835</v>
      </c>
      <c r="D1632" t="inlineStr">
        <is>
          <t>JÄMTLANDS LÄN</t>
        </is>
      </c>
      <c r="E1632" t="inlineStr">
        <is>
          <t>RAGUNDA</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32258-2024</t>
        </is>
      </c>
      <c r="B1633" s="1" t="n">
        <v>45511</v>
      </c>
      <c r="C1633" s="1" t="n">
        <v>45835</v>
      </c>
      <c r="D1633" t="inlineStr">
        <is>
          <t>JÄMTLANDS LÄN</t>
        </is>
      </c>
      <c r="E1633" t="inlineStr">
        <is>
          <t>RAGUNDA</t>
        </is>
      </c>
      <c r="F1633" t="inlineStr">
        <is>
          <t>SCA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32259-2024</t>
        </is>
      </c>
      <c r="B1634" s="1" t="n">
        <v>45511</v>
      </c>
      <c r="C1634" s="1" t="n">
        <v>45835</v>
      </c>
      <c r="D1634" t="inlineStr">
        <is>
          <t>JÄMTLANDS LÄN</t>
        </is>
      </c>
      <c r="E1634" t="inlineStr">
        <is>
          <t>RAGUNDA</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32441-2024</t>
        </is>
      </c>
      <c r="B1635" s="1" t="n">
        <v>45513</v>
      </c>
      <c r="C1635" s="1" t="n">
        <v>45835</v>
      </c>
      <c r="D1635" t="inlineStr">
        <is>
          <t>JÄMTLANDS LÄN</t>
        </is>
      </c>
      <c r="E1635" t="inlineStr">
        <is>
          <t>RAGUNDA</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32638-2024</t>
        </is>
      </c>
      <c r="B1636" s="1" t="n">
        <v>45514</v>
      </c>
      <c r="C1636" s="1" t="n">
        <v>45835</v>
      </c>
      <c r="D1636" t="inlineStr">
        <is>
          <t>JÄMTLANDS LÄN</t>
        </is>
      </c>
      <c r="E1636" t="inlineStr">
        <is>
          <t>RAGUNDA</t>
        </is>
      </c>
      <c r="F1636" t="inlineStr">
        <is>
          <t>SCA</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32910-2024</t>
        </is>
      </c>
      <c r="B1637" s="1" t="n">
        <v>45517</v>
      </c>
      <c r="C1637" s="1" t="n">
        <v>45835</v>
      </c>
      <c r="D1637" t="inlineStr">
        <is>
          <t>JÄMTLANDS LÄN</t>
        </is>
      </c>
      <c r="E1637" t="inlineStr">
        <is>
          <t>RAGUNDA</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32904-2024</t>
        </is>
      </c>
      <c r="B1638" s="1" t="n">
        <v>45517</v>
      </c>
      <c r="C1638" s="1" t="n">
        <v>45835</v>
      </c>
      <c r="D1638" t="inlineStr">
        <is>
          <t>JÄMTLANDS LÄN</t>
        </is>
      </c>
      <c r="E1638" t="inlineStr">
        <is>
          <t>RAGUNDA</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35311-2024</t>
        </is>
      </c>
      <c r="B1639" s="1" t="n">
        <v>45530</v>
      </c>
      <c r="C1639" s="1" t="n">
        <v>45835</v>
      </c>
      <c r="D1639" t="inlineStr">
        <is>
          <t>JÄMTLANDS LÄN</t>
        </is>
      </c>
      <c r="E1639" t="inlineStr">
        <is>
          <t>RAGUNDA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35153-2024</t>
        </is>
      </c>
      <c r="B1640" s="1" t="n">
        <v>45530</v>
      </c>
      <c r="C1640" s="1" t="n">
        <v>45835</v>
      </c>
      <c r="D1640" t="inlineStr">
        <is>
          <t>JÄMTLANDS LÄN</t>
        </is>
      </c>
      <c r="E1640" t="inlineStr">
        <is>
          <t>RAGUNDA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35986-2024</t>
        </is>
      </c>
      <c r="B1641" s="1" t="n">
        <v>45533</v>
      </c>
      <c r="C1641" s="1" t="n">
        <v>45835</v>
      </c>
      <c r="D1641" t="inlineStr">
        <is>
          <t>JÄMTLANDS LÄN</t>
        </is>
      </c>
      <c r="E1641" t="inlineStr">
        <is>
          <t>RAGUNDA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36246-2024</t>
        </is>
      </c>
      <c r="B1642" s="1" t="n">
        <v>45534</v>
      </c>
      <c r="C1642" s="1" t="n">
        <v>45835</v>
      </c>
      <c r="D1642" t="inlineStr">
        <is>
          <t>JÄMTLANDS LÄN</t>
        </is>
      </c>
      <c r="E1642" t="inlineStr">
        <is>
          <t>RAGUNDA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36340-2024</t>
        </is>
      </c>
      <c r="B1643" s="1" t="n">
        <v>45534</v>
      </c>
      <c r="C1643" s="1" t="n">
        <v>45835</v>
      </c>
      <c r="D1643" t="inlineStr">
        <is>
          <t>JÄMTLANDS LÄN</t>
        </is>
      </c>
      <c r="E1643" t="inlineStr">
        <is>
          <t>RAGUNDA</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36317-2024</t>
        </is>
      </c>
      <c r="B1644" s="1" t="n">
        <v>45534</v>
      </c>
      <c r="C1644" s="1" t="n">
        <v>45835</v>
      </c>
      <c r="D1644" t="inlineStr">
        <is>
          <t>JÄMTLANDS LÄN</t>
        </is>
      </c>
      <c r="E1644" t="inlineStr">
        <is>
          <t>RAGUNDA</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37242-2024</t>
        </is>
      </c>
      <c r="B1645" s="1" t="n">
        <v>45540</v>
      </c>
      <c r="C1645" s="1" t="n">
        <v>45835</v>
      </c>
      <c r="D1645" t="inlineStr">
        <is>
          <t>JÄMTLANDS LÄN</t>
        </is>
      </c>
      <c r="E1645" t="inlineStr">
        <is>
          <t>RAGUNDA</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37266-2024</t>
        </is>
      </c>
      <c r="B1646" s="1" t="n">
        <v>45540</v>
      </c>
      <c r="C1646" s="1" t="n">
        <v>45835</v>
      </c>
      <c r="D1646" t="inlineStr">
        <is>
          <t>JÄMTLANDS LÄN</t>
        </is>
      </c>
      <c r="E1646" t="inlineStr">
        <is>
          <t>RAGUNDA</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37265-2024</t>
        </is>
      </c>
      <c r="B1647" s="1" t="n">
        <v>45540</v>
      </c>
      <c r="C1647" s="1" t="n">
        <v>45835</v>
      </c>
      <c r="D1647" t="inlineStr">
        <is>
          <t>JÄMTLANDS LÄN</t>
        </is>
      </c>
      <c r="E1647" t="inlineStr">
        <is>
          <t>RAGUNDA</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37268-2024</t>
        </is>
      </c>
      <c r="B1648" s="1" t="n">
        <v>45540</v>
      </c>
      <c r="C1648" s="1" t="n">
        <v>45835</v>
      </c>
      <c r="D1648" t="inlineStr">
        <is>
          <t>JÄMTLANDS LÄN</t>
        </is>
      </c>
      <c r="E1648" t="inlineStr">
        <is>
          <t>RAGUNDA</t>
        </is>
      </c>
      <c r="F1648" t="inlineStr">
        <is>
          <t>SCA</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38027-2024</t>
        </is>
      </c>
      <c r="B1649" s="1" t="n">
        <v>45544</v>
      </c>
      <c r="C1649" s="1" t="n">
        <v>45835</v>
      </c>
      <c r="D1649" t="inlineStr">
        <is>
          <t>JÄMTLANDS LÄN</t>
        </is>
      </c>
      <c r="E1649" t="inlineStr">
        <is>
          <t>RAGUNDA</t>
        </is>
      </c>
      <c r="F1649" t="inlineStr">
        <is>
          <t>SCA</t>
        </is>
      </c>
      <c r="G1649" t="n">
        <v>28.7</v>
      </c>
      <c r="H1649" t="n">
        <v>0</v>
      </c>
      <c r="I1649" t="n">
        <v>0</v>
      </c>
      <c r="J1649" t="n">
        <v>0</v>
      </c>
      <c r="K1649" t="n">
        <v>0</v>
      </c>
      <c r="L1649" t="n">
        <v>0</v>
      </c>
      <c r="M1649" t="n">
        <v>0</v>
      </c>
      <c r="N1649" t="n">
        <v>0</v>
      </c>
      <c r="O1649" t="n">
        <v>0</v>
      </c>
      <c r="P1649" t="n">
        <v>0</v>
      </c>
      <c r="Q1649" t="n">
        <v>0</v>
      </c>
      <c r="R1649" s="2" t="inlineStr"/>
    </row>
    <row r="1650" ht="15" customHeight="1">
      <c r="A1650" t="inlineStr">
        <is>
          <t>A 38191-2024</t>
        </is>
      </c>
      <c r="B1650" s="1" t="n">
        <v>45545</v>
      </c>
      <c r="C1650" s="1" t="n">
        <v>45835</v>
      </c>
      <c r="D1650" t="inlineStr">
        <is>
          <t>JÄMTLANDS LÄN</t>
        </is>
      </c>
      <c r="E1650" t="inlineStr">
        <is>
          <t>RAGUNDA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38192-2024</t>
        </is>
      </c>
      <c r="B1651" s="1" t="n">
        <v>45545</v>
      </c>
      <c r="C1651" s="1" t="n">
        <v>45835</v>
      </c>
      <c r="D1651" t="inlineStr">
        <is>
          <t>JÄMTLANDS LÄN</t>
        </is>
      </c>
      <c r="E1651" t="inlineStr">
        <is>
          <t>RAGUNDA</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38189-2024</t>
        </is>
      </c>
      <c r="B1652" s="1" t="n">
        <v>45545</v>
      </c>
      <c r="C1652" s="1" t="n">
        <v>45835</v>
      </c>
      <c r="D1652" t="inlineStr">
        <is>
          <t>JÄMTLANDS LÄN</t>
        </is>
      </c>
      <c r="E1652" t="inlineStr">
        <is>
          <t>RAGUNDA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38312-2024</t>
        </is>
      </c>
      <c r="B1653" s="1" t="n">
        <v>45545</v>
      </c>
      <c r="C1653" s="1" t="n">
        <v>45835</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38506-2024</t>
        </is>
      </c>
      <c r="B1654" s="1" t="n">
        <v>45546</v>
      </c>
      <c r="C1654" s="1" t="n">
        <v>45835</v>
      </c>
      <c r="D1654" t="inlineStr">
        <is>
          <t>JÄMTLANDS LÄN</t>
        </is>
      </c>
      <c r="E1654" t="inlineStr">
        <is>
          <t>RAGUNDA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38548-2024</t>
        </is>
      </c>
      <c r="B1655" s="1" t="n">
        <v>45546</v>
      </c>
      <c r="C1655" s="1" t="n">
        <v>45835</v>
      </c>
      <c r="D1655" t="inlineStr">
        <is>
          <t>JÄMTLANDS LÄN</t>
        </is>
      </c>
      <c r="E1655" t="inlineStr">
        <is>
          <t>RAGUNDA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38571-2024</t>
        </is>
      </c>
      <c r="B1656" s="1" t="n">
        <v>45546</v>
      </c>
      <c r="C1656" s="1" t="n">
        <v>45835</v>
      </c>
      <c r="D1656" t="inlineStr">
        <is>
          <t>JÄMTLANDS LÄN</t>
        </is>
      </c>
      <c r="E1656" t="inlineStr">
        <is>
          <t>RAGUNDA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38825-2024</t>
        </is>
      </c>
      <c r="B1657" s="1" t="n">
        <v>45547</v>
      </c>
      <c r="C1657" s="1" t="n">
        <v>45835</v>
      </c>
      <c r="D1657" t="inlineStr">
        <is>
          <t>JÄMTLANDS LÄN</t>
        </is>
      </c>
      <c r="E1657" t="inlineStr">
        <is>
          <t>RAGUNDA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39494-2024</t>
        </is>
      </c>
      <c r="B1658" s="1" t="n">
        <v>45551</v>
      </c>
      <c r="C1658" s="1" t="n">
        <v>45835</v>
      </c>
      <c r="D1658" t="inlineStr">
        <is>
          <t>JÄMTLANDS LÄN</t>
        </is>
      </c>
      <c r="E1658" t="inlineStr">
        <is>
          <t>RAGUNDA</t>
        </is>
      </c>
      <c r="F1658" t="inlineStr">
        <is>
          <t>SCA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39608-2024</t>
        </is>
      </c>
      <c r="B1659" s="1" t="n">
        <v>45552</v>
      </c>
      <c r="C1659" s="1" t="n">
        <v>45835</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39626-2024</t>
        </is>
      </c>
      <c r="B1660" s="1" t="n">
        <v>45552</v>
      </c>
      <c r="C1660" s="1" t="n">
        <v>45835</v>
      </c>
      <c r="D1660" t="inlineStr">
        <is>
          <t>JÄMTLANDS LÄN</t>
        </is>
      </c>
      <c r="E1660" t="inlineStr">
        <is>
          <t>RAGUNDA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40246-2024</t>
        </is>
      </c>
      <c r="B1661" s="1" t="n">
        <v>45554</v>
      </c>
      <c r="C1661" s="1" t="n">
        <v>45835</v>
      </c>
      <c r="D1661" t="inlineStr">
        <is>
          <t>JÄMTLANDS LÄN</t>
        </is>
      </c>
      <c r="E1661" t="inlineStr">
        <is>
          <t>RAGUNDA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40405-2024</t>
        </is>
      </c>
      <c r="B1662" s="1" t="n">
        <v>45555</v>
      </c>
      <c r="C1662" s="1" t="n">
        <v>45835</v>
      </c>
      <c r="D1662" t="inlineStr">
        <is>
          <t>JÄMTLANDS LÄN</t>
        </is>
      </c>
      <c r="E1662" t="inlineStr">
        <is>
          <t>RAGUNDA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40365-2024</t>
        </is>
      </c>
      <c r="B1663" s="1" t="n">
        <v>45555</v>
      </c>
      <c r="C1663" s="1" t="n">
        <v>45835</v>
      </c>
      <c r="D1663" t="inlineStr">
        <is>
          <t>JÄMTLANDS LÄN</t>
        </is>
      </c>
      <c r="E1663" t="inlineStr">
        <is>
          <t>RAGUNDA</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40919-2024</t>
        </is>
      </c>
      <c r="B1664" s="1" t="n">
        <v>45558</v>
      </c>
      <c r="C1664" s="1" t="n">
        <v>45835</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41344-2024</t>
        </is>
      </c>
      <c r="B1665" s="1" t="n">
        <v>45559</v>
      </c>
      <c r="C1665" s="1" t="n">
        <v>45835</v>
      </c>
      <c r="D1665" t="inlineStr">
        <is>
          <t>JÄMTLANDS LÄN</t>
        </is>
      </c>
      <c r="E1665" t="inlineStr">
        <is>
          <t>RAGUNDA</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41343-2024</t>
        </is>
      </c>
      <c r="B1666" s="1" t="n">
        <v>45559</v>
      </c>
      <c r="C1666" s="1" t="n">
        <v>45835</v>
      </c>
      <c r="D1666" t="inlineStr">
        <is>
          <t>JÄMTLANDS LÄN</t>
        </is>
      </c>
      <c r="E1666" t="inlineStr">
        <is>
          <t>RAGUNDA</t>
        </is>
      </c>
      <c r="F1666" t="inlineStr">
        <is>
          <t>SCA</t>
        </is>
      </c>
      <c r="G1666" t="n">
        <v>25.1</v>
      </c>
      <c r="H1666" t="n">
        <v>0</v>
      </c>
      <c r="I1666" t="n">
        <v>0</v>
      </c>
      <c r="J1666" t="n">
        <v>0</v>
      </c>
      <c r="K1666" t="n">
        <v>0</v>
      </c>
      <c r="L1666" t="n">
        <v>0</v>
      </c>
      <c r="M1666" t="n">
        <v>0</v>
      </c>
      <c r="N1666" t="n">
        <v>0</v>
      </c>
      <c r="O1666" t="n">
        <v>0</v>
      </c>
      <c r="P1666" t="n">
        <v>0</v>
      </c>
      <c r="Q1666" t="n">
        <v>0</v>
      </c>
      <c r="R1666" s="2" t="inlineStr"/>
    </row>
    <row r="1667" ht="15" customHeight="1">
      <c r="A1667" t="inlineStr">
        <is>
          <t>A 41378-2024</t>
        </is>
      </c>
      <c r="B1667" s="1" t="n">
        <v>45559</v>
      </c>
      <c r="C1667" s="1" t="n">
        <v>45835</v>
      </c>
      <c r="D1667" t="inlineStr">
        <is>
          <t>JÄMTLANDS LÄN</t>
        </is>
      </c>
      <c r="E1667" t="inlineStr">
        <is>
          <t>RAGUNDA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41685-2024</t>
        </is>
      </c>
      <c r="B1668" s="1" t="n">
        <v>45560</v>
      </c>
      <c r="C1668" s="1" t="n">
        <v>45835</v>
      </c>
      <c r="D1668" t="inlineStr">
        <is>
          <t>JÄMTLANDS LÄN</t>
        </is>
      </c>
      <c r="E1668" t="inlineStr">
        <is>
          <t>RAGUNDA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41531-2024</t>
        </is>
      </c>
      <c r="B1669" s="1" t="n">
        <v>45560</v>
      </c>
      <c r="C1669" s="1" t="n">
        <v>45835</v>
      </c>
      <c r="D1669" t="inlineStr">
        <is>
          <t>JÄMTLANDS LÄN</t>
        </is>
      </c>
      <c r="E1669" t="inlineStr">
        <is>
          <t>RAGUNDA</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41422-2024</t>
        </is>
      </c>
      <c r="B1670" s="1" t="n">
        <v>45560</v>
      </c>
      <c r="C1670" s="1" t="n">
        <v>45835</v>
      </c>
      <c r="D1670" t="inlineStr">
        <is>
          <t>JÄMTLANDS LÄN</t>
        </is>
      </c>
      <c r="E1670" t="inlineStr">
        <is>
          <t>RAGUNDA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41690-2024</t>
        </is>
      </c>
      <c r="B1671" s="1" t="n">
        <v>45560</v>
      </c>
      <c r="C1671" s="1" t="n">
        <v>45835</v>
      </c>
      <c r="D1671" t="inlineStr">
        <is>
          <t>JÄMTLANDS LÄN</t>
        </is>
      </c>
      <c r="E1671" t="inlineStr">
        <is>
          <t>RAGUNDA</t>
        </is>
      </c>
      <c r="F1671" t="inlineStr">
        <is>
          <t>SCA</t>
        </is>
      </c>
      <c r="G1671" t="n">
        <v>38.6</v>
      </c>
      <c r="H1671" t="n">
        <v>0</v>
      </c>
      <c r="I1671" t="n">
        <v>0</v>
      </c>
      <c r="J1671" t="n">
        <v>0</v>
      </c>
      <c r="K1671" t="n">
        <v>0</v>
      </c>
      <c r="L1671" t="n">
        <v>0</v>
      </c>
      <c r="M1671" t="n">
        <v>0</v>
      </c>
      <c r="N1671" t="n">
        <v>0</v>
      </c>
      <c r="O1671" t="n">
        <v>0</v>
      </c>
      <c r="P1671" t="n">
        <v>0</v>
      </c>
      <c r="Q1671" t="n">
        <v>0</v>
      </c>
      <c r="R1671" s="2" t="inlineStr"/>
    </row>
    <row r="1672" ht="15" customHeight="1">
      <c r="A1672" t="inlineStr">
        <is>
          <t>A 41759-2024</t>
        </is>
      </c>
      <c r="B1672" s="1" t="n">
        <v>45561</v>
      </c>
      <c r="C1672" s="1" t="n">
        <v>45835</v>
      </c>
      <c r="D1672" t="inlineStr">
        <is>
          <t>JÄMTLANDS LÄN</t>
        </is>
      </c>
      <c r="E1672" t="inlineStr">
        <is>
          <t>RAGUNDA</t>
        </is>
      </c>
      <c r="F1672" t="inlineStr">
        <is>
          <t>SCA</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41772-2024</t>
        </is>
      </c>
      <c r="B1673" s="1" t="n">
        <v>45561</v>
      </c>
      <c r="C1673" s="1" t="n">
        <v>45835</v>
      </c>
      <c r="D1673" t="inlineStr">
        <is>
          <t>JÄMTLANDS LÄN</t>
        </is>
      </c>
      <c r="E1673" t="inlineStr">
        <is>
          <t>RAGUNDA</t>
        </is>
      </c>
      <c r="F1673" t="inlineStr">
        <is>
          <t>SCA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42135-2024</t>
        </is>
      </c>
      <c r="B1674" s="1" t="n">
        <v>45562</v>
      </c>
      <c r="C1674" s="1" t="n">
        <v>45835</v>
      </c>
      <c r="D1674" t="inlineStr">
        <is>
          <t>JÄMTLANDS LÄN</t>
        </is>
      </c>
      <c r="E1674" t="inlineStr">
        <is>
          <t>RAGUNDA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42544-2024</t>
        </is>
      </c>
      <c r="B1675" s="1" t="n">
        <v>45565</v>
      </c>
      <c r="C1675" s="1" t="n">
        <v>45835</v>
      </c>
      <c r="D1675" t="inlineStr">
        <is>
          <t>JÄMTLANDS LÄN</t>
        </is>
      </c>
      <c r="E1675" t="inlineStr">
        <is>
          <t>RAGUNDA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42875-2024</t>
        </is>
      </c>
      <c r="B1676" s="1" t="n">
        <v>45566</v>
      </c>
      <c r="C1676" s="1" t="n">
        <v>45835</v>
      </c>
      <c r="D1676" t="inlineStr">
        <is>
          <t>JÄMTLANDS LÄN</t>
        </is>
      </c>
      <c r="E1676" t="inlineStr">
        <is>
          <t>RAGUNDA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42998-2024</t>
        </is>
      </c>
      <c r="B1677" s="1" t="n">
        <v>45567</v>
      </c>
      <c r="C1677" s="1" t="n">
        <v>45835</v>
      </c>
      <c r="D1677" t="inlineStr">
        <is>
          <t>JÄMTLANDS LÄN</t>
        </is>
      </c>
      <c r="E1677" t="inlineStr">
        <is>
          <t>RAGUNDA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42994-2024</t>
        </is>
      </c>
      <c r="B1678" s="1" t="n">
        <v>45567</v>
      </c>
      <c r="C1678" s="1" t="n">
        <v>45835</v>
      </c>
      <c r="D1678" t="inlineStr">
        <is>
          <t>JÄMTLANDS LÄN</t>
        </is>
      </c>
      <c r="E1678" t="inlineStr">
        <is>
          <t>RAGUNDA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43339-2024</t>
        </is>
      </c>
      <c r="B1679" s="1" t="n">
        <v>45568</v>
      </c>
      <c r="C1679" s="1" t="n">
        <v>45835</v>
      </c>
      <c r="D1679" t="inlineStr">
        <is>
          <t>JÄMTLANDS LÄN</t>
        </is>
      </c>
      <c r="E1679" t="inlineStr">
        <is>
          <t>RAGUNDA</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43738-2024</t>
        </is>
      </c>
      <c r="B1680" s="1" t="n">
        <v>45569</v>
      </c>
      <c r="C1680" s="1" t="n">
        <v>45835</v>
      </c>
      <c r="D1680" t="inlineStr">
        <is>
          <t>JÄMTLANDS LÄN</t>
        </is>
      </c>
      <c r="E1680" t="inlineStr">
        <is>
          <t>RAGUNDA</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44070-2024</t>
        </is>
      </c>
      <c r="B1681" s="1" t="n">
        <v>45572</v>
      </c>
      <c r="C1681" s="1" t="n">
        <v>45835</v>
      </c>
      <c r="D1681" t="inlineStr">
        <is>
          <t>JÄMTLANDS LÄN</t>
        </is>
      </c>
      <c r="E1681" t="inlineStr">
        <is>
          <t>RAGUNDA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44066-2024</t>
        </is>
      </c>
      <c r="B1682" s="1" t="n">
        <v>45572</v>
      </c>
      <c r="C1682" s="1" t="n">
        <v>45835</v>
      </c>
      <c r="D1682" t="inlineStr">
        <is>
          <t>JÄMTLANDS LÄN</t>
        </is>
      </c>
      <c r="E1682" t="inlineStr">
        <is>
          <t>RAGUNDA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44242-2024</t>
        </is>
      </c>
      <c r="B1683" s="1" t="n">
        <v>45573</v>
      </c>
      <c r="C1683" s="1" t="n">
        <v>45835</v>
      </c>
      <c r="D1683" t="inlineStr">
        <is>
          <t>JÄMTLANDS LÄN</t>
        </is>
      </c>
      <c r="E1683" t="inlineStr">
        <is>
          <t>RAGUNDA</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44598-2024</t>
        </is>
      </c>
      <c r="B1684" s="1" t="n">
        <v>45574</v>
      </c>
      <c r="C1684" s="1" t="n">
        <v>45835</v>
      </c>
      <c r="D1684" t="inlineStr">
        <is>
          <t>JÄMTLANDS LÄN</t>
        </is>
      </c>
      <c r="E1684" t="inlineStr">
        <is>
          <t>RAGUNDA</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44755-2024</t>
        </is>
      </c>
      <c r="B1685" s="1" t="n">
        <v>45574</v>
      </c>
      <c r="C1685" s="1" t="n">
        <v>45835</v>
      </c>
      <c r="D1685" t="inlineStr">
        <is>
          <t>JÄMTLANDS LÄN</t>
        </is>
      </c>
      <c r="E1685" t="inlineStr">
        <is>
          <t>RAGUNDA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44759-2024</t>
        </is>
      </c>
      <c r="B1686" s="1" t="n">
        <v>45574</v>
      </c>
      <c r="C1686" s="1" t="n">
        <v>45835</v>
      </c>
      <c r="D1686" t="inlineStr">
        <is>
          <t>JÄMTLANDS LÄN</t>
        </is>
      </c>
      <c r="E1686" t="inlineStr">
        <is>
          <t>RAGUNDA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44766-2024</t>
        </is>
      </c>
      <c r="B1687" s="1" t="n">
        <v>45574</v>
      </c>
      <c r="C1687" s="1" t="n">
        <v>45835</v>
      </c>
      <c r="D1687" t="inlineStr">
        <is>
          <t>JÄMTLANDS LÄN</t>
        </is>
      </c>
      <c r="E1687" t="inlineStr">
        <is>
          <t>RAGUNDA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44778-2024</t>
        </is>
      </c>
      <c r="B1688" s="1" t="n">
        <v>45574</v>
      </c>
      <c r="C1688" s="1" t="n">
        <v>45835</v>
      </c>
      <c r="D1688" t="inlineStr">
        <is>
          <t>JÄMTLANDS LÄN</t>
        </is>
      </c>
      <c r="E1688" t="inlineStr">
        <is>
          <t>RAGUNDA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44597-2024</t>
        </is>
      </c>
      <c r="B1689" s="1" t="n">
        <v>45574</v>
      </c>
      <c r="C1689" s="1" t="n">
        <v>45835</v>
      </c>
      <c r="D1689" t="inlineStr">
        <is>
          <t>JÄMTLANDS LÄN</t>
        </is>
      </c>
      <c r="E1689" t="inlineStr">
        <is>
          <t>RAGUNDA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44605-2024</t>
        </is>
      </c>
      <c r="B1690" s="1" t="n">
        <v>45574</v>
      </c>
      <c r="C1690" s="1" t="n">
        <v>45835</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44494-2024</t>
        </is>
      </c>
      <c r="B1691" s="1" t="n">
        <v>45574</v>
      </c>
      <c r="C1691" s="1" t="n">
        <v>45835</v>
      </c>
      <c r="D1691" t="inlineStr">
        <is>
          <t>JÄMTLANDS LÄN</t>
        </is>
      </c>
      <c r="E1691" t="inlineStr">
        <is>
          <t>RAGUNDA</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44498-2024</t>
        </is>
      </c>
      <c r="B1692" s="1" t="n">
        <v>45574</v>
      </c>
      <c r="C1692" s="1" t="n">
        <v>45835</v>
      </c>
      <c r="D1692" t="inlineStr">
        <is>
          <t>JÄMTLANDS LÄN</t>
        </is>
      </c>
      <c r="E1692" t="inlineStr">
        <is>
          <t>RAGUNDA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44727-2024</t>
        </is>
      </c>
      <c r="B1693" s="1" t="n">
        <v>45574</v>
      </c>
      <c r="C1693" s="1" t="n">
        <v>45835</v>
      </c>
      <c r="D1693" t="inlineStr">
        <is>
          <t>JÄMTLANDS LÄN</t>
        </is>
      </c>
      <c r="E1693" t="inlineStr">
        <is>
          <t>RAGUNDA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44953-2024</t>
        </is>
      </c>
      <c r="B1694" s="1" t="n">
        <v>45575</v>
      </c>
      <c r="C1694" s="1" t="n">
        <v>45835</v>
      </c>
      <c r="D1694" t="inlineStr">
        <is>
          <t>JÄMTLANDS LÄN</t>
        </is>
      </c>
      <c r="E1694" t="inlineStr">
        <is>
          <t>RAGUNDA</t>
        </is>
      </c>
      <c r="F1694" t="inlineStr">
        <is>
          <t>SCA</t>
        </is>
      </c>
      <c r="G1694" t="n">
        <v>15.4</v>
      </c>
      <c r="H1694" t="n">
        <v>0</v>
      </c>
      <c r="I1694" t="n">
        <v>0</v>
      </c>
      <c r="J1694" t="n">
        <v>0</v>
      </c>
      <c r="K1694" t="n">
        <v>0</v>
      </c>
      <c r="L1694" t="n">
        <v>0</v>
      </c>
      <c r="M1694" t="n">
        <v>0</v>
      </c>
      <c r="N1694" t="n">
        <v>0</v>
      </c>
      <c r="O1694" t="n">
        <v>0</v>
      </c>
      <c r="P1694" t="n">
        <v>0</v>
      </c>
      <c r="Q1694" t="n">
        <v>0</v>
      </c>
      <c r="R1694" s="2" t="inlineStr"/>
    </row>
    <row r="1695" ht="15" customHeight="1">
      <c r="A1695" t="inlineStr">
        <is>
          <t>A 45273-2024</t>
        </is>
      </c>
      <c r="B1695" s="1" t="n">
        <v>45576</v>
      </c>
      <c r="C1695" s="1" t="n">
        <v>45835</v>
      </c>
      <c r="D1695" t="inlineStr">
        <is>
          <t>JÄMTLANDS LÄN</t>
        </is>
      </c>
      <c r="E1695" t="inlineStr">
        <is>
          <t>RAGUNDA</t>
        </is>
      </c>
      <c r="F1695" t="inlineStr">
        <is>
          <t>SCA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45631-2024</t>
        </is>
      </c>
      <c r="B1696" s="1" t="n">
        <v>45579</v>
      </c>
      <c r="C1696" s="1" t="n">
        <v>45835</v>
      </c>
      <c r="D1696" t="inlineStr">
        <is>
          <t>JÄMTLANDS LÄN</t>
        </is>
      </c>
      <c r="E1696" t="inlineStr">
        <is>
          <t>RAGUNDA</t>
        </is>
      </c>
      <c r="G1696" t="n">
        <v>15.1</v>
      </c>
      <c r="H1696" t="n">
        <v>0</v>
      </c>
      <c r="I1696" t="n">
        <v>0</v>
      </c>
      <c r="J1696" t="n">
        <v>0</v>
      </c>
      <c r="K1696" t="n">
        <v>0</v>
      </c>
      <c r="L1696" t="n">
        <v>0</v>
      </c>
      <c r="M1696" t="n">
        <v>0</v>
      </c>
      <c r="N1696" t="n">
        <v>0</v>
      </c>
      <c r="O1696" t="n">
        <v>0</v>
      </c>
      <c r="P1696" t="n">
        <v>0</v>
      </c>
      <c r="Q1696" t="n">
        <v>0</v>
      </c>
      <c r="R1696" s="2" t="inlineStr"/>
    </row>
    <row r="1697" ht="15" customHeight="1">
      <c r="A1697" t="inlineStr">
        <is>
          <t>A 45879-2024</t>
        </is>
      </c>
      <c r="B1697" s="1" t="n">
        <v>45580</v>
      </c>
      <c r="C1697" s="1" t="n">
        <v>45835</v>
      </c>
      <c r="D1697" t="inlineStr">
        <is>
          <t>JÄMTLANDS LÄN</t>
        </is>
      </c>
      <c r="E1697" t="inlineStr">
        <is>
          <t>RAGUNDA</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46211-2024</t>
        </is>
      </c>
      <c r="B1698" s="1" t="n">
        <v>45581</v>
      </c>
      <c r="C1698" s="1" t="n">
        <v>45835</v>
      </c>
      <c r="D1698" t="inlineStr">
        <is>
          <t>JÄMTLANDS LÄN</t>
        </is>
      </c>
      <c r="E1698" t="inlineStr">
        <is>
          <t>RAGUNDA</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46090-2024</t>
        </is>
      </c>
      <c r="B1699" s="1" t="n">
        <v>45581</v>
      </c>
      <c r="C1699" s="1" t="n">
        <v>45835</v>
      </c>
      <c r="D1699" t="inlineStr">
        <is>
          <t>JÄMTLANDS LÄN</t>
        </is>
      </c>
      <c r="E1699" t="inlineStr">
        <is>
          <t>RAGUNDA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46250-2024</t>
        </is>
      </c>
      <c r="B1700" s="1" t="n">
        <v>45581</v>
      </c>
      <c r="C1700" s="1" t="n">
        <v>45835</v>
      </c>
      <c r="D1700" t="inlineStr">
        <is>
          <t>JÄMTLANDS LÄN</t>
        </is>
      </c>
      <c r="E1700" t="inlineStr">
        <is>
          <t>RAGUNDA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46637-2024</t>
        </is>
      </c>
      <c r="B1701" s="1" t="n">
        <v>45583</v>
      </c>
      <c r="C1701" s="1" t="n">
        <v>45835</v>
      </c>
      <c r="D1701" t="inlineStr">
        <is>
          <t>JÄMTLANDS LÄN</t>
        </is>
      </c>
      <c r="E1701" t="inlineStr">
        <is>
          <t>RAGUNDA</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47658-2024</t>
        </is>
      </c>
      <c r="B1702" s="1" t="n">
        <v>45588</v>
      </c>
      <c r="C1702" s="1" t="n">
        <v>45835</v>
      </c>
      <c r="D1702" t="inlineStr">
        <is>
          <t>JÄMTLANDS LÄN</t>
        </is>
      </c>
      <c r="E1702" t="inlineStr">
        <is>
          <t>RAGUNDA</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47720-2024</t>
        </is>
      </c>
      <c r="B1703" s="1" t="n">
        <v>45588</v>
      </c>
      <c r="C1703" s="1" t="n">
        <v>45835</v>
      </c>
      <c r="D1703" t="inlineStr">
        <is>
          <t>JÄMTLANDS LÄN</t>
        </is>
      </c>
      <c r="E1703" t="inlineStr">
        <is>
          <t>RAGUNDA</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48147-2024</t>
        </is>
      </c>
      <c r="B1704" s="1" t="n">
        <v>45589</v>
      </c>
      <c r="C1704" s="1" t="n">
        <v>45835</v>
      </c>
      <c r="D1704" t="inlineStr">
        <is>
          <t>JÄMTLANDS LÄN</t>
        </is>
      </c>
      <c r="E1704" t="inlineStr">
        <is>
          <t>RAGUNDA</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48249-2024</t>
        </is>
      </c>
      <c r="B1705" s="1" t="n">
        <v>45590</v>
      </c>
      <c r="C1705" s="1" t="n">
        <v>45835</v>
      </c>
      <c r="D1705" t="inlineStr">
        <is>
          <t>JÄMTLANDS LÄN</t>
        </is>
      </c>
      <c r="E1705" t="inlineStr">
        <is>
          <t>RAGUNDA</t>
        </is>
      </c>
      <c r="F1705" t="inlineStr">
        <is>
          <t>SCA</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48192-2024</t>
        </is>
      </c>
      <c r="B1706" s="1" t="n">
        <v>45590</v>
      </c>
      <c r="C1706" s="1" t="n">
        <v>45835</v>
      </c>
      <c r="D1706" t="inlineStr">
        <is>
          <t>JÄMTLANDS LÄN</t>
        </is>
      </c>
      <c r="E1706" t="inlineStr">
        <is>
          <t>RAGUNDA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48666-2024</t>
        </is>
      </c>
      <c r="B1707" s="1" t="n">
        <v>45593</v>
      </c>
      <c r="C1707" s="1" t="n">
        <v>45835</v>
      </c>
      <c r="D1707" t="inlineStr">
        <is>
          <t>JÄMTLANDS LÄN</t>
        </is>
      </c>
      <c r="E1707" t="inlineStr">
        <is>
          <t>RAGUNDA</t>
        </is>
      </c>
      <c r="G1707" t="n">
        <v>14.2</v>
      </c>
      <c r="H1707" t="n">
        <v>0</v>
      </c>
      <c r="I1707" t="n">
        <v>0</v>
      </c>
      <c r="J1707" t="n">
        <v>0</v>
      </c>
      <c r="K1707" t="n">
        <v>0</v>
      </c>
      <c r="L1707" t="n">
        <v>0</v>
      </c>
      <c r="M1707" t="n">
        <v>0</v>
      </c>
      <c r="N1707" t="n">
        <v>0</v>
      </c>
      <c r="O1707" t="n">
        <v>0</v>
      </c>
      <c r="P1707" t="n">
        <v>0</v>
      </c>
      <c r="Q1707" t="n">
        <v>0</v>
      </c>
      <c r="R1707" s="2" t="inlineStr"/>
    </row>
    <row r="1708" ht="15" customHeight="1">
      <c r="A1708" t="inlineStr">
        <is>
          <t>A 49229-2024</t>
        </is>
      </c>
      <c r="B1708" s="1" t="n">
        <v>45595</v>
      </c>
      <c r="C1708" s="1" t="n">
        <v>45835</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49239-2024</t>
        </is>
      </c>
      <c r="B1709" s="1" t="n">
        <v>45595</v>
      </c>
      <c r="C1709" s="1" t="n">
        <v>45835</v>
      </c>
      <c r="D1709" t="inlineStr">
        <is>
          <t>JÄMTLANDS LÄN</t>
        </is>
      </c>
      <c r="E1709" t="inlineStr">
        <is>
          <t>RAGUNDA</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49348-2024</t>
        </is>
      </c>
      <c r="B1710" s="1" t="n">
        <v>45595</v>
      </c>
      <c r="C1710" s="1" t="n">
        <v>45835</v>
      </c>
      <c r="D1710" t="inlineStr">
        <is>
          <t>JÄMTLANDS LÄN</t>
        </is>
      </c>
      <c r="E1710" t="inlineStr">
        <is>
          <t>RAGUNDA</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49649-2024</t>
        </is>
      </c>
      <c r="B1711" s="1" t="n">
        <v>45596</v>
      </c>
      <c r="C1711" s="1" t="n">
        <v>45835</v>
      </c>
      <c r="D1711" t="inlineStr">
        <is>
          <t>JÄMTLANDS LÄN</t>
        </is>
      </c>
      <c r="E1711" t="inlineStr">
        <is>
          <t>RAGUNDA</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49650-2024</t>
        </is>
      </c>
      <c r="B1712" s="1" t="n">
        <v>45596</v>
      </c>
      <c r="C1712" s="1" t="n">
        <v>45835</v>
      </c>
      <c r="D1712" t="inlineStr">
        <is>
          <t>JÄMTLANDS LÄN</t>
        </is>
      </c>
      <c r="E1712" t="inlineStr">
        <is>
          <t>RAGUNDA</t>
        </is>
      </c>
      <c r="F1712" t="inlineStr">
        <is>
          <t>Naturvårdsverket</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49653-2024</t>
        </is>
      </c>
      <c r="B1713" s="1" t="n">
        <v>45596</v>
      </c>
      <c r="C1713" s="1" t="n">
        <v>45835</v>
      </c>
      <c r="D1713" t="inlineStr">
        <is>
          <t>JÄMTLANDS LÄN</t>
        </is>
      </c>
      <c r="E1713" t="inlineStr">
        <is>
          <t>RAGUNDA</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49647-2024</t>
        </is>
      </c>
      <c r="B1714" s="1" t="n">
        <v>45596</v>
      </c>
      <c r="C1714" s="1" t="n">
        <v>45835</v>
      </c>
      <c r="D1714" t="inlineStr">
        <is>
          <t>JÄMTLANDS LÄN</t>
        </is>
      </c>
      <c r="E1714" t="inlineStr">
        <is>
          <t>RAGUNDA</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49651-2024</t>
        </is>
      </c>
      <c r="B1715" s="1" t="n">
        <v>45596</v>
      </c>
      <c r="C1715" s="1" t="n">
        <v>45835</v>
      </c>
      <c r="D1715" t="inlineStr">
        <is>
          <t>JÄMTLANDS LÄN</t>
        </is>
      </c>
      <c r="E1715" t="inlineStr">
        <is>
          <t>RAGUNDA</t>
        </is>
      </c>
      <c r="F1715" t="inlineStr">
        <is>
          <t>SCA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49787-2024</t>
        </is>
      </c>
      <c r="B1716" s="1" t="n">
        <v>45597</v>
      </c>
      <c r="C1716" s="1" t="n">
        <v>45835</v>
      </c>
      <c r="D1716" t="inlineStr">
        <is>
          <t>JÄMTLANDS LÄN</t>
        </is>
      </c>
      <c r="E1716" t="inlineStr">
        <is>
          <t>RAGUNDA</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50011-2024</t>
        </is>
      </c>
      <c r="B1717" s="1" t="n">
        <v>45598</v>
      </c>
      <c r="C1717" s="1" t="n">
        <v>45835</v>
      </c>
      <c r="D1717" t="inlineStr">
        <is>
          <t>JÄMTLANDS LÄN</t>
        </is>
      </c>
      <c r="E1717" t="inlineStr">
        <is>
          <t>RAGUNDA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50521-2024</t>
        </is>
      </c>
      <c r="B1718" s="1" t="n">
        <v>45601</v>
      </c>
      <c r="C1718" s="1" t="n">
        <v>45835</v>
      </c>
      <c r="D1718" t="inlineStr">
        <is>
          <t>JÄMTLANDS LÄN</t>
        </is>
      </c>
      <c r="E1718" t="inlineStr">
        <is>
          <t>RAGUNDA</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50555-2024</t>
        </is>
      </c>
      <c r="B1719" s="1" t="n">
        <v>45601</v>
      </c>
      <c r="C1719" s="1" t="n">
        <v>45835</v>
      </c>
      <c r="D1719" t="inlineStr">
        <is>
          <t>JÄMTLANDS LÄN</t>
        </is>
      </c>
      <c r="E1719" t="inlineStr">
        <is>
          <t>RAGUNDA</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50432-2024</t>
        </is>
      </c>
      <c r="B1720" s="1" t="n">
        <v>45601</v>
      </c>
      <c r="C1720" s="1" t="n">
        <v>45835</v>
      </c>
      <c r="D1720" t="inlineStr">
        <is>
          <t>JÄMTLANDS LÄN</t>
        </is>
      </c>
      <c r="E1720" t="inlineStr">
        <is>
          <t>RAGUNDA</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50503-2024</t>
        </is>
      </c>
      <c r="B1721" s="1" t="n">
        <v>45601</v>
      </c>
      <c r="C1721" s="1" t="n">
        <v>45835</v>
      </c>
      <c r="D1721" t="inlineStr">
        <is>
          <t>JÄMTLANDS LÄN</t>
        </is>
      </c>
      <c r="E1721" t="inlineStr">
        <is>
          <t>RAGUNDA</t>
        </is>
      </c>
      <c r="F1721" t="inlineStr">
        <is>
          <t>SCA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50623-2024</t>
        </is>
      </c>
      <c r="B1722" s="1" t="n">
        <v>45601</v>
      </c>
      <c r="C1722" s="1" t="n">
        <v>45835</v>
      </c>
      <c r="D1722" t="inlineStr">
        <is>
          <t>JÄMTLANDS LÄN</t>
        </is>
      </c>
      <c r="E1722" t="inlineStr">
        <is>
          <t>RAGUNDA</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50431-2024</t>
        </is>
      </c>
      <c r="B1723" s="1" t="n">
        <v>45601</v>
      </c>
      <c r="C1723" s="1" t="n">
        <v>45835</v>
      </c>
      <c r="D1723" t="inlineStr">
        <is>
          <t>JÄMTLANDS LÄN</t>
        </is>
      </c>
      <c r="E1723" t="inlineStr">
        <is>
          <t>RAGUNDA</t>
        </is>
      </c>
      <c r="F1723" t="inlineStr">
        <is>
          <t>SCA</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51066-2024</t>
        </is>
      </c>
      <c r="B1724" s="1" t="n">
        <v>45603</v>
      </c>
      <c r="C1724" s="1" t="n">
        <v>45835</v>
      </c>
      <c r="D1724" t="inlineStr">
        <is>
          <t>JÄMTLANDS LÄN</t>
        </is>
      </c>
      <c r="E1724" t="inlineStr">
        <is>
          <t>RAGUNDA</t>
        </is>
      </c>
      <c r="F1724" t="inlineStr">
        <is>
          <t>SCA</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51245-2024</t>
        </is>
      </c>
      <c r="B1725" s="1" t="n">
        <v>45603</v>
      </c>
      <c r="C1725" s="1" t="n">
        <v>45835</v>
      </c>
      <c r="D1725" t="inlineStr">
        <is>
          <t>JÄMTLANDS LÄN</t>
        </is>
      </c>
      <c r="E1725" t="inlineStr">
        <is>
          <t>RAGUNDA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51049-2024</t>
        </is>
      </c>
      <c r="B1726" s="1" t="n">
        <v>45603</v>
      </c>
      <c r="C1726" s="1" t="n">
        <v>45835</v>
      </c>
      <c r="D1726" t="inlineStr">
        <is>
          <t>JÄMTLANDS LÄN</t>
        </is>
      </c>
      <c r="E1726" t="inlineStr">
        <is>
          <t>RAGUNDA</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51396-2024</t>
        </is>
      </c>
      <c r="B1727" s="1" t="n">
        <v>45604</v>
      </c>
      <c r="C1727" s="1" t="n">
        <v>45835</v>
      </c>
      <c r="D1727" t="inlineStr">
        <is>
          <t>JÄMTLANDS LÄN</t>
        </is>
      </c>
      <c r="E1727" t="inlineStr">
        <is>
          <t>RAGUNDA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51412-2024</t>
        </is>
      </c>
      <c r="B1728" s="1" t="n">
        <v>45604</v>
      </c>
      <c r="C1728" s="1" t="n">
        <v>45835</v>
      </c>
      <c r="D1728" t="inlineStr">
        <is>
          <t>JÄMTLANDS LÄN</t>
        </is>
      </c>
      <c r="E1728" t="inlineStr">
        <is>
          <t>RAGUNDA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51335-2024</t>
        </is>
      </c>
      <c r="B1729" s="1" t="n">
        <v>45604</v>
      </c>
      <c r="C1729" s="1" t="n">
        <v>45835</v>
      </c>
      <c r="D1729" t="inlineStr">
        <is>
          <t>JÄMTLANDS LÄN</t>
        </is>
      </c>
      <c r="E1729" t="inlineStr">
        <is>
          <t>RAGUNDA</t>
        </is>
      </c>
      <c r="F1729" t="inlineStr">
        <is>
          <t>SCA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51579-2024</t>
        </is>
      </c>
      <c r="B1730" s="1" t="n">
        <v>45604</v>
      </c>
      <c r="C1730" s="1" t="n">
        <v>45835</v>
      </c>
      <c r="D1730" t="inlineStr">
        <is>
          <t>JÄMTLANDS LÄN</t>
        </is>
      </c>
      <c r="E1730" t="inlineStr">
        <is>
          <t>RAGUNDA</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51389-2024</t>
        </is>
      </c>
      <c r="B1731" s="1" t="n">
        <v>45604</v>
      </c>
      <c r="C1731" s="1" t="n">
        <v>45835</v>
      </c>
      <c r="D1731" t="inlineStr">
        <is>
          <t>JÄMTLANDS LÄN</t>
        </is>
      </c>
      <c r="E1731" t="inlineStr">
        <is>
          <t>RAGUNDA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51393-2024</t>
        </is>
      </c>
      <c r="B1732" s="1" t="n">
        <v>45604</v>
      </c>
      <c r="C1732" s="1" t="n">
        <v>45835</v>
      </c>
      <c r="D1732" t="inlineStr">
        <is>
          <t>JÄMTLANDS LÄN</t>
        </is>
      </c>
      <c r="E1732" t="inlineStr">
        <is>
          <t>RAGUNDA</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51397-2024</t>
        </is>
      </c>
      <c r="B1733" s="1" t="n">
        <v>45604</v>
      </c>
      <c r="C1733" s="1" t="n">
        <v>45835</v>
      </c>
      <c r="D1733" t="inlineStr">
        <is>
          <t>JÄMTLANDS LÄN</t>
        </is>
      </c>
      <c r="E1733" t="inlineStr">
        <is>
          <t>RAGUNDA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51417-2024</t>
        </is>
      </c>
      <c r="B1734" s="1" t="n">
        <v>45604</v>
      </c>
      <c r="C1734" s="1" t="n">
        <v>45835</v>
      </c>
      <c r="D1734" t="inlineStr">
        <is>
          <t>JÄMTLANDS LÄN</t>
        </is>
      </c>
      <c r="E1734" t="inlineStr">
        <is>
          <t>RAGUNDA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52013-2024</t>
        </is>
      </c>
      <c r="B1735" s="1" t="n">
        <v>45607</v>
      </c>
      <c r="C1735" s="1" t="n">
        <v>45835</v>
      </c>
      <c r="D1735" t="inlineStr">
        <is>
          <t>JÄMTLANDS LÄN</t>
        </is>
      </c>
      <c r="E1735" t="inlineStr">
        <is>
          <t>RAGUNDA</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52228-2024</t>
        </is>
      </c>
      <c r="B1736" s="1" t="n">
        <v>45608</v>
      </c>
      <c r="C1736" s="1" t="n">
        <v>45835</v>
      </c>
      <c r="D1736" t="inlineStr">
        <is>
          <t>JÄMTLANDS LÄN</t>
        </is>
      </c>
      <c r="E1736" t="inlineStr">
        <is>
          <t>RAGUNDA</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52148-2024</t>
        </is>
      </c>
      <c r="B1737" s="1" t="n">
        <v>45608</v>
      </c>
      <c r="C1737" s="1" t="n">
        <v>45835</v>
      </c>
      <c r="D1737" t="inlineStr">
        <is>
          <t>JÄMTLANDS LÄN</t>
        </is>
      </c>
      <c r="E1737" t="inlineStr">
        <is>
          <t>RAGUNDA</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52345-2024</t>
        </is>
      </c>
      <c r="B1738" s="1" t="n">
        <v>45609</v>
      </c>
      <c r="C1738" s="1" t="n">
        <v>45835</v>
      </c>
      <c r="D1738" t="inlineStr">
        <is>
          <t>JÄMTLANDS LÄN</t>
        </is>
      </c>
      <c r="E1738" t="inlineStr">
        <is>
          <t>RAGUNDA</t>
        </is>
      </c>
      <c r="F1738" t="inlineStr">
        <is>
          <t>SCA</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52599-2024</t>
        </is>
      </c>
      <c r="B1739" s="1" t="n">
        <v>45609</v>
      </c>
      <c r="C1739" s="1" t="n">
        <v>45835</v>
      </c>
      <c r="D1739" t="inlineStr">
        <is>
          <t>JÄMTLANDS LÄN</t>
        </is>
      </c>
      <c r="E1739" t="inlineStr">
        <is>
          <t>RAGUNDA</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52708-2024</t>
        </is>
      </c>
      <c r="B1740" s="1" t="n">
        <v>45610</v>
      </c>
      <c r="C1740" s="1" t="n">
        <v>45835</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53171-2024</t>
        </is>
      </c>
      <c r="B1741" s="1" t="n">
        <v>45611</v>
      </c>
      <c r="C1741" s="1" t="n">
        <v>45835</v>
      </c>
      <c r="D1741" t="inlineStr">
        <is>
          <t>JÄMTLANDS LÄN</t>
        </is>
      </c>
      <c r="E1741" t="inlineStr">
        <is>
          <t>RAGUNDA</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53133-2024</t>
        </is>
      </c>
      <c r="B1742" s="1" t="n">
        <v>45611</v>
      </c>
      <c r="C1742" s="1" t="n">
        <v>45835</v>
      </c>
      <c r="D1742" t="inlineStr">
        <is>
          <t>JÄMTLANDS LÄN</t>
        </is>
      </c>
      <c r="E1742" t="inlineStr">
        <is>
          <t>RAGUNDA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53136-2024</t>
        </is>
      </c>
      <c r="B1743" s="1" t="n">
        <v>45611</v>
      </c>
      <c r="C1743" s="1" t="n">
        <v>45835</v>
      </c>
      <c r="D1743" t="inlineStr">
        <is>
          <t>JÄMTLANDS LÄN</t>
        </is>
      </c>
      <c r="E1743" t="inlineStr">
        <is>
          <t>RAGUNDA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53144-2024</t>
        </is>
      </c>
      <c r="B1744" s="1" t="n">
        <v>45611</v>
      </c>
      <c r="C1744" s="1" t="n">
        <v>45835</v>
      </c>
      <c r="D1744" t="inlineStr">
        <is>
          <t>JÄMTLANDS LÄN</t>
        </is>
      </c>
      <c r="E1744" t="inlineStr">
        <is>
          <t>RAGUNDA</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53135-2024</t>
        </is>
      </c>
      <c r="B1745" s="1" t="n">
        <v>45611</v>
      </c>
      <c r="C1745" s="1" t="n">
        <v>45835</v>
      </c>
      <c r="D1745" t="inlineStr">
        <is>
          <t>JÄMTLANDS LÄN</t>
        </is>
      </c>
      <c r="E1745" t="inlineStr">
        <is>
          <t>RAGUNDA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53134-2024</t>
        </is>
      </c>
      <c r="B1746" s="1" t="n">
        <v>45611</v>
      </c>
      <c r="C1746" s="1" t="n">
        <v>45835</v>
      </c>
      <c r="D1746" t="inlineStr">
        <is>
          <t>JÄMTLANDS LÄN</t>
        </is>
      </c>
      <c r="E1746" t="inlineStr">
        <is>
          <t>RAGUNDA</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53551-2024</t>
        </is>
      </c>
      <c r="B1747" s="1" t="n">
        <v>45614</v>
      </c>
      <c r="C1747" s="1" t="n">
        <v>45835</v>
      </c>
      <c r="D1747" t="inlineStr">
        <is>
          <t>JÄMTLANDS LÄN</t>
        </is>
      </c>
      <c r="E1747" t="inlineStr">
        <is>
          <t>RAGUNDA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53561-2024</t>
        </is>
      </c>
      <c r="B1748" s="1" t="n">
        <v>45614</v>
      </c>
      <c r="C1748" s="1" t="n">
        <v>45835</v>
      </c>
      <c r="D1748" t="inlineStr">
        <is>
          <t>JÄMTLANDS LÄN</t>
        </is>
      </c>
      <c r="E1748" t="inlineStr">
        <is>
          <t>RAGUNDA</t>
        </is>
      </c>
      <c r="F1748" t="inlineStr">
        <is>
          <t>Naturvårdsverket</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53264-2024</t>
        </is>
      </c>
      <c r="B1749" s="1" t="n">
        <v>45614</v>
      </c>
      <c r="C1749" s="1" t="n">
        <v>45835</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53549-2024</t>
        </is>
      </c>
      <c r="B1750" s="1" t="n">
        <v>45614</v>
      </c>
      <c r="C1750" s="1" t="n">
        <v>45835</v>
      </c>
      <c r="D1750" t="inlineStr">
        <is>
          <t>JÄMTLANDS LÄN</t>
        </is>
      </c>
      <c r="E1750" t="inlineStr">
        <is>
          <t>RAGUNDA</t>
        </is>
      </c>
      <c r="F1750" t="inlineStr">
        <is>
          <t>Kyrkan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53263-2024</t>
        </is>
      </c>
      <c r="B1751" s="1" t="n">
        <v>45614</v>
      </c>
      <c r="C1751" s="1" t="n">
        <v>45835</v>
      </c>
      <c r="D1751" t="inlineStr">
        <is>
          <t>JÄMTLANDS LÄN</t>
        </is>
      </c>
      <c r="E1751" t="inlineStr">
        <is>
          <t>RAGUNDA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53714-2024</t>
        </is>
      </c>
      <c r="B1752" s="1" t="n">
        <v>45615</v>
      </c>
      <c r="C1752" s="1" t="n">
        <v>45835</v>
      </c>
      <c r="D1752" t="inlineStr">
        <is>
          <t>JÄMTLANDS LÄN</t>
        </is>
      </c>
      <c r="E1752" t="inlineStr">
        <is>
          <t>RAGUNDA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53740-2024</t>
        </is>
      </c>
      <c r="B1753" s="1" t="n">
        <v>45615</v>
      </c>
      <c r="C1753" s="1" t="n">
        <v>45835</v>
      </c>
      <c r="D1753" t="inlineStr">
        <is>
          <t>JÄMTLANDS LÄN</t>
        </is>
      </c>
      <c r="E1753" t="inlineStr">
        <is>
          <t>RAGUNDA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53757-2024</t>
        </is>
      </c>
      <c r="B1754" s="1" t="n">
        <v>45615</v>
      </c>
      <c r="C1754" s="1" t="n">
        <v>45835</v>
      </c>
      <c r="D1754" t="inlineStr">
        <is>
          <t>JÄMTLANDS LÄN</t>
        </is>
      </c>
      <c r="E1754" t="inlineStr">
        <is>
          <t>RAGUNDA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53990-2024</t>
        </is>
      </c>
      <c r="B1755" s="1" t="n">
        <v>45616</v>
      </c>
      <c r="C1755" s="1" t="n">
        <v>45835</v>
      </c>
      <c r="D1755" t="inlineStr">
        <is>
          <t>JÄMTLANDS LÄN</t>
        </is>
      </c>
      <c r="E1755" t="inlineStr">
        <is>
          <t>RAGUNDA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54061-2024</t>
        </is>
      </c>
      <c r="B1756" s="1" t="n">
        <v>45616</v>
      </c>
      <c r="C1756" s="1" t="n">
        <v>45835</v>
      </c>
      <c r="D1756" t="inlineStr">
        <is>
          <t>JÄMTLANDS LÄN</t>
        </is>
      </c>
      <c r="E1756" t="inlineStr">
        <is>
          <t>RAGUNDA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54092-2024</t>
        </is>
      </c>
      <c r="B1757" s="1" t="n">
        <v>45616</v>
      </c>
      <c r="C1757" s="1" t="n">
        <v>45835</v>
      </c>
      <c r="D1757" t="inlineStr">
        <is>
          <t>JÄMTLANDS LÄN</t>
        </is>
      </c>
      <c r="E1757" t="inlineStr">
        <is>
          <t>RAGUNDA</t>
        </is>
      </c>
      <c r="F1757" t="inlineStr">
        <is>
          <t>Naturvårdsverket</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53989-2024</t>
        </is>
      </c>
      <c r="B1758" s="1" t="n">
        <v>45616</v>
      </c>
      <c r="C1758" s="1" t="n">
        <v>45835</v>
      </c>
      <c r="D1758" t="inlineStr">
        <is>
          <t>JÄMTLANDS LÄN</t>
        </is>
      </c>
      <c r="E1758" t="inlineStr">
        <is>
          <t>RAGUNDA</t>
        </is>
      </c>
      <c r="F1758" t="inlineStr">
        <is>
          <t>SCA</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54232-2024</t>
        </is>
      </c>
      <c r="B1759" s="1" t="n">
        <v>45616</v>
      </c>
      <c r="C1759" s="1" t="n">
        <v>45835</v>
      </c>
      <c r="D1759" t="inlineStr">
        <is>
          <t>JÄMTLANDS LÄN</t>
        </is>
      </c>
      <c r="E1759" t="inlineStr">
        <is>
          <t>RAGUNDA</t>
        </is>
      </c>
      <c r="F1759" t="inlineStr">
        <is>
          <t>Naturvårdsverket</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54339-2024</t>
        </is>
      </c>
      <c r="B1760" s="1" t="n">
        <v>45617</v>
      </c>
      <c r="C1760" s="1" t="n">
        <v>45835</v>
      </c>
      <c r="D1760" t="inlineStr">
        <is>
          <t>JÄMTLANDS LÄN</t>
        </is>
      </c>
      <c r="E1760" t="inlineStr">
        <is>
          <t>RAGUNDA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54476-2024</t>
        </is>
      </c>
      <c r="B1761" s="1" t="n">
        <v>45617</v>
      </c>
      <c r="C1761" s="1" t="n">
        <v>45835</v>
      </c>
      <c r="D1761" t="inlineStr">
        <is>
          <t>JÄMTLANDS LÄN</t>
        </is>
      </c>
      <c r="E1761" t="inlineStr">
        <is>
          <t>RAGUNDA</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54733-2024</t>
        </is>
      </c>
      <c r="B1762" s="1" t="n">
        <v>45618</v>
      </c>
      <c r="C1762" s="1" t="n">
        <v>45835</v>
      </c>
      <c r="D1762" t="inlineStr">
        <is>
          <t>JÄMTLANDS LÄN</t>
        </is>
      </c>
      <c r="E1762" t="inlineStr">
        <is>
          <t>RAGUNDA</t>
        </is>
      </c>
      <c r="F1762" t="inlineStr">
        <is>
          <t>SCA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54694-2024</t>
        </is>
      </c>
      <c r="B1763" s="1" t="n">
        <v>45618</v>
      </c>
      <c r="C1763" s="1" t="n">
        <v>45835</v>
      </c>
      <c r="D1763" t="inlineStr">
        <is>
          <t>JÄMTLANDS LÄN</t>
        </is>
      </c>
      <c r="E1763" t="inlineStr">
        <is>
          <t>RAGUNDA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54764-2024</t>
        </is>
      </c>
      <c r="B1764" s="1" t="n">
        <v>45618</v>
      </c>
      <c r="C1764" s="1" t="n">
        <v>45835</v>
      </c>
      <c r="D1764" t="inlineStr">
        <is>
          <t>JÄMTLANDS LÄN</t>
        </is>
      </c>
      <c r="E1764" t="inlineStr">
        <is>
          <t>RAGUNDA</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55222-2024</t>
        </is>
      </c>
      <c r="B1765" s="1" t="n">
        <v>45621</v>
      </c>
      <c r="C1765" s="1" t="n">
        <v>45835</v>
      </c>
      <c r="D1765" t="inlineStr">
        <is>
          <t>JÄMTLANDS LÄN</t>
        </is>
      </c>
      <c r="E1765" t="inlineStr">
        <is>
          <t>RAGUNDA</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55489-2024</t>
        </is>
      </c>
      <c r="B1766" s="1" t="n">
        <v>45622</v>
      </c>
      <c r="C1766" s="1" t="n">
        <v>45835</v>
      </c>
      <c r="D1766" t="inlineStr">
        <is>
          <t>JÄMTLANDS LÄN</t>
        </is>
      </c>
      <c r="E1766" t="inlineStr">
        <is>
          <t>RAGUNDA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55571-2024</t>
        </is>
      </c>
      <c r="B1767" s="1" t="n">
        <v>45622</v>
      </c>
      <c r="C1767" s="1" t="n">
        <v>45835</v>
      </c>
      <c r="D1767" t="inlineStr">
        <is>
          <t>JÄMTLANDS LÄN</t>
        </is>
      </c>
      <c r="E1767" t="inlineStr">
        <is>
          <t>RAGUNDA</t>
        </is>
      </c>
      <c r="F1767" t="inlineStr">
        <is>
          <t>SCA</t>
        </is>
      </c>
      <c r="G1767" t="n">
        <v>41.5</v>
      </c>
      <c r="H1767" t="n">
        <v>0</v>
      </c>
      <c r="I1767" t="n">
        <v>0</v>
      </c>
      <c r="J1767" t="n">
        <v>0</v>
      </c>
      <c r="K1767" t="n">
        <v>0</v>
      </c>
      <c r="L1767" t="n">
        <v>0</v>
      </c>
      <c r="M1767" t="n">
        <v>0</v>
      </c>
      <c r="N1767" t="n">
        <v>0</v>
      </c>
      <c r="O1767" t="n">
        <v>0</v>
      </c>
      <c r="P1767" t="n">
        <v>0</v>
      </c>
      <c r="Q1767" t="n">
        <v>0</v>
      </c>
      <c r="R1767" s="2" t="inlineStr"/>
    </row>
    <row r="1768" ht="15" customHeight="1">
      <c r="A1768" t="inlineStr">
        <is>
          <t>A 55421-2024</t>
        </is>
      </c>
      <c r="B1768" s="1" t="n">
        <v>45622</v>
      </c>
      <c r="C1768" s="1" t="n">
        <v>45835</v>
      </c>
      <c r="D1768" t="inlineStr">
        <is>
          <t>JÄMTLANDS LÄN</t>
        </is>
      </c>
      <c r="E1768" t="inlineStr">
        <is>
          <t>RAGUNDA</t>
        </is>
      </c>
      <c r="F1768" t="inlineStr">
        <is>
          <t>SCA</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55508-2024</t>
        </is>
      </c>
      <c r="B1769" s="1" t="n">
        <v>45622</v>
      </c>
      <c r="C1769" s="1" t="n">
        <v>45835</v>
      </c>
      <c r="D1769" t="inlineStr">
        <is>
          <t>JÄMTLANDS LÄN</t>
        </is>
      </c>
      <c r="E1769" t="inlineStr">
        <is>
          <t>RAGUNDA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55536-2024</t>
        </is>
      </c>
      <c r="B1770" s="1" t="n">
        <v>45622</v>
      </c>
      <c r="C1770" s="1" t="n">
        <v>45835</v>
      </c>
      <c r="D1770" t="inlineStr">
        <is>
          <t>JÄMTLANDS LÄN</t>
        </is>
      </c>
      <c r="E1770" t="inlineStr">
        <is>
          <t>RAGUNDA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55514-2024</t>
        </is>
      </c>
      <c r="B1771" s="1" t="n">
        <v>45622</v>
      </c>
      <c r="C1771" s="1" t="n">
        <v>45835</v>
      </c>
      <c r="D1771" t="inlineStr">
        <is>
          <t>JÄMTLANDS LÄN</t>
        </is>
      </c>
      <c r="E1771" t="inlineStr">
        <is>
          <t>RAGUNDA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55524-2024</t>
        </is>
      </c>
      <c r="B1772" s="1" t="n">
        <v>45622</v>
      </c>
      <c r="C1772" s="1" t="n">
        <v>45835</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55533-2024</t>
        </is>
      </c>
      <c r="B1773" s="1" t="n">
        <v>45622</v>
      </c>
      <c r="C1773" s="1" t="n">
        <v>45835</v>
      </c>
      <c r="D1773" t="inlineStr">
        <is>
          <t>JÄMTLANDS LÄN</t>
        </is>
      </c>
      <c r="E1773" t="inlineStr">
        <is>
          <t>RAGUNDA</t>
        </is>
      </c>
      <c r="F1773" t="inlineStr">
        <is>
          <t>SCA</t>
        </is>
      </c>
      <c r="G1773" t="n">
        <v>26.3</v>
      </c>
      <c r="H1773" t="n">
        <v>0</v>
      </c>
      <c r="I1773" t="n">
        <v>0</v>
      </c>
      <c r="J1773" t="n">
        <v>0</v>
      </c>
      <c r="K1773" t="n">
        <v>0</v>
      </c>
      <c r="L1773" t="n">
        <v>0</v>
      </c>
      <c r="M1773" t="n">
        <v>0</v>
      </c>
      <c r="N1773" t="n">
        <v>0</v>
      </c>
      <c r="O1773" t="n">
        <v>0</v>
      </c>
      <c r="P1773" t="n">
        <v>0</v>
      </c>
      <c r="Q1773" t="n">
        <v>0</v>
      </c>
      <c r="R1773" s="2" t="inlineStr"/>
    </row>
    <row r="1774" ht="15" customHeight="1">
      <c r="A1774" t="inlineStr">
        <is>
          <t>A 55803-2024</t>
        </is>
      </c>
      <c r="B1774" s="1" t="n">
        <v>45623</v>
      </c>
      <c r="C1774" s="1" t="n">
        <v>45835</v>
      </c>
      <c r="D1774" t="inlineStr">
        <is>
          <t>JÄMTLANDS LÄN</t>
        </is>
      </c>
      <c r="E1774" t="inlineStr">
        <is>
          <t>RAGUNDA</t>
        </is>
      </c>
      <c r="F1774" t="inlineStr">
        <is>
          <t>SCA</t>
        </is>
      </c>
      <c r="G1774" t="n">
        <v>19.4</v>
      </c>
      <c r="H1774" t="n">
        <v>0</v>
      </c>
      <c r="I1774" t="n">
        <v>0</v>
      </c>
      <c r="J1774" t="n">
        <v>0</v>
      </c>
      <c r="K1774" t="n">
        <v>0</v>
      </c>
      <c r="L1774" t="n">
        <v>0</v>
      </c>
      <c r="M1774" t="n">
        <v>0</v>
      </c>
      <c r="N1774" t="n">
        <v>0</v>
      </c>
      <c r="O1774" t="n">
        <v>0</v>
      </c>
      <c r="P1774" t="n">
        <v>0</v>
      </c>
      <c r="Q1774" t="n">
        <v>0</v>
      </c>
      <c r="R1774" s="2" t="inlineStr"/>
    </row>
    <row r="1775" ht="15" customHeight="1">
      <c r="A1775" t="inlineStr">
        <is>
          <t>A 55804-2024</t>
        </is>
      </c>
      <c r="B1775" s="1" t="n">
        <v>45623</v>
      </c>
      <c r="C1775" s="1" t="n">
        <v>45835</v>
      </c>
      <c r="D1775" t="inlineStr">
        <is>
          <t>JÄMTLANDS LÄN</t>
        </is>
      </c>
      <c r="E1775" t="inlineStr">
        <is>
          <t>RAGUNDA</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56504-2024</t>
        </is>
      </c>
      <c r="B1776" s="1" t="n">
        <v>45625</v>
      </c>
      <c r="C1776" s="1" t="n">
        <v>45835</v>
      </c>
      <c r="D1776" t="inlineStr">
        <is>
          <t>JÄMTLANDS LÄN</t>
        </is>
      </c>
      <c r="E1776" t="inlineStr">
        <is>
          <t>RAGUNDA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56893-2024</t>
        </is>
      </c>
      <c r="B1777" s="1" t="n">
        <v>45628</v>
      </c>
      <c r="C1777" s="1" t="n">
        <v>45835</v>
      </c>
      <c r="D1777" t="inlineStr">
        <is>
          <t>JÄMTLANDS LÄN</t>
        </is>
      </c>
      <c r="E1777" t="inlineStr">
        <is>
          <t>RAGUNDA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57086-2024</t>
        </is>
      </c>
      <c r="B1778" s="1" t="n">
        <v>45629</v>
      </c>
      <c r="C1778" s="1" t="n">
        <v>45835</v>
      </c>
      <c r="D1778" t="inlineStr">
        <is>
          <t>JÄMTLANDS LÄN</t>
        </is>
      </c>
      <c r="E1778" t="inlineStr">
        <is>
          <t>RAGUNDA</t>
        </is>
      </c>
      <c r="F1778" t="inlineStr">
        <is>
          <t>SCA</t>
        </is>
      </c>
      <c r="G1778" t="n">
        <v>24.6</v>
      </c>
      <c r="H1778" t="n">
        <v>0</v>
      </c>
      <c r="I1778" t="n">
        <v>0</v>
      </c>
      <c r="J1778" t="n">
        <v>0</v>
      </c>
      <c r="K1778" t="n">
        <v>0</v>
      </c>
      <c r="L1778" t="n">
        <v>0</v>
      </c>
      <c r="M1778" t="n">
        <v>0</v>
      </c>
      <c r="N1778" t="n">
        <v>0</v>
      </c>
      <c r="O1778" t="n">
        <v>0</v>
      </c>
      <c r="P1778" t="n">
        <v>0</v>
      </c>
      <c r="Q1778" t="n">
        <v>0</v>
      </c>
      <c r="R1778" s="2" t="inlineStr"/>
    </row>
    <row r="1779" ht="15" customHeight="1">
      <c r="A1779" t="inlineStr">
        <is>
          <t>A 57112-2024</t>
        </is>
      </c>
      <c r="B1779" s="1" t="n">
        <v>45629</v>
      </c>
      <c r="C1779" s="1" t="n">
        <v>45835</v>
      </c>
      <c r="D1779" t="inlineStr">
        <is>
          <t>JÄMTLANDS LÄN</t>
        </is>
      </c>
      <c r="E1779" t="inlineStr">
        <is>
          <t>RAGUNDA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57116-2024</t>
        </is>
      </c>
      <c r="B1780" s="1" t="n">
        <v>45629</v>
      </c>
      <c r="C1780" s="1" t="n">
        <v>45835</v>
      </c>
      <c r="D1780" t="inlineStr">
        <is>
          <t>JÄMTLANDS LÄN</t>
        </is>
      </c>
      <c r="E1780" t="inlineStr">
        <is>
          <t>RAGUNDA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57064-2024</t>
        </is>
      </c>
      <c r="B1781" s="1" t="n">
        <v>45629</v>
      </c>
      <c r="C1781" s="1" t="n">
        <v>45835</v>
      </c>
      <c r="D1781" t="inlineStr">
        <is>
          <t>JÄMTLANDS LÄN</t>
        </is>
      </c>
      <c r="E1781" t="inlineStr">
        <is>
          <t>RAGUNDA</t>
        </is>
      </c>
      <c r="F1781" t="inlineStr">
        <is>
          <t>Naturvårdsverket</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57170-2024</t>
        </is>
      </c>
      <c r="B1782" s="1" t="n">
        <v>45629</v>
      </c>
      <c r="C1782" s="1" t="n">
        <v>45835</v>
      </c>
      <c r="D1782" t="inlineStr">
        <is>
          <t>JÄMTLANDS LÄN</t>
        </is>
      </c>
      <c r="E1782" t="inlineStr">
        <is>
          <t>RAGUNDA</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57749-2024</t>
        </is>
      </c>
      <c r="B1783" s="1" t="n">
        <v>45630</v>
      </c>
      <c r="C1783" s="1" t="n">
        <v>45835</v>
      </c>
      <c r="D1783" t="inlineStr">
        <is>
          <t>JÄMTLANDS LÄN</t>
        </is>
      </c>
      <c r="E1783" t="inlineStr">
        <is>
          <t>RAGUNDA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57842-2024</t>
        </is>
      </c>
      <c r="B1784" s="1" t="n">
        <v>45631</v>
      </c>
      <c r="C1784" s="1" t="n">
        <v>45835</v>
      </c>
      <c r="D1784" t="inlineStr">
        <is>
          <t>JÄMTLANDS LÄN</t>
        </is>
      </c>
      <c r="E1784" t="inlineStr">
        <is>
          <t>RAGUNDA</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57889-2024</t>
        </is>
      </c>
      <c r="B1785" s="1" t="n">
        <v>45631</v>
      </c>
      <c r="C1785" s="1" t="n">
        <v>45835</v>
      </c>
      <c r="D1785" t="inlineStr">
        <is>
          <t>JÄMTLANDS LÄN</t>
        </is>
      </c>
      <c r="E1785" t="inlineStr">
        <is>
          <t>RAGUNDA</t>
        </is>
      </c>
      <c r="G1785" t="n">
        <v>11.1</v>
      </c>
      <c r="H1785" t="n">
        <v>0</v>
      </c>
      <c r="I1785" t="n">
        <v>0</v>
      </c>
      <c r="J1785" t="n">
        <v>0</v>
      </c>
      <c r="K1785" t="n">
        <v>0</v>
      </c>
      <c r="L1785" t="n">
        <v>0</v>
      </c>
      <c r="M1785" t="n">
        <v>0</v>
      </c>
      <c r="N1785" t="n">
        <v>0</v>
      </c>
      <c r="O1785" t="n">
        <v>0</v>
      </c>
      <c r="P1785" t="n">
        <v>0</v>
      </c>
      <c r="Q1785" t="n">
        <v>0</v>
      </c>
      <c r="R1785" s="2" t="inlineStr"/>
    </row>
    <row r="1786" ht="15" customHeight="1">
      <c r="A1786" t="inlineStr">
        <is>
          <t>A 57992-2024</t>
        </is>
      </c>
      <c r="B1786" s="1" t="n">
        <v>45631</v>
      </c>
      <c r="C1786" s="1" t="n">
        <v>45835</v>
      </c>
      <c r="D1786" t="inlineStr">
        <is>
          <t>JÄMTLANDS LÄN</t>
        </is>
      </c>
      <c r="E1786" t="inlineStr">
        <is>
          <t>RAGUNDA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58563-2024</t>
        </is>
      </c>
      <c r="B1787" s="1" t="n">
        <v>45635</v>
      </c>
      <c r="C1787" s="1" t="n">
        <v>45835</v>
      </c>
      <c r="D1787" t="inlineStr">
        <is>
          <t>JÄMTLANDS LÄN</t>
        </is>
      </c>
      <c r="E1787" t="inlineStr">
        <is>
          <t>RAGUNDA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58630-2024</t>
        </is>
      </c>
      <c r="B1788" s="1" t="n">
        <v>45635</v>
      </c>
      <c r="C1788" s="1" t="n">
        <v>45835</v>
      </c>
      <c r="D1788" t="inlineStr">
        <is>
          <t>JÄMTLANDS LÄN</t>
        </is>
      </c>
      <c r="E1788" t="inlineStr">
        <is>
          <t>RAGUNDA</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58564-2024</t>
        </is>
      </c>
      <c r="B1789" s="1" t="n">
        <v>45635</v>
      </c>
      <c r="C1789" s="1" t="n">
        <v>45835</v>
      </c>
      <c r="D1789" t="inlineStr">
        <is>
          <t>JÄMTLANDS LÄN</t>
        </is>
      </c>
      <c r="E1789" t="inlineStr">
        <is>
          <t>RAGUNDA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58562-2024</t>
        </is>
      </c>
      <c r="B1790" s="1" t="n">
        <v>45635</v>
      </c>
      <c r="C1790" s="1" t="n">
        <v>45835</v>
      </c>
      <c r="D1790" t="inlineStr">
        <is>
          <t>JÄMTLANDS LÄN</t>
        </is>
      </c>
      <c r="E1790" t="inlineStr">
        <is>
          <t>RAGUNDA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58955-2024</t>
        </is>
      </c>
      <c r="B1791" s="1" t="n">
        <v>45636</v>
      </c>
      <c r="C1791" s="1" t="n">
        <v>45835</v>
      </c>
      <c r="D1791" t="inlineStr">
        <is>
          <t>JÄMTLANDS LÄN</t>
        </is>
      </c>
      <c r="E1791" t="inlineStr">
        <is>
          <t>RAGUNDA</t>
        </is>
      </c>
      <c r="F1791" t="inlineStr">
        <is>
          <t>SCA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58847-2024</t>
        </is>
      </c>
      <c r="B1792" s="1" t="n">
        <v>45636</v>
      </c>
      <c r="C1792" s="1" t="n">
        <v>45835</v>
      </c>
      <c r="D1792" t="inlineStr">
        <is>
          <t>JÄMTLANDS LÄN</t>
        </is>
      </c>
      <c r="E1792" t="inlineStr">
        <is>
          <t>RAGUNDA</t>
        </is>
      </c>
      <c r="F1792" t="inlineStr">
        <is>
          <t>SCA</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58843-2024</t>
        </is>
      </c>
      <c r="B1793" s="1" t="n">
        <v>45636</v>
      </c>
      <c r="C1793" s="1" t="n">
        <v>45835</v>
      </c>
      <c r="D1793" t="inlineStr">
        <is>
          <t>JÄMTLANDS LÄN</t>
        </is>
      </c>
      <c r="E1793" t="inlineStr">
        <is>
          <t>RAGUNDA</t>
        </is>
      </c>
      <c r="F1793" t="inlineStr">
        <is>
          <t>SCA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58844-2024</t>
        </is>
      </c>
      <c r="B1794" s="1" t="n">
        <v>45636</v>
      </c>
      <c r="C1794" s="1" t="n">
        <v>45835</v>
      </c>
      <c r="D1794" t="inlineStr">
        <is>
          <t>JÄMTLANDS LÄN</t>
        </is>
      </c>
      <c r="E1794" t="inlineStr">
        <is>
          <t>RAGUNDA</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59556-2024</t>
        </is>
      </c>
      <c r="B1795" s="1" t="n">
        <v>45638</v>
      </c>
      <c r="C1795" s="1" t="n">
        <v>45835</v>
      </c>
      <c r="D1795" t="inlineStr">
        <is>
          <t>JÄMTLANDS LÄN</t>
        </is>
      </c>
      <c r="E1795" t="inlineStr">
        <is>
          <t>RAGUNDA</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59492-2024</t>
        </is>
      </c>
      <c r="B1796" s="1" t="n">
        <v>45638</v>
      </c>
      <c r="C1796" s="1" t="n">
        <v>45835</v>
      </c>
      <c r="D1796" t="inlineStr">
        <is>
          <t>JÄMTLANDS LÄN</t>
        </is>
      </c>
      <c r="E1796" t="inlineStr">
        <is>
          <t>RAGUNDA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59496-2024</t>
        </is>
      </c>
      <c r="B1797" s="1" t="n">
        <v>45638</v>
      </c>
      <c r="C1797" s="1" t="n">
        <v>45835</v>
      </c>
      <c r="D1797" t="inlineStr">
        <is>
          <t>JÄMTLANDS LÄN</t>
        </is>
      </c>
      <c r="E1797" t="inlineStr">
        <is>
          <t>RAGUNDA</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59372-2024</t>
        </is>
      </c>
      <c r="B1798" s="1" t="n">
        <v>45638</v>
      </c>
      <c r="C1798" s="1" t="n">
        <v>45835</v>
      </c>
      <c r="D1798" t="inlineStr">
        <is>
          <t>JÄMTLANDS LÄN</t>
        </is>
      </c>
      <c r="E1798" t="inlineStr">
        <is>
          <t>RAGUNDA</t>
        </is>
      </c>
      <c r="F1798" t="inlineStr">
        <is>
          <t>SCA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59800-2024</t>
        </is>
      </c>
      <c r="B1799" s="1" t="n">
        <v>45639</v>
      </c>
      <c r="C1799" s="1" t="n">
        <v>45835</v>
      </c>
      <c r="D1799" t="inlineStr">
        <is>
          <t>JÄMTLANDS LÄN</t>
        </is>
      </c>
      <c r="E1799" t="inlineStr">
        <is>
          <t>RAGUNDA</t>
        </is>
      </c>
      <c r="F1799" t="inlineStr">
        <is>
          <t>SCA</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59670-2024</t>
        </is>
      </c>
      <c r="B1800" s="1" t="n">
        <v>45639</v>
      </c>
      <c r="C1800" s="1" t="n">
        <v>45835</v>
      </c>
      <c r="D1800" t="inlineStr">
        <is>
          <t>JÄMTLANDS LÄN</t>
        </is>
      </c>
      <c r="E1800" t="inlineStr">
        <is>
          <t>RAGUNDA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59759-2024</t>
        </is>
      </c>
      <c r="B1801" s="1" t="n">
        <v>45639</v>
      </c>
      <c r="C1801" s="1" t="n">
        <v>45835</v>
      </c>
      <c r="D1801" t="inlineStr">
        <is>
          <t>JÄMTLANDS LÄN</t>
        </is>
      </c>
      <c r="E1801" t="inlineStr">
        <is>
          <t>RAGUNDA</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59649-2024</t>
        </is>
      </c>
      <c r="B1802" s="1" t="n">
        <v>45639</v>
      </c>
      <c r="C1802" s="1" t="n">
        <v>45835</v>
      </c>
      <c r="D1802" t="inlineStr">
        <is>
          <t>JÄMTLANDS LÄN</t>
        </is>
      </c>
      <c r="E1802" t="inlineStr">
        <is>
          <t>RAGUNDA</t>
        </is>
      </c>
      <c r="F1802" t="inlineStr">
        <is>
          <t>SCA</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60045-2024</t>
        </is>
      </c>
      <c r="B1803" s="1" t="n">
        <v>45642</v>
      </c>
      <c r="C1803" s="1" t="n">
        <v>45835</v>
      </c>
      <c r="D1803" t="inlineStr">
        <is>
          <t>JÄMTLANDS LÄN</t>
        </is>
      </c>
      <c r="E1803" t="inlineStr">
        <is>
          <t>RAGUNDA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60762-2024</t>
        </is>
      </c>
      <c r="B1804" s="1" t="n">
        <v>45644</v>
      </c>
      <c r="C1804" s="1" t="n">
        <v>45835</v>
      </c>
      <c r="D1804" t="inlineStr">
        <is>
          <t>JÄMTLANDS LÄN</t>
        </is>
      </c>
      <c r="E1804" t="inlineStr">
        <is>
          <t>RAGUNDA</t>
        </is>
      </c>
      <c r="F1804" t="inlineStr">
        <is>
          <t>SCA</t>
        </is>
      </c>
      <c r="G1804" t="n">
        <v>22.5</v>
      </c>
      <c r="H1804" t="n">
        <v>0</v>
      </c>
      <c r="I1804" t="n">
        <v>0</v>
      </c>
      <c r="J1804" t="n">
        <v>0</v>
      </c>
      <c r="K1804" t="n">
        <v>0</v>
      </c>
      <c r="L1804" t="n">
        <v>0</v>
      </c>
      <c r="M1804" t="n">
        <v>0</v>
      </c>
      <c r="N1804" t="n">
        <v>0</v>
      </c>
      <c r="O1804" t="n">
        <v>0</v>
      </c>
      <c r="P1804" t="n">
        <v>0</v>
      </c>
      <c r="Q1804" t="n">
        <v>0</v>
      </c>
      <c r="R1804" s="2" t="inlineStr"/>
    </row>
    <row r="1805" ht="15" customHeight="1">
      <c r="A1805" t="inlineStr">
        <is>
          <t>A 60935-2024</t>
        </is>
      </c>
      <c r="B1805" s="1" t="n">
        <v>45645</v>
      </c>
      <c r="C1805" s="1" t="n">
        <v>45835</v>
      </c>
      <c r="D1805" t="inlineStr">
        <is>
          <t>JÄMTLANDS LÄN</t>
        </is>
      </c>
      <c r="E1805" t="inlineStr">
        <is>
          <t>RAGUNDA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61107-2024</t>
        </is>
      </c>
      <c r="B1806" s="1" t="n">
        <v>45645</v>
      </c>
      <c r="C1806" s="1" t="n">
        <v>45835</v>
      </c>
      <c r="D1806" t="inlineStr">
        <is>
          <t>JÄMTLANDS LÄN</t>
        </is>
      </c>
      <c r="E1806" t="inlineStr">
        <is>
          <t>RAGUNDA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61106-2024</t>
        </is>
      </c>
      <c r="B1807" s="1" t="n">
        <v>45645</v>
      </c>
      <c r="C1807" s="1" t="n">
        <v>45835</v>
      </c>
      <c r="D1807" t="inlineStr">
        <is>
          <t>JÄMTLANDS LÄN</t>
        </is>
      </c>
      <c r="E1807" t="inlineStr">
        <is>
          <t>RAGUNDA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60936-2024</t>
        </is>
      </c>
      <c r="B1808" s="1" t="n">
        <v>45645</v>
      </c>
      <c r="C1808" s="1" t="n">
        <v>45835</v>
      </c>
      <c r="D1808" t="inlineStr">
        <is>
          <t>JÄMTLANDS LÄN</t>
        </is>
      </c>
      <c r="E1808" t="inlineStr">
        <is>
          <t>RAGUNDA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61109-2024</t>
        </is>
      </c>
      <c r="B1809" s="1" t="n">
        <v>45645</v>
      </c>
      <c r="C1809" s="1" t="n">
        <v>45835</v>
      </c>
      <c r="D1809" t="inlineStr">
        <is>
          <t>JÄMTLANDS LÄN</t>
        </is>
      </c>
      <c r="E1809" t="inlineStr">
        <is>
          <t>RAGUNDA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61058-2024</t>
        </is>
      </c>
      <c r="B1810" s="1" t="n">
        <v>45645</v>
      </c>
      <c r="C1810" s="1" t="n">
        <v>45835</v>
      </c>
      <c r="D1810" t="inlineStr">
        <is>
          <t>JÄMTLANDS LÄN</t>
        </is>
      </c>
      <c r="E1810" t="inlineStr">
        <is>
          <t>RAGUNDA</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61340-2024</t>
        </is>
      </c>
      <c r="B1811" s="1" t="n">
        <v>45646</v>
      </c>
      <c r="C1811" s="1" t="n">
        <v>45835</v>
      </c>
      <c r="D1811" t="inlineStr">
        <is>
          <t>JÄMTLANDS LÄN</t>
        </is>
      </c>
      <c r="E1811" t="inlineStr">
        <is>
          <t>RAGUNDA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61460-2024</t>
        </is>
      </c>
      <c r="B1812" s="1" t="n">
        <v>45646</v>
      </c>
      <c r="C1812" s="1" t="n">
        <v>45835</v>
      </c>
      <c r="D1812" t="inlineStr">
        <is>
          <t>JÄMTLANDS LÄN</t>
        </is>
      </c>
      <c r="E1812" t="inlineStr">
        <is>
          <t>RAGUNDA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61598-2024</t>
        </is>
      </c>
      <c r="B1813" s="1" t="n">
        <v>45646</v>
      </c>
      <c r="C1813" s="1" t="n">
        <v>45835</v>
      </c>
      <c r="D1813" t="inlineStr">
        <is>
          <t>JÄMTLANDS LÄN</t>
        </is>
      </c>
      <c r="E1813" t="inlineStr">
        <is>
          <t>RAGUNDA</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95-2025</t>
        </is>
      </c>
      <c r="B1814" s="1" t="n">
        <v>45649</v>
      </c>
      <c r="C1814" s="1" t="n">
        <v>45835</v>
      </c>
      <c r="D1814" t="inlineStr">
        <is>
          <t>JÄMTLANDS LÄN</t>
        </is>
      </c>
      <c r="E1814" t="inlineStr">
        <is>
          <t>RAGUNDA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98-2025</t>
        </is>
      </c>
      <c r="B1815" s="1" t="n">
        <v>45649</v>
      </c>
      <c r="C1815" s="1" t="n">
        <v>45835</v>
      </c>
      <c r="D1815" t="inlineStr">
        <is>
          <t>JÄMTLANDS LÄN</t>
        </is>
      </c>
      <c r="E1815" t="inlineStr">
        <is>
          <t>RAGUNDA</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61923-2024</t>
        </is>
      </c>
      <c r="B1816" s="1" t="n">
        <v>45653</v>
      </c>
      <c r="C1816" s="1" t="n">
        <v>45835</v>
      </c>
      <c r="D1816" t="inlineStr">
        <is>
          <t>JÄMTLANDS LÄN</t>
        </is>
      </c>
      <c r="E1816" t="inlineStr">
        <is>
          <t>RAGUNDA</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62135-2024</t>
        </is>
      </c>
      <c r="B1817" s="1" t="n">
        <v>45656</v>
      </c>
      <c r="C1817" s="1" t="n">
        <v>45835</v>
      </c>
      <c r="D1817" t="inlineStr">
        <is>
          <t>JÄMTLANDS LÄN</t>
        </is>
      </c>
      <c r="E1817" t="inlineStr">
        <is>
          <t>RAGUNDA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62105-2024</t>
        </is>
      </c>
      <c r="B1818" s="1" t="n">
        <v>45656</v>
      </c>
      <c r="C1818" s="1" t="n">
        <v>45835</v>
      </c>
      <c r="D1818" t="inlineStr">
        <is>
          <t>JÄMTLANDS LÄN</t>
        </is>
      </c>
      <c r="E1818" t="inlineStr">
        <is>
          <t>RAGUNDA</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62115-2024</t>
        </is>
      </c>
      <c r="B1819" s="1" t="n">
        <v>45656</v>
      </c>
      <c r="C1819" s="1" t="n">
        <v>45835</v>
      </c>
      <c r="D1819" t="inlineStr">
        <is>
          <t>JÄMTLANDS LÄN</t>
        </is>
      </c>
      <c r="E1819" t="inlineStr">
        <is>
          <t>RAGUNDA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163-2025</t>
        </is>
      </c>
      <c r="B1820" s="1" t="n">
        <v>45659</v>
      </c>
      <c r="C1820" s="1" t="n">
        <v>45835</v>
      </c>
      <c r="D1820" t="inlineStr">
        <is>
          <t>JÄMTLANDS LÄN</t>
        </is>
      </c>
      <c r="E1820" t="inlineStr">
        <is>
          <t>RAGUNDA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179-2025</t>
        </is>
      </c>
      <c r="B1821" s="1" t="n">
        <v>45659</v>
      </c>
      <c r="C1821" s="1" t="n">
        <v>45835</v>
      </c>
      <c r="D1821" t="inlineStr">
        <is>
          <t>JÄMTLANDS LÄN</t>
        </is>
      </c>
      <c r="E1821" t="inlineStr">
        <is>
          <t>RAGUNDA</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503-2025</t>
        </is>
      </c>
      <c r="B1822" s="1" t="n">
        <v>45664</v>
      </c>
      <c r="C1822" s="1" t="n">
        <v>45835</v>
      </c>
      <c r="D1822" t="inlineStr">
        <is>
          <t>JÄMTLANDS LÄN</t>
        </is>
      </c>
      <c r="E1822" t="inlineStr">
        <is>
          <t>RAGUNDA</t>
        </is>
      </c>
      <c r="F1822" t="inlineStr">
        <is>
          <t>SCA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564-2025</t>
        </is>
      </c>
      <c r="B1823" s="1" t="n">
        <v>45664</v>
      </c>
      <c r="C1823" s="1" t="n">
        <v>45835</v>
      </c>
      <c r="D1823" t="inlineStr">
        <is>
          <t>JÄMTLANDS LÄN</t>
        </is>
      </c>
      <c r="E1823" t="inlineStr">
        <is>
          <t>RAGUNDA</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504-2025</t>
        </is>
      </c>
      <c r="B1824" s="1" t="n">
        <v>45664</v>
      </c>
      <c r="C1824" s="1" t="n">
        <v>45835</v>
      </c>
      <c r="D1824" t="inlineStr">
        <is>
          <t>JÄMTLANDS LÄN</t>
        </is>
      </c>
      <c r="E1824" t="inlineStr">
        <is>
          <t>RAGUNDA</t>
        </is>
      </c>
      <c r="F1824" t="inlineStr">
        <is>
          <t>SCA</t>
        </is>
      </c>
      <c r="G1824" t="n">
        <v>22.5</v>
      </c>
      <c r="H1824" t="n">
        <v>0</v>
      </c>
      <c r="I1824" t="n">
        <v>0</v>
      </c>
      <c r="J1824" t="n">
        <v>0</v>
      </c>
      <c r="K1824" t="n">
        <v>0</v>
      </c>
      <c r="L1824" t="n">
        <v>0</v>
      </c>
      <c r="M1824" t="n">
        <v>0</v>
      </c>
      <c r="N1824" t="n">
        <v>0</v>
      </c>
      <c r="O1824" t="n">
        <v>0</v>
      </c>
      <c r="P1824" t="n">
        <v>0</v>
      </c>
      <c r="Q1824" t="n">
        <v>0</v>
      </c>
      <c r="R1824" s="2" t="inlineStr"/>
    </row>
    <row r="1825" ht="15" customHeight="1">
      <c r="A1825" t="inlineStr">
        <is>
          <t>A 893-2025</t>
        </is>
      </c>
      <c r="B1825" s="1" t="n">
        <v>45665</v>
      </c>
      <c r="C1825" s="1" t="n">
        <v>45835</v>
      </c>
      <c r="D1825" t="inlineStr">
        <is>
          <t>JÄMTLANDS LÄN</t>
        </is>
      </c>
      <c r="E1825" t="inlineStr">
        <is>
          <t>RAGUNDA</t>
        </is>
      </c>
      <c r="F1825" t="inlineStr">
        <is>
          <t>SCA</t>
        </is>
      </c>
      <c r="G1825" t="n">
        <v>45.1</v>
      </c>
      <c r="H1825" t="n">
        <v>0</v>
      </c>
      <c r="I1825" t="n">
        <v>0</v>
      </c>
      <c r="J1825" t="n">
        <v>0</v>
      </c>
      <c r="K1825" t="n">
        <v>0</v>
      </c>
      <c r="L1825" t="n">
        <v>0</v>
      </c>
      <c r="M1825" t="n">
        <v>0</v>
      </c>
      <c r="N1825" t="n">
        <v>0</v>
      </c>
      <c r="O1825" t="n">
        <v>0</v>
      </c>
      <c r="P1825" t="n">
        <v>0</v>
      </c>
      <c r="Q1825" t="n">
        <v>0</v>
      </c>
      <c r="R1825" s="2" t="inlineStr"/>
    </row>
    <row r="1826" ht="15" customHeight="1">
      <c r="A1826" t="inlineStr">
        <is>
          <t>A 1145-2025</t>
        </is>
      </c>
      <c r="B1826" s="1" t="n">
        <v>45666</v>
      </c>
      <c r="C1826" s="1" t="n">
        <v>45835</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993-2025</t>
        </is>
      </c>
      <c r="B1827" s="1" t="n">
        <v>45666</v>
      </c>
      <c r="C1827" s="1" t="n">
        <v>45835</v>
      </c>
      <c r="D1827" t="inlineStr">
        <is>
          <t>JÄMTLANDS LÄN</t>
        </is>
      </c>
      <c r="E1827" t="inlineStr">
        <is>
          <t>RAGUNDA</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985-2025</t>
        </is>
      </c>
      <c r="B1828" s="1" t="n">
        <v>45666</v>
      </c>
      <c r="C1828" s="1" t="n">
        <v>45835</v>
      </c>
      <c r="D1828" t="inlineStr">
        <is>
          <t>JÄMTLANDS LÄN</t>
        </is>
      </c>
      <c r="E1828" t="inlineStr">
        <is>
          <t>RAGUNDA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1308-2025</t>
        </is>
      </c>
      <c r="B1829" s="1" t="n">
        <v>45667</v>
      </c>
      <c r="C1829" s="1" t="n">
        <v>45835</v>
      </c>
      <c r="D1829" t="inlineStr">
        <is>
          <t>JÄMTLANDS LÄN</t>
        </is>
      </c>
      <c r="E1829" t="inlineStr">
        <is>
          <t>RAGUNDA</t>
        </is>
      </c>
      <c r="F1829" t="inlineStr">
        <is>
          <t>SCA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1325-2025</t>
        </is>
      </c>
      <c r="B1830" s="1" t="n">
        <v>45667</v>
      </c>
      <c r="C1830" s="1" t="n">
        <v>45835</v>
      </c>
      <c r="D1830" t="inlineStr">
        <is>
          <t>JÄMTLANDS LÄN</t>
        </is>
      </c>
      <c r="E1830" t="inlineStr">
        <is>
          <t>RAGUNDA</t>
        </is>
      </c>
      <c r="F1830" t="inlineStr">
        <is>
          <t>SCA</t>
        </is>
      </c>
      <c r="G1830" t="n">
        <v>20.2</v>
      </c>
      <c r="H1830" t="n">
        <v>0</v>
      </c>
      <c r="I1830" t="n">
        <v>0</v>
      </c>
      <c r="J1830" t="n">
        <v>0</v>
      </c>
      <c r="K1830" t="n">
        <v>0</v>
      </c>
      <c r="L1830" t="n">
        <v>0</v>
      </c>
      <c r="M1830" t="n">
        <v>0</v>
      </c>
      <c r="N1830" t="n">
        <v>0</v>
      </c>
      <c r="O1830" t="n">
        <v>0</v>
      </c>
      <c r="P1830" t="n">
        <v>0</v>
      </c>
      <c r="Q1830" t="n">
        <v>0</v>
      </c>
      <c r="R1830" s="2" t="inlineStr"/>
    </row>
    <row r="1831" ht="15" customHeight="1">
      <c r="A1831" t="inlineStr">
        <is>
          <t>A 1340-2025</t>
        </is>
      </c>
      <c r="B1831" s="1" t="n">
        <v>45667</v>
      </c>
      <c r="C1831" s="1" t="n">
        <v>45835</v>
      </c>
      <c r="D1831" t="inlineStr">
        <is>
          <t>JÄMTLANDS LÄN</t>
        </is>
      </c>
      <c r="E1831" t="inlineStr">
        <is>
          <t>RAGUNDA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1250-2025</t>
        </is>
      </c>
      <c r="B1832" s="1" t="n">
        <v>45667</v>
      </c>
      <c r="C1832" s="1" t="n">
        <v>45835</v>
      </c>
      <c r="D1832" t="inlineStr">
        <is>
          <t>JÄMTLANDS LÄN</t>
        </is>
      </c>
      <c r="E1832" t="inlineStr">
        <is>
          <t>RAGUNDA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1326-2025</t>
        </is>
      </c>
      <c r="B1833" s="1" t="n">
        <v>45667</v>
      </c>
      <c r="C1833" s="1" t="n">
        <v>45835</v>
      </c>
      <c r="D1833" t="inlineStr">
        <is>
          <t>JÄMTLANDS LÄN</t>
        </is>
      </c>
      <c r="E1833" t="inlineStr">
        <is>
          <t>RAGUNDA</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1809-2025</t>
        </is>
      </c>
      <c r="B1834" s="1" t="n">
        <v>45671</v>
      </c>
      <c r="C1834" s="1" t="n">
        <v>45835</v>
      </c>
      <c r="D1834" t="inlineStr">
        <is>
          <t>JÄMTLANDS LÄN</t>
        </is>
      </c>
      <c r="E1834" t="inlineStr">
        <is>
          <t>RAGUNDA</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1911-2025</t>
        </is>
      </c>
      <c r="B1835" s="1" t="n">
        <v>45671</v>
      </c>
      <c r="C1835" s="1" t="n">
        <v>45835</v>
      </c>
      <c r="D1835" t="inlineStr">
        <is>
          <t>JÄMTLANDS LÄN</t>
        </is>
      </c>
      <c r="E1835" t="inlineStr">
        <is>
          <t>RAGUNDA</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1837-2025</t>
        </is>
      </c>
      <c r="B1836" s="1" t="n">
        <v>45671</v>
      </c>
      <c r="C1836" s="1" t="n">
        <v>45835</v>
      </c>
      <c r="D1836" t="inlineStr">
        <is>
          <t>JÄMTLANDS LÄN</t>
        </is>
      </c>
      <c r="E1836" t="inlineStr">
        <is>
          <t>RAGUNDA</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1912-2025</t>
        </is>
      </c>
      <c r="B1837" s="1" t="n">
        <v>45671</v>
      </c>
      <c r="C1837" s="1" t="n">
        <v>45835</v>
      </c>
      <c r="D1837" t="inlineStr">
        <is>
          <t>JÄMTLANDS LÄN</t>
        </is>
      </c>
      <c r="E1837" t="inlineStr">
        <is>
          <t>RAGUNDA</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2001-2025</t>
        </is>
      </c>
      <c r="B1838" s="1" t="n">
        <v>45672</v>
      </c>
      <c r="C1838" s="1" t="n">
        <v>45835</v>
      </c>
      <c r="D1838" t="inlineStr">
        <is>
          <t>JÄMTLANDS LÄN</t>
        </is>
      </c>
      <c r="E1838" t="inlineStr">
        <is>
          <t>RAGUNDA</t>
        </is>
      </c>
      <c r="F1838" t="inlineStr">
        <is>
          <t>SCA</t>
        </is>
      </c>
      <c r="G1838" t="n">
        <v>16.2</v>
      </c>
      <c r="H1838" t="n">
        <v>0</v>
      </c>
      <c r="I1838" t="n">
        <v>0</v>
      </c>
      <c r="J1838" t="n">
        <v>0</v>
      </c>
      <c r="K1838" t="n">
        <v>0</v>
      </c>
      <c r="L1838" t="n">
        <v>0</v>
      </c>
      <c r="M1838" t="n">
        <v>0</v>
      </c>
      <c r="N1838" t="n">
        <v>0</v>
      </c>
      <c r="O1838" t="n">
        <v>0</v>
      </c>
      <c r="P1838" t="n">
        <v>0</v>
      </c>
      <c r="Q1838" t="n">
        <v>0</v>
      </c>
      <c r="R1838" s="2" t="inlineStr"/>
    </row>
    <row r="1839" ht="15" customHeight="1">
      <c r="A1839" t="inlineStr">
        <is>
          <t>A 1985-2025</t>
        </is>
      </c>
      <c r="B1839" s="1" t="n">
        <v>45672</v>
      </c>
      <c r="C1839" s="1" t="n">
        <v>45835</v>
      </c>
      <c r="D1839" t="inlineStr">
        <is>
          <t>JÄMTLANDS LÄN</t>
        </is>
      </c>
      <c r="E1839" t="inlineStr">
        <is>
          <t>RAGUNDA</t>
        </is>
      </c>
      <c r="F1839" t="inlineStr">
        <is>
          <t>SCA</t>
        </is>
      </c>
      <c r="G1839" t="n">
        <v>16.8</v>
      </c>
      <c r="H1839" t="n">
        <v>0</v>
      </c>
      <c r="I1839" t="n">
        <v>0</v>
      </c>
      <c r="J1839" t="n">
        <v>0</v>
      </c>
      <c r="K1839" t="n">
        <v>0</v>
      </c>
      <c r="L1839" t="n">
        <v>0</v>
      </c>
      <c r="M1839" t="n">
        <v>0</v>
      </c>
      <c r="N1839" t="n">
        <v>0</v>
      </c>
      <c r="O1839" t="n">
        <v>0</v>
      </c>
      <c r="P1839" t="n">
        <v>0</v>
      </c>
      <c r="Q1839" t="n">
        <v>0</v>
      </c>
      <c r="R1839" s="2" t="inlineStr"/>
    </row>
    <row r="1840" ht="15" customHeight="1">
      <c r="A1840" t="inlineStr">
        <is>
          <t>A 2103-2025</t>
        </is>
      </c>
      <c r="B1840" s="1" t="n">
        <v>45672</v>
      </c>
      <c r="C1840" s="1" t="n">
        <v>45835</v>
      </c>
      <c r="D1840" t="inlineStr">
        <is>
          <t>JÄMTLANDS LÄN</t>
        </is>
      </c>
      <c r="E1840" t="inlineStr">
        <is>
          <t>RAGUNDA</t>
        </is>
      </c>
      <c r="F1840" t="inlineStr">
        <is>
          <t>SCA</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2339-2025</t>
        </is>
      </c>
      <c r="B1841" s="1" t="n">
        <v>45673</v>
      </c>
      <c r="C1841" s="1" t="n">
        <v>45835</v>
      </c>
      <c r="D1841" t="inlineStr">
        <is>
          <t>JÄMTLANDS LÄN</t>
        </is>
      </c>
      <c r="E1841" t="inlineStr">
        <is>
          <t>RAGUNDA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2758-2025</t>
        </is>
      </c>
      <c r="B1842" s="1" t="n">
        <v>45677</v>
      </c>
      <c r="C1842" s="1" t="n">
        <v>45835</v>
      </c>
      <c r="D1842" t="inlineStr">
        <is>
          <t>JÄMTLANDS LÄN</t>
        </is>
      </c>
      <c r="E1842" t="inlineStr">
        <is>
          <t>RAGUNDA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2762-2025</t>
        </is>
      </c>
      <c r="B1843" s="1" t="n">
        <v>45677</v>
      </c>
      <c r="C1843" s="1" t="n">
        <v>45835</v>
      </c>
      <c r="D1843" t="inlineStr">
        <is>
          <t>JÄMTLANDS LÄN</t>
        </is>
      </c>
      <c r="E1843" t="inlineStr">
        <is>
          <t>RAGUNDA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3104-2025</t>
        </is>
      </c>
      <c r="B1844" s="1" t="n">
        <v>45678</v>
      </c>
      <c r="C1844" s="1" t="n">
        <v>45835</v>
      </c>
      <c r="D1844" t="inlineStr">
        <is>
          <t>JÄMTLANDS LÄN</t>
        </is>
      </c>
      <c r="E1844" t="inlineStr">
        <is>
          <t>RAGUNDA</t>
        </is>
      </c>
      <c r="F1844" t="inlineStr">
        <is>
          <t>SCA</t>
        </is>
      </c>
      <c r="G1844" t="n">
        <v>46.2</v>
      </c>
      <c r="H1844" t="n">
        <v>0</v>
      </c>
      <c r="I1844" t="n">
        <v>0</v>
      </c>
      <c r="J1844" t="n">
        <v>0</v>
      </c>
      <c r="K1844" t="n">
        <v>0</v>
      </c>
      <c r="L1844" t="n">
        <v>0</v>
      </c>
      <c r="M1844" t="n">
        <v>0</v>
      </c>
      <c r="N1844" t="n">
        <v>0</v>
      </c>
      <c r="O1844" t="n">
        <v>0</v>
      </c>
      <c r="P1844" t="n">
        <v>0</v>
      </c>
      <c r="Q1844" t="n">
        <v>0</v>
      </c>
      <c r="R1844" s="2" t="inlineStr"/>
    </row>
    <row r="1845" ht="15" customHeight="1">
      <c r="A1845" t="inlineStr">
        <is>
          <t>A 3186-2025</t>
        </is>
      </c>
      <c r="B1845" s="1" t="n">
        <v>45679</v>
      </c>
      <c r="C1845" s="1" t="n">
        <v>45835</v>
      </c>
      <c r="D1845" t="inlineStr">
        <is>
          <t>JÄMTLANDS LÄN</t>
        </is>
      </c>
      <c r="E1845" t="inlineStr">
        <is>
          <t>RAGUNDA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3502-2025</t>
        </is>
      </c>
      <c r="B1846" s="1" t="n">
        <v>45680</v>
      </c>
      <c r="C1846" s="1" t="n">
        <v>45835</v>
      </c>
      <c r="D1846" t="inlineStr">
        <is>
          <t>JÄMTLANDS LÄN</t>
        </is>
      </c>
      <c r="E1846" t="inlineStr">
        <is>
          <t>RAGUNDA</t>
        </is>
      </c>
      <c r="F1846" t="inlineStr">
        <is>
          <t>SCA</t>
        </is>
      </c>
      <c r="G1846" t="n">
        <v>16.5</v>
      </c>
      <c r="H1846" t="n">
        <v>0</v>
      </c>
      <c r="I1846" t="n">
        <v>0</v>
      </c>
      <c r="J1846" t="n">
        <v>0</v>
      </c>
      <c r="K1846" t="n">
        <v>0</v>
      </c>
      <c r="L1846" t="n">
        <v>0</v>
      </c>
      <c r="M1846" t="n">
        <v>0</v>
      </c>
      <c r="N1846" t="n">
        <v>0</v>
      </c>
      <c r="O1846" t="n">
        <v>0</v>
      </c>
      <c r="P1846" t="n">
        <v>0</v>
      </c>
      <c r="Q1846" t="n">
        <v>0</v>
      </c>
      <c r="R1846" s="2" t="inlineStr"/>
    </row>
    <row r="1847" ht="15" customHeight="1">
      <c r="A1847" t="inlineStr">
        <is>
          <t>A 3765-2025</t>
        </is>
      </c>
      <c r="B1847" s="1" t="n">
        <v>45681</v>
      </c>
      <c r="C1847" s="1" t="n">
        <v>45835</v>
      </c>
      <c r="D1847" t="inlineStr">
        <is>
          <t>JÄMTLANDS LÄN</t>
        </is>
      </c>
      <c r="E1847" t="inlineStr">
        <is>
          <t>RAGUNDA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3767-2025</t>
        </is>
      </c>
      <c r="B1848" s="1" t="n">
        <v>45681</v>
      </c>
      <c r="C1848" s="1" t="n">
        <v>45835</v>
      </c>
      <c r="D1848" t="inlineStr">
        <is>
          <t>JÄMTLANDS LÄN</t>
        </is>
      </c>
      <c r="E1848" t="inlineStr">
        <is>
          <t>RAGUNDA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3770-2025</t>
        </is>
      </c>
      <c r="B1849" s="1" t="n">
        <v>45681</v>
      </c>
      <c r="C1849" s="1" t="n">
        <v>45835</v>
      </c>
      <c r="D1849" t="inlineStr">
        <is>
          <t>JÄMTLANDS LÄN</t>
        </is>
      </c>
      <c r="E1849" t="inlineStr">
        <is>
          <t>RAGUNDA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3720-2025</t>
        </is>
      </c>
      <c r="B1850" s="1" t="n">
        <v>45681</v>
      </c>
      <c r="C1850" s="1" t="n">
        <v>45835</v>
      </c>
      <c r="D1850" t="inlineStr">
        <is>
          <t>JÄMTLANDS LÄN</t>
        </is>
      </c>
      <c r="E1850" t="inlineStr">
        <is>
          <t>RAGUNDA</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4573-2025</t>
        </is>
      </c>
      <c r="B1851" s="1" t="n">
        <v>45687</v>
      </c>
      <c r="C1851" s="1" t="n">
        <v>45835</v>
      </c>
      <c r="D1851" t="inlineStr">
        <is>
          <t>JÄMTLANDS LÄN</t>
        </is>
      </c>
      <c r="E1851" t="inlineStr">
        <is>
          <t>RAGUNDA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4571-2025</t>
        </is>
      </c>
      <c r="B1852" s="1" t="n">
        <v>45687</v>
      </c>
      <c r="C1852" s="1" t="n">
        <v>45835</v>
      </c>
      <c r="D1852" t="inlineStr">
        <is>
          <t>JÄMTLANDS LÄN</t>
        </is>
      </c>
      <c r="E1852" t="inlineStr">
        <is>
          <t>RAGUNDA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4916-2025</t>
        </is>
      </c>
      <c r="B1853" s="1" t="n">
        <v>45688</v>
      </c>
      <c r="C1853" s="1" t="n">
        <v>45835</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4907-2025</t>
        </is>
      </c>
      <c r="B1854" s="1" t="n">
        <v>45688</v>
      </c>
      <c r="C1854" s="1" t="n">
        <v>45835</v>
      </c>
      <c r="D1854" t="inlineStr">
        <is>
          <t>JÄMTLANDS LÄN</t>
        </is>
      </c>
      <c r="E1854" t="inlineStr">
        <is>
          <t>RAGUNDA</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4846-2025</t>
        </is>
      </c>
      <c r="B1855" s="1" t="n">
        <v>45688</v>
      </c>
      <c r="C1855" s="1" t="n">
        <v>45835</v>
      </c>
      <c r="D1855" t="inlineStr">
        <is>
          <t>JÄMTLANDS LÄN</t>
        </is>
      </c>
      <c r="E1855" t="inlineStr">
        <is>
          <t>RAGUNDA</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4866-2025</t>
        </is>
      </c>
      <c r="B1856" s="1" t="n">
        <v>45688</v>
      </c>
      <c r="C1856" s="1" t="n">
        <v>45835</v>
      </c>
      <c r="D1856" t="inlineStr">
        <is>
          <t>JÄMTLANDS LÄN</t>
        </is>
      </c>
      <c r="E1856" t="inlineStr">
        <is>
          <t>RAGUNDA</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4922-2025</t>
        </is>
      </c>
      <c r="B1857" s="1" t="n">
        <v>45688</v>
      </c>
      <c r="C1857" s="1" t="n">
        <v>45835</v>
      </c>
      <c r="D1857" t="inlineStr">
        <is>
          <t>JÄMTLANDS LÄN</t>
        </is>
      </c>
      <c r="E1857" t="inlineStr">
        <is>
          <t>RAGUNDA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4885-2025</t>
        </is>
      </c>
      <c r="B1858" s="1" t="n">
        <v>45688</v>
      </c>
      <c r="C1858" s="1" t="n">
        <v>45835</v>
      </c>
      <c r="D1858" t="inlineStr">
        <is>
          <t>JÄMTLANDS LÄN</t>
        </is>
      </c>
      <c r="E1858" t="inlineStr">
        <is>
          <t>RAGUNDA</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5307-2025</t>
        </is>
      </c>
      <c r="B1859" s="1" t="n">
        <v>45692</v>
      </c>
      <c r="C1859" s="1" t="n">
        <v>45835</v>
      </c>
      <c r="D1859" t="inlineStr">
        <is>
          <t>JÄMTLANDS LÄN</t>
        </is>
      </c>
      <c r="E1859" t="inlineStr">
        <is>
          <t>RAGUNDA</t>
        </is>
      </c>
      <c r="F1859" t="inlineStr">
        <is>
          <t>SCA</t>
        </is>
      </c>
      <c r="G1859" t="n">
        <v>20.9</v>
      </c>
      <c r="H1859" t="n">
        <v>0</v>
      </c>
      <c r="I1859" t="n">
        <v>0</v>
      </c>
      <c r="J1859" t="n">
        <v>0</v>
      </c>
      <c r="K1859" t="n">
        <v>0</v>
      </c>
      <c r="L1859" t="n">
        <v>0</v>
      </c>
      <c r="M1859" t="n">
        <v>0</v>
      </c>
      <c r="N1859" t="n">
        <v>0</v>
      </c>
      <c r="O1859" t="n">
        <v>0</v>
      </c>
      <c r="P1859" t="n">
        <v>0</v>
      </c>
      <c r="Q1859" t="n">
        <v>0</v>
      </c>
      <c r="R1859" s="2" t="inlineStr"/>
    </row>
    <row r="1860" ht="15" customHeight="1">
      <c r="A1860" t="inlineStr">
        <is>
          <t>A 5308-2025</t>
        </is>
      </c>
      <c r="B1860" s="1" t="n">
        <v>45692</v>
      </c>
      <c r="C1860" s="1" t="n">
        <v>45835</v>
      </c>
      <c r="D1860" t="inlineStr">
        <is>
          <t>JÄMTLANDS LÄN</t>
        </is>
      </c>
      <c r="E1860" t="inlineStr">
        <is>
          <t>RAGUNDA</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5313-2025</t>
        </is>
      </c>
      <c r="B1861" s="1" t="n">
        <v>45692</v>
      </c>
      <c r="C1861" s="1" t="n">
        <v>45835</v>
      </c>
      <c r="D1861" t="inlineStr">
        <is>
          <t>JÄMTLANDS LÄN</t>
        </is>
      </c>
      <c r="E1861" t="inlineStr">
        <is>
          <t>RAGUNDA</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5357-2025</t>
        </is>
      </c>
      <c r="B1862" s="1" t="n">
        <v>45692</v>
      </c>
      <c r="C1862" s="1" t="n">
        <v>45835</v>
      </c>
      <c r="D1862" t="inlineStr">
        <is>
          <t>JÄMTLANDS LÄN</t>
        </is>
      </c>
      <c r="E1862" t="inlineStr">
        <is>
          <t>RAGUNDA</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5806-2025</t>
        </is>
      </c>
      <c r="B1863" s="1" t="n">
        <v>45694</v>
      </c>
      <c r="C1863" s="1" t="n">
        <v>45835</v>
      </c>
      <c r="D1863" t="inlineStr">
        <is>
          <t>JÄMTLANDS LÄN</t>
        </is>
      </c>
      <c r="E1863" t="inlineStr">
        <is>
          <t>RAGUNDA</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5930-2025</t>
        </is>
      </c>
      <c r="B1864" s="1" t="n">
        <v>45695</v>
      </c>
      <c r="C1864" s="1" t="n">
        <v>45835</v>
      </c>
      <c r="D1864" t="inlineStr">
        <is>
          <t>JÄMTLANDS LÄN</t>
        </is>
      </c>
      <c r="E1864" t="inlineStr">
        <is>
          <t>RAGUNDA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5938-2025</t>
        </is>
      </c>
      <c r="B1865" s="1" t="n">
        <v>45695</v>
      </c>
      <c r="C1865" s="1" t="n">
        <v>45835</v>
      </c>
      <c r="D1865" t="inlineStr">
        <is>
          <t>JÄMTLANDS LÄN</t>
        </is>
      </c>
      <c r="E1865" t="inlineStr">
        <is>
          <t>RAGUNDA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5971-2025</t>
        </is>
      </c>
      <c r="B1866" s="1" t="n">
        <v>45695</v>
      </c>
      <c r="C1866" s="1" t="n">
        <v>45835</v>
      </c>
      <c r="D1866" t="inlineStr">
        <is>
          <t>JÄMTLANDS LÄN</t>
        </is>
      </c>
      <c r="E1866" t="inlineStr">
        <is>
          <t>RAGUNDA</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6257-2025</t>
        </is>
      </c>
      <c r="B1867" s="1" t="n">
        <v>45698</v>
      </c>
      <c r="C1867" s="1" t="n">
        <v>45835</v>
      </c>
      <c r="D1867" t="inlineStr">
        <is>
          <t>JÄMTLANDS LÄN</t>
        </is>
      </c>
      <c r="E1867" t="inlineStr">
        <is>
          <t>RAGUNDA</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6716-2025</t>
        </is>
      </c>
      <c r="B1868" s="1" t="n">
        <v>45700</v>
      </c>
      <c r="C1868" s="1" t="n">
        <v>45835</v>
      </c>
      <c r="D1868" t="inlineStr">
        <is>
          <t>JÄMTLANDS LÄN</t>
        </is>
      </c>
      <c r="E1868" t="inlineStr">
        <is>
          <t>RAGUNDA</t>
        </is>
      </c>
      <c r="F1868" t="inlineStr">
        <is>
          <t>SCA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6611-2025</t>
        </is>
      </c>
      <c r="B1869" s="1" t="n">
        <v>45700</v>
      </c>
      <c r="C1869" s="1" t="n">
        <v>45835</v>
      </c>
      <c r="D1869" t="inlineStr">
        <is>
          <t>JÄMTLANDS LÄN</t>
        </is>
      </c>
      <c r="E1869" t="inlineStr">
        <is>
          <t>RAGUNDA</t>
        </is>
      </c>
      <c r="F1869" t="inlineStr">
        <is>
          <t>SCA</t>
        </is>
      </c>
      <c r="G1869" t="n">
        <v>22.5</v>
      </c>
      <c r="H1869" t="n">
        <v>0</v>
      </c>
      <c r="I1869" t="n">
        <v>0</v>
      </c>
      <c r="J1869" t="n">
        <v>0</v>
      </c>
      <c r="K1869" t="n">
        <v>0</v>
      </c>
      <c r="L1869" t="n">
        <v>0</v>
      </c>
      <c r="M1869" t="n">
        <v>0</v>
      </c>
      <c r="N1869" t="n">
        <v>0</v>
      </c>
      <c r="O1869" t="n">
        <v>0</v>
      </c>
      <c r="P1869" t="n">
        <v>0</v>
      </c>
      <c r="Q1869" t="n">
        <v>0</v>
      </c>
      <c r="R1869" s="2" t="inlineStr"/>
    </row>
    <row r="1870" ht="15" customHeight="1">
      <c r="A1870" t="inlineStr">
        <is>
          <t>A 6694-2025</t>
        </is>
      </c>
      <c r="B1870" s="1" t="n">
        <v>45700</v>
      </c>
      <c r="C1870" s="1" t="n">
        <v>45835</v>
      </c>
      <c r="D1870" t="inlineStr">
        <is>
          <t>JÄMTLANDS LÄN</t>
        </is>
      </c>
      <c r="E1870" t="inlineStr">
        <is>
          <t>RAGUNDA</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6821-2025</t>
        </is>
      </c>
      <c r="B1871" s="1" t="n">
        <v>45700</v>
      </c>
      <c r="C1871" s="1" t="n">
        <v>45835</v>
      </c>
      <c r="D1871" t="inlineStr">
        <is>
          <t>JÄMTLANDS LÄN</t>
        </is>
      </c>
      <c r="E1871" t="inlineStr">
        <is>
          <t>RAGUNDA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6881-2025</t>
        </is>
      </c>
      <c r="B1872" s="1" t="n">
        <v>45701</v>
      </c>
      <c r="C1872" s="1" t="n">
        <v>45835</v>
      </c>
      <c r="D1872" t="inlineStr">
        <is>
          <t>JÄMTLANDS LÄN</t>
        </is>
      </c>
      <c r="E1872" t="inlineStr">
        <is>
          <t>RAGUNDA</t>
        </is>
      </c>
      <c r="F1872" t="inlineStr">
        <is>
          <t>SCA</t>
        </is>
      </c>
      <c r="G1872" t="n">
        <v>18.4</v>
      </c>
      <c r="H1872" t="n">
        <v>0</v>
      </c>
      <c r="I1872" t="n">
        <v>0</v>
      </c>
      <c r="J1872" t="n">
        <v>0</v>
      </c>
      <c r="K1872" t="n">
        <v>0</v>
      </c>
      <c r="L1872" t="n">
        <v>0</v>
      </c>
      <c r="M1872" t="n">
        <v>0</v>
      </c>
      <c r="N1872" t="n">
        <v>0</v>
      </c>
      <c r="O1872" t="n">
        <v>0</v>
      </c>
      <c r="P1872" t="n">
        <v>0</v>
      </c>
      <c r="Q1872" t="n">
        <v>0</v>
      </c>
      <c r="R1872" s="2" t="inlineStr"/>
    </row>
    <row r="1873" ht="15" customHeight="1">
      <c r="A1873" t="inlineStr">
        <is>
          <t>A 7284-2025</t>
        </is>
      </c>
      <c r="B1873" s="1" t="n">
        <v>45702</v>
      </c>
      <c r="C1873" s="1" t="n">
        <v>45835</v>
      </c>
      <c r="D1873" t="inlineStr">
        <is>
          <t>JÄMTLANDS LÄN</t>
        </is>
      </c>
      <c r="E1873" t="inlineStr">
        <is>
          <t>RAGUNDA</t>
        </is>
      </c>
      <c r="F1873" t="inlineStr">
        <is>
          <t>SCA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7281-2025</t>
        </is>
      </c>
      <c r="B1874" s="1" t="n">
        <v>45702</v>
      </c>
      <c r="C1874" s="1" t="n">
        <v>45835</v>
      </c>
      <c r="D1874" t="inlineStr">
        <is>
          <t>JÄMTLANDS LÄN</t>
        </is>
      </c>
      <c r="E1874" t="inlineStr">
        <is>
          <t>RAGUNDA</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7838-2025</t>
        </is>
      </c>
      <c r="B1875" s="1" t="n">
        <v>45706</v>
      </c>
      <c r="C1875" s="1" t="n">
        <v>45835</v>
      </c>
      <c r="D1875" t="inlineStr">
        <is>
          <t>JÄMTLANDS LÄN</t>
        </is>
      </c>
      <c r="E1875" t="inlineStr">
        <is>
          <t>RAGUNDA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7668-2025</t>
        </is>
      </c>
      <c r="B1876" s="1" t="n">
        <v>45706</v>
      </c>
      <c r="C1876" s="1" t="n">
        <v>45835</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8775-2025</t>
        </is>
      </c>
      <c r="B1877" s="1" t="n">
        <v>45712</v>
      </c>
      <c r="C1877" s="1" t="n">
        <v>45835</v>
      </c>
      <c r="D1877" t="inlineStr">
        <is>
          <t>JÄMTLANDS LÄN</t>
        </is>
      </c>
      <c r="E1877" t="inlineStr">
        <is>
          <t>RAGUNDA</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8779-2025</t>
        </is>
      </c>
      <c r="B1878" s="1" t="n">
        <v>45712</v>
      </c>
      <c r="C1878" s="1" t="n">
        <v>45835</v>
      </c>
      <c r="D1878" t="inlineStr">
        <is>
          <t>JÄMTLANDS LÄN</t>
        </is>
      </c>
      <c r="E1878" t="inlineStr">
        <is>
          <t>RAGUNDA</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8800-2025</t>
        </is>
      </c>
      <c r="B1879" s="1" t="n">
        <v>45712</v>
      </c>
      <c r="C1879" s="1" t="n">
        <v>45835</v>
      </c>
      <c r="D1879" t="inlineStr">
        <is>
          <t>JÄMTLANDS LÄN</t>
        </is>
      </c>
      <c r="E1879" t="inlineStr">
        <is>
          <t>RAGUNDA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8776-2025</t>
        </is>
      </c>
      <c r="B1880" s="1" t="n">
        <v>45712</v>
      </c>
      <c r="C1880" s="1" t="n">
        <v>45835</v>
      </c>
      <c r="D1880" t="inlineStr">
        <is>
          <t>JÄMTLANDS LÄN</t>
        </is>
      </c>
      <c r="E1880" t="inlineStr">
        <is>
          <t>RAGUNDA</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9262-2025</t>
        </is>
      </c>
      <c r="B1881" s="1" t="n">
        <v>45714</v>
      </c>
      <c r="C1881" s="1" t="n">
        <v>45835</v>
      </c>
      <c r="D1881" t="inlineStr">
        <is>
          <t>JÄMTLANDS LÄN</t>
        </is>
      </c>
      <c r="E1881" t="inlineStr">
        <is>
          <t>RAGUNDA</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9266-2025</t>
        </is>
      </c>
      <c r="B1882" s="1" t="n">
        <v>45714</v>
      </c>
      <c r="C1882" s="1" t="n">
        <v>45835</v>
      </c>
      <c r="D1882" t="inlineStr">
        <is>
          <t>JÄMTLANDS LÄN</t>
        </is>
      </c>
      <c r="E1882" t="inlineStr">
        <is>
          <t>RAGUNDA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9232-2025</t>
        </is>
      </c>
      <c r="B1883" s="1" t="n">
        <v>45714</v>
      </c>
      <c r="C1883" s="1" t="n">
        <v>45835</v>
      </c>
      <c r="D1883" t="inlineStr">
        <is>
          <t>JÄMTLANDS LÄN</t>
        </is>
      </c>
      <c r="E1883" t="inlineStr">
        <is>
          <t>RAGUNDA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9504-2025</t>
        </is>
      </c>
      <c r="B1884" s="1" t="n">
        <v>45714</v>
      </c>
      <c r="C1884" s="1" t="n">
        <v>45835</v>
      </c>
      <c r="D1884" t="inlineStr">
        <is>
          <t>JÄMTLANDS LÄN</t>
        </is>
      </c>
      <c r="E1884" t="inlineStr">
        <is>
          <t>RAGUNDA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9567-2025</t>
        </is>
      </c>
      <c r="B1885" s="1" t="n">
        <v>45715</v>
      </c>
      <c r="C1885" s="1" t="n">
        <v>45835</v>
      </c>
      <c r="D1885" t="inlineStr">
        <is>
          <t>JÄMTLANDS LÄN</t>
        </is>
      </c>
      <c r="E1885" t="inlineStr">
        <is>
          <t>RAGUNDA</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9548-2025</t>
        </is>
      </c>
      <c r="B1886" s="1" t="n">
        <v>45715</v>
      </c>
      <c r="C1886" s="1" t="n">
        <v>45835</v>
      </c>
      <c r="D1886" t="inlineStr">
        <is>
          <t>JÄMTLANDS LÄN</t>
        </is>
      </c>
      <c r="E1886" t="inlineStr">
        <is>
          <t>RAGUNDA</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9847-2025</t>
        </is>
      </c>
      <c r="B1887" s="1" t="n">
        <v>45716</v>
      </c>
      <c r="C1887" s="1" t="n">
        <v>45835</v>
      </c>
      <c r="D1887" t="inlineStr">
        <is>
          <t>JÄMTLANDS LÄN</t>
        </is>
      </c>
      <c r="E1887" t="inlineStr">
        <is>
          <t>RAGUNDA</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9823-2025</t>
        </is>
      </c>
      <c r="B1888" s="1" t="n">
        <v>45716</v>
      </c>
      <c r="C1888" s="1" t="n">
        <v>45835</v>
      </c>
      <c r="D1888" t="inlineStr">
        <is>
          <t>JÄMTLANDS LÄN</t>
        </is>
      </c>
      <c r="E1888" t="inlineStr">
        <is>
          <t>RAGUNDA</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10788-2025</t>
        </is>
      </c>
      <c r="B1889" s="1" t="n">
        <v>45722</v>
      </c>
      <c r="C1889" s="1" t="n">
        <v>45835</v>
      </c>
      <c r="D1889" t="inlineStr">
        <is>
          <t>JÄMTLANDS LÄN</t>
        </is>
      </c>
      <c r="E1889" t="inlineStr">
        <is>
          <t>RAGUNDA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10754-2025</t>
        </is>
      </c>
      <c r="B1890" s="1" t="n">
        <v>45722</v>
      </c>
      <c r="C1890" s="1" t="n">
        <v>45835</v>
      </c>
      <c r="D1890" t="inlineStr">
        <is>
          <t>JÄMTLANDS LÄN</t>
        </is>
      </c>
      <c r="E1890" t="inlineStr">
        <is>
          <t>RAGUNDA</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11058-2025</t>
        </is>
      </c>
      <c r="B1891" s="1" t="n">
        <v>45723</v>
      </c>
      <c r="C1891" s="1" t="n">
        <v>45835</v>
      </c>
      <c r="D1891" t="inlineStr">
        <is>
          <t>JÄMTLANDS LÄN</t>
        </is>
      </c>
      <c r="E1891" t="inlineStr">
        <is>
          <t>RAGUNDA</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11147-2025</t>
        </is>
      </c>
      <c r="B1892" s="1" t="n">
        <v>45723</v>
      </c>
      <c r="C1892" s="1" t="n">
        <v>45835</v>
      </c>
      <c r="D1892" t="inlineStr">
        <is>
          <t>JÄMTLANDS LÄN</t>
        </is>
      </c>
      <c r="E1892" t="inlineStr">
        <is>
          <t>RAGUNDA</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11107-2025</t>
        </is>
      </c>
      <c r="B1893" s="1" t="n">
        <v>45723</v>
      </c>
      <c r="C1893" s="1" t="n">
        <v>45835</v>
      </c>
      <c r="D1893" t="inlineStr">
        <is>
          <t>JÄMTLANDS LÄN</t>
        </is>
      </c>
      <c r="E1893" t="inlineStr">
        <is>
          <t>RAGUNDA</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11245-2025</t>
        </is>
      </c>
      <c r="B1894" s="1" t="n">
        <v>45726</v>
      </c>
      <c r="C1894" s="1" t="n">
        <v>45835</v>
      </c>
      <c r="D1894" t="inlineStr">
        <is>
          <t>JÄMTLANDS LÄN</t>
        </is>
      </c>
      <c r="E1894" t="inlineStr">
        <is>
          <t>RAGUNDA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11249-2025</t>
        </is>
      </c>
      <c r="B1895" s="1" t="n">
        <v>45726</v>
      </c>
      <c r="C1895" s="1" t="n">
        <v>45835</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11252-2025</t>
        </is>
      </c>
      <c r="B1896" s="1" t="n">
        <v>45726</v>
      </c>
      <c r="C1896" s="1" t="n">
        <v>45835</v>
      </c>
      <c r="D1896" t="inlineStr">
        <is>
          <t>JÄMTLANDS LÄN</t>
        </is>
      </c>
      <c r="E1896" t="inlineStr">
        <is>
          <t>RAGUNDA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11253-2025</t>
        </is>
      </c>
      <c r="B1897" s="1" t="n">
        <v>45726</v>
      </c>
      <c r="C1897" s="1" t="n">
        <v>45835</v>
      </c>
      <c r="D1897" t="inlineStr">
        <is>
          <t>JÄMTLANDS LÄN</t>
        </is>
      </c>
      <c r="E1897" t="inlineStr">
        <is>
          <t>RAGUNDA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12204-2025</t>
        </is>
      </c>
      <c r="B1898" s="1" t="n">
        <v>45729</v>
      </c>
      <c r="C1898" s="1" t="n">
        <v>45835</v>
      </c>
      <c r="D1898" t="inlineStr">
        <is>
          <t>JÄMTLANDS LÄN</t>
        </is>
      </c>
      <c r="E1898" t="inlineStr">
        <is>
          <t>RAGUNDA</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12475-2025</t>
        </is>
      </c>
      <c r="B1899" s="1" t="n">
        <v>45730</v>
      </c>
      <c r="C1899" s="1" t="n">
        <v>45835</v>
      </c>
      <c r="D1899" t="inlineStr">
        <is>
          <t>JÄMTLANDS LÄN</t>
        </is>
      </c>
      <c r="E1899" t="inlineStr">
        <is>
          <t>RAGUNDA</t>
        </is>
      </c>
      <c r="F1899" t="inlineStr">
        <is>
          <t>SCA</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12405-2025</t>
        </is>
      </c>
      <c r="B1900" s="1" t="n">
        <v>45730</v>
      </c>
      <c r="C1900" s="1" t="n">
        <v>45835</v>
      </c>
      <c r="D1900" t="inlineStr">
        <is>
          <t>JÄMTLANDS LÄN</t>
        </is>
      </c>
      <c r="E1900" t="inlineStr">
        <is>
          <t>RAGUNDA</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12464-2025</t>
        </is>
      </c>
      <c r="B1901" s="1" t="n">
        <v>45730</v>
      </c>
      <c r="C1901" s="1" t="n">
        <v>45835</v>
      </c>
      <c r="D1901" t="inlineStr">
        <is>
          <t>JÄMTLANDS LÄN</t>
        </is>
      </c>
      <c r="E1901" t="inlineStr">
        <is>
          <t>RAGUNDA</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12808-2025</t>
        </is>
      </c>
      <c r="B1902" s="1" t="n">
        <v>45733</v>
      </c>
      <c r="C1902" s="1" t="n">
        <v>45835</v>
      </c>
      <c r="D1902" t="inlineStr">
        <is>
          <t>JÄMTLANDS LÄN</t>
        </is>
      </c>
      <c r="E1902" t="inlineStr">
        <is>
          <t>RAGUNDA</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12805-2025</t>
        </is>
      </c>
      <c r="B1903" s="1" t="n">
        <v>45733</v>
      </c>
      <c r="C1903" s="1" t="n">
        <v>45835</v>
      </c>
      <c r="D1903" t="inlineStr">
        <is>
          <t>JÄMTLANDS LÄN</t>
        </is>
      </c>
      <c r="E1903" t="inlineStr">
        <is>
          <t>RAGUNDA</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12976-2025</t>
        </is>
      </c>
      <c r="B1904" s="1" t="n">
        <v>45734</v>
      </c>
      <c r="C1904" s="1" t="n">
        <v>45835</v>
      </c>
      <c r="D1904" t="inlineStr">
        <is>
          <t>JÄMTLANDS LÄN</t>
        </is>
      </c>
      <c r="E1904" t="inlineStr">
        <is>
          <t>RAGUNDA</t>
        </is>
      </c>
      <c r="G1904" t="n">
        <v>24.2</v>
      </c>
      <c r="H1904" t="n">
        <v>0</v>
      </c>
      <c r="I1904" t="n">
        <v>0</v>
      </c>
      <c r="J1904" t="n">
        <v>0</v>
      </c>
      <c r="K1904" t="n">
        <v>0</v>
      </c>
      <c r="L1904" t="n">
        <v>0</v>
      </c>
      <c r="M1904" t="n">
        <v>0</v>
      </c>
      <c r="N1904" t="n">
        <v>0</v>
      </c>
      <c r="O1904" t="n">
        <v>0</v>
      </c>
      <c r="P1904" t="n">
        <v>0</v>
      </c>
      <c r="Q1904" t="n">
        <v>0</v>
      </c>
      <c r="R1904" s="2" t="inlineStr"/>
    </row>
    <row r="1905" ht="15" customHeight="1">
      <c r="A1905" t="inlineStr">
        <is>
          <t>A 12983-2025</t>
        </is>
      </c>
      <c r="B1905" s="1" t="n">
        <v>45734</v>
      </c>
      <c r="C1905" s="1" t="n">
        <v>45835</v>
      </c>
      <c r="D1905" t="inlineStr">
        <is>
          <t>JÄMTLANDS LÄN</t>
        </is>
      </c>
      <c r="E1905" t="inlineStr">
        <is>
          <t>RAGUNDA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13263-2025</t>
        </is>
      </c>
      <c r="B1906" s="1" t="n">
        <v>45735</v>
      </c>
      <c r="C1906" s="1" t="n">
        <v>45835</v>
      </c>
      <c r="D1906" t="inlineStr">
        <is>
          <t>JÄMTLANDS LÄN</t>
        </is>
      </c>
      <c r="E1906" t="inlineStr">
        <is>
          <t>RAGUNDA</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13264-2025</t>
        </is>
      </c>
      <c r="B1907" s="1" t="n">
        <v>45735</v>
      </c>
      <c r="C1907" s="1" t="n">
        <v>45835</v>
      </c>
      <c r="D1907" t="inlineStr">
        <is>
          <t>JÄMTLANDS LÄN</t>
        </is>
      </c>
      <c r="E1907" t="inlineStr">
        <is>
          <t>RAGUNDA</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13276-2025</t>
        </is>
      </c>
      <c r="B1908" s="1" t="n">
        <v>45735</v>
      </c>
      <c r="C1908" s="1" t="n">
        <v>45835</v>
      </c>
      <c r="D1908" t="inlineStr">
        <is>
          <t>JÄMTLANDS LÄN</t>
        </is>
      </c>
      <c r="E1908" t="inlineStr">
        <is>
          <t>RAGUNDA</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13389-2025</t>
        </is>
      </c>
      <c r="B1909" s="1" t="n">
        <v>45735</v>
      </c>
      <c r="C1909" s="1" t="n">
        <v>45835</v>
      </c>
      <c r="D1909" t="inlineStr">
        <is>
          <t>JÄMTLANDS LÄN</t>
        </is>
      </c>
      <c r="E1909" t="inlineStr">
        <is>
          <t>RAGUNDA</t>
        </is>
      </c>
      <c r="F1909" t="inlineStr">
        <is>
          <t>SCA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13472-2025</t>
        </is>
      </c>
      <c r="B1910" s="1" t="n">
        <v>45736</v>
      </c>
      <c r="C1910" s="1" t="n">
        <v>45835</v>
      </c>
      <c r="D1910" t="inlineStr">
        <is>
          <t>JÄMTLANDS LÄN</t>
        </is>
      </c>
      <c r="E1910" t="inlineStr">
        <is>
          <t>RAGUNDA</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13890-2025</t>
        </is>
      </c>
      <c r="B1911" s="1" t="n">
        <v>45737</v>
      </c>
      <c r="C1911" s="1" t="n">
        <v>45835</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13905-2025</t>
        </is>
      </c>
      <c r="B1912" s="1" t="n">
        <v>45737</v>
      </c>
      <c r="C1912" s="1" t="n">
        <v>45835</v>
      </c>
      <c r="D1912" t="inlineStr">
        <is>
          <t>JÄMTLANDS LÄN</t>
        </is>
      </c>
      <c r="E1912" t="inlineStr">
        <is>
          <t>RAGUNDA</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13941-2025</t>
        </is>
      </c>
      <c r="B1913" s="1" t="n">
        <v>45737</v>
      </c>
      <c r="C1913" s="1" t="n">
        <v>45835</v>
      </c>
      <c r="D1913" t="inlineStr">
        <is>
          <t>JÄMTLANDS LÄN</t>
        </is>
      </c>
      <c r="E1913" t="inlineStr">
        <is>
          <t>RAGUNDA</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14512-2025</t>
        </is>
      </c>
      <c r="B1914" s="1" t="n">
        <v>45741</v>
      </c>
      <c r="C1914" s="1" t="n">
        <v>45835</v>
      </c>
      <c r="D1914" t="inlineStr">
        <is>
          <t>JÄMTLANDS LÄN</t>
        </is>
      </c>
      <c r="E1914" t="inlineStr">
        <is>
          <t>RAGUNDA</t>
        </is>
      </c>
      <c r="F1914" t="inlineStr">
        <is>
          <t>SCA</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14513-2025</t>
        </is>
      </c>
      <c r="B1915" s="1" t="n">
        <v>45741</v>
      </c>
      <c r="C1915" s="1" t="n">
        <v>45835</v>
      </c>
      <c r="D1915" t="inlineStr">
        <is>
          <t>JÄMTLANDS LÄN</t>
        </is>
      </c>
      <c r="E1915" t="inlineStr">
        <is>
          <t>RAGUNDA</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15034-2025</t>
        </is>
      </c>
      <c r="B1916" s="1" t="n">
        <v>45743</v>
      </c>
      <c r="C1916" s="1" t="n">
        <v>45835</v>
      </c>
      <c r="D1916" t="inlineStr">
        <is>
          <t>JÄMTLANDS LÄN</t>
        </is>
      </c>
      <c r="E1916" t="inlineStr">
        <is>
          <t>RAGUNDA</t>
        </is>
      </c>
      <c r="F1916" t="inlineStr">
        <is>
          <t>SCA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14821-2025</t>
        </is>
      </c>
      <c r="B1917" s="1" t="n">
        <v>45743</v>
      </c>
      <c r="C1917" s="1" t="n">
        <v>45835</v>
      </c>
      <c r="D1917" t="inlineStr">
        <is>
          <t>JÄMTLANDS LÄN</t>
        </is>
      </c>
      <c r="E1917" t="inlineStr">
        <is>
          <t>RAGUNDA</t>
        </is>
      </c>
      <c r="F1917" t="inlineStr">
        <is>
          <t>Kyrkan</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14932-2025</t>
        </is>
      </c>
      <c r="B1918" s="1" t="n">
        <v>45743</v>
      </c>
      <c r="C1918" s="1" t="n">
        <v>45835</v>
      </c>
      <c r="D1918" t="inlineStr">
        <is>
          <t>JÄMTLANDS LÄN</t>
        </is>
      </c>
      <c r="E1918" t="inlineStr">
        <is>
          <t>RAGUNDA</t>
        </is>
      </c>
      <c r="F1918" t="inlineStr">
        <is>
          <t>SCA</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14818-2025</t>
        </is>
      </c>
      <c r="B1919" s="1" t="n">
        <v>45743</v>
      </c>
      <c r="C1919" s="1" t="n">
        <v>45835</v>
      </c>
      <c r="D1919" t="inlineStr">
        <is>
          <t>JÄMTLANDS LÄN</t>
        </is>
      </c>
      <c r="E1919" t="inlineStr">
        <is>
          <t>RAGUNDA</t>
        </is>
      </c>
      <c r="F1919" t="inlineStr">
        <is>
          <t>Kyrkan</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15554-2025</t>
        </is>
      </c>
      <c r="B1920" s="1" t="n">
        <v>45747</v>
      </c>
      <c r="C1920" s="1" t="n">
        <v>45835</v>
      </c>
      <c r="D1920" t="inlineStr">
        <is>
          <t>JÄMTLANDS LÄN</t>
        </is>
      </c>
      <c r="E1920" t="inlineStr">
        <is>
          <t>RAGUNDA</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15641-2025</t>
        </is>
      </c>
      <c r="B1921" s="1" t="n">
        <v>45748</v>
      </c>
      <c r="C1921" s="1" t="n">
        <v>45835</v>
      </c>
      <c r="D1921" t="inlineStr">
        <is>
          <t>JÄMTLANDS LÄN</t>
        </is>
      </c>
      <c r="E1921" t="inlineStr">
        <is>
          <t>RAGUNDA</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16124-2025</t>
        </is>
      </c>
      <c r="B1922" s="1" t="n">
        <v>45750</v>
      </c>
      <c r="C1922" s="1" t="n">
        <v>45835</v>
      </c>
      <c r="D1922" t="inlineStr">
        <is>
          <t>JÄMTLANDS LÄN</t>
        </is>
      </c>
      <c r="E1922" t="inlineStr">
        <is>
          <t>RAGUNDA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16127-2025</t>
        </is>
      </c>
      <c r="B1923" s="1" t="n">
        <v>45750</v>
      </c>
      <c r="C1923" s="1" t="n">
        <v>45835</v>
      </c>
      <c r="D1923" t="inlineStr">
        <is>
          <t>JÄMTLANDS LÄN</t>
        </is>
      </c>
      <c r="E1923" t="inlineStr">
        <is>
          <t>RAGUNDA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16334-2025</t>
        </is>
      </c>
      <c r="B1924" s="1" t="n">
        <v>45751</v>
      </c>
      <c r="C1924" s="1" t="n">
        <v>45835</v>
      </c>
      <c r="D1924" t="inlineStr">
        <is>
          <t>JÄMTLANDS LÄN</t>
        </is>
      </c>
      <c r="E1924" t="inlineStr">
        <is>
          <t>RAGUNDA</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16320-2025</t>
        </is>
      </c>
      <c r="B1925" s="1" t="n">
        <v>45751</v>
      </c>
      <c r="C1925" s="1" t="n">
        <v>45835</v>
      </c>
      <c r="D1925" t="inlineStr">
        <is>
          <t>JÄMTLANDS LÄN</t>
        </is>
      </c>
      <c r="E1925" t="inlineStr">
        <is>
          <t>RAGUNDA</t>
        </is>
      </c>
      <c r="F1925" t="inlineStr">
        <is>
          <t>SCA</t>
        </is>
      </c>
      <c r="G1925" t="n">
        <v>16.2</v>
      </c>
      <c r="H1925" t="n">
        <v>0</v>
      </c>
      <c r="I1925" t="n">
        <v>0</v>
      </c>
      <c r="J1925" t="n">
        <v>0</v>
      </c>
      <c r="K1925" t="n">
        <v>0</v>
      </c>
      <c r="L1925" t="n">
        <v>0</v>
      </c>
      <c r="M1925" t="n">
        <v>0</v>
      </c>
      <c r="N1925" t="n">
        <v>0</v>
      </c>
      <c r="O1925" t="n">
        <v>0</v>
      </c>
      <c r="P1925" t="n">
        <v>0</v>
      </c>
      <c r="Q1925" t="n">
        <v>0</v>
      </c>
      <c r="R1925" s="2" t="inlineStr"/>
    </row>
    <row r="1926" ht="15" customHeight="1">
      <c r="A1926" t="inlineStr">
        <is>
          <t>A 16321-2025</t>
        </is>
      </c>
      <c r="B1926" s="1" t="n">
        <v>45751</v>
      </c>
      <c r="C1926" s="1" t="n">
        <v>45835</v>
      </c>
      <c r="D1926" t="inlineStr">
        <is>
          <t>JÄMTLANDS LÄN</t>
        </is>
      </c>
      <c r="E1926" t="inlineStr">
        <is>
          <t>RAGUNDA</t>
        </is>
      </c>
      <c r="F1926" t="inlineStr">
        <is>
          <t>SCA</t>
        </is>
      </c>
      <c r="G1926" t="n">
        <v>63.3</v>
      </c>
      <c r="H1926" t="n">
        <v>0</v>
      </c>
      <c r="I1926" t="n">
        <v>0</v>
      </c>
      <c r="J1926" t="n">
        <v>0</v>
      </c>
      <c r="K1926" t="n">
        <v>0</v>
      </c>
      <c r="L1926" t="n">
        <v>0</v>
      </c>
      <c r="M1926" t="n">
        <v>0</v>
      </c>
      <c r="N1926" t="n">
        <v>0</v>
      </c>
      <c r="O1926" t="n">
        <v>0</v>
      </c>
      <c r="P1926" t="n">
        <v>0</v>
      </c>
      <c r="Q1926" t="n">
        <v>0</v>
      </c>
      <c r="R1926" s="2" t="inlineStr"/>
    </row>
    <row r="1927" ht="15" customHeight="1">
      <c r="A1927" t="inlineStr">
        <is>
          <t>A 16635-2025</t>
        </is>
      </c>
      <c r="B1927" s="1" t="n">
        <v>45754</v>
      </c>
      <c r="C1927" s="1" t="n">
        <v>45835</v>
      </c>
      <c r="D1927" t="inlineStr">
        <is>
          <t>JÄMTLANDS LÄN</t>
        </is>
      </c>
      <c r="E1927" t="inlineStr">
        <is>
          <t>RAGUNDA</t>
        </is>
      </c>
      <c r="F1927" t="inlineStr">
        <is>
          <t>SCA</t>
        </is>
      </c>
      <c r="G1927" t="n">
        <v>55.4</v>
      </c>
      <c r="H1927" t="n">
        <v>0</v>
      </c>
      <c r="I1927" t="n">
        <v>0</v>
      </c>
      <c r="J1927" t="n">
        <v>0</v>
      </c>
      <c r="K1927" t="n">
        <v>0</v>
      </c>
      <c r="L1927" t="n">
        <v>0</v>
      </c>
      <c r="M1927" t="n">
        <v>0</v>
      </c>
      <c r="N1927" t="n">
        <v>0</v>
      </c>
      <c r="O1927" t="n">
        <v>0</v>
      </c>
      <c r="P1927" t="n">
        <v>0</v>
      </c>
      <c r="Q1927" t="n">
        <v>0</v>
      </c>
      <c r="R1927" s="2" t="inlineStr"/>
    </row>
    <row r="1928" ht="15" customHeight="1">
      <c r="A1928" t="inlineStr">
        <is>
          <t>A 17323-2025</t>
        </is>
      </c>
      <c r="B1928" s="1" t="n">
        <v>45756</v>
      </c>
      <c r="C1928" s="1" t="n">
        <v>45835</v>
      </c>
      <c r="D1928" t="inlineStr">
        <is>
          <t>JÄMTLANDS LÄN</t>
        </is>
      </c>
      <c r="E1928" t="inlineStr">
        <is>
          <t>RAGUNDA</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17667-2025</t>
        </is>
      </c>
      <c r="B1929" s="1" t="n">
        <v>45758</v>
      </c>
      <c r="C1929" s="1" t="n">
        <v>45835</v>
      </c>
      <c r="D1929" t="inlineStr">
        <is>
          <t>JÄMTLANDS LÄN</t>
        </is>
      </c>
      <c r="E1929" t="inlineStr">
        <is>
          <t>RAGUNDA</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18194-2025</t>
        </is>
      </c>
      <c r="B1930" s="1" t="n">
        <v>45761</v>
      </c>
      <c r="C1930" s="1" t="n">
        <v>45835</v>
      </c>
      <c r="D1930" t="inlineStr">
        <is>
          <t>JÄMTLANDS LÄN</t>
        </is>
      </c>
      <c r="E1930" t="inlineStr">
        <is>
          <t>RAGUNDA</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18284-2025</t>
        </is>
      </c>
      <c r="B1931" s="1" t="n">
        <v>45762</v>
      </c>
      <c r="C1931" s="1" t="n">
        <v>45835</v>
      </c>
      <c r="D1931" t="inlineStr">
        <is>
          <t>JÄMTLANDS LÄN</t>
        </is>
      </c>
      <c r="E1931" t="inlineStr">
        <is>
          <t>RAGUNDA</t>
        </is>
      </c>
      <c r="G1931" t="n">
        <v>0.2</v>
      </c>
      <c r="H1931" t="n">
        <v>0</v>
      </c>
      <c r="I1931" t="n">
        <v>0</v>
      </c>
      <c r="J1931" t="n">
        <v>0</v>
      </c>
      <c r="K1931" t="n">
        <v>0</v>
      </c>
      <c r="L1931" t="n">
        <v>0</v>
      </c>
      <c r="M1931" t="n">
        <v>0</v>
      </c>
      <c r="N1931" t="n">
        <v>0</v>
      </c>
      <c r="O1931" t="n">
        <v>0</v>
      </c>
      <c r="P1931" t="n">
        <v>0</v>
      </c>
      <c r="Q1931" t="n">
        <v>0</v>
      </c>
      <c r="R1931" s="2" t="inlineStr"/>
      <c r="U1931">
        <f>HYPERLINK("https://klasma.github.io/Logging_232303/knärot/A 18284-2025 karta knärot.png", "A 18284-2025")</f>
        <v/>
      </c>
      <c r="V1931">
        <f>HYPERLINK("https://klasma.github.io/Logging_232303/klagomål/A 18284-2025 FSC-klagomål.docx", "A 18284-2025")</f>
        <v/>
      </c>
      <c r="W1931">
        <f>HYPERLINK("https://klasma.github.io/Logging_232303/klagomålsmail/A 18284-2025 FSC-klagomål mail.docx", "A 18284-2025")</f>
        <v/>
      </c>
      <c r="X1931">
        <f>HYPERLINK("https://klasma.github.io/Logging_232303/tillsyn/A 18284-2025 tillsynsbegäran.docx", "A 18284-2025")</f>
        <v/>
      </c>
      <c r="Y1931">
        <f>HYPERLINK("https://klasma.github.io/Logging_232303/tillsynsmail/A 18284-2025 tillsynsbegäran mail.docx", "A 18284-2025")</f>
        <v/>
      </c>
    </row>
    <row r="1932" ht="15" customHeight="1">
      <c r="A1932" t="inlineStr">
        <is>
          <t>A 18989-2025</t>
        </is>
      </c>
      <c r="B1932" s="1" t="n">
        <v>45764</v>
      </c>
      <c r="C1932" s="1" t="n">
        <v>45835</v>
      </c>
      <c r="D1932" t="inlineStr">
        <is>
          <t>JÄMTLANDS LÄN</t>
        </is>
      </c>
      <c r="E1932" t="inlineStr">
        <is>
          <t>RAGUNDA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18952-2025</t>
        </is>
      </c>
      <c r="B1933" s="1" t="n">
        <v>45764</v>
      </c>
      <c r="C1933" s="1" t="n">
        <v>45835</v>
      </c>
      <c r="D1933" t="inlineStr">
        <is>
          <t>JÄMTLANDS LÄN</t>
        </is>
      </c>
      <c r="E1933" t="inlineStr">
        <is>
          <t>RAGUNDA</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19408-2025</t>
        </is>
      </c>
      <c r="B1934" s="1" t="n">
        <v>45769</v>
      </c>
      <c r="C1934" s="1" t="n">
        <v>45835</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19401-2025</t>
        </is>
      </c>
      <c r="B1935" s="1" t="n">
        <v>45769</v>
      </c>
      <c r="C1935" s="1" t="n">
        <v>45835</v>
      </c>
      <c r="D1935" t="inlineStr">
        <is>
          <t>JÄMTLANDS LÄN</t>
        </is>
      </c>
      <c r="E1935" t="inlineStr">
        <is>
          <t>RAGUNDA</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19400-2025</t>
        </is>
      </c>
      <c r="B1936" s="1" t="n">
        <v>45769</v>
      </c>
      <c r="C1936" s="1" t="n">
        <v>45835</v>
      </c>
      <c r="D1936" t="inlineStr">
        <is>
          <t>JÄMTLANDS LÄN</t>
        </is>
      </c>
      <c r="E1936" t="inlineStr">
        <is>
          <t>RAGUNDA</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19403-2025</t>
        </is>
      </c>
      <c r="B1937" s="1" t="n">
        <v>45769</v>
      </c>
      <c r="C1937" s="1" t="n">
        <v>45835</v>
      </c>
      <c r="D1937" t="inlineStr">
        <is>
          <t>JÄMTLANDS LÄN</t>
        </is>
      </c>
      <c r="E1937" t="inlineStr">
        <is>
          <t>RAGUNDA</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19405-2025</t>
        </is>
      </c>
      <c r="B1938" s="1" t="n">
        <v>45769</v>
      </c>
      <c r="C1938" s="1" t="n">
        <v>45835</v>
      </c>
      <c r="D1938" t="inlineStr">
        <is>
          <t>JÄMTLANDS LÄN</t>
        </is>
      </c>
      <c r="E1938" t="inlineStr">
        <is>
          <t>RAGUNDA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19384-2025</t>
        </is>
      </c>
      <c r="B1939" s="1" t="n">
        <v>45769</v>
      </c>
      <c r="C1939" s="1" t="n">
        <v>45835</v>
      </c>
      <c r="D1939" t="inlineStr">
        <is>
          <t>JÄMTLANDS LÄN</t>
        </is>
      </c>
      <c r="E1939" t="inlineStr">
        <is>
          <t>RAGUNDA</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19383-2025</t>
        </is>
      </c>
      <c r="B1940" s="1" t="n">
        <v>45769</v>
      </c>
      <c r="C1940" s="1" t="n">
        <v>45835</v>
      </c>
      <c r="D1940" t="inlineStr">
        <is>
          <t>JÄMTLANDS LÄN</t>
        </is>
      </c>
      <c r="E1940" t="inlineStr">
        <is>
          <t>RAGUNDA</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19264-2025</t>
        </is>
      </c>
      <c r="B1941" s="1" t="n">
        <v>45769</v>
      </c>
      <c r="C1941" s="1" t="n">
        <v>45835</v>
      </c>
      <c r="D1941" t="inlineStr">
        <is>
          <t>JÄMTLANDS LÄN</t>
        </is>
      </c>
      <c r="E1941" t="inlineStr">
        <is>
          <t>RAGUNDA</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19263-2025</t>
        </is>
      </c>
      <c r="B1942" s="1" t="n">
        <v>45769</v>
      </c>
      <c r="C1942" s="1" t="n">
        <v>45835</v>
      </c>
      <c r="D1942" t="inlineStr">
        <is>
          <t>JÄMTLANDS LÄN</t>
        </is>
      </c>
      <c r="E1942" t="inlineStr">
        <is>
          <t>RAGUNDA</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19404-2025</t>
        </is>
      </c>
      <c r="B1943" s="1" t="n">
        <v>45769</v>
      </c>
      <c r="C1943" s="1" t="n">
        <v>45835</v>
      </c>
      <c r="D1943" t="inlineStr">
        <is>
          <t>JÄMTLANDS LÄN</t>
        </is>
      </c>
      <c r="E1943" t="inlineStr">
        <is>
          <t>RAGUNDA</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19382-2025</t>
        </is>
      </c>
      <c r="B1944" s="1" t="n">
        <v>45769</v>
      </c>
      <c r="C1944" s="1" t="n">
        <v>45835</v>
      </c>
      <c r="D1944" t="inlineStr">
        <is>
          <t>JÄMTLANDS LÄN</t>
        </is>
      </c>
      <c r="E1944" t="inlineStr">
        <is>
          <t>RAGUNDA</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19728-2025</t>
        </is>
      </c>
      <c r="B1945" s="1" t="n">
        <v>45771</v>
      </c>
      <c r="C1945" s="1" t="n">
        <v>45835</v>
      </c>
      <c r="D1945" t="inlineStr">
        <is>
          <t>JÄMTLANDS LÄN</t>
        </is>
      </c>
      <c r="E1945" t="inlineStr">
        <is>
          <t>RAGUNDA</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19751-2025</t>
        </is>
      </c>
      <c r="B1946" s="1" t="n">
        <v>45771</v>
      </c>
      <c r="C1946" s="1" t="n">
        <v>45835</v>
      </c>
      <c r="D1946" t="inlineStr">
        <is>
          <t>JÄMTLANDS LÄN</t>
        </is>
      </c>
      <c r="E1946" t="inlineStr">
        <is>
          <t>RAGUNDA</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19727-2025</t>
        </is>
      </c>
      <c r="B1947" s="1" t="n">
        <v>45771</v>
      </c>
      <c r="C1947" s="1" t="n">
        <v>45835</v>
      </c>
      <c r="D1947" t="inlineStr">
        <is>
          <t>JÄMTLANDS LÄN</t>
        </is>
      </c>
      <c r="E1947" t="inlineStr">
        <is>
          <t>RAGUNDA</t>
        </is>
      </c>
      <c r="F1947" t="inlineStr">
        <is>
          <t>SCA</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19854-2025</t>
        </is>
      </c>
      <c r="B1948" s="1" t="n">
        <v>45771</v>
      </c>
      <c r="C1948" s="1" t="n">
        <v>45835</v>
      </c>
      <c r="D1948" t="inlineStr">
        <is>
          <t>JÄMTLANDS LÄN</t>
        </is>
      </c>
      <c r="E1948" t="inlineStr">
        <is>
          <t>RAGUNDA</t>
        </is>
      </c>
      <c r="F1948" t="inlineStr">
        <is>
          <t>SCA</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20203-2025</t>
        </is>
      </c>
      <c r="B1949" s="1" t="n">
        <v>45772</v>
      </c>
      <c r="C1949" s="1" t="n">
        <v>45835</v>
      </c>
      <c r="D1949" t="inlineStr">
        <is>
          <t>JÄMTLANDS LÄN</t>
        </is>
      </c>
      <c r="E1949" t="inlineStr">
        <is>
          <t>RAGUNDA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20222-2025</t>
        </is>
      </c>
      <c r="B1950" s="1" t="n">
        <v>45772</v>
      </c>
      <c r="C1950" s="1" t="n">
        <v>45835</v>
      </c>
      <c r="D1950" t="inlineStr">
        <is>
          <t>JÄMTLANDS LÄN</t>
        </is>
      </c>
      <c r="E1950" t="inlineStr">
        <is>
          <t>RAGUNDA</t>
        </is>
      </c>
      <c r="F1950" t="inlineStr">
        <is>
          <t>SCA</t>
        </is>
      </c>
      <c r="G1950" t="n">
        <v>29.1</v>
      </c>
      <c r="H1950" t="n">
        <v>0</v>
      </c>
      <c r="I1950" t="n">
        <v>0</v>
      </c>
      <c r="J1950" t="n">
        <v>0</v>
      </c>
      <c r="K1950" t="n">
        <v>0</v>
      </c>
      <c r="L1950" t="n">
        <v>0</v>
      </c>
      <c r="M1950" t="n">
        <v>0</v>
      </c>
      <c r="N1950" t="n">
        <v>0</v>
      </c>
      <c r="O1950" t="n">
        <v>0</v>
      </c>
      <c r="P1950" t="n">
        <v>0</v>
      </c>
      <c r="Q1950" t="n">
        <v>0</v>
      </c>
      <c r="R1950" s="2" t="inlineStr"/>
    </row>
    <row r="1951" ht="15" customHeight="1">
      <c r="A1951" t="inlineStr">
        <is>
          <t>A 20202-2025</t>
        </is>
      </c>
      <c r="B1951" s="1" t="n">
        <v>45772</v>
      </c>
      <c r="C1951" s="1" t="n">
        <v>45835</v>
      </c>
      <c r="D1951" t="inlineStr">
        <is>
          <t>JÄMTLANDS LÄN</t>
        </is>
      </c>
      <c r="E1951" t="inlineStr">
        <is>
          <t>RAGUNDA</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20206-2025</t>
        </is>
      </c>
      <c r="B1952" s="1" t="n">
        <v>45772</v>
      </c>
      <c r="C1952" s="1" t="n">
        <v>45835</v>
      </c>
      <c r="D1952" t="inlineStr">
        <is>
          <t>JÄMTLANDS LÄN</t>
        </is>
      </c>
      <c r="E1952" t="inlineStr">
        <is>
          <t>RAGUNDA</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20221-2025</t>
        </is>
      </c>
      <c r="B1953" s="1" t="n">
        <v>45772</v>
      </c>
      <c r="C1953" s="1" t="n">
        <v>45835</v>
      </c>
      <c r="D1953" t="inlineStr">
        <is>
          <t>JÄMTLANDS LÄN</t>
        </is>
      </c>
      <c r="E1953" t="inlineStr">
        <is>
          <t>RAGUNDA</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20574-2025</t>
        </is>
      </c>
      <c r="B1954" s="1" t="n">
        <v>45775</v>
      </c>
      <c r="C1954" s="1" t="n">
        <v>45835</v>
      </c>
      <c r="D1954" t="inlineStr">
        <is>
          <t>JÄMTLANDS LÄN</t>
        </is>
      </c>
      <c r="E1954" t="inlineStr">
        <is>
          <t>RAGUNDA</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20777-2025</t>
        </is>
      </c>
      <c r="B1955" s="1" t="n">
        <v>45776</v>
      </c>
      <c r="C1955" s="1" t="n">
        <v>45835</v>
      </c>
      <c r="D1955" t="inlineStr">
        <is>
          <t>JÄMTLANDS LÄN</t>
        </is>
      </c>
      <c r="E1955" t="inlineStr">
        <is>
          <t>RAGUNDA</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20655-2025</t>
        </is>
      </c>
      <c r="B1956" s="1" t="n">
        <v>45776</v>
      </c>
      <c r="C1956" s="1" t="n">
        <v>45835</v>
      </c>
      <c r="D1956" t="inlineStr">
        <is>
          <t>JÄMTLANDS LÄN</t>
        </is>
      </c>
      <c r="E1956" t="inlineStr">
        <is>
          <t>RAGUNDA</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20722-2025</t>
        </is>
      </c>
      <c r="B1957" s="1" t="n">
        <v>45776</v>
      </c>
      <c r="C1957" s="1" t="n">
        <v>45835</v>
      </c>
      <c r="D1957" t="inlineStr">
        <is>
          <t>JÄMTLANDS LÄN</t>
        </is>
      </c>
      <c r="E1957" t="inlineStr">
        <is>
          <t>RAGUNDA</t>
        </is>
      </c>
      <c r="F1957" t="inlineStr">
        <is>
          <t>Kommuner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20728-2025</t>
        </is>
      </c>
      <c r="B1958" s="1" t="n">
        <v>45776</v>
      </c>
      <c r="C1958" s="1" t="n">
        <v>45835</v>
      </c>
      <c r="D1958" t="inlineStr">
        <is>
          <t>JÄMTLANDS LÄN</t>
        </is>
      </c>
      <c r="E1958" t="inlineStr">
        <is>
          <t>RAGUNDA</t>
        </is>
      </c>
      <c r="F1958" t="inlineStr">
        <is>
          <t>Kommuner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20653-2025</t>
        </is>
      </c>
      <c r="B1959" s="1" t="n">
        <v>45776</v>
      </c>
      <c r="C1959" s="1" t="n">
        <v>45835</v>
      </c>
      <c r="D1959" t="inlineStr">
        <is>
          <t>JÄMTLANDS LÄN</t>
        </is>
      </c>
      <c r="E1959" t="inlineStr">
        <is>
          <t>RAGUNDA</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21248-2025</t>
        </is>
      </c>
      <c r="B1960" s="1" t="n">
        <v>45779</v>
      </c>
      <c r="C1960" s="1" t="n">
        <v>45835</v>
      </c>
      <c r="D1960" t="inlineStr">
        <is>
          <t>JÄMTLANDS LÄN</t>
        </is>
      </c>
      <c r="E1960" t="inlineStr">
        <is>
          <t>RAGUNDA</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21214-2025</t>
        </is>
      </c>
      <c r="B1961" s="1" t="n">
        <v>45779</v>
      </c>
      <c r="C1961" s="1" t="n">
        <v>45835</v>
      </c>
      <c r="D1961" t="inlineStr">
        <is>
          <t>JÄMTLANDS LÄN</t>
        </is>
      </c>
      <c r="E1961" t="inlineStr">
        <is>
          <t>RAGUNDA</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21150-2025</t>
        </is>
      </c>
      <c r="B1962" s="1" t="n">
        <v>45779</v>
      </c>
      <c r="C1962" s="1" t="n">
        <v>45835</v>
      </c>
      <c r="D1962" t="inlineStr">
        <is>
          <t>JÄMTLANDS LÄN</t>
        </is>
      </c>
      <c r="E1962" t="inlineStr">
        <is>
          <t>RAGUNDA</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21177-2025</t>
        </is>
      </c>
      <c r="B1963" s="1" t="n">
        <v>45779</v>
      </c>
      <c r="C1963" s="1" t="n">
        <v>45835</v>
      </c>
      <c r="D1963" t="inlineStr">
        <is>
          <t>JÄMTLANDS LÄN</t>
        </is>
      </c>
      <c r="E1963" t="inlineStr">
        <is>
          <t>RAGUNDA</t>
        </is>
      </c>
      <c r="F1963" t="inlineStr">
        <is>
          <t>SCA</t>
        </is>
      </c>
      <c r="G1963" t="n">
        <v>16.1</v>
      </c>
      <c r="H1963" t="n">
        <v>0</v>
      </c>
      <c r="I1963" t="n">
        <v>0</v>
      </c>
      <c r="J1963" t="n">
        <v>0</v>
      </c>
      <c r="K1963" t="n">
        <v>0</v>
      </c>
      <c r="L1963" t="n">
        <v>0</v>
      </c>
      <c r="M1963" t="n">
        <v>0</v>
      </c>
      <c r="N1963" t="n">
        <v>0</v>
      </c>
      <c r="O1963" t="n">
        <v>0</v>
      </c>
      <c r="P1963" t="n">
        <v>0</v>
      </c>
      <c r="Q1963" t="n">
        <v>0</v>
      </c>
      <c r="R1963" s="2" t="inlineStr"/>
    </row>
    <row r="1964" ht="15" customHeight="1">
      <c r="A1964" t="inlineStr">
        <is>
          <t>A 21245-2025</t>
        </is>
      </c>
      <c r="B1964" s="1" t="n">
        <v>45779</v>
      </c>
      <c r="C1964" s="1" t="n">
        <v>45835</v>
      </c>
      <c r="D1964" t="inlineStr">
        <is>
          <t>JÄMTLANDS LÄN</t>
        </is>
      </c>
      <c r="E1964" t="inlineStr">
        <is>
          <t>RAGUNDA</t>
        </is>
      </c>
      <c r="F1964" t="inlineStr">
        <is>
          <t>SCA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21213-2025</t>
        </is>
      </c>
      <c r="B1965" s="1" t="n">
        <v>45779</v>
      </c>
      <c r="C1965" s="1" t="n">
        <v>45835</v>
      </c>
      <c r="D1965" t="inlineStr">
        <is>
          <t>JÄMTLANDS LÄN</t>
        </is>
      </c>
      <c r="E1965" t="inlineStr">
        <is>
          <t>RAGUNDA</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21331-2025</t>
        </is>
      </c>
      <c r="B1966" s="1" t="n">
        <v>45782</v>
      </c>
      <c r="C1966" s="1" t="n">
        <v>45835</v>
      </c>
      <c r="D1966" t="inlineStr">
        <is>
          <t>JÄMTLANDS LÄN</t>
        </is>
      </c>
      <c r="E1966" t="inlineStr">
        <is>
          <t>RAGUNDA</t>
        </is>
      </c>
      <c r="F1966" t="inlineStr">
        <is>
          <t>SCA</t>
        </is>
      </c>
      <c r="G1966" t="n">
        <v>23.1</v>
      </c>
      <c r="H1966" t="n">
        <v>0</v>
      </c>
      <c r="I1966" t="n">
        <v>0</v>
      </c>
      <c r="J1966" t="n">
        <v>0</v>
      </c>
      <c r="K1966" t="n">
        <v>0</v>
      </c>
      <c r="L1966" t="n">
        <v>0</v>
      </c>
      <c r="M1966" t="n">
        <v>0</v>
      </c>
      <c r="N1966" t="n">
        <v>0</v>
      </c>
      <c r="O1966" t="n">
        <v>0</v>
      </c>
      <c r="P1966" t="n">
        <v>0</v>
      </c>
      <c r="Q1966" t="n">
        <v>0</v>
      </c>
      <c r="R1966" s="2" t="inlineStr"/>
    </row>
    <row r="1967" ht="15" customHeight="1">
      <c r="A1967" t="inlineStr">
        <is>
          <t>A 21504-2025</t>
        </is>
      </c>
      <c r="B1967" s="1" t="n">
        <v>45782</v>
      </c>
      <c r="C1967" s="1" t="n">
        <v>45835</v>
      </c>
      <c r="D1967" t="inlineStr">
        <is>
          <t>JÄMTLANDS LÄN</t>
        </is>
      </c>
      <c r="E1967" t="inlineStr">
        <is>
          <t>RAGUNDA</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21405-2025</t>
        </is>
      </c>
      <c r="B1968" s="1" t="n">
        <v>45782</v>
      </c>
      <c r="C1968" s="1" t="n">
        <v>45835</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21432-2025</t>
        </is>
      </c>
      <c r="B1969" s="1" t="n">
        <v>45782</v>
      </c>
      <c r="C1969" s="1" t="n">
        <v>45835</v>
      </c>
      <c r="D1969" t="inlineStr">
        <is>
          <t>JÄMTLANDS LÄN</t>
        </is>
      </c>
      <c r="E1969" t="inlineStr">
        <is>
          <t>RAGUNDA</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21406-2025</t>
        </is>
      </c>
      <c r="B1970" s="1" t="n">
        <v>45782</v>
      </c>
      <c r="C1970" s="1" t="n">
        <v>45835</v>
      </c>
      <c r="D1970" t="inlineStr">
        <is>
          <t>JÄMTLANDS LÄN</t>
        </is>
      </c>
      <c r="E1970" t="inlineStr">
        <is>
          <t>RAGUNDA</t>
        </is>
      </c>
      <c r="F1970" t="inlineStr">
        <is>
          <t>SCA</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21332-2025</t>
        </is>
      </c>
      <c r="B1971" s="1" t="n">
        <v>45782</v>
      </c>
      <c r="C1971" s="1" t="n">
        <v>45835</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21451-2025</t>
        </is>
      </c>
      <c r="B1972" s="1" t="n">
        <v>45782</v>
      </c>
      <c r="C1972" s="1" t="n">
        <v>45835</v>
      </c>
      <c r="D1972" t="inlineStr">
        <is>
          <t>JÄMTLANDS LÄN</t>
        </is>
      </c>
      <c r="E1972" t="inlineStr">
        <is>
          <t>RAGUNDA</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21550-2025</t>
        </is>
      </c>
      <c r="B1973" s="1" t="n">
        <v>45782</v>
      </c>
      <c r="C1973" s="1" t="n">
        <v>45835</v>
      </c>
      <c r="D1973" t="inlineStr">
        <is>
          <t>JÄMTLANDS LÄN</t>
        </is>
      </c>
      <c r="E1973" t="inlineStr">
        <is>
          <t>RAGUNDA</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21430-2025</t>
        </is>
      </c>
      <c r="B1974" s="1" t="n">
        <v>45782</v>
      </c>
      <c r="C1974" s="1" t="n">
        <v>45835</v>
      </c>
      <c r="D1974" t="inlineStr">
        <is>
          <t>JÄMTLANDS LÄN</t>
        </is>
      </c>
      <c r="E1974" t="inlineStr">
        <is>
          <t>RAGUNDA</t>
        </is>
      </c>
      <c r="F1974" t="inlineStr">
        <is>
          <t>SCA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21372-2025</t>
        </is>
      </c>
      <c r="B1975" s="1" t="n">
        <v>45782</v>
      </c>
      <c r="C1975" s="1" t="n">
        <v>45835</v>
      </c>
      <c r="D1975" t="inlineStr">
        <is>
          <t>JÄMTLANDS LÄN</t>
        </is>
      </c>
      <c r="E1975" t="inlineStr">
        <is>
          <t>RAGUNDA</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21912-2025</t>
        </is>
      </c>
      <c r="B1976" s="1" t="n">
        <v>45784</v>
      </c>
      <c r="C1976" s="1" t="n">
        <v>45835</v>
      </c>
      <c r="D1976" t="inlineStr">
        <is>
          <t>JÄMTLANDS LÄN</t>
        </is>
      </c>
      <c r="E1976" t="inlineStr">
        <is>
          <t>RAGUNDA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22054-2025</t>
        </is>
      </c>
      <c r="B1977" s="1" t="n">
        <v>45785</v>
      </c>
      <c r="C1977" s="1" t="n">
        <v>45835</v>
      </c>
      <c r="D1977" t="inlineStr">
        <is>
          <t>JÄMTLANDS LÄN</t>
        </is>
      </c>
      <c r="E1977" t="inlineStr">
        <is>
          <t>RAGUNDA</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22467-2025</t>
        </is>
      </c>
      <c r="B1978" s="1" t="n">
        <v>45786</v>
      </c>
      <c r="C1978" s="1" t="n">
        <v>45835</v>
      </c>
      <c r="D1978" t="inlineStr">
        <is>
          <t>JÄMTLANDS LÄN</t>
        </is>
      </c>
      <c r="E1978" t="inlineStr">
        <is>
          <t>RAGUNDA</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22466-2025</t>
        </is>
      </c>
      <c r="B1979" s="1" t="n">
        <v>45786</v>
      </c>
      <c r="C1979" s="1" t="n">
        <v>45835</v>
      </c>
      <c r="D1979" t="inlineStr">
        <is>
          <t>JÄMTLANDS LÄN</t>
        </is>
      </c>
      <c r="E1979" t="inlineStr">
        <is>
          <t>RAGUNDA</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22388-2025</t>
        </is>
      </c>
      <c r="B1980" s="1" t="n">
        <v>45786</v>
      </c>
      <c r="C1980" s="1" t="n">
        <v>45835</v>
      </c>
      <c r="D1980" t="inlineStr">
        <is>
          <t>JÄMTLANDS LÄN</t>
        </is>
      </c>
      <c r="E1980" t="inlineStr">
        <is>
          <t>RAGUNDA</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22571-2025</t>
        </is>
      </c>
      <c r="B1981" s="1" t="n">
        <v>45789</v>
      </c>
      <c r="C1981" s="1" t="n">
        <v>45835</v>
      </c>
      <c r="D1981" t="inlineStr">
        <is>
          <t>JÄMTLANDS LÄN</t>
        </is>
      </c>
      <c r="E1981" t="inlineStr">
        <is>
          <t>RAGUNDA</t>
        </is>
      </c>
      <c r="F1981" t="inlineStr">
        <is>
          <t>SCA</t>
        </is>
      </c>
      <c r="G1981" t="n">
        <v>18.2</v>
      </c>
      <c r="H1981" t="n">
        <v>0</v>
      </c>
      <c r="I1981" t="n">
        <v>0</v>
      </c>
      <c r="J1981" t="n">
        <v>0</v>
      </c>
      <c r="K1981" t="n">
        <v>0</v>
      </c>
      <c r="L1981" t="n">
        <v>0</v>
      </c>
      <c r="M1981" t="n">
        <v>0</v>
      </c>
      <c r="N1981" t="n">
        <v>0</v>
      </c>
      <c r="O1981" t="n">
        <v>0</v>
      </c>
      <c r="P1981" t="n">
        <v>0</v>
      </c>
      <c r="Q1981" t="n">
        <v>0</v>
      </c>
      <c r="R1981" s="2" t="inlineStr"/>
    </row>
    <row r="1982" ht="15" customHeight="1">
      <c r="A1982" t="inlineStr">
        <is>
          <t>A 22898-2025</t>
        </is>
      </c>
      <c r="B1982" s="1" t="n">
        <v>45790</v>
      </c>
      <c r="C1982" s="1" t="n">
        <v>45835</v>
      </c>
      <c r="D1982" t="inlineStr">
        <is>
          <t>JÄMTLANDS LÄN</t>
        </is>
      </c>
      <c r="E1982" t="inlineStr">
        <is>
          <t>RAGUNDA</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22986-2025</t>
        </is>
      </c>
      <c r="B1983" s="1" t="n">
        <v>45790</v>
      </c>
      <c r="C1983" s="1" t="n">
        <v>45835</v>
      </c>
      <c r="D1983" t="inlineStr">
        <is>
          <t>JÄMTLANDS LÄN</t>
        </is>
      </c>
      <c r="E1983" t="inlineStr">
        <is>
          <t>RAGUNDA</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22985-2025</t>
        </is>
      </c>
      <c r="B1984" s="1" t="n">
        <v>45790</v>
      </c>
      <c r="C1984" s="1" t="n">
        <v>45835</v>
      </c>
      <c r="D1984" t="inlineStr">
        <is>
          <t>JÄMTLANDS LÄN</t>
        </is>
      </c>
      <c r="E1984" t="inlineStr">
        <is>
          <t>RAGUNDA</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23253-2025</t>
        </is>
      </c>
      <c r="B1985" s="1" t="n">
        <v>45791</v>
      </c>
      <c r="C1985" s="1" t="n">
        <v>45835</v>
      </c>
      <c r="D1985" t="inlineStr">
        <is>
          <t>JÄMTLANDS LÄN</t>
        </is>
      </c>
      <c r="E1985" t="inlineStr">
        <is>
          <t>RAGUNDA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23413-2025</t>
        </is>
      </c>
      <c r="B1986" s="1" t="n">
        <v>45792</v>
      </c>
      <c r="C1986" s="1" t="n">
        <v>45835</v>
      </c>
      <c r="D1986" t="inlineStr">
        <is>
          <t>JÄMTLANDS LÄN</t>
        </is>
      </c>
      <c r="E1986" t="inlineStr">
        <is>
          <t>RAGUNDA</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23586-2025</t>
        </is>
      </c>
      <c r="B1987" s="1" t="n">
        <v>45792</v>
      </c>
      <c r="C1987" s="1" t="n">
        <v>45835</v>
      </c>
      <c r="D1987" t="inlineStr">
        <is>
          <t>JÄMTLANDS LÄN</t>
        </is>
      </c>
      <c r="E1987" t="inlineStr">
        <is>
          <t>RAGUNDA</t>
        </is>
      </c>
      <c r="F1987" t="inlineStr">
        <is>
          <t>SCA</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23507-2025</t>
        </is>
      </c>
      <c r="B1988" s="1" t="n">
        <v>45792</v>
      </c>
      <c r="C1988" s="1" t="n">
        <v>45835</v>
      </c>
      <c r="D1988" t="inlineStr">
        <is>
          <t>JÄMTLANDS LÄN</t>
        </is>
      </c>
      <c r="E1988" t="inlineStr">
        <is>
          <t>RAGUNDA</t>
        </is>
      </c>
      <c r="F1988" t="inlineStr">
        <is>
          <t>SCA</t>
        </is>
      </c>
      <c r="G1988" t="n">
        <v>16.4</v>
      </c>
      <c r="H1988" t="n">
        <v>0</v>
      </c>
      <c r="I1988" t="n">
        <v>0</v>
      </c>
      <c r="J1988" t="n">
        <v>0</v>
      </c>
      <c r="K1988" t="n">
        <v>0</v>
      </c>
      <c r="L1988" t="n">
        <v>0</v>
      </c>
      <c r="M1988" t="n">
        <v>0</v>
      </c>
      <c r="N1988" t="n">
        <v>0</v>
      </c>
      <c r="O1988" t="n">
        <v>0</v>
      </c>
      <c r="P1988" t="n">
        <v>0</v>
      </c>
      <c r="Q1988" t="n">
        <v>0</v>
      </c>
      <c r="R1988" s="2" t="inlineStr"/>
    </row>
    <row r="1989" ht="15" customHeight="1">
      <c r="A1989" t="inlineStr">
        <is>
          <t>A 23405-2025</t>
        </is>
      </c>
      <c r="B1989" s="1" t="n">
        <v>45792</v>
      </c>
      <c r="C1989" s="1" t="n">
        <v>45835</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23654-2025</t>
        </is>
      </c>
      <c r="B1990" s="1" t="n">
        <v>45792</v>
      </c>
      <c r="C1990" s="1" t="n">
        <v>45835</v>
      </c>
      <c r="D1990" t="inlineStr">
        <is>
          <t>JÄMTLANDS LÄN</t>
        </is>
      </c>
      <c r="E1990" t="inlineStr">
        <is>
          <t>RAGUNDA</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23841-2025</t>
        </is>
      </c>
      <c r="B1991" s="1" t="n">
        <v>45793</v>
      </c>
      <c r="C1991" s="1" t="n">
        <v>45835</v>
      </c>
      <c r="D1991" t="inlineStr">
        <is>
          <t>JÄMTLANDS LÄN</t>
        </is>
      </c>
      <c r="E1991" t="inlineStr">
        <is>
          <t>RAGUNDA</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23840-2025</t>
        </is>
      </c>
      <c r="B1992" s="1" t="n">
        <v>45793</v>
      </c>
      <c r="C1992" s="1" t="n">
        <v>45835</v>
      </c>
      <c r="D1992" t="inlineStr">
        <is>
          <t>JÄMTLANDS LÄN</t>
        </is>
      </c>
      <c r="E1992" t="inlineStr">
        <is>
          <t>RAGUNDA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24149-2025</t>
        </is>
      </c>
      <c r="B1993" s="1" t="n">
        <v>45796</v>
      </c>
      <c r="C1993" s="1" t="n">
        <v>45835</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24158-2025</t>
        </is>
      </c>
      <c r="B1994" s="1" t="n">
        <v>45796</v>
      </c>
      <c r="C1994" s="1" t="n">
        <v>45835</v>
      </c>
      <c r="D1994" t="inlineStr">
        <is>
          <t>JÄMTLANDS LÄN</t>
        </is>
      </c>
      <c r="E1994" t="inlineStr">
        <is>
          <t>RAGUNDA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24161-2025</t>
        </is>
      </c>
      <c r="B1995" s="1" t="n">
        <v>45796</v>
      </c>
      <c r="C1995" s="1" t="n">
        <v>45835</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24159-2025</t>
        </is>
      </c>
      <c r="B1996" s="1" t="n">
        <v>45796</v>
      </c>
      <c r="C1996" s="1" t="n">
        <v>45835</v>
      </c>
      <c r="D1996" t="inlineStr">
        <is>
          <t>JÄMTLANDS LÄN</t>
        </is>
      </c>
      <c r="E1996" t="inlineStr">
        <is>
          <t>RAGUNDA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24157-2025</t>
        </is>
      </c>
      <c r="B1997" s="1" t="n">
        <v>45796</v>
      </c>
      <c r="C1997" s="1" t="n">
        <v>45835</v>
      </c>
      <c r="D1997" t="inlineStr">
        <is>
          <t>JÄMTLANDS LÄN</t>
        </is>
      </c>
      <c r="E1997" t="inlineStr">
        <is>
          <t>RAGUNDA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24258-2025</t>
        </is>
      </c>
      <c r="B1998" s="1" t="n">
        <v>45797</v>
      </c>
      <c r="C1998" s="1" t="n">
        <v>45835</v>
      </c>
      <c r="D1998" t="inlineStr">
        <is>
          <t>JÄMTLANDS LÄN</t>
        </is>
      </c>
      <c r="E1998" t="inlineStr">
        <is>
          <t>RAGUNDA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24391-2025</t>
        </is>
      </c>
      <c r="B1999" s="1" t="n">
        <v>45797</v>
      </c>
      <c r="C1999" s="1" t="n">
        <v>45835</v>
      </c>
      <c r="D1999" t="inlineStr">
        <is>
          <t>JÄMTLANDS LÄN</t>
        </is>
      </c>
      <c r="E1999" t="inlineStr">
        <is>
          <t>RAGUNDA</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24732-2025</t>
        </is>
      </c>
      <c r="B2000" s="1" t="n">
        <v>45799</v>
      </c>
      <c r="C2000" s="1" t="n">
        <v>45835</v>
      </c>
      <c r="D2000" t="inlineStr">
        <is>
          <t>JÄMTLANDS LÄN</t>
        </is>
      </c>
      <c r="E2000" t="inlineStr">
        <is>
          <t>RAGUNDA</t>
        </is>
      </c>
      <c r="F2000" t="inlineStr">
        <is>
          <t>SCA</t>
        </is>
      </c>
      <c r="G2000" t="n">
        <v>16.2</v>
      </c>
      <c r="H2000" t="n">
        <v>0</v>
      </c>
      <c r="I2000" t="n">
        <v>0</v>
      </c>
      <c r="J2000" t="n">
        <v>0</v>
      </c>
      <c r="K2000" t="n">
        <v>0</v>
      </c>
      <c r="L2000" t="n">
        <v>0</v>
      </c>
      <c r="M2000" t="n">
        <v>0</v>
      </c>
      <c r="N2000" t="n">
        <v>0</v>
      </c>
      <c r="O2000" t="n">
        <v>0</v>
      </c>
      <c r="P2000" t="n">
        <v>0</v>
      </c>
      <c r="Q2000" t="n">
        <v>0</v>
      </c>
      <c r="R2000" s="2" t="inlineStr"/>
    </row>
    <row r="2001" ht="15" customHeight="1">
      <c r="A2001" t="inlineStr">
        <is>
          <t>A 24735-2025</t>
        </is>
      </c>
      <c r="B2001" s="1" t="n">
        <v>45799</v>
      </c>
      <c r="C2001" s="1" t="n">
        <v>45835</v>
      </c>
      <c r="D2001" t="inlineStr">
        <is>
          <t>JÄMTLANDS LÄN</t>
        </is>
      </c>
      <c r="E2001" t="inlineStr">
        <is>
          <t>RAGUNDA</t>
        </is>
      </c>
      <c r="F2001" t="inlineStr">
        <is>
          <t>SCA</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45835</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25376-2025</t>
        </is>
      </c>
      <c r="B2003" s="1" t="n">
        <v>45800</v>
      </c>
      <c r="C2003" s="1" t="n">
        <v>45835</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25177-2025</t>
        </is>
      </c>
      <c r="B2004" s="1" t="n">
        <v>45800</v>
      </c>
      <c r="C2004" s="1" t="n">
        <v>45835</v>
      </c>
      <c r="D2004" t="inlineStr">
        <is>
          <t>JÄMTLANDS LÄN</t>
        </is>
      </c>
      <c r="E2004" t="inlineStr">
        <is>
          <t>RAGUNDA</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25175-2025</t>
        </is>
      </c>
      <c r="B2005" s="1" t="n">
        <v>45800</v>
      </c>
      <c r="C2005" s="1" t="n">
        <v>45835</v>
      </c>
      <c r="D2005" t="inlineStr">
        <is>
          <t>JÄMTLANDS LÄN</t>
        </is>
      </c>
      <c r="E2005" t="inlineStr">
        <is>
          <t>RAGUNDA</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25152-2025</t>
        </is>
      </c>
      <c r="B2006" s="1" t="n">
        <v>45800</v>
      </c>
      <c r="C2006" s="1" t="n">
        <v>45835</v>
      </c>
      <c r="D2006" t="inlineStr">
        <is>
          <t>JÄMTLANDS LÄN</t>
        </is>
      </c>
      <c r="E2006" t="inlineStr">
        <is>
          <t>RAGUNDA</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25155-2025</t>
        </is>
      </c>
      <c r="B2007" s="1" t="n">
        <v>45800</v>
      </c>
      <c r="C2007" s="1" t="n">
        <v>45835</v>
      </c>
      <c r="D2007" t="inlineStr">
        <is>
          <t>JÄMTLANDS LÄN</t>
        </is>
      </c>
      <c r="E2007" t="inlineStr">
        <is>
          <t>RAGUNDA</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25630-2025</t>
        </is>
      </c>
      <c r="B2008" s="1" t="n">
        <v>45803</v>
      </c>
      <c r="C2008" s="1" t="n">
        <v>45835</v>
      </c>
      <c r="D2008" t="inlineStr">
        <is>
          <t>JÄMTLANDS LÄN</t>
        </is>
      </c>
      <c r="E2008" t="inlineStr">
        <is>
          <t>RAGUNDA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25597-2025</t>
        </is>
      </c>
      <c r="B2009" s="1" t="n">
        <v>45803</v>
      </c>
      <c r="C2009" s="1" t="n">
        <v>45835</v>
      </c>
      <c r="D2009" t="inlineStr">
        <is>
          <t>JÄMTLANDS LÄN</t>
        </is>
      </c>
      <c r="E2009" t="inlineStr">
        <is>
          <t>RAGUNDA</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25631-2025</t>
        </is>
      </c>
      <c r="B2010" s="1" t="n">
        <v>45803</v>
      </c>
      <c r="C2010" s="1" t="n">
        <v>45835</v>
      </c>
      <c r="D2010" t="inlineStr">
        <is>
          <t>JÄMTLANDS LÄN</t>
        </is>
      </c>
      <c r="E2010" t="inlineStr">
        <is>
          <t>RAGUNDA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25659-2025</t>
        </is>
      </c>
      <c r="B2011" s="1" t="n">
        <v>45803</v>
      </c>
      <c r="C2011" s="1" t="n">
        <v>45835</v>
      </c>
      <c r="D2011" t="inlineStr">
        <is>
          <t>JÄMTLANDS LÄN</t>
        </is>
      </c>
      <c r="E2011" t="inlineStr">
        <is>
          <t>RAGUNDA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25661-2025</t>
        </is>
      </c>
      <c r="B2012" s="1" t="n">
        <v>45803</v>
      </c>
      <c r="C2012" s="1" t="n">
        <v>45835</v>
      </c>
      <c r="D2012" t="inlineStr">
        <is>
          <t>JÄMTLANDS LÄN</t>
        </is>
      </c>
      <c r="E2012" t="inlineStr">
        <is>
          <t>RAGUNDA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25769-2025</t>
        </is>
      </c>
      <c r="B2013" s="1" t="n">
        <v>45804</v>
      </c>
      <c r="C2013" s="1" t="n">
        <v>45835</v>
      </c>
      <c r="D2013" t="inlineStr">
        <is>
          <t>JÄMTLANDS LÄN</t>
        </is>
      </c>
      <c r="E2013" t="inlineStr">
        <is>
          <t>RAGUNDA</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26015-2025</t>
        </is>
      </c>
      <c r="B2014" s="1" t="n">
        <v>45804</v>
      </c>
      <c r="C2014" s="1" t="n">
        <v>45835</v>
      </c>
      <c r="D2014" t="inlineStr">
        <is>
          <t>JÄMTLANDS LÄN</t>
        </is>
      </c>
      <c r="E2014" t="inlineStr">
        <is>
          <t>RAGUNDA</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25814-2025</t>
        </is>
      </c>
      <c r="B2015" s="1" t="n">
        <v>45804</v>
      </c>
      <c r="C2015" s="1" t="n">
        <v>45835</v>
      </c>
      <c r="D2015" t="inlineStr">
        <is>
          <t>JÄMTLANDS LÄN</t>
        </is>
      </c>
      <c r="E2015" t="inlineStr">
        <is>
          <t>RAGUNDA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25944-2025</t>
        </is>
      </c>
      <c r="B2016" s="1" t="n">
        <v>45804</v>
      </c>
      <c r="C2016" s="1" t="n">
        <v>45835</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25994-2025</t>
        </is>
      </c>
      <c r="B2017" s="1" t="n">
        <v>45804</v>
      </c>
      <c r="C2017" s="1" t="n">
        <v>45835</v>
      </c>
      <c r="D2017" t="inlineStr">
        <is>
          <t>JÄMTLANDS LÄN</t>
        </is>
      </c>
      <c r="E2017" t="inlineStr">
        <is>
          <t>RAGUNDA</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26246-2025</t>
        </is>
      </c>
      <c r="B2018" s="1" t="n">
        <v>45805</v>
      </c>
      <c r="C2018" s="1" t="n">
        <v>45835</v>
      </c>
      <c r="D2018" t="inlineStr">
        <is>
          <t>JÄMTLANDS LÄN</t>
        </is>
      </c>
      <c r="E2018" t="inlineStr">
        <is>
          <t>RAGUNDA</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26283-2025</t>
        </is>
      </c>
      <c r="B2019" s="1" t="n">
        <v>45805</v>
      </c>
      <c r="C2019" s="1" t="n">
        <v>45835</v>
      </c>
      <c r="D2019" t="inlineStr">
        <is>
          <t>JÄMTLANDS LÄN</t>
        </is>
      </c>
      <c r="E2019" t="inlineStr">
        <is>
          <t>RAGUNDA</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26172-2025</t>
        </is>
      </c>
      <c r="B2020" s="1" t="n">
        <v>45805</v>
      </c>
      <c r="C2020" s="1" t="n">
        <v>45835</v>
      </c>
      <c r="D2020" t="inlineStr">
        <is>
          <t>JÄMTLANDS LÄN</t>
        </is>
      </c>
      <c r="E2020" t="inlineStr">
        <is>
          <t>RAGUNDA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26640-2025</t>
        </is>
      </c>
      <c r="B2021" s="1" t="n">
        <v>45810</v>
      </c>
      <c r="C2021" s="1" t="n">
        <v>45835</v>
      </c>
      <c r="D2021" t="inlineStr">
        <is>
          <t>JÄMTLANDS LÄN</t>
        </is>
      </c>
      <c r="E2021" t="inlineStr">
        <is>
          <t>RAGUNDA</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27510-2025</t>
        </is>
      </c>
      <c r="B2022" s="1" t="n">
        <v>45813</v>
      </c>
      <c r="C2022" s="1" t="n">
        <v>45835</v>
      </c>
      <c r="D2022" t="inlineStr">
        <is>
          <t>JÄMTLANDS LÄN</t>
        </is>
      </c>
      <c r="E2022" t="inlineStr">
        <is>
          <t>RAGUNDA</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28084-2025</t>
        </is>
      </c>
      <c r="B2023" s="1" t="n">
        <v>45817</v>
      </c>
      <c r="C2023" s="1" t="n">
        <v>45835</v>
      </c>
      <c r="D2023" t="inlineStr">
        <is>
          <t>JÄMTLANDS LÄN</t>
        </is>
      </c>
      <c r="E2023" t="inlineStr">
        <is>
          <t>RAGUNDA</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28216-2025</t>
        </is>
      </c>
      <c r="B2024" s="1" t="n">
        <v>45818</v>
      </c>
      <c r="C2024" s="1" t="n">
        <v>45835</v>
      </c>
      <c r="D2024" t="inlineStr">
        <is>
          <t>JÄMTLANDS LÄN</t>
        </is>
      </c>
      <c r="E2024" t="inlineStr">
        <is>
          <t>RAGUNDA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28637-2025</t>
        </is>
      </c>
      <c r="B2025" s="1" t="n">
        <v>45819</v>
      </c>
      <c r="C2025" s="1" t="n">
        <v>45835</v>
      </c>
      <c r="D2025" t="inlineStr">
        <is>
          <t>JÄMTLANDS LÄN</t>
        </is>
      </c>
      <c r="E2025" t="inlineStr">
        <is>
          <t>RAGUNDA</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28973-2025</t>
        </is>
      </c>
      <c r="B2026" s="1" t="n">
        <v>45821</v>
      </c>
      <c r="C2026" s="1" t="n">
        <v>45835</v>
      </c>
      <c r="D2026" t="inlineStr">
        <is>
          <t>JÄMTLANDS LÄN</t>
        </is>
      </c>
      <c r="E2026" t="inlineStr">
        <is>
          <t>RAGUNDA</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29714-2025</t>
        </is>
      </c>
      <c r="B2027" s="1" t="n">
        <v>45825</v>
      </c>
      <c r="C2027" s="1" t="n">
        <v>45835</v>
      </c>
      <c r="D2027" t="inlineStr">
        <is>
          <t>JÄMTLANDS LÄN</t>
        </is>
      </c>
      <c r="E2027" t="inlineStr">
        <is>
          <t>RAGUNDA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29723-2025</t>
        </is>
      </c>
      <c r="B2028" s="1" t="n">
        <v>45825</v>
      </c>
      <c r="C2028" s="1" t="n">
        <v>45835</v>
      </c>
      <c r="D2028" t="inlineStr">
        <is>
          <t>JÄMTLANDS LÄN</t>
        </is>
      </c>
      <c r="E2028" t="inlineStr">
        <is>
          <t>RAGUNDA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29731-2025</t>
        </is>
      </c>
      <c r="B2029" s="1" t="n">
        <v>45825</v>
      </c>
      <c r="C2029" s="1" t="n">
        <v>45835</v>
      </c>
      <c r="D2029" t="inlineStr">
        <is>
          <t>JÄMTLANDS LÄN</t>
        </is>
      </c>
      <c r="E2029" t="inlineStr">
        <is>
          <t>RAGUNDA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30088-2025</t>
        </is>
      </c>
      <c r="B2030" s="1" t="n">
        <v>45826</v>
      </c>
      <c r="C2030" s="1" t="n">
        <v>45835</v>
      </c>
      <c r="D2030" t="inlineStr">
        <is>
          <t>JÄMTLANDS LÄN</t>
        </is>
      </c>
      <c r="E2030" t="inlineStr">
        <is>
          <t>RAGUNDA</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30348-2025</t>
        </is>
      </c>
      <c r="B2031" s="1" t="n">
        <v>45827</v>
      </c>
      <c r="C2031" s="1" t="n">
        <v>45835</v>
      </c>
      <c r="D2031" t="inlineStr">
        <is>
          <t>JÄMTLANDS LÄN</t>
        </is>
      </c>
      <c r="E2031" t="inlineStr">
        <is>
          <t>RAGUNDA</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30434-2025</t>
        </is>
      </c>
      <c r="B2032" s="1" t="n">
        <v>45827</v>
      </c>
      <c r="C2032" s="1" t="n">
        <v>45835</v>
      </c>
      <c r="D2032" t="inlineStr">
        <is>
          <t>JÄMTLANDS LÄN</t>
        </is>
      </c>
      <c r="E2032" t="inlineStr">
        <is>
          <t>RAGUNDA</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30883-2025</t>
        </is>
      </c>
      <c r="B2033" s="1" t="n">
        <v>45832</v>
      </c>
      <c r="C2033" s="1" t="n">
        <v>45835</v>
      </c>
      <c r="D2033" t="inlineStr">
        <is>
          <t>JÄMTLANDS LÄN</t>
        </is>
      </c>
      <c r="E2033" t="inlineStr">
        <is>
          <t>RAGUNDA</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30887-2025</t>
        </is>
      </c>
      <c r="B2034" s="1" t="n">
        <v>45832</v>
      </c>
      <c r="C2034" s="1" t="n">
        <v>45835</v>
      </c>
      <c r="D2034" t="inlineStr">
        <is>
          <t>JÄMTLANDS LÄN</t>
        </is>
      </c>
      <c r="E2034" t="inlineStr">
        <is>
          <t>RAGUNDA</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30880-2025</t>
        </is>
      </c>
      <c r="B2035" s="1" t="n">
        <v>45832</v>
      </c>
      <c r="C2035" s="1" t="n">
        <v>45835</v>
      </c>
      <c r="D2035" t="inlineStr">
        <is>
          <t>JÄMTLANDS LÄN</t>
        </is>
      </c>
      <c r="E2035" t="inlineStr">
        <is>
          <t>RAGUNDA</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30886-2025</t>
        </is>
      </c>
      <c r="B2036" s="1" t="n">
        <v>45832</v>
      </c>
      <c r="C2036" s="1" t="n">
        <v>45835</v>
      </c>
      <c r="D2036" t="inlineStr">
        <is>
          <t>JÄMTLANDS LÄN</t>
        </is>
      </c>
      <c r="E2036" t="inlineStr">
        <is>
          <t>RAGUNDA</t>
        </is>
      </c>
      <c r="F2036" t="inlineStr">
        <is>
          <t>SCA</t>
        </is>
      </c>
      <c r="G2036" t="n">
        <v>4.4</v>
      </c>
      <c r="H2036" t="n">
        <v>0</v>
      </c>
      <c r="I2036" t="n">
        <v>0</v>
      </c>
      <c r="J2036" t="n">
        <v>0</v>
      </c>
      <c r="K2036" t="n">
        <v>0</v>
      </c>
      <c r="L2036" t="n">
        <v>0</v>
      </c>
      <c r="M2036" t="n">
        <v>0</v>
      </c>
      <c r="N2036" t="n">
        <v>0</v>
      </c>
      <c r="O2036" t="n">
        <v>0</v>
      </c>
      <c r="P2036" t="n">
        <v>0</v>
      </c>
      <c r="Q2036" t="n">
        <v>0</v>
      </c>
      <c r="R2036" s="2" t="inlineStr"/>
    </row>
    <row r="2037">
      <c r="A2037" t="inlineStr">
        <is>
          <t>A 31882-2025</t>
        </is>
      </c>
      <c r="B2037" s="1" t="n">
        <v>45834</v>
      </c>
      <c r="C2037" s="1" t="n">
        <v>45835</v>
      </c>
      <c r="D2037" t="inlineStr">
        <is>
          <t>JÄMTLANDS LÄN</t>
        </is>
      </c>
      <c r="E2037" t="inlineStr">
        <is>
          <t>RAGUNDA</t>
        </is>
      </c>
      <c r="F2037" t="inlineStr">
        <is>
          <t>SCA</t>
        </is>
      </c>
      <c r="G2037" t="n">
        <v>5.5</v>
      </c>
      <c r="H2037" t="n">
        <v>0</v>
      </c>
      <c r="I2037" t="n">
        <v>0</v>
      </c>
      <c r="J2037" t="n">
        <v>0</v>
      </c>
      <c r="K2037" t="n">
        <v>0</v>
      </c>
      <c r="L2037" t="n">
        <v>0</v>
      </c>
      <c r="M2037" t="n">
        <v>0</v>
      </c>
      <c r="N2037" t="n">
        <v>0</v>
      </c>
      <c r="O2037" t="n">
        <v>0</v>
      </c>
      <c r="P2037" t="n">
        <v>0</v>
      </c>
      <c r="Q2037" t="n">
        <v>0</v>
      </c>
      <c r="R2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2025-06-27T19:20:27Z</dcterms:created>
  <dcterms:modified xmlns:dcterms="http://purl.org/dc/terms/" xmlns:xsi="http://www.w3.org/2001/XMLSchema-instance" xsi:type="dcterms:W3CDTF">2025-06-27T19:20:28Z</dcterms:modified>
</cp:coreProperties>
</file>