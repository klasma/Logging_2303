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45763</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45763</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45763</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45763</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45763</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45763</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45763</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45763</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45763</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45763</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45763</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45763</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45763</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45763</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45763</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45763</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45763</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45763</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45763</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45763</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45763</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45763</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45763</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45763</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45763</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45763</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45763</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45763</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45763</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45763</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45763</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45763</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45763</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45763</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45763</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45763</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45763</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45763</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45763</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45763</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45763</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45763</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45763</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45763</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45763</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45763</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45763</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45763</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45763</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45763</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45763</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45763</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45763</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45763</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45763</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45763</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45763</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45763</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45763</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45763</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45763</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45763</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45763</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45763</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45763</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45763</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45763</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45763</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45763</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45763</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45763</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45763</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45763</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45763</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45763</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45763</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45763</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45763</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45763</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45763</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45763</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45763</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45763</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45763</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45763</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45763</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45763</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45763</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45763</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45763</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45763</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45763</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45763</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45763</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45763</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45763</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45763</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45763</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45763</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45763</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45763</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45763</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45763</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45763</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45763</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45763</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45763</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45763</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45763</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45763</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45763</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45763</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45763</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45763</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45763</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45763</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45763</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45763</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45763</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45763</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45763</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45763</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45763</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45763</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45763</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45763</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45763</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45763</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45763</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45763</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45763</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45763</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45763</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45763</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45763</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45763</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45763</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45763</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45763</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45763</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45763</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45763</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45763</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45763</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45763</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45763</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45763</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45763</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45763</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45763</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45763</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45763</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45763</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45763</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45763</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45763</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45763</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45763</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45763</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45763</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45763</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45763</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45763</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45763</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45763</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45763</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45763</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45763</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45763</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45763</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45763</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45763</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45763</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45763</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45763</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45763</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45763</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45763</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45763</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45763</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45763</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45763</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45763</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45763</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45763</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45763</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45763</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45763</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45763</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45763</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45763</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45763</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45763</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45763</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45763</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45763</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45763</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45763</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45763</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45763</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45763</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45763</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45763</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45763</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45763</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45763</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45763</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45763</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45763</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45763</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45763</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45763</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45763</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45763</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45763</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45763</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45763</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45763</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45763</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45763</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45763</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45763</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45763</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45763</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45763</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45763</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45763</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45763</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45763</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45763</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45763</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45763</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45763</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45763</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45763</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45763</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45763</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45763</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45763</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45763</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45763</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45763</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45763</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16316-2025</t>
        </is>
      </c>
      <c r="B331" s="1" t="n">
        <v>45751</v>
      </c>
      <c r="C331" s="1" t="n">
        <v>45763</v>
      </c>
      <c r="D331" t="inlineStr">
        <is>
          <t>JÄMTLANDS LÄN</t>
        </is>
      </c>
      <c r="E331" t="inlineStr">
        <is>
          <t>RAGUNDA</t>
        </is>
      </c>
      <c r="F331" t="inlineStr">
        <is>
          <t>SCA</t>
        </is>
      </c>
      <c r="G331" t="n">
        <v>1.7</v>
      </c>
      <c r="H331" t="n">
        <v>1</v>
      </c>
      <c r="I331" t="n">
        <v>0</v>
      </c>
      <c r="J331" t="n">
        <v>0</v>
      </c>
      <c r="K331" t="n">
        <v>0</v>
      </c>
      <c r="L331" t="n">
        <v>0</v>
      </c>
      <c r="M331" t="n">
        <v>0</v>
      </c>
      <c r="N331" t="n">
        <v>0</v>
      </c>
      <c r="O331" t="n">
        <v>0</v>
      </c>
      <c r="P331" t="n">
        <v>0</v>
      </c>
      <c r="Q331" t="n">
        <v>1</v>
      </c>
      <c r="R331" s="2" t="inlineStr">
        <is>
          <t>Dactylorhiza incarnata subsp. incarnata</t>
        </is>
      </c>
      <c r="S331">
        <f>HYPERLINK("https://klasma.github.io/Logging_232303/artfynd/A 16316-2025 artfynd.xlsx", "A 16316-2025")</f>
        <v/>
      </c>
      <c r="T331">
        <f>HYPERLINK("https://klasma.github.io/Logging_232303/kartor/A 16316-2025 karta.png", "A 16316-2025")</f>
        <v/>
      </c>
      <c r="V331">
        <f>HYPERLINK("https://klasma.github.io/Logging_232303/klagomål/A 16316-2025 FSC-klagomål.docx", "A 16316-2025")</f>
        <v/>
      </c>
      <c r="W331">
        <f>HYPERLINK("https://klasma.github.io/Logging_232303/klagomålsmail/A 16316-2025 FSC-klagomål mail.docx", "A 16316-2025")</f>
        <v/>
      </c>
      <c r="X331">
        <f>HYPERLINK("https://klasma.github.io/Logging_232303/tillsyn/A 16316-2025 tillsynsbegäran.docx", "A 16316-2025")</f>
        <v/>
      </c>
      <c r="Y331">
        <f>HYPERLINK("https://klasma.github.io/Logging_232303/tillsynsmail/A 16316-2025 tillsynsbegäran mail.docx", "A 16316-2025")</f>
        <v/>
      </c>
    </row>
    <row r="332" ht="15" customHeight="1">
      <c r="A332" t="inlineStr">
        <is>
          <t>A 16318-2025</t>
        </is>
      </c>
      <c r="B332" s="1" t="n">
        <v>45751</v>
      </c>
      <c r="C332" s="1" t="n">
        <v>45763</v>
      </c>
      <c r="D332" t="inlineStr">
        <is>
          <t>JÄMTLANDS LÄN</t>
        </is>
      </c>
      <c r="E332" t="inlineStr">
        <is>
          <t>RAGUNDA</t>
        </is>
      </c>
      <c r="F332" t="inlineStr">
        <is>
          <t>SCA</t>
        </is>
      </c>
      <c r="G332" t="n">
        <v>6.8</v>
      </c>
      <c r="H332" t="n">
        <v>1</v>
      </c>
      <c r="I332" t="n">
        <v>0</v>
      </c>
      <c r="J332" t="n">
        <v>1</v>
      </c>
      <c r="K332" t="n">
        <v>0</v>
      </c>
      <c r="L332" t="n">
        <v>0</v>
      </c>
      <c r="M332" t="n">
        <v>0</v>
      </c>
      <c r="N332" t="n">
        <v>0</v>
      </c>
      <c r="O332" t="n">
        <v>1</v>
      </c>
      <c r="P332" t="n">
        <v>0</v>
      </c>
      <c r="Q332" t="n">
        <v>1</v>
      </c>
      <c r="R332" s="2" t="inlineStr">
        <is>
          <t>Järpe</t>
        </is>
      </c>
      <c r="S332">
        <f>HYPERLINK("https://klasma.github.io/Logging_232303/artfynd/A 16318-2025 artfynd.xlsx", "A 16318-2025")</f>
        <v/>
      </c>
      <c r="T332">
        <f>HYPERLINK("https://klasma.github.io/Logging_232303/kartor/A 16318-2025 karta.png", "A 16318-2025")</f>
        <v/>
      </c>
      <c r="U332">
        <f>HYPERLINK("https://klasma.github.io/Logging_232303/knärot/A 16318-2025 karta knärot.png", "A 16318-2025")</f>
        <v/>
      </c>
      <c r="V332">
        <f>HYPERLINK("https://klasma.github.io/Logging_232303/klagomål/A 16318-2025 FSC-klagomål.docx", "A 16318-2025")</f>
        <v/>
      </c>
      <c r="W332">
        <f>HYPERLINK("https://klasma.github.io/Logging_232303/klagomålsmail/A 16318-2025 FSC-klagomål mail.docx", "A 16318-2025")</f>
        <v/>
      </c>
      <c r="X332">
        <f>HYPERLINK("https://klasma.github.io/Logging_232303/tillsyn/A 16318-2025 tillsynsbegäran.docx", "A 16318-2025")</f>
        <v/>
      </c>
      <c r="Y332">
        <f>HYPERLINK("https://klasma.github.io/Logging_232303/tillsynsmail/A 16318-2025 tillsynsbegäran mail.docx", "A 16318-2025")</f>
        <v/>
      </c>
      <c r="Z332">
        <f>HYPERLINK("https://klasma.github.io/Logging_232303/fåglar/A 16318-2025 prioriterade fågelarter.docx", "A 16318-2025")</f>
        <v/>
      </c>
    </row>
    <row r="333" ht="15" customHeight="1">
      <c r="A333" t="inlineStr">
        <is>
          <t>A 16724-2025</t>
        </is>
      </c>
      <c r="B333" s="1" t="n">
        <v>45754</v>
      </c>
      <c r="C333" s="1" t="n">
        <v>45763</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45763</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45763</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45763</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45763</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45763</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45763</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45763</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45763</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45763</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45763</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45763</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45763</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45763</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45763</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45763</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45763</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45763</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45763</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45763</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45763</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45763</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45763</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45763</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45763</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45763</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45763</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45763</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45763</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45763</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45763</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45763</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45763</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45763</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45763</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45763</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45763</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45763</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45763</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45763</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45763</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45763</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45763</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45763</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45763</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45763</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45763</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45763</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45763</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45763</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45763</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45763</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45763</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45763</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45763</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45763</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45763</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45763</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45763</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45763</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45763</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45763</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45763</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45763</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45763</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45763</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45763</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45763</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45763</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45763</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45763</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45763</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45763</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45763</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45763</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45763</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45763</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45763</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45763</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45763</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45763</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45763</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45763</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45763</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45763</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45763</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45763</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45763</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45763</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45763</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45763</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45763</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45763</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45763</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45763</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45763</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45763</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45763</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45763</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45763</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45763</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45763</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45763</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45763</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45763</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45763</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45763</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45763</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45763</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45763</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45763</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45763</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45763</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45763</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45763</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45763</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45763</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45763</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45763</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45763</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45763</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45763</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45763</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45763</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45763</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45763</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45763</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45763</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45763</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45763</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45763</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45763</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45763</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45763</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45763</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45763</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45763</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45763</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45763</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45763</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45763</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45763</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45763</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45763</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45763</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45763</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45763</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45763</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45763</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45763</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45763</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45763</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45763</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45763</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45763</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45763</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45763</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45763</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45763</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45763</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45763</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45763</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45763</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45763</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45763</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45763</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45763</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45763</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45763</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45763</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45763</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45763</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45763</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45763</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45763</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45763</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45763</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45763</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45763</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45763</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45763</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45763</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45763</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45763</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45763</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45763</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45763</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45763</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45763</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45763</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45763</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45763</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45763</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45763</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45763</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45763</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45763</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45763</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45763</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45763</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45763</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45763</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45763</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45763</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45763</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45763</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45763</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45763</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45763</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45763</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45763</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45763</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45763</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45763</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45763</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45763</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45763</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45763</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45763</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45763</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45763</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45763</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45763</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45763</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45763</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45763</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45763</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45763</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45763</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45763</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45763</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45763</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45763</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45763</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45763</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45763</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45763</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45763</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45763</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45763</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45763</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45763</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45763</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45763</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45763</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45763</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45763</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45763</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45763</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45763</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45763</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45763</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45763</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45763</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45763</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45763</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45763</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45763</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45763</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45763</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45763</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45763</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45763</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45763</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45763</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45763</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45763</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45763</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45763</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45763</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45763</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45763</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45763</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45763</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45763</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45763</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45763</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45763</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45763</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45763</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45763</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45763</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45763</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45763</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45763</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45763</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45763</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45763</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45763</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45763</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45763</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45763</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45763</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45763</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45763</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45763</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45763</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45763</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45763</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45763</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45763</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45763</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45763</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45763</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45763</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45763</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45763</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45763</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45763</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45763</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45763</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45763</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45763</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45763</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45763</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45763</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45763</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45763</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45763</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45763</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45763</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45763</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45763</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45763</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45763</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45763</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45763</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45763</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45763</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45763</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45763</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45763</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45763</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45763</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45763</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45763</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45763</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45763</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45763</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45763</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45763</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45763</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45763</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45763</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45763</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45763</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45763</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45763</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45763</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45763</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45763</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45763</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45763</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45763</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45763</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45763</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45763</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45763</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45763</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45763</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45763</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45763</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45763</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45763</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45763</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45763</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45763</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45763</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45763</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45763</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45763</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45763</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45763</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45763</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45763</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45763</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45763</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45763</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45763</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45763</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45763</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45763</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45763</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45763</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45763</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45763</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45763</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45763</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45763</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45763</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45763</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45763</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45763</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45763</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45763</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45763</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45763</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45763</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45763</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45763</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45763</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45763</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45763</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45763</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45763</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45763</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45763</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45763</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45763</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45763</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45763</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45763</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45763</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45763</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45763</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45763</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45763</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45763</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45763</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45763</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45763</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45763</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45763</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45763</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45763</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45763</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45763</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45763</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45763</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45763</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45763</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45763</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45763</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45763</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45763</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45763</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45763</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45763</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45763</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45763</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45763</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45763</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45763</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45763</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45763</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45763</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45763</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45763</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45763</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45763</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45763</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45763</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45763</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45763</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45763</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45763</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45763</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45763</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45763</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45763</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45763</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45763</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45763</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45763</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45763</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45763</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45763</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45763</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45763</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45763</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45763</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45763</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45763</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45763</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45763</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45763</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45763</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45763</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45763</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45763</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45763</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45763</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45763</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45763</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45763</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45763</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45763</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45763</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45763</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45763</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45763</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45763</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45763</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45763</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45763</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45763</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45763</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45763</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45763</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45763</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45763</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45763</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45763</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45763</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45763</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45763</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45763</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45763</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45763</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45763</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45763</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45763</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45763</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45763</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45763</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45763</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45763</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45763</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45763</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45763</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45763</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45763</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45763</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45763</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45763</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45763</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45763</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45763</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45763</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45763</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45763</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45763</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45763</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45763</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45763</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45763</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45763</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45763</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45763</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45763</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45763</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45763</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45763</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45763</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45763</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45763</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45763</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45763</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45763</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45763</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45763</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45763</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45763</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45763</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45763</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45763</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45763</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45763</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45763</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45763</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45763</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45763</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45763</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45763</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45763</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45763</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45763</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45763</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45763</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45763</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45763</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45763</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45763</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45763</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45763</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45763</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45763</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45763</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45763</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45763</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45763</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45763</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45763</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45763</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45763</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45763</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45763</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45763</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45763</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45763</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45763</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45763</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45763</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45763</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45763</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45763</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45763</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45763</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45763</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45763</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45763</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45763</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45763</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45763</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45763</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45763</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45763</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45763</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45763</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45763</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45763</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45763</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45763</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45763</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45763</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45763</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45763</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45763</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45763</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45763</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45763</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45763</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45763</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45763</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45763</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45763</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45763</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45763</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45763</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45763</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45763</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45763</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45763</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45763</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45763</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45763</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45763</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45763</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45763</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45763</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45763</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45763</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45763</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45763</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45763</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45763</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45763</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45763</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45763</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45763</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45763</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45763</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45763</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45763</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45763</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45763</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45763</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45763</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45763</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45763</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45763</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45763</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45763</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45763</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45763</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45763</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45763</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45763</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45763</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45763</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45763</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45763</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45763</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45763</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45763</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45763</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45763</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45763</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45763</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45763</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45763</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45763</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45763</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45763</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45763</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45763</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45763</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45763</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45763</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45763</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45763</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45763</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45763</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45763</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45763</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45763</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45763</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45763</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45763</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45763</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45763</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45763</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45763</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45763</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45763</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45763</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45763</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45763</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45763</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45763</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45763</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45763</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45763</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45763</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45763</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45763</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45763</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45763</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45763</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45763</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45763</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45763</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45763</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45763</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45763</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45763</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45763</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45763</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45763</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45763</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45763</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45763</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45763</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45763</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45763</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45763</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45763</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45763</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45763</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45763</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45763</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45763</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45763</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45763</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45763</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45763</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45763</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45763</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45763</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45763</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45763</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45763</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45763</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45763</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45763</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45763</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45763</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45763</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45763</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45763</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45763</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45763</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45763</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45763</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45763</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45763</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45763</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45763</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45763</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45763</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45763</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45763</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45763</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45763</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45763</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45763</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45763</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45763</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45763</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45763</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45763</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45763</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45763</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45763</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45763</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45763</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45763</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45763</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45763</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45763</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45763</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45763</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45763</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45763</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45763</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45763</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45763</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45763</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45763</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45763</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45763</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45763</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45763</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45763</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45763</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45763</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45763</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45763</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45763</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45763</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45763</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45763</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45763</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45763</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45763</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45763</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45763</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45763</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45763</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45763</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45763</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45763</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45763</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45763</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45763</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45763</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45763</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45763</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45763</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45763</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45763</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45763</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45763</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45763</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45763</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45763</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45763</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45763</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45763</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45763</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45763</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45763</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45763</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45763</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45763</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45763</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45763</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45763</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45763</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45763</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45763</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45763</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45763</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45763</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45763</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45763</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45763</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45763</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45763</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45763</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45763</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45763</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45763</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45763</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45763</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45763</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45763</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45763</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45763</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45763</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45763</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45763</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45763</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45763</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45763</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45763</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45763</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45763</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45763</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45763</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45763</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45763</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45763</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45763</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45763</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45763</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45763</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45763</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45763</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45763</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45763</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45763</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45763</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45763</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45763</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45763</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45763</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45763</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45763</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45763</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45763</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45763</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45763</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45763</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45763</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45763</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45763</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45763</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45763</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45763</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45763</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45763</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45763</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45763</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45763</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45763</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45763</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45763</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45763</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45763</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45763</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45763</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45763</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45763</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45763</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45763</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45763</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45763</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45763</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45763</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45763</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45763</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45763</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45763</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45763</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45763</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45763</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45763</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45763</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45763</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45763</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45763</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45763</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45763</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45763</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45763</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45763</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45763</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45763</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45763</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45763</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45763</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45763</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45763</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45763</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45763</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45763</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45763</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45763</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45763</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45763</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45763</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45763</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45763</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45763</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45763</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45763</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45763</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45763</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45763</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45763</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45763</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45763</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45763</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45763</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45763</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45763</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45763</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45763</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45763</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45763</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45763</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45763</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45763</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45763</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45763</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45763</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45763</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45763</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45763</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45763</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45763</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45763</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45763</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45763</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45763</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45763</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45763</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45763</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45763</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45763</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45763</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45763</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45763</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45763</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45763</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45763</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45763</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45763</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45763</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45763</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45763</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45763</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45763</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45763</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45763</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45763</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45763</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45763</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45763</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45763</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45763</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45763</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45763</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45763</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45763</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45763</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45763</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45763</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45763</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45763</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45763</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45763</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45763</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45763</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45763</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45763</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45763</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45763</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45763</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45763</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45763</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45763</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45763</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45763</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45763</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45763</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45763</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45763</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45763</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45763</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45763</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45763</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45763</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45763</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45763</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45763</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45763</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45763</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45763</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45763</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45763</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45763</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45763</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45763</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45763</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45763</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45763</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45763</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45763</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45763</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45763</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45763</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45763</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45763</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45763</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45763</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45763</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45763</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45763</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45763</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45763</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45763</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45763</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45763</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45763</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45763</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45763</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45763</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45763</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45763</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45763</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45763</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45763</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45763</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45763</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45763</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45763</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45763</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45763</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45763</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45763</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45763</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45763</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45763</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45763</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45763</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45763</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45763</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45763</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45763</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45763</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45763</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45763</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45763</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45763</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45763</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45763</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45763</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45763</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45763</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45763</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45763</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45763</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45763</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45763</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45763</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45763</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45763</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45763</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45763</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45763</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45763</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45763</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45763</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45763</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45763</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45763</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45763</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45763</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45763</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45763</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45763</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45763</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45763</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45763</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45763</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45763</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45763</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45763</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45763</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45763</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45763</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45763</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45763</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45763</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45763</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45763</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45763</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45763</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45763</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45763</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45763</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45763</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45763</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45763</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45763</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45763</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45763</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45763</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45763</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45763</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45763</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45763</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45763</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45763</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45763</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45763</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45763</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45763</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45763</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45763</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45763</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45763</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45763</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45763</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45763</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45763</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45763</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45763</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45763</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45763</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45763</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45763</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45763</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45763</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45763</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45763</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45763</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45763</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45763</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45763</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45763</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45763</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45763</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45763</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45763</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45763</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45763</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45763</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45763</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45763</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45763</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45763</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45763</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45763</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45763</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45763</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45763</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45763</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45763</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45763</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45763</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45763</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45763</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45763</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45763</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45763</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45763</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45763</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45763</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45763</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45763</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45763</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45763</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45763</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45763</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45763</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45763</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45763</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45763</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45763</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45763</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45763</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45763</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45763</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45763</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45763</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45763</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45763</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45763</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45763</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45763</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45763</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45763</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45763</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45763</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45763</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45763</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45763</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45763</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45763</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45763</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45763</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45763</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45763</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45763</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45763</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45763</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45763</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45763</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45763</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45763</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45763</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45763</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45763</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45763</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45763</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45763</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45763</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45763</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45763</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45763</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45763</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45763</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45763</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45763</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45763</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45763</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45763</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45763</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45763</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45763</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45763</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45763</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45763</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45763</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45763</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45763</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45763</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45763</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45763</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45763</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45763</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45763</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45763</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45763</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45763</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45763</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45763</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45763</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45763</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45763</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45763</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45763</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45763</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45763</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45763</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45763</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45763</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45763</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45763</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45763</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45763</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45763</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45763</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45763</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45763</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45763</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45763</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45763</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45763</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45763</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45763</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45763</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45763</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45763</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45763</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45763</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45763</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45763</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45763</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45763</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45763</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45763</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45763</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45763</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45763</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45763</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45763</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45763</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45763</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45763</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45763</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45763</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45763</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45763</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45763</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45763</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45763</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45763</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45763</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45763</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45763</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45763</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45763</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45763</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45763</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45763</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45763</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45763</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45763</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45763</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45763</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45763</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45763</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45763</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45763</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45763</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45763</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45763</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45763</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45763</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45763</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45763</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45763</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45763</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45763</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45763</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45763</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45763</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45763</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45763</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45763</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45763</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45763</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45763</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45763</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45763</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45763</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45763</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45763</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45763</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45763</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45763</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45763</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45763</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45763</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45763</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45763</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45763</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45763</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45763</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45763</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45763</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45763</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45763</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45763</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45763</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45763</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45763</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45763</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45763</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45763</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45763</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45763</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45763</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45763</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45763</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45763</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45763</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45763</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45763</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45763</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45763</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45763</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45763</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45763</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45763</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45763</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45763</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45763</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45763</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45763</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45763</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45763</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45763</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45763</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45763</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45763</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45763</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45763</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45763</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45763</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45763</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45763</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45763</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45763</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45763</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45763</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45763</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45763</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45763</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45763</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45763</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45763</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45763</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45763</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45763</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45763</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45763</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45763</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45763</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45763</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45763</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45763</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45763</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45763</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45763</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45763</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45763</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45763</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45763</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45763</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45763</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45763</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45763</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45763</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45763</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45763</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45763</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45763</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45763</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45763</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45763</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45763</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45763</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45763</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45763</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45763</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45763</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45763</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45763</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45763</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45763</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45763</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45763</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45763</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45763</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45763</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45763</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45763</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45763</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45763</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45763</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45763</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45763</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45763</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45763</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45763</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45763</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45763</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45763</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45763</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45763</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45763</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45763</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45763</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45763</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45763</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45763</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45763</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45763</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45763</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45763</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45763</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45763</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45763</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45763</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45763</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45763</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45763</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45763</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45763</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45763</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45763</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45763</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45763</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45763</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45763</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45763</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45763</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45763</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45763</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45763</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45763</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45763</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45763</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45763</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45763</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45763</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45763</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45763</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45763</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45763</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45763</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45763</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45763</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16127-2025</t>
        </is>
      </c>
      <c r="B1901" s="1" t="n">
        <v>45750</v>
      </c>
      <c r="C1901" s="1" t="n">
        <v>45763</v>
      </c>
      <c r="D1901" t="inlineStr">
        <is>
          <t>JÄMTLANDS LÄN</t>
        </is>
      </c>
      <c r="E1901" t="inlineStr">
        <is>
          <t>RAGUNDA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16124-2025</t>
        </is>
      </c>
      <c r="B1902" s="1" t="n">
        <v>45750</v>
      </c>
      <c r="C1902" s="1" t="n">
        <v>45763</v>
      </c>
      <c r="D1902" t="inlineStr">
        <is>
          <t>JÄMTLANDS LÄN</t>
        </is>
      </c>
      <c r="E1902" t="inlineStr">
        <is>
          <t>RAGUNDA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16320-2025</t>
        </is>
      </c>
      <c r="B1903" s="1" t="n">
        <v>45751</v>
      </c>
      <c r="C1903" s="1" t="n">
        <v>45763</v>
      </c>
      <c r="D1903" t="inlineStr">
        <is>
          <t>JÄMTLANDS LÄN</t>
        </is>
      </c>
      <c r="E1903" t="inlineStr">
        <is>
          <t>RAGUNDA</t>
        </is>
      </c>
      <c r="F1903" t="inlineStr">
        <is>
          <t>SCA</t>
        </is>
      </c>
      <c r="G1903" t="n">
        <v>16.2</v>
      </c>
      <c r="H1903" t="n">
        <v>0</v>
      </c>
      <c r="I1903" t="n">
        <v>0</v>
      </c>
      <c r="J1903" t="n">
        <v>0</v>
      </c>
      <c r="K1903" t="n">
        <v>0</v>
      </c>
      <c r="L1903" t="n">
        <v>0</v>
      </c>
      <c r="M1903" t="n">
        <v>0</v>
      </c>
      <c r="N1903" t="n">
        <v>0</v>
      </c>
      <c r="O1903" t="n">
        <v>0</v>
      </c>
      <c r="P1903" t="n">
        <v>0</v>
      </c>
      <c r="Q1903" t="n">
        <v>0</v>
      </c>
      <c r="R1903" s="2" t="inlineStr"/>
    </row>
    <row r="1904" ht="15" customHeight="1">
      <c r="A1904" t="inlineStr">
        <is>
          <t>A 16334-2025</t>
        </is>
      </c>
      <c r="B1904" s="1" t="n">
        <v>45751</v>
      </c>
      <c r="C1904" s="1" t="n">
        <v>45763</v>
      </c>
      <c r="D1904" t="inlineStr">
        <is>
          <t>JÄMTLANDS LÄN</t>
        </is>
      </c>
      <c r="E1904" t="inlineStr">
        <is>
          <t>RAGUNDA</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45763</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45763</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17667-2025</t>
        </is>
      </c>
      <c r="B1907" s="1" t="n">
        <v>45758</v>
      </c>
      <c r="C1907" s="1" t="n">
        <v>45763</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18194-2025</t>
        </is>
      </c>
      <c r="B1908" s="1" t="n">
        <v>45761</v>
      </c>
      <c r="C1908" s="1" t="n">
        <v>45763</v>
      </c>
      <c r="D1908" t="inlineStr">
        <is>
          <t>JÄMTLANDS LÄN</t>
        </is>
      </c>
      <c r="E1908" t="inlineStr">
        <is>
          <t>RAGUNDA</t>
        </is>
      </c>
      <c r="F1908" t="inlineStr">
        <is>
          <t>SCA</t>
        </is>
      </c>
      <c r="G1908" t="n">
        <v>4.2</v>
      </c>
      <c r="H1908" t="n">
        <v>0</v>
      </c>
      <c r="I1908" t="n">
        <v>0</v>
      </c>
      <c r="J1908" t="n">
        <v>0</v>
      </c>
      <c r="K1908" t="n">
        <v>0</v>
      </c>
      <c r="L1908" t="n">
        <v>0</v>
      </c>
      <c r="M1908" t="n">
        <v>0</v>
      </c>
      <c r="N1908" t="n">
        <v>0</v>
      </c>
      <c r="O1908" t="n">
        <v>0</v>
      </c>
      <c r="P1908" t="n">
        <v>0</v>
      </c>
      <c r="Q1908" t="n">
        <v>0</v>
      </c>
      <c r="R1908" s="2" t="inlineStr"/>
    </row>
    <row r="1909">
      <c r="A1909" t="inlineStr">
        <is>
          <t>A 18284-2025</t>
        </is>
      </c>
      <c r="B1909" s="1" t="n">
        <v>45762</v>
      </c>
      <c r="C1909" s="1" t="n">
        <v>45763</v>
      </c>
      <c r="D1909" t="inlineStr">
        <is>
          <t>JÄMTLANDS LÄN</t>
        </is>
      </c>
      <c r="E1909" t="inlineStr">
        <is>
          <t>RAGUNDA</t>
        </is>
      </c>
      <c r="G1909" t="n">
        <v>0.2</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2025-04-16T16:48:21Z</dcterms:created>
  <dcterms:modified xmlns:dcterms="http://purl.org/dc/terms/" xmlns:xsi="http://www.w3.org/2001/XMLSchema-instance" xsi:type="dcterms:W3CDTF">2025-04-16T16:48:23Z</dcterms:modified>
</cp:coreProperties>
</file>