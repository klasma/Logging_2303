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45894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45894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45894</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45894</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45894</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45894</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45894</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45894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45894</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45894</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45894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45894</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45894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45894</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45894</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45894</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45894</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45894</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45894</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45894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45894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45894</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22986-2025</t>
        </is>
      </c>
      <c r="B31" s="1" t="n">
        <v>45790.57349537037</v>
      </c>
      <c r="C31" s="1" t="n">
        <v>45894</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45894</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45894</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45894</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55894-2022</t>
        </is>
      </c>
      <c r="B36" s="1" t="n">
        <v>44888</v>
      </c>
      <c r="C36" s="1" t="n">
        <v>45894</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13483-2022</t>
        </is>
      </c>
      <c r="B37" s="1" t="n">
        <v>44645.99859953704</v>
      </c>
      <c r="C37" s="1" t="n">
        <v>45894</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4591-2024</t>
        </is>
      </c>
      <c r="B38" s="1" t="n">
        <v>45327</v>
      </c>
      <c r="C38" s="1" t="n">
        <v>45894</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45894</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33822-2023</t>
        </is>
      </c>
      <c r="B40" s="1" t="n">
        <v>45121</v>
      </c>
      <c r="C40" s="1" t="n">
        <v>45894</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4146-2025</t>
        </is>
      </c>
      <c r="B41" s="1" t="n">
        <v>45685.36501157407</v>
      </c>
      <c r="C41" s="1" t="n">
        <v>45894</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32068-2024</t>
        </is>
      </c>
      <c r="B42" s="1" t="n">
        <v>45510</v>
      </c>
      <c r="C42" s="1" t="n">
        <v>45894</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45894</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25016-2025</t>
        </is>
      </c>
      <c r="B44" s="1" t="n">
        <v>45799.63574074074</v>
      </c>
      <c r="C44" s="1" t="n">
        <v>45894</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45894</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45008-2023</t>
        </is>
      </c>
      <c r="B46" s="1" t="n">
        <v>45190.96092592592</v>
      </c>
      <c r="C46" s="1" t="n">
        <v>45894</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45894</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45894</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45894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45894</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45894</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45894</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45894</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10982-2025</t>
        </is>
      </c>
      <c r="B54" s="1" t="n">
        <v>45723.40688657408</v>
      </c>
      <c r="C54" s="1" t="n">
        <v>45894</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45894</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45894</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31197-2023</t>
        </is>
      </c>
      <c r="B57" s="1" t="n">
        <v>45113</v>
      </c>
      <c r="C57" s="1" t="n">
        <v>45894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45894</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45894</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45894</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45894</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45894</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15977-2024</t>
        </is>
      </c>
      <c r="B63" s="1" t="n">
        <v>45405.57392361111</v>
      </c>
      <c r="C63" s="1" t="n">
        <v>45894</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41719-2023</t>
        </is>
      </c>
      <c r="B64" s="1" t="n">
        <v>45176</v>
      </c>
      <c r="C64" s="1" t="n">
        <v>45894</v>
      </c>
      <c r="D64" t="inlineStr">
        <is>
          <t>JÄMTLANDS LÄN</t>
        </is>
      </c>
      <c r="E64" t="inlineStr">
        <is>
          <t>RAGUNDA</t>
        </is>
      </c>
      <c r="G64" t="n">
        <v>14.5</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11829-2023</t>
        </is>
      </c>
      <c r="B65" s="1" t="n">
        <v>44994</v>
      </c>
      <c r="C65" s="1" t="n">
        <v>45894</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45894</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24169-2021</t>
        </is>
      </c>
      <c r="B67" s="1" t="n">
        <v>44336</v>
      </c>
      <c r="C67" s="1" t="n">
        <v>45894</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26750-2025</t>
        </is>
      </c>
      <c r="B68" s="1" t="n">
        <v>45810.55061342593</v>
      </c>
      <c r="C68" s="1" t="n">
        <v>45894</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26750-2025 artfynd.xlsx", "A 26750-2025")</f>
        <v/>
      </c>
      <c r="T68">
        <f>HYPERLINK("https://klasma.github.io/Logging_2303/kartor/A 26750-2025 karta.png", "A 26750-2025")</f>
        <v/>
      </c>
      <c r="V68">
        <f>HYPERLINK("https://klasma.github.io/Logging_2303/klagomål/A 26750-2025 FSC-klagomål.docx", "A 26750-2025")</f>
        <v/>
      </c>
      <c r="W68">
        <f>HYPERLINK("https://klasma.github.io/Logging_2303/klagomålsmail/A 26750-2025 FSC-klagomål mail.docx", "A 26750-2025")</f>
        <v/>
      </c>
      <c r="X68">
        <f>HYPERLINK("https://klasma.github.io/Logging_2303/tillsyn/A 26750-2025 tillsynsbegäran.docx", "A 26750-2025")</f>
        <v/>
      </c>
      <c r="Y68">
        <f>HYPERLINK("https://klasma.github.io/Logging_2303/tillsynsmail/A 26750-2025 tillsynsbegäran mail.docx", "A 26750-2025")</f>
        <v/>
      </c>
    </row>
    <row r="69" ht="15" customHeight="1">
      <c r="A69" t="inlineStr">
        <is>
          <t>A 37237-2023</t>
        </is>
      </c>
      <c r="B69" s="1" t="n">
        <v>45155</v>
      </c>
      <c r="C69" s="1" t="n">
        <v>45894</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37237-2023 artfynd.xlsx", "A 37237-2023")</f>
        <v/>
      </c>
      <c r="T69">
        <f>HYPERLINK("https://klasma.github.io/Logging_2303/kartor/A 37237-2023 karta.png", "A 37237-2023")</f>
        <v/>
      </c>
      <c r="U69">
        <f>HYPERLINK("https://klasma.github.io/Logging_2303/knärot/A 37237-2023 karta knärot.png", "A 37237-2023")</f>
        <v/>
      </c>
      <c r="V69">
        <f>HYPERLINK("https://klasma.github.io/Logging_2303/klagomål/A 37237-2023 FSC-klagomål.docx", "A 37237-2023")</f>
        <v/>
      </c>
      <c r="W69">
        <f>HYPERLINK("https://klasma.github.io/Logging_2303/klagomålsmail/A 37237-2023 FSC-klagomål mail.docx", "A 37237-2023")</f>
        <v/>
      </c>
      <c r="X69">
        <f>HYPERLINK("https://klasma.github.io/Logging_2303/tillsyn/A 37237-2023 tillsynsbegäran.docx", "A 37237-2023")</f>
        <v/>
      </c>
      <c r="Y69">
        <f>HYPERLINK("https://klasma.github.io/Logging_2303/tillsynsmail/A 37237-2023 tillsynsbegäran mail.docx", "A 37237-2023")</f>
        <v/>
      </c>
    </row>
    <row r="70" ht="15" customHeight="1">
      <c r="A70" t="inlineStr">
        <is>
          <t>A 19399-2025</t>
        </is>
      </c>
      <c r="B70" s="1" t="n">
        <v>45769.67740740741</v>
      </c>
      <c r="C70" s="1" t="n">
        <v>45894</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22466-2025</t>
        </is>
      </c>
      <c r="B71" s="1" t="n">
        <v>45786.61517361111</v>
      </c>
      <c r="C71" s="1" t="n">
        <v>45894</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61386-2022</t>
        </is>
      </c>
      <c r="B72" s="1" t="n">
        <v>44915</v>
      </c>
      <c r="C72" s="1" t="n">
        <v>45894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27913-2024</t>
        </is>
      </c>
      <c r="B73" s="1" t="n">
        <v>45475.94796296296</v>
      </c>
      <c r="C73" s="1" t="n">
        <v>45894</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50987-2020</t>
        </is>
      </c>
      <c r="B74" s="1" t="n">
        <v>44111</v>
      </c>
      <c r="C74" s="1" t="n">
        <v>45894</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45894</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45894</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45894</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45894</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45894</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45894</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60669-2022</t>
        </is>
      </c>
      <c r="B81" s="1" t="n">
        <v>44911</v>
      </c>
      <c r="C81" s="1" t="n">
        <v>45894</v>
      </c>
      <c r="D81" t="inlineStr">
        <is>
          <t>JÄMTLANDS LÄN</t>
        </is>
      </c>
      <c r="E81" t="inlineStr">
        <is>
          <t>RAGUNDA</t>
        </is>
      </c>
      <c r="F81" t="inlineStr">
        <is>
          <t>SCA</t>
        </is>
      </c>
      <c r="G81" t="n">
        <v>2.3</v>
      </c>
      <c r="H81" t="n">
        <v>0</v>
      </c>
      <c r="I81" t="n">
        <v>1</v>
      </c>
      <c r="J81" t="n">
        <v>5</v>
      </c>
      <c r="K81" t="n">
        <v>0</v>
      </c>
      <c r="L81" t="n">
        <v>0</v>
      </c>
      <c r="M81" t="n">
        <v>0</v>
      </c>
      <c r="N81" t="n">
        <v>0</v>
      </c>
      <c r="O81" t="n">
        <v>5</v>
      </c>
      <c r="P81" t="n">
        <v>0</v>
      </c>
      <c r="Q81" t="n">
        <v>6</v>
      </c>
      <c r="R81" s="2" t="inlineStr">
        <is>
          <t>Dvärgbägarlav
Garnlav
Kolflarnlav
Lunglav
Vedskivlav
Dropptaggsvamp</t>
        </is>
      </c>
      <c r="S81">
        <f>HYPERLINK("https://klasma.github.io/Logging_2303/artfynd/A 60669-2022 artfynd.xlsx", "A 60669-2022")</f>
        <v/>
      </c>
      <c r="T81">
        <f>HYPERLINK("https://klasma.github.io/Logging_2303/kartor/A 60669-2022 karta.png", "A 60669-2022")</f>
        <v/>
      </c>
      <c r="V81">
        <f>HYPERLINK("https://klasma.github.io/Logging_2303/klagomål/A 60669-2022 FSC-klagomål.docx", "A 60669-2022")</f>
        <v/>
      </c>
      <c r="W81">
        <f>HYPERLINK("https://klasma.github.io/Logging_2303/klagomålsmail/A 60669-2022 FSC-klagomål mail.docx", "A 60669-2022")</f>
        <v/>
      </c>
      <c r="X81">
        <f>HYPERLINK("https://klasma.github.io/Logging_2303/tillsyn/A 60669-2022 tillsynsbegäran.docx", "A 60669-2022")</f>
        <v/>
      </c>
      <c r="Y81">
        <f>HYPERLINK("https://klasma.github.io/Logging_2303/tillsynsmail/A 60669-2022 tillsynsbegäran mail.docx", "A 60669-2022")</f>
        <v/>
      </c>
    </row>
    <row r="82" ht="15" customHeight="1">
      <c r="A82" t="inlineStr">
        <is>
          <t>A 53021-2022</t>
        </is>
      </c>
      <c r="B82" s="1" t="n">
        <v>44875</v>
      </c>
      <c r="C82" s="1" t="n">
        <v>45894</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36276-2025</t>
        </is>
      </c>
      <c r="B83" s="1" t="n">
        <v>45867.63619212963</v>
      </c>
      <c r="C83" s="1" t="n">
        <v>45894</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19402-2025</t>
        </is>
      </c>
      <c r="B84" s="1" t="n">
        <v>45769.67778935185</v>
      </c>
      <c r="C84" s="1" t="n">
        <v>45894</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30884-2025</t>
        </is>
      </c>
      <c r="B85" s="1" t="n">
        <v>45832.34564814815</v>
      </c>
      <c r="C85" s="1" t="n">
        <v>45894</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49239-2024</t>
        </is>
      </c>
      <c r="B86" s="1" t="n">
        <v>45595.44886574074</v>
      </c>
      <c r="C86" s="1" t="n">
        <v>45894</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26326-2024</t>
        </is>
      </c>
      <c r="B87" s="1" t="n">
        <v>45468.97528935185</v>
      </c>
      <c r="C87" s="1" t="n">
        <v>45894</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45471.94783564815</v>
      </c>
      <c r="C88" s="1" t="n">
        <v>45894</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30637-2024</t>
        </is>
      </c>
      <c r="B89" s="1" t="n">
        <v>45495.56244212963</v>
      </c>
      <c r="C89" s="1" t="n">
        <v>45894</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34317-2025</t>
        </is>
      </c>
      <c r="B90" s="1" t="n">
        <v>45846.41361111111</v>
      </c>
      <c r="C90" s="1" t="n">
        <v>45894</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45894</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45894</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38169-2024</t>
        </is>
      </c>
      <c r="B93" s="1" t="n">
        <v>45545.45748842593</v>
      </c>
      <c r="C93" s="1" t="n">
        <v>45894</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45969-2023</t>
        </is>
      </c>
      <c r="B94" s="1" t="n">
        <v>45195</v>
      </c>
      <c r="C94" s="1" t="n">
        <v>45894</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22469-2024</t>
        </is>
      </c>
      <c r="B95" s="1" t="n">
        <v>45446.95087962963</v>
      </c>
      <c r="C95" s="1" t="n">
        <v>45894</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39365-2024</t>
        </is>
      </c>
      <c r="B96" s="1" t="n">
        <v>45551.46912037037</v>
      </c>
      <c r="C96" s="1" t="n">
        <v>45894</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15244-2025</t>
        </is>
      </c>
      <c r="B97" s="1" t="n">
        <v>45744.61550925926</v>
      </c>
      <c r="C97" s="1" t="n">
        <v>45894</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43106-2023</t>
        </is>
      </c>
      <c r="B98" s="1" t="n">
        <v>45182</v>
      </c>
      <c r="C98" s="1" t="n">
        <v>45894</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45894</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45894</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30886-2025</t>
        </is>
      </c>
      <c r="B101" s="1" t="n">
        <v>45832.34578703704</v>
      </c>
      <c r="C101" s="1" t="n">
        <v>45894</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60683-2022</t>
        </is>
      </c>
      <c r="B102" s="1" t="n">
        <v>44911</v>
      </c>
      <c r="C102" s="1" t="n">
        <v>45894</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2579-2025</t>
        </is>
      </c>
      <c r="B103" s="1" t="n">
        <v>45674.67744212963</v>
      </c>
      <c r="C103" s="1" t="n">
        <v>45894</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13266-2023</t>
        </is>
      </c>
      <c r="B104" s="1" t="n">
        <v>45002.94356481481</v>
      </c>
      <c r="C104" s="1" t="n">
        <v>45894</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18629-2024</t>
        </is>
      </c>
      <c r="B105" s="1" t="n">
        <v>45425.96472222222</v>
      </c>
      <c r="C105" s="1" t="n">
        <v>45894</v>
      </c>
      <c r="D105" t="inlineStr">
        <is>
          <t>JÄMTLANDS LÄN</t>
        </is>
      </c>
      <c r="E105" t="inlineStr">
        <is>
          <t>RAGUNDA</t>
        </is>
      </c>
      <c r="F105" t="inlineStr">
        <is>
          <t>SCA</t>
        </is>
      </c>
      <c r="G105" t="n">
        <v>1.6</v>
      </c>
      <c r="H105" t="n">
        <v>2</v>
      </c>
      <c r="I105" t="n">
        <v>1</v>
      </c>
      <c r="J105" t="n">
        <v>3</v>
      </c>
      <c r="K105" t="n">
        <v>0</v>
      </c>
      <c r="L105" t="n">
        <v>0</v>
      </c>
      <c r="M105" t="n">
        <v>0</v>
      </c>
      <c r="N105" t="n">
        <v>0</v>
      </c>
      <c r="O105" t="n">
        <v>3</v>
      </c>
      <c r="P105" t="n">
        <v>0</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8636-2021</t>
        </is>
      </c>
      <c r="B106" s="1" t="n">
        <v>44245</v>
      </c>
      <c r="C106" s="1" t="n">
        <v>45894</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45894</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45894</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45894</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45894</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45894</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17092-2022</t>
        </is>
      </c>
      <c r="B112" s="1" t="n">
        <v>44677</v>
      </c>
      <c r="C112" s="1" t="n">
        <v>45894</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60670-2022</t>
        </is>
      </c>
      <c r="B113" s="1" t="n">
        <v>44911</v>
      </c>
      <c r="C113" s="1" t="n">
        <v>45894</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45894</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52644-2024</t>
        </is>
      </c>
      <c r="B115" s="1" t="n">
        <v>45610.34415509259</v>
      </c>
      <c r="C115" s="1" t="n">
        <v>45894</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12640-2024</t>
        </is>
      </c>
      <c r="B116" s="1" t="n">
        <v>45384</v>
      </c>
      <c r="C116" s="1" t="n">
        <v>45894</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45894</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43960-2023</t>
        </is>
      </c>
      <c r="B118" s="1" t="n">
        <v>45187</v>
      </c>
      <c r="C118" s="1" t="n">
        <v>45894</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45894</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45894</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26082-2025</t>
        </is>
      </c>
      <c r="B121" s="1" t="n">
        <v>45805.34415509259</v>
      </c>
      <c r="C121" s="1" t="n">
        <v>45894</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45894</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45894</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32067-2024</t>
        </is>
      </c>
      <c r="B124" s="1" t="n">
        <v>45510</v>
      </c>
      <c r="C124" s="1" t="n">
        <v>45894</v>
      </c>
      <c r="D124" t="inlineStr">
        <is>
          <t>JÄMTLANDS LÄN</t>
        </is>
      </c>
      <c r="E124" t="inlineStr">
        <is>
          <t>RAGUNDA</t>
        </is>
      </c>
      <c r="F124" t="inlineStr">
        <is>
          <t>SCA</t>
        </is>
      </c>
      <c r="G124" t="n">
        <v>4.1</v>
      </c>
      <c r="H124" t="n">
        <v>0</v>
      </c>
      <c r="I124" t="n">
        <v>2</v>
      </c>
      <c r="J124" t="n">
        <v>2</v>
      </c>
      <c r="K124" t="n">
        <v>0</v>
      </c>
      <c r="L124" t="n">
        <v>0</v>
      </c>
      <c r="M124" t="n">
        <v>0</v>
      </c>
      <c r="N124" t="n">
        <v>0</v>
      </c>
      <c r="O124" t="n">
        <v>2</v>
      </c>
      <c r="P124" t="n">
        <v>0</v>
      </c>
      <c r="Q124" t="n">
        <v>4</v>
      </c>
      <c r="R124" s="2" t="inlineStr">
        <is>
          <t>Vedflikmossa
Vedtrappmossa
Stor aspticka
Vedticka</t>
        </is>
      </c>
      <c r="S124">
        <f>HYPERLINK("https://klasma.github.io/Logging_2303/artfynd/A 32067-2024 artfynd.xlsx", "A 32067-2024")</f>
        <v/>
      </c>
      <c r="T124">
        <f>HYPERLINK("https://klasma.github.io/Logging_2303/kartor/A 32067-2024 karta.png", "A 32067-2024")</f>
        <v/>
      </c>
      <c r="U124">
        <f>HYPERLINK("https://klasma.github.io/Logging_2303/knärot/A 32067-2024 karta knärot.png", "A 32067-2024")</f>
        <v/>
      </c>
      <c r="V124">
        <f>HYPERLINK("https://klasma.github.io/Logging_2303/klagomål/A 32067-2024 FSC-klagomål.docx", "A 32067-2024")</f>
        <v/>
      </c>
      <c r="W124">
        <f>HYPERLINK("https://klasma.github.io/Logging_2303/klagomålsmail/A 32067-2024 FSC-klagomål mail.docx", "A 32067-2024")</f>
        <v/>
      </c>
      <c r="X124">
        <f>HYPERLINK("https://klasma.github.io/Logging_2303/tillsyn/A 32067-2024 tillsynsbegäran.docx", "A 32067-2024")</f>
        <v/>
      </c>
      <c r="Y124">
        <f>HYPERLINK("https://klasma.github.io/Logging_2303/tillsynsmail/A 32067-2024 tillsynsbegäran mail.docx", "A 32067-2024")</f>
        <v/>
      </c>
    </row>
    <row r="125" ht="15" customHeight="1">
      <c r="A125" t="inlineStr">
        <is>
          <t>A 15836-2024</t>
        </is>
      </c>
      <c r="B125" s="1" t="n">
        <v>45404</v>
      </c>
      <c r="C125" s="1" t="n">
        <v>45894</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45894</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45894</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45894</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45894</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12737-2025</t>
        </is>
      </c>
      <c r="B130" s="1" t="n">
        <v>45733</v>
      </c>
      <c r="C130" s="1" t="n">
        <v>45894</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5048-2025</t>
        </is>
      </c>
      <c r="B131" s="1" t="n">
        <v>45691.44769675926</v>
      </c>
      <c r="C131" s="1" t="n">
        <v>45894</v>
      </c>
      <c r="D131" t="inlineStr">
        <is>
          <t>JÄMTLANDS LÄN</t>
        </is>
      </c>
      <c r="E131" t="inlineStr">
        <is>
          <t>RAGUNDA</t>
        </is>
      </c>
      <c r="F131" t="inlineStr">
        <is>
          <t>SCA</t>
        </is>
      </c>
      <c r="G131" t="n">
        <v>1.8</v>
      </c>
      <c r="H131" t="n">
        <v>3</v>
      </c>
      <c r="I131" t="n">
        <v>2</v>
      </c>
      <c r="J131" t="n">
        <v>0</v>
      </c>
      <c r="K131" t="n">
        <v>0</v>
      </c>
      <c r="L131" t="n">
        <v>0</v>
      </c>
      <c r="M131" t="n">
        <v>0</v>
      </c>
      <c r="N131" t="n">
        <v>0</v>
      </c>
      <c r="O131" t="n">
        <v>0</v>
      </c>
      <c r="P131" t="n">
        <v>0</v>
      </c>
      <c r="Q131" t="n">
        <v>3</v>
      </c>
      <c r="R131" s="2" t="inlineStr">
        <is>
          <t>Guckusko
Tvåblad
Fläcknycklar</t>
        </is>
      </c>
      <c r="S131">
        <f>HYPERLINK("https://klasma.github.io/Logging_2303/artfynd/A 5048-2025 artfynd.xlsx", "A 5048-2025")</f>
        <v/>
      </c>
      <c r="T131">
        <f>HYPERLINK("https://klasma.github.io/Logging_2303/kartor/A 5048-2025 karta.png", "A 5048-2025")</f>
        <v/>
      </c>
      <c r="V131">
        <f>HYPERLINK("https://klasma.github.io/Logging_2303/klagomål/A 5048-2025 FSC-klagomål.docx", "A 5048-2025")</f>
        <v/>
      </c>
      <c r="W131">
        <f>HYPERLINK("https://klasma.github.io/Logging_2303/klagomålsmail/A 5048-2025 FSC-klagomål mail.docx", "A 5048-2025")</f>
        <v/>
      </c>
      <c r="X131">
        <f>HYPERLINK("https://klasma.github.io/Logging_2303/tillsyn/A 5048-2025 tillsynsbegäran.docx", "A 5048-2025")</f>
        <v/>
      </c>
      <c r="Y131">
        <f>HYPERLINK("https://klasma.github.io/Logging_2303/tillsynsmail/A 5048-2025 tillsynsbegäran mail.docx", "A 5048-2025")</f>
        <v/>
      </c>
    </row>
    <row r="132" ht="15" customHeight="1">
      <c r="A132" t="inlineStr">
        <is>
          <t>A 18616-2024</t>
        </is>
      </c>
      <c r="B132" s="1" t="n">
        <v>45425.96285879629</v>
      </c>
      <c r="C132" s="1" t="n">
        <v>45894</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32903-2024</t>
        </is>
      </c>
      <c r="B133" s="1" t="n">
        <v>45516.94723379629</v>
      </c>
      <c r="C133" s="1" t="n">
        <v>45894</v>
      </c>
      <c r="D133" t="inlineStr">
        <is>
          <t>JÄMTLANDS LÄN</t>
        </is>
      </c>
      <c r="E133" t="inlineStr">
        <is>
          <t>RAGUNDA</t>
        </is>
      </c>
      <c r="F133" t="inlineStr">
        <is>
          <t>SCA</t>
        </is>
      </c>
      <c r="G133" t="n">
        <v>4.7</v>
      </c>
      <c r="H133" t="n">
        <v>0</v>
      </c>
      <c r="I133" t="n">
        <v>2</v>
      </c>
      <c r="J133" t="n">
        <v>1</v>
      </c>
      <c r="K133" t="n">
        <v>0</v>
      </c>
      <c r="L133" t="n">
        <v>0</v>
      </c>
      <c r="M133" t="n">
        <v>0</v>
      </c>
      <c r="N133" t="n">
        <v>0</v>
      </c>
      <c r="O133" t="n">
        <v>1</v>
      </c>
      <c r="P133" t="n">
        <v>0</v>
      </c>
      <c r="Q133" t="n">
        <v>3</v>
      </c>
      <c r="R133" s="2" t="inlineStr">
        <is>
          <t>Lunglav
Bollvitmossa
Luddlav</t>
        </is>
      </c>
      <c r="S133">
        <f>HYPERLINK("https://klasma.github.io/Logging_2303/artfynd/A 32903-2024 artfynd.xlsx", "A 32903-2024")</f>
        <v/>
      </c>
      <c r="T133">
        <f>HYPERLINK("https://klasma.github.io/Logging_2303/kartor/A 32903-2024 karta.png", "A 32903-2024")</f>
        <v/>
      </c>
      <c r="V133">
        <f>HYPERLINK("https://klasma.github.io/Logging_2303/klagomål/A 32903-2024 FSC-klagomål.docx", "A 32903-2024")</f>
        <v/>
      </c>
      <c r="W133">
        <f>HYPERLINK("https://klasma.github.io/Logging_2303/klagomålsmail/A 32903-2024 FSC-klagomål mail.docx", "A 32903-2024")</f>
        <v/>
      </c>
      <c r="X133">
        <f>HYPERLINK("https://klasma.github.io/Logging_2303/tillsyn/A 32903-2024 tillsynsbegäran.docx", "A 32903-2024")</f>
        <v/>
      </c>
      <c r="Y133">
        <f>HYPERLINK("https://klasma.github.io/Logging_2303/tillsynsmail/A 32903-2024 tillsynsbegäran mail.docx", "A 32903-2024")</f>
        <v/>
      </c>
    </row>
    <row r="134" ht="15" customHeight="1">
      <c r="A134" t="inlineStr">
        <is>
          <t>A 61790-2023</t>
        </is>
      </c>
      <c r="B134" s="1" t="n">
        <v>45265</v>
      </c>
      <c r="C134" s="1" t="n">
        <v>45894</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21248-2025</t>
        </is>
      </c>
      <c r="B135" s="1" t="n">
        <v>45779.57392361111</v>
      </c>
      <c r="C135" s="1" t="n">
        <v>45894</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53022-2022</t>
        </is>
      </c>
      <c r="B136" s="1" t="n">
        <v>44875</v>
      </c>
      <c r="C136" s="1" t="n">
        <v>45894</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44302-2023</t>
        </is>
      </c>
      <c r="B137" s="1" t="n">
        <v>45188</v>
      </c>
      <c r="C137" s="1" t="n">
        <v>45894</v>
      </c>
      <c r="D137" t="inlineStr">
        <is>
          <t>JÄMTLANDS LÄN</t>
        </is>
      </c>
      <c r="E137" t="inlineStr">
        <is>
          <t>RAGUNDA</t>
        </is>
      </c>
      <c r="G137" t="n">
        <v>9.1</v>
      </c>
      <c r="H137" t="n">
        <v>1</v>
      </c>
      <c r="I137" t="n">
        <v>1</v>
      </c>
      <c r="J137" t="n">
        <v>2</v>
      </c>
      <c r="K137" t="n">
        <v>0</v>
      </c>
      <c r="L137" t="n">
        <v>0</v>
      </c>
      <c r="M137" t="n">
        <v>0</v>
      </c>
      <c r="N137" t="n">
        <v>0</v>
      </c>
      <c r="O137" t="n">
        <v>2</v>
      </c>
      <c r="P137" t="n">
        <v>0</v>
      </c>
      <c r="Q137" t="n">
        <v>3</v>
      </c>
      <c r="R137" s="2" t="inlineStr">
        <is>
          <t>Lunglav
Skrovellav
Korallrot</t>
        </is>
      </c>
      <c r="S137">
        <f>HYPERLINK("https://klasma.github.io/Logging_2303/artfynd/A 44302-2023 artfynd.xlsx", "A 44302-2023")</f>
        <v/>
      </c>
      <c r="T137">
        <f>HYPERLINK("https://klasma.github.io/Logging_2303/kartor/A 44302-2023 karta.png", "A 44302-2023")</f>
        <v/>
      </c>
      <c r="V137">
        <f>HYPERLINK("https://klasma.github.io/Logging_2303/klagomål/A 44302-2023 FSC-klagomål.docx", "A 44302-2023")</f>
        <v/>
      </c>
      <c r="W137">
        <f>HYPERLINK("https://klasma.github.io/Logging_2303/klagomålsmail/A 44302-2023 FSC-klagomål mail.docx", "A 44302-2023")</f>
        <v/>
      </c>
      <c r="X137">
        <f>HYPERLINK("https://klasma.github.io/Logging_2303/tillsyn/A 44302-2023 tillsynsbegäran.docx", "A 44302-2023")</f>
        <v/>
      </c>
      <c r="Y137">
        <f>HYPERLINK("https://klasma.github.io/Logging_2303/tillsynsmail/A 44302-2023 tillsynsbegäran mail.docx", "A 44302-2023")</f>
        <v/>
      </c>
    </row>
    <row r="138" ht="15" customHeight="1">
      <c r="A138" t="inlineStr">
        <is>
          <t>A 57941-2024</t>
        </is>
      </c>
      <c r="B138" s="1" t="n">
        <v>45631</v>
      </c>
      <c r="C138" s="1" t="n">
        <v>45894</v>
      </c>
      <c r="D138" t="inlineStr">
        <is>
          <t>JÄMTLANDS LÄN</t>
        </is>
      </c>
      <c r="E138" t="inlineStr">
        <is>
          <t>RAGUNDA</t>
        </is>
      </c>
      <c r="F138" t="inlineStr">
        <is>
          <t>SCA</t>
        </is>
      </c>
      <c r="G138" t="n">
        <v>4.2</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HYPERLINK("https://klasma.github.io/Logging_2303/artfynd/A 57941-2024 artfynd.xlsx", "A 57941-2024")</f>
        <v/>
      </c>
      <c r="T138">
        <f>HYPERLINK("https://klasma.github.io/Logging_2303/kartor/A 57941-2024 karta.png", "A 57941-2024")</f>
        <v/>
      </c>
      <c r="V138">
        <f>HYPERLINK("https://klasma.github.io/Logging_2303/klagomål/A 57941-2024 FSC-klagomål.docx", "A 57941-2024")</f>
        <v/>
      </c>
      <c r="W138">
        <f>HYPERLINK("https://klasma.github.io/Logging_2303/klagomålsmail/A 57941-2024 FSC-klagomål mail.docx", "A 57941-2024")</f>
        <v/>
      </c>
      <c r="X138">
        <f>HYPERLINK("https://klasma.github.io/Logging_2303/tillsyn/A 57941-2024 tillsynsbegäran.docx", "A 57941-2024")</f>
        <v/>
      </c>
      <c r="Y138">
        <f>HYPERLINK("https://klasma.github.io/Logging_2303/tillsynsmail/A 57941-2024 tillsynsbegäran mail.docx", "A 57941-2024")</f>
        <v/>
      </c>
      <c r="Z138">
        <f>HYPERLINK("https://klasma.github.io/Logging_2303/fåglar/A 57941-2024 prioriterade fågelarter.docx", "A 57941-2024")</f>
        <v/>
      </c>
    </row>
    <row r="139" ht="15" customHeight="1">
      <c r="A139" t="inlineStr">
        <is>
          <t>A 30470-2024</t>
        </is>
      </c>
      <c r="B139" s="1" t="n">
        <v>45491.94715277778</v>
      </c>
      <c r="C139" s="1" t="n">
        <v>45894</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48054-2022</t>
        </is>
      </c>
      <c r="B140" s="1" t="n">
        <v>44855</v>
      </c>
      <c r="C140" s="1" t="n">
        <v>45894</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58737-2022</t>
        </is>
      </c>
      <c r="B141" s="1" t="n">
        <v>44902</v>
      </c>
      <c r="C141" s="1" t="n">
        <v>45894</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25769-2025</t>
        </is>
      </c>
      <c r="B142" s="1" t="n">
        <v>45804.34474537037</v>
      </c>
      <c r="C142" s="1" t="n">
        <v>45894</v>
      </c>
      <c r="D142" t="inlineStr">
        <is>
          <t>JÄMTLANDS LÄN</t>
        </is>
      </c>
      <c r="E142" t="inlineStr">
        <is>
          <t>RAGUNDA</t>
        </is>
      </c>
      <c r="F142" t="inlineStr">
        <is>
          <t>SCA</t>
        </is>
      </c>
      <c r="G142" t="n">
        <v>5.3</v>
      </c>
      <c r="H142" t="n">
        <v>2</v>
      </c>
      <c r="I142" t="n">
        <v>0</v>
      </c>
      <c r="J142" t="n">
        <v>3</v>
      </c>
      <c r="K142" t="n">
        <v>0</v>
      </c>
      <c r="L142" t="n">
        <v>0</v>
      </c>
      <c r="M142" t="n">
        <v>0</v>
      </c>
      <c r="N142" t="n">
        <v>0</v>
      </c>
      <c r="O142" t="n">
        <v>3</v>
      </c>
      <c r="P142" t="n">
        <v>0</v>
      </c>
      <c r="Q142" t="n">
        <v>3</v>
      </c>
      <c r="R142" s="2" t="inlineStr">
        <is>
          <t>Garnlav
Rödvingetrast
Tretåig hackspett</t>
        </is>
      </c>
      <c r="S142">
        <f>HYPERLINK("https://klasma.github.io/Logging_2303/artfynd/A 25769-2025 artfynd.xlsx", "A 25769-2025")</f>
        <v/>
      </c>
      <c r="T142">
        <f>HYPERLINK("https://klasma.github.io/Logging_2303/kartor/A 25769-2025 karta.png", "A 25769-2025")</f>
        <v/>
      </c>
      <c r="V142">
        <f>HYPERLINK("https://klasma.github.io/Logging_2303/klagomål/A 25769-2025 FSC-klagomål.docx", "A 25769-2025")</f>
        <v/>
      </c>
      <c r="W142">
        <f>HYPERLINK("https://klasma.github.io/Logging_2303/klagomålsmail/A 25769-2025 FSC-klagomål mail.docx", "A 25769-2025")</f>
        <v/>
      </c>
      <c r="X142">
        <f>HYPERLINK("https://klasma.github.io/Logging_2303/tillsyn/A 25769-2025 tillsynsbegäran.docx", "A 25769-2025")</f>
        <v/>
      </c>
      <c r="Y142">
        <f>HYPERLINK("https://klasma.github.io/Logging_2303/tillsynsmail/A 25769-2025 tillsynsbegäran mail.docx", "A 25769-2025")</f>
        <v/>
      </c>
      <c r="Z142">
        <f>HYPERLINK("https://klasma.github.io/Logging_2303/fåglar/A 25769-2025 prioriterade fågelarter.docx", "A 25769-2025")</f>
        <v/>
      </c>
    </row>
    <row r="143" ht="15" customHeight="1">
      <c r="A143" t="inlineStr">
        <is>
          <t>A 20776-2024</t>
        </is>
      </c>
      <c r="B143" s="1" t="n">
        <v>45436.94686342592</v>
      </c>
      <c r="C143" s="1" t="n">
        <v>45894</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36504-2023</t>
        </is>
      </c>
      <c r="B144" s="1" t="n">
        <v>45152</v>
      </c>
      <c r="C144" s="1" t="n">
        <v>45894</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28178-2023</t>
        </is>
      </c>
      <c r="B145" s="1" t="n">
        <v>45093</v>
      </c>
      <c r="C145" s="1" t="n">
        <v>45894</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49047-2023</t>
        </is>
      </c>
      <c r="B146" s="1" t="n">
        <v>45209</v>
      </c>
      <c r="C146" s="1" t="n">
        <v>45894</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22571-2025</t>
        </is>
      </c>
      <c r="B147" s="1" t="n">
        <v>45789.36503472222</v>
      </c>
      <c r="C147" s="1" t="n">
        <v>45894</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16305-2025</t>
        </is>
      </c>
      <c r="B148" s="1" t="n">
        <v>45751.34650462963</v>
      </c>
      <c r="C148" s="1" t="n">
        <v>45894</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45894</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32416-2025</t>
        </is>
      </c>
      <c r="B150" s="1" t="n">
        <v>45838</v>
      </c>
      <c r="C150" s="1" t="n">
        <v>45894</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51010-2020</t>
        </is>
      </c>
      <c r="B151" s="1" t="n">
        <v>44111</v>
      </c>
      <c r="C151" s="1" t="n">
        <v>45894</v>
      </c>
      <c r="D151" t="inlineStr">
        <is>
          <t>JÄMTLANDS LÄN</t>
        </is>
      </c>
      <c r="E151" t="inlineStr">
        <is>
          <t>RAGUNDA</t>
        </is>
      </c>
      <c r="F151" t="inlineStr">
        <is>
          <t>SCA</t>
        </is>
      </c>
      <c r="G151" t="n">
        <v>4.1</v>
      </c>
      <c r="H151" t="n">
        <v>0</v>
      </c>
      <c r="I151" t="n">
        <v>0</v>
      </c>
      <c r="J151" t="n">
        <v>3</v>
      </c>
      <c r="K151" t="n">
        <v>0</v>
      </c>
      <c r="L151" t="n">
        <v>0</v>
      </c>
      <c r="M151" t="n">
        <v>0</v>
      </c>
      <c r="N151" t="n">
        <v>0</v>
      </c>
      <c r="O151" t="n">
        <v>3</v>
      </c>
      <c r="P151" t="n">
        <v>0</v>
      </c>
      <c r="Q151" t="n">
        <v>3</v>
      </c>
      <c r="R151" s="2" t="inlineStr">
        <is>
          <t>Garnlav
Lunglav
Ullticka</t>
        </is>
      </c>
      <c r="S151">
        <f>HYPERLINK("https://klasma.github.io/Logging_2303/artfynd/A 51010-2020 artfynd.xlsx", "A 51010-2020")</f>
        <v/>
      </c>
      <c r="T151">
        <f>HYPERLINK("https://klasma.github.io/Logging_2303/kartor/A 51010-2020 karta.png", "A 51010-2020")</f>
        <v/>
      </c>
      <c r="V151">
        <f>HYPERLINK("https://klasma.github.io/Logging_2303/klagomål/A 51010-2020 FSC-klagomål.docx", "A 51010-2020")</f>
        <v/>
      </c>
      <c r="W151">
        <f>HYPERLINK("https://klasma.github.io/Logging_2303/klagomålsmail/A 51010-2020 FSC-klagomål mail.docx", "A 51010-2020")</f>
        <v/>
      </c>
      <c r="X151">
        <f>HYPERLINK("https://klasma.github.io/Logging_2303/tillsyn/A 51010-2020 tillsynsbegäran.docx", "A 51010-2020")</f>
        <v/>
      </c>
      <c r="Y151">
        <f>HYPERLINK("https://klasma.github.io/Logging_2303/tillsynsmail/A 51010-2020 tillsynsbegäran mail.docx", "A 51010-2020")</f>
        <v/>
      </c>
    </row>
    <row r="152" ht="15" customHeight="1">
      <c r="A152" t="inlineStr">
        <is>
          <t>A 14814-2024</t>
        </is>
      </c>
      <c r="B152" s="1" t="n">
        <v>45397.95748842593</v>
      </c>
      <c r="C152" s="1" t="n">
        <v>45894</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34585-2025</t>
        </is>
      </c>
      <c r="B153" s="1" t="n">
        <v>45847.61498842593</v>
      </c>
      <c r="C153" s="1" t="n">
        <v>45894</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33278-2022</t>
        </is>
      </c>
      <c r="B154" s="1" t="n">
        <v>44788</v>
      </c>
      <c r="C154" s="1" t="n">
        <v>45894</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45894</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17043-2022</t>
        </is>
      </c>
      <c r="B156" s="1" t="n">
        <v>44676</v>
      </c>
      <c r="C156" s="1" t="n">
        <v>45894</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45894</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14502-2024</t>
        </is>
      </c>
      <c r="B158" s="1" t="n">
        <v>45394</v>
      </c>
      <c r="C158" s="1" t="n">
        <v>45894</v>
      </c>
      <c r="D158" t="inlineStr">
        <is>
          <t>JÄMTLANDS LÄN</t>
        </is>
      </c>
      <c r="E158" t="inlineStr">
        <is>
          <t>RAGUNDA</t>
        </is>
      </c>
      <c r="G158" t="n">
        <v>11.6</v>
      </c>
      <c r="H158" t="n">
        <v>0</v>
      </c>
      <c r="I158" t="n">
        <v>0</v>
      </c>
      <c r="J158" t="n">
        <v>2</v>
      </c>
      <c r="K158" t="n">
        <v>0</v>
      </c>
      <c r="L158" t="n">
        <v>0</v>
      </c>
      <c r="M158" t="n">
        <v>0</v>
      </c>
      <c r="N158" t="n">
        <v>0</v>
      </c>
      <c r="O158" t="n">
        <v>2</v>
      </c>
      <c r="P158" t="n">
        <v>0</v>
      </c>
      <c r="Q158" t="n">
        <v>2</v>
      </c>
      <c r="R158" s="2" t="inlineStr">
        <is>
          <t>Garnlav
Stjärntagging</t>
        </is>
      </c>
      <c r="S158">
        <f>HYPERLINK("https://klasma.github.io/Logging_2303/artfynd/A 14502-2024 artfynd.xlsx", "A 14502-2024")</f>
        <v/>
      </c>
      <c r="T158">
        <f>HYPERLINK("https://klasma.github.io/Logging_2303/kartor/A 14502-2024 karta.png", "A 14502-2024")</f>
        <v/>
      </c>
      <c r="V158">
        <f>HYPERLINK("https://klasma.github.io/Logging_2303/klagomål/A 14502-2024 FSC-klagomål.docx", "A 14502-2024")</f>
        <v/>
      </c>
      <c r="W158">
        <f>HYPERLINK("https://klasma.github.io/Logging_2303/klagomålsmail/A 14502-2024 FSC-klagomål mail.docx", "A 14502-2024")</f>
        <v/>
      </c>
      <c r="X158">
        <f>HYPERLINK("https://klasma.github.io/Logging_2303/tillsyn/A 14502-2024 tillsynsbegäran.docx", "A 14502-2024")</f>
        <v/>
      </c>
      <c r="Y158">
        <f>HYPERLINK("https://klasma.github.io/Logging_2303/tillsynsmail/A 14502-2024 tillsynsbegäran mail.docx", "A 14502-2024")</f>
        <v/>
      </c>
    </row>
    <row r="159" ht="15" customHeight="1">
      <c r="A159" t="inlineStr">
        <is>
          <t>A 46771-2024</t>
        </is>
      </c>
      <c r="B159" s="1" t="n">
        <v>45583.49642361111</v>
      </c>
      <c r="C159" s="1" t="n">
        <v>45894</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45894</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19384-2025</t>
        </is>
      </c>
      <c r="B161" s="1" t="n">
        <v>45769.65692129629</v>
      </c>
      <c r="C161" s="1" t="n">
        <v>45894</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12271-2024</t>
        </is>
      </c>
      <c r="B162" s="1" t="n">
        <v>45378</v>
      </c>
      <c r="C162" s="1" t="n">
        <v>45894</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34715-2024</t>
        </is>
      </c>
      <c r="B163" s="1" t="n">
        <v>45526.56393518519</v>
      </c>
      <c r="C163" s="1" t="n">
        <v>45894</v>
      </c>
      <c r="D163" t="inlineStr">
        <is>
          <t>JÄMTLANDS LÄN</t>
        </is>
      </c>
      <c r="E163" t="inlineStr">
        <is>
          <t>RAGUNDA</t>
        </is>
      </c>
      <c r="F163" t="inlineStr">
        <is>
          <t>SCA</t>
        </is>
      </c>
      <c r="G163" t="n">
        <v>3</v>
      </c>
      <c r="H163" t="n">
        <v>0</v>
      </c>
      <c r="I163" t="n">
        <v>1</v>
      </c>
      <c r="J163" t="n">
        <v>1</v>
      </c>
      <c r="K163" t="n">
        <v>0</v>
      </c>
      <c r="L163" t="n">
        <v>0</v>
      </c>
      <c r="M163" t="n">
        <v>0</v>
      </c>
      <c r="N163" t="n">
        <v>0</v>
      </c>
      <c r="O163" t="n">
        <v>1</v>
      </c>
      <c r="P163" t="n">
        <v>0</v>
      </c>
      <c r="Q163" t="n">
        <v>2</v>
      </c>
      <c r="R163" s="2" t="inlineStr">
        <is>
          <t>Garnlav
Vedticka</t>
        </is>
      </c>
      <c r="S163">
        <f>HYPERLINK("https://klasma.github.io/Logging_2303/artfynd/A 34715-2024 artfynd.xlsx", "A 34715-2024")</f>
        <v/>
      </c>
      <c r="T163">
        <f>HYPERLINK("https://klasma.github.io/Logging_2303/kartor/A 34715-2024 karta.png", "A 34715-2024")</f>
        <v/>
      </c>
      <c r="V163">
        <f>HYPERLINK("https://klasma.github.io/Logging_2303/klagomål/A 34715-2024 FSC-klagomål.docx", "A 34715-2024")</f>
        <v/>
      </c>
      <c r="W163">
        <f>HYPERLINK("https://klasma.github.io/Logging_2303/klagomålsmail/A 34715-2024 FSC-klagomål mail.docx", "A 34715-2024")</f>
        <v/>
      </c>
      <c r="X163">
        <f>HYPERLINK("https://klasma.github.io/Logging_2303/tillsyn/A 34715-2024 tillsynsbegäran.docx", "A 34715-2024")</f>
        <v/>
      </c>
      <c r="Y163">
        <f>HYPERLINK("https://klasma.github.io/Logging_2303/tillsynsmail/A 34715-2024 tillsynsbegäran mail.docx", "A 34715-2024")</f>
        <v/>
      </c>
    </row>
    <row r="164" ht="15" customHeight="1">
      <c r="A164" t="inlineStr">
        <is>
          <t>A 48084-2022</t>
        </is>
      </c>
      <c r="B164" s="1" t="n">
        <v>44855</v>
      </c>
      <c r="C164" s="1" t="n">
        <v>45894</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10866-2025</t>
        </is>
      </c>
      <c r="B165" s="1" t="n">
        <v>45722.61543981481</v>
      </c>
      <c r="C165" s="1" t="n">
        <v>45894</v>
      </c>
      <c r="D165" t="inlineStr">
        <is>
          <t>JÄMTLANDS LÄN</t>
        </is>
      </c>
      <c r="E165" t="inlineStr">
        <is>
          <t>RAGUNDA</t>
        </is>
      </c>
      <c r="F165" t="inlineStr">
        <is>
          <t>SCA</t>
        </is>
      </c>
      <c r="G165" t="n">
        <v>15.9</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10866-2025 artfynd.xlsx", "A 10866-2025")</f>
        <v/>
      </c>
      <c r="T165">
        <f>HYPERLINK("https://klasma.github.io/Logging_2303/kartor/A 10866-2025 karta.png", "A 10866-2025")</f>
        <v/>
      </c>
      <c r="V165">
        <f>HYPERLINK("https://klasma.github.io/Logging_2303/klagomål/A 10866-2025 FSC-klagomål.docx", "A 10866-2025")</f>
        <v/>
      </c>
      <c r="W165">
        <f>HYPERLINK("https://klasma.github.io/Logging_2303/klagomålsmail/A 10866-2025 FSC-klagomål mail.docx", "A 10866-2025")</f>
        <v/>
      </c>
      <c r="X165">
        <f>HYPERLINK("https://klasma.github.io/Logging_2303/tillsyn/A 10866-2025 tillsynsbegäran.docx", "A 10866-2025")</f>
        <v/>
      </c>
      <c r="Y165">
        <f>HYPERLINK("https://klasma.github.io/Logging_2303/tillsynsmail/A 10866-2025 tillsynsbegäran mail.docx", "A 10866-2025")</f>
        <v/>
      </c>
    </row>
    <row r="166" ht="15" customHeight="1">
      <c r="A166" t="inlineStr">
        <is>
          <t>A 26324-2024</t>
        </is>
      </c>
      <c r="B166" s="1" t="n">
        <v>45468.97495370371</v>
      </c>
      <c r="C166" s="1" t="n">
        <v>45894</v>
      </c>
      <c r="D166" t="inlineStr">
        <is>
          <t>JÄMTLANDS LÄN</t>
        </is>
      </c>
      <c r="E166" t="inlineStr">
        <is>
          <t>RAGUNDA</t>
        </is>
      </c>
      <c r="F166" t="inlineStr">
        <is>
          <t>SCA</t>
        </is>
      </c>
      <c r="G166" t="n">
        <v>2</v>
      </c>
      <c r="H166" t="n">
        <v>1</v>
      </c>
      <c r="I166" t="n">
        <v>0</v>
      </c>
      <c r="J166" t="n">
        <v>1</v>
      </c>
      <c r="K166" t="n">
        <v>1</v>
      </c>
      <c r="L166" t="n">
        <v>0</v>
      </c>
      <c r="M166" t="n">
        <v>0</v>
      </c>
      <c r="N166" t="n">
        <v>0</v>
      </c>
      <c r="O166" t="n">
        <v>2</v>
      </c>
      <c r="P166" t="n">
        <v>1</v>
      </c>
      <c r="Q166" t="n">
        <v>2</v>
      </c>
      <c r="R166" s="2" t="inlineStr">
        <is>
          <t>Knärot
Vedtrappmossa</t>
        </is>
      </c>
      <c r="S166">
        <f>HYPERLINK("https://klasma.github.io/Logging_2303/artfynd/A 26324-2024 artfynd.xlsx", "A 26324-2024")</f>
        <v/>
      </c>
      <c r="T166">
        <f>HYPERLINK("https://klasma.github.io/Logging_2303/kartor/A 26324-2024 karta.png", "A 26324-2024")</f>
        <v/>
      </c>
      <c r="U166">
        <f>HYPERLINK("https://klasma.github.io/Logging_2303/knärot/A 26324-2024 karta knärot.png", "A 26324-2024")</f>
        <v/>
      </c>
      <c r="V166">
        <f>HYPERLINK("https://klasma.github.io/Logging_2303/klagomål/A 26324-2024 FSC-klagomål.docx", "A 26324-2024")</f>
        <v/>
      </c>
      <c r="W166">
        <f>HYPERLINK("https://klasma.github.io/Logging_2303/klagomålsmail/A 26324-2024 FSC-klagomål mail.docx", "A 26324-2024")</f>
        <v/>
      </c>
      <c r="X166">
        <f>HYPERLINK("https://klasma.github.io/Logging_2303/tillsyn/A 26324-2024 tillsynsbegäran.docx", "A 26324-2024")</f>
        <v/>
      </c>
      <c r="Y166">
        <f>HYPERLINK("https://klasma.github.io/Logging_2303/tillsynsmail/A 26324-2024 tillsynsbegäran mail.docx", "A 26324-2024")</f>
        <v/>
      </c>
    </row>
    <row r="167" ht="15" customHeight="1">
      <c r="A167" t="inlineStr">
        <is>
          <t>A 21245-2025</t>
        </is>
      </c>
      <c r="B167" s="1" t="n">
        <v>45779.57350694444</v>
      </c>
      <c r="C167" s="1" t="n">
        <v>45894</v>
      </c>
      <c r="D167" t="inlineStr">
        <is>
          <t>JÄMTLANDS LÄN</t>
        </is>
      </c>
      <c r="E167" t="inlineStr">
        <is>
          <t>RAGUNDA</t>
        </is>
      </c>
      <c r="F167" t="inlineStr">
        <is>
          <t>SCA</t>
        </is>
      </c>
      <c r="G167" t="n">
        <v>3.7</v>
      </c>
      <c r="H167" t="n">
        <v>1</v>
      </c>
      <c r="I167" t="n">
        <v>0</v>
      </c>
      <c r="J167" t="n">
        <v>1</v>
      </c>
      <c r="K167" t="n">
        <v>0</v>
      </c>
      <c r="L167" t="n">
        <v>0</v>
      </c>
      <c r="M167" t="n">
        <v>0</v>
      </c>
      <c r="N167" t="n">
        <v>0</v>
      </c>
      <c r="O167" t="n">
        <v>1</v>
      </c>
      <c r="P167" t="n">
        <v>0</v>
      </c>
      <c r="Q167" t="n">
        <v>2</v>
      </c>
      <c r="R167" s="2" t="inlineStr">
        <is>
          <t>Garnlav
Tjäder</t>
        </is>
      </c>
      <c r="S167">
        <f>HYPERLINK("https://klasma.github.io/Logging_2303/artfynd/A 21245-2025 artfynd.xlsx", "A 21245-2025")</f>
        <v/>
      </c>
      <c r="T167">
        <f>HYPERLINK("https://klasma.github.io/Logging_2303/kartor/A 21245-2025 karta.png", "A 21245-2025")</f>
        <v/>
      </c>
      <c r="V167">
        <f>HYPERLINK("https://klasma.github.io/Logging_2303/klagomål/A 21245-2025 FSC-klagomål.docx", "A 21245-2025")</f>
        <v/>
      </c>
      <c r="W167">
        <f>HYPERLINK("https://klasma.github.io/Logging_2303/klagomålsmail/A 21245-2025 FSC-klagomål mail.docx", "A 21245-2025")</f>
        <v/>
      </c>
      <c r="X167">
        <f>HYPERLINK("https://klasma.github.io/Logging_2303/tillsyn/A 21245-2025 tillsynsbegäran.docx", "A 21245-2025")</f>
        <v/>
      </c>
      <c r="Y167">
        <f>HYPERLINK("https://klasma.github.io/Logging_2303/tillsynsmail/A 21245-2025 tillsynsbegäran mail.docx", "A 21245-2025")</f>
        <v/>
      </c>
      <c r="Z167">
        <f>HYPERLINK("https://klasma.github.io/Logging_2303/fåglar/A 21245-2025 prioriterade fågelarter.docx", "A 21245-2025")</f>
        <v/>
      </c>
    </row>
    <row r="168" ht="15" customHeight="1">
      <c r="A168" t="inlineStr">
        <is>
          <t>A 57940-2024</t>
        </is>
      </c>
      <c r="B168" s="1" t="n">
        <v>45631</v>
      </c>
      <c r="C168" s="1" t="n">
        <v>45894</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3838-2024</t>
        </is>
      </c>
      <c r="B169" s="1" t="n">
        <v>45321</v>
      </c>
      <c r="C169" s="1" t="n">
        <v>45894</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32736-2023</t>
        </is>
      </c>
      <c r="B170" s="1" t="n">
        <v>45121</v>
      </c>
      <c r="C170" s="1" t="n">
        <v>45894</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36756-2023</t>
        </is>
      </c>
      <c r="B171" s="1" t="n">
        <v>45153</v>
      </c>
      <c r="C171" s="1" t="n">
        <v>45894</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56285-2023</t>
        </is>
      </c>
      <c r="B172" s="1" t="n">
        <v>45241</v>
      </c>
      <c r="C172" s="1" t="n">
        <v>45894</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55647-2023</t>
        </is>
      </c>
      <c r="B173" s="1" t="n">
        <v>45238</v>
      </c>
      <c r="C173" s="1" t="n">
        <v>45894</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39495-2024</t>
        </is>
      </c>
      <c r="B174" s="1" t="n">
        <v>45551.65726851852</v>
      </c>
      <c r="C174" s="1" t="n">
        <v>45894</v>
      </c>
      <c r="D174" t="inlineStr">
        <is>
          <t>JÄMTLANDS LÄN</t>
        </is>
      </c>
      <c r="E174" t="inlineStr">
        <is>
          <t>RAGUNDA</t>
        </is>
      </c>
      <c r="F174" t="inlineStr">
        <is>
          <t>SCA</t>
        </is>
      </c>
      <c r="G174" t="n">
        <v>6.6</v>
      </c>
      <c r="H174" t="n">
        <v>0</v>
      </c>
      <c r="I174" t="n">
        <v>0</v>
      </c>
      <c r="J174" t="n">
        <v>2</v>
      </c>
      <c r="K174" t="n">
        <v>0</v>
      </c>
      <c r="L174" t="n">
        <v>0</v>
      </c>
      <c r="M174" t="n">
        <v>0</v>
      </c>
      <c r="N174" t="n">
        <v>0</v>
      </c>
      <c r="O174" t="n">
        <v>2</v>
      </c>
      <c r="P174" t="n">
        <v>0</v>
      </c>
      <c r="Q174" t="n">
        <v>2</v>
      </c>
      <c r="R174" s="2" t="inlineStr">
        <is>
          <t>Garnlav
Ullticka</t>
        </is>
      </c>
      <c r="S174">
        <f>HYPERLINK("https://klasma.github.io/Logging_2303/artfynd/A 39495-2024 artfynd.xlsx", "A 39495-2024")</f>
        <v/>
      </c>
      <c r="T174">
        <f>HYPERLINK("https://klasma.github.io/Logging_2303/kartor/A 39495-2024 karta.png", "A 39495-2024")</f>
        <v/>
      </c>
      <c r="V174">
        <f>HYPERLINK("https://klasma.github.io/Logging_2303/klagomål/A 39495-2024 FSC-klagomål.docx", "A 39495-2024")</f>
        <v/>
      </c>
      <c r="W174">
        <f>HYPERLINK("https://klasma.github.io/Logging_2303/klagomålsmail/A 39495-2024 FSC-klagomål mail.docx", "A 39495-2024")</f>
        <v/>
      </c>
      <c r="X174">
        <f>HYPERLINK("https://klasma.github.io/Logging_2303/tillsyn/A 39495-2024 tillsynsbegäran.docx", "A 39495-2024")</f>
        <v/>
      </c>
      <c r="Y174">
        <f>HYPERLINK("https://klasma.github.io/Logging_2303/tillsynsmail/A 39495-2024 tillsynsbegäran mail.docx", "A 39495-2024")</f>
        <v/>
      </c>
    </row>
    <row r="175" ht="15" customHeight="1">
      <c r="A175" t="inlineStr">
        <is>
          <t>A 25155-2025</t>
        </is>
      </c>
      <c r="B175" s="1" t="n">
        <v>45800.42782407408</v>
      </c>
      <c r="C175" s="1" t="n">
        <v>45894</v>
      </c>
      <c r="D175" t="inlineStr">
        <is>
          <t>JÄMTLANDS LÄN</t>
        </is>
      </c>
      <c r="E175" t="inlineStr">
        <is>
          <t>RAGUNDA</t>
        </is>
      </c>
      <c r="F175" t="inlineStr">
        <is>
          <t>SCA</t>
        </is>
      </c>
      <c r="G175" t="n">
        <v>1.7</v>
      </c>
      <c r="H175" t="n">
        <v>1</v>
      </c>
      <c r="I175" t="n">
        <v>0</v>
      </c>
      <c r="J175" t="n">
        <v>1</v>
      </c>
      <c r="K175" t="n">
        <v>0</v>
      </c>
      <c r="L175" t="n">
        <v>0</v>
      </c>
      <c r="M175" t="n">
        <v>0</v>
      </c>
      <c r="N175" t="n">
        <v>0</v>
      </c>
      <c r="O175" t="n">
        <v>1</v>
      </c>
      <c r="P175" t="n">
        <v>0</v>
      </c>
      <c r="Q175" t="n">
        <v>2</v>
      </c>
      <c r="R175" s="2" t="inlineStr">
        <is>
          <t>Leptoporus mollis
Fläcknycklar</t>
        </is>
      </c>
      <c r="S175">
        <f>HYPERLINK("https://klasma.github.io/Logging_2303/artfynd/A 25155-2025 artfynd.xlsx", "A 25155-2025")</f>
        <v/>
      </c>
      <c r="T175">
        <f>HYPERLINK("https://klasma.github.io/Logging_2303/kartor/A 25155-2025 karta.png", "A 25155-2025")</f>
        <v/>
      </c>
      <c r="V175">
        <f>HYPERLINK("https://klasma.github.io/Logging_2303/klagomål/A 25155-2025 FSC-klagomål.docx", "A 25155-2025")</f>
        <v/>
      </c>
      <c r="W175">
        <f>HYPERLINK("https://klasma.github.io/Logging_2303/klagomålsmail/A 25155-2025 FSC-klagomål mail.docx", "A 25155-2025")</f>
        <v/>
      </c>
      <c r="X175">
        <f>HYPERLINK("https://klasma.github.io/Logging_2303/tillsyn/A 25155-2025 tillsynsbegäran.docx", "A 25155-2025")</f>
        <v/>
      </c>
      <c r="Y175">
        <f>HYPERLINK("https://klasma.github.io/Logging_2303/tillsynsmail/A 25155-2025 tillsynsbegäran mail.docx", "A 25155-2025")</f>
        <v/>
      </c>
    </row>
    <row r="176" ht="15" customHeight="1">
      <c r="A176" t="inlineStr">
        <is>
          <t>A 47267-2022</t>
        </is>
      </c>
      <c r="B176" s="1" t="n">
        <v>44852</v>
      </c>
      <c r="C176" s="1" t="n">
        <v>45894</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45894</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35131-2025</t>
        </is>
      </c>
      <c r="B178" s="1" t="n">
        <v>45852.63597222222</v>
      </c>
      <c r="C178" s="1" t="n">
        <v>45894</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45035-2023</t>
        </is>
      </c>
      <c r="B179" s="1" t="n">
        <v>45191</v>
      </c>
      <c r="C179" s="1" t="n">
        <v>45894</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35344-2025</t>
        </is>
      </c>
      <c r="B180" s="1" t="n">
        <v>45854.61494212963</v>
      </c>
      <c r="C180" s="1" t="n">
        <v>45894</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11544-2024</t>
        </is>
      </c>
      <c r="B181" s="1" t="n">
        <v>45372.95680555556</v>
      </c>
      <c r="C181" s="1" t="n">
        <v>45894</v>
      </c>
      <c r="D181" t="inlineStr">
        <is>
          <t>JÄMTLANDS LÄN</t>
        </is>
      </c>
      <c r="E181" t="inlineStr">
        <is>
          <t>RAGUNDA</t>
        </is>
      </c>
      <c r="F181" t="inlineStr">
        <is>
          <t>SCA</t>
        </is>
      </c>
      <c r="G181" t="n">
        <v>15.5</v>
      </c>
      <c r="H181" t="n">
        <v>0</v>
      </c>
      <c r="I181" t="n">
        <v>0</v>
      </c>
      <c r="J181" t="n">
        <v>2</v>
      </c>
      <c r="K181" t="n">
        <v>0</v>
      </c>
      <c r="L181" t="n">
        <v>0</v>
      </c>
      <c r="M181" t="n">
        <v>0</v>
      </c>
      <c r="N181" t="n">
        <v>0</v>
      </c>
      <c r="O181" t="n">
        <v>2</v>
      </c>
      <c r="P181" t="n">
        <v>0</v>
      </c>
      <c r="Q181" t="n">
        <v>2</v>
      </c>
      <c r="R181" s="2" t="inlineStr">
        <is>
          <t>Granticka
Mörk kolflarnlav</t>
        </is>
      </c>
      <c r="S181">
        <f>HYPERLINK("https://klasma.github.io/Logging_2303/artfynd/A 11544-2024 artfynd.xlsx", "A 11544-2024")</f>
        <v/>
      </c>
      <c r="T181">
        <f>HYPERLINK("https://klasma.github.io/Logging_2303/kartor/A 11544-2024 karta.png", "A 11544-2024")</f>
        <v/>
      </c>
      <c r="V181">
        <f>HYPERLINK("https://klasma.github.io/Logging_2303/klagomål/A 11544-2024 FSC-klagomål.docx", "A 11544-2024")</f>
        <v/>
      </c>
      <c r="W181">
        <f>HYPERLINK("https://klasma.github.io/Logging_2303/klagomålsmail/A 11544-2024 FSC-klagomål mail.docx", "A 11544-2024")</f>
        <v/>
      </c>
      <c r="X181">
        <f>HYPERLINK("https://klasma.github.io/Logging_2303/tillsyn/A 11544-2024 tillsynsbegäran.docx", "A 11544-2024")</f>
        <v/>
      </c>
      <c r="Y181">
        <f>HYPERLINK("https://klasma.github.io/Logging_2303/tillsynsmail/A 11544-2024 tillsynsbegäran mail.docx", "A 11544-2024")</f>
        <v/>
      </c>
    </row>
    <row r="182" ht="15" customHeight="1">
      <c r="A182" t="inlineStr">
        <is>
          <t>A 50089-2022</t>
        </is>
      </c>
      <c r="B182" s="1" t="n">
        <v>44865</v>
      </c>
      <c r="C182" s="1" t="n">
        <v>45894</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48427-2023</t>
        </is>
      </c>
      <c r="B183" s="1" t="n">
        <v>45205</v>
      </c>
      <c r="C183" s="1" t="n">
        <v>45894</v>
      </c>
      <c r="D183" t="inlineStr">
        <is>
          <t>JÄMTLANDS LÄN</t>
        </is>
      </c>
      <c r="E183" t="inlineStr">
        <is>
          <t>RAGUNDA</t>
        </is>
      </c>
      <c r="F183" t="inlineStr">
        <is>
          <t>SCA</t>
        </is>
      </c>
      <c r="G183" t="n">
        <v>10.1</v>
      </c>
      <c r="H183" t="n">
        <v>0</v>
      </c>
      <c r="I183" t="n">
        <v>1</v>
      </c>
      <c r="J183" t="n">
        <v>1</v>
      </c>
      <c r="K183" t="n">
        <v>0</v>
      </c>
      <c r="L183" t="n">
        <v>0</v>
      </c>
      <c r="M183" t="n">
        <v>0</v>
      </c>
      <c r="N183" t="n">
        <v>0</v>
      </c>
      <c r="O183" t="n">
        <v>1</v>
      </c>
      <c r="P183" t="n">
        <v>0</v>
      </c>
      <c r="Q183" t="n">
        <v>2</v>
      </c>
      <c r="R183" s="2" t="inlineStr">
        <is>
          <t>Lunglav
Luddlav</t>
        </is>
      </c>
      <c r="S183">
        <f>HYPERLINK("https://klasma.github.io/Logging_2303/artfynd/A 48427-2023 artfynd.xlsx", "A 48427-2023")</f>
        <v/>
      </c>
      <c r="T183">
        <f>HYPERLINK("https://klasma.github.io/Logging_2303/kartor/A 48427-2023 karta.png", "A 48427-2023")</f>
        <v/>
      </c>
      <c r="V183">
        <f>HYPERLINK("https://klasma.github.io/Logging_2303/klagomål/A 48427-2023 FSC-klagomål.docx", "A 48427-2023")</f>
        <v/>
      </c>
      <c r="W183">
        <f>HYPERLINK("https://klasma.github.io/Logging_2303/klagomålsmail/A 48427-2023 FSC-klagomål mail.docx", "A 48427-2023")</f>
        <v/>
      </c>
      <c r="X183">
        <f>HYPERLINK("https://klasma.github.io/Logging_2303/tillsyn/A 48427-2023 tillsynsbegäran.docx", "A 48427-2023")</f>
        <v/>
      </c>
      <c r="Y183">
        <f>HYPERLINK("https://klasma.github.io/Logging_2303/tillsynsmail/A 48427-2023 tillsynsbegäran mail.docx", "A 48427-2023")</f>
        <v/>
      </c>
    </row>
    <row r="184" ht="15" customHeight="1">
      <c r="A184" t="inlineStr">
        <is>
          <t>A 11843-2023</t>
        </is>
      </c>
      <c r="B184" s="1" t="n">
        <v>44993</v>
      </c>
      <c r="C184" s="1" t="n">
        <v>45894</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45894</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31960-2025</t>
        </is>
      </c>
      <c r="B186" s="1" t="n">
        <v>45835.344375</v>
      </c>
      <c r="C186" s="1" t="n">
        <v>45894</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11086-2025</t>
        </is>
      </c>
      <c r="B187" s="1" t="n">
        <v>45723.57329861111</v>
      </c>
      <c r="C187" s="1" t="n">
        <v>45894</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40826-2023</t>
        </is>
      </c>
      <c r="B188" s="1" t="n">
        <v>45171</v>
      </c>
      <c r="C188" s="1" t="n">
        <v>45894</v>
      </c>
      <c r="D188" t="inlineStr">
        <is>
          <t>JÄMTLANDS LÄN</t>
        </is>
      </c>
      <c r="E188" t="inlineStr">
        <is>
          <t>RAGUNDA</t>
        </is>
      </c>
      <c r="F188" t="inlineStr">
        <is>
          <t>SCA</t>
        </is>
      </c>
      <c r="G188" t="n">
        <v>4.5</v>
      </c>
      <c r="H188" t="n">
        <v>0</v>
      </c>
      <c r="I188" t="n">
        <v>1</v>
      </c>
      <c r="J188" t="n">
        <v>1</v>
      </c>
      <c r="K188" t="n">
        <v>0</v>
      </c>
      <c r="L188" t="n">
        <v>0</v>
      </c>
      <c r="M188" t="n">
        <v>0</v>
      </c>
      <c r="N188" t="n">
        <v>0</v>
      </c>
      <c r="O188" t="n">
        <v>1</v>
      </c>
      <c r="P188" t="n">
        <v>0</v>
      </c>
      <c r="Q188" t="n">
        <v>2</v>
      </c>
      <c r="R188" s="2" t="inlineStr">
        <is>
          <t>Lunglav
Stuplav</t>
        </is>
      </c>
      <c r="S188">
        <f>HYPERLINK("https://klasma.github.io/Logging_2303/artfynd/A 40826-2023 artfynd.xlsx", "A 40826-2023")</f>
        <v/>
      </c>
      <c r="T188">
        <f>HYPERLINK("https://klasma.github.io/Logging_2303/kartor/A 40826-2023 karta.png", "A 40826-2023")</f>
        <v/>
      </c>
      <c r="V188">
        <f>HYPERLINK("https://klasma.github.io/Logging_2303/klagomål/A 40826-2023 FSC-klagomål.docx", "A 40826-2023")</f>
        <v/>
      </c>
      <c r="W188">
        <f>HYPERLINK("https://klasma.github.io/Logging_2303/klagomålsmail/A 40826-2023 FSC-klagomål mail.docx", "A 40826-2023")</f>
        <v/>
      </c>
      <c r="X188">
        <f>HYPERLINK("https://klasma.github.io/Logging_2303/tillsyn/A 40826-2023 tillsynsbegäran.docx", "A 40826-2023")</f>
        <v/>
      </c>
      <c r="Y188">
        <f>HYPERLINK("https://klasma.github.io/Logging_2303/tillsynsmail/A 40826-2023 tillsynsbegäran mail.docx", "A 40826-2023")</f>
        <v/>
      </c>
    </row>
    <row r="189" ht="15" customHeight="1">
      <c r="A189" t="inlineStr">
        <is>
          <t>A 26482-2023</t>
        </is>
      </c>
      <c r="B189" s="1" t="n">
        <v>45089</v>
      </c>
      <c r="C189" s="1" t="n">
        <v>45894</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41490-2022</t>
        </is>
      </c>
      <c r="B190" s="1" t="n">
        <v>44826.94976851852</v>
      </c>
      <c r="C190" s="1" t="n">
        <v>45894</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51916-2021</t>
        </is>
      </c>
      <c r="B191" s="1" t="n">
        <v>44462</v>
      </c>
      <c r="C191" s="1" t="n">
        <v>45894</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45894</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45894</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45894</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45894</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45894</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45894</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45894</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45894</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45894</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45894</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59104-2023</t>
        </is>
      </c>
      <c r="B202" s="1" t="n">
        <v>45252</v>
      </c>
      <c r="C202" s="1" t="n">
        <v>45894</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48477-2023</t>
        </is>
      </c>
      <c r="B203" s="1" t="n">
        <v>45206</v>
      </c>
      <c r="C203" s="1" t="n">
        <v>45894</v>
      </c>
      <c r="D203" t="inlineStr">
        <is>
          <t>JÄMTLANDS LÄN</t>
        </is>
      </c>
      <c r="E203" t="inlineStr">
        <is>
          <t>RAGUNDA</t>
        </is>
      </c>
      <c r="F203" t="inlineStr">
        <is>
          <t>SCA</t>
        </is>
      </c>
      <c r="G203" t="n">
        <v>1.8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48477-2023 artfynd.xlsx", "A 48477-2023")</f>
        <v/>
      </c>
      <c r="T203">
        <f>HYPERLINK("https://klasma.github.io/Logging_2303/kartor/A 48477-2023 karta.png", "A 48477-2023")</f>
        <v/>
      </c>
      <c r="V203">
        <f>HYPERLINK("https://klasma.github.io/Logging_2303/klagomål/A 48477-2023 FSC-klagomål.docx", "A 48477-2023")</f>
        <v/>
      </c>
      <c r="W203">
        <f>HYPERLINK("https://klasma.github.io/Logging_2303/klagomålsmail/A 48477-2023 FSC-klagomål mail.docx", "A 48477-2023")</f>
        <v/>
      </c>
      <c r="X203">
        <f>HYPERLINK("https://klasma.github.io/Logging_2303/tillsyn/A 48477-2023 tillsynsbegäran.docx", "A 48477-2023")</f>
        <v/>
      </c>
      <c r="Y203">
        <f>HYPERLINK("https://klasma.github.io/Logging_2303/tillsynsmail/A 48477-2023 tillsynsbegäran mail.docx", "A 48477-2023")</f>
        <v/>
      </c>
    </row>
    <row r="204" ht="15" customHeight="1">
      <c r="A204" t="inlineStr">
        <is>
          <t>A 16724-2025</t>
        </is>
      </c>
      <c r="B204" s="1" t="n">
        <v>45754.51064814815</v>
      </c>
      <c r="C204" s="1" t="n">
        <v>45894</v>
      </c>
      <c r="D204" t="inlineStr">
        <is>
          <t>JÄMTLANDS LÄN</t>
        </is>
      </c>
      <c r="E204" t="inlineStr">
        <is>
          <t>RAGUNDA</t>
        </is>
      </c>
      <c r="G204" t="n">
        <v>3.5</v>
      </c>
      <c r="H204" t="n">
        <v>0</v>
      </c>
      <c r="I204" t="n">
        <v>0</v>
      </c>
      <c r="J204" t="n">
        <v>1</v>
      </c>
      <c r="K204" t="n">
        <v>0</v>
      </c>
      <c r="L204" t="n">
        <v>0</v>
      </c>
      <c r="M204" t="n">
        <v>0</v>
      </c>
      <c r="N204" t="n">
        <v>0</v>
      </c>
      <c r="O204" t="n">
        <v>1</v>
      </c>
      <c r="P204" t="n">
        <v>0</v>
      </c>
      <c r="Q204" t="n">
        <v>1</v>
      </c>
      <c r="R204" s="2" t="inlineStr">
        <is>
          <t>Kolflarnlav</t>
        </is>
      </c>
      <c r="S204">
        <f>HYPERLINK("https://klasma.github.io/Logging_2303/artfynd/A 16724-2025 artfynd.xlsx", "A 16724-2025")</f>
        <v/>
      </c>
      <c r="T204">
        <f>HYPERLINK("https://klasma.github.io/Logging_2303/kartor/A 16724-2025 karta.png", "A 16724-2025")</f>
        <v/>
      </c>
      <c r="V204">
        <f>HYPERLINK("https://klasma.github.io/Logging_2303/klagomål/A 16724-2025 FSC-klagomål.docx", "A 16724-2025")</f>
        <v/>
      </c>
      <c r="W204">
        <f>HYPERLINK("https://klasma.github.io/Logging_2303/klagomålsmail/A 16724-2025 FSC-klagomål mail.docx", "A 16724-2025")</f>
        <v/>
      </c>
      <c r="X204">
        <f>HYPERLINK("https://klasma.github.io/Logging_2303/tillsyn/A 16724-2025 tillsynsbegäran.docx", "A 16724-2025")</f>
        <v/>
      </c>
      <c r="Y204">
        <f>HYPERLINK("https://klasma.github.io/Logging_2303/tillsynsmail/A 16724-2025 tillsynsbegäran mail.docx", "A 16724-2025")</f>
        <v/>
      </c>
    </row>
    <row r="205" ht="15" customHeight="1">
      <c r="A205" t="inlineStr">
        <is>
          <t>A 49770-2024</t>
        </is>
      </c>
      <c r="B205" s="1" t="n">
        <v>45597.34461805555</v>
      </c>
      <c r="C205" s="1" t="n">
        <v>45894</v>
      </c>
      <c r="D205" t="inlineStr">
        <is>
          <t>JÄMTLANDS LÄN</t>
        </is>
      </c>
      <c r="E205" t="inlineStr">
        <is>
          <t>RAGUNDA</t>
        </is>
      </c>
      <c r="F205" t="inlineStr">
        <is>
          <t>Naturvårdsverket</t>
        </is>
      </c>
      <c r="G205" t="n">
        <v>8.9</v>
      </c>
      <c r="H205" t="n">
        <v>1</v>
      </c>
      <c r="I205" t="n">
        <v>0</v>
      </c>
      <c r="J205" t="n">
        <v>0</v>
      </c>
      <c r="K205" t="n">
        <v>1</v>
      </c>
      <c r="L205" t="n">
        <v>0</v>
      </c>
      <c r="M205" t="n">
        <v>0</v>
      </c>
      <c r="N205" t="n">
        <v>0</v>
      </c>
      <c r="O205" t="n">
        <v>1</v>
      </c>
      <c r="P205" t="n">
        <v>1</v>
      </c>
      <c r="Q205" t="n">
        <v>1</v>
      </c>
      <c r="R205" s="2" t="inlineStr">
        <is>
          <t>Doftticka</t>
        </is>
      </c>
      <c r="S205">
        <f>HYPERLINK("https://klasma.github.io/Logging_2303/artfynd/A 49770-2024 artfynd.xlsx", "A 49770-2024")</f>
        <v/>
      </c>
      <c r="T205">
        <f>HYPERLINK("https://klasma.github.io/Logging_2303/kartor/A 49770-2024 karta.png", "A 49770-2024")</f>
        <v/>
      </c>
      <c r="V205">
        <f>HYPERLINK("https://klasma.github.io/Logging_2303/klagomål/A 49770-2024 FSC-klagomål.docx", "A 49770-2024")</f>
        <v/>
      </c>
      <c r="W205">
        <f>HYPERLINK("https://klasma.github.io/Logging_2303/klagomålsmail/A 49770-2024 FSC-klagomål mail.docx", "A 49770-2024")</f>
        <v/>
      </c>
      <c r="X205">
        <f>HYPERLINK("https://klasma.github.io/Logging_2303/tillsyn/A 49770-2024 tillsynsbegäran.docx", "A 49770-2024")</f>
        <v/>
      </c>
      <c r="Y205">
        <f>HYPERLINK("https://klasma.github.io/Logging_2303/tillsynsmail/A 49770-2024 tillsynsbegäran mail.docx", "A 49770-2024")</f>
        <v/>
      </c>
    </row>
    <row r="206" ht="15" customHeight="1">
      <c r="A206" t="inlineStr">
        <is>
          <t>A 25694-2023</t>
        </is>
      </c>
      <c r="B206" s="1" t="n">
        <v>45089</v>
      </c>
      <c r="C206" s="1" t="n">
        <v>45894</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45894</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29921-2024</t>
        </is>
      </c>
      <c r="B208" s="1" t="n">
        <v>45487.92863425926</v>
      </c>
      <c r="C208" s="1" t="n">
        <v>45894</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20774-2024</t>
        </is>
      </c>
      <c r="B209" s="1" t="n">
        <v>45436.94644675926</v>
      </c>
      <c r="C209" s="1" t="n">
        <v>45894</v>
      </c>
      <c r="D209" t="inlineStr">
        <is>
          <t>JÄMTLANDS LÄN</t>
        </is>
      </c>
      <c r="E209" t="inlineStr">
        <is>
          <t>RAGUNDA</t>
        </is>
      </c>
      <c r="F209" t="inlineStr">
        <is>
          <t>SCA</t>
        </is>
      </c>
      <c r="G209" t="n">
        <v>2.3</v>
      </c>
      <c r="H209" t="n">
        <v>0</v>
      </c>
      <c r="I209" t="n">
        <v>1</v>
      </c>
      <c r="J209" t="n">
        <v>0</v>
      </c>
      <c r="K209" t="n">
        <v>0</v>
      </c>
      <c r="L209" t="n">
        <v>0</v>
      </c>
      <c r="M209" t="n">
        <v>0</v>
      </c>
      <c r="N209" t="n">
        <v>0</v>
      </c>
      <c r="O209" t="n">
        <v>0</v>
      </c>
      <c r="P209" t="n">
        <v>0</v>
      </c>
      <c r="Q209" t="n">
        <v>1</v>
      </c>
      <c r="R209" s="2" t="inlineStr">
        <is>
          <t>Fjällig taggsvamp s.str.</t>
        </is>
      </c>
      <c r="S209">
        <f>HYPERLINK("https://klasma.github.io/Logging_2303/artfynd/A 20774-2024 artfynd.xlsx", "A 20774-2024")</f>
        <v/>
      </c>
      <c r="T209">
        <f>HYPERLINK("https://klasma.github.io/Logging_2303/kartor/A 20774-2024 karta.png", "A 20774-2024")</f>
        <v/>
      </c>
      <c r="V209">
        <f>HYPERLINK("https://klasma.github.io/Logging_2303/klagomål/A 20774-2024 FSC-klagomål.docx", "A 20774-2024")</f>
        <v/>
      </c>
      <c r="W209">
        <f>HYPERLINK("https://klasma.github.io/Logging_2303/klagomålsmail/A 20774-2024 FSC-klagomål mail.docx", "A 20774-2024")</f>
        <v/>
      </c>
      <c r="X209">
        <f>HYPERLINK("https://klasma.github.io/Logging_2303/tillsyn/A 20774-2024 tillsynsbegäran.docx", "A 20774-2024")</f>
        <v/>
      </c>
      <c r="Y209">
        <f>HYPERLINK("https://klasma.github.io/Logging_2303/tillsynsmail/A 20774-2024 tillsynsbegäran mail.docx", "A 20774-2024")</f>
        <v/>
      </c>
    </row>
    <row r="210" ht="15" customHeight="1">
      <c r="A210" t="inlineStr">
        <is>
          <t>A 36975-2023</t>
        </is>
      </c>
      <c r="B210" s="1" t="n">
        <v>45154</v>
      </c>
      <c r="C210" s="1" t="n">
        <v>45894</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10884-2025</t>
        </is>
      </c>
      <c r="B211" s="1" t="n">
        <v>45722.65670138889</v>
      </c>
      <c r="C211" s="1" t="n">
        <v>45894</v>
      </c>
      <c r="D211" t="inlineStr">
        <is>
          <t>JÄMTLANDS LÄN</t>
        </is>
      </c>
      <c r="E211" t="inlineStr">
        <is>
          <t>RAGUNDA</t>
        </is>
      </c>
      <c r="F211" t="inlineStr">
        <is>
          <t>SCA</t>
        </is>
      </c>
      <c r="G211" t="n">
        <v>5.4</v>
      </c>
      <c r="H211" t="n">
        <v>0</v>
      </c>
      <c r="I211" t="n">
        <v>1</v>
      </c>
      <c r="J211" t="n">
        <v>0</v>
      </c>
      <c r="K211" t="n">
        <v>0</v>
      </c>
      <c r="L211" t="n">
        <v>0</v>
      </c>
      <c r="M211" t="n">
        <v>0</v>
      </c>
      <c r="N211" t="n">
        <v>0</v>
      </c>
      <c r="O211" t="n">
        <v>0</v>
      </c>
      <c r="P211" t="n">
        <v>0</v>
      </c>
      <c r="Q211" t="n">
        <v>1</v>
      </c>
      <c r="R211" s="2" t="inlineStr">
        <is>
          <t>Dropptaggsvamp</t>
        </is>
      </c>
      <c r="S211">
        <f>HYPERLINK("https://klasma.github.io/Logging_2303/artfynd/A 10884-2025 artfynd.xlsx", "A 10884-2025")</f>
        <v/>
      </c>
      <c r="T211">
        <f>HYPERLINK("https://klasma.github.io/Logging_2303/kartor/A 10884-2025 karta.png", "A 10884-2025")</f>
        <v/>
      </c>
      <c r="V211">
        <f>HYPERLINK("https://klasma.github.io/Logging_2303/klagomål/A 10884-2025 FSC-klagomål.docx", "A 10884-2025")</f>
        <v/>
      </c>
      <c r="W211">
        <f>HYPERLINK("https://klasma.github.io/Logging_2303/klagomålsmail/A 10884-2025 FSC-klagomål mail.docx", "A 10884-2025")</f>
        <v/>
      </c>
      <c r="X211">
        <f>HYPERLINK("https://klasma.github.io/Logging_2303/tillsyn/A 10884-2025 tillsynsbegäran.docx", "A 10884-2025")</f>
        <v/>
      </c>
      <c r="Y211">
        <f>HYPERLINK("https://klasma.github.io/Logging_2303/tillsynsmail/A 10884-2025 tillsynsbegäran mail.docx", "A 10884-2025")</f>
        <v/>
      </c>
    </row>
    <row r="212" ht="15" customHeight="1">
      <c r="A212" t="inlineStr">
        <is>
          <t>A 50233-2024</t>
        </is>
      </c>
      <c r="B212" s="1" t="n">
        <v>45600.55265046296</v>
      </c>
      <c r="C212" s="1" t="n">
        <v>45894</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61324-2024</t>
        </is>
      </c>
      <c r="B213" s="1" t="n">
        <v>45646.34438657408</v>
      </c>
      <c r="C213" s="1" t="n">
        <v>45894</v>
      </c>
      <c r="D213" t="inlineStr">
        <is>
          <t>JÄMTLANDS LÄN</t>
        </is>
      </c>
      <c r="E213" t="inlineStr">
        <is>
          <t>RAGUNDA</t>
        </is>
      </c>
      <c r="F213" t="inlineStr">
        <is>
          <t>SCA</t>
        </is>
      </c>
      <c r="G213" t="n">
        <v>11.2</v>
      </c>
      <c r="H213" t="n">
        <v>1</v>
      </c>
      <c r="I213" t="n">
        <v>0</v>
      </c>
      <c r="J213" t="n">
        <v>0</v>
      </c>
      <c r="K213" t="n">
        <v>0</v>
      </c>
      <c r="L213" t="n">
        <v>0</v>
      </c>
      <c r="M213" t="n">
        <v>0</v>
      </c>
      <c r="N213" t="n">
        <v>0</v>
      </c>
      <c r="O213" t="n">
        <v>0</v>
      </c>
      <c r="P213" t="n">
        <v>0</v>
      </c>
      <c r="Q213" t="n">
        <v>1</v>
      </c>
      <c r="R213" s="2" t="inlineStr">
        <is>
          <t>Trana</t>
        </is>
      </c>
      <c r="S213">
        <f>HYPERLINK("https://klasma.github.io/Logging_2303/artfynd/A 61324-2024 artfynd.xlsx", "A 61324-2024")</f>
        <v/>
      </c>
      <c r="T213">
        <f>HYPERLINK("https://klasma.github.io/Logging_2303/kartor/A 61324-2024 karta.png", "A 61324-2024")</f>
        <v/>
      </c>
      <c r="V213">
        <f>HYPERLINK("https://klasma.github.io/Logging_2303/klagomål/A 61324-2024 FSC-klagomål.docx", "A 61324-2024")</f>
        <v/>
      </c>
      <c r="W213">
        <f>HYPERLINK("https://klasma.github.io/Logging_2303/klagomålsmail/A 61324-2024 FSC-klagomål mail.docx", "A 61324-2024")</f>
        <v/>
      </c>
      <c r="X213">
        <f>HYPERLINK("https://klasma.github.io/Logging_2303/tillsyn/A 61324-2024 tillsynsbegäran.docx", "A 61324-2024")</f>
        <v/>
      </c>
      <c r="Y213">
        <f>HYPERLINK("https://klasma.github.io/Logging_2303/tillsynsmail/A 61324-2024 tillsynsbegäran mail.docx", "A 61324-2024")</f>
        <v/>
      </c>
      <c r="Z213">
        <f>HYPERLINK("https://klasma.github.io/Logging_2303/fåglar/A 61324-2024 prioriterade fågelarter.docx", "A 61324-2024")</f>
        <v/>
      </c>
    </row>
    <row r="214" ht="15" customHeight="1">
      <c r="A214" t="inlineStr">
        <is>
          <t>A 36757-2023</t>
        </is>
      </c>
      <c r="B214" s="1" t="n">
        <v>45153</v>
      </c>
      <c r="C214" s="1" t="n">
        <v>45894</v>
      </c>
      <c r="D214" t="inlineStr">
        <is>
          <t>JÄMTLANDS LÄN</t>
        </is>
      </c>
      <c r="E214" t="inlineStr">
        <is>
          <t>RAGUNDA</t>
        </is>
      </c>
      <c r="G214" t="n">
        <v>0.7</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36757-2023 artfynd.xlsx", "A 36757-2023")</f>
        <v/>
      </c>
      <c r="T214">
        <f>HYPERLINK("https://klasma.github.io/Logging_2303/kartor/A 36757-2023 karta.png", "A 36757-2023")</f>
        <v/>
      </c>
      <c r="V214">
        <f>HYPERLINK("https://klasma.github.io/Logging_2303/klagomål/A 36757-2023 FSC-klagomål.docx", "A 36757-2023")</f>
        <v/>
      </c>
      <c r="W214">
        <f>HYPERLINK("https://klasma.github.io/Logging_2303/klagomålsmail/A 36757-2023 FSC-klagomål mail.docx", "A 36757-2023")</f>
        <v/>
      </c>
      <c r="X214">
        <f>HYPERLINK("https://klasma.github.io/Logging_2303/tillsyn/A 36757-2023 tillsynsbegäran.docx", "A 36757-2023")</f>
        <v/>
      </c>
      <c r="Y214">
        <f>HYPERLINK("https://klasma.github.io/Logging_2303/tillsynsmail/A 36757-2023 tillsynsbegäran mail.docx", "A 36757-2023")</f>
        <v/>
      </c>
      <c r="Z214">
        <f>HYPERLINK("https://klasma.github.io/Logging_2303/fåglar/A 36757-2023 prioriterade fågelarter.docx", "A 36757-2023")</f>
        <v/>
      </c>
    </row>
    <row r="215" ht="15" customHeight="1">
      <c r="A215" t="inlineStr">
        <is>
          <t>A 21212-2025</t>
        </is>
      </c>
      <c r="B215" s="1" t="n">
        <v>45779.48993055556</v>
      </c>
      <c r="C215" s="1" t="n">
        <v>45894</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Garnlav</t>
        </is>
      </c>
      <c r="S215">
        <f>HYPERLINK("https://klasma.github.io/Logging_2303/artfynd/A 21212-2025 artfynd.xlsx", "A 21212-2025")</f>
        <v/>
      </c>
      <c r="T215">
        <f>HYPERLINK("https://klasma.github.io/Logging_2303/kartor/A 21212-2025 karta.png", "A 21212-2025")</f>
        <v/>
      </c>
      <c r="V215">
        <f>HYPERLINK("https://klasma.github.io/Logging_2303/klagomål/A 21212-2025 FSC-klagomål.docx", "A 21212-2025")</f>
        <v/>
      </c>
      <c r="W215">
        <f>HYPERLINK("https://klasma.github.io/Logging_2303/klagomålsmail/A 21212-2025 FSC-klagomål mail.docx", "A 21212-2025")</f>
        <v/>
      </c>
      <c r="X215">
        <f>HYPERLINK("https://klasma.github.io/Logging_2303/tillsyn/A 21212-2025 tillsynsbegäran.docx", "A 21212-2025")</f>
        <v/>
      </c>
      <c r="Y215">
        <f>HYPERLINK("https://klasma.github.io/Logging_2303/tillsynsmail/A 21212-2025 tillsynsbegäran mail.docx", "A 21212-2025")</f>
        <v/>
      </c>
    </row>
    <row r="216" ht="15" customHeight="1">
      <c r="A216" t="inlineStr">
        <is>
          <t>A 36224-2023</t>
        </is>
      </c>
      <c r="B216" s="1" t="n">
        <v>45149</v>
      </c>
      <c r="C216" s="1" t="n">
        <v>45894</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32069-2024</t>
        </is>
      </c>
      <c r="B217" s="1" t="n">
        <v>45510</v>
      </c>
      <c r="C217" s="1" t="n">
        <v>45894</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19751-2025</t>
        </is>
      </c>
      <c r="B218" s="1" t="n">
        <v>45771.3859837963</v>
      </c>
      <c r="C218" s="1" t="n">
        <v>45894</v>
      </c>
      <c r="D218" t="inlineStr">
        <is>
          <t>JÄMTLANDS LÄN</t>
        </is>
      </c>
      <c r="E218" t="inlineStr">
        <is>
          <t>RAGUNDA</t>
        </is>
      </c>
      <c r="F218" t="inlineStr">
        <is>
          <t>SCA</t>
        </is>
      </c>
      <c r="G218" t="n">
        <v>1.1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19751-2025 artfynd.xlsx", "A 19751-2025")</f>
        <v/>
      </c>
      <c r="T218">
        <f>HYPERLINK("https://klasma.github.io/Logging_2303/kartor/A 19751-2025 karta.png", "A 19751-2025")</f>
        <v/>
      </c>
      <c r="V218">
        <f>HYPERLINK("https://klasma.github.io/Logging_2303/klagomål/A 19751-2025 FSC-klagomål.docx", "A 19751-2025")</f>
        <v/>
      </c>
      <c r="W218">
        <f>HYPERLINK("https://klasma.github.io/Logging_2303/klagomålsmail/A 19751-2025 FSC-klagomål mail.docx", "A 19751-2025")</f>
        <v/>
      </c>
      <c r="X218">
        <f>HYPERLINK("https://klasma.github.io/Logging_2303/tillsyn/A 19751-2025 tillsynsbegäran.docx", "A 19751-2025")</f>
        <v/>
      </c>
      <c r="Y218">
        <f>HYPERLINK("https://klasma.github.io/Logging_2303/tillsynsmail/A 19751-2025 tillsynsbegäran mail.docx", "A 19751-2025")</f>
        <v/>
      </c>
      <c r="Z218">
        <f>HYPERLINK("https://klasma.github.io/Logging_2303/fåglar/A 19751-2025 prioriterade fågelarter.docx", "A 19751-2025")</f>
        <v/>
      </c>
    </row>
    <row r="219" ht="15" customHeight="1">
      <c r="A219" t="inlineStr">
        <is>
          <t>A 43404-2023</t>
        </is>
      </c>
      <c r="B219" s="1" t="n">
        <v>45183</v>
      </c>
      <c r="C219" s="1" t="n">
        <v>45894</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52898-2020</t>
        </is>
      </c>
      <c r="B220" s="1" t="n">
        <v>44119</v>
      </c>
      <c r="C220" s="1" t="n">
        <v>45894</v>
      </c>
      <c r="D220" t="inlineStr">
        <is>
          <t>JÄMTLANDS LÄN</t>
        </is>
      </c>
      <c r="E220" t="inlineStr">
        <is>
          <t>RAGUNDA</t>
        </is>
      </c>
      <c r="G220" t="n">
        <v>1.4</v>
      </c>
      <c r="H220" t="n">
        <v>1</v>
      </c>
      <c r="I220" t="n">
        <v>0</v>
      </c>
      <c r="J220" t="n">
        <v>0</v>
      </c>
      <c r="K220" t="n">
        <v>0</v>
      </c>
      <c r="L220" t="n">
        <v>0</v>
      </c>
      <c r="M220" t="n">
        <v>0</v>
      </c>
      <c r="N220" t="n">
        <v>0</v>
      </c>
      <c r="O220" t="n">
        <v>0</v>
      </c>
      <c r="P220" t="n">
        <v>0</v>
      </c>
      <c r="Q220" t="n">
        <v>1</v>
      </c>
      <c r="R220" s="2" t="inlineStr">
        <is>
          <t>Revlummer</t>
        </is>
      </c>
      <c r="S220">
        <f>HYPERLINK("https://klasma.github.io/Logging_2303/artfynd/A 52898-2020 artfynd.xlsx", "A 52898-2020")</f>
        <v/>
      </c>
      <c r="T220">
        <f>HYPERLINK("https://klasma.github.io/Logging_2303/kartor/A 52898-2020 karta.png", "A 52898-2020")</f>
        <v/>
      </c>
      <c r="V220">
        <f>HYPERLINK("https://klasma.github.io/Logging_2303/klagomål/A 52898-2020 FSC-klagomål.docx", "A 52898-2020")</f>
        <v/>
      </c>
      <c r="W220">
        <f>HYPERLINK("https://klasma.github.io/Logging_2303/klagomålsmail/A 52898-2020 FSC-klagomål mail.docx", "A 52898-2020")</f>
        <v/>
      </c>
      <c r="X220">
        <f>HYPERLINK("https://klasma.github.io/Logging_2303/tillsyn/A 52898-2020 tillsynsbegäran.docx", "A 52898-2020")</f>
        <v/>
      </c>
      <c r="Y220">
        <f>HYPERLINK("https://klasma.github.io/Logging_2303/tillsynsmail/A 52898-2020 tillsynsbegäran mail.docx", "A 52898-2020")</f>
        <v/>
      </c>
    </row>
    <row r="221" ht="15" customHeight="1">
      <c r="A221" t="inlineStr">
        <is>
          <t>A 24443-2024</t>
        </is>
      </c>
      <c r="B221" s="1" t="n">
        <v>45457.9640625</v>
      </c>
      <c r="C221" s="1" t="n">
        <v>45894</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45894</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19387-2025</t>
        </is>
      </c>
      <c r="B223" s="1" t="n">
        <v>45769.65736111111</v>
      </c>
      <c r="C223" s="1" t="n">
        <v>45894</v>
      </c>
      <c r="D223" t="inlineStr">
        <is>
          <t>JÄMTLANDS LÄN</t>
        </is>
      </c>
      <c r="E223" t="inlineStr">
        <is>
          <t>RAGUNDA</t>
        </is>
      </c>
      <c r="F223" t="inlineStr">
        <is>
          <t>SCA</t>
        </is>
      </c>
      <c r="G223" t="n">
        <v>16.4</v>
      </c>
      <c r="H223" t="n">
        <v>1</v>
      </c>
      <c r="I223" t="n">
        <v>0</v>
      </c>
      <c r="J223" t="n">
        <v>0</v>
      </c>
      <c r="K223" t="n">
        <v>1</v>
      </c>
      <c r="L223" t="n">
        <v>0</v>
      </c>
      <c r="M223" t="n">
        <v>0</v>
      </c>
      <c r="N223" t="n">
        <v>0</v>
      </c>
      <c r="O223" t="n">
        <v>1</v>
      </c>
      <c r="P223" t="n">
        <v>1</v>
      </c>
      <c r="Q223" t="n">
        <v>1</v>
      </c>
      <c r="R223" s="2" t="inlineStr">
        <is>
          <t>Norna</t>
        </is>
      </c>
      <c r="S223">
        <f>HYPERLINK("https://klasma.github.io/Logging_2303/artfynd/A 19387-2025 artfynd.xlsx", "A 19387-2025")</f>
        <v/>
      </c>
      <c r="T223">
        <f>HYPERLINK("https://klasma.github.io/Logging_2303/kartor/A 19387-2025 karta.png", "A 19387-2025")</f>
        <v/>
      </c>
      <c r="V223">
        <f>HYPERLINK("https://klasma.github.io/Logging_2303/klagomål/A 19387-2025 FSC-klagomål.docx", "A 19387-2025")</f>
        <v/>
      </c>
      <c r="W223">
        <f>HYPERLINK("https://klasma.github.io/Logging_2303/klagomålsmail/A 19387-2025 FSC-klagomål mail.docx", "A 19387-2025")</f>
        <v/>
      </c>
      <c r="X223">
        <f>HYPERLINK("https://klasma.github.io/Logging_2303/tillsyn/A 19387-2025 tillsynsbegäran.docx", "A 19387-2025")</f>
        <v/>
      </c>
      <c r="Y223">
        <f>HYPERLINK("https://klasma.github.io/Logging_2303/tillsynsmail/A 19387-2025 tillsynsbegäran mail.docx", "A 19387-2025")</f>
        <v/>
      </c>
    </row>
    <row r="224" ht="15" customHeight="1">
      <c r="A224" t="inlineStr">
        <is>
          <t>A 2929-2024</t>
        </is>
      </c>
      <c r="B224" s="1" t="n">
        <v>45315</v>
      </c>
      <c r="C224" s="1" t="n">
        <v>45894</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19728-2025</t>
        </is>
      </c>
      <c r="B225" s="1" t="n">
        <v>45771.36548611111</v>
      </c>
      <c r="C225" s="1" t="n">
        <v>45894</v>
      </c>
      <c r="D225" t="inlineStr">
        <is>
          <t>JÄMTLANDS LÄN</t>
        </is>
      </c>
      <c r="E225" t="inlineStr">
        <is>
          <t>RAGUNDA</t>
        </is>
      </c>
      <c r="F225" t="inlineStr">
        <is>
          <t>SCA</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19728-2025 artfynd.xlsx", "A 19728-2025")</f>
        <v/>
      </c>
      <c r="T225">
        <f>HYPERLINK("https://klasma.github.io/Logging_2303/kartor/A 19728-2025 karta.png", "A 19728-2025")</f>
        <v/>
      </c>
      <c r="V225">
        <f>HYPERLINK("https://klasma.github.io/Logging_2303/klagomål/A 19728-2025 FSC-klagomål.docx", "A 19728-2025")</f>
        <v/>
      </c>
      <c r="W225">
        <f>HYPERLINK("https://klasma.github.io/Logging_2303/klagomålsmail/A 19728-2025 FSC-klagomål mail.docx", "A 19728-2025")</f>
        <v/>
      </c>
      <c r="X225">
        <f>HYPERLINK("https://klasma.github.io/Logging_2303/tillsyn/A 19728-2025 tillsynsbegäran.docx", "A 19728-2025")</f>
        <v/>
      </c>
      <c r="Y225">
        <f>HYPERLINK("https://klasma.github.io/Logging_2303/tillsynsmail/A 19728-2025 tillsynsbegäran mail.docx", "A 19728-2025")</f>
        <v/>
      </c>
      <c r="Z225">
        <f>HYPERLINK("https://klasma.github.io/Logging_2303/fåglar/A 19728-2025 prioriterade fågelarter.docx", "A 19728-2025")</f>
        <v/>
      </c>
    </row>
    <row r="226" ht="15" customHeight="1">
      <c r="A226" t="inlineStr">
        <is>
          <t>A 58846-2024</t>
        </is>
      </c>
      <c r="B226" s="1" t="n">
        <v>45636.3863425926</v>
      </c>
      <c r="C226" s="1" t="n">
        <v>45894</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978-2024</t>
        </is>
      </c>
      <c r="B227" s="1" t="n">
        <v>45301</v>
      </c>
      <c r="C227" s="1" t="n">
        <v>45894</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45894</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36854-2023</t>
        </is>
      </c>
      <c r="B229" s="1" t="n">
        <v>45153</v>
      </c>
      <c r="C229" s="1" t="n">
        <v>45894</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45894</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27573-2025</t>
        </is>
      </c>
      <c r="B231" s="1" t="n">
        <v>45813.49061342593</v>
      </c>
      <c r="C231" s="1" t="n">
        <v>45894</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30485-2024</t>
        </is>
      </c>
      <c r="B232" s="1" t="n">
        <v>45491.95008101852</v>
      </c>
      <c r="C232" s="1" t="n">
        <v>45894</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31773-2021</t>
        </is>
      </c>
      <c r="B233" s="1" t="n">
        <v>44369</v>
      </c>
      <c r="C233" s="1" t="n">
        <v>45894</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35750-2023</t>
        </is>
      </c>
      <c r="B234" s="1" t="n">
        <v>45147</v>
      </c>
      <c r="C234" s="1" t="n">
        <v>45894</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30390-2025</t>
        </is>
      </c>
      <c r="B235" s="1" t="n">
        <v>45827.57371527778</v>
      </c>
      <c r="C235" s="1" t="n">
        <v>45894</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26317-2024</t>
        </is>
      </c>
      <c r="B236" s="1" t="n">
        <v>45468</v>
      </c>
      <c r="C236" s="1" t="n">
        <v>45894</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22054-2025</t>
        </is>
      </c>
      <c r="B237" s="1" t="n">
        <v>45785.36525462963</v>
      </c>
      <c r="C237" s="1" t="n">
        <v>45894</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49091-2022</t>
        </is>
      </c>
      <c r="B238" s="1" t="n">
        <v>44860</v>
      </c>
      <c r="C238" s="1" t="n">
        <v>45894</v>
      </c>
      <c r="D238" t="inlineStr">
        <is>
          <t>JÄMTLANDS LÄN</t>
        </is>
      </c>
      <c r="E238" t="inlineStr">
        <is>
          <t>RAGUNDA</t>
        </is>
      </c>
      <c r="G238" t="n">
        <v>3.5</v>
      </c>
      <c r="H238" t="n">
        <v>1</v>
      </c>
      <c r="I238" t="n">
        <v>0</v>
      </c>
      <c r="J238" t="n">
        <v>0</v>
      </c>
      <c r="K238" t="n">
        <v>1</v>
      </c>
      <c r="L238" t="n">
        <v>0</v>
      </c>
      <c r="M238" t="n">
        <v>0</v>
      </c>
      <c r="N238" t="n">
        <v>0</v>
      </c>
      <c r="O238" t="n">
        <v>1</v>
      </c>
      <c r="P238" t="n">
        <v>1</v>
      </c>
      <c r="Q238" t="n">
        <v>1</v>
      </c>
      <c r="R238" s="2" t="inlineStr">
        <is>
          <t>Doftticka</t>
        </is>
      </c>
      <c r="S238">
        <f>HYPERLINK("https://klasma.github.io/Logging_2303/artfynd/A 49091-2022 artfynd.xlsx", "A 49091-2022")</f>
        <v/>
      </c>
      <c r="T238">
        <f>HYPERLINK("https://klasma.github.io/Logging_2303/kartor/A 49091-2022 karta.png", "A 49091-2022")</f>
        <v/>
      </c>
      <c r="V238">
        <f>HYPERLINK("https://klasma.github.io/Logging_2303/klagomål/A 49091-2022 FSC-klagomål.docx", "A 49091-2022")</f>
        <v/>
      </c>
      <c r="W238">
        <f>HYPERLINK("https://klasma.github.io/Logging_2303/klagomålsmail/A 49091-2022 FSC-klagomål mail.docx", "A 49091-2022")</f>
        <v/>
      </c>
      <c r="X238">
        <f>HYPERLINK("https://klasma.github.io/Logging_2303/tillsyn/A 49091-2022 tillsynsbegäran.docx", "A 49091-2022")</f>
        <v/>
      </c>
      <c r="Y238">
        <f>HYPERLINK("https://klasma.github.io/Logging_2303/tillsynsmail/A 49091-2022 tillsynsbegäran mail.docx", "A 49091-2022")</f>
        <v/>
      </c>
    </row>
    <row r="239" ht="15" customHeight="1">
      <c r="A239" t="inlineStr">
        <is>
          <t>A 32445-2025</t>
        </is>
      </c>
      <c r="B239" s="1" t="n">
        <v>45838.38627314815</v>
      </c>
      <c r="C239" s="1" t="n">
        <v>45894</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50164-2023</t>
        </is>
      </c>
      <c r="B240" s="1" t="n">
        <v>45208</v>
      </c>
      <c r="C240" s="1" t="n">
        <v>45894</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45894</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34474-2025</t>
        </is>
      </c>
      <c r="B242" s="1" t="n">
        <v>45847.36528935185</v>
      </c>
      <c r="C242" s="1" t="n">
        <v>45894</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62072-2023</t>
        </is>
      </c>
      <c r="B243" s="1" t="n">
        <v>45266</v>
      </c>
      <c r="C243" s="1" t="n">
        <v>45894</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17340-2023</t>
        </is>
      </c>
      <c r="B244" s="1" t="n">
        <v>45033</v>
      </c>
      <c r="C244" s="1" t="n">
        <v>45894</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26322-2024</t>
        </is>
      </c>
      <c r="B245" s="1" t="n">
        <v>45468.97461805555</v>
      </c>
      <c r="C245" s="1" t="n">
        <v>45894</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61441-2020</t>
        </is>
      </c>
      <c r="B246" s="1" t="n">
        <v>44157</v>
      </c>
      <c r="C246" s="1" t="n">
        <v>45894</v>
      </c>
      <c r="D246" t="inlineStr">
        <is>
          <t>JÄMTLANDS LÄN</t>
        </is>
      </c>
      <c r="E246" t="inlineStr">
        <is>
          <t>RAGUNDA</t>
        </is>
      </c>
      <c r="G246" t="n">
        <v>0.4</v>
      </c>
      <c r="H246" t="n">
        <v>0</v>
      </c>
      <c r="I246" t="n">
        <v>0</v>
      </c>
      <c r="J246" t="n">
        <v>0</v>
      </c>
      <c r="K246" t="n">
        <v>0</v>
      </c>
      <c r="L246" t="n">
        <v>0</v>
      </c>
      <c r="M246" t="n">
        <v>0</v>
      </c>
      <c r="N246" t="n">
        <v>0</v>
      </c>
      <c r="O246" t="n">
        <v>0</v>
      </c>
      <c r="P246" t="n">
        <v>0</v>
      </c>
      <c r="Q246" t="n">
        <v>0</v>
      </c>
      <c r="R246" s="2" t="inlineStr"/>
    </row>
    <row r="247" ht="15" customHeight="1">
      <c r="A247" t="inlineStr">
        <is>
          <t>A 57941-2020</t>
        </is>
      </c>
      <c r="B247" s="1" t="n">
        <v>44141</v>
      </c>
      <c r="C247" s="1" t="n">
        <v>45894</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45894</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45894</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46050-2022</t>
        </is>
      </c>
      <c r="B250" s="1" t="n">
        <v>44846</v>
      </c>
      <c r="C250" s="1" t="n">
        <v>45894</v>
      </c>
      <c r="D250" t="inlineStr">
        <is>
          <t>JÄMTLANDS LÄN</t>
        </is>
      </c>
      <c r="E250" t="inlineStr">
        <is>
          <t>RAGUNDA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45894</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45894</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45894</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45894</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45894</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45894</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45894</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45894</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45894</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45894</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45894</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45894</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14776-2021</t>
        </is>
      </c>
      <c r="B263" s="1" t="n">
        <v>44280</v>
      </c>
      <c r="C263" s="1" t="n">
        <v>45894</v>
      </c>
      <c r="D263" t="inlineStr">
        <is>
          <t>JÄMTLANDS LÄN</t>
        </is>
      </c>
      <c r="E263" t="inlineStr">
        <is>
          <t>RAGUNDA</t>
        </is>
      </c>
      <c r="G263" t="n">
        <v>0.8</v>
      </c>
      <c r="H263" t="n">
        <v>0</v>
      </c>
      <c r="I263" t="n">
        <v>0</v>
      </c>
      <c r="J263" t="n">
        <v>0</v>
      </c>
      <c r="K263" t="n">
        <v>0</v>
      </c>
      <c r="L263" t="n">
        <v>0</v>
      </c>
      <c r="M263" t="n">
        <v>0</v>
      </c>
      <c r="N263" t="n">
        <v>0</v>
      </c>
      <c r="O263" t="n">
        <v>0</v>
      </c>
      <c r="P263" t="n">
        <v>0</v>
      </c>
      <c r="Q263" t="n">
        <v>0</v>
      </c>
      <c r="R263" s="2" t="inlineStr"/>
    </row>
    <row r="264" ht="15" customHeight="1">
      <c r="A264" t="inlineStr">
        <is>
          <t>A 35386-2021</t>
        </is>
      </c>
      <c r="B264" s="1" t="n">
        <v>44385.33887731482</v>
      </c>
      <c r="C264" s="1" t="n">
        <v>45894</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45894</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45894</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45894</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45894</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45894</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46047-2022</t>
        </is>
      </c>
      <c r="B270" s="1" t="n">
        <v>44846.9522337963</v>
      </c>
      <c r="C270" s="1" t="n">
        <v>45894</v>
      </c>
      <c r="D270" t="inlineStr">
        <is>
          <t>JÄMTLANDS LÄN</t>
        </is>
      </c>
      <c r="E270" t="inlineStr">
        <is>
          <t>RAGUNDA</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45894</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37562-2021</t>
        </is>
      </c>
      <c r="B272" s="1" t="n">
        <v>44399</v>
      </c>
      <c r="C272" s="1" t="n">
        <v>45894</v>
      </c>
      <c r="D272" t="inlineStr">
        <is>
          <t>JÄMTLANDS LÄN</t>
        </is>
      </c>
      <c r="E272" t="inlineStr">
        <is>
          <t>RAGUNDA</t>
        </is>
      </c>
      <c r="G272" t="n">
        <v>1.1</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45894</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45894</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31484-2022</t>
        </is>
      </c>
      <c r="B275" s="1" t="n">
        <v>44774.94414351852</v>
      </c>
      <c r="C275" s="1" t="n">
        <v>45894</v>
      </c>
      <c r="D275" t="inlineStr">
        <is>
          <t>JÄMTLANDS LÄN</t>
        </is>
      </c>
      <c r="E275" t="inlineStr">
        <is>
          <t>RAGUNDA</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41609-2021</t>
        </is>
      </c>
      <c r="B276" s="1" t="n">
        <v>44425</v>
      </c>
      <c r="C276" s="1" t="n">
        <v>45894</v>
      </c>
      <c r="D276" t="inlineStr">
        <is>
          <t>JÄMTLANDS LÄN</t>
        </is>
      </c>
      <c r="E276" t="inlineStr">
        <is>
          <t>RAGUNDA</t>
        </is>
      </c>
      <c r="F276" t="inlineStr">
        <is>
          <t>Kommuner</t>
        </is>
      </c>
      <c r="G276" t="n">
        <v>2.8</v>
      </c>
      <c r="H276" t="n">
        <v>0</v>
      </c>
      <c r="I276" t="n">
        <v>0</v>
      </c>
      <c r="J276" t="n">
        <v>0</v>
      </c>
      <c r="K276" t="n">
        <v>0</v>
      </c>
      <c r="L276" t="n">
        <v>0</v>
      </c>
      <c r="M276" t="n">
        <v>0</v>
      </c>
      <c r="N276" t="n">
        <v>0</v>
      </c>
      <c r="O276" t="n">
        <v>0</v>
      </c>
      <c r="P276" t="n">
        <v>0</v>
      </c>
      <c r="Q276" t="n">
        <v>0</v>
      </c>
      <c r="R276" s="2" t="inlineStr"/>
    </row>
    <row r="277" ht="15" customHeight="1">
      <c r="A277" t="inlineStr">
        <is>
          <t>A 40436-2022</t>
        </is>
      </c>
      <c r="B277" s="1" t="n">
        <v>44823.48666666666</v>
      </c>
      <c r="C277" s="1" t="n">
        <v>45894</v>
      </c>
      <c r="D277" t="inlineStr">
        <is>
          <t>JÄMTLANDS LÄN</t>
        </is>
      </c>
      <c r="E277" t="inlineStr">
        <is>
          <t>RAGUNDA</t>
        </is>
      </c>
      <c r="G277" t="n">
        <v>3</v>
      </c>
      <c r="H277" t="n">
        <v>0</v>
      </c>
      <c r="I277" t="n">
        <v>0</v>
      </c>
      <c r="J277" t="n">
        <v>0</v>
      </c>
      <c r="K277" t="n">
        <v>0</v>
      </c>
      <c r="L277" t="n">
        <v>0</v>
      </c>
      <c r="M277" t="n">
        <v>0</v>
      </c>
      <c r="N277" t="n">
        <v>0</v>
      </c>
      <c r="O277" t="n">
        <v>0</v>
      </c>
      <c r="P277" t="n">
        <v>0</v>
      </c>
      <c r="Q277" t="n">
        <v>0</v>
      </c>
      <c r="R277" s="2" t="inlineStr"/>
    </row>
    <row r="278" ht="15" customHeight="1">
      <c r="A278" t="inlineStr">
        <is>
          <t>A 15808-2022</t>
        </is>
      </c>
      <c r="B278" s="1" t="n">
        <v>44663</v>
      </c>
      <c r="C278" s="1" t="n">
        <v>45894</v>
      </c>
      <c r="D278" t="inlineStr">
        <is>
          <t>JÄMTLANDS LÄN</t>
        </is>
      </c>
      <c r="E278" t="inlineStr">
        <is>
          <t>RAGUNDA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45894</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52720-2022</t>
        </is>
      </c>
      <c r="B280" s="1" t="n">
        <v>44874.95553240741</v>
      </c>
      <c r="C280" s="1" t="n">
        <v>45894</v>
      </c>
      <c r="D280" t="inlineStr">
        <is>
          <t>JÄMTLANDS LÄN</t>
        </is>
      </c>
      <c r="E280" t="inlineStr">
        <is>
          <t>RAGUNDA</t>
        </is>
      </c>
      <c r="F280" t="inlineStr">
        <is>
          <t>SCA</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32979-2022</t>
        </is>
      </c>
      <c r="B281" s="1" t="n">
        <v>44784.9408912037</v>
      </c>
      <c r="C281" s="1" t="n">
        <v>45894</v>
      </c>
      <c r="D281" t="inlineStr">
        <is>
          <t>JÄMTLANDS LÄN</t>
        </is>
      </c>
      <c r="E281" t="inlineStr">
        <is>
          <t>RAGUNDA</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43794-2022</t>
        </is>
      </c>
      <c r="B282" s="1" t="n">
        <v>44837</v>
      </c>
      <c r="C282" s="1" t="n">
        <v>45894</v>
      </c>
      <c r="D282" t="inlineStr">
        <is>
          <t>JÄMTLANDS LÄN</t>
        </is>
      </c>
      <c r="E282" t="inlineStr">
        <is>
          <t>RAGUNDA</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45894</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45894</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48538-2022</t>
        </is>
      </c>
      <c r="B285" s="1" t="n">
        <v>44858</v>
      </c>
      <c r="C285" s="1" t="n">
        <v>45894</v>
      </c>
      <c r="D285" t="inlineStr">
        <is>
          <t>JÄMTLANDS LÄN</t>
        </is>
      </c>
      <c r="E285" t="inlineStr">
        <is>
          <t>RAGUNDA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45894</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45894</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42899-2020</t>
        </is>
      </c>
      <c r="B288" s="1" t="n">
        <v>44078</v>
      </c>
      <c r="C288" s="1" t="n">
        <v>45894</v>
      </c>
      <c r="D288" t="inlineStr">
        <is>
          <t>JÄMTLANDS LÄN</t>
        </is>
      </c>
      <c r="E288" t="inlineStr">
        <is>
          <t>RAGUNDA</t>
        </is>
      </c>
      <c r="G288" t="n">
        <v>0.6</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45894</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45894</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45894</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45894</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49197-2022</t>
        </is>
      </c>
      <c r="B293" s="1" t="n">
        <v>44860</v>
      </c>
      <c r="C293" s="1" t="n">
        <v>45894</v>
      </c>
      <c r="D293" t="inlineStr">
        <is>
          <t>JÄMTLANDS LÄN</t>
        </is>
      </c>
      <c r="E293" t="inlineStr">
        <is>
          <t>RAGUNDA</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45894</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45894</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45894</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45894</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45894</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45894</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45894</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45894</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45894</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45894</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13571-2021</t>
        </is>
      </c>
      <c r="B304" s="1" t="n">
        <v>44273.92081018518</v>
      </c>
      <c r="C304" s="1" t="n">
        <v>45894</v>
      </c>
      <c r="D304" t="inlineStr">
        <is>
          <t>JÄMTLANDS LÄN</t>
        </is>
      </c>
      <c r="E304" t="inlineStr">
        <is>
          <t>RAGUNDA</t>
        </is>
      </c>
      <c r="G304" t="n">
        <v>1.9</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45894</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45894</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45894</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45894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45894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45894</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45894</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45894</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45894</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45894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45894</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45894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45894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45894</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40742-2020</t>
        </is>
      </c>
      <c r="B319" s="1" t="n">
        <v>44069</v>
      </c>
      <c r="C319" s="1" t="n">
        <v>45894</v>
      </c>
      <c r="D319" t="inlineStr">
        <is>
          <t>JÄMTLANDS LÄN</t>
        </is>
      </c>
      <c r="E319" t="inlineStr">
        <is>
          <t>RAGUNDA</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45894</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45894</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45894</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45894</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45894</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45894</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45894</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45894</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45894</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45894</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45894</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45894</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45894</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45894</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45894</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45894</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45894</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45894</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45894</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20548-2021</t>
        </is>
      </c>
      <c r="B339" s="1" t="n">
        <v>44315</v>
      </c>
      <c r="C339" s="1" t="n">
        <v>45894</v>
      </c>
      <c r="D339" t="inlineStr">
        <is>
          <t>JÄMTLANDS LÄN</t>
        </is>
      </c>
      <c r="E339" t="inlineStr">
        <is>
          <t>RAGUNDA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45894</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44864.94835648148</v>
      </c>
      <c r="C341" s="1" t="n">
        <v>45894</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19595-2021</t>
        </is>
      </c>
      <c r="B342" s="1" t="n">
        <v>44308</v>
      </c>
      <c r="C342" s="1" t="n">
        <v>45894</v>
      </c>
      <c r="D342" t="inlineStr">
        <is>
          <t>JÄMTLANDS LÄN</t>
        </is>
      </c>
      <c r="E342" t="inlineStr">
        <is>
          <t>RAGUNDA</t>
        </is>
      </c>
      <c r="G342" t="n">
        <v>5.4</v>
      </c>
      <c r="H342" t="n">
        <v>0</v>
      </c>
      <c r="I342" t="n">
        <v>0</v>
      </c>
      <c r="J342" t="n">
        <v>0</v>
      </c>
      <c r="K342" t="n">
        <v>0</v>
      </c>
      <c r="L342" t="n">
        <v>0</v>
      </c>
      <c r="M342" t="n">
        <v>0</v>
      </c>
      <c r="N342" t="n">
        <v>0</v>
      </c>
      <c r="O342" t="n">
        <v>0</v>
      </c>
      <c r="P342" t="n">
        <v>0</v>
      </c>
      <c r="Q342" t="n">
        <v>0</v>
      </c>
      <c r="R342" s="2" t="inlineStr"/>
    </row>
    <row r="343" ht="15" customHeight="1">
      <c r="A343" t="inlineStr">
        <is>
          <t>A 42882-2022</t>
        </is>
      </c>
      <c r="B343" s="1" t="n">
        <v>44832.95300925926</v>
      </c>
      <c r="C343" s="1" t="n">
        <v>45894</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42267-2022</t>
        </is>
      </c>
      <c r="B344" s="1" t="n">
        <v>44830</v>
      </c>
      <c r="C344" s="1" t="n">
        <v>45894</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31854-2022</t>
        </is>
      </c>
      <c r="B345" s="1" t="n">
        <v>44776</v>
      </c>
      <c r="C345" s="1" t="n">
        <v>45894</v>
      </c>
      <c r="D345" t="inlineStr">
        <is>
          <t>JÄMTLANDS LÄN</t>
        </is>
      </c>
      <c r="E345" t="inlineStr">
        <is>
          <t>RAGUNDA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57194-2021</t>
        </is>
      </c>
      <c r="B346" s="1" t="n">
        <v>44482.92271990741</v>
      </c>
      <c r="C346" s="1" t="n">
        <v>45894</v>
      </c>
      <c r="D346" t="inlineStr">
        <is>
          <t>JÄMTLANDS LÄN</t>
        </is>
      </c>
      <c r="E346" t="inlineStr">
        <is>
          <t>RAGUNDA</t>
        </is>
      </c>
      <c r="G346" t="n">
        <v>7.3</v>
      </c>
      <c r="H346" t="n">
        <v>0</v>
      </c>
      <c r="I346" t="n">
        <v>0</v>
      </c>
      <c r="J346" t="n">
        <v>0</v>
      </c>
      <c r="K346" t="n">
        <v>0</v>
      </c>
      <c r="L346" t="n">
        <v>0</v>
      </c>
      <c r="M346" t="n">
        <v>0</v>
      </c>
      <c r="N346" t="n">
        <v>0</v>
      </c>
      <c r="O346" t="n">
        <v>0</v>
      </c>
      <c r="P346" t="n">
        <v>0</v>
      </c>
      <c r="Q346" t="n">
        <v>0</v>
      </c>
      <c r="R346" s="2" t="inlineStr"/>
    </row>
    <row r="347" ht="15" customHeight="1">
      <c r="A347" t="inlineStr">
        <is>
          <t>A 47568-2022</t>
        </is>
      </c>
      <c r="B347" s="1" t="n">
        <v>44853.9499537037</v>
      </c>
      <c r="C347" s="1" t="n">
        <v>45894</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65017-2021</t>
        </is>
      </c>
      <c r="B348" s="1" t="n">
        <v>44512</v>
      </c>
      <c r="C348" s="1" t="n">
        <v>45894</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26945-2021</t>
        </is>
      </c>
      <c r="B349" s="1" t="n">
        <v>44349.91995370371</v>
      </c>
      <c r="C349" s="1" t="n">
        <v>45894</v>
      </c>
      <c r="D349" t="inlineStr">
        <is>
          <t>JÄMTLANDS LÄN</t>
        </is>
      </c>
      <c r="E349" t="inlineStr">
        <is>
          <t>RAGUNDA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40829-2022</t>
        </is>
      </c>
      <c r="B350" s="1" t="n">
        <v>44824.94635416667</v>
      </c>
      <c r="C350" s="1" t="n">
        <v>45894</v>
      </c>
      <c r="D350" t="inlineStr">
        <is>
          <t>JÄMTLANDS LÄN</t>
        </is>
      </c>
      <c r="E350" t="inlineStr">
        <is>
          <t>RAGUNDA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45894</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45894</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15664-2022</t>
        </is>
      </c>
      <c r="B353" s="1" t="n">
        <v>44662</v>
      </c>
      <c r="C353" s="1" t="n">
        <v>45894</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46992-2022</t>
        </is>
      </c>
      <c r="B354" s="1" t="n">
        <v>44851.95488425926</v>
      </c>
      <c r="C354" s="1" t="n">
        <v>45894</v>
      </c>
      <c r="D354" t="inlineStr">
        <is>
          <t>JÄMTLANDS LÄN</t>
        </is>
      </c>
      <c r="E354" t="inlineStr">
        <is>
          <t>RAGUNDA</t>
        </is>
      </c>
      <c r="F354" t="inlineStr">
        <is>
          <t>SCA</t>
        </is>
      </c>
      <c r="G354" t="n">
        <v>26.4</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45894</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45894</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34348-2021</t>
        </is>
      </c>
      <c r="B357" s="1" t="n">
        <v>44379</v>
      </c>
      <c r="C357" s="1" t="n">
        <v>45894</v>
      </c>
      <c r="D357" t="inlineStr">
        <is>
          <t>JÄMTLANDS LÄN</t>
        </is>
      </c>
      <c r="E357" t="inlineStr">
        <is>
          <t>RAGUNDA</t>
        </is>
      </c>
      <c r="G357" t="n">
        <v>8.1</v>
      </c>
      <c r="H357" t="n">
        <v>0</v>
      </c>
      <c r="I357" t="n">
        <v>0</v>
      </c>
      <c r="J357" t="n">
        <v>0</v>
      </c>
      <c r="K357" t="n">
        <v>0</v>
      </c>
      <c r="L357" t="n">
        <v>0</v>
      </c>
      <c r="M357" t="n">
        <v>0</v>
      </c>
      <c r="N357" t="n">
        <v>0</v>
      </c>
      <c r="O357" t="n">
        <v>0</v>
      </c>
      <c r="P357" t="n">
        <v>0</v>
      </c>
      <c r="Q357" t="n">
        <v>0</v>
      </c>
      <c r="R357" s="2" t="inlineStr"/>
    </row>
    <row r="358" ht="15" customHeight="1">
      <c r="A358" t="inlineStr">
        <is>
          <t>A 16460-2022</t>
        </is>
      </c>
      <c r="B358" s="1" t="n">
        <v>44671</v>
      </c>
      <c r="C358" s="1" t="n">
        <v>45894</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45894</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42208-2020</t>
        </is>
      </c>
      <c r="B360" s="1" t="n">
        <v>44075</v>
      </c>
      <c r="C360" s="1" t="n">
        <v>45894</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44241-2021</t>
        </is>
      </c>
      <c r="B361" s="1" t="n">
        <v>44434.94517361111</v>
      </c>
      <c r="C361" s="1" t="n">
        <v>45894</v>
      </c>
      <c r="D361" t="inlineStr">
        <is>
          <t>JÄMTLANDS LÄN</t>
        </is>
      </c>
      <c r="E361" t="inlineStr">
        <is>
          <t>RAGUNDA</t>
        </is>
      </c>
      <c r="G361" t="n">
        <v>0.8</v>
      </c>
      <c r="H361" t="n">
        <v>0</v>
      </c>
      <c r="I361" t="n">
        <v>0</v>
      </c>
      <c r="J361" t="n">
        <v>0</v>
      </c>
      <c r="K361" t="n">
        <v>0</v>
      </c>
      <c r="L361" t="n">
        <v>0</v>
      </c>
      <c r="M361" t="n">
        <v>0</v>
      </c>
      <c r="N361" t="n">
        <v>0</v>
      </c>
      <c r="O361" t="n">
        <v>0</v>
      </c>
      <c r="P361" t="n">
        <v>0</v>
      </c>
      <c r="Q361" t="n">
        <v>0</v>
      </c>
      <c r="R361" s="2" t="inlineStr"/>
    </row>
    <row r="362" ht="15" customHeight="1">
      <c r="A362" t="inlineStr">
        <is>
          <t>A 41346-2020</t>
        </is>
      </c>
      <c r="B362" s="1" t="n">
        <v>44071</v>
      </c>
      <c r="C362" s="1" t="n">
        <v>45894</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21195-2022</t>
        </is>
      </c>
      <c r="B363" s="1" t="n">
        <v>44704.94229166667</v>
      </c>
      <c r="C363" s="1" t="n">
        <v>45894</v>
      </c>
      <c r="D363" t="inlineStr">
        <is>
          <t>JÄMTLANDS LÄN</t>
        </is>
      </c>
      <c r="E363" t="inlineStr">
        <is>
          <t>RAGUNDA</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49531-2022</t>
        </is>
      </c>
      <c r="B364" s="1" t="n">
        <v>44861</v>
      </c>
      <c r="C364" s="1" t="n">
        <v>45894</v>
      </c>
      <c r="D364" t="inlineStr">
        <is>
          <t>JÄMTLANDS LÄN</t>
        </is>
      </c>
      <c r="E364" t="inlineStr">
        <is>
          <t>RAGUNDA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45894</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25253-2022</t>
        </is>
      </c>
      <c r="B366" s="1" t="n">
        <v>44729.94136574074</v>
      </c>
      <c r="C366" s="1" t="n">
        <v>45894</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45894</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31972-2022</t>
        </is>
      </c>
      <c r="B368" s="1" t="n">
        <v>44777.95504629629</v>
      </c>
      <c r="C368" s="1" t="n">
        <v>45894</v>
      </c>
      <c r="D368" t="inlineStr">
        <is>
          <t>JÄMTLANDS LÄN</t>
        </is>
      </c>
      <c r="E368" t="inlineStr">
        <is>
          <t>RAGUNDA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48086-2022</t>
        </is>
      </c>
      <c r="B369" s="1" t="n">
        <v>44855.9471875</v>
      </c>
      <c r="C369" s="1" t="n">
        <v>45894</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45894</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57246-2020</t>
        </is>
      </c>
      <c r="B371" s="1" t="n">
        <v>44138</v>
      </c>
      <c r="C371" s="1" t="n">
        <v>45894</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40213-2021</t>
        </is>
      </c>
      <c r="B372" s="1" t="n">
        <v>44418.9369212963</v>
      </c>
      <c r="C372" s="1" t="n">
        <v>45894</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45894</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41875-2020</t>
        </is>
      </c>
      <c r="B374" s="1" t="n">
        <v>44074</v>
      </c>
      <c r="C374" s="1" t="n">
        <v>45894</v>
      </c>
      <c r="D374" t="inlineStr">
        <is>
          <t>JÄMTLANDS LÄN</t>
        </is>
      </c>
      <c r="E374" t="inlineStr">
        <is>
          <t>RAGUNDA</t>
        </is>
      </c>
      <c r="F374" t="inlineStr">
        <is>
          <t>Naturvårdsverket</t>
        </is>
      </c>
      <c r="G374" t="n">
        <v>3.3</v>
      </c>
      <c r="H374" t="n">
        <v>0</v>
      </c>
      <c r="I374" t="n">
        <v>0</v>
      </c>
      <c r="J374" t="n">
        <v>0</v>
      </c>
      <c r="K374" t="n">
        <v>0</v>
      </c>
      <c r="L374" t="n">
        <v>0</v>
      </c>
      <c r="M374" t="n">
        <v>0</v>
      </c>
      <c r="N374" t="n">
        <v>0</v>
      </c>
      <c r="O374" t="n">
        <v>0</v>
      </c>
      <c r="P374" t="n">
        <v>0</v>
      </c>
      <c r="Q374" t="n">
        <v>0</v>
      </c>
      <c r="R374" s="2" t="inlineStr"/>
    </row>
    <row r="375" ht="15" customHeight="1">
      <c r="A375" t="inlineStr">
        <is>
          <t>A 41887-2020</t>
        </is>
      </c>
      <c r="B375" s="1" t="n">
        <v>44074</v>
      </c>
      <c r="C375" s="1" t="n">
        <v>45894</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45894</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44463.94077546296</v>
      </c>
      <c r="C377" s="1" t="n">
        <v>45894</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33279-2022</t>
        </is>
      </c>
      <c r="B378" s="1" t="n">
        <v>44788</v>
      </c>
      <c r="C378" s="1" t="n">
        <v>45894</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47567-2022</t>
        </is>
      </c>
      <c r="B379" s="1" t="n">
        <v>44853</v>
      </c>
      <c r="C379" s="1" t="n">
        <v>45894</v>
      </c>
      <c r="D379" t="inlineStr">
        <is>
          <t>JÄMTLANDS LÄN</t>
        </is>
      </c>
      <c r="E379" t="inlineStr">
        <is>
          <t>RAGUNDA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43040-2021</t>
        </is>
      </c>
      <c r="B380" s="1" t="n">
        <v>44431</v>
      </c>
      <c r="C380" s="1" t="n">
        <v>45894</v>
      </c>
      <c r="D380" t="inlineStr">
        <is>
          <t>JÄMTLANDS LÄN</t>
        </is>
      </c>
      <c r="E380" t="inlineStr">
        <is>
          <t>RAGUNDA</t>
        </is>
      </c>
      <c r="G380" t="n">
        <v>4.9</v>
      </c>
      <c r="H380" t="n">
        <v>0</v>
      </c>
      <c r="I380" t="n">
        <v>0</v>
      </c>
      <c r="J380" t="n">
        <v>0</v>
      </c>
      <c r="K380" t="n">
        <v>0</v>
      </c>
      <c r="L380" t="n">
        <v>0</v>
      </c>
      <c r="M380" t="n">
        <v>0</v>
      </c>
      <c r="N380" t="n">
        <v>0</v>
      </c>
      <c r="O380" t="n">
        <v>0</v>
      </c>
      <c r="P380" t="n">
        <v>0</v>
      </c>
      <c r="Q380" t="n">
        <v>0</v>
      </c>
      <c r="R380" s="2" t="inlineStr"/>
    </row>
    <row r="381" ht="15" customHeight="1">
      <c r="A381" t="inlineStr">
        <is>
          <t>A 9187-2022</t>
        </is>
      </c>
      <c r="B381" s="1" t="n">
        <v>44615</v>
      </c>
      <c r="C381" s="1" t="n">
        <v>45894</v>
      </c>
      <c r="D381" t="inlineStr">
        <is>
          <t>JÄMTLANDS LÄN</t>
        </is>
      </c>
      <c r="E381" t="inlineStr">
        <is>
          <t>RAGUNDA</t>
        </is>
      </c>
      <c r="G381" t="n">
        <v>2</v>
      </c>
      <c r="H381" t="n">
        <v>0</v>
      </c>
      <c r="I381" t="n">
        <v>0</v>
      </c>
      <c r="J381" t="n">
        <v>0</v>
      </c>
      <c r="K381" t="n">
        <v>0</v>
      </c>
      <c r="L381" t="n">
        <v>0</v>
      </c>
      <c r="M381" t="n">
        <v>0</v>
      </c>
      <c r="N381" t="n">
        <v>0</v>
      </c>
      <c r="O381" t="n">
        <v>0</v>
      </c>
      <c r="P381" t="n">
        <v>0</v>
      </c>
      <c r="Q381" t="n">
        <v>0</v>
      </c>
      <c r="R381" s="2" t="inlineStr"/>
    </row>
    <row r="382" ht="15" customHeight="1">
      <c r="A382" t="inlineStr">
        <is>
          <t>A 57713-2020</t>
        </is>
      </c>
      <c r="B382" s="1" t="n">
        <v>44140</v>
      </c>
      <c r="C382" s="1" t="n">
        <v>45894</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45894</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57730-2020</t>
        </is>
      </c>
      <c r="B384" s="1" t="n">
        <v>44140</v>
      </c>
      <c r="C384" s="1" t="n">
        <v>45894</v>
      </c>
      <c r="D384" t="inlineStr">
        <is>
          <t>JÄMTLANDS LÄN</t>
        </is>
      </c>
      <c r="E384" t="inlineStr">
        <is>
          <t>RAGUNDA</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45894</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35749-2022</t>
        </is>
      </c>
      <c r="B386" s="1" t="n">
        <v>44799.94394675926</v>
      </c>
      <c r="C386" s="1" t="n">
        <v>45894</v>
      </c>
      <c r="D386" t="inlineStr">
        <is>
          <t>JÄMTLANDS LÄN</t>
        </is>
      </c>
      <c r="E386" t="inlineStr">
        <is>
          <t>RAGUNDA</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45894</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1858-2022</t>
        </is>
      </c>
      <c r="B388" s="1" t="n">
        <v>44574</v>
      </c>
      <c r="C388" s="1" t="n">
        <v>45894</v>
      </c>
      <c r="D388" t="inlineStr">
        <is>
          <t>JÄMTLANDS LÄN</t>
        </is>
      </c>
      <c r="E388" t="inlineStr">
        <is>
          <t>RAGUNDA</t>
        </is>
      </c>
      <c r="G388" t="n">
        <v>5.7</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45894</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54836-2022</t>
        </is>
      </c>
      <c r="B390" s="1" t="n">
        <v>44883.94918981481</v>
      </c>
      <c r="C390" s="1" t="n">
        <v>45894</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53522-2020</t>
        </is>
      </c>
      <c r="B391" s="1" t="n">
        <v>44124</v>
      </c>
      <c r="C391" s="1" t="n">
        <v>45894</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45894</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58984-2021</t>
        </is>
      </c>
      <c r="B393" s="1" t="n">
        <v>44489.94711805556</v>
      </c>
      <c r="C393" s="1" t="n">
        <v>45894</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45894</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44068.62614583333</v>
      </c>
      <c r="C395" s="1" t="n">
        <v>45894</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40978-2022</t>
        </is>
      </c>
      <c r="B396" s="1" t="n">
        <v>44823</v>
      </c>
      <c r="C396" s="1" t="n">
        <v>45894</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45894</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24741-2022</t>
        </is>
      </c>
      <c r="B398" s="1" t="n">
        <v>44727</v>
      </c>
      <c r="C398" s="1" t="n">
        <v>45894</v>
      </c>
      <c r="D398" t="inlineStr">
        <is>
          <t>JÄMTLANDS LÄN</t>
        </is>
      </c>
      <c r="E398" t="inlineStr">
        <is>
          <t>RAGUNDA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45894</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32288-2022</t>
        </is>
      </c>
      <c r="B400" s="1" t="n">
        <v>44781</v>
      </c>
      <c r="C400" s="1" t="n">
        <v>45894</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48536-2022</t>
        </is>
      </c>
      <c r="B401" s="1" t="n">
        <v>44858</v>
      </c>
      <c r="C401" s="1" t="n">
        <v>45894</v>
      </c>
      <c r="D401" t="inlineStr">
        <is>
          <t>JÄMTLANDS LÄN</t>
        </is>
      </c>
      <c r="E401" t="inlineStr">
        <is>
          <t>RAGUNDA</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41613-2021</t>
        </is>
      </c>
      <c r="B402" s="1" t="n">
        <v>44425</v>
      </c>
      <c r="C402" s="1" t="n">
        <v>45894</v>
      </c>
      <c r="D402" t="inlineStr">
        <is>
          <t>JÄMTLANDS LÄN</t>
        </is>
      </c>
      <c r="E402" t="inlineStr">
        <is>
          <t>RAGUNDA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47803-2022</t>
        </is>
      </c>
      <c r="B403" s="1" t="n">
        <v>44854.95390046296</v>
      </c>
      <c r="C403" s="1" t="n">
        <v>45894</v>
      </c>
      <c r="D403" t="inlineStr">
        <is>
          <t>JÄMTLANDS LÄN</t>
        </is>
      </c>
      <c r="E403" t="inlineStr">
        <is>
          <t>RAGUNDA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45894</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45894</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42652-2022</t>
        </is>
      </c>
      <c r="B406" s="1" t="n">
        <v>44831.94846064815</v>
      </c>
      <c r="C406" s="1" t="n">
        <v>45894</v>
      </c>
      <c r="D406" t="inlineStr">
        <is>
          <t>JÄMTLANDS LÄN</t>
        </is>
      </c>
      <c r="E406" t="inlineStr">
        <is>
          <t>RAGUNDA</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42653-2022</t>
        </is>
      </c>
      <c r="B407" s="1" t="n">
        <v>44831.9485300926</v>
      </c>
      <c r="C407" s="1" t="n">
        <v>45894</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32986-2022</t>
        </is>
      </c>
      <c r="B408" s="1" t="n">
        <v>44784.94157407407</v>
      </c>
      <c r="C408" s="1" t="n">
        <v>45894</v>
      </c>
      <c r="D408" t="inlineStr">
        <is>
          <t>JÄMTLANDS LÄN</t>
        </is>
      </c>
      <c r="E408" t="inlineStr">
        <is>
          <t>RAGUNDA</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45894</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45894</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45894</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26942-2021</t>
        </is>
      </c>
      <c r="B412" s="1" t="n">
        <v>44349.91978009259</v>
      </c>
      <c r="C412" s="1" t="n">
        <v>45894</v>
      </c>
      <c r="D412" t="inlineStr">
        <is>
          <t>JÄMTLANDS LÄN</t>
        </is>
      </c>
      <c r="E412" t="inlineStr">
        <is>
          <t>RAGUNDA</t>
        </is>
      </c>
      <c r="G412" t="n">
        <v>6.2</v>
      </c>
      <c r="H412" t="n">
        <v>0</v>
      </c>
      <c r="I412" t="n">
        <v>0</v>
      </c>
      <c r="J412" t="n">
        <v>0</v>
      </c>
      <c r="K412" t="n">
        <v>0</v>
      </c>
      <c r="L412" t="n">
        <v>0</v>
      </c>
      <c r="M412" t="n">
        <v>0</v>
      </c>
      <c r="N412" t="n">
        <v>0</v>
      </c>
      <c r="O412" t="n">
        <v>0</v>
      </c>
      <c r="P412" t="n">
        <v>0</v>
      </c>
      <c r="Q412" t="n">
        <v>0</v>
      </c>
      <c r="R412" s="2" t="inlineStr"/>
    </row>
    <row r="413" ht="15" customHeight="1">
      <c r="A413" t="inlineStr">
        <is>
          <t>A 29409-2021</t>
        </is>
      </c>
      <c r="B413" s="1" t="n">
        <v>44361.55445601852</v>
      </c>
      <c r="C413" s="1" t="n">
        <v>45894</v>
      </c>
      <c r="D413" t="inlineStr">
        <is>
          <t>JÄMTLANDS LÄN</t>
        </is>
      </c>
      <c r="E413" t="inlineStr">
        <is>
          <t>RAGUNDA</t>
        </is>
      </c>
      <c r="G413" t="n">
        <v>0.3</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45894</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37806-2021</t>
        </is>
      </c>
      <c r="B415" s="1" t="n">
        <v>44402.42243055555</v>
      </c>
      <c r="C415" s="1" t="n">
        <v>45894</v>
      </c>
      <c r="D415" t="inlineStr">
        <is>
          <t>JÄMTLANDS LÄN</t>
        </is>
      </c>
      <c r="E415" t="inlineStr">
        <is>
          <t>RAGUNDA</t>
        </is>
      </c>
      <c r="G415" t="n">
        <v>0.3</v>
      </c>
      <c r="H415" t="n">
        <v>0</v>
      </c>
      <c r="I415" t="n">
        <v>0</v>
      </c>
      <c r="J415" t="n">
        <v>0</v>
      </c>
      <c r="K415" t="n">
        <v>0</v>
      </c>
      <c r="L415" t="n">
        <v>0</v>
      </c>
      <c r="M415" t="n">
        <v>0</v>
      </c>
      <c r="N415" t="n">
        <v>0</v>
      </c>
      <c r="O415" t="n">
        <v>0</v>
      </c>
      <c r="P415" t="n">
        <v>0</v>
      </c>
      <c r="Q415" t="n">
        <v>0</v>
      </c>
      <c r="R415" s="2" t="inlineStr"/>
    </row>
    <row r="416" ht="15" customHeight="1">
      <c r="A416" t="inlineStr">
        <is>
          <t>A 4212-2024</t>
        </is>
      </c>
      <c r="B416" s="1" t="n">
        <v>45324</v>
      </c>
      <c r="C416" s="1" t="n">
        <v>45894</v>
      </c>
      <c r="D416" t="inlineStr">
        <is>
          <t>JÄMTLANDS LÄN</t>
        </is>
      </c>
      <c r="E416" t="inlineStr">
        <is>
          <t>RAGUNDA</t>
        </is>
      </c>
      <c r="G416" t="n">
        <v>2</v>
      </c>
      <c r="H416" t="n">
        <v>0</v>
      </c>
      <c r="I416" t="n">
        <v>0</v>
      </c>
      <c r="J416" t="n">
        <v>0</v>
      </c>
      <c r="K416" t="n">
        <v>0</v>
      </c>
      <c r="L416" t="n">
        <v>0</v>
      </c>
      <c r="M416" t="n">
        <v>0</v>
      </c>
      <c r="N416" t="n">
        <v>0</v>
      </c>
      <c r="O416" t="n">
        <v>0</v>
      </c>
      <c r="P416" t="n">
        <v>0</v>
      </c>
      <c r="Q416" t="n">
        <v>0</v>
      </c>
      <c r="R416" s="2" t="inlineStr"/>
    </row>
    <row r="417" ht="15" customHeight="1">
      <c r="A417" t="inlineStr">
        <is>
          <t>A 25027-2022</t>
        </is>
      </c>
      <c r="B417" s="1" t="n">
        <v>44728.94392361111</v>
      </c>
      <c r="C417" s="1" t="n">
        <v>45894</v>
      </c>
      <c r="D417" t="inlineStr">
        <is>
          <t>JÄMTLANDS LÄN</t>
        </is>
      </c>
      <c r="E417" t="inlineStr">
        <is>
          <t>RAGUNDA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45894</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9262-2025</t>
        </is>
      </c>
      <c r="B419" s="1" t="n">
        <v>45714.60649305556</v>
      </c>
      <c r="C419" s="1" t="n">
        <v>45894</v>
      </c>
      <c r="D419" t="inlineStr">
        <is>
          <t>JÄMTLANDS LÄN</t>
        </is>
      </c>
      <c r="E419" t="inlineStr">
        <is>
          <t>RAGUNDA</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14896-2022</t>
        </is>
      </c>
      <c r="B420" s="1" t="n">
        <v>44656</v>
      </c>
      <c r="C420" s="1" t="n">
        <v>45894</v>
      </c>
      <c r="D420" t="inlineStr">
        <is>
          <t>JÄMTLANDS LÄN</t>
        </is>
      </c>
      <c r="E420" t="inlineStr">
        <is>
          <t>RAGUNDA</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46546-2023</t>
        </is>
      </c>
      <c r="B421" s="1" t="n">
        <v>45197.94152777778</v>
      </c>
      <c r="C421" s="1" t="n">
        <v>45894</v>
      </c>
      <c r="D421" t="inlineStr">
        <is>
          <t>JÄMTLANDS LÄN</t>
        </is>
      </c>
      <c r="E421" t="inlineStr">
        <is>
          <t>RAGUNDA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20574-2025</t>
        </is>
      </c>
      <c r="B422" s="1" t="n">
        <v>45775.67747685185</v>
      </c>
      <c r="C422" s="1" t="n">
        <v>45894</v>
      </c>
      <c r="D422" t="inlineStr">
        <is>
          <t>JÄMTLANDS LÄN</t>
        </is>
      </c>
      <c r="E422" t="inlineStr">
        <is>
          <t>RAGUNDA</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19865-2023</t>
        </is>
      </c>
      <c r="B423" s="1" t="n">
        <v>45053.94305555556</v>
      </c>
      <c r="C423" s="1" t="n">
        <v>45894</v>
      </c>
      <c r="D423" t="inlineStr">
        <is>
          <t>JÄMTLANDS LÄN</t>
        </is>
      </c>
      <c r="E423" t="inlineStr">
        <is>
          <t>RAGUNDA</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28597-2021</t>
        </is>
      </c>
      <c r="B424" s="1" t="n">
        <v>44356.91935185185</v>
      </c>
      <c r="C424" s="1" t="n">
        <v>45894</v>
      </c>
      <c r="D424" t="inlineStr">
        <is>
          <t>JÄMTLANDS LÄN</t>
        </is>
      </c>
      <c r="E424" t="inlineStr">
        <is>
          <t>RAGUNDA</t>
        </is>
      </c>
      <c r="G424" t="n">
        <v>3.1</v>
      </c>
      <c r="H424" t="n">
        <v>0</v>
      </c>
      <c r="I424" t="n">
        <v>0</v>
      </c>
      <c r="J424" t="n">
        <v>0</v>
      </c>
      <c r="K424" t="n">
        <v>0</v>
      </c>
      <c r="L424" t="n">
        <v>0</v>
      </c>
      <c r="M424" t="n">
        <v>0</v>
      </c>
      <c r="N424" t="n">
        <v>0</v>
      </c>
      <c r="O424" t="n">
        <v>0</v>
      </c>
      <c r="P424" t="n">
        <v>0</v>
      </c>
      <c r="Q424" t="n">
        <v>0</v>
      </c>
      <c r="R424" s="2" t="inlineStr"/>
    </row>
    <row r="425" ht="15" customHeight="1">
      <c r="A425" t="inlineStr">
        <is>
          <t>A 58537-2022</t>
        </is>
      </c>
      <c r="B425" s="1" t="n">
        <v>44894</v>
      </c>
      <c r="C425" s="1" t="n">
        <v>45894</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35153-2024</t>
        </is>
      </c>
      <c r="B426" s="1" t="n">
        <v>45530</v>
      </c>
      <c r="C426" s="1" t="n">
        <v>45894</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36246-2024</t>
        </is>
      </c>
      <c r="B427" s="1" t="n">
        <v>45534</v>
      </c>
      <c r="C427" s="1" t="n">
        <v>45894</v>
      </c>
      <c r="D427" t="inlineStr">
        <is>
          <t>JÄMTLANDS LÄN</t>
        </is>
      </c>
      <c r="E427" t="inlineStr">
        <is>
          <t>RAGUNDA</t>
        </is>
      </c>
      <c r="G427" t="n">
        <v>1.6</v>
      </c>
      <c r="H427" t="n">
        <v>0</v>
      </c>
      <c r="I427" t="n">
        <v>0</v>
      </c>
      <c r="J427" t="n">
        <v>0</v>
      </c>
      <c r="K427" t="n">
        <v>0</v>
      </c>
      <c r="L427" t="n">
        <v>0</v>
      </c>
      <c r="M427" t="n">
        <v>0</v>
      </c>
      <c r="N427" t="n">
        <v>0</v>
      </c>
      <c r="O427" t="n">
        <v>0</v>
      </c>
      <c r="P427" t="n">
        <v>0</v>
      </c>
      <c r="Q427" t="n">
        <v>0</v>
      </c>
      <c r="R427" s="2" t="inlineStr"/>
    </row>
    <row r="428" ht="15" customHeight="1">
      <c r="A428" t="inlineStr">
        <is>
          <t>A 24196-2024</t>
        </is>
      </c>
      <c r="B428" s="1" t="n">
        <v>45456.96569444444</v>
      </c>
      <c r="C428" s="1" t="n">
        <v>45894</v>
      </c>
      <c r="D428" t="inlineStr">
        <is>
          <t>JÄMTLANDS LÄN</t>
        </is>
      </c>
      <c r="E428" t="inlineStr">
        <is>
          <t>RAGUNDA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11558-2023</t>
        </is>
      </c>
      <c r="B429" s="1" t="n">
        <v>44993.94958333333</v>
      </c>
      <c r="C429" s="1" t="n">
        <v>45894</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60012-2023</t>
        </is>
      </c>
      <c r="B430" s="1" t="n">
        <v>45257</v>
      </c>
      <c r="C430" s="1" t="n">
        <v>45894</v>
      </c>
      <c r="D430" t="inlineStr">
        <is>
          <t>JÄMTLANDS LÄN</t>
        </is>
      </c>
      <c r="E430" t="inlineStr">
        <is>
          <t>RAGUNDA</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53676-2022</t>
        </is>
      </c>
      <c r="B431" s="1" t="n">
        <v>44879</v>
      </c>
      <c r="C431" s="1" t="n">
        <v>45894</v>
      </c>
      <c r="D431" t="inlineStr">
        <is>
          <t>JÄMTLANDS LÄN</t>
        </is>
      </c>
      <c r="E431" t="inlineStr">
        <is>
          <t>RAGUNDA</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564-2025</t>
        </is>
      </c>
      <c r="B432" s="1" t="n">
        <v>45664.55241898148</v>
      </c>
      <c r="C432" s="1" t="n">
        <v>45894</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44630-2023</t>
        </is>
      </c>
      <c r="B433" s="1" t="n">
        <v>45184</v>
      </c>
      <c r="C433" s="1" t="n">
        <v>45894</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50555-2024</t>
        </is>
      </c>
      <c r="B434" s="1" t="n">
        <v>45601.59518518519</v>
      </c>
      <c r="C434" s="1" t="n">
        <v>45894</v>
      </c>
      <c r="D434" t="inlineStr">
        <is>
          <t>JÄMTLANDS LÄN</t>
        </is>
      </c>
      <c r="E434" t="inlineStr">
        <is>
          <t>RAGUNDA</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56504-2024</t>
        </is>
      </c>
      <c r="B435" s="1" t="n">
        <v>45625.51068287037</v>
      </c>
      <c r="C435" s="1" t="n">
        <v>45894</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59658-2023</t>
        </is>
      </c>
      <c r="B436" s="1" t="n">
        <v>45254.96402777778</v>
      </c>
      <c r="C436" s="1" t="n">
        <v>45894</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934-2023</t>
        </is>
      </c>
      <c r="B437" s="1" t="n">
        <v>44932.93927083333</v>
      </c>
      <c r="C437" s="1" t="n">
        <v>45894</v>
      </c>
      <c r="D437" t="inlineStr">
        <is>
          <t>JÄMTLANDS LÄN</t>
        </is>
      </c>
      <c r="E437" t="inlineStr">
        <is>
          <t>RAGUNDA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36106-2022</t>
        </is>
      </c>
      <c r="B438" s="1" t="n">
        <v>44802.94811342593</v>
      </c>
      <c r="C438" s="1" t="n">
        <v>45894</v>
      </c>
      <c r="D438" t="inlineStr">
        <is>
          <t>JÄMTLANDS LÄN</t>
        </is>
      </c>
      <c r="E438" t="inlineStr">
        <is>
          <t>RAGUNDA</t>
        </is>
      </c>
      <c r="F438" t="inlineStr">
        <is>
          <t>SCA</t>
        </is>
      </c>
      <c r="G438" t="n">
        <v>7.3</v>
      </c>
      <c r="H438" t="n">
        <v>0</v>
      </c>
      <c r="I438" t="n">
        <v>0</v>
      </c>
      <c r="J438" t="n">
        <v>0</v>
      </c>
      <c r="K438" t="n">
        <v>0</v>
      </c>
      <c r="L438" t="n">
        <v>0</v>
      </c>
      <c r="M438" t="n">
        <v>0</v>
      </c>
      <c r="N438" t="n">
        <v>0</v>
      </c>
      <c r="O438" t="n">
        <v>0</v>
      </c>
      <c r="P438" t="n">
        <v>0</v>
      </c>
      <c r="Q438" t="n">
        <v>0</v>
      </c>
      <c r="R438" s="2" t="inlineStr"/>
    </row>
    <row r="439" ht="15" customHeight="1">
      <c r="A439" t="inlineStr">
        <is>
          <t>A 57839-2022</t>
        </is>
      </c>
      <c r="B439" s="1" t="n">
        <v>44897</v>
      </c>
      <c r="C439" s="1" t="n">
        <v>45894</v>
      </c>
      <c r="D439" t="inlineStr">
        <is>
          <t>JÄMTLANDS LÄN</t>
        </is>
      </c>
      <c r="E439" t="inlineStr">
        <is>
          <t>RAGUNDA</t>
        </is>
      </c>
      <c r="F439" t="inlineStr">
        <is>
          <t>SCA</t>
        </is>
      </c>
      <c r="G439" t="n">
        <v>8.5</v>
      </c>
      <c r="H439" t="n">
        <v>0</v>
      </c>
      <c r="I439" t="n">
        <v>0</v>
      </c>
      <c r="J439" t="n">
        <v>0</v>
      </c>
      <c r="K439" t="n">
        <v>0</v>
      </c>
      <c r="L439" t="n">
        <v>0</v>
      </c>
      <c r="M439" t="n">
        <v>0</v>
      </c>
      <c r="N439" t="n">
        <v>0</v>
      </c>
      <c r="O439" t="n">
        <v>0</v>
      </c>
      <c r="P439" t="n">
        <v>0</v>
      </c>
      <c r="Q439" t="n">
        <v>0</v>
      </c>
      <c r="R439" s="2" t="inlineStr"/>
    </row>
    <row r="440" ht="15" customHeight="1">
      <c r="A440" t="inlineStr">
        <is>
          <t>A 49649-2024</t>
        </is>
      </c>
      <c r="B440" s="1" t="n">
        <v>45596.61553240741</v>
      </c>
      <c r="C440" s="1" t="n">
        <v>45894</v>
      </c>
      <c r="D440" t="inlineStr">
        <is>
          <t>JÄMTLANDS LÄN</t>
        </is>
      </c>
      <c r="E440" t="inlineStr">
        <is>
          <t>RAGUNDA</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41693-2023</t>
        </is>
      </c>
      <c r="B441" s="1" t="n">
        <v>45176</v>
      </c>
      <c r="C441" s="1" t="n">
        <v>45894</v>
      </c>
      <c r="D441" t="inlineStr">
        <is>
          <t>JÄMTLANDS LÄN</t>
        </is>
      </c>
      <c r="E441" t="inlineStr">
        <is>
          <t>RAGUNDA</t>
        </is>
      </c>
      <c r="G441" t="n">
        <v>5.5</v>
      </c>
      <c r="H441" t="n">
        <v>0</v>
      </c>
      <c r="I441" t="n">
        <v>0</v>
      </c>
      <c r="J441" t="n">
        <v>0</v>
      </c>
      <c r="K441" t="n">
        <v>0</v>
      </c>
      <c r="L441" t="n">
        <v>0</v>
      </c>
      <c r="M441" t="n">
        <v>0</v>
      </c>
      <c r="N441" t="n">
        <v>0</v>
      </c>
      <c r="O441" t="n">
        <v>0</v>
      </c>
      <c r="P441" t="n">
        <v>0</v>
      </c>
      <c r="Q441" t="n">
        <v>0</v>
      </c>
      <c r="R441" s="2" t="inlineStr"/>
    </row>
    <row r="442" ht="15" customHeight="1">
      <c r="A442" t="inlineStr">
        <is>
          <t>A 2831-2024</t>
        </is>
      </c>
      <c r="B442" s="1" t="n">
        <v>45314.92758101852</v>
      </c>
      <c r="C442" s="1" t="n">
        <v>45894</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14156-2024</t>
        </is>
      </c>
      <c r="B443" s="1" t="n">
        <v>45392</v>
      </c>
      <c r="C443" s="1" t="n">
        <v>45894</v>
      </c>
      <c r="D443" t="inlineStr">
        <is>
          <t>JÄMTLANDS LÄN</t>
        </is>
      </c>
      <c r="E443" t="inlineStr">
        <is>
          <t>RAGUNDA</t>
        </is>
      </c>
      <c r="G443" t="n">
        <v>0.6</v>
      </c>
      <c r="H443" t="n">
        <v>0</v>
      </c>
      <c r="I443" t="n">
        <v>0</v>
      </c>
      <c r="J443" t="n">
        <v>0</v>
      </c>
      <c r="K443" t="n">
        <v>0</v>
      </c>
      <c r="L443" t="n">
        <v>0</v>
      </c>
      <c r="M443" t="n">
        <v>0</v>
      </c>
      <c r="N443" t="n">
        <v>0</v>
      </c>
      <c r="O443" t="n">
        <v>0</v>
      </c>
      <c r="P443" t="n">
        <v>0</v>
      </c>
      <c r="Q443" t="n">
        <v>0</v>
      </c>
      <c r="R443" s="2" t="inlineStr"/>
    </row>
    <row r="444" ht="15" customHeight="1">
      <c r="A444" t="inlineStr">
        <is>
          <t>A 14157-2024</t>
        </is>
      </c>
      <c r="B444" s="1" t="n">
        <v>45392.92903935185</v>
      </c>
      <c r="C444" s="1" t="n">
        <v>45894</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53678-2022</t>
        </is>
      </c>
      <c r="B445" s="1" t="n">
        <v>44879.95768518518</v>
      </c>
      <c r="C445" s="1" t="n">
        <v>45894</v>
      </c>
      <c r="D445" t="inlineStr">
        <is>
          <t>JÄMTLANDS LÄN</t>
        </is>
      </c>
      <c r="E445" t="inlineStr">
        <is>
          <t>RAGUNDA</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12024-2022</t>
        </is>
      </c>
      <c r="B446" s="1" t="n">
        <v>44635</v>
      </c>
      <c r="C446" s="1" t="n">
        <v>45894</v>
      </c>
      <c r="D446" t="inlineStr">
        <is>
          <t>JÄMTLANDS LÄN</t>
        </is>
      </c>
      <c r="E446" t="inlineStr">
        <is>
          <t>RAGUNDA</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53740-2024</t>
        </is>
      </c>
      <c r="B447" s="1" t="n">
        <v>45615.47091435185</v>
      </c>
      <c r="C447" s="1" t="n">
        <v>45894</v>
      </c>
      <c r="D447" t="inlineStr">
        <is>
          <t>JÄMTLANDS LÄN</t>
        </is>
      </c>
      <c r="E447" t="inlineStr">
        <is>
          <t>RAGUNDA</t>
        </is>
      </c>
      <c r="G447" t="n">
        <v>2.7</v>
      </c>
      <c r="H447" t="n">
        <v>0</v>
      </c>
      <c r="I447" t="n">
        <v>0</v>
      </c>
      <c r="J447" t="n">
        <v>0</v>
      </c>
      <c r="K447" t="n">
        <v>0</v>
      </c>
      <c r="L447" t="n">
        <v>0</v>
      </c>
      <c r="M447" t="n">
        <v>0</v>
      </c>
      <c r="N447" t="n">
        <v>0</v>
      </c>
      <c r="O447" t="n">
        <v>0</v>
      </c>
      <c r="P447" t="n">
        <v>0</v>
      </c>
      <c r="Q447" t="n">
        <v>0</v>
      </c>
      <c r="R447" s="2" t="inlineStr"/>
    </row>
    <row r="448" ht="15" customHeight="1">
      <c r="A448" t="inlineStr">
        <is>
          <t>A 59372-2024</t>
        </is>
      </c>
      <c r="B448" s="1" t="n">
        <v>45638.34431712963</v>
      </c>
      <c r="C448" s="1" t="n">
        <v>45894</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23305-2023</t>
        </is>
      </c>
      <c r="B449" s="1" t="n">
        <v>45075.94506944445</v>
      </c>
      <c r="C449" s="1" t="n">
        <v>45894</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20088-2023</t>
        </is>
      </c>
      <c r="B450" s="1" t="n">
        <v>45054</v>
      </c>
      <c r="C450" s="1" t="n">
        <v>45894</v>
      </c>
      <c r="D450" t="inlineStr">
        <is>
          <t>JÄMTLANDS LÄN</t>
        </is>
      </c>
      <c r="E450" t="inlineStr">
        <is>
          <t>RAGUNDA</t>
        </is>
      </c>
      <c r="F450" t="inlineStr">
        <is>
          <t>SCA</t>
        </is>
      </c>
      <c r="G450" t="n">
        <v>23.4</v>
      </c>
      <c r="H450" t="n">
        <v>0</v>
      </c>
      <c r="I450" t="n">
        <v>0</v>
      </c>
      <c r="J450" t="n">
        <v>0</v>
      </c>
      <c r="K450" t="n">
        <v>0</v>
      </c>
      <c r="L450" t="n">
        <v>0</v>
      </c>
      <c r="M450" t="n">
        <v>0</v>
      </c>
      <c r="N450" t="n">
        <v>0</v>
      </c>
      <c r="O450" t="n">
        <v>0</v>
      </c>
      <c r="P450" t="n">
        <v>0</v>
      </c>
      <c r="Q450" t="n">
        <v>0</v>
      </c>
      <c r="R450" s="2" t="inlineStr"/>
    </row>
    <row r="451" ht="15" customHeight="1">
      <c r="A451" t="inlineStr">
        <is>
          <t>A 18194-2025</t>
        </is>
      </c>
      <c r="B451" s="1" t="n">
        <v>45761.67744212963</v>
      </c>
      <c r="C451" s="1" t="n">
        <v>45894</v>
      </c>
      <c r="D451" t="inlineStr">
        <is>
          <t>JÄMTLANDS LÄN</t>
        </is>
      </c>
      <c r="E451" t="inlineStr">
        <is>
          <t>RAGUNDA</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18225-2024</t>
        </is>
      </c>
      <c r="B452" s="1" t="n">
        <v>45420</v>
      </c>
      <c r="C452" s="1" t="n">
        <v>45894</v>
      </c>
      <c r="D452" t="inlineStr">
        <is>
          <t>JÄMTLANDS LÄN</t>
        </is>
      </c>
      <c r="E452" t="inlineStr">
        <is>
          <t>RAGUNDA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54764-2024</t>
        </is>
      </c>
      <c r="B453" s="1" t="n">
        <v>45618.46921296296</v>
      </c>
      <c r="C453" s="1" t="n">
        <v>45894</v>
      </c>
      <c r="D453" t="inlineStr">
        <is>
          <t>JÄMTLANDS LÄN</t>
        </is>
      </c>
      <c r="E453" t="inlineStr">
        <is>
          <t>RAGUNDA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32904-2024</t>
        </is>
      </c>
      <c r="B454" s="1" t="n">
        <v>45516.94732638889</v>
      </c>
      <c r="C454" s="1" t="n">
        <v>45894</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4882-2023</t>
        </is>
      </c>
      <c r="B455" s="1" t="n">
        <v>44957.94075231482</v>
      </c>
      <c r="C455" s="1" t="n">
        <v>45894</v>
      </c>
      <c r="D455" t="inlineStr">
        <is>
          <t>JÄMTLANDS LÄN</t>
        </is>
      </c>
      <c r="E455" t="inlineStr">
        <is>
          <t>RAGUNDA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12522-2023</t>
        </is>
      </c>
      <c r="B456" s="1" t="n">
        <v>45000</v>
      </c>
      <c r="C456" s="1" t="n">
        <v>45894</v>
      </c>
      <c r="D456" t="inlineStr">
        <is>
          <t>JÄMTLANDS LÄN</t>
        </is>
      </c>
      <c r="E456" t="inlineStr">
        <is>
          <t>RAGUNDA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12523-2023</t>
        </is>
      </c>
      <c r="B457" s="1" t="n">
        <v>45000</v>
      </c>
      <c r="C457" s="1" t="n">
        <v>45894</v>
      </c>
      <c r="D457" t="inlineStr">
        <is>
          <t>JÄMTLANDS LÄN</t>
        </is>
      </c>
      <c r="E457" t="inlineStr">
        <is>
          <t>RAGUNDA</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12976-2025</t>
        </is>
      </c>
      <c r="B458" s="1" t="n">
        <v>45734.45268518518</v>
      </c>
      <c r="C458" s="1" t="n">
        <v>45894</v>
      </c>
      <c r="D458" t="inlineStr">
        <is>
          <t>JÄMTLANDS LÄN</t>
        </is>
      </c>
      <c r="E458" t="inlineStr">
        <is>
          <t>RAGUNDA</t>
        </is>
      </c>
      <c r="G458" t="n">
        <v>24.2</v>
      </c>
      <c r="H458" t="n">
        <v>0</v>
      </c>
      <c r="I458" t="n">
        <v>0</v>
      </c>
      <c r="J458" t="n">
        <v>0</v>
      </c>
      <c r="K458" t="n">
        <v>0</v>
      </c>
      <c r="L458" t="n">
        <v>0</v>
      </c>
      <c r="M458" t="n">
        <v>0</v>
      </c>
      <c r="N458" t="n">
        <v>0</v>
      </c>
      <c r="O458" t="n">
        <v>0</v>
      </c>
      <c r="P458" t="n">
        <v>0</v>
      </c>
      <c r="Q458" t="n">
        <v>0</v>
      </c>
      <c r="R458" s="2" t="inlineStr"/>
    </row>
    <row r="459" ht="15" customHeight="1">
      <c r="A459" t="inlineStr">
        <is>
          <t>A 59286-2023</t>
        </is>
      </c>
      <c r="B459" s="1" t="n">
        <v>45253</v>
      </c>
      <c r="C459" s="1" t="n">
        <v>45894</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15672-2021</t>
        </is>
      </c>
      <c r="B460" s="1" t="n">
        <v>44286</v>
      </c>
      <c r="C460" s="1" t="n">
        <v>45894</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15554-2025</t>
        </is>
      </c>
      <c r="B461" s="1" t="n">
        <v>45747.67739583334</v>
      </c>
      <c r="C461" s="1" t="n">
        <v>45894</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24861-2023</t>
        </is>
      </c>
      <c r="B462" s="1" t="n">
        <v>45078</v>
      </c>
      <c r="C462" s="1" t="n">
        <v>45894</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6688-2024</t>
        </is>
      </c>
      <c r="B463" s="1" t="n">
        <v>45341</v>
      </c>
      <c r="C463" s="1" t="n">
        <v>45894</v>
      </c>
      <c r="D463" t="inlineStr">
        <is>
          <t>JÄMTLANDS LÄN</t>
        </is>
      </c>
      <c r="E463" t="inlineStr">
        <is>
          <t>RAGUNDA</t>
        </is>
      </c>
      <c r="G463" t="n">
        <v>2</v>
      </c>
      <c r="H463" t="n">
        <v>0</v>
      </c>
      <c r="I463" t="n">
        <v>0</v>
      </c>
      <c r="J463" t="n">
        <v>0</v>
      </c>
      <c r="K463" t="n">
        <v>0</v>
      </c>
      <c r="L463" t="n">
        <v>0</v>
      </c>
      <c r="M463" t="n">
        <v>0</v>
      </c>
      <c r="N463" t="n">
        <v>0</v>
      </c>
      <c r="O463" t="n">
        <v>0</v>
      </c>
      <c r="P463" t="n">
        <v>0</v>
      </c>
      <c r="Q463" t="n">
        <v>0</v>
      </c>
      <c r="R463" s="2" t="inlineStr"/>
    </row>
    <row r="464" ht="15" customHeight="1">
      <c r="A464" t="inlineStr">
        <is>
          <t>A 65216-2023</t>
        </is>
      </c>
      <c r="B464" s="1" t="n">
        <v>45289</v>
      </c>
      <c r="C464" s="1" t="n">
        <v>45894</v>
      </c>
      <c r="D464" t="inlineStr">
        <is>
          <t>JÄMTLANDS LÄN</t>
        </is>
      </c>
      <c r="E464" t="inlineStr">
        <is>
          <t>RAGUNDA</t>
        </is>
      </c>
      <c r="G464" t="n">
        <v>2.9</v>
      </c>
      <c r="H464" t="n">
        <v>0</v>
      </c>
      <c r="I464" t="n">
        <v>0</v>
      </c>
      <c r="J464" t="n">
        <v>0</v>
      </c>
      <c r="K464" t="n">
        <v>0</v>
      </c>
      <c r="L464" t="n">
        <v>0</v>
      </c>
      <c r="M464" t="n">
        <v>0</v>
      </c>
      <c r="N464" t="n">
        <v>0</v>
      </c>
      <c r="O464" t="n">
        <v>0</v>
      </c>
      <c r="P464" t="n">
        <v>0</v>
      </c>
      <c r="Q464" t="n">
        <v>0</v>
      </c>
      <c r="R464" s="2" t="inlineStr"/>
    </row>
    <row r="465" ht="15" customHeight="1">
      <c r="A465" t="inlineStr">
        <is>
          <t>A 52148-2024</t>
        </is>
      </c>
      <c r="B465" s="1" t="n">
        <v>45608.52354166667</v>
      </c>
      <c r="C465" s="1" t="n">
        <v>45894</v>
      </c>
      <c r="D465" t="inlineStr">
        <is>
          <t>JÄMTLANDS LÄN</t>
        </is>
      </c>
      <c r="E465" t="inlineStr">
        <is>
          <t>RAGUNDA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13905-2025</t>
        </is>
      </c>
      <c r="B466" s="1" t="n">
        <v>45737.63574074074</v>
      </c>
      <c r="C466" s="1" t="n">
        <v>45894</v>
      </c>
      <c r="D466" t="inlineStr">
        <is>
          <t>JÄMTLANDS LÄN</t>
        </is>
      </c>
      <c r="E466" t="inlineStr">
        <is>
          <t>RAGUNDA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13941-2025</t>
        </is>
      </c>
      <c r="B467" s="1" t="n">
        <v>45737.69822916666</v>
      </c>
      <c r="C467" s="1" t="n">
        <v>45894</v>
      </c>
      <c r="D467" t="inlineStr">
        <is>
          <t>JÄMTLANDS LÄN</t>
        </is>
      </c>
      <c r="E467" t="inlineStr">
        <is>
          <t>RAGUNDA</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61088-2020</t>
        </is>
      </c>
      <c r="B468" s="1" t="n">
        <v>44153</v>
      </c>
      <c r="C468" s="1" t="n">
        <v>45894</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50650-2023</t>
        </is>
      </c>
      <c r="B469" s="1" t="n">
        <v>45210</v>
      </c>
      <c r="C469" s="1" t="n">
        <v>45894</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41344-2024</t>
        </is>
      </c>
      <c r="B470" s="1" t="n">
        <v>45559.67759259259</v>
      </c>
      <c r="C470" s="1" t="n">
        <v>45894</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50160-2023</t>
        </is>
      </c>
      <c r="B471" s="1" t="n">
        <v>45208</v>
      </c>
      <c r="C471" s="1" t="n">
        <v>45894</v>
      </c>
      <c r="D471" t="inlineStr">
        <is>
          <t>JÄMTLANDS LÄN</t>
        </is>
      </c>
      <c r="E471" t="inlineStr">
        <is>
          <t>RAGUNDA</t>
        </is>
      </c>
      <c r="G471" t="n">
        <v>4.6</v>
      </c>
      <c r="H471" t="n">
        <v>0</v>
      </c>
      <c r="I471" t="n">
        <v>0</v>
      </c>
      <c r="J471" t="n">
        <v>0</v>
      </c>
      <c r="K471" t="n">
        <v>0</v>
      </c>
      <c r="L471" t="n">
        <v>0</v>
      </c>
      <c r="M471" t="n">
        <v>0</v>
      </c>
      <c r="N471" t="n">
        <v>0</v>
      </c>
      <c r="O471" t="n">
        <v>0</v>
      </c>
      <c r="P471" t="n">
        <v>0</v>
      </c>
      <c r="Q471" t="n">
        <v>0</v>
      </c>
      <c r="R471" s="2" t="inlineStr"/>
    </row>
    <row r="472" ht="15" customHeight="1">
      <c r="A472" t="inlineStr">
        <is>
          <t>A 51245-2024</t>
        </is>
      </c>
      <c r="B472" s="1" t="n">
        <v>45603.67850694444</v>
      </c>
      <c r="C472" s="1" t="n">
        <v>45894</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13276-2025</t>
        </is>
      </c>
      <c r="B473" s="1" t="n">
        <v>45735.5517824074</v>
      </c>
      <c r="C473" s="1" t="n">
        <v>45894</v>
      </c>
      <c r="D473" t="inlineStr">
        <is>
          <t>JÄMTLANDS LÄN</t>
        </is>
      </c>
      <c r="E473" t="inlineStr">
        <is>
          <t>RAGUNDA</t>
        </is>
      </c>
      <c r="G473" t="n">
        <v>16.6</v>
      </c>
      <c r="H473" t="n">
        <v>0</v>
      </c>
      <c r="I473" t="n">
        <v>0</v>
      </c>
      <c r="J473" t="n">
        <v>0</v>
      </c>
      <c r="K473" t="n">
        <v>0</v>
      </c>
      <c r="L473" t="n">
        <v>0</v>
      </c>
      <c r="M473" t="n">
        <v>0</v>
      </c>
      <c r="N473" t="n">
        <v>0</v>
      </c>
      <c r="O473" t="n">
        <v>0</v>
      </c>
      <c r="P473" t="n">
        <v>0</v>
      </c>
      <c r="Q473" t="n">
        <v>0</v>
      </c>
      <c r="R473" s="2" t="inlineStr"/>
    </row>
    <row r="474" ht="15" customHeight="1">
      <c r="A474" t="inlineStr">
        <is>
          <t>A 45335-2023</t>
        </is>
      </c>
      <c r="B474" s="1" t="n">
        <v>45191</v>
      </c>
      <c r="C474" s="1" t="n">
        <v>45894</v>
      </c>
      <c r="D474" t="inlineStr">
        <is>
          <t>JÄMTLANDS LÄN</t>
        </is>
      </c>
      <c r="E474" t="inlineStr">
        <is>
          <t>RAGUNDA</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55487-2023</t>
        </is>
      </c>
      <c r="B475" s="1" t="n">
        <v>45238</v>
      </c>
      <c r="C475" s="1" t="n">
        <v>45894</v>
      </c>
      <c r="D475" t="inlineStr">
        <is>
          <t>JÄMTLANDS LÄN</t>
        </is>
      </c>
      <c r="E475" t="inlineStr">
        <is>
          <t>RAGUNDA</t>
        </is>
      </c>
      <c r="G475" t="n">
        <v>3</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44305.92047453704</v>
      </c>
      <c r="C476" s="1" t="n">
        <v>45894</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53955-2022</t>
        </is>
      </c>
      <c r="B477" s="1" t="n">
        <v>44880.95741898148</v>
      </c>
      <c r="C477" s="1" t="n">
        <v>45894</v>
      </c>
      <c r="D477" t="inlineStr">
        <is>
          <t>JÄMTLANDS LÄN</t>
        </is>
      </c>
      <c r="E477" t="inlineStr">
        <is>
          <t>RAGUNDA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9360-2023</t>
        </is>
      </c>
      <c r="B478" s="1" t="n">
        <v>44980.93865740741</v>
      </c>
      <c r="C478" s="1" t="n">
        <v>45894</v>
      </c>
      <c r="D478" t="inlineStr">
        <is>
          <t>JÄMTLANDS LÄN</t>
        </is>
      </c>
      <c r="E478" t="inlineStr">
        <is>
          <t>RAGUNDA</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13767-2022</t>
        </is>
      </c>
      <c r="B479" s="1" t="n">
        <v>44649.47048611111</v>
      </c>
      <c r="C479" s="1" t="n">
        <v>45894</v>
      </c>
      <c r="D479" t="inlineStr">
        <is>
          <t>JÄMTLANDS LÄN</t>
        </is>
      </c>
      <c r="E479" t="inlineStr">
        <is>
          <t>RAGUNDA</t>
        </is>
      </c>
      <c r="F479" t="inlineStr">
        <is>
          <t>Kommuner</t>
        </is>
      </c>
      <c r="G479" t="n">
        <v>3.1</v>
      </c>
      <c r="H479" t="n">
        <v>0</v>
      </c>
      <c r="I479" t="n">
        <v>0</v>
      </c>
      <c r="J479" t="n">
        <v>0</v>
      </c>
      <c r="K479" t="n">
        <v>0</v>
      </c>
      <c r="L479" t="n">
        <v>0</v>
      </c>
      <c r="M479" t="n">
        <v>0</v>
      </c>
      <c r="N479" t="n">
        <v>0</v>
      </c>
      <c r="O479" t="n">
        <v>0</v>
      </c>
      <c r="P479" t="n">
        <v>0</v>
      </c>
      <c r="Q479" t="n">
        <v>0</v>
      </c>
      <c r="R479" s="2" t="inlineStr"/>
    </row>
    <row r="480" ht="15" customHeight="1">
      <c r="A480" t="inlineStr">
        <is>
          <t>A 41772-2024</t>
        </is>
      </c>
      <c r="B480" s="1" t="n">
        <v>45561.34663194444</v>
      </c>
      <c r="C480" s="1" t="n">
        <v>45894</v>
      </c>
      <c r="D480" t="inlineStr">
        <is>
          <t>JÄMTLANDS LÄN</t>
        </is>
      </c>
      <c r="E480" t="inlineStr">
        <is>
          <t>RAGUNDA</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1308-2025</t>
        </is>
      </c>
      <c r="B481" s="1" t="n">
        <v>45667.55239583334</v>
      </c>
      <c r="C481" s="1" t="n">
        <v>45894</v>
      </c>
      <c r="D481" t="inlineStr">
        <is>
          <t>JÄMTLANDS LÄN</t>
        </is>
      </c>
      <c r="E481" t="inlineStr">
        <is>
          <t>RAGUNDA</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10972-2022</t>
        </is>
      </c>
      <c r="B482" s="1" t="n">
        <v>44628</v>
      </c>
      <c r="C482" s="1" t="n">
        <v>45894</v>
      </c>
      <c r="D482" t="inlineStr">
        <is>
          <t>JÄMTLANDS LÄN</t>
        </is>
      </c>
      <c r="E482" t="inlineStr">
        <is>
          <t>RAGUNDA</t>
        </is>
      </c>
      <c r="G482" t="n">
        <v>9.5</v>
      </c>
      <c r="H482" t="n">
        <v>0</v>
      </c>
      <c r="I482" t="n">
        <v>0</v>
      </c>
      <c r="J482" t="n">
        <v>0</v>
      </c>
      <c r="K482" t="n">
        <v>0</v>
      </c>
      <c r="L482" t="n">
        <v>0</v>
      </c>
      <c r="M482" t="n">
        <v>0</v>
      </c>
      <c r="N482" t="n">
        <v>0</v>
      </c>
      <c r="O482" t="n">
        <v>0</v>
      </c>
      <c r="P482" t="n">
        <v>0</v>
      </c>
      <c r="Q482" t="n">
        <v>0</v>
      </c>
      <c r="R482" s="2" t="inlineStr"/>
    </row>
    <row r="483" ht="15" customHeight="1">
      <c r="A483" t="inlineStr">
        <is>
          <t>A 11834-2023</t>
        </is>
      </c>
      <c r="B483" s="1" t="n">
        <v>44994.94296296296</v>
      </c>
      <c r="C483" s="1" t="n">
        <v>45894</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11252-2025</t>
        </is>
      </c>
      <c r="B484" s="1" t="n">
        <v>45726.38615740741</v>
      </c>
      <c r="C484" s="1" t="n">
        <v>45894</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11253-2025</t>
        </is>
      </c>
      <c r="B485" s="1" t="n">
        <v>45726.3862037037</v>
      </c>
      <c r="C485" s="1" t="n">
        <v>45894</v>
      </c>
      <c r="D485" t="inlineStr">
        <is>
          <t>JÄMTLANDS LÄN</t>
        </is>
      </c>
      <c r="E485" t="inlineStr">
        <is>
          <t>RAGUNDA</t>
        </is>
      </c>
      <c r="G485" t="n">
        <v>1.5</v>
      </c>
      <c r="H485" t="n">
        <v>0</v>
      </c>
      <c r="I485" t="n">
        <v>0</v>
      </c>
      <c r="J485" t="n">
        <v>0</v>
      </c>
      <c r="K485" t="n">
        <v>0</v>
      </c>
      <c r="L485" t="n">
        <v>0</v>
      </c>
      <c r="M485" t="n">
        <v>0</v>
      </c>
      <c r="N485" t="n">
        <v>0</v>
      </c>
      <c r="O485" t="n">
        <v>0</v>
      </c>
      <c r="P485" t="n">
        <v>0</v>
      </c>
      <c r="Q485" t="n">
        <v>0</v>
      </c>
      <c r="R485" s="2" t="inlineStr"/>
    </row>
    <row r="486" ht="15" customHeight="1">
      <c r="A486" t="inlineStr">
        <is>
          <t>A 22569-2023</t>
        </is>
      </c>
      <c r="B486" s="1" t="n">
        <v>45069</v>
      </c>
      <c r="C486" s="1" t="n">
        <v>45894</v>
      </c>
      <c r="D486" t="inlineStr">
        <is>
          <t>JÄMTLANDS LÄN</t>
        </is>
      </c>
      <c r="E486" t="inlineStr">
        <is>
          <t>RAGUNDA</t>
        </is>
      </c>
      <c r="G486" t="n">
        <v>6.6</v>
      </c>
      <c r="H486" t="n">
        <v>0</v>
      </c>
      <c r="I486" t="n">
        <v>0</v>
      </c>
      <c r="J486" t="n">
        <v>0</v>
      </c>
      <c r="K486" t="n">
        <v>0</v>
      </c>
      <c r="L486" t="n">
        <v>0</v>
      </c>
      <c r="M486" t="n">
        <v>0</v>
      </c>
      <c r="N486" t="n">
        <v>0</v>
      </c>
      <c r="O486" t="n">
        <v>0</v>
      </c>
      <c r="P486" t="n">
        <v>0</v>
      </c>
      <c r="Q486" t="n">
        <v>0</v>
      </c>
      <c r="R486" s="2" t="inlineStr"/>
    </row>
    <row r="487" ht="15" customHeight="1">
      <c r="A487" t="inlineStr">
        <is>
          <t>A 59670-2023</t>
        </is>
      </c>
      <c r="B487" s="1" t="n">
        <v>45254.96516203704</v>
      </c>
      <c r="C487" s="1" t="n">
        <v>45894</v>
      </c>
      <c r="D487" t="inlineStr">
        <is>
          <t>JÄMTLANDS LÄN</t>
        </is>
      </c>
      <c r="E487" t="inlineStr">
        <is>
          <t>RAGUNDA</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17559-2023</t>
        </is>
      </c>
      <c r="B488" s="1" t="n">
        <v>45034</v>
      </c>
      <c r="C488" s="1" t="n">
        <v>45894</v>
      </c>
      <c r="D488" t="inlineStr">
        <is>
          <t>JÄMTLANDS LÄN</t>
        </is>
      </c>
      <c r="E488" t="inlineStr">
        <is>
          <t>RAGUNDA</t>
        </is>
      </c>
      <c r="G488" t="n">
        <v>7.5</v>
      </c>
      <c r="H488" t="n">
        <v>0</v>
      </c>
      <c r="I488" t="n">
        <v>0</v>
      </c>
      <c r="J488" t="n">
        <v>0</v>
      </c>
      <c r="K488" t="n">
        <v>0</v>
      </c>
      <c r="L488" t="n">
        <v>0</v>
      </c>
      <c r="M488" t="n">
        <v>0</v>
      </c>
      <c r="N488" t="n">
        <v>0</v>
      </c>
      <c r="O488" t="n">
        <v>0</v>
      </c>
      <c r="P488" t="n">
        <v>0</v>
      </c>
      <c r="Q488" t="n">
        <v>0</v>
      </c>
      <c r="R488" s="2" t="inlineStr"/>
    </row>
    <row r="489" ht="15" customHeight="1">
      <c r="A489" t="inlineStr">
        <is>
          <t>A 38312-2024</t>
        </is>
      </c>
      <c r="B489" s="1" t="n">
        <v>45545.64957175926</v>
      </c>
      <c r="C489" s="1" t="n">
        <v>45894</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32832-2021</t>
        </is>
      </c>
      <c r="B490" s="1" t="n">
        <v>44375</v>
      </c>
      <c r="C490" s="1" t="n">
        <v>45894</v>
      </c>
      <c r="D490" t="inlineStr">
        <is>
          <t>JÄMTLANDS LÄN</t>
        </is>
      </c>
      <c r="E490" t="inlineStr">
        <is>
          <t>RAGUNDA</t>
        </is>
      </c>
      <c r="G490" t="n">
        <v>3</v>
      </c>
      <c r="H490" t="n">
        <v>0</v>
      </c>
      <c r="I490" t="n">
        <v>0</v>
      </c>
      <c r="J490" t="n">
        <v>0</v>
      </c>
      <c r="K490" t="n">
        <v>0</v>
      </c>
      <c r="L490" t="n">
        <v>0</v>
      </c>
      <c r="M490" t="n">
        <v>0</v>
      </c>
      <c r="N490" t="n">
        <v>0</v>
      </c>
      <c r="O490" t="n">
        <v>0</v>
      </c>
      <c r="P490" t="n">
        <v>0</v>
      </c>
      <c r="Q490" t="n">
        <v>0</v>
      </c>
      <c r="R490" s="2" t="inlineStr"/>
    </row>
    <row r="491" ht="15" customHeight="1">
      <c r="A491" t="inlineStr">
        <is>
          <t>A 22011-2023</t>
        </is>
      </c>
      <c r="B491" s="1" t="n">
        <v>45068</v>
      </c>
      <c r="C491" s="1" t="n">
        <v>45894</v>
      </c>
      <c r="D491" t="inlineStr">
        <is>
          <t>JÄMTLANDS LÄN</t>
        </is>
      </c>
      <c r="E491" t="inlineStr">
        <is>
          <t>RAGUNDA</t>
        </is>
      </c>
      <c r="F491" t="inlineStr">
        <is>
          <t>SCA</t>
        </is>
      </c>
      <c r="G491" t="n">
        <v>12.2</v>
      </c>
      <c r="H491" t="n">
        <v>0</v>
      </c>
      <c r="I491" t="n">
        <v>0</v>
      </c>
      <c r="J491" t="n">
        <v>0</v>
      </c>
      <c r="K491" t="n">
        <v>0</v>
      </c>
      <c r="L491" t="n">
        <v>0</v>
      </c>
      <c r="M491" t="n">
        <v>0</v>
      </c>
      <c r="N491" t="n">
        <v>0</v>
      </c>
      <c r="O491" t="n">
        <v>0</v>
      </c>
      <c r="P491" t="n">
        <v>0</v>
      </c>
      <c r="Q491" t="n">
        <v>0</v>
      </c>
      <c r="R491" s="2" t="inlineStr"/>
    </row>
    <row r="492" ht="15" customHeight="1">
      <c r="A492" t="inlineStr">
        <is>
          <t>A 11048-2023</t>
        </is>
      </c>
      <c r="B492" s="1" t="n">
        <v>44991</v>
      </c>
      <c r="C492" s="1" t="n">
        <v>45894</v>
      </c>
      <c r="D492" t="inlineStr">
        <is>
          <t>JÄMTLANDS LÄN</t>
        </is>
      </c>
      <c r="E492" t="inlineStr">
        <is>
          <t>RAGUNDA</t>
        </is>
      </c>
      <c r="F492" t="inlineStr">
        <is>
          <t>SCA</t>
        </is>
      </c>
      <c r="G492" t="n">
        <v>13.5</v>
      </c>
      <c r="H492" t="n">
        <v>0</v>
      </c>
      <c r="I492" t="n">
        <v>0</v>
      </c>
      <c r="J492" t="n">
        <v>0</v>
      </c>
      <c r="K492" t="n">
        <v>0</v>
      </c>
      <c r="L492" t="n">
        <v>0</v>
      </c>
      <c r="M492" t="n">
        <v>0</v>
      </c>
      <c r="N492" t="n">
        <v>0</v>
      </c>
      <c r="O492" t="n">
        <v>0</v>
      </c>
      <c r="P492" t="n">
        <v>0</v>
      </c>
      <c r="Q492" t="n">
        <v>0</v>
      </c>
      <c r="R492" s="2" t="inlineStr"/>
    </row>
    <row r="493" ht="15" customHeight="1">
      <c r="A493" t="inlineStr">
        <is>
          <t>A 11062-2023</t>
        </is>
      </c>
      <c r="B493" s="1" t="n">
        <v>44991</v>
      </c>
      <c r="C493" s="1" t="n">
        <v>45894</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55508-2024</t>
        </is>
      </c>
      <c r="B494" s="1" t="n">
        <v>45622.46200231482</v>
      </c>
      <c r="C494" s="1" t="n">
        <v>45894</v>
      </c>
      <c r="D494" t="inlineStr">
        <is>
          <t>JÄMTLANDS LÄN</t>
        </is>
      </c>
      <c r="E494" t="inlineStr">
        <is>
          <t>RAGUNDA</t>
        </is>
      </c>
      <c r="G494" t="n">
        <v>1.8</v>
      </c>
      <c r="H494" t="n">
        <v>0</v>
      </c>
      <c r="I494" t="n">
        <v>0</v>
      </c>
      <c r="J494" t="n">
        <v>0</v>
      </c>
      <c r="K494" t="n">
        <v>0</v>
      </c>
      <c r="L494" t="n">
        <v>0</v>
      </c>
      <c r="M494" t="n">
        <v>0</v>
      </c>
      <c r="N494" t="n">
        <v>0</v>
      </c>
      <c r="O494" t="n">
        <v>0</v>
      </c>
      <c r="P494" t="n">
        <v>0</v>
      </c>
      <c r="Q494" t="n">
        <v>0</v>
      </c>
      <c r="R494" s="2" t="inlineStr"/>
    </row>
    <row r="495" ht="15" customHeight="1">
      <c r="A495" t="inlineStr">
        <is>
          <t>A 59492-2024</t>
        </is>
      </c>
      <c r="B495" s="1" t="n">
        <v>45638</v>
      </c>
      <c r="C495" s="1" t="n">
        <v>45894</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57064-2024</t>
        </is>
      </c>
      <c r="B496" s="1" t="n">
        <v>45629.35326388889</v>
      </c>
      <c r="C496" s="1" t="n">
        <v>45894</v>
      </c>
      <c r="D496" t="inlineStr">
        <is>
          <t>JÄMTLANDS LÄN</t>
        </is>
      </c>
      <c r="E496" t="inlineStr">
        <is>
          <t>RAGUNDA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20772-2024</t>
        </is>
      </c>
      <c r="B497" s="1" t="n">
        <v>45436.94628472222</v>
      </c>
      <c r="C497" s="1" t="n">
        <v>45894</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9504-2025</t>
        </is>
      </c>
      <c r="B498" s="1" t="n">
        <v>45714</v>
      </c>
      <c r="C498" s="1" t="n">
        <v>45894</v>
      </c>
      <c r="D498" t="inlineStr">
        <is>
          <t>JÄMTLANDS LÄN</t>
        </is>
      </c>
      <c r="E498" t="inlineStr">
        <is>
          <t>RAGUNDA</t>
        </is>
      </c>
      <c r="G498" t="n">
        <v>6</v>
      </c>
      <c r="H498" t="n">
        <v>0</v>
      </c>
      <c r="I498" t="n">
        <v>0</v>
      </c>
      <c r="J498" t="n">
        <v>0</v>
      </c>
      <c r="K498" t="n">
        <v>0</v>
      </c>
      <c r="L498" t="n">
        <v>0</v>
      </c>
      <c r="M498" t="n">
        <v>0</v>
      </c>
      <c r="N498" t="n">
        <v>0</v>
      </c>
      <c r="O498" t="n">
        <v>0</v>
      </c>
      <c r="P498" t="n">
        <v>0</v>
      </c>
      <c r="Q498" t="n">
        <v>0</v>
      </c>
      <c r="R498" s="2" t="inlineStr"/>
    </row>
    <row r="499" ht="15" customHeight="1">
      <c r="A499" t="inlineStr">
        <is>
          <t>A 53757-2024</t>
        </is>
      </c>
      <c r="B499" s="1" t="n">
        <v>45615.50034722222</v>
      </c>
      <c r="C499" s="1" t="n">
        <v>45894</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12475-2025</t>
        </is>
      </c>
      <c r="B500" s="1" t="n">
        <v>45730.56346064815</v>
      </c>
      <c r="C500" s="1" t="n">
        <v>45894</v>
      </c>
      <c r="D500" t="inlineStr">
        <is>
          <t>JÄMTLANDS LÄN</t>
        </is>
      </c>
      <c r="E500" t="inlineStr">
        <is>
          <t>RAGUNDA</t>
        </is>
      </c>
      <c r="F500" t="inlineStr">
        <is>
          <t>SCA</t>
        </is>
      </c>
      <c r="G500" t="n">
        <v>7.1</v>
      </c>
      <c r="H500" t="n">
        <v>0</v>
      </c>
      <c r="I500" t="n">
        <v>0</v>
      </c>
      <c r="J500" t="n">
        <v>0</v>
      </c>
      <c r="K500" t="n">
        <v>0</v>
      </c>
      <c r="L500" t="n">
        <v>0</v>
      </c>
      <c r="M500" t="n">
        <v>0</v>
      </c>
      <c r="N500" t="n">
        <v>0</v>
      </c>
      <c r="O500" t="n">
        <v>0</v>
      </c>
      <c r="P500" t="n">
        <v>0</v>
      </c>
      <c r="Q500" t="n">
        <v>0</v>
      </c>
      <c r="R500" s="2" t="inlineStr"/>
    </row>
    <row r="501" ht="15" customHeight="1">
      <c r="A501" t="inlineStr">
        <is>
          <t>A 32910-2024</t>
        </is>
      </c>
      <c r="B501" s="1" t="n">
        <v>45516.94934027778</v>
      </c>
      <c r="C501" s="1" t="n">
        <v>45894</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14158-2024</t>
        </is>
      </c>
      <c r="B502" s="1" t="n">
        <v>45392</v>
      </c>
      <c r="C502" s="1" t="n">
        <v>45894</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6716-2025</t>
        </is>
      </c>
      <c r="B503" s="1" t="n">
        <v>45700.57324074074</v>
      </c>
      <c r="C503" s="1" t="n">
        <v>45894</v>
      </c>
      <c r="D503" t="inlineStr">
        <is>
          <t>JÄMTLANDS LÄN</t>
        </is>
      </c>
      <c r="E503" t="inlineStr">
        <is>
          <t>RAGUNDA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55524-2024</t>
        </is>
      </c>
      <c r="B504" s="1" t="n">
        <v>45622.47435185185</v>
      </c>
      <c r="C504" s="1" t="n">
        <v>45894</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42508-2023</t>
        </is>
      </c>
      <c r="B505" s="1" t="n">
        <v>45180.95907407408</v>
      </c>
      <c r="C505" s="1" t="n">
        <v>45894</v>
      </c>
      <c r="D505" t="inlineStr">
        <is>
          <t>JÄMTLANDS LÄN</t>
        </is>
      </c>
      <c r="E505" t="inlineStr">
        <is>
          <t>RAGUNDA</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25332-2023</t>
        </is>
      </c>
      <c r="B506" s="1" t="n">
        <v>45086.94010416666</v>
      </c>
      <c r="C506" s="1" t="n">
        <v>45894</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19866-2023</t>
        </is>
      </c>
      <c r="B507" s="1" t="n">
        <v>45053.94313657407</v>
      </c>
      <c r="C507" s="1" t="n">
        <v>45894</v>
      </c>
      <c r="D507" t="inlineStr">
        <is>
          <t>JÄMTLANDS LÄN</t>
        </is>
      </c>
      <c r="E507" t="inlineStr">
        <is>
          <t>RAGUNDA</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29920-2024</t>
        </is>
      </c>
      <c r="B508" s="1" t="n">
        <v>45487.92856481481</v>
      </c>
      <c r="C508" s="1" t="n">
        <v>45894</v>
      </c>
      <c r="D508" t="inlineStr">
        <is>
          <t>JÄMTLANDS LÄN</t>
        </is>
      </c>
      <c r="E508" t="inlineStr">
        <is>
          <t>RAGUNDA</t>
        </is>
      </c>
      <c r="G508" t="n">
        <v>3.4</v>
      </c>
      <c r="H508" t="n">
        <v>0</v>
      </c>
      <c r="I508" t="n">
        <v>0</v>
      </c>
      <c r="J508" t="n">
        <v>0</v>
      </c>
      <c r="K508" t="n">
        <v>0</v>
      </c>
      <c r="L508" t="n">
        <v>0</v>
      </c>
      <c r="M508" t="n">
        <v>0</v>
      </c>
      <c r="N508" t="n">
        <v>0</v>
      </c>
      <c r="O508" t="n">
        <v>0</v>
      </c>
      <c r="P508" t="n">
        <v>0</v>
      </c>
      <c r="Q508" t="n">
        <v>0</v>
      </c>
      <c r="R508" s="2" t="inlineStr"/>
    </row>
    <row r="509" ht="15" customHeight="1">
      <c r="A509" t="inlineStr">
        <is>
          <t>A 35274-2023</t>
        </is>
      </c>
      <c r="B509" s="1" t="n">
        <v>45145</v>
      </c>
      <c r="C509" s="1" t="n">
        <v>45894</v>
      </c>
      <c r="D509" t="inlineStr">
        <is>
          <t>JÄMTLANDS LÄN</t>
        </is>
      </c>
      <c r="E509" t="inlineStr">
        <is>
          <t>RAGUNDA</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21853-2024</t>
        </is>
      </c>
      <c r="B510" s="1" t="n">
        <v>45442.96296296296</v>
      </c>
      <c r="C510" s="1" t="n">
        <v>45894</v>
      </c>
      <c r="D510" t="inlineStr">
        <is>
          <t>JÄMTLANDS LÄN</t>
        </is>
      </c>
      <c r="E510" t="inlineStr">
        <is>
          <t>RAGUNDA</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8241-2024</t>
        </is>
      </c>
      <c r="B511" s="1" t="n">
        <v>45351.98496527778</v>
      </c>
      <c r="C511" s="1" t="n">
        <v>45894</v>
      </c>
      <c r="D511" t="inlineStr">
        <is>
          <t>JÄMTLANDS LÄN</t>
        </is>
      </c>
      <c r="E511" t="inlineStr">
        <is>
          <t>RAGUNDA</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40365-2024</t>
        </is>
      </c>
      <c r="B512" s="1" t="n">
        <v>45555.38509259259</v>
      </c>
      <c r="C512" s="1" t="n">
        <v>45894</v>
      </c>
      <c r="D512" t="inlineStr">
        <is>
          <t>JÄMTLANDS LÄN</t>
        </is>
      </c>
      <c r="E512" t="inlineStr">
        <is>
          <t>RAGUNDA</t>
        </is>
      </c>
      <c r="G512" t="n">
        <v>7.8</v>
      </c>
      <c r="H512" t="n">
        <v>0</v>
      </c>
      <c r="I512" t="n">
        <v>0</v>
      </c>
      <c r="J512" t="n">
        <v>0</v>
      </c>
      <c r="K512" t="n">
        <v>0</v>
      </c>
      <c r="L512" t="n">
        <v>0</v>
      </c>
      <c r="M512" t="n">
        <v>0</v>
      </c>
      <c r="N512" t="n">
        <v>0</v>
      </c>
      <c r="O512" t="n">
        <v>0</v>
      </c>
      <c r="P512" t="n">
        <v>0</v>
      </c>
      <c r="Q512" t="n">
        <v>0</v>
      </c>
      <c r="R512" s="2" t="inlineStr"/>
    </row>
    <row r="513" ht="15" customHeight="1">
      <c r="A513" t="inlineStr">
        <is>
          <t>A 20770-2024</t>
        </is>
      </c>
      <c r="B513" s="1" t="n">
        <v>45436.94613425926</v>
      </c>
      <c r="C513" s="1" t="n">
        <v>45894</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3767-2025</t>
        </is>
      </c>
      <c r="B514" s="1" t="n">
        <v>45681.60203703704</v>
      </c>
      <c r="C514" s="1" t="n">
        <v>45894</v>
      </c>
      <c r="D514" t="inlineStr">
        <is>
          <t>JÄMTLANDS LÄN</t>
        </is>
      </c>
      <c r="E514" t="inlineStr">
        <is>
          <t>RAGUNDA</t>
        </is>
      </c>
      <c r="G514" t="n">
        <v>4.9</v>
      </c>
      <c r="H514" t="n">
        <v>0</v>
      </c>
      <c r="I514" t="n">
        <v>0</v>
      </c>
      <c r="J514" t="n">
        <v>0</v>
      </c>
      <c r="K514" t="n">
        <v>0</v>
      </c>
      <c r="L514" t="n">
        <v>0</v>
      </c>
      <c r="M514" t="n">
        <v>0</v>
      </c>
      <c r="N514" t="n">
        <v>0</v>
      </c>
      <c r="O514" t="n">
        <v>0</v>
      </c>
      <c r="P514" t="n">
        <v>0</v>
      </c>
      <c r="Q514" t="n">
        <v>0</v>
      </c>
      <c r="R514" s="2" t="inlineStr"/>
    </row>
    <row r="515" ht="15" customHeight="1">
      <c r="A515" t="inlineStr">
        <is>
          <t>A 7280-2024</t>
        </is>
      </c>
      <c r="B515" s="1" t="n">
        <v>45344</v>
      </c>
      <c r="C515" s="1" t="n">
        <v>45894</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12983-2025</t>
        </is>
      </c>
      <c r="B516" s="1" t="n">
        <v>45734.4633912037</v>
      </c>
      <c r="C516" s="1" t="n">
        <v>45894</v>
      </c>
      <c r="D516" t="inlineStr">
        <is>
          <t>JÄMTLANDS LÄN</t>
        </is>
      </c>
      <c r="E516" t="inlineStr">
        <is>
          <t>RAGUNDA</t>
        </is>
      </c>
      <c r="G516" t="n">
        <v>5.2</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45894</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44778-2024</t>
        </is>
      </c>
      <c r="B518" s="1" t="n">
        <v>45574.63355324074</v>
      </c>
      <c r="C518" s="1" t="n">
        <v>45894</v>
      </c>
      <c r="D518" t="inlineStr">
        <is>
          <t>JÄMTLANDS LÄN</t>
        </is>
      </c>
      <c r="E518" t="inlineStr">
        <is>
          <t>RAGUNDA</t>
        </is>
      </c>
      <c r="G518" t="n">
        <v>5.5</v>
      </c>
      <c r="H518" t="n">
        <v>0</v>
      </c>
      <c r="I518" t="n">
        <v>0</v>
      </c>
      <c r="J518" t="n">
        <v>0</v>
      </c>
      <c r="K518" t="n">
        <v>0</v>
      </c>
      <c r="L518" t="n">
        <v>0</v>
      </c>
      <c r="M518" t="n">
        <v>0</v>
      </c>
      <c r="N518" t="n">
        <v>0</v>
      </c>
      <c r="O518" t="n">
        <v>0</v>
      </c>
      <c r="P518" t="n">
        <v>0</v>
      </c>
      <c r="Q518" t="n">
        <v>0</v>
      </c>
      <c r="R518" s="2" t="inlineStr"/>
    </row>
    <row r="519" ht="15" customHeight="1">
      <c r="A519" t="inlineStr">
        <is>
          <t>A 2673-2024</t>
        </is>
      </c>
      <c r="B519" s="1" t="n">
        <v>45314</v>
      </c>
      <c r="C519" s="1" t="n">
        <v>45894</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64492-2023</t>
        </is>
      </c>
      <c r="B520" s="1" t="n">
        <v>45280.92645833334</v>
      </c>
      <c r="C520" s="1" t="n">
        <v>45894</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7281-2024</t>
        </is>
      </c>
      <c r="B521" s="1" t="n">
        <v>45344</v>
      </c>
      <c r="C521" s="1" t="n">
        <v>45894</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7284-2024</t>
        </is>
      </c>
      <c r="B522" s="1" t="n">
        <v>45344.92865740741</v>
      </c>
      <c r="C522" s="1" t="n">
        <v>45894</v>
      </c>
      <c r="D522" t="inlineStr">
        <is>
          <t>JÄMTLANDS LÄN</t>
        </is>
      </c>
      <c r="E522" t="inlineStr">
        <is>
          <t>RAGUNDA</t>
        </is>
      </c>
      <c r="G522" t="n">
        <v>2.1</v>
      </c>
      <c r="H522" t="n">
        <v>0</v>
      </c>
      <c r="I522" t="n">
        <v>0</v>
      </c>
      <c r="J522" t="n">
        <v>0</v>
      </c>
      <c r="K522" t="n">
        <v>0</v>
      </c>
      <c r="L522" t="n">
        <v>0</v>
      </c>
      <c r="M522" t="n">
        <v>0</v>
      </c>
      <c r="N522" t="n">
        <v>0</v>
      </c>
      <c r="O522" t="n">
        <v>0</v>
      </c>
      <c r="P522" t="n">
        <v>0</v>
      </c>
      <c r="Q522" t="n">
        <v>0</v>
      </c>
      <c r="R522" s="2" t="inlineStr"/>
    </row>
    <row r="523" ht="15" customHeight="1">
      <c r="A523" t="inlineStr">
        <is>
          <t>A 7285-2024</t>
        </is>
      </c>
      <c r="B523" s="1" t="n">
        <v>45344.92873842592</v>
      </c>
      <c r="C523" s="1" t="n">
        <v>45894</v>
      </c>
      <c r="D523" t="inlineStr">
        <is>
          <t>JÄMTLANDS LÄN</t>
        </is>
      </c>
      <c r="E523" t="inlineStr">
        <is>
          <t>RAGUNDA</t>
        </is>
      </c>
      <c r="G523" t="n">
        <v>0.5</v>
      </c>
      <c r="H523" t="n">
        <v>0</v>
      </c>
      <c r="I523" t="n">
        <v>0</v>
      </c>
      <c r="J523" t="n">
        <v>0</v>
      </c>
      <c r="K523" t="n">
        <v>0</v>
      </c>
      <c r="L523" t="n">
        <v>0</v>
      </c>
      <c r="M523" t="n">
        <v>0</v>
      </c>
      <c r="N523" t="n">
        <v>0</v>
      </c>
      <c r="O523" t="n">
        <v>0</v>
      </c>
      <c r="P523" t="n">
        <v>0</v>
      </c>
      <c r="Q523" t="n">
        <v>0</v>
      </c>
      <c r="R523" s="2" t="inlineStr"/>
    </row>
    <row r="524" ht="15" customHeight="1">
      <c r="A524" t="inlineStr">
        <is>
          <t>A 3938-2024</t>
        </is>
      </c>
      <c r="B524" s="1" t="n">
        <v>45322</v>
      </c>
      <c r="C524" s="1" t="n">
        <v>45894</v>
      </c>
      <c r="D524" t="inlineStr">
        <is>
          <t>JÄMTLANDS LÄN</t>
        </is>
      </c>
      <c r="E524" t="inlineStr">
        <is>
          <t>RAGUNDA</t>
        </is>
      </c>
      <c r="G524" t="n">
        <v>3.2</v>
      </c>
      <c r="H524" t="n">
        <v>0</v>
      </c>
      <c r="I524" t="n">
        <v>0</v>
      </c>
      <c r="J524" t="n">
        <v>0</v>
      </c>
      <c r="K524" t="n">
        <v>0</v>
      </c>
      <c r="L524" t="n">
        <v>0</v>
      </c>
      <c r="M524" t="n">
        <v>0</v>
      </c>
      <c r="N524" t="n">
        <v>0</v>
      </c>
      <c r="O524" t="n">
        <v>0</v>
      </c>
      <c r="P524" t="n">
        <v>0</v>
      </c>
      <c r="Q524" t="n">
        <v>0</v>
      </c>
      <c r="R524" s="2" t="inlineStr"/>
    </row>
    <row r="525" ht="15" customHeight="1">
      <c r="A525" t="inlineStr">
        <is>
          <t>A 53347-2023</t>
        </is>
      </c>
      <c r="B525" s="1" t="n">
        <v>45223</v>
      </c>
      <c r="C525" s="1" t="n">
        <v>45894</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14368-2024</t>
        </is>
      </c>
      <c r="B526" s="1" t="n">
        <v>45393.94431712963</v>
      </c>
      <c r="C526" s="1" t="n">
        <v>45894</v>
      </c>
      <c r="D526" t="inlineStr">
        <is>
          <t>JÄMTLANDS LÄN</t>
        </is>
      </c>
      <c r="E526" t="inlineStr">
        <is>
          <t>RAGUNDA</t>
        </is>
      </c>
      <c r="F526" t="inlineStr">
        <is>
          <t>Naturvårdsverket</t>
        </is>
      </c>
      <c r="G526" t="n">
        <v>1.6</v>
      </c>
      <c r="H526" t="n">
        <v>0</v>
      </c>
      <c r="I526" t="n">
        <v>0</v>
      </c>
      <c r="J526" t="n">
        <v>0</v>
      </c>
      <c r="K526" t="n">
        <v>0</v>
      </c>
      <c r="L526" t="n">
        <v>0</v>
      </c>
      <c r="M526" t="n">
        <v>0</v>
      </c>
      <c r="N526" t="n">
        <v>0</v>
      </c>
      <c r="O526" t="n">
        <v>0</v>
      </c>
      <c r="P526" t="n">
        <v>0</v>
      </c>
      <c r="Q526" t="n">
        <v>0</v>
      </c>
      <c r="R526" s="2" t="inlineStr"/>
    </row>
    <row r="527" ht="15" customHeight="1">
      <c r="A527" t="inlineStr">
        <is>
          <t>A 19438-2023</t>
        </is>
      </c>
      <c r="B527" s="1" t="n">
        <v>45049</v>
      </c>
      <c r="C527" s="1" t="n">
        <v>45894</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53144-2024</t>
        </is>
      </c>
      <c r="B528" s="1" t="n">
        <v>45611</v>
      </c>
      <c r="C528" s="1" t="n">
        <v>45894</v>
      </c>
      <c r="D528" t="inlineStr">
        <is>
          <t>JÄMTLANDS LÄN</t>
        </is>
      </c>
      <c r="E528" t="inlineStr">
        <is>
          <t>RAGUNDA</t>
        </is>
      </c>
      <c r="F528" t="inlineStr">
        <is>
          <t>SCA</t>
        </is>
      </c>
      <c r="G528" t="n">
        <v>5.4</v>
      </c>
      <c r="H528" t="n">
        <v>0</v>
      </c>
      <c r="I528" t="n">
        <v>0</v>
      </c>
      <c r="J528" t="n">
        <v>0</v>
      </c>
      <c r="K528" t="n">
        <v>0</v>
      </c>
      <c r="L528" t="n">
        <v>0</v>
      </c>
      <c r="M528" t="n">
        <v>0</v>
      </c>
      <c r="N528" t="n">
        <v>0</v>
      </c>
      <c r="O528" t="n">
        <v>0</v>
      </c>
      <c r="P528" t="n">
        <v>0</v>
      </c>
      <c r="Q528" t="n">
        <v>0</v>
      </c>
      <c r="R528" s="2" t="inlineStr"/>
    </row>
    <row r="529" ht="15" customHeight="1">
      <c r="A529" t="inlineStr">
        <is>
          <t>A 60838-2023</t>
        </is>
      </c>
      <c r="B529" s="1" t="n">
        <v>45260.92561342593</v>
      </c>
      <c r="C529" s="1" t="n">
        <v>45894</v>
      </c>
      <c r="D529" t="inlineStr">
        <is>
          <t>JÄMTLANDS LÄN</t>
        </is>
      </c>
      <c r="E529" t="inlineStr">
        <is>
          <t>RAGUNDA</t>
        </is>
      </c>
      <c r="G529" t="n">
        <v>2.7</v>
      </c>
      <c r="H529" t="n">
        <v>0</v>
      </c>
      <c r="I529" t="n">
        <v>0</v>
      </c>
      <c r="J529" t="n">
        <v>0</v>
      </c>
      <c r="K529" t="n">
        <v>0</v>
      </c>
      <c r="L529" t="n">
        <v>0</v>
      </c>
      <c r="M529" t="n">
        <v>0</v>
      </c>
      <c r="N529" t="n">
        <v>0</v>
      </c>
      <c r="O529" t="n">
        <v>0</v>
      </c>
      <c r="P529" t="n">
        <v>0</v>
      </c>
      <c r="Q529" t="n">
        <v>0</v>
      </c>
      <c r="R529" s="2" t="inlineStr"/>
    </row>
    <row r="530" ht="15" customHeight="1">
      <c r="A530" t="inlineStr">
        <is>
          <t>A 33432-2023</t>
        </is>
      </c>
      <c r="B530" s="1" t="n">
        <v>45128</v>
      </c>
      <c r="C530" s="1" t="n">
        <v>45894</v>
      </c>
      <c r="D530" t="inlineStr">
        <is>
          <t>JÄMTLANDS LÄN</t>
        </is>
      </c>
      <c r="E530" t="inlineStr">
        <is>
          <t>RAGUNDA</t>
        </is>
      </c>
      <c r="F530" t="inlineStr">
        <is>
          <t>SCA</t>
        </is>
      </c>
      <c r="G530" t="n">
        <v>10</v>
      </c>
      <c r="H530" t="n">
        <v>0</v>
      </c>
      <c r="I530" t="n">
        <v>0</v>
      </c>
      <c r="J530" t="n">
        <v>0</v>
      </c>
      <c r="K530" t="n">
        <v>0</v>
      </c>
      <c r="L530" t="n">
        <v>0</v>
      </c>
      <c r="M530" t="n">
        <v>0</v>
      </c>
      <c r="N530" t="n">
        <v>0</v>
      </c>
      <c r="O530" t="n">
        <v>0</v>
      </c>
      <c r="P530" t="n">
        <v>0</v>
      </c>
      <c r="Q530" t="n">
        <v>0</v>
      </c>
      <c r="R530" s="2" t="inlineStr"/>
    </row>
    <row r="531" ht="15" customHeight="1">
      <c r="A531" t="inlineStr">
        <is>
          <t>A 9548-2025</t>
        </is>
      </c>
      <c r="B531" s="1" t="n">
        <v>45715.59405092592</v>
      </c>
      <c r="C531" s="1" t="n">
        <v>45894</v>
      </c>
      <c r="D531" t="inlineStr">
        <is>
          <t>JÄMTLANDS LÄN</t>
        </is>
      </c>
      <c r="E531" t="inlineStr">
        <is>
          <t>RAGUNDA</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12783-2023</t>
        </is>
      </c>
      <c r="B532" s="1" t="n">
        <v>45000</v>
      </c>
      <c r="C532" s="1" t="n">
        <v>45894</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53171-2024</t>
        </is>
      </c>
      <c r="B533" s="1" t="n">
        <v>45611.65679398148</v>
      </c>
      <c r="C533" s="1" t="n">
        <v>45894</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53989-2024</t>
        </is>
      </c>
      <c r="B534" s="1" t="n">
        <v>45616.34479166667</v>
      </c>
      <c r="C534" s="1" t="n">
        <v>45894</v>
      </c>
      <c r="D534" t="inlineStr">
        <is>
          <t>JÄMTLANDS LÄN</t>
        </is>
      </c>
      <c r="E534" t="inlineStr">
        <is>
          <t>RAGUNDA</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7279-2024</t>
        </is>
      </c>
      <c r="B535" s="1" t="n">
        <v>45344.92822916667</v>
      </c>
      <c r="C535" s="1" t="n">
        <v>45894</v>
      </c>
      <c r="D535" t="inlineStr">
        <is>
          <t>JÄMTLANDS LÄN</t>
        </is>
      </c>
      <c r="E535" t="inlineStr">
        <is>
          <t>RAGUNDA</t>
        </is>
      </c>
      <c r="G535" t="n">
        <v>2.1</v>
      </c>
      <c r="H535" t="n">
        <v>0</v>
      </c>
      <c r="I535" t="n">
        <v>0</v>
      </c>
      <c r="J535" t="n">
        <v>0</v>
      </c>
      <c r="K535" t="n">
        <v>0</v>
      </c>
      <c r="L535" t="n">
        <v>0</v>
      </c>
      <c r="M535" t="n">
        <v>0</v>
      </c>
      <c r="N535" t="n">
        <v>0</v>
      </c>
      <c r="O535" t="n">
        <v>0</v>
      </c>
      <c r="P535" t="n">
        <v>0</v>
      </c>
      <c r="Q535" t="n">
        <v>0</v>
      </c>
      <c r="R535" s="2" t="inlineStr"/>
    </row>
    <row r="536" ht="15" customHeight="1">
      <c r="A536" t="inlineStr">
        <is>
          <t>A 22311-2024</t>
        </is>
      </c>
      <c r="B536" s="1" t="n">
        <v>45446.57052083333</v>
      </c>
      <c r="C536" s="1" t="n">
        <v>45894</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15581-2024</t>
        </is>
      </c>
      <c r="B537" s="1" t="n">
        <v>45401</v>
      </c>
      <c r="C537" s="1" t="n">
        <v>45894</v>
      </c>
      <c r="D537" t="inlineStr">
        <is>
          <t>JÄMTLANDS LÄN</t>
        </is>
      </c>
      <c r="E537" t="inlineStr">
        <is>
          <t>RAGUNDA</t>
        </is>
      </c>
      <c r="F537" t="inlineStr">
        <is>
          <t>Kommuner</t>
        </is>
      </c>
      <c r="G537" t="n">
        <v>2.2</v>
      </c>
      <c r="H537" t="n">
        <v>0</v>
      </c>
      <c r="I537" t="n">
        <v>0</v>
      </c>
      <c r="J537" t="n">
        <v>0</v>
      </c>
      <c r="K537" t="n">
        <v>0</v>
      </c>
      <c r="L537" t="n">
        <v>0</v>
      </c>
      <c r="M537" t="n">
        <v>0</v>
      </c>
      <c r="N537" t="n">
        <v>0</v>
      </c>
      <c r="O537" t="n">
        <v>0</v>
      </c>
      <c r="P537" t="n">
        <v>0</v>
      </c>
      <c r="Q537" t="n">
        <v>0</v>
      </c>
      <c r="R537" s="2" t="inlineStr"/>
    </row>
    <row r="538" ht="15" customHeight="1">
      <c r="A538" t="inlineStr">
        <is>
          <t>A 15611-2024</t>
        </is>
      </c>
      <c r="B538" s="1" t="n">
        <v>45401</v>
      </c>
      <c r="C538" s="1" t="n">
        <v>45894</v>
      </c>
      <c r="D538" t="inlineStr">
        <is>
          <t>JÄMTLANDS LÄN</t>
        </is>
      </c>
      <c r="E538" t="inlineStr">
        <is>
          <t>RAGUNDA</t>
        </is>
      </c>
      <c r="F538" t="inlineStr">
        <is>
          <t>SCA</t>
        </is>
      </c>
      <c r="G538" t="n">
        <v>10.3</v>
      </c>
      <c r="H538" t="n">
        <v>0</v>
      </c>
      <c r="I538" t="n">
        <v>0</v>
      </c>
      <c r="J538" t="n">
        <v>0</v>
      </c>
      <c r="K538" t="n">
        <v>0</v>
      </c>
      <c r="L538" t="n">
        <v>0</v>
      </c>
      <c r="M538" t="n">
        <v>0</v>
      </c>
      <c r="N538" t="n">
        <v>0</v>
      </c>
      <c r="O538" t="n">
        <v>0</v>
      </c>
      <c r="P538" t="n">
        <v>0</v>
      </c>
      <c r="Q538" t="n">
        <v>0</v>
      </c>
      <c r="R538" s="2" t="inlineStr"/>
    </row>
    <row r="539" ht="15" customHeight="1">
      <c r="A539" t="inlineStr">
        <is>
          <t>A 23528-2024</t>
        </is>
      </c>
      <c r="B539" s="1" t="n">
        <v>45453.95016203704</v>
      </c>
      <c r="C539" s="1" t="n">
        <v>45894</v>
      </c>
      <c r="D539" t="inlineStr">
        <is>
          <t>JÄMTLANDS LÄN</t>
        </is>
      </c>
      <c r="E539" t="inlineStr">
        <is>
          <t>RAGUNDA</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54599-2023</t>
        </is>
      </c>
      <c r="B540" s="1" t="n">
        <v>45233.92591435185</v>
      </c>
      <c r="C540" s="1" t="n">
        <v>45894</v>
      </c>
      <c r="D540" t="inlineStr">
        <is>
          <t>JÄMTLANDS LÄN</t>
        </is>
      </c>
      <c r="E540" t="inlineStr">
        <is>
          <t>RAGUNDA</t>
        </is>
      </c>
      <c r="G540" t="n">
        <v>3.7</v>
      </c>
      <c r="H540" t="n">
        <v>0</v>
      </c>
      <c r="I540" t="n">
        <v>0</v>
      </c>
      <c r="J540" t="n">
        <v>0</v>
      </c>
      <c r="K540" t="n">
        <v>0</v>
      </c>
      <c r="L540" t="n">
        <v>0</v>
      </c>
      <c r="M540" t="n">
        <v>0</v>
      </c>
      <c r="N540" t="n">
        <v>0</v>
      </c>
      <c r="O540" t="n">
        <v>0</v>
      </c>
      <c r="P540" t="n">
        <v>0</v>
      </c>
      <c r="Q540" t="n">
        <v>0</v>
      </c>
      <c r="R540" s="2" t="inlineStr"/>
    </row>
    <row r="541" ht="15" customHeight="1">
      <c r="A541" t="inlineStr">
        <is>
          <t>A 4594-2024</t>
        </is>
      </c>
      <c r="B541" s="1" t="n">
        <v>45327.94459490741</v>
      </c>
      <c r="C541" s="1" t="n">
        <v>45894</v>
      </c>
      <c r="D541" t="inlineStr">
        <is>
          <t>JÄMTLANDS LÄN</t>
        </is>
      </c>
      <c r="E541" t="inlineStr">
        <is>
          <t>RAGUNDA</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19403-2025</t>
        </is>
      </c>
      <c r="B542" s="1" t="n">
        <v>45769.67790509259</v>
      </c>
      <c r="C542" s="1" t="n">
        <v>45894</v>
      </c>
      <c r="D542" t="inlineStr">
        <is>
          <t>JÄMTLANDS LÄN</t>
        </is>
      </c>
      <c r="E542" t="inlineStr">
        <is>
          <t>RAGUNDA</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30824-2023</t>
        </is>
      </c>
      <c r="B543" s="1" t="n">
        <v>45112.94303240741</v>
      </c>
      <c r="C543" s="1" t="n">
        <v>45894</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12660-2024</t>
        </is>
      </c>
      <c r="B544" s="1" t="n">
        <v>45384</v>
      </c>
      <c r="C544" s="1" t="n">
        <v>45894</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16635-2025</t>
        </is>
      </c>
      <c r="B545" s="1" t="n">
        <v>45754</v>
      </c>
      <c r="C545" s="1" t="n">
        <v>45894</v>
      </c>
      <c r="D545" t="inlineStr">
        <is>
          <t>JÄMTLANDS LÄN</t>
        </is>
      </c>
      <c r="E545" t="inlineStr">
        <is>
          <t>RAGUNDA</t>
        </is>
      </c>
      <c r="F545" t="inlineStr">
        <is>
          <t>SCA</t>
        </is>
      </c>
      <c r="G545" t="n">
        <v>55.4</v>
      </c>
      <c r="H545" t="n">
        <v>0</v>
      </c>
      <c r="I545" t="n">
        <v>0</v>
      </c>
      <c r="J545" t="n">
        <v>0</v>
      </c>
      <c r="K545" t="n">
        <v>0</v>
      </c>
      <c r="L545" t="n">
        <v>0</v>
      </c>
      <c r="M545" t="n">
        <v>0</v>
      </c>
      <c r="N545" t="n">
        <v>0</v>
      </c>
      <c r="O545" t="n">
        <v>0</v>
      </c>
      <c r="P545" t="n">
        <v>0</v>
      </c>
      <c r="Q545" t="n">
        <v>0</v>
      </c>
      <c r="R545" s="2" t="inlineStr"/>
    </row>
    <row r="546" ht="15" customHeight="1">
      <c r="A546" t="inlineStr">
        <is>
          <t>A 4014-2022</t>
        </is>
      </c>
      <c r="B546" s="1" t="n">
        <v>44587.92144675926</v>
      </c>
      <c r="C546" s="1" t="n">
        <v>45894</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55649-2023</t>
        </is>
      </c>
      <c r="B547" s="1" t="n">
        <v>45238</v>
      </c>
      <c r="C547" s="1" t="n">
        <v>45894</v>
      </c>
      <c r="D547" t="inlineStr">
        <is>
          <t>JÄMTLANDS LÄN</t>
        </is>
      </c>
      <c r="E547" t="inlineStr">
        <is>
          <t>RAGUNDA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11147-2025</t>
        </is>
      </c>
      <c r="B548" s="1" t="n">
        <v>45723.67777777778</v>
      </c>
      <c r="C548" s="1" t="n">
        <v>45894</v>
      </c>
      <c r="D548" t="inlineStr">
        <is>
          <t>JÄMTLANDS LÄN</t>
        </is>
      </c>
      <c r="E548" t="inlineStr">
        <is>
          <t>RAGUNDA</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9847-2025</t>
        </is>
      </c>
      <c r="B549" s="1" t="n">
        <v>45716.61487268518</v>
      </c>
      <c r="C549" s="1" t="n">
        <v>45894</v>
      </c>
      <c r="D549" t="inlineStr">
        <is>
          <t>JÄMTLANDS LÄN</t>
        </is>
      </c>
      <c r="E549" t="inlineStr">
        <is>
          <t>RAGUNDA</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52345-2024</t>
        </is>
      </c>
      <c r="B550" s="1" t="n">
        <v>45609.34412037037</v>
      </c>
      <c r="C550" s="1" t="n">
        <v>45894</v>
      </c>
      <c r="D550" t="inlineStr">
        <is>
          <t>JÄMTLANDS LÄN</t>
        </is>
      </c>
      <c r="E550" t="inlineStr">
        <is>
          <t>RAGUNDA</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12521-2023</t>
        </is>
      </c>
      <c r="B551" s="1" t="n">
        <v>45000</v>
      </c>
      <c r="C551" s="1" t="n">
        <v>45894</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28173-2024</t>
        </is>
      </c>
      <c r="B552" s="1" t="n">
        <v>45476.94533564815</v>
      </c>
      <c r="C552" s="1" t="n">
        <v>45894</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23734-2024</t>
        </is>
      </c>
      <c r="B553" s="1" t="n">
        <v>45454.95960648148</v>
      </c>
      <c r="C553" s="1" t="n">
        <v>45894</v>
      </c>
      <c r="D553" t="inlineStr">
        <is>
          <t>JÄMTLANDS LÄN</t>
        </is>
      </c>
      <c r="E553" t="inlineStr">
        <is>
          <t>RAGUNDA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38425-2022</t>
        </is>
      </c>
      <c r="B554" s="1" t="n">
        <v>44812.94709490741</v>
      </c>
      <c r="C554" s="1" t="n">
        <v>45894</v>
      </c>
      <c r="D554" t="inlineStr">
        <is>
          <t>JÄMTLANDS LÄN</t>
        </is>
      </c>
      <c r="E554" t="inlineStr">
        <is>
          <t>RAGUNDA</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12995-2023</t>
        </is>
      </c>
      <c r="B555" s="1" t="n">
        <v>45002.0328125</v>
      </c>
      <c r="C555" s="1" t="n">
        <v>45894</v>
      </c>
      <c r="D555" t="inlineStr">
        <is>
          <t>JÄMTLANDS LÄN</t>
        </is>
      </c>
      <c r="E555" t="inlineStr">
        <is>
          <t>RAGUNDA</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44755-2024</t>
        </is>
      </c>
      <c r="B556" s="1" t="n">
        <v>45574.61184027778</v>
      </c>
      <c r="C556" s="1" t="n">
        <v>45894</v>
      </c>
      <c r="D556" t="inlineStr">
        <is>
          <t>JÄMTLANDS LÄN</t>
        </is>
      </c>
      <c r="E556" t="inlineStr">
        <is>
          <t>RAGUNDA</t>
        </is>
      </c>
      <c r="G556" t="n">
        <v>4.4</v>
      </c>
      <c r="H556" t="n">
        <v>0</v>
      </c>
      <c r="I556" t="n">
        <v>0</v>
      </c>
      <c r="J556" t="n">
        <v>0</v>
      </c>
      <c r="K556" t="n">
        <v>0</v>
      </c>
      <c r="L556" t="n">
        <v>0</v>
      </c>
      <c r="M556" t="n">
        <v>0</v>
      </c>
      <c r="N556" t="n">
        <v>0</v>
      </c>
      <c r="O556" t="n">
        <v>0</v>
      </c>
      <c r="P556" t="n">
        <v>0</v>
      </c>
      <c r="Q556" t="n">
        <v>0</v>
      </c>
      <c r="R556" s="2" t="inlineStr"/>
    </row>
    <row r="557" ht="15" customHeight="1">
      <c r="A557" t="inlineStr">
        <is>
          <t>A 44766-2024</t>
        </is>
      </c>
      <c r="B557" s="1" t="n">
        <v>45574.62297453704</v>
      </c>
      <c r="C557" s="1" t="n">
        <v>45894</v>
      </c>
      <c r="D557" t="inlineStr">
        <is>
          <t>JÄMTLANDS LÄN</t>
        </is>
      </c>
      <c r="E557" t="inlineStr">
        <is>
          <t>RAGUNDA</t>
        </is>
      </c>
      <c r="G557" t="n">
        <v>3.2</v>
      </c>
      <c r="H557" t="n">
        <v>0</v>
      </c>
      <c r="I557" t="n">
        <v>0</v>
      </c>
      <c r="J557" t="n">
        <v>0</v>
      </c>
      <c r="K557" t="n">
        <v>0</v>
      </c>
      <c r="L557" t="n">
        <v>0</v>
      </c>
      <c r="M557" t="n">
        <v>0</v>
      </c>
      <c r="N557" t="n">
        <v>0</v>
      </c>
      <c r="O557" t="n">
        <v>0</v>
      </c>
      <c r="P557" t="n">
        <v>0</v>
      </c>
      <c r="Q557" t="n">
        <v>0</v>
      </c>
      <c r="R557" s="2" t="inlineStr"/>
    </row>
    <row r="558" ht="15" customHeight="1">
      <c r="A558" t="inlineStr">
        <is>
          <t>A 29319-2023</t>
        </is>
      </c>
      <c r="B558" s="1" t="n">
        <v>45105</v>
      </c>
      <c r="C558" s="1" t="n">
        <v>45894</v>
      </c>
      <c r="D558" t="inlineStr">
        <is>
          <t>JÄMTLANDS LÄN</t>
        </is>
      </c>
      <c r="E558" t="inlineStr">
        <is>
          <t>RAGUNDA</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16676-2022</t>
        </is>
      </c>
      <c r="B559" s="1" t="n">
        <v>44672.94018518519</v>
      </c>
      <c r="C559" s="1" t="n">
        <v>45894</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18612-2024</t>
        </is>
      </c>
      <c r="B560" s="1" t="n">
        <v>45425.96239583333</v>
      </c>
      <c r="C560" s="1" t="n">
        <v>45894</v>
      </c>
      <c r="D560" t="inlineStr">
        <is>
          <t>JÄMTLANDS LÄN</t>
        </is>
      </c>
      <c r="E560" t="inlineStr">
        <is>
          <t>RAGUNDA</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55536-2024</t>
        </is>
      </c>
      <c r="B561" s="1" t="n">
        <v>45622</v>
      </c>
      <c r="C561" s="1" t="n">
        <v>45894</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464-2023</t>
        </is>
      </c>
      <c r="B562" s="1" t="n">
        <v>44929.92489583333</v>
      </c>
      <c r="C562" s="1" t="n">
        <v>45894</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44597-2024</t>
        </is>
      </c>
      <c r="B563" s="1" t="n">
        <v>45574.51087962963</v>
      </c>
      <c r="C563" s="1" t="n">
        <v>45894</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44598-2024</t>
        </is>
      </c>
      <c r="B564" s="1" t="n">
        <v>45574.51090277778</v>
      </c>
      <c r="C564" s="1" t="n">
        <v>45894</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53769-2023</t>
        </is>
      </c>
      <c r="B565" s="1" t="n">
        <v>45230</v>
      </c>
      <c r="C565" s="1" t="n">
        <v>45894</v>
      </c>
      <c r="D565" t="inlineStr">
        <is>
          <t>JÄMTLANDS LÄN</t>
        </is>
      </c>
      <c r="E565" t="inlineStr">
        <is>
          <t>RAGUNDA</t>
        </is>
      </c>
      <c r="F565" t="inlineStr">
        <is>
          <t>SCA</t>
        </is>
      </c>
      <c r="G565" t="n">
        <v>11.6</v>
      </c>
      <c r="H565" t="n">
        <v>0</v>
      </c>
      <c r="I565" t="n">
        <v>0</v>
      </c>
      <c r="J565" t="n">
        <v>0</v>
      </c>
      <c r="K565" t="n">
        <v>0</v>
      </c>
      <c r="L565" t="n">
        <v>0</v>
      </c>
      <c r="M565" t="n">
        <v>0</v>
      </c>
      <c r="N565" t="n">
        <v>0</v>
      </c>
      <c r="O565" t="n">
        <v>0</v>
      </c>
      <c r="P565" t="n">
        <v>0</v>
      </c>
      <c r="Q565" t="n">
        <v>0</v>
      </c>
      <c r="R565" s="2" t="inlineStr"/>
    </row>
    <row r="566" ht="15" customHeight="1">
      <c r="A566" t="inlineStr">
        <is>
          <t>A 1554-2024</t>
        </is>
      </c>
      <c r="B566" s="1" t="n">
        <v>45306</v>
      </c>
      <c r="C566" s="1" t="n">
        <v>45894</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52228-2024</t>
        </is>
      </c>
      <c r="B567" s="1" t="n">
        <v>45608.6078587963</v>
      </c>
      <c r="C567" s="1" t="n">
        <v>45894</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45894</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20728-2025</t>
        </is>
      </c>
      <c r="B569" s="1" t="n">
        <v>45776.51130787037</v>
      </c>
      <c r="C569" s="1" t="n">
        <v>45894</v>
      </c>
      <c r="D569" t="inlineStr">
        <is>
          <t>JÄMTLANDS LÄN</t>
        </is>
      </c>
      <c r="E569" t="inlineStr">
        <is>
          <t>RAGUNDA</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2242-2024</t>
        </is>
      </c>
      <c r="B570" s="1" t="n">
        <v>45309</v>
      </c>
      <c r="C570" s="1" t="n">
        <v>45894</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2248-2024</t>
        </is>
      </c>
      <c r="B571" s="1" t="n">
        <v>45309</v>
      </c>
      <c r="C571" s="1" t="n">
        <v>45894</v>
      </c>
      <c r="D571" t="inlineStr">
        <is>
          <t>JÄMTLANDS LÄN</t>
        </is>
      </c>
      <c r="E571" t="inlineStr">
        <is>
          <t>RAGUNDA</t>
        </is>
      </c>
      <c r="G571" t="n">
        <v>4.2</v>
      </c>
      <c r="H571" t="n">
        <v>0</v>
      </c>
      <c r="I571" t="n">
        <v>0</v>
      </c>
      <c r="J571" t="n">
        <v>0</v>
      </c>
      <c r="K571" t="n">
        <v>0</v>
      </c>
      <c r="L571" t="n">
        <v>0</v>
      </c>
      <c r="M571" t="n">
        <v>0</v>
      </c>
      <c r="N571" t="n">
        <v>0</v>
      </c>
      <c r="O571" t="n">
        <v>0</v>
      </c>
      <c r="P571" t="n">
        <v>0</v>
      </c>
      <c r="Q571" t="n">
        <v>0</v>
      </c>
      <c r="R571" s="2" t="inlineStr"/>
    </row>
    <row r="572" ht="15" customHeight="1">
      <c r="A572" t="inlineStr">
        <is>
          <t>A 18610-2024</t>
        </is>
      </c>
      <c r="B572" s="1" t="n">
        <v>45425.96230324074</v>
      </c>
      <c r="C572" s="1" t="n">
        <v>45894</v>
      </c>
      <c r="D572" t="inlineStr">
        <is>
          <t>JÄMTLANDS LÄN</t>
        </is>
      </c>
      <c r="E572" t="inlineStr">
        <is>
          <t>RAGUNDA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57116-2024</t>
        </is>
      </c>
      <c r="B573" s="1" t="n">
        <v>45629.36513888889</v>
      </c>
      <c r="C573" s="1" t="n">
        <v>45894</v>
      </c>
      <c r="D573" t="inlineStr">
        <is>
          <t>JÄMTLANDS LÄN</t>
        </is>
      </c>
      <c r="E573" t="inlineStr">
        <is>
          <t>RAGUNDA</t>
        </is>
      </c>
      <c r="G573" t="n">
        <v>0.6</v>
      </c>
      <c r="H573" t="n">
        <v>0</v>
      </c>
      <c r="I573" t="n">
        <v>0</v>
      </c>
      <c r="J573" t="n">
        <v>0</v>
      </c>
      <c r="K573" t="n">
        <v>0</v>
      </c>
      <c r="L573" t="n">
        <v>0</v>
      </c>
      <c r="M573" t="n">
        <v>0</v>
      </c>
      <c r="N573" t="n">
        <v>0</v>
      </c>
      <c r="O573" t="n">
        <v>0</v>
      </c>
      <c r="P573" t="n">
        <v>0</v>
      </c>
      <c r="Q573" t="n">
        <v>0</v>
      </c>
      <c r="R573" s="2" t="inlineStr"/>
    </row>
    <row r="574" ht="15" customHeight="1">
      <c r="A574" t="inlineStr">
        <is>
          <t>A 20653-2025</t>
        </is>
      </c>
      <c r="B574" s="1" t="n">
        <v>45776.40311342593</v>
      </c>
      <c r="C574" s="1" t="n">
        <v>45894</v>
      </c>
      <c r="D574" t="inlineStr">
        <is>
          <t>JÄMTLANDS LÄN</t>
        </is>
      </c>
      <c r="E574" t="inlineStr">
        <is>
          <t>RAGUNDA</t>
        </is>
      </c>
      <c r="G574" t="n">
        <v>10.8</v>
      </c>
      <c r="H574" t="n">
        <v>0</v>
      </c>
      <c r="I574" t="n">
        <v>0</v>
      </c>
      <c r="J574" t="n">
        <v>0</v>
      </c>
      <c r="K574" t="n">
        <v>0</v>
      </c>
      <c r="L574" t="n">
        <v>0</v>
      </c>
      <c r="M574" t="n">
        <v>0</v>
      </c>
      <c r="N574" t="n">
        <v>0</v>
      </c>
      <c r="O574" t="n">
        <v>0</v>
      </c>
      <c r="P574" t="n">
        <v>0</v>
      </c>
      <c r="Q574" t="n">
        <v>0</v>
      </c>
      <c r="R574" s="2" t="inlineStr"/>
    </row>
    <row r="575" ht="15" customHeight="1">
      <c r="A575" t="inlineStr">
        <is>
          <t>A 19264-2025</t>
        </is>
      </c>
      <c r="B575" s="1" t="n">
        <v>45769.51087962963</v>
      </c>
      <c r="C575" s="1" t="n">
        <v>45894</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20722-2025</t>
        </is>
      </c>
      <c r="B576" s="1" t="n">
        <v>45776.50651620371</v>
      </c>
      <c r="C576" s="1" t="n">
        <v>45894</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29263-2024</t>
        </is>
      </c>
      <c r="B577" s="1" t="n">
        <v>45482.94891203703</v>
      </c>
      <c r="C577" s="1" t="n">
        <v>45894</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3104-2025</t>
        </is>
      </c>
      <c r="B578" s="1" t="n">
        <v>45678.67761574074</v>
      </c>
      <c r="C578" s="1" t="n">
        <v>45894</v>
      </c>
      <c r="D578" t="inlineStr">
        <is>
          <t>JÄMTLANDS LÄN</t>
        </is>
      </c>
      <c r="E578" t="inlineStr">
        <is>
          <t>RAGUNDA</t>
        </is>
      </c>
      <c r="F578" t="inlineStr">
        <is>
          <t>SCA</t>
        </is>
      </c>
      <c r="G578" t="n">
        <v>46.2</v>
      </c>
      <c r="H578" t="n">
        <v>0</v>
      </c>
      <c r="I578" t="n">
        <v>0</v>
      </c>
      <c r="J578" t="n">
        <v>0</v>
      </c>
      <c r="K578" t="n">
        <v>0</v>
      </c>
      <c r="L578" t="n">
        <v>0</v>
      </c>
      <c r="M578" t="n">
        <v>0</v>
      </c>
      <c r="N578" t="n">
        <v>0</v>
      </c>
      <c r="O578" t="n">
        <v>0</v>
      </c>
      <c r="P578" t="n">
        <v>0</v>
      </c>
      <c r="Q578" t="n">
        <v>0</v>
      </c>
      <c r="R578" s="2" t="inlineStr"/>
    </row>
    <row r="579" ht="15" customHeight="1">
      <c r="A579" t="inlineStr">
        <is>
          <t>A 8800-2025</t>
        </is>
      </c>
      <c r="B579" s="1" t="n">
        <v>45712.65671296296</v>
      </c>
      <c r="C579" s="1" t="n">
        <v>45894</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20777-2025</t>
        </is>
      </c>
      <c r="B580" s="1" t="n">
        <v>45776.59422453704</v>
      </c>
      <c r="C580" s="1" t="n">
        <v>45894</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21150-2025</t>
        </is>
      </c>
      <c r="B581" s="1" t="n">
        <v>45779.34417824074</v>
      </c>
      <c r="C581" s="1" t="n">
        <v>45894</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21177-2025</t>
        </is>
      </c>
      <c r="B582" s="1" t="n">
        <v>45779.4281712963</v>
      </c>
      <c r="C582" s="1" t="n">
        <v>45894</v>
      </c>
      <c r="D582" t="inlineStr">
        <is>
          <t>JÄMTLANDS LÄN</t>
        </is>
      </c>
      <c r="E582" t="inlineStr">
        <is>
          <t>RAGUNDA</t>
        </is>
      </c>
      <c r="F582" t="inlineStr">
        <is>
          <t>SCA</t>
        </is>
      </c>
      <c r="G582" t="n">
        <v>16.1</v>
      </c>
      <c r="H582" t="n">
        <v>0</v>
      </c>
      <c r="I582" t="n">
        <v>0</v>
      </c>
      <c r="J582" t="n">
        <v>0</v>
      </c>
      <c r="K582" t="n">
        <v>0</v>
      </c>
      <c r="L582" t="n">
        <v>0</v>
      </c>
      <c r="M582" t="n">
        <v>0</v>
      </c>
      <c r="N582" t="n">
        <v>0</v>
      </c>
      <c r="O582" t="n">
        <v>0</v>
      </c>
      <c r="P582" t="n">
        <v>0</v>
      </c>
      <c r="Q582" t="n">
        <v>0</v>
      </c>
      <c r="R582" s="2" t="inlineStr"/>
    </row>
    <row r="583" ht="15" customHeight="1">
      <c r="A583" t="inlineStr">
        <is>
          <t>A 29265-2024</t>
        </is>
      </c>
      <c r="B583" s="1" t="n">
        <v>45482.9491087963</v>
      </c>
      <c r="C583" s="1" t="n">
        <v>45894</v>
      </c>
      <c r="D583" t="inlineStr">
        <is>
          <t>JÄMTLANDS LÄN</t>
        </is>
      </c>
      <c r="E583" t="inlineStr">
        <is>
          <t>RAGUNDA</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21214-2025</t>
        </is>
      </c>
      <c r="B584" s="1" t="n">
        <v>45779.49025462963</v>
      </c>
      <c r="C584" s="1" t="n">
        <v>45894</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27291-2022</t>
        </is>
      </c>
      <c r="B585" s="1" t="n">
        <v>44741.94070601852</v>
      </c>
      <c r="C585" s="1" t="n">
        <v>45894</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8776-2025</t>
        </is>
      </c>
      <c r="B586" s="1" t="n">
        <v>45712.61510416667</v>
      </c>
      <c r="C586" s="1" t="n">
        <v>45894</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22941-2024</t>
        </is>
      </c>
      <c r="B587" s="1" t="n">
        <v>45448.94520833333</v>
      </c>
      <c r="C587" s="1" t="n">
        <v>45894</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21430-2025</t>
        </is>
      </c>
      <c r="B588" s="1" t="n">
        <v>45782.51099537037</v>
      </c>
      <c r="C588" s="1" t="n">
        <v>45894</v>
      </c>
      <c r="D588" t="inlineStr">
        <is>
          <t>JÄMTLANDS LÄN</t>
        </is>
      </c>
      <c r="E588" t="inlineStr">
        <is>
          <t>RAGUNDA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44881-2023</t>
        </is>
      </c>
      <c r="B589" s="1" t="n">
        <v>45187</v>
      </c>
      <c r="C589" s="1" t="n">
        <v>45894</v>
      </c>
      <c r="D589" t="inlineStr">
        <is>
          <t>JÄMTLANDS LÄN</t>
        </is>
      </c>
      <c r="E589" t="inlineStr">
        <is>
          <t>RAGUNDA</t>
        </is>
      </c>
      <c r="G589" t="n">
        <v>2.4</v>
      </c>
      <c r="H589" t="n">
        <v>0</v>
      </c>
      <c r="I589" t="n">
        <v>0</v>
      </c>
      <c r="J589" t="n">
        <v>0</v>
      </c>
      <c r="K589" t="n">
        <v>0</v>
      </c>
      <c r="L589" t="n">
        <v>0</v>
      </c>
      <c r="M589" t="n">
        <v>0</v>
      </c>
      <c r="N589" t="n">
        <v>0</v>
      </c>
      <c r="O589" t="n">
        <v>0</v>
      </c>
      <c r="P589" t="n">
        <v>0</v>
      </c>
      <c r="Q589" t="n">
        <v>0</v>
      </c>
      <c r="R589" s="2" t="inlineStr"/>
    </row>
    <row r="590" ht="15" customHeight="1">
      <c r="A590" t="inlineStr">
        <is>
          <t>A 14821-2025</t>
        </is>
      </c>
      <c r="B590" s="1" t="n">
        <v>45743.36</v>
      </c>
      <c r="C590" s="1" t="n">
        <v>45894</v>
      </c>
      <c r="D590" t="inlineStr">
        <is>
          <t>JÄMTLANDS LÄN</t>
        </is>
      </c>
      <c r="E590" t="inlineStr">
        <is>
          <t>RAGUNDA</t>
        </is>
      </c>
      <c r="F590" t="inlineStr">
        <is>
          <t>Kyrkan</t>
        </is>
      </c>
      <c r="G590" t="n">
        <v>6.4</v>
      </c>
      <c r="H590" t="n">
        <v>0</v>
      </c>
      <c r="I590" t="n">
        <v>0</v>
      </c>
      <c r="J590" t="n">
        <v>0</v>
      </c>
      <c r="K590" t="n">
        <v>0</v>
      </c>
      <c r="L590" t="n">
        <v>0</v>
      </c>
      <c r="M590" t="n">
        <v>0</v>
      </c>
      <c r="N590" t="n">
        <v>0</v>
      </c>
      <c r="O590" t="n">
        <v>0</v>
      </c>
      <c r="P590" t="n">
        <v>0</v>
      </c>
      <c r="Q590" t="n">
        <v>0</v>
      </c>
      <c r="R590" s="2" t="inlineStr"/>
    </row>
    <row r="591" ht="15" customHeight="1">
      <c r="A591" t="inlineStr">
        <is>
          <t>A 21451-2025</t>
        </is>
      </c>
      <c r="B591" s="1" t="n">
        <v>45782.55287037037</v>
      </c>
      <c r="C591" s="1" t="n">
        <v>45894</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21332-2025</t>
        </is>
      </c>
      <c r="B592" s="1" t="n">
        <v>45782.36506944444</v>
      </c>
      <c r="C592" s="1" t="n">
        <v>45894</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21405-2025</t>
        </is>
      </c>
      <c r="B593" s="1" t="n">
        <v>45782.49032407408</v>
      </c>
      <c r="C593" s="1" t="n">
        <v>45894</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21406-2025</t>
        </is>
      </c>
      <c r="B594" s="1" t="n">
        <v>45782.49046296296</v>
      </c>
      <c r="C594" s="1" t="n">
        <v>45894</v>
      </c>
      <c r="D594" t="inlineStr">
        <is>
          <t>JÄMTLANDS LÄN</t>
        </is>
      </c>
      <c r="E594" t="inlineStr">
        <is>
          <t>RAGUNDA</t>
        </is>
      </c>
      <c r="F594" t="inlineStr">
        <is>
          <t>SCA</t>
        </is>
      </c>
      <c r="G594" t="n">
        <v>8.6</v>
      </c>
      <c r="H594" t="n">
        <v>0</v>
      </c>
      <c r="I594" t="n">
        <v>0</v>
      </c>
      <c r="J594" t="n">
        <v>0</v>
      </c>
      <c r="K594" t="n">
        <v>0</v>
      </c>
      <c r="L594" t="n">
        <v>0</v>
      </c>
      <c r="M594" t="n">
        <v>0</v>
      </c>
      <c r="N594" t="n">
        <v>0</v>
      </c>
      <c r="O594" t="n">
        <v>0</v>
      </c>
      <c r="P594" t="n">
        <v>0</v>
      </c>
      <c r="Q594" t="n">
        <v>0</v>
      </c>
      <c r="R594" s="2" t="inlineStr"/>
    </row>
    <row r="595" ht="15" customHeight="1">
      <c r="A595" t="inlineStr">
        <is>
          <t>A 36375-2022</t>
        </is>
      </c>
      <c r="B595" s="1" t="n">
        <v>44803.94351851852</v>
      </c>
      <c r="C595" s="1" t="n">
        <v>45894</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21432-2025</t>
        </is>
      </c>
      <c r="B596" s="1" t="n">
        <v>45782.51109953703</v>
      </c>
      <c r="C596" s="1" t="n">
        <v>45894</v>
      </c>
      <c r="D596" t="inlineStr">
        <is>
          <t>JÄMTLANDS LÄN</t>
        </is>
      </c>
      <c r="E596" t="inlineStr">
        <is>
          <t>RAGUNDA</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21331-2025</t>
        </is>
      </c>
      <c r="B597" s="1" t="n">
        <v>45782.36494212963</v>
      </c>
      <c r="C597" s="1" t="n">
        <v>45894</v>
      </c>
      <c r="D597" t="inlineStr">
        <is>
          <t>JÄMTLANDS LÄN</t>
        </is>
      </c>
      <c r="E597" t="inlineStr">
        <is>
          <t>RAGUNDA</t>
        </is>
      </c>
      <c r="F597" t="inlineStr">
        <is>
          <t>SCA</t>
        </is>
      </c>
      <c r="G597" t="n">
        <v>23.1</v>
      </c>
      <c r="H597" t="n">
        <v>0</v>
      </c>
      <c r="I597" t="n">
        <v>0</v>
      </c>
      <c r="J597" t="n">
        <v>0</v>
      </c>
      <c r="K597" t="n">
        <v>0</v>
      </c>
      <c r="L597" t="n">
        <v>0</v>
      </c>
      <c r="M597" t="n">
        <v>0</v>
      </c>
      <c r="N597" t="n">
        <v>0</v>
      </c>
      <c r="O597" t="n">
        <v>0</v>
      </c>
      <c r="P597" t="n">
        <v>0</v>
      </c>
      <c r="Q597" t="n">
        <v>0</v>
      </c>
      <c r="R597" s="2" t="inlineStr"/>
    </row>
    <row r="598" ht="15" customHeight="1">
      <c r="A598" t="inlineStr">
        <is>
          <t>A 8679-2023</t>
        </is>
      </c>
      <c r="B598" s="1" t="n">
        <v>44977.98670138889</v>
      </c>
      <c r="C598" s="1" t="n">
        <v>45894</v>
      </c>
      <c r="D598" t="inlineStr">
        <is>
          <t>JÄMTLANDS LÄN</t>
        </is>
      </c>
      <c r="E598" t="inlineStr">
        <is>
          <t>RAGUNDA</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40246-2024</t>
        </is>
      </c>
      <c r="B599" s="1" t="n">
        <v>45554.61583333334</v>
      </c>
      <c r="C599" s="1" t="n">
        <v>45894</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4878-2022</t>
        </is>
      </c>
      <c r="B600" s="1" t="n">
        <v>44593</v>
      </c>
      <c r="C600" s="1" t="n">
        <v>45894</v>
      </c>
      <c r="D600" t="inlineStr">
        <is>
          <t>JÄMTLANDS LÄN</t>
        </is>
      </c>
      <c r="E600" t="inlineStr">
        <is>
          <t>RAGUNDA</t>
        </is>
      </c>
      <c r="G600" t="n">
        <v>21.7</v>
      </c>
      <c r="H600" t="n">
        <v>0</v>
      </c>
      <c r="I600" t="n">
        <v>0</v>
      </c>
      <c r="J600" t="n">
        <v>0</v>
      </c>
      <c r="K600" t="n">
        <v>0</v>
      </c>
      <c r="L600" t="n">
        <v>0</v>
      </c>
      <c r="M600" t="n">
        <v>0</v>
      </c>
      <c r="N600" t="n">
        <v>0</v>
      </c>
      <c r="O600" t="n">
        <v>0</v>
      </c>
      <c r="P600" t="n">
        <v>0</v>
      </c>
      <c r="Q600" t="n">
        <v>0</v>
      </c>
      <c r="R600" s="2" t="inlineStr"/>
    </row>
    <row r="601" ht="15" customHeight="1">
      <c r="A601" t="inlineStr">
        <is>
          <t>A 57237-2022</t>
        </is>
      </c>
      <c r="B601" s="1" t="n">
        <v>44889</v>
      </c>
      <c r="C601" s="1" t="n">
        <v>45894</v>
      </c>
      <c r="D601" t="inlineStr">
        <is>
          <t>JÄMTLANDS LÄN</t>
        </is>
      </c>
      <c r="E601" t="inlineStr">
        <is>
          <t>RAGUNDA</t>
        </is>
      </c>
      <c r="G601" t="n">
        <v>2.2</v>
      </c>
      <c r="H601" t="n">
        <v>0</v>
      </c>
      <c r="I601" t="n">
        <v>0</v>
      </c>
      <c r="J601" t="n">
        <v>0</v>
      </c>
      <c r="K601" t="n">
        <v>0</v>
      </c>
      <c r="L601" t="n">
        <v>0</v>
      </c>
      <c r="M601" t="n">
        <v>0</v>
      </c>
      <c r="N601" t="n">
        <v>0</v>
      </c>
      <c r="O601" t="n">
        <v>0</v>
      </c>
      <c r="P601" t="n">
        <v>0</v>
      </c>
      <c r="Q601" t="n">
        <v>0</v>
      </c>
      <c r="R601" s="2" t="inlineStr"/>
    </row>
    <row r="602" ht="15" customHeight="1">
      <c r="A602" t="inlineStr">
        <is>
          <t>A 9325-2024</t>
        </is>
      </c>
      <c r="B602" s="1" t="n">
        <v>45358.95813657407</v>
      </c>
      <c r="C602" s="1" t="n">
        <v>45894</v>
      </c>
      <c r="D602" t="inlineStr">
        <is>
          <t>JÄMTLANDS LÄN</t>
        </is>
      </c>
      <c r="E602" t="inlineStr">
        <is>
          <t>RAGUNDA</t>
        </is>
      </c>
      <c r="G602" t="n">
        <v>3.1</v>
      </c>
      <c r="H602" t="n">
        <v>0</v>
      </c>
      <c r="I602" t="n">
        <v>0</v>
      </c>
      <c r="J602" t="n">
        <v>0</v>
      </c>
      <c r="K602" t="n">
        <v>0</v>
      </c>
      <c r="L602" t="n">
        <v>0</v>
      </c>
      <c r="M602" t="n">
        <v>0</v>
      </c>
      <c r="N602" t="n">
        <v>0</v>
      </c>
      <c r="O602" t="n">
        <v>0</v>
      </c>
      <c r="P602" t="n">
        <v>0</v>
      </c>
      <c r="Q602" t="n">
        <v>0</v>
      </c>
      <c r="R602" s="2" t="inlineStr"/>
    </row>
    <row r="603" ht="15" customHeight="1">
      <c r="A603" t="inlineStr">
        <is>
          <t>A 5930-2025</t>
        </is>
      </c>
      <c r="B603" s="1" t="n">
        <v>45695.44724537037</v>
      </c>
      <c r="C603" s="1" t="n">
        <v>45894</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21550-2025</t>
        </is>
      </c>
      <c r="B604" s="1" t="n">
        <v>45782.67758101852</v>
      </c>
      <c r="C604" s="1" t="n">
        <v>45894</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57170-2024</t>
        </is>
      </c>
      <c r="B605" s="1" t="n">
        <v>45629.42759259259</v>
      </c>
      <c r="C605" s="1" t="n">
        <v>45894</v>
      </c>
      <c r="D605" t="inlineStr">
        <is>
          <t>JÄMTLANDS LÄN</t>
        </is>
      </c>
      <c r="E605" t="inlineStr">
        <is>
          <t>RAGUNDA</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2133-2023</t>
        </is>
      </c>
      <c r="B606" s="1" t="n">
        <v>44939</v>
      </c>
      <c r="C606" s="1" t="n">
        <v>45894</v>
      </c>
      <c r="D606" t="inlineStr">
        <is>
          <t>JÄMTLANDS LÄN</t>
        </is>
      </c>
      <c r="E606" t="inlineStr">
        <is>
          <t>RAGUNDA</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19419-2024</t>
        </is>
      </c>
      <c r="B607" s="1" t="n">
        <v>45429</v>
      </c>
      <c r="C607" s="1" t="n">
        <v>45894</v>
      </c>
      <c r="D607" t="inlineStr">
        <is>
          <t>JÄMTLANDS LÄN</t>
        </is>
      </c>
      <c r="E607" t="inlineStr">
        <is>
          <t>RAGUNDA</t>
        </is>
      </c>
      <c r="G607" t="n">
        <v>3.5</v>
      </c>
      <c r="H607" t="n">
        <v>0</v>
      </c>
      <c r="I607" t="n">
        <v>0</v>
      </c>
      <c r="J607" t="n">
        <v>0</v>
      </c>
      <c r="K607" t="n">
        <v>0</v>
      </c>
      <c r="L607" t="n">
        <v>0</v>
      </c>
      <c r="M607" t="n">
        <v>0</v>
      </c>
      <c r="N607" t="n">
        <v>0</v>
      </c>
      <c r="O607" t="n">
        <v>0</v>
      </c>
      <c r="P607" t="n">
        <v>0</v>
      </c>
      <c r="Q607" t="n">
        <v>0</v>
      </c>
      <c r="R607" s="2" t="inlineStr"/>
    </row>
    <row r="608" ht="15" customHeight="1">
      <c r="A608" t="inlineStr">
        <is>
          <t>A 19383-2025</t>
        </is>
      </c>
      <c r="B608" s="1" t="n">
        <v>45769.65688657408</v>
      </c>
      <c r="C608" s="1" t="n">
        <v>45894</v>
      </c>
      <c r="D608" t="inlineStr">
        <is>
          <t>JÄMTLANDS LÄN</t>
        </is>
      </c>
      <c r="E608" t="inlineStr">
        <is>
          <t>RAGUNDA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65341-2020</t>
        </is>
      </c>
      <c r="B609" s="1" t="n">
        <v>44173</v>
      </c>
      <c r="C609" s="1" t="n">
        <v>45894</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49229-2024</t>
        </is>
      </c>
      <c r="B610" s="1" t="n">
        <v>45595.42738425926</v>
      </c>
      <c r="C610" s="1" t="n">
        <v>45894</v>
      </c>
      <c r="D610" t="inlineStr">
        <is>
          <t>JÄMTLANDS LÄN</t>
        </is>
      </c>
      <c r="E610" t="inlineStr">
        <is>
          <t>RAGUNDA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13700-2023</t>
        </is>
      </c>
      <c r="B611" s="1" t="n">
        <v>45006</v>
      </c>
      <c r="C611" s="1" t="n">
        <v>45894</v>
      </c>
      <c r="D611" t="inlineStr">
        <is>
          <t>JÄMTLANDS LÄN</t>
        </is>
      </c>
      <c r="E611" t="inlineStr">
        <is>
          <t>RAGUNDA</t>
        </is>
      </c>
      <c r="F611" t="inlineStr">
        <is>
          <t>SCA</t>
        </is>
      </c>
      <c r="G611" t="n">
        <v>50.3</v>
      </c>
      <c r="H611" t="n">
        <v>0</v>
      </c>
      <c r="I611" t="n">
        <v>0</v>
      </c>
      <c r="J611" t="n">
        <v>0</v>
      </c>
      <c r="K611" t="n">
        <v>0</v>
      </c>
      <c r="L611" t="n">
        <v>0</v>
      </c>
      <c r="M611" t="n">
        <v>0</v>
      </c>
      <c r="N611" t="n">
        <v>0</v>
      </c>
      <c r="O611" t="n">
        <v>0</v>
      </c>
      <c r="P611" t="n">
        <v>0</v>
      </c>
      <c r="Q611" t="n">
        <v>0</v>
      </c>
      <c r="R611" s="2" t="inlineStr"/>
    </row>
    <row r="612" ht="15" customHeight="1">
      <c r="A612" t="inlineStr">
        <is>
          <t>A 51389-2024</t>
        </is>
      </c>
      <c r="B612" s="1" t="n">
        <v>45604.40540509259</v>
      </c>
      <c r="C612" s="1" t="n">
        <v>45894</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51393-2024</t>
        </is>
      </c>
      <c r="B613" s="1" t="n">
        <v>45604.41625</v>
      </c>
      <c r="C613" s="1" t="n">
        <v>45894</v>
      </c>
      <c r="D613" t="inlineStr">
        <is>
          <t>JÄMTLANDS LÄN</t>
        </is>
      </c>
      <c r="E613" t="inlineStr">
        <is>
          <t>RAGUNDA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8795-2022</t>
        </is>
      </c>
      <c r="B614" s="1" t="n">
        <v>44614</v>
      </c>
      <c r="C614" s="1" t="n">
        <v>45894</v>
      </c>
      <c r="D614" t="inlineStr">
        <is>
          <t>JÄMTLANDS LÄN</t>
        </is>
      </c>
      <c r="E614" t="inlineStr">
        <is>
          <t>RAGUNDA</t>
        </is>
      </c>
      <c r="G614" t="n">
        <v>3.9</v>
      </c>
      <c r="H614" t="n">
        <v>0</v>
      </c>
      <c r="I614" t="n">
        <v>0</v>
      </c>
      <c r="J614" t="n">
        <v>0</v>
      </c>
      <c r="K614" t="n">
        <v>0</v>
      </c>
      <c r="L614" t="n">
        <v>0</v>
      </c>
      <c r="M614" t="n">
        <v>0</v>
      </c>
      <c r="N614" t="n">
        <v>0</v>
      </c>
      <c r="O614" t="n">
        <v>0</v>
      </c>
      <c r="P614" t="n">
        <v>0</v>
      </c>
      <c r="Q614" t="n">
        <v>0</v>
      </c>
      <c r="R614" s="2" t="inlineStr"/>
    </row>
    <row r="615" ht="15" customHeight="1">
      <c r="A615" t="inlineStr">
        <is>
          <t>A 57889-2024</t>
        </is>
      </c>
      <c r="B615" s="1" t="n">
        <v>45631.46665509259</v>
      </c>
      <c r="C615" s="1" t="n">
        <v>45894</v>
      </c>
      <c r="D615" t="inlineStr">
        <is>
          <t>JÄMTLANDS LÄN</t>
        </is>
      </c>
      <c r="E615" t="inlineStr">
        <is>
          <t>RAGUNDA</t>
        </is>
      </c>
      <c r="G615" t="n">
        <v>11.1</v>
      </c>
      <c r="H615" t="n">
        <v>0</v>
      </c>
      <c r="I615" t="n">
        <v>0</v>
      </c>
      <c r="J615" t="n">
        <v>0</v>
      </c>
      <c r="K615" t="n">
        <v>0</v>
      </c>
      <c r="L615" t="n">
        <v>0</v>
      </c>
      <c r="M615" t="n">
        <v>0</v>
      </c>
      <c r="N615" t="n">
        <v>0</v>
      </c>
      <c r="O615" t="n">
        <v>0</v>
      </c>
      <c r="P615" t="n">
        <v>0</v>
      </c>
      <c r="Q615" t="n">
        <v>0</v>
      </c>
      <c r="R615" s="2" t="inlineStr"/>
    </row>
    <row r="616" ht="15" customHeight="1">
      <c r="A616" t="inlineStr">
        <is>
          <t>A 35265-2023</t>
        </is>
      </c>
      <c r="B616" s="1" t="n">
        <v>45145.95326388889</v>
      </c>
      <c r="C616" s="1" t="n">
        <v>45894</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5148-2023</t>
        </is>
      </c>
      <c r="B617" s="1" t="n">
        <v>44958</v>
      </c>
      <c r="C617" s="1" t="n">
        <v>45894</v>
      </c>
      <c r="D617" t="inlineStr">
        <is>
          <t>JÄMTLANDS LÄN</t>
        </is>
      </c>
      <c r="E617" t="inlineStr">
        <is>
          <t>RAGUNDA</t>
        </is>
      </c>
      <c r="G617" t="n">
        <v>2.9</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45894</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18778-2024</t>
        </is>
      </c>
      <c r="B619" s="1" t="n">
        <v>45426</v>
      </c>
      <c r="C619" s="1" t="n">
        <v>45894</v>
      </c>
      <c r="D619" t="inlineStr">
        <is>
          <t>JÄMTLANDS LÄN</t>
        </is>
      </c>
      <c r="E619" t="inlineStr">
        <is>
          <t>RAGUNDA</t>
        </is>
      </c>
      <c r="G619" t="n">
        <v>0.9</v>
      </c>
      <c r="H619" t="n">
        <v>0</v>
      </c>
      <c r="I619" t="n">
        <v>0</v>
      </c>
      <c r="J619" t="n">
        <v>0</v>
      </c>
      <c r="K619" t="n">
        <v>0</v>
      </c>
      <c r="L619" t="n">
        <v>0</v>
      </c>
      <c r="M619" t="n">
        <v>0</v>
      </c>
      <c r="N619" t="n">
        <v>0</v>
      </c>
      <c r="O619" t="n">
        <v>0</v>
      </c>
      <c r="P619" t="n">
        <v>0</v>
      </c>
      <c r="Q619" t="n">
        <v>0</v>
      </c>
      <c r="R619" s="2" t="inlineStr"/>
    </row>
    <row r="620" ht="15" customHeight="1">
      <c r="A620" t="inlineStr">
        <is>
          <t>A 59556-2024</t>
        </is>
      </c>
      <c r="B620" s="1" t="n">
        <v>45638.63600694444</v>
      </c>
      <c r="C620" s="1" t="n">
        <v>45894</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20987-2023</t>
        </is>
      </c>
      <c r="B621" s="1" t="n">
        <v>45056</v>
      </c>
      <c r="C621" s="1" t="n">
        <v>45894</v>
      </c>
      <c r="D621" t="inlineStr">
        <is>
          <t>JÄMTLANDS LÄN</t>
        </is>
      </c>
      <c r="E621" t="inlineStr">
        <is>
          <t>RAGUNDA</t>
        </is>
      </c>
      <c r="G621" t="n">
        <v>1.1</v>
      </c>
      <c r="H621" t="n">
        <v>0</v>
      </c>
      <c r="I621" t="n">
        <v>0</v>
      </c>
      <c r="J621" t="n">
        <v>0</v>
      </c>
      <c r="K621" t="n">
        <v>0</v>
      </c>
      <c r="L621" t="n">
        <v>0</v>
      </c>
      <c r="M621" t="n">
        <v>0</v>
      </c>
      <c r="N621" t="n">
        <v>0</v>
      </c>
      <c r="O621" t="n">
        <v>0</v>
      </c>
      <c r="P621" t="n">
        <v>0</v>
      </c>
      <c r="Q621" t="n">
        <v>0</v>
      </c>
      <c r="R621" s="2" t="inlineStr"/>
    </row>
    <row r="622" ht="15" customHeight="1">
      <c r="A622" t="inlineStr">
        <is>
          <t>A 20994-2023</t>
        </is>
      </c>
      <c r="B622" s="1" t="n">
        <v>45056</v>
      </c>
      <c r="C622" s="1" t="n">
        <v>45894</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55669-2023</t>
        </is>
      </c>
      <c r="B623" s="1" t="n">
        <v>45238.96797453704</v>
      </c>
      <c r="C623" s="1" t="n">
        <v>45894</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60629-2023</t>
        </is>
      </c>
      <c r="B624" s="1" t="n">
        <v>45259</v>
      </c>
      <c r="C624" s="1" t="n">
        <v>45894</v>
      </c>
      <c r="D624" t="inlineStr">
        <is>
          <t>JÄMTLANDS LÄN</t>
        </is>
      </c>
      <c r="E624" t="inlineStr">
        <is>
          <t>RAGUNDA</t>
        </is>
      </c>
      <c r="G624" t="n">
        <v>3.4</v>
      </c>
      <c r="H624" t="n">
        <v>0</v>
      </c>
      <c r="I624" t="n">
        <v>0</v>
      </c>
      <c r="J624" t="n">
        <v>0</v>
      </c>
      <c r="K624" t="n">
        <v>0</v>
      </c>
      <c r="L624" t="n">
        <v>0</v>
      </c>
      <c r="M624" t="n">
        <v>0</v>
      </c>
      <c r="N624" t="n">
        <v>0</v>
      </c>
      <c r="O624" t="n">
        <v>0</v>
      </c>
      <c r="P624" t="n">
        <v>0</v>
      </c>
      <c r="Q624" t="n">
        <v>0</v>
      </c>
      <c r="R624" s="2" t="inlineStr"/>
    </row>
    <row r="625" ht="15" customHeight="1">
      <c r="A625" t="inlineStr">
        <is>
          <t>A 32063-2024</t>
        </is>
      </c>
      <c r="B625" s="1" t="n">
        <v>45510</v>
      </c>
      <c r="C625" s="1" t="n">
        <v>45894</v>
      </c>
      <c r="D625" t="inlineStr">
        <is>
          <t>JÄMTLANDS LÄN</t>
        </is>
      </c>
      <c r="E625" t="inlineStr">
        <is>
          <t>RAGUNDA</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10641-2024</t>
        </is>
      </c>
      <c r="B626" s="1" t="n">
        <v>45367.69850694444</v>
      </c>
      <c r="C626" s="1" t="n">
        <v>45894</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10644-2024</t>
        </is>
      </c>
      <c r="B627" s="1" t="n">
        <v>45367.71348379629</v>
      </c>
      <c r="C627" s="1" t="n">
        <v>45894</v>
      </c>
      <c r="D627" t="inlineStr">
        <is>
          <t>JÄMTLANDS LÄN</t>
        </is>
      </c>
      <c r="E627" t="inlineStr">
        <is>
          <t>RAGUNDA</t>
        </is>
      </c>
      <c r="G627" t="n">
        <v>2</v>
      </c>
      <c r="H627" t="n">
        <v>0</v>
      </c>
      <c r="I627" t="n">
        <v>0</v>
      </c>
      <c r="J627" t="n">
        <v>0</v>
      </c>
      <c r="K627" t="n">
        <v>0</v>
      </c>
      <c r="L627" t="n">
        <v>0</v>
      </c>
      <c r="M627" t="n">
        <v>0</v>
      </c>
      <c r="N627" t="n">
        <v>0</v>
      </c>
      <c r="O627" t="n">
        <v>0</v>
      </c>
      <c r="P627" t="n">
        <v>0</v>
      </c>
      <c r="Q627" t="n">
        <v>0</v>
      </c>
      <c r="R627" s="2" t="inlineStr"/>
    </row>
    <row r="628" ht="15" customHeight="1">
      <c r="A628" t="inlineStr">
        <is>
          <t>A 20426-2024</t>
        </is>
      </c>
      <c r="B628" s="1" t="n">
        <v>45435</v>
      </c>
      <c r="C628" s="1" t="n">
        <v>45894</v>
      </c>
      <c r="D628" t="inlineStr">
        <is>
          <t>JÄMTLANDS LÄN</t>
        </is>
      </c>
      <c r="E628" t="inlineStr">
        <is>
          <t>RAGUNDA</t>
        </is>
      </c>
      <c r="G628" t="n">
        <v>2.1</v>
      </c>
      <c r="H628" t="n">
        <v>0</v>
      </c>
      <c r="I628" t="n">
        <v>0</v>
      </c>
      <c r="J628" t="n">
        <v>0</v>
      </c>
      <c r="K628" t="n">
        <v>0</v>
      </c>
      <c r="L628" t="n">
        <v>0</v>
      </c>
      <c r="M628" t="n">
        <v>0</v>
      </c>
      <c r="N628" t="n">
        <v>0</v>
      </c>
      <c r="O628" t="n">
        <v>0</v>
      </c>
      <c r="P628" t="n">
        <v>0</v>
      </c>
      <c r="Q628" t="n">
        <v>0</v>
      </c>
      <c r="R628" s="2" t="inlineStr"/>
    </row>
    <row r="629" ht="15" customHeight="1">
      <c r="A629" t="inlineStr">
        <is>
          <t>A 17742-2022</t>
        </is>
      </c>
      <c r="B629" s="1" t="n">
        <v>44680.95246527778</v>
      </c>
      <c r="C629" s="1" t="n">
        <v>45894</v>
      </c>
      <c r="D629" t="inlineStr">
        <is>
          <t>JÄMTLANDS LÄN</t>
        </is>
      </c>
      <c r="E629" t="inlineStr">
        <is>
          <t>RAGUNDA</t>
        </is>
      </c>
      <c r="F629" t="inlineStr">
        <is>
          <t>SCA</t>
        </is>
      </c>
      <c r="G629" t="n">
        <v>7.2</v>
      </c>
      <c r="H629" t="n">
        <v>0</v>
      </c>
      <c r="I629" t="n">
        <v>0</v>
      </c>
      <c r="J629" t="n">
        <v>0</v>
      </c>
      <c r="K629" t="n">
        <v>0</v>
      </c>
      <c r="L629" t="n">
        <v>0</v>
      </c>
      <c r="M629" t="n">
        <v>0</v>
      </c>
      <c r="N629" t="n">
        <v>0</v>
      </c>
      <c r="O629" t="n">
        <v>0</v>
      </c>
      <c r="P629" t="n">
        <v>0</v>
      </c>
      <c r="Q629" t="n">
        <v>0</v>
      </c>
      <c r="R629" s="2" t="inlineStr"/>
    </row>
    <row r="630" ht="15" customHeight="1">
      <c r="A630" t="inlineStr">
        <is>
          <t>A 16529-2022</t>
        </is>
      </c>
      <c r="B630" s="1" t="n">
        <v>44671</v>
      </c>
      <c r="C630" s="1" t="n">
        <v>45894</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44066-2024</t>
        </is>
      </c>
      <c r="B631" s="1" t="n">
        <v>45572.60363425926</v>
      </c>
      <c r="C631" s="1" t="n">
        <v>45894</v>
      </c>
      <c r="D631" t="inlineStr">
        <is>
          <t>JÄMTLANDS LÄN</t>
        </is>
      </c>
      <c r="E631" t="inlineStr">
        <is>
          <t>RAGUNDA</t>
        </is>
      </c>
      <c r="G631" t="n">
        <v>6.4</v>
      </c>
      <c r="H631" t="n">
        <v>0</v>
      </c>
      <c r="I631" t="n">
        <v>0</v>
      </c>
      <c r="J631" t="n">
        <v>0</v>
      </c>
      <c r="K631" t="n">
        <v>0</v>
      </c>
      <c r="L631" t="n">
        <v>0</v>
      </c>
      <c r="M631" t="n">
        <v>0</v>
      </c>
      <c r="N631" t="n">
        <v>0</v>
      </c>
      <c r="O631" t="n">
        <v>0</v>
      </c>
      <c r="P631" t="n">
        <v>0</v>
      </c>
      <c r="Q631" t="n">
        <v>0</v>
      </c>
      <c r="R631" s="2" t="inlineStr"/>
    </row>
    <row r="632" ht="15" customHeight="1">
      <c r="A632" t="inlineStr">
        <is>
          <t>A 61934-2022</t>
        </is>
      </c>
      <c r="B632" s="1" t="n">
        <v>44917</v>
      </c>
      <c r="C632" s="1" t="n">
        <v>45894</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30825-2023</t>
        </is>
      </c>
      <c r="B633" s="1" t="n">
        <v>45112.94310185185</v>
      </c>
      <c r="C633" s="1" t="n">
        <v>45894</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8678-2023</t>
        </is>
      </c>
      <c r="B634" s="1" t="n">
        <v>44977.98660879629</v>
      </c>
      <c r="C634" s="1" t="n">
        <v>45894</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22388-2025</t>
        </is>
      </c>
      <c r="B635" s="1" t="n">
        <v>45786.51077546296</v>
      </c>
      <c r="C635" s="1" t="n">
        <v>45894</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9084-2023</t>
        </is>
      </c>
      <c r="B636" s="1" t="n">
        <v>44979</v>
      </c>
      <c r="C636" s="1" t="n">
        <v>45894</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28742-2023</t>
        </is>
      </c>
      <c r="B637" s="1" t="n">
        <v>45103</v>
      </c>
      <c r="C637" s="1" t="n">
        <v>45894</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9326-2024</t>
        </is>
      </c>
      <c r="B638" s="1" t="n">
        <v>45358.95818287037</v>
      </c>
      <c r="C638" s="1" t="n">
        <v>45894</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17323-2025</t>
        </is>
      </c>
      <c r="B639" s="1" t="n">
        <v>45756.63601851852</v>
      </c>
      <c r="C639" s="1" t="n">
        <v>45894</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7520-2023</t>
        </is>
      </c>
      <c r="B640" s="1" t="n">
        <v>44971</v>
      </c>
      <c r="C640" s="1" t="n">
        <v>45894</v>
      </c>
      <c r="D640" t="inlineStr">
        <is>
          <t>JÄMTLANDS LÄN</t>
        </is>
      </c>
      <c r="E640" t="inlineStr">
        <is>
          <t>RAGUNDA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21662-2023</t>
        </is>
      </c>
      <c r="B641" s="1" t="n">
        <v>45063</v>
      </c>
      <c r="C641" s="1" t="n">
        <v>45894</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16364-2023</t>
        </is>
      </c>
      <c r="B642" s="1" t="n">
        <v>45028</v>
      </c>
      <c r="C642" s="1" t="n">
        <v>45894</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22898-2025</t>
        </is>
      </c>
      <c r="B643" s="1" t="n">
        <v>45790.40670138889</v>
      </c>
      <c r="C643" s="1" t="n">
        <v>45894</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59136-2023</t>
        </is>
      </c>
      <c r="B644" s="1" t="n">
        <v>45251</v>
      </c>
      <c r="C644" s="1" t="n">
        <v>45894</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44727-2024</t>
        </is>
      </c>
      <c r="B645" s="1" t="n">
        <v>45574.57967592592</v>
      </c>
      <c r="C645" s="1" t="n">
        <v>45894</v>
      </c>
      <c r="D645" t="inlineStr">
        <is>
          <t>JÄMTLANDS LÄN</t>
        </is>
      </c>
      <c r="E645" t="inlineStr">
        <is>
          <t>RAGUNDA</t>
        </is>
      </c>
      <c r="G645" t="n">
        <v>4.7</v>
      </c>
      <c r="H645" t="n">
        <v>0</v>
      </c>
      <c r="I645" t="n">
        <v>0</v>
      </c>
      <c r="J645" t="n">
        <v>0</v>
      </c>
      <c r="K645" t="n">
        <v>0</v>
      </c>
      <c r="L645" t="n">
        <v>0</v>
      </c>
      <c r="M645" t="n">
        <v>0</v>
      </c>
      <c r="N645" t="n">
        <v>0</v>
      </c>
      <c r="O645" t="n">
        <v>0</v>
      </c>
      <c r="P645" t="n">
        <v>0</v>
      </c>
      <c r="Q645" t="n">
        <v>0</v>
      </c>
      <c r="R645" s="2" t="inlineStr"/>
    </row>
    <row r="646" ht="15" customHeight="1">
      <c r="A646" t="inlineStr">
        <is>
          <t>A 23253-2025</t>
        </is>
      </c>
      <c r="B646" s="1" t="n">
        <v>45791.53238425926</v>
      </c>
      <c r="C646" s="1" t="n">
        <v>45894</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23413-2025</t>
        </is>
      </c>
      <c r="B647" s="1" t="n">
        <v>45792.34606481482</v>
      </c>
      <c r="C647" s="1" t="n">
        <v>45894</v>
      </c>
      <c r="D647" t="inlineStr">
        <is>
          <t>JÄMTLANDS LÄN</t>
        </is>
      </c>
      <c r="E647" t="inlineStr">
        <is>
          <t>RAGUNDA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49659-2023</t>
        </is>
      </c>
      <c r="B648" s="1" t="n">
        <v>45211.95134259259</v>
      </c>
      <c r="C648" s="1" t="n">
        <v>45894</v>
      </c>
      <c r="D648" t="inlineStr">
        <is>
          <t>JÄMTLANDS LÄN</t>
        </is>
      </c>
      <c r="E648" t="inlineStr">
        <is>
          <t>RAGUNDA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23586-2025</t>
        </is>
      </c>
      <c r="B649" s="1" t="n">
        <v>45792.63584490741</v>
      </c>
      <c r="C649" s="1" t="n">
        <v>45894</v>
      </c>
      <c r="D649" t="inlineStr">
        <is>
          <t>JÄMTLANDS LÄN</t>
        </is>
      </c>
      <c r="E649" t="inlineStr">
        <is>
          <t>RAGUNDA</t>
        </is>
      </c>
      <c r="F649" t="inlineStr">
        <is>
          <t>SCA</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23841-2025</t>
        </is>
      </c>
      <c r="B650" s="1" t="n">
        <v>45793.61523148148</v>
      </c>
      <c r="C650" s="1" t="n">
        <v>45894</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23507-2025</t>
        </is>
      </c>
      <c r="B651" s="1" t="n">
        <v>45792.49023148148</v>
      </c>
      <c r="C651" s="1" t="n">
        <v>45894</v>
      </c>
      <c r="D651" t="inlineStr">
        <is>
          <t>JÄMTLANDS LÄN</t>
        </is>
      </c>
      <c r="E651" t="inlineStr">
        <is>
          <t>RAGUNDA</t>
        </is>
      </c>
      <c r="F651" t="inlineStr">
        <is>
          <t>SCA</t>
        </is>
      </c>
      <c r="G651" t="n">
        <v>16.4</v>
      </c>
      <c r="H651" t="n">
        <v>0</v>
      </c>
      <c r="I651" t="n">
        <v>0</v>
      </c>
      <c r="J651" t="n">
        <v>0</v>
      </c>
      <c r="K651" t="n">
        <v>0</v>
      </c>
      <c r="L651" t="n">
        <v>0</v>
      </c>
      <c r="M651" t="n">
        <v>0</v>
      </c>
      <c r="N651" t="n">
        <v>0</v>
      </c>
      <c r="O651" t="n">
        <v>0</v>
      </c>
      <c r="P651" t="n">
        <v>0</v>
      </c>
      <c r="Q651" t="n">
        <v>0</v>
      </c>
      <c r="R651" s="2" t="inlineStr"/>
    </row>
    <row r="652" ht="15" customHeight="1">
      <c r="A652" t="inlineStr">
        <is>
          <t>A 23840-2025</t>
        </is>
      </c>
      <c r="B652" s="1" t="n">
        <v>45793</v>
      </c>
      <c r="C652" s="1" t="n">
        <v>45894</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23654-2025</t>
        </is>
      </c>
      <c r="B653" s="1" t="n">
        <v>45792.71905092592</v>
      </c>
      <c r="C653" s="1" t="n">
        <v>45894</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21083-2024</t>
        </is>
      </c>
      <c r="B654" s="1" t="n">
        <v>45439.92752314815</v>
      </c>
      <c r="C654" s="1" t="n">
        <v>45894</v>
      </c>
      <c r="D654" t="inlineStr">
        <is>
          <t>JÄMTLANDS LÄN</t>
        </is>
      </c>
      <c r="E654" t="inlineStr">
        <is>
          <t>RAGUNDA</t>
        </is>
      </c>
      <c r="G654" t="n">
        <v>1.5</v>
      </c>
      <c r="H654" t="n">
        <v>0</v>
      </c>
      <c r="I654" t="n">
        <v>0</v>
      </c>
      <c r="J654" t="n">
        <v>0</v>
      </c>
      <c r="K654" t="n">
        <v>0</v>
      </c>
      <c r="L654" t="n">
        <v>0</v>
      </c>
      <c r="M654" t="n">
        <v>0</v>
      </c>
      <c r="N654" t="n">
        <v>0</v>
      </c>
      <c r="O654" t="n">
        <v>0</v>
      </c>
      <c r="P654" t="n">
        <v>0</v>
      </c>
      <c r="Q654" t="n">
        <v>0</v>
      </c>
      <c r="R654" s="2" t="inlineStr"/>
    </row>
    <row r="655" ht="15" customHeight="1">
      <c r="A655" t="inlineStr">
        <is>
          <t>A 462-2023</t>
        </is>
      </c>
      <c r="B655" s="1" t="n">
        <v>44929</v>
      </c>
      <c r="C655" s="1" t="n">
        <v>45894</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23405-2025</t>
        </is>
      </c>
      <c r="B656" s="1" t="n">
        <v>45792.34527777778</v>
      </c>
      <c r="C656" s="1" t="n">
        <v>45894</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12050-2023</t>
        </is>
      </c>
      <c r="B657" s="1" t="n">
        <v>44995.98644675926</v>
      </c>
      <c r="C657" s="1" t="n">
        <v>45894</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50521-2024</t>
        </is>
      </c>
      <c r="B658" s="1" t="n">
        <v>45601.55331018518</v>
      </c>
      <c r="C658" s="1" t="n">
        <v>45894</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62358-2023</t>
        </is>
      </c>
      <c r="B659" s="1" t="n">
        <v>45267</v>
      </c>
      <c r="C659" s="1" t="n">
        <v>45894</v>
      </c>
      <c r="D659" t="inlineStr">
        <is>
          <t>JÄMTLANDS LÄN</t>
        </is>
      </c>
      <c r="E659" t="inlineStr">
        <is>
          <t>RAGUNDA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4916-2025</t>
        </is>
      </c>
      <c r="B660" s="1" t="n">
        <v>45688.68196759259</v>
      </c>
      <c r="C660" s="1" t="n">
        <v>45894</v>
      </c>
      <c r="D660" t="inlineStr">
        <is>
          <t>JÄMTLANDS LÄN</t>
        </is>
      </c>
      <c r="E660" t="inlineStr">
        <is>
          <t>RAGUNDA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59557-2023</t>
        </is>
      </c>
      <c r="B661" s="1" t="n">
        <v>45253</v>
      </c>
      <c r="C661" s="1" t="n">
        <v>45894</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18820-2023</t>
        </is>
      </c>
      <c r="B662" s="1" t="n">
        <v>45042</v>
      </c>
      <c r="C662" s="1" t="n">
        <v>45894</v>
      </c>
      <c r="D662" t="inlineStr">
        <is>
          <t>JÄMTLANDS LÄN</t>
        </is>
      </c>
      <c r="E662" t="inlineStr">
        <is>
          <t>RAGUNDA</t>
        </is>
      </c>
      <c r="G662" t="n">
        <v>18.8</v>
      </c>
      <c r="H662" t="n">
        <v>0</v>
      </c>
      <c r="I662" t="n">
        <v>0</v>
      </c>
      <c r="J662" t="n">
        <v>0</v>
      </c>
      <c r="K662" t="n">
        <v>0</v>
      </c>
      <c r="L662" t="n">
        <v>0</v>
      </c>
      <c r="M662" t="n">
        <v>0</v>
      </c>
      <c r="N662" t="n">
        <v>0</v>
      </c>
      <c r="O662" t="n">
        <v>0</v>
      </c>
      <c r="P662" t="n">
        <v>0</v>
      </c>
      <c r="Q662" t="n">
        <v>0</v>
      </c>
      <c r="R662" s="2" t="inlineStr"/>
    </row>
    <row r="663" ht="15" customHeight="1">
      <c r="A663" t="inlineStr">
        <is>
          <t>A 24157-2025</t>
        </is>
      </c>
      <c r="B663" s="1" t="n">
        <v>45796</v>
      </c>
      <c r="C663" s="1" t="n">
        <v>45894</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49648-2023</t>
        </is>
      </c>
      <c r="B664" s="1" t="n">
        <v>45211.95061342593</v>
      </c>
      <c r="C664" s="1" t="n">
        <v>45894</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57112-2024</t>
        </is>
      </c>
      <c r="B665" s="1" t="n">
        <v>45629.36486111111</v>
      </c>
      <c r="C665" s="1" t="n">
        <v>45894</v>
      </c>
      <c r="D665" t="inlineStr">
        <is>
          <t>JÄMTLANDS LÄN</t>
        </is>
      </c>
      <c r="E665" t="inlineStr">
        <is>
          <t>RAGUNDA</t>
        </is>
      </c>
      <c r="G665" t="n">
        <v>0.7</v>
      </c>
      <c r="H665" t="n">
        <v>0</v>
      </c>
      <c r="I665" t="n">
        <v>0</v>
      </c>
      <c r="J665" t="n">
        <v>0</v>
      </c>
      <c r="K665" t="n">
        <v>0</v>
      </c>
      <c r="L665" t="n">
        <v>0</v>
      </c>
      <c r="M665" t="n">
        <v>0</v>
      </c>
      <c r="N665" t="n">
        <v>0</v>
      </c>
      <c r="O665" t="n">
        <v>0</v>
      </c>
      <c r="P665" t="n">
        <v>0</v>
      </c>
      <c r="Q665" t="n">
        <v>0</v>
      </c>
      <c r="R665" s="2" t="inlineStr"/>
    </row>
    <row r="666" ht="15" customHeight="1">
      <c r="A666" t="inlineStr">
        <is>
          <t>A 53136-2024</t>
        </is>
      </c>
      <c r="B666" s="1" t="n">
        <v>45611.5953125</v>
      </c>
      <c r="C666" s="1" t="n">
        <v>45894</v>
      </c>
      <c r="D666" t="inlineStr">
        <is>
          <t>JÄMTLANDS LÄN</t>
        </is>
      </c>
      <c r="E666" t="inlineStr">
        <is>
          <t>RAGUNDA</t>
        </is>
      </c>
      <c r="G666" t="n">
        <v>3.8</v>
      </c>
      <c r="H666" t="n">
        <v>0</v>
      </c>
      <c r="I666" t="n">
        <v>0</v>
      </c>
      <c r="J666" t="n">
        <v>0</v>
      </c>
      <c r="K666" t="n">
        <v>0</v>
      </c>
      <c r="L666" t="n">
        <v>0</v>
      </c>
      <c r="M666" t="n">
        <v>0</v>
      </c>
      <c r="N666" t="n">
        <v>0</v>
      </c>
      <c r="O666" t="n">
        <v>0</v>
      </c>
      <c r="P666" t="n">
        <v>0</v>
      </c>
      <c r="Q666" t="n">
        <v>0</v>
      </c>
      <c r="R666" s="2" t="inlineStr"/>
    </row>
    <row r="667" ht="15" customHeight="1">
      <c r="A667" t="inlineStr">
        <is>
          <t>A 51537-2022</t>
        </is>
      </c>
      <c r="B667" s="1" t="n">
        <v>44869</v>
      </c>
      <c r="C667" s="1" t="n">
        <v>45894</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59044-2022</t>
        </is>
      </c>
      <c r="B668" s="1" t="n">
        <v>44903</v>
      </c>
      <c r="C668" s="1" t="n">
        <v>45894</v>
      </c>
      <c r="D668" t="inlineStr">
        <is>
          <t>JÄMTLANDS LÄN</t>
        </is>
      </c>
      <c r="E668" t="inlineStr">
        <is>
          <t>RAGUNDA</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18284-2025</t>
        </is>
      </c>
      <c r="B669" s="1" t="n">
        <v>45762.39876157408</v>
      </c>
      <c r="C669" s="1" t="n">
        <v>45894</v>
      </c>
      <c r="D669" t="inlineStr">
        <is>
          <t>JÄMTLANDS LÄN</t>
        </is>
      </c>
      <c r="E669" t="inlineStr">
        <is>
          <t>RAGUNDA</t>
        </is>
      </c>
      <c r="G669" t="n">
        <v>0.2</v>
      </c>
      <c r="H669" t="n">
        <v>0</v>
      </c>
      <c r="I669" t="n">
        <v>0</v>
      </c>
      <c r="J669" t="n">
        <v>0</v>
      </c>
      <c r="K669" t="n">
        <v>0</v>
      </c>
      <c r="L669" t="n">
        <v>0</v>
      </c>
      <c r="M669" t="n">
        <v>0</v>
      </c>
      <c r="N669" t="n">
        <v>0</v>
      </c>
      <c r="O669" t="n">
        <v>0</v>
      </c>
      <c r="P669" t="n">
        <v>0</v>
      </c>
      <c r="Q669" t="n">
        <v>0</v>
      </c>
      <c r="R669" s="2" t="inlineStr"/>
      <c r="U669">
        <f>HYPERLINK("https://klasma.github.io/Logging_2303/knärot/A 18284-2025 karta knärot.png", "A 18284-2025")</f>
        <v/>
      </c>
      <c r="V669">
        <f>HYPERLINK("https://klasma.github.io/Logging_2303/klagomål/A 18284-2025 FSC-klagomål.docx", "A 18284-2025")</f>
        <v/>
      </c>
      <c r="W669">
        <f>HYPERLINK("https://klasma.github.io/Logging_2303/klagomålsmail/A 18284-2025 FSC-klagomål mail.docx", "A 18284-2025")</f>
        <v/>
      </c>
      <c r="X669">
        <f>HYPERLINK("https://klasma.github.io/Logging_2303/tillsyn/A 18284-2025 tillsynsbegäran.docx", "A 18284-2025")</f>
        <v/>
      </c>
      <c r="Y669">
        <f>HYPERLINK("https://klasma.github.io/Logging_2303/tillsynsmail/A 18284-2025 tillsynsbegäran mail.docx", "A 18284-2025")</f>
        <v/>
      </c>
    </row>
    <row r="670" ht="15" customHeight="1">
      <c r="A670" t="inlineStr">
        <is>
          <t>A 5958-2023</t>
        </is>
      </c>
      <c r="B670" s="1" t="n">
        <v>44963</v>
      </c>
      <c r="C670" s="1" t="n">
        <v>45894</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33621-2023</t>
        </is>
      </c>
      <c r="B671" s="1" t="n">
        <v>45119</v>
      </c>
      <c r="C671" s="1" t="n">
        <v>45894</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6694-2024</t>
        </is>
      </c>
      <c r="B672" s="1" t="n">
        <v>45341.95381944445</v>
      </c>
      <c r="C672" s="1" t="n">
        <v>45894</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19263-2025</t>
        </is>
      </c>
      <c r="B673" s="1" t="n">
        <v>45769.51075231482</v>
      </c>
      <c r="C673" s="1" t="n">
        <v>45894</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1537-2024</t>
        </is>
      </c>
      <c r="B674" s="1" t="n">
        <v>45306</v>
      </c>
      <c r="C674" s="1" t="n">
        <v>45894</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24158-2025</t>
        </is>
      </c>
      <c r="B675" s="1" t="n">
        <v>45796</v>
      </c>
      <c r="C675" s="1" t="n">
        <v>45894</v>
      </c>
      <c r="D675" t="inlineStr">
        <is>
          <t>JÄMTLANDS LÄN</t>
        </is>
      </c>
      <c r="E675" t="inlineStr">
        <is>
          <t>RAGUNDA</t>
        </is>
      </c>
      <c r="G675" t="n">
        <v>2.9</v>
      </c>
      <c r="H675" t="n">
        <v>0</v>
      </c>
      <c r="I675" t="n">
        <v>0</v>
      </c>
      <c r="J675" t="n">
        <v>0</v>
      </c>
      <c r="K675" t="n">
        <v>0</v>
      </c>
      <c r="L675" t="n">
        <v>0</v>
      </c>
      <c r="M675" t="n">
        <v>0</v>
      </c>
      <c r="N675" t="n">
        <v>0</v>
      </c>
      <c r="O675" t="n">
        <v>0</v>
      </c>
      <c r="P675" t="n">
        <v>0</v>
      </c>
      <c r="Q675" t="n">
        <v>0</v>
      </c>
      <c r="R675" s="2" t="inlineStr"/>
    </row>
    <row r="676" ht="15" customHeight="1">
      <c r="A676" t="inlineStr">
        <is>
          <t>A 24161-2025</t>
        </is>
      </c>
      <c r="B676" s="1" t="n">
        <v>45796</v>
      </c>
      <c r="C676" s="1" t="n">
        <v>45894</v>
      </c>
      <c r="D676" t="inlineStr">
        <is>
          <t>JÄMTLANDS LÄN</t>
        </is>
      </c>
      <c r="E676" t="inlineStr">
        <is>
          <t>RAGUNDA</t>
        </is>
      </c>
      <c r="G676" t="n">
        <v>2.4</v>
      </c>
      <c r="H676" t="n">
        <v>0</v>
      </c>
      <c r="I676" t="n">
        <v>0</v>
      </c>
      <c r="J676" t="n">
        <v>0</v>
      </c>
      <c r="K676" t="n">
        <v>0</v>
      </c>
      <c r="L676" t="n">
        <v>0</v>
      </c>
      <c r="M676" t="n">
        <v>0</v>
      </c>
      <c r="N676" t="n">
        <v>0</v>
      </c>
      <c r="O676" t="n">
        <v>0</v>
      </c>
      <c r="P676" t="n">
        <v>0</v>
      </c>
      <c r="Q676" t="n">
        <v>0</v>
      </c>
      <c r="R676" s="2" t="inlineStr"/>
    </row>
    <row r="677" ht="15" customHeight="1">
      <c r="A677" t="inlineStr">
        <is>
          <t>A 8779-2025</t>
        </is>
      </c>
      <c r="B677" s="1" t="n">
        <v>45712.61552083334</v>
      </c>
      <c r="C677" s="1" t="n">
        <v>45894</v>
      </c>
      <c r="D677" t="inlineStr">
        <is>
          <t>JÄMTLANDS LÄN</t>
        </is>
      </c>
      <c r="E677" t="inlineStr">
        <is>
          <t>RAGUNDA</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60935-2024</t>
        </is>
      </c>
      <c r="B678" s="1" t="n">
        <v>45645.36740740741</v>
      </c>
      <c r="C678" s="1" t="n">
        <v>45894</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40051-2020</t>
        </is>
      </c>
      <c r="B679" s="1" t="n">
        <v>44067</v>
      </c>
      <c r="C679" s="1" t="n">
        <v>45894</v>
      </c>
      <c r="D679" t="inlineStr">
        <is>
          <t>JÄMTLANDS LÄN</t>
        </is>
      </c>
      <c r="E679" t="inlineStr">
        <is>
          <t>RAGUNDA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61400-2022</t>
        </is>
      </c>
      <c r="B680" s="1" t="n">
        <v>44915</v>
      </c>
      <c r="C680" s="1" t="n">
        <v>45894</v>
      </c>
      <c r="D680" t="inlineStr">
        <is>
          <t>JÄMTLANDS LÄN</t>
        </is>
      </c>
      <c r="E680" t="inlineStr">
        <is>
          <t>RAGUNDA</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6257-2025</t>
        </is>
      </c>
      <c r="B681" s="1" t="n">
        <v>45698.59409722222</v>
      </c>
      <c r="C681" s="1" t="n">
        <v>45894</v>
      </c>
      <c r="D681" t="inlineStr">
        <is>
          <t>JÄMTLANDS LÄN</t>
        </is>
      </c>
      <c r="E681" t="inlineStr">
        <is>
          <t>RAGUNDA</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4348-2023</t>
        </is>
      </c>
      <c r="B682" s="1" t="n">
        <v>44953</v>
      </c>
      <c r="C682" s="1" t="n">
        <v>45894</v>
      </c>
      <c r="D682" t="inlineStr">
        <is>
          <t>JÄMTLANDS LÄN</t>
        </is>
      </c>
      <c r="E682" t="inlineStr">
        <is>
          <t>RAGUNDA</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24159-2025</t>
        </is>
      </c>
      <c r="B683" s="1" t="n">
        <v>45796</v>
      </c>
      <c r="C683" s="1" t="n">
        <v>45894</v>
      </c>
      <c r="D683" t="inlineStr">
        <is>
          <t>JÄMTLANDS LÄN</t>
        </is>
      </c>
      <c r="E683" t="inlineStr">
        <is>
          <t>RAGUNDA</t>
        </is>
      </c>
      <c r="G683" t="n">
        <v>0.8</v>
      </c>
      <c r="H683" t="n">
        <v>0</v>
      </c>
      <c r="I683" t="n">
        <v>0</v>
      </c>
      <c r="J683" t="n">
        <v>0</v>
      </c>
      <c r="K683" t="n">
        <v>0</v>
      </c>
      <c r="L683" t="n">
        <v>0</v>
      </c>
      <c r="M683" t="n">
        <v>0</v>
      </c>
      <c r="N683" t="n">
        <v>0</v>
      </c>
      <c r="O683" t="n">
        <v>0</v>
      </c>
      <c r="P683" t="n">
        <v>0</v>
      </c>
      <c r="Q683" t="n">
        <v>0</v>
      </c>
      <c r="R683" s="2" t="inlineStr"/>
    </row>
    <row r="684" ht="15" customHeight="1">
      <c r="A684" t="inlineStr">
        <is>
          <t>A 14074-2023</t>
        </is>
      </c>
      <c r="B684" s="1" t="n">
        <v>45009.089375</v>
      </c>
      <c r="C684" s="1" t="n">
        <v>45894</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37265-2024</t>
        </is>
      </c>
      <c r="B685" s="1" t="n">
        <v>45540.38564814815</v>
      </c>
      <c r="C685" s="1" t="n">
        <v>45894</v>
      </c>
      <c r="D685" t="inlineStr">
        <is>
          <t>JÄMTLANDS LÄN</t>
        </is>
      </c>
      <c r="E685" t="inlineStr">
        <is>
          <t>RAGUNDA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56286-2023</t>
        </is>
      </c>
      <c r="B686" s="1" t="n">
        <v>45241.95741898148</v>
      </c>
      <c r="C686" s="1" t="n">
        <v>45894</v>
      </c>
      <c r="D686" t="inlineStr">
        <is>
          <t>JÄMTLANDS LÄN</t>
        </is>
      </c>
      <c r="E686" t="inlineStr">
        <is>
          <t>RAGUNDA</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56287-2023</t>
        </is>
      </c>
      <c r="B687" s="1" t="n">
        <v>45241</v>
      </c>
      <c r="C687" s="1" t="n">
        <v>45894</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24391-2025</t>
        </is>
      </c>
      <c r="B688" s="1" t="n">
        <v>45797.63627314815</v>
      </c>
      <c r="C688" s="1" t="n">
        <v>45894</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62135-2024</t>
        </is>
      </c>
      <c r="B689" s="1" t="n">
        <v>45656.64223379629</v>
      </c>
      <c r="C689" s="1" t="n">
        <v>45894</v>
      </c>
      <c r="D689" t="inlineStr">
        <is>
          <t>JÄMTLANDS LÄN</t>
        </is>
      </c>
      <c r="E689" t="inlineStr">
        <is>
          <t>RAGUNDA</t>
        </is>
      </c>
      <c r="G689" t="n">
        <v>1.5</v>
      </c>
      <c r="H689" t="n">
        <v>0</v>
      </c>
      <c r="I689" t="n">
        <v>0</v>
      </c>
      <c r="J689" t="n">
        <v>0</v>
      </c>
      <c r="K689" t="n">
        <v>0</v>
      </c>
      <c r="L689" t="n">
        <v>0</v>
      </c>
      <c r="M689" t="n">
        <v>0</v>
      </c>
      <c r="N689" t="n">
        <v>0</v>
      </c>
      <c r="O689" t="n">
        <v>0</v>
      </c>
      <c r="P689" t="n">
        <v>0</v>
      </c>
      <c r="Q689" t="n">
        <v>0</v>
      </c>
      <c r="R689" s="2" t="inlineStr"/>
    </row>
    <row r="690" ht="15" customHeight="1">
      <c r="A690" t="inlineStr">
        <is>
          <t>A 18248-2023</t>
        </is>
      </c>
      <c r="B690" s="1" t="n">
        <v>45040</v>
      </c>
      <c r="C690" s="1" t="n">
        <v>45894</v>
      </c>
      <c r="D690" t="inlineStr">
        <is>
          <t>JÄMTLANDS LÄN</t>
        </is>
      </c>
      <c r="E690" t="inlineStr">
        <is>
          <t>RAGUNDA</t>
        </is>
      </c>
      <c r="G690" t="n">
        <v>4.3</v>
      </c>
      <c r="H690" t="n">
        <v>0</v>
      </c>
      <c r="I690" t="n">
        <v>0</v>
      </c>
      <c r="J690" t="n">
        <v>0</v>
      </c>
      <c r="K690" t="n">
        <v>0</v>
      </c>
      <c r="L690" t="n">
        <v>0</v>
      </c>
      <c r="M690" t="n">
        <v>0</v>
      </c>
      <c r="N690" t="n">
        <v>0</v>
      </c>
      <c r="O690" t="n">
        <v>0</v>
      </c>
      <c r="P690" t="n">
        <v>0</v>
      </c>
      <c r="Q690" t="n">
        <v>0</v>
      </c>
      <c r="R690" s="2" t="inlineStr"/>
    </row>
    <row r="691" ht="15" customHeight="1">
      <c r="A691" t="inlineStr">
        <is>
          <t>A 8802-2022</t>
        </is>
      </c>
      <c r="B691" s="1" t="n">
        <v>44614</v>
      </c>
      <c r="C691" s="1" t="n">
        <v>45894</v>
      </c>
      <c r="D691" t="inlineStr">
        <is>
          <t>JÄMTLANDS LÄN</t>
        </is>
      </c>
      <c r="E691" t="inlineStr">
        <is>
          <t>RAGUNDA</t>
        </is>
      </c>
      <c r="G691" t="n">
        <v>2.8</v>
      </c>
      <c r="H691" t="n">
        <v>0</v>
      </c>
      <c r="I691" t="n">
        <v>0</v>
      </c>
      <c r="J691" t="n">
        <v>0</v>
      </c>
      <c r="K691" t="n">
        <v>0</v>
      </c>
      <c r="L691" t="n">
        <v>0</v>
      </c>
      <c r="M691" t="n">
        <v>0</v>
      </c>
      <c r="N691" t="n">
        <v>0</v>
      </c>
      <c r="O691" t="n">
        <v>0</v>
      </c>
      <c r="P691" t="n">
        <v>0</v>
      </c>
      <c r="Q691" t="n">
        <v>0</v>
      </c>
      <c r="R691" s="2" t="inlineStr"/>
    </row>
    <row r="692" ht="15" customHeight="1">
      <c r="A692" t="inlineStr">
        <is>
          <t>A 39489-2023</t>
        </is>
      </c>
      <c r="B692" s="1" t="n">
        <v>45166</v>
      </c>
      <c r="C692" s="1" t="n">
        <v>45894</v>
      </c>
      <c r="D692" t="inlineStr">
        <is>
          <t>JÄMTLANDS LÄN</t>
        </is>
      </c>
      <c r="E692" t="inlineStr">
        <is>
          <t>RAGUNDA</t>
        </is>
      </c>
      <c r="G692" t="n">
        <v>5</v>
      </c>
      <c r="H692" t="n">
        <v>0</v>
      </c>
      <c r="I692" t="n">
        <v>0</v>
      </c>
      <c r="J692" t="n">
        <v>0</v>
      </c>
      <c r="K692" t="n">
        <v>0</v>
      </c>
      <c r="L692" t="n">
        <v>0</v>
      </c>
      <c r="M692" t="n">
        <v>0</v>
      </c>
      <c r="N692" t="n">
        <v>0</v>
      </c>
      <c r="O692" t="n">
        <v>0</v>
      </c>
      <c r="P692" t="n">
        <v>0</v>
      </c>
      <c r="Q692" t="n">
        <v>0</v>
      </c>
      <c r="R692" s="2" t="inlineStr"/>
    </row>
    <row r="693" ht="15" customHeight="1">
      <c r="A693" t="inlineStr">
        <is>
          <t>A 62407-2023</t>
        </is>
      </c>
      <c r="B693" s="1" t="n">
        <v>45266</v>
      </c>
      <c r="C693" s="1" t="n">
        <v>45894</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55214-2022</t>
        </is>
      </c>
      <c r="B694" s="1" t="n">
        <v>44886</v>
      </c>
      <c r="C694" s="1" t="n">
        <v>45894</v>
      </c>
      <c r="D694" t="inlineStr">
        <is>
          <t>JÄMTLANDS LÄN</t>
        </is>
      </c>
      <c r="E694" t="inlineStr">
        <is>
          <t>RAGUNDA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18777-2024</t>
        </is>
      </c>
      <c r="B695" s="1" t="n">
        <v>45426</v>
      </c>
      <c r="C695" s="1" t="n">
        <v>45894</v>
      </c>
      <c r="D695" t="inlineStr">
        <is>
          <t>JÄMTLANDS LÄN</t>
        </is>
      </c>
      <c r="E695" t="inlineStr">
        <is>
          <t>RAGUNDA</t>
        </is>
      </c>
      <c r="G695" t="n">
        <v>1.9</v>
      </c>
      <c r="H695" t="n">
        <v>0</v>
      </c>
      <c r="I695" t="n">
        <v>0</v>
      </c>
      <c r="J695" t="n">
        <v>0</v>
      </c>
      <c r="K695" t="n">
        <v>0</v>
      </c>
      <c r="L695" t="n">
        <v>0</v>
      </c>
      <c r="M695" t="n">
        <v>0</v>
      </c>
      <c r="N695" t="n">
        <v>0</v>
      </c>
      <c r="O695" t="n">
        <v>0</v>
      </c>
      <c r="P695" t="n">
        <v>0</v>
      </c>
      <c r="Q695" t="n">
        <v>0</v>
      </c>
      <c r="R695" s="2" t="inlineStr"/>
    </row>
    <row r="696" ht="15" customHeight="1">
      <c r="A696" t="inlineStr">
        <is>
          <t>A 58564-2024</t>
        </is>
      </c>
      <c r="B696" s="1" t="n">
        <v>45635.47243055556</v>
      </c>
      <c r="C696" s="1" t="n">
        <v>45894</v>
      </c>
      <c r="D696" t="inlineStr">
        <is>
          <t>JÄMTLANDS LÄN</t>
        </is>
      </c>
      <c r="E696" t="inlineStr">
        <is>
          <t>RAGUNDA</t>
        </is>
      </c>
      <c r="G696" t="n">
        <v>2.6</v>
      </c>
      <c r="H696" t="n">
        <v>0</v>
      </c>
      <c r="I696" t="n">
        <v>0</v>
      </c>
      <c r="J696" t="n">
        <v>0</v>
      </c>
      <c r="K696" t="n">
        <v>0</v>
      </c>
      <c r="L696" t="n">
        <v>0</v>
      </c>
      <c r="M696" t="n">
        <v>0</v>
      </c>
      <c r="N696" t="n">
        <v>0</v>
      </c>
      <c r="O696" t="n">
        <v>0</v>
      </c>
      <c r="P696" t="n">
        <v>0</v>
      </c>
      <c r="Q696" t="n">
        <v>0</v>
      </c>
      <c r="R696" s="2" t="inlineStr"/>
    </row>
    <row r="697" ht="15" customHeight="1">
      <c r="A697" t="inlineStr">
        <is>
          <t>A 8243-2024</t>
        </is>
      </c>
      <c r="B697" s="1" t="n">
        <v>45351.98532407408</v>
      </c>
      <c r="C697" s="1" t="n">
        <v>45894</v>
      </c>
      <c r="D697" t="inlineStr">
        <is>
          <t>JÄMTLANDS LÄN</t>
        </is>
      </c>
      <c r="E697" t="inlineStr">
        <is>
          <t>RAGUNDA</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1325-2025</t>
        </is>
      </c>
      <c r="B698" s="1" t="n">
        <v>45667.57342592593</v>
      </c>
      <c r="C698" s="1" t="n">
        <v>45894</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18159-2023</t>
        </is>
      </c>
      <c r="B699" s="1" t="n">
        <v>45040.94277777777</v>
      </c>
      <c r="C699" s="1" t="n">
        <v>45894</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19486-2024</t>
        </is>
      </c>
      <c r="B700" s="1" t="n">
        <v>45429</v>
      </c>
      <c r="C700" s="1" t="n">
        <v>45894</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1326-2025</t>
        </is>
      </c>
      <c r="B701" s="1" t="n">
        <v>45667.57347222222</v>
      </c>
      <c r="C701" s="1" t="n">
        <v>45894</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30642-2024</t>
        </is>
      </c>
      <c r="B702" s="1" t="n">
        <v>45495.57677083334</v>
      </c>
      <c r="C702" s="1" t="n">
        <v>45894</v>
      </c>
      <c r="D702" t="inlineStr">
        <is>
          <t>JÄMTLANDS LÄN</t>
        </is>
      </c>
      <c r="E702" t="inlineStr">
        <is>
          <t>RAGUNDA</t>
        </is>
      </c>
      <c r="G702" t="n">
        <v>2.7</v>
      </c>
      <c r="H702" t="n">
        <v>0</v>
      </c>
      <c r="I702" t="n">
        <v>0</v>
      </c>
      <c r="J702" t="n">
        <v>0</v>
      </c>
      <c r="K702" t="n">
        <v>0</v>
      </c>
      <c r="L702" t="n">
        <v>0</v>
      </c>
      <c r="M702" t="n">
        <v>0</v>
      </c>
      <c r="N702" t="n">
        <v>0</v>
      </c>
      <c r="O702" t="n">
        <v>0</v>
      </c>
      <c r="P702" t="n">
        <v>0</v>
      </c>
      <c r="Q702" t="n">
        <v>0</v>
      </c>
      <c r="R702" s="2" t="inlineStr"/>
    </row>
    <row r="703" ht="15" customHeight="1">
      <c r="A703" t="inlineStr">
        <is>
          <t>A 993-2025</t>
        </is>
      </c>
      <c r="B703" s="1" t="n">
        <v>45666.44943287037</v>
      </c>
      <c r="C703" s="1" t="n">
        <v>45894</v>
      </c>
      <c r="D703" t="inlineStr">
        <is>
          <t>JÄMTLANDS LÄN</t>
        </is>
      </c>
      <c r="E703" t="inlineStr">
        <is>
          <t>RAGUNDA</t>
        </is>
      </c>
      <c r="G703" t="n">
        <v>11.3</v>
      </c>
      <c r="H703" t="n">
        <v>0</v>
      </c>
      <c r="I703" t="n">
        <v>0</v>
      </c>
      <c r="J703" t="n">
        <v>0</v>
      </c>
      <c r="K703" t="n">
        <v>0</v>
      </c>
      <c r="L703" t="n">
        <v>0</v>
      </c>
      <c r="M703" t="n">
        <v>0</v>
      </c>
      <c r="N703" t="n">
        <v>0</v>
      </c>
      <c r="O703" t="n">
        <v>0</v>
      </c>
      <c r="P703" t="n">
        <v>0</v>
      </c>
      <c r="Q703" t="n">
        <v>0</v>
      </c>
      <c r="R703" s="2" t="inlineStr"/>
    </row>
    <row r="704" ht="15" customHeight="1">
      <c r="A704" t="inlineStr">
        <is>
          <t>A 58193-2022</t>
        </is>
      </c>
      <c r="B704" s="1" t="n">
        <v>44900.95700231481</v>
      </c>
      <c r="C704" s="1" t="n">
        <v>45894</v>
      </c>
      <c r="D704" t="inlineStr">
        <is>
          <t>JÄMTLANDS LÄN</t>
        </is>
      </c>
      <c r="E704" t="inlineStr">
        <is>
          <t>RAGUNDA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28081-2022</t>
        </is>
      </c>
      <c r="B705" s="1" t="n">
        <v>44746</v>
      </c>
      <c r="C705" s="1" t="n">
        <v>45894</v>
      </c>
      <c r="D705" t="inlineStr">
        <is>
          <t>JÄMTLANDS LÄN</t>
        </is>
      </c>
      <c r="E705" t="inlineStr">
        <is>
          <t>RAGUNDA</t>
        </is>
      </c>
      <c r="G705" t="n">
        <v>7.2</v>
      </c>
      <c r="H705" t="n">
        <v>0</v>
      </c>
      <c r="I705" t="n">
        <v>0</v>
      </c>
      <c r="J705" t="n">
        <v>0</v>
      </c>
      <c r="K705" t="n">
        <v>0</v>
      </c>
      <c r="L705" t="n">
        <v>0</v>
      </c>
      <c r="M705" t="n">
        <v>0</v>
      </c>
      <c r="N705" t="n">
        <v>0</v>
      </c>
      <c r="O705" t="n">
        <v>0</v>
      </c>
      <c r="P705" t="n">
        <v>0</v>
      </c>
      <c r="Q705" t="n">
        <v>0</v>
      </c>
      <c r="R705" s="2" t="inlineStr"/>
    </row>
    <row r="706" ht="15" customHeight="1">
      <c r="A706" t="inlineStr">
        <is>
          <t>A 7722-2023</t>
        </is>
      </c>
      <c r="B706" s="1" t="n">
        <v>44972.94140046297</v>
      </c>
      <c r="C706" s="1" t="n">
        <v>45894</v>
      </c>
      <c r="D706" t="inlineStr">
        <is>
          <t>JÄMTLANDS LÄN</t>
        </is>
      </c>
      <c r="E706" t="inlineStr">
        <is>
          <t>RAGUNDA</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12204-2025</t>
        </is>
      </c>
      <c r="B707" s="1" t="n">
        <v>45729.51074074074</v>
      </c>
      <c r="C707" s="1" t="n">
        <v>45894</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21524-2024</t>
        </is>
      </c>
      <c r="B708" s="1" t="n">
        <v>45441</v>
      </c>
      <c r="C708" s="1" t="n">
        <v>45894</v>
      </c>
      <c r="D708" t="inlineStr">
        <is>
          <t>JÄMTLANDS LÄN</t>
        </is>
      </c>
      <c r="E708" t="inlineStr">
        <is>
          <t>RAGUNDA</t>
        </is>
      </c>
      <c r="G708" t="n">
        <v>1.6</v>
      </c>
      <c r="H708" t="n">
        <v>0</v>
      </c>
      <c r="I708" t="n">
        <v>0</v>
      </c>
      <c r="J708" t="n">
        <v>0</v>
      </c>
      <c r="K708" t="n">
        <v>0</v>
      </c>
      <c r="L708" t="n">
        <v>0</v>
      </c>
      <c r="M708" t="n">
        <v>0</v>
      </c>
      <c r="N708" t="n">
        <v>0</v>
      </c>
      <c r="O708" t="n">
        <v>0</v>
      </c>
      <c r="P708" t="n">
        <v>0</v>
      </c>
      <c r="Q708" t="n">
        <v>0</v>
      </c>
      <c r="R708" s="2" t="inlineStr"/>
    </row>
    <row r="709" ht="15" customHeight="1">
      <c r="A709" t="inlineStr">
        <is>
          <t>A 24732-2025</t>
        </is>
      </c>
      <c r="B709" s="1" t="n">
        <v>45799.34421296296</v>
      </c>
      <c r="C709" s="1" t="n">
        <v>45894</v>
      </c>
      <c r="D709" t="inlineStr">
        <is>
          <t>JÄMTLANDS LÄN</t>
        </is>
      </c>
      <c r="E709" t="inlineStr">
        <is>
          <t>RAGUNDA</t>
        </is>
      </c>
      <c r="F709" t="inlineStr">
        <is>
          <t>SCA</t>
        </is>
      </c>
      <c r="G709" t="n">
        <v>16.2</v>
      </c>
      <c r="H709" t="n">
        <v>0</v>
      </c>
      <c r="I709" t="n">
        <v>0</v>
      </c>
      <c r="J709" t="n">
        <v>0</v>
      </c>
      <c r="K709" t="n">
        <v>0</v>
      </c>
      <c r="L709" t="n">
        <v>0</v>
      </c>
      <c r="M709" t="n">
        <v>0</v>
      </c>
      <c r="N709" t="n">
        <v>0</v>
      </c>
      <c r="O709" t="n">
        <v>0</v>
      </c>
      <c r="P709" t="n">
        <v>0</v>
      </c>
      <c r="Q709" t="n">
        <v>0</v>
      </c>
      <c r="R709" s="2" t="inlineStr"/>
    </row>
    <row r="710" ht="15" customHeight="1">
      <c r="A710" t="inlineStr">
        <is>
          <t>A 38191-2024</t>
        </is>
      </c>
      <c r="B710" s="1" t="n">
        <v>45545.49078703704</v>
      </c>
      <c r="C710" s="1" t="n">
        <v>45894</v>
      </c>
      <c r="D710" t="inlineStr">
        <is>
          <t>JÄMTLANDS LÄN</t>
        </is>
      </c>
      <c r="E710" t="inlineStr">
        <is>
          <t>RAGUNDA</t>
        </is>
      </c>
      <c r="G710" t="n">
        <v>1.6</v>
      </c>
      <c r="H710" t="n">
        <v>0</v>
      </c>
      <c r="I710" t="n">
        <v>0</v>
      </c>
      <c r="J710" t="n">
        <v>0</v>
      </c>
      <c r="K710" t="n">
        <v>0</v>
      </c>
      <c r="L710" t="n">
        <v>0</v>
      </c>
      <c r="M710" t="n">
        <v>0</v>
      </c>
      <c r="N710" t="n">
        <v>0</v>
      </c>
      <c r="O710" t="n">
        <v>0</v>
      </c>
      <c r="P710" t="n">
        <v>0</v>
      </c>
      <c r="Q710" t="n">
        <v>0</v>
      </c>
      <c r="R710" s="2" t="inlineStr"/>
    </row>
    <row r="711" ht="15" customHeight="1">
      <c r="A711" t="inlineStr">
        <is>
          <t>A 13299-2024</t>
        </is>
      </c>
      <c r="B711" s="1" t="n">
        <v>45386.68003472222</v>
      </c>
      <c r="C711" s="1" t="n">
        <v>45894</v>
      </c>
      <c r="D711" t="inlineStr">
        <is>
          <t>JÄMTLANDS LÄN</t>
        </is>
      </c>
      <c r="E711" t="inlineStr">
        <is>
          <t>RAGUNDA</t>
        </is>
      </c>
      <c r="G711" t="n">
        <v>1.9</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45894</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51049-2024</t>
        </is>
      </c>
      <c r="B713" s="1" t="n">
        <v>45603.44644675926</v>
      </c>
      <c r="C713" s="1" t="n">
        <v>45894</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44759-2024</t>
        </is>
      </c>
      <c r="B714" s="1" t="n">
        <v>45574.61634259259</v>
      </c>
      <c r="C714" s="1" t="n">
        <v>45894</v>
      </c>
      <c r="D714" t="inlineStr">
        <is>
          <t>JÄMTLANDS LÄN</t>
        </is>
      </c>
      <c r="E714" t="inlineStr">
        <is>
          <t>RAGUNDA</t>
        </is>
      </c>
      <c r="G714" t="n">
        <v>1.9</v>
      </c>
      <c r="H714" t="n">
        <v>0</v>
      </c>
      <c r="I714" t="n">
        <v>0</v>
      </c>
      <c r="J714" t="n">
        <v>0</v>
      </c>
      <c r="K714" t="n">
        <v>0</v>
      </c>
      <c r="L714" t="n">
        <v>0</v>
      </c>
      <c r="M714" t="n">
        <v>0</v>
      </c>
      <c r="N714" t="n">
        <v>0</v>
      </c>
      <c r="O714" t="n">
        <v>0</v>
      </c>
      <c r="P714" t="n">
        <v>0</v>
      </c>
      <c r="Q714" t="n">
        <v>0</v>
      </c>
      <c r="R714" s="2" t="inlineStr"/>
    </row>
    <row r="715" ht="15" customHeight="1">
      <c r="A715" t="inlineStr">
        <is>
          <t>A 37324-2022</t>
        </is>
      </c>
      <c r="B715" s="1" t="n">
        <v>44806</v>
      </c>
      <c r="C715" s="1" t="n">
        <v>45894</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891-2022</t>
        </is>
      </c>
      <c r="B716" s="1" t="n">
        <v>44571</v>
      </c>
      <c r="C716" s="1" t="n">
        <v>45894</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41343-2024</t>
        </is>
      </c>
      <c r="B717" s="1" t="n">
        <v>45559.67745370371</v>
      </c>
      <c r="C717" s="1" t="n">
        <v>45894</v>
      </c>
      <c r="D717" t="inlineStr">
        <is>
          <t>JÄMTLANDS LÄN</t>
        </is>
      </c>
      <c r="E717" t="inlineStr">
        <is>
          <t>RAGUNDA</t>
        </is>
      </c>
      <c r="F717" t="inlineStr">
        <is>
          <t>SCA</t>
        </is>
      </c>
      <c r="G717" t="n">
        <v>25.1</v>
      </c>
      <c r="H717" t="n">
        <v>0</v>
      </c>
      <c r="I717" t="n">
        <v>0</v>
      </c>
      <c r="J717" t="n">
        <v>0</v>
      </c>
      <c r="K717" t="n">
        <v>0</v>
      </c>
      <c r="L717" t="n">
        <v>0</v>
      </c>
      <c r="M717" t="n">
        <v>0</v>
      </c>
      <c r="N717" t="n">
        <v>0</v>
      </c>
      <c r="O717" t="n">
        <v>0</v>
      </c>
      <c r="P717" t="n">
        <v>0</v>
      </c>
      <c r="Q717" t="n">
        <v>0</v>
      </c>
      <c r="R717" s="2" t="inlineStr"/>
    </row>
    <row r="718" ht="15" customHeight="1">
      <c r="A718" t="inlineStr">
        <is>
          <t>A 45953-2023</t>
        </is>
      </c>
      <c r="B718" s="1" t="n">
        <v>45195.94672453704</v>
      </c>
      <c r="C718" s="1" t="n">
        <v>45894</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16982-2024</t>
        </is>
      </c>
      <c r="B719" s="1" t="n">
        <v>45412.02506944445</v>
      </c>
      <c r="C719" s="1" t="n">
        <v>45894</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36371-2023</t>
        </is>
      </c>
      <c r="B720" s="1" t="n">
        <v>45149</v>
      </c>
      <c r="C720" s="1" t="n">
        <v>45894</v>
      </c>
      <c r="D720" t="inlineStr">
        <is>
          <t>JÄMTLANDS LÄN</t>
        </is>
      </c>
      <c r="E720" t="inlineStr">
        <is>
          <t>RAGUNDA</t>
        </is>
      </c>
      <c r="G720" t="n">
        <v>25.7</v>
      </c>
      <c r="H720" t="n">
        <v>0</v>
      </c>
      <c r="I720" t="n">
        <v>0</v>
      </c>
      <c r="J720" t="n">
        <v>0</v>
      </c>
      <c r="K720" t="n">
        <v>0</v>
      </c>
      <c r="L720" t="n">
        <v>0</v>
      </c>
      <c r="M720" t="n">
        <v>0</v>
      </c>
      <c r="N720" t="n">
        <v>0</v>
      </c>
      <c r="O720" t="n">
        <v>0</v>
      </c>
      <c r="P720" t="n">
        <v>0</v>
      </c>
      <c r="Q720" t="n">
        <v>0</v>
      </c>
      <c r="R720" s="2" t="inlineStr"/>
    </row>
    <row r="721" ht="15" customHeight="1">
      <c r="A721" t="inlineStr">
        <is>
          <t>A 56702-2023</t>
        </is>
      </c>
      <c r="B721" s="1" t="n">
        <v>45243</v>
      </c>
      <c r="C721" s="1" t="n">
        <v>45894</v>
      </c>
      <c r="D721" t="inlineStr">
        <is>
          <t>JÄMTLANDS LÄN</t>
        </is>
      </c>
      <c r="E721" t="inlineStr">
        <is>
          <t>RAGUNDA</t>
        </is>
      </c>
      <c r="F721" t="inlineStr">
        <is>
          <t>SCA</t>
        </is>
      </c>
      <c r="G721" t="n">
        <v>10.3</v>
      </c>
      <c r="H721" t="n">
        <v>0</v>
      </c>
      <c r="I721" t="n">
        <v>0</v>
      </c>
      <c r="J721" t="n">
        <v>0</v>
      </c>
      <c r="K721" t="n">
        <v>0</v>
      </c>
      <c r="L721" t="n">
        <v>0</v>
      </c>
      <c r="M721" t="n">
        <v>0</v>
      </c>
      <c r="N721" t="n">
        <v>0</v>
      </c>
      <c r="O721" t="n">
        <v>0</v>
      </c>
      <c r="P721" t="n">
        <v>0</v>
      </c>
      <c r="Q721" t="n">
        <v>0</v>
      </c>
      <c r="R721" s="2" t="inlineStr"/>
    </row>
    <row r="722" ht="15" customHeight="1">
      <c r="A722" t="inlineStr">
        <is>
          <t>A 49650-2024</t>
        </is>
      </c>
      <c r="B722" s="1" t="n">
        <v>45596.61569444444</v>
      </c>
      <c r="C722" s="1" t="n">
        <v>45894</v>
      </c>
      <c r="D722" t="inlineStr">
        <is>
          <t>JÄMTLANDS LÄN</t>
        </is>
      </c>
      <c r="E722" t="inlineStr">
        <is>
          <t>RAGUNDA</t>
        </is>
      </c>
      <c r="F722" t="inlineStr">
        <is>
          <t>Naturvårdsverket</t>
        </is>
      </c>
      <c r="G722" t="n">
        <v>3</v>
      </c>
      <c r="H722" t="n">
        <v>0</v>
      </c>
      <c r="I722" t="n">
        <v>0</v>
      </c>
      <c r="J722" t="n">
        <v>0</v>
      </c>
      <c r="K722" t="n">
        <v>0</v>
      </c>
      <c r="L722" t="n">
        <v>0</v>
      </c>
      <c r="M722" t="n">
        <v>0</v>
      </c>
      <c r="N722" t="n">
        <v>0</v>
      </c>
      <c r="O722" t="n">
        <v>0</v>
      </c>
      <c r="P722" t="n">
        <v>0</v>
      </c>
      <c r="Q722" t="n">
        <v>0</v>
      </c>
      <c r="R722" s="2" t="inlineStr"/>
    </row>
    <row r="723" ht="15" customHeight="1">
      <c r="A723" t="inlineStr">
        <is>
          <t>A 49651-2024</t>
        </is>
      </c>
      <c r="B723" s="1" t="n">
        <v>45596.61582175926</v>
      </c>
      <c r="C723" s="1" t="n">
        <v>45894</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32259-2024</t>
        </is>
      </c>
      <c r="B724" s="1" t="n">
        <v>45511</v>
      </c>
      <c r="C724" s="1" t="n">
        <v>45894</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25631-2025</t>
        </is>
      </c>
      <c r="B725" s="1" t="n">
        <v>45803.5946875</v>
      </c>
      <c r="C725" s="1" t="n">
        <v>45894</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25630-2025</t>
        </is>
      </c>
      <c r="B726" s="1" t="n">
        <v>45803.59417824074</v>
      </c>
      <c r="C726" s="1" t="n">
        <v>45894</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25597-2025</t>
        </is>
      </c>
      <c r="B727" s="1" t="n">
        <v>45803.53157407408</v>
      </c>
      <c r="C727" s="1" t="n">
        <v>45894</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25376-2025</t>
        </is>
      </c>
      <c r="B728" s="1" t="n">
        <v>45800.63619212963</v>
      </c>
      <c r="C728" s="1" t="n">
        <v>45894</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25175-2025</t>
        </is>
      </c>
      <c r="B729" s="1" t="n">
        <v>45800.44822916666</v>
      </c>
      <c r="C729" s="1" t="n">
        <v>45894</v>
      </c>
      <c r="D729" t="inlineStr">
        <is>
          <t>JÄMTLANDS LÄN</t>
        </is>
      </c>
      <c r="E729" t="inlineStr">
        <is>
          <t>RAGUNDA</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25177-2025</t>
        </is>
      </c>
      <c r="B730" s="1" t="n">
        <v>45800.44862268519</v>
      </c>
      <c r="C730" s="1" t="n">
        <v>45894</v>
      </c>
      <c r="D730" t="inlineStr">
        <is>
          <t>JÄMTLANDS LÄN</t>
        </is>
      </c>
      <c r="E730" t="inlineStr">
        <is>
          <t>RAGUNDA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25659-2025</t>
        </is>
      </c>
      <c r="B731" s="1" t="n">
        <v>45803.61552083334</v>
      </c>
      <c r="C731" s="1" t="n">
        <v>45894</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25661-2025</t>
        </is>
      </c>
      <c r="B732" s="1" t="n">
        <v>45803.61557870371</v>
      </c>
      <c r="C732" s="1" t="n">
        <v>45894</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25350-2025</t>
        </is>
      </c>
      <c r="B733" s="1" t="n">
        <v>45800</v>
      </c>
      <c r="C733" s="1" t="n">
        <v>45894</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5313-2025</t>
        </is>
      </c>
      <c r="B734" s="1" t="n">
        <v>45692.51069444444</v>
      </c>
      <c r="C734" s="1" t="n">
        <v>45894</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5357-2025</t>
        </is>
      </c>
      <c r="B735" s="1" t="n">
        <v>45692.57326388889</v>
      </c>
      <c r="C735" s="1" t="n">
        <v>45894</v>
      </c>
      <c r="D735" t="inlineStr">
        <is>
          <t>JÄMTLANDS LÄN</t>
        </is>
      </c>
      <c r="E735" t="inlineStr">
        <is>
          <t>RAGUNDA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3018-2024</t>
        </is>
      </c>
      <c r="B736" s="1" t="n">
        <v>45315.9492824074</v>
      </c>
      <c r="C736" s="1" t="n">
        <v>45894</v>
      </c>
      <c r="D736" t="inlineStr">
        <is>
          <t>JÄMTLANDS LÄN</t>
        </is>
      </c>
      <c r="E736" t="inlineStr">
        <is>
          <t>RAGUNDA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25152-2025</t>
        </is>
      </c>
      <c r="B737" s="1" t="n">
        <v>45800.42743055556</v>
      </c>
      <c r="C737" s="1" t="n">
        <v>45894</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44605-2024</t>
        </is>
      </c>
      <c r="B738" s="1" t="n">
        <v>45574.51185185185</v>
      </c>
      <c r="C738" s="1" t="n">
        <v>45894</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20773-2024</t>
        </is>
      </c>
      <c r="B739" s="1" t="n">
        <v>45436.94636574074</v>
      </c>
      <c r="C739" s="1" t="n">
        <v>45894</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34323-2023</t>
        </is>
      </c>
      <c r="B740" s="1" t="n">
        <v>45138.94925925926</v>
      </c>
      <c r="C740" s="1" t="n">
        <v>45894</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64264-2023</t>
        </is>
      </c>
      <c r="B741" s="1" t="n">
        <v>45279.94564814815</v>
      </c>
      <c r="C741" s="1" t="n">
        <v>45894</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19613-2023</t>
        </is>
      </c>
      <c r="B742" s="1" t="n">
        <v>45050.94020833333</v>
      </c>
      <c r="C742" s="1" t="n">
        <v>45894</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25814-2025</t>
        </is>
      </c>
      <c r="B743" s="1" t="n">
        <v>45804.42642361111</v>
      </c>
      <c r="C743" s="1" t="n">
        <v>45894</v>
      </c>
      <c r="D743" t="inlineStr">
        <is>
          <t>JÄMTLANDS LÄN</t>
        </is>
      </c>
      <c r="E743" t="inlineStr">
        <is>
          <t>RAGUNDA</t>
        </is>
      </c>
      <c r="G743" t="n">
        <v>0.8</v>
      </c>
      <c r="H743" t="n">
        <v>0</v>
      </c>
      <c r="I743" t="n">
        <v>0</v>
      </c>
      <c r="J743" t="n">
        <v>0</v>
      </c>
      <c r="K743" t="n">
        <v>0</v>
      </c>
      <c r="L743" t="n">
        <v>0</v>
      </c>
      <c r="M743" t="n">
        <v>0</v>
      </c>
      <c r="N743" t="n">
        <v>0</v>
      </c>
      <c r="O743" t="n">
        <v>0</v>
      </c>
      <c r="P743" t="n">
        <v>0</v>
      </c>
      <c r="Q743" t="n">
        <v>0</v>
      </c>
      <c r="R743" s="2" t="inlineStr"/>
    </row>
    <row r="744" ht="15" customHeight="1">
      <c r="A744" t="inlineStr">
        <is>
          <t>A 25944-2025</t>
        </is>
      </c>
      <c r="B744" s="1" t="n">
        <v>45804.59487268519</v>
      </c>
      <c r="C744" s="1" t="n">
        <v>45894</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26283-2025</t>
        </is>
      </c>
      <c r="B745" s="1" t="n">
        <v>45805.61495370371</v>
      </c>
      <c r="C745" s="1" t="n">
        <v>45894</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50486-2023</t>
        </is>
      </c>
      <c r="B746" s="1" t="n">
        <v>45216.92424768519</v>
      </c>
      <c r="C746" s="1" t="n">
        <v>45894</v>
      </c>
      <c r="D746" t="inlineStr">
        <is>
          <t>JÄMTLANDS LÄN</t>
        </is>
      </c>
      <c r="E746" t="inlineStr">
        <is>
          <t>RAGUNDA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10788-2025</t>
        </is>
      </c>
      <c r="B747" s="1" t="n">
        <v>45722.48982638889</v>
      </c>
      <c r="C747" s="1" t="n">
        <v>45894</v>
      </c>
      <c r="D747" t="inlineStr">
        <is>
          <t>JÄMTLANDS LÄN</t>
        </is>
      </c>
      <c r="E747" t="inlineStr">
        <is>
          <t>RAGUNDA</t>
        </is>
      </c>
      <c r="G747" t="n">
        <v>3.5</v>
      </c>
      <c r="H747" t="n">
        <v>0</v>
      </c>
      <c r="I747" t="n">
        <v>0</v>
      </c>
      <c r="J747" t="n">
        <v>0</v>
      </c>
      <c r="K747" t="n">
        <v>0</v>
      </c>
      <c r="L747" t="n">
        <v>0</v>
      </c>
      <c r="M747" t="n">
        <v>0</v>
      </c>
      <c r="N747" t="n">
        <v>0</v>
      </c>
      <c r="O747" t="n">
        <v>0</v>
      </c>
      <c r="P747" t="n">
        <v>0</v>
      </c>
      <c r="Q747" t="n">
        <v>0</v>
      </c>
      <c r="R747" s="2" t="inlineStr"/>
    </row>
    <row r="748" ht="15" customHeight="1">
      <c r="A748" t="inlineStr">
        <is>
          <t>A 24258-2025</t>
        </is>
      </c>
      <c r="B748" s="1" t="n">
        <v>45797.40800925926</v>
      </c>
      <c r="C748" s="1" t="n">
        <v>45894</v>
      </c>
      <c r="D748" t="inlineStr">
        <is>
          <t>JÄMTLANDS LÄN</t>
        </is>
      </c>
      <c r="E748" t="inlineStr">
        <is>
          <t>RAGUNDA</t>
        </is>
      </c>
      <c r="G748" t="n">
        <v>1.2</v>
      </c>
      <c r="H748" t="n">
        <v>0</v>
      </c>
      <c r="I748" t="n">
        <v>0</v>
      </c>
      <c r="J748" t="n">
        <v>0</v>
      </c>
      <c r="K748" t="n">
        <v>0</v>
      </c>
      <c r="L748" t="n">
        <v>0</v>
      </c>
      <c r="M748" t="n">
        <v>0</v>
      </c>
      <c r="N748" t="n">
        <v>0</v>
      </c>
      <c r="O748" t="n">
        <v>0</v>
      </c>
      <c r="P748" t="n">
        <v>0</v>
      </c>
      <c r="Q748" t="n">
        <v>0</v>
      </c>
      <c r="R748" s="2" t="inlineStr"/>
    </row>
    <row r="749" ht="15" customHeight="1">
      <c r="A749" t="inlineStr">
        <is>
          <t>A 51538-2022</t>
        </is>
      </c>
      <c r="B749" s="1" t="n">
        <v>44869</v>
      </c>
      <c r="C749" s="1" t="n">
        <v>45894</v>
      </c>
      <c r="D749" t="inlineStr">
        <is>
          <t>JÄMTLANDS LÄN</t>
        </is>
      </c>
      <c r="E749" t="inlineStr">
        <is>
          <t>RAGUNDA</t>
        </is>
      </c>
      <c r="G749" t="n">
        <v>6.8</v>
      </c>
      <c r="H749" t="n">
        <v>0</v>
      </c>
      <c r="I749" t="n">
        <v>0</v>
      </c>
      <c r="J749" t="n">
        <v>0</v>
      </c>
      <c r="K749" t="n">
        <v>0</v>
      </c>
      <c r="L749" t="n">
        <v>0</v>
      </c>
      <c r="M749" t="n">
        <v>0</v>
      </c>
      <c r="N749" t="n">
        <v>0</v>
      </c>
      <c r="O749" t="n">
        <v>0</v>
      </c>
      <c r="P749" t="n">
        <v>0</v>
      </c>
      <c r="Q749" t="n">
        <v>0</v>
      </c>
      <c r="R749" s="2" t="inlineStr"/>
    </row>
    <row r="750" ht="15" customHeight="1">
      <c r="A750" t="inlineStr">
        <is>
          <t>A 25994-2025</t>
        </is>
      </c>
      <c r="B750" s="1" t="n">
        <v>45804.65672453704</v>
      </c>
      <c r="C750" s="1" t="n">
        <v>45894</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55309-2020</t>
        </is>
      </c>
      <c r="B751" s="1" t="n">
        <v>44130.9416550926</v>
      </c>
      <c r="C751" s="1" t="n">
        <v>45894</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19727-2025</t>
        </is>
      </c>
      <c r="B752" s="1" t="n">
        <v>45771.36538194444</v>
      </c>
      <c r="C752" s="1" t="n">
        <v>45894</v>
      </c>
      <c r="D752" t="inlineStr">
        <is>
          <t>JÄMTLANDS LÄN</t>
        </is>
      </c>
      <c r="E752" t="inlineStr">
        <is>
          <t>RAGUNDA</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19854-2025</t>
        </is>
      </c>
      <c r="B753" s="1" t="n">
        <v>45771.51074074074</v>
      </c>
      <c r="C753" s="1" t="n">
        <v>45894</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26172-2025</t>
        </is>
      </c>
      <c r="B754" s="1" t="n">
        <v>45805.46613425926</v>
      </c>
      <c r="C754" s="1" t="n">
        <v>45894</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42893-2022</t>
        </is>
      </c>
      <c r="B755" s="1" t="n">
        <v>44832</v>
      </c>
      <c r="C755" s="1" t="n">
        <v>45894</v>
      </c>
      <c r="D755" t="inlineStr">
        <is>
          <t>JÄMTLANDS LÄN</t>
        </is>
      </c>
      <c r="E755" t="inlineStr">
        <is>
          <t>RAGUNDA</t>
        </is>
      </c>
      <c r="F755" t="inlineStr">
        <is>
          <t>SCA</t>
        </is>
      </c>
      <c r="G755" t="n">
        <v>28.4</v>
      </c>
      <c r="H755" t="n">
        <v>0</v>
      </c>
      <c r="I755" t="n">
        <v>0</v>
      </c>
      <c r="J755" t="n">
        <v>0</v>
      </c>
      <c r="K755" t="n">
        <v>0</v>
      </c>
      <c r="L755" t="n">
        <v>0</v>
      </c>
      <c r="M755" t="n">
        <v>0</v>
      </c>
      <c r="N755" t="n">
        <v>0</v>
      </c>
      <c r="O755" t="n">
        <v>0</v>
      </c>
      <c r="P755" t="n">
        <v>0</v>
      </c>
      <c r="Q755" t="n">
        <v>0</v>
      </c>
      <c r="R755" s="2" t="inlineStr"/>
    </row>
    <row r="756" ht="15" customHeight="1">
      <c r="A756" t="inlineStr">
        <is>
          <t>A 50503-2024</t>
        </is>
      </c>
      <c r="B756" s="1" t="n">
        <v>45601.5315625</v>
      </c>
      <c r="C756" s="1" t="n">
        <v>45894</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10610-2024</t>
        </is>
      </c>
      <c r="B757" s="1" t="n">
        <v>45367.04693287037</v>
      </c>
      <c r="C757" s="1" t="n">
        <v>45894</v>
      </c>
      <c r="D757" t="inlineStr">
        <is>
          <t>JÄMTLANDS LÄN</t>
        </is>
      </c>
      <c r="E757" t="inlineStr">
        <is>
          <t>RAGUNDA</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26246-2025</t>
        </is>
      </c>
      <c r="B758" s="1" t="n">
        <v>45805.57390046296</v>
      </c>
      <c r="C758" s="1" t="n">
        <v>45894</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21401-2024</t>
        </is>
      </c>
      <c r="B759" s="1" t="n">
        <v>45441.33313657407</v>
      </c>
      <c r="C759" s="1" t="n">
        <v>45894</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10706-2023</t>
        </is>
      </c>
      <c r="B760" s="1" t="n">
        <v>44984</v>
      </c>
      <c r="C760" s="1" t="n">
        <v>45894</v>
      </c>
      <c r="D760" t="inlineStr">
        <is>
          <t>JÄMTLANDS LÄN</t>
        </is>
      </c>
      <c r="E760" t="inlineStr">
        <is>
          <t>RAGUNDA</t>
        </is>
      </c>
      <c r="G760" t="n">
        <v>7.7</v>
      </c>
      <c r="H760" t="n">
        <v>0</v>
      </c>
      <c r="I760" t="n">
        <v>0</v>
      </c>
      <c r="J760" t="n">
        <v>0</v>
      </c>
      <c r="K760" t="n">
        <v>0</v>
      </c>
      <c r="L760" t="n">
        <v>0</v>
      </c>
      <c r="M760" t="n">
        <v>0</v>
      </c>
      <c r="N760" t="n">
        <v>0</v>
      </c>
      <c r="O760" t="n">
        <v>0</v>
      </c>
      <c r="P760" t="n">
        <v>0</v>
      </c>
      <c r="Q760" t="n">
        <v>0</v>
      </c>
      <c r="R760" s="2" t="inlineStr"/>
    </row>
    <row r="761" ht="15" customHeight="1">
      <c r="A761" t="inlineStr">
        <is>
          <t>A 63708-2023</t>
        </is>
      </c>
      <c r="B761" s="1" t="n">
        <v>45275.95060185185</v>
      </c>
      <c r="C761" s="1" t="n">
        <v>45894</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16250-2022</t>
        </is>
      </c>
      <c r="B762" s="1" t="n">
        <v>44670</v>
      </c>
      <c r="C762" s="1" t="n">
        <v>45894</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29940-2023</t>
        </is>
      </c>
      <c r="B763" s="1" t="n">
        <v>45107</v>
      </c>
      <c r="C763" s="1" t="n">
        <v>45894</v>
      </c>
      <c r="D763" t="inlineStr">
        <is>
          <t>JÄMTLANDS LÄN</t>
        </is>
      </c>
      <c r="E763" t="inlineStr">
        <is>
          <t>RAGUNDA</t>
        </is>
      </c>
      <c r="G763" t="n">
        <v>13.5</v>
      </c>
      <c r="H763" t="n">
        <v>0</v>
      </c>
      <c r="I763" t="n">
        <v>0</v>
      </c>
      <c r="J763" t="n">
        <v>0</v>
      </c>
      <c r="K763" t="n">
        <v>0</v>
      </c>
      <c r="L763" t="n">
        <v>0</v>
      </c>
      <c r="M763" t="n">
        <v>0</v>
      </c>
      <c r="N763" t="n">
        <v>0</v>
      </c>
      <c r="O763" t="n">
        <v>0</v>
      </c>
      <c r="P763" t="n">
        <v>0</v>
      </c>
      <c r="Q763" t="n">
        <v>0</v>
      </c>
      <c r="R763" s="2" t="inlineStr"/>
    </row>
    <row r="764" ht="15" customHeight="1">
      <c r="A764" t="inlineStr">
        <is>
          <t>A 60663-2022</t>
        </is>
      </c>
      <c r="B764" s="1" t="n">
        <v>44911.93846064815</v>
      </c>
      <c r="C764" s="1" t="n">
        <v>45894</v>
      </c>
      <c r="D764" t="inlineStr">
        <is>
          <t>JÄMTLANDS LÄN</t>
        </is>
      </c>
      <c r="E764" t="inlineStr">
        <is>
          <t>RAGUNDA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73278-2021</t>
        </is>
      </c>
      <c r="B765" s="1" t="n">
        <v>44550.92168981482</v>
      </c>
      <c r="C765" s="1" t="n">
        <v>45894</v>
      </c>
      <c r="D765" t="inlineStr">
        <is>
          <t>JÄMTLANDS LÄN</t>
        </is>
      </c>
      <c r="E765" t="inlineStr">
        <is>
          <t>RAGUNDA</t>
        </is>
      </c>
      <c r="G765" t="n">
        <v>4.4</v>
      </c>
      <c r="H765" t="n">
        <v>0</v>
      </c>
      <c r="I765" t="n">
        <v>0</v>
      </c>
      <c r="J765" t="n">
        <v>0</v>
      </c>
      <c r="K765" t="n">
        <v>0</v>
      </c>
      <c r="L765" t="n">
        <v>0</v>
      </c>
      <c r="M765" t="n">
        <v>0</v>
      </c>
      <c r="N765" t="n">
        <v>0</v>
      </c>
      <c r="O765" t="n">
        <v>0</v>
      </c>
      <c r="P765" t="n">
        <v>0</v>
      </c>
      <c r="Q765" t="n">
        <v>0</v>
      </c>
      <c r="R765" s="2" t="inlineStr"/>
    </row>
    <row r="766" ht="15" customHeight="1">
      <c r="A766" t="inlineStr">
        <is>
          <t>A 58847-2024</t>
        </is>
      </c>
      <c r="B766" s="1" t="n">
        <v>45636.3864699074</v>
      </c>
      <c r="C766" s="1" t="n">
        <v>45894</v>
      </c>
      <c r="D766" t="inlineStr">
        <is>
          <t>JÄMTLANDS LÄN</t>
        </is>
      </c>
      <c r="E766" t="inlineStr">
        <is>
          <t>RAGUNDA</t>
        </is>
      </c>
      <c r="F766" t="inlineStr">
        <is>
          <t>SCA</t>
        </is>
      </c>
      <c r="G766" t="n">
        <v>8</v>
      </c>
      <c r="H766" t="n">
        <v>0</v>
      </c>
      <c r="I766" t="n">
        <v>0</v>
      </c>
      <c r="J766" t="n">
        <v>0</v>
      </c>
      <c r="K766" t="n">
        <v>0</v>
      </c>
      <c r="L766" t="n">
        <v>0</v>
      </c>
      <c r="M766" t="n">
        <v>0</v>
      </c>
      <c r="N766" t="n">
        <v>0</v>
      </c>
      <c r="O766" t="n">
        <v>0</v>
      </c>
      <c r="P766" t="n">
        <v>0</v>
      </c>
      <c r="Q766" t="n">
        <v>0</v>
      </c>
      <c r="R766" s="2" t="inlineStr"/>
    </row>
    <row r="767" ht="15" customHeight="1">
      <c r="A767" t="inlineStr">
        <is>
          <t>A 34999-2025</t>
        </is>
      </c>
      <c r="B767" s="1" t="n">
        <v>45850.34450231482</v>
      </c>
      <c r="C767" s="1" t="n">
        <v>45894</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27777-2022</t>
        </is>
      </c>
      <c r="B768" s="1" t="n">
        <v>44743</v>
      </c>
      <c r="C768" s="1" t="n">
        <v>45894</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51396-2024</t>
        </is>
      </c>
      <c r="B769" s="1" t="n">
        <v>45604.4190625</v>
      </c>
      <c r="C769" s="1" t="n">
        <v>45894</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35092-2025</t>
        </is>
      </c>
      <c r="B770" s="1" t="n">
        <v>45852.53185185185</v>
      </c>
      <c r="C770" s="1" t="n">
        <v>45894</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26640-2025</t>
        </is>
      </c>
      <c r="B771" s="1" t="n">
        <v>45810.36495370371</v>
      </c>
      <c r="C771" s="1" t="n">
        <v>45894</v>
      </c>
      <c r="D771" t="inlineStr">
        <is>
          <t>JÄMTLANDS LÄN</t>
        </is>
      </c>
      <c r="E771" t="inlineStr">
        <is>
          <t>RAGUNDA</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23303-2024</t>
        </is>
      </c>
      <c r="B772" s="1" t="n">
        <v>45453.4444212963</v>
      </c>
      <c r="C772" s="1" t="n">
        <v>45894</v>
      </c>
      <c r="D772" t="inlineStr">
        <is>
          <t>JÄMTLANDS LÄN</t>
        </is>
      </c>
      <c r="E772" t="inlineStr">
        <is>
          <t>RAGUNDA</t>
        </is>
      </c>
      <c r="G772" t="n">
        <v>0.7</v>
      </c>
      <c r="H772" t="n">
        <v>0</v>
      </c>
      <c r="I772" t="n">
        <v>0</v>
      </c>
      <c r="J772" t="n">
        <v>0</v>
      </c>
      <c r="K772" t="n">
        <v>0</v>
      </c>
      <c r="L772" t="n">
        <v>0</v>
      </c>
      <c r="M772" t="n">
        <v>0</v>
      </c>
      <c r="N772" t="n">
        <v>0</v>
      </c>
      <c r="O772" t="n">
        <v>0</v>
      </c>
      <c r="P772" t="n">
        <v>0</v>
      </c>
      <c r="Q772" t="n">
        <v>0</v>
      </c>
      <c r="R772" s="2" t="inlineStr"/>
    </row>
    <row r="773" ht="15" customHeight="1">
      <c r="A773" t="inlineStr">
        <is>
          <t>A 42875-2024</t>
        </is>
      </c>
      <c r="B773" s="1" t="n">
        <v>45566.68125</v>
      </c>
      <c r="C773" s="1" t="n">
        <v>45894</v>
      </c>
      <c r="D773" t="inlineStr">
        <is>
          <t>JÄMTLANDS LÄN</t>
        </is>
      </c>
      <c r="E773" t="inlineStr">
        <is>
          <t>RAGUNDA</t>
        </is>
      </c>
      <c r="G773" t="n">
        <v>0.5</v>
      </c>
      <c r="H773" t="n">
        <v>0</v>
      </c>
      <c r="I773" t="n">
        <v>0</v>
      </c>
      <c r="J773" t="n">
        <v>0</v>
      </c>
      <c r="K773" t="n">
        <v>0</v>
      </c>
      <c r="L773" t="n">
        <v>0</v>
      </c>
      <c r="M773" t="n">
        <v>0</v>
      </c>
      <c r="N773" t="n">
        <v>0</v>
      </c>
      <c r="O773" t="n">
        <v>0</v>
      </c>
      <c r="P773" t="n">
        <v>0</v>
      </c>
      <c r="Q773" t="n">
        <v>0</v>
      </c>
      <c r="R773" s="2" t="inlineStr"/>
    </row>
    <row r="774" ht="15" customHeight="1">
      <c r="A774" t="inlineStr">
        <is>
          <t>A 179-2025</t>
        </is>
      </c>
      <c r="B774" s="1" t="n">
        <v>45659.69822916666</v>
      </c>
      <c r="C774" s="1" t="n">
        <v>45894</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22412-2024</t>
        </is>
      </c>
      <c r="B775" s="1" t="n">
        <v>45446.68947916666</v>
      </c>
      <c r="C775" s="1" t="n">
        <v>45894</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13334-2024</t>
        </is>
      </c>
      <c r="B776" s="1" t="n">
        <v>45386</v>
      </c>
      <c r="C776" s="1" t="n">
        <v>45894</v>
      </c>
      <c r="D776" t="inlineStr">
        <is>
          <t>JÄMTLANDS LÄN</t>
        </is>
      </c>
      <c r="E776" t="inlineStr">
        <is>
          <t>RAGUNDA</t>
        </is>
      </c>
      <c r="G776" t="n">
        <v>8.6</v>
      </c>
      <c r="H776" t="n">
        <v>0</v>
      </c>
      <c r="I776" t="n">
        <v>0</v>
      </c>
      <c r="J776" t="n">
        <v>0</v>
      </c>
      <c r="K776" t="n">
        <v>0</v>
      </c>
      <c r="L776" t="n">
        <v>0</v>
      </c>
      <c r="M776" t="n">
        <v>0</v>
      </c>
      <c r="N776" t="n">
        <v>0</v>
      </c>
      <c r="O776" t="n">
        <v>0</v>
      </c>
      <c r="P776" t="n">
        <v>0</v>
      </c>
      <c r="Q776" t="n">
        <v>0</v>
      </c>
      <c r="R776" s="2" t="inlineStr"/>
    </row>
    <row r="777" ht="15" customHeight="1">
      <c r="A777" t="inlineStr">
        <is>
          <t>A 60443-2023</t>
        </is>
      </c>
      <c r="B777" s="1" t="n">
        <v>45258</v>
      </c>
      <c r="C777" s="1" t="n">
        <v>45894</v>
      </c>
      <c r="D777" t="inlineStr">
        <is>
          <t>JÄMTLANDS LÄN</t>
        </is>
      </c>
      <c r="E777" t="inlineStr">
        <is>
          <t>RAGUNDA</t>
        </is>
      </c>
      <c r="G777" t="n">
        <v>2.9</v>
      </c>
      <c r="H777" t="n">
        <v>0</v>
      </c>
      <c r="I777" t="n">
        <v>0</v>
      </c>
      <c r="J777" t="n">
        <v>0</v>
      </c>
      <c r="K777" t="n">
        <v>0</v>
      </c>
      <c r="L777" t="n">
        <v>0</v>
      </c>
      <c r="M777" t="n">
        <v>0</v>
      </c>
      <c r="N777" t="n">
        <v>0</v>
      </c>
      <c r="O777" t="n">
        <v>0</v>
      </c>
      <c r="P777" t="n">
        <v>0</v>
      </c>
      <c r="Q777" t="n">
        <v>0</v>
      </c>
      <c r="R777" s="2" t="inlineStr"/>
    </row>
    <row r="778" ht="15" customHeight="1">
      <c r="A778" t="inlineStr">
        <is>
          <t>A 53935-2022</t>
        </is>
      </c>
      <c r="B778" s="1" t="n">
        <v>44880</v>
      </c>
      <c r="C778" s="1" t="n">
        <v>45894</v>
      </c>
      <c r="D778" t="inlineStr">
        <is>
          <t>JÄMTLANDS LÄN</t>
        </is>
      </c>
      <c r="E778" t="inlineStr">
        <is>
          <t>RAGUNDA</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21726-2023</t>
        </is>
      </c>
      <c r="B779" s="1" t="n">
        <v>45065.42894675926</v>
      </c>
      <c r="C779" s="1" t="n">
        <v>45894</v>
      </c>
      <c r="D779" t="inlineStr">
        <is>
          <t>JÄMTLANDS LÄN</t>
        </is>
      </c>
      <c r="E779" t="inlineStr">
        <is>
          <t>RAGUNDA</t>
        </is>
      </c>
      <c r="G779" t="n">
        <v>0.4</v>
      </c>
      <c r="H779" t="n">
        <v>0</v>
      </c>
      <c r="I779" t="n">
        <v>0</v>
      </c>
      <c r="J779" t="n">
        <v>0</v>
      </c>
      <c r="K779" t="n">
        <v>0</v>
      </c>
      <c r="L779" t="n">
        <v>0</v>
      </c>
      <c r="M779" t="n">
        <v>0</v>
      </c>
      <c r="N779" t="n">
        <v>0</v>
      </c>
      <c r="O779" t="n">
        <v>0</v>
      </c>
      <c r="P779" t="n">
        <v>0</v>
      </c>
      <c r="Q779" t="n">
        <v>0</v>
      </c>
      <c r="R779" s="2" t="inlineStr"/>
    </row>
    <row r="780" ht="15" customHeight="1">
      <c r="A780" t="inlineStr">
        <is>
          <t>A 35091-2025</t>
        </is>
      </c>
      <c r="B780" s="1" t="n">
        <v>45852.53168981482</v>
      </c>
      <c r="C780" s="1" t="n">
        <v>45894</v>
      </c>
      <c r="D780" t="inlineStr">
        <is>
          <t>JÄMTLANDS LÄN</t>
        </is>
      </c>
      <c r="E780" t="inlineStr">
        <is>
          <t>RAGUNDA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41262-2021</t>
        </is>
      </c>
      <c r="B781" s="1" t="n">
        <v>44424</v>
      </c>
      <c r="C781" s="1" t="n">
        <v>45894</v>
      </c>
      <c r="D781" t="inlineStr">
        <is>
          <t>JÄMTLANDS LÄN</t>
        </is>
      </c>
      <c r="E781" t="inlineStr">
        <is>
          <t>RAGUNDA</t>
        </is>
      </c>
      <c r="G781" t="n">
        <v>2.6</v>
      </c>
      <c r="H781" t="n">
        <v>0</v>
      </c>
      <c r="I781" t="n">
        <v>0</v>
      </c>
      <c r="J781" t="n">
        <v>0</v>
      </c>
      <c r="K781" t="n">
        <v>0</v>
      </c>
      <c r="L781" t="n">
        <v>0</v>
      </c>
      <c r="M781" t="n">
        <v>0</v>
      </c>
      <c r="N781" t="n">
        <v>0</v>
      </c>
      <c r="O781" t="n">
        <v>0</v>
      </c>
      <c r="P781" t="n">
        <v>0</v>
      </c>
      <c r="Q781" t="n">
        <v>0</v>
      </c>
      <c r="R781" s="2" t="inlineStr"/>
    </row>
    <row r="782" ht="15" customHeight="1">
      <c r="A782" t="inlineStr">
        <is>
          <t>A 45952-2023</t>
        </is>
      </c>
      <c r="B782" s="1" t="n">
        <v>45195</v>
      </c>
      <c r="C782" s="1" t="n">
        <v>45894</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45954-2023</t>
        </is>
      </c>
      <c r="B783" s="1" t="n">
        <v>45195.94679398148</v>
      </c>
      <c r="C783" s="1" t="n">
        <v>45894</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45955-2023</t>
        </is>
      </c>
      <c r="B784" s="1" t="n">
        <v>45195.94685185186</v>
      </c>
      <c r="C784" s="1" t="n">
        <v>45894</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51685-2020</t>
        </is>
      </c>
      <c r="B785" s="1" t="n">
        <v>44113</v>
      </c>
      <c r="C785" s="1" t="n">
        <v>45894</v>
      </c>
      <c r="D785" t="inlineStr">
        <is>
          <t>JÄMTLANDS LÄN</t>
        </is>
      </c>
      <c r="E785" t="inlineStr">
        <is>
          <t>RAGUNDA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2001-2025</t>
        </is>
      </c>
      <c r="B786" s="1" t="n">
        <v>45672.44898148148</v>
      </c>
      <c r="C786" s="1" t="n">
        <v>45894</v>
      </c>
      <c r="D786" t="inlineStr">
        <is>
          <t>JÄMTLANDS LÄN</t>
        </is>
      </c>
      <c r="E786" t="inlineStr">
        <is>
          <t>RAGUNDA</t>
        </is>
      </c>
      <c r="F786" t="inlineStr">
        <is>
          <t>SCA</t>
        </is>
      </c>
      <c r="G786" t="n">
        <v>16.2</v>
      </c>
      <c r="H786" t="n">
        <v>0</v>
      </c>
      <c r="I786" t="n">
        <v>0</v>
      </c>
      <c r="J786" t="n">
        <v>0</v>
      </c>
      <c r="K786" t="n">
        <v>0</v>
      </c>
      <c r="L786" t="n">
        <v>0</v>
      </c>
      <c r="M786" t="n">
        <v>0</v>
      </c>
      <c r="N786" t="n">
        <v>0</v>
      </c>
      <c r="O786" t="n">
        <v>0</v>
      </c>
      <c r="P786" t="n">
        <v>0</v>
      </c>
      <c r="Q786" t="n">
        <v>0</v>
      </c>
      <c r="R786" s="2" t="inlineStr"/>
    </row>
    <row r="787" ht="15" customHeight="1">
      <c r="A787" t="inlineStr">
        <is>
          <t>A 53762-2023</t>
        </is>
      </c>
      <c r="B787" s="1" t="n">
        <v>45230.96376157407</v>
      </c>
      <c r="C787" s="1" t="n">
        <v>45894</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60456-2023</t>
        </is>
      </c>
      <c r="B788" s="1" t="n">
        <v>45258</v>
      </c>
      <c r="C788" s="1" t="n">
        <v>45894</v>
      </c>
      <c r="D788" t="inlineStr">
        <is>
          <t>JÄMTLANDS LÄN</t>
        </is>
      </c>
      <c r="E788" t="inlineStr">
        <is>
          <t>RAGUNDA</t>
        </is>
      </c>
      <c r="G788" t="n">
        <v>1.8</v>
      </c>
      <c r="H788" t="n">
        <v>0</v>
      </c>
      <c r="I788" t="n">
        <v>0</v>
      </c>
      <c r="J788" t="n">
        <v>0</v>
      </c>
      <c r="K788" t="n">
        <v>0</v>
      </c>
      <c r="L788" t="n">
        <v>0</v>
      </c>
      <c r="M788" t="n">
        <v>0</v>
      </c>
      <c r="N788" t="n">
        <v>0</v>
      </c>
      <c r="O788" t="n">
        <v>0</v>
      </c>
      <c r="P788" t="n">
        <v>0</v>
      </c>
      <c r="Q788" t="n">
        <v>0</v>
      </c>
      <c r="R788" s="2" t="inlineStr"/>
    </row>
    <row r="789" ht="15" customHeight="1">
      <c r="A789" t="inlineStr">
        <is>
          <t>A 16334-2025</t>
        </is>
      </c>
      <c r="B789" s="1" t="n">
        <v>45751.36490740741</v>
      </c>
      <c r="C789" s="1" t="n">
        <v>45894</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58438-2022</t>
        </is>
      </c>
      <c r="B790" s="1" t="n">
        <v>44901</v>
      </c>
      <c r="C790" s="1" t="n">
        <v>45894</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58442-2022</t>
        </is>
      </c>
      <c r="B791" s="1" t="n">
        <v>44901</v>
      </c>
      <c r="C791" s="1" t="n">
        <v>45894</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5806-2025</t>
        </is>
      </c>
      <c r="B792" s="1" t="n">
        <v>45694.69826388889</v>
      </c>
      <c r="C792" s="1" t="n">
        <v>45894</v>
      </c>
      <c r="D792" t="inlineStr">
        <is>
          <t>JÄMTLANDS LÄN</t>
        </is>
      </c>
      <c r="E792" t="inlineStr">
        <is>
          <t>RAGUNDA</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41179-2022</t>
        </is>
      </c>
      <c r="B793" s="1" t="n">
        <v>44825</v>
      </c>
      <c r="C793" s="1" t="n">
        <v>45894</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20221-2025</t>
        </is>
      </c>
      <c r="B794" s="1" t="n">
        <v>45772.6565625</v>
      </c>
      <c r="C794" s="1" t="n">
        <v>45894</v>
      </c>
      <c r="D794" t="inlineStr">
        <is>
          <t>JÄMTLANDS LÄN</t>
        </is>
      </c>
      <c r="E794" t="inlineStr">
        <is>
          <t>RAGUNDA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4015-2022</t>
        </is>
      </c>
      <c r="B795" s="1" t="n">
        <v>44587.92149305555</v>
      </c>
      <c r="C795" s="1" t="n">
        <v>45894</v>
      </c>
      <c r="D795" t="inlineStr">
        <is>
          <t>JÄMTLANDS LÄN</t>
        </is>
      </c>
      <c r="E795" t="inlineStr">
        <is>
          <t>RAGUNDA</t>
        </is>
      </c>
      <c r="G795" t="n">
        <v>3.9</v>
      </c>
      <c r="H795" t="n">
        <v>0</v>
      </c>
      <c r="I795" t="n">
        <v>0</v>
      </c>
      <c r="J795" t="n">
        <v>0</v>
      </c>
      <c r="K795" t="n">
        <v>0</v>
      </c>
      <c r="L795" t="n">
        <v>0</v>
      </c>
      <c r="M795" t="n">
        <v>0</v>
      </c>
      <c r="N795" t="n">
        <v>0</v>
      </c>
      <c r="O795" t="n">
        <v>0</v>
      </c>
      <c r="P795" t="n">
        <v>0</v>
      </c>
      <c r="Q795" t="n">
        <v>0</v>
      </c>
      <c r="R795" s="2" t="inlineStr"/>
    </row>
    <row r="796" ht="15" customHeight="1">
      <c r="A796" t="inlineStr">
        <is>
          <t>A 8416-2023</t>
        </is>
      </c>
      <c r="B796" s="1" t="n">
        <v>44977.44373842593</v>
      </c>
      <c r="C796" s="1" t="n">
        <v>45894</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45253-2023</t>
        </is>
      </c>
      <c r="B797" s="1" t="n">
        <v>45187</v>
      </c>
      <c r="C797" s="1" t="n">
        <v>45894</v>
      </c>
      <c r="D797" t="inlineStr">
        <is>
          <t>JÄMTLANDS LÄN</t>
        </is>
      </c>
      <c r="E797" t="inlineStr">
        <is>
          <t>RAGUNDA</t>
        </is>
      </c>
      <c r="G797" t="n">
        <v>3.3</v>
      </c>
      <c r="H797" t="n">
        <v>0</v>
      </c>
      <c r="I797" t="n">
        <v>0</v>
      </c>
      <c r="J797" t="n">
        <v>0</v>
      </c>
      <c r="K797" t="n">
        <v>0</v>
      </c>
      <c r="L797" t="n">
        <v>0</v>
      </c>
      <c r="M797" t="n">
        <v>0</v>
      </c>
      <c r="N797" t="n">
        <v>0</v>
      </c>
      <c r="O797" t="n">
        <v>0</v>
      </c>
      <c r="P797" t="n">
        <v>0</v>
      </c>
      <c r="Q797" t="n">
        <v>0</v>
      </c>
      <c r="R797" s="2" t="inlineStr"/>
    </row>
    <row r="798" ht="15" customHeight="1">
      <c r="A798" t="inlineStr">
        <is>
          <t>A 14369-2024</t>
        </is>
      </c>
      <c r="B798" s="1" t="n">
        <v>45393.94459490741</v>
      </c>
      <c r="C798" s="1" t="n">
        <v>45894</v>
      </c>
      <c r="D798" t="inlineStr">
        <is>
          <t>JÄMTLANDS LÄN</t>
        </is>
      </c>
      <c r="E798" t="inlineStr">
        <is>
          <t>RAGUNDA</t>
        </is>
      </c>
      <c r="F798" t="inlineStr">
        <is>
          <t>Naturvårdsverket</t>
        </is>
      </c>
      <c r="G798" t="n">
        <v>1.8</v>
      </c>
      <c r="H798" t="n">
        <v>0</v>
      </c>
      <c r="I798" t="n">
        <v>0</v>
      </c>
      <c r="J798" t="n">
        <v>0</v>
      </c>
      <c r="K798" t="n">
        <v>0</v>
      </c>
      <c r="L798" t="n">
        <v>0</v>
      </c>
      <c r="M798" t="n">
        <v>0</v>
      </c>
      <c r="N798" t="n">
        <v>0</v>
      </c>
      <c r="O798" t="n">
        <v>0</v>
      </c>
      <c r="P798" t="n">
        <v>0</v>
      </c>
      <c r="Q798" t="n">
        <v>0</v>
      </c>
      <c r="R798" s="2" t="inlineStr"/>
    </row>
    <row r="799" ht="15" customHeight="1">
      <c r="A799" t="inlineStr">
        <is>
          <t>A 61598-2024</t>
        </is>
      </c>
      <c r="B799" s="1" t="n">
        <v>45646.63605324074</v>
      </c>
      <c r="C799" s="1" t="n">
        <v>45894</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17667-2025</t>
        </is>
      </c>
      <c r="B800" s="1" t="n">
        <v>45758.36487268518</v>
      </c>
      <c r="C800" s="1" t="n">
        <v>45894</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50157-2023</t>
        </is>
      </c>
      <c r="B801" s="1" t="n">
        <v>45208</v>
      </c>
      <c r="C801" s="1" t="n">
        <v>45894</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12405-2025</t>
        </is>
      </c>
      <c r="B802" s="1" t="n">
        <v>45730.42738425926</v>
      </c>
      <c r="C802" s="1" t="n">
        <v>45894</v>
      </c>
      <c r="D802" t="inlineStr">
        <is>
          <t>JÄMTLANDS LÄN</t>
        </is>
      </c>
      <c r="E802" t="inlineStr">
        <is>
          <t>RAGUNDA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36986-2023</t>
        </is>
      </c>
      <c r="B803" s="1" t="n">
        <v>45154.95525462963</v>
      </c>
      <c r="C803" s="1" t="n">
        <v>45894</v>
      </c>
      <c r="D803" t="inlineStr">
        <is>
          <t>JÄMTLANDS LÄN</t>
        </is>
      </c>
      <c r="E803" t="inlineStr">
        <is>
          <t>RAGUNDA</t>
        </is>
      </c>
      <c r="F803" t="inlineStr">
        <is>
          <t>SCA</t>
        </is>
      </c>
      <c r="G803" t="n">
        <v>0.2</v>
      </c>
      <c r="H803" t="n">
        <v>0</v>
      </c>
      <c r="I803" t="n">
        <v>0</v>
      </c>
      <c r="J803" t="n">
        <v>0</v>
      </c>
      <c r="K803" t="n">
        <v>0</v>
      </c>
      <c r="L803" t="n">
        <v>0</v>
      </c>
      <c r="M803" t="n">
        <v>0</v>
      </c>
      <c r="N803" t="n">
        <v>0</v>
      </c>
      <c r="O803" t="n">
        <v>0</v>
      </c>
      <c r="P803" t="n">
        <v>0</v>
      </c>
      <c r="Q803" t="n">
        <v>0</v>
      </c>
      <c r="R803" s="2" t="inlineStr"/>
    </row>
    <row r="804" ht="15" customHeight="1">
      <c r="A804" t="inlineStr">
        <is>
          <t>A 34998-2025</t>
        </is>
      </c>
      <c r="B804" s="1" t="n">
        <v>45850.34434027778</v>
      </c>
      <c r="C804" s="1" t="n">
        <v>45894</v>
      </c>
      <c r="D804" t="inlineStr">
        <is>
          <t>JÄMTLANDS LÄN</t>
        </is>
      </c>
      <c r="E804" t="inlineStr">
        <is>
          <t>RAGUNDA</t>
        </is>
      </c>
      <c r="G804" t="n">
        <v>1.4</v>
      </c>
      <c r="H804" t="n">
        <v>0</v>
      </c>
      <c r="I804" t="n">
        <v>0</v>
      </c>
      <c r="J804" t="n">
        <v>0</v>
      </c>
      <c r="K804" t="n">
        <v>0</v>
      </c>
      <c r="L804" t="n">
        <v>0</v>
      </c>
      <c r="M804" t="n">
        <v>0</v>
      </c>
      <c r="N804" t="n">
        <v>0</v>
      </c>
      <c r="O804" t="n">
        <v>0</v>
      </c>
      <c r="P804" t="n">
        <v>0</v>
      </c>
      <c r="Q804" t="n">
        <v>0</v>
      </c>
      <c r="R804" s="2" t="inlineStr"/>
    </row>
    <row r="805" ht="15" customHeight="1">
      <c r="A805" t="inlineStr">
        <is>
          <t>A 19089-2024</t>
        </is>
      </c>
      <c r="B805" s="1" t="n">
        <v>45428.00471064815</v>
      </c>
      <c r="C805" s="1" t="n">
        <v>45894</v>
      </c>
      <c r="D805" t="inlineStr">
        <is>
          <t>JÄMTLANDS LÄN</t>
        </is>
      </c>
      <c r="E805" t="inlineStr">
        <is>
          <t>RAGUNDA</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35462-2025</t>
        </is>
      </c>
      <c r="B806" s="1" t="n">
        <v>45855.61523148148</v>
      </c>
      <c r="C806" s="1" t="n">
        <v>45894</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35477-2025</t>
        </is>
      </c>
      <c r="B807" s="1" t="n">
        <v>45855.67899305555</v>
      </c>
      <c r="C807" s="1" t="n">
        <v>45894</v>
      </c>
      <c r="D807" t="inlineStr">
        <is>
          <t>JÄMTLANDS LÄN</t>
        </is>
      </c>
      <c r="E807" t="inlineStr">
        <is>
          <t>RAGUNDA</t>
        </is>
      </c>
      <c r="G807" t="n">
        <v>3.6</v>
      </c>
      <c r="H807" t="n">
        <v>0</v>
      </c>
      <c r="I807" t="n">
        <v>0</v>
      </c>
      <c r="J807" t="n">
        <v>0</v>
      </c>
      <c r="K807" t="n">
        <v>0</v>
      </c>
      <c r="L807" t="n">
        <v>0</v>
      </c>
      <c r="M807" t="n">
        <v>0</v>
      </c>
      <c r="N807" t="n">
        <v>0</v>
      </c>
      <c r="O807" t="n">
        <v>0</v>
      </c>
      <c r="P807" t="n">
        <v>0</v>
      </c>
      <c r="Q807" t="n">
        <v>0</v>
      </c>
      <c r="R807" s="2" t="inlineStr"/>
    </row>
    <row r="808" ht="15" customHeight="1">
      <c r="A808" t="inlineStr">
        <is>
          <t>A 35355-2025</t>
        </is>
      </c>
      <c r="B808" s="1" t="n">
        <v>45854.65663194445</v>
      </c>
      <c r="C808" s="1" t="n">
        <v>45894</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182-2023</t>
        </is>
      </c>
      <c r="B809" s="1" t="n">
        <v>44922</v>
      </c>
      <c r="C809" s="1" t="n">
        <v>45894</v>
      </c>
      <c r="D809" t="inlineStr">
        <is>
          <t>JÄMTLANDS LÄN</t>
        </is>
      </c>
      <c r="E809" t="inlineStr">
        <is>
          <t>RAGUNDA</t>
        </is>
      </c>
      <c r="G809" t="n">
        <v>1.4</v>
      </c>
      <c r="H809" t="n">
        <v>0</v>
      </c>
      <c r="I809" t="n">
        <v>0</v>
      </c>
      <c r="J809" t="n">
        <v>0</v>
      </c>
      <c r="K809" t="n">
        <v>0</v>
      </c>
      <c r="L809" t="n">
        <v>0</v>
      </c>
      <c r="M809" t="n">
        <v>0</v>
      </c>
      <c r="N809" t="n">
        <v>0</v>
      </c>
      <c r="O809" t="n">
        <v>0</v>
      </c>
      <c r="P809" t="n">
        <v>0</v>
      </c>
      <c r="Q809" t="n">
        <v>0</v>
      </c>
      <c r="R809" s="2" t="inlineStr"/>
    </row>
    <row r="810" ht="15" customHeight="1">
      <c r="A810" t="inlineStr">
        <is>
          <t>A 6490-2022</t>
        </is>
      </c>
      <c r="B810" s="1" t="n">
        <v>44601</v>
      </c>
      <c r="C810" s="1" t="n">
        <v>45894</v>
      </c>
      <c r="D810" t="inlineStr">
        <is>
          <t>JÄMTLANDS LÄN</t>
        </is>
      </c>
      <c r="E810" t="inlineStr">
        <is>
          <t>RAGUNDA</t>
        </is>
      </c>
      <c r="G810" t="n">
        <v>3.8</v>
      </c>
      <c r="H810" t="n">
        <v>0</v>
      </c>
      <c r="I810" t="n">
        <v>0</v>
      </c>
      <c r="J810" t="n">
        <v>0</v>
      </c>
      <c r="K810" t="n">
        <v>0</v>
      </c>
      <c r="L810" t="n">
        <v>0</v>
      </c>
      <c r="M810" t="n">
        <v>0</v>
      </c>
      <c r="N810" t="n">
        <v>0</v>
      </c>
      <c r="O810" t="n">
        <v>0</v>
      </c>
      <c r="P810" t="n">
        <v>0</v>
      </c>
      <c r="Q810" t="n">
        <v>0</v>
      </c>
      <c r="R810" s="2" t="inlineStr"/>
    </row>
    <row r="811" ht="15" customHeight="1">
      <c r="A811" t="inlineStr">
        <is>
          <t>A 6802-2021</t>
        </is>
      </c>
      <c r="B811" s="1" t="n">
        <v>44236</v>
      </c>
      <c r="C811" s="1" t="n">
        <v>45894</v>
      </c>
      <c r="D811" t="inlineStr">
        <is>
          <t>JÄMTLANDS LÄN</t>
        </is>
      </c>
      <c r="E811" t="inlineStr">
        <is>
          <t>RAGUNDA</t>
        </is>
      </c>
      <c r="G811" t="n">
        <v>11.2</v>
      </c>
      <c r="H811" t="n">
        <v>0</v>
      </c>
      <c r="I811" t="n">
        <v>0</v>
      </c>
      <c r="J811" t="n">
        <v>0</v>
      </c>
      <c r="K811" t="n">
        <v>0</v>
      </c>
      <c r="L811" t="n">
        <v>0</v>
      </c>
      <c r="M811" t="n">
        <v>0</v>
      </c>
      <c r="N811" t="n">
        <v>0</v>
      </c>
      <c r="O811" t="n">
        <v>0</v>
      </c>
      <c r="P811" t="n">
        <v>0</v>
      </c>
      <c r="Q811" t="n">
        <v>0</v>
      </c>
      <c r="R811" s="2" t="inlineStr"/>
    </row>
    <row r="812" ht="15" customHeight="1">
      <c r="A812" t="inlineStr">
        <is>
          <t>A 6477-2024</t>
        </is>
      </c>
      <c r="B812" s="1" t="n">
        <v>45338.95405092592</v>
      </c>
      <c r="C812" s="1" t="n">
        <v>45894</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27510-2025</t>
        </is>
      </c>
      <c r="B813" s="1" t="n">
        <v>45813.42790509259</v>
      </c>
      <c r="C813" s="1" t="n">
        <v>45894</v>
      </c>
      <c r="D813" t="inlineStr">
        <is>
          <t>JÄMTLANDS LÄN</t>
        </is>
      </c>
      <c r="E813" t="inlineStr">
        <is>
          <t>RAGUNDA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19404-2025</t>
        </is>
      </c>
      <c r="B814" s="1" t="n">
        <v>45769.67802083334</v>
      </c>
      <c r="C814" s="1" t="n">
        <v>45894</v>
      </c>
      <c r="D814" t="inlineStr">
        <is>
          <t>JÄMTLANDS LÄN</t>
        </is>
      </c>
      <c r="E814" t="inlineStr">
        <is>
          <t>RAGUNDA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2224-2024</t>
        </is>
      </c>
      <c r="B815" s="1" t="n">
        <v>45309.92524305556</v>
      </c>
      <c r="C815" s="1" t="n">
        <v>45894</v>
      </c>
      <c r="D815" t="inlineStr">
        <is>
          <t>JÄMTLANDS LÄN</t>
        </is>
      </c>
      <c r="E815" t="inlineStr">
        <is>
          <t>RAGUNDA</t>
        </is>
      </c>
      <c r="G815" t="n">
        <v>0.9</v>
      </c>
      <c r="H815" t="n">
        <v>0</v>
      </c>
      <c r="I815" t="n">
        <v>0</v>
      </c>
      <c r="J815" t="n">
        <v>0</v>
      </c>
      <c r="K815" t="n">
        <v>0</v>
      </c>
      <c r="L815" t="n">
        <v>0</v>
      </c>
      <c r="M815" t="n">
        <v>0</v>
      </c>
      <c r="N815" t="n">
        <v>0</v>
      </c>
      <c r="O815" t="n">
        <v>0</v>
      </c>
      <c r="P815" t="n">
        <v>0</v>
      </c>
      <c r="Q815" t="n">
        <v>0</v>
      </c>
      <c r="R815" s="2" t="inlineStr"/>
    </row>
    <row r="816" ht="15" customHeight="1">
      <c r="A816" t="inlineStr">
        <is>
          <t>A 1523-2024</t>
        </is>
      </c>
      <c r="B816" s="1" t="n">
        <v>45306</v>
      </c>
      <c r="C816" s="1" t="n">
        <v>45894</v>
      </c>
      <c r="D816" t="inlineStr">
        <is>
          <t>JÄMTLANDS LÄN</t>
        </is>
      </c>
      <c r="E816" t="inlineStr">
        <is>
          <t>RAGUNDA</t>
        </is>
      </c>
      <c r="G816" t="n">
        <v>4.1</v>
      </c>
      <c r="H816" t="n">
        <v>0</v>
      </c>
      <c r="I816" t="n">
        <v>0</v>
      </c>
      <c r="J816" t="n">
        <v>0</v>
      </c>
      <c r="K816" t="n">
        <v>0</v>
      </c>
      <c r="L816" t="n">
        <v>0</v>
      </c>
      <c r="M816" t="n">
        <v>0</v>
      </c>
      <c r="N816" t="n">
        <v>0</v>
      </c>
      <c r="O816" t="n">
        <v>0</v>
      </c>
      <c r="P816" t="n">
        <v>0</v>
      </c>
      <c r="Q816" t="n">
        <v>0</v>
      </c>
      <c r="R816" s="2" t="inlineStr"/>
    </row>
    <row r="817" ht="15" customHeight="1">
      <c r="A817" t="inlineStr">
        <is>
          <t>A 18193-2022</t>
        </is>
      </c>
      <c r="B817" s="1" t="n">
        <v>44684.94032407407</v>
      </c>
      <c r="C817" s="1" t="n">
        <v>45894</v>
      </c>
      <c r="D817" t="inlineStr">
        <is>
          <t>JÄMTLANDS LÄN</t>
        </is>
      </c>
      <c r="E817" t="inlineStr">
        <is>
          <t>RAGUNDA</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11551-2024</t>
        </is>
      </c>
      <c r="B818" s="1" t="n">
        <v>45372.95762731481</v>
      </c>
      <c r="C818" s="1" t="n">
        <v>45894</v>
      </c>
      <c r="D818" t="inlineStr">
        <is>
          <t>JÄMTLANDS LÄN</t>
        </is>
      </c>
      <c r="E818" t="inlineStr">
        <is>
          <t>RAGUNDA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49647-2024</t>
        </is>
      </c>
      <c r="B819" s="1" t="n">
        <v>45596.61533564814</v>
      </c>
      <c r="C819" s="1" t="n">
        <v>45894</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35658-2025</t>
        </is>
      </c>
      <c r="B820" s="1" t="n">
        <v>45859.594375</v>
      </c>
      <c r="C820" s="1" t="n">
        <v>45894</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12464-2025</t>
        </is>
      </c>
      <c r="B821" s="1" t="n">
        <v>45730.53208333333</v>
      </c>
      <c r="C821" s="1" t="n">
        <v>45894</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58630-2024</t>
        </is>
      </c>
      <c r="B822" s="1" t="n">
        <v>45635.57331018519</v>
      </c>
      <c r="C822" s="1" t="n">
        <v>45894</v>
      </c>
      <c r="D822" t="inlineStr">
        <is>
          <t>JÄMTLANDS LÄN</t>
        </is>
      </c>
      <c r="E822" t="inlineStr">
        <is>
          <t>RAGUNDA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53264-2024</t>
        </is>
      </c>
      <c r="B823" s="1" t="n">
        <v>45614.34545138889</v>
      </c>
      <c r="C823" s="1" t="n">
        <v>45894</v>
      </c>
      <c r="D823" t="inlineStr">
        <is>
          <t>JÄMTLANDS LÄN</t>
        </is>
      </c>
      <c r="E823" t="inlineStr">
        <is>
          <t>RAGUNDA</t>
        </is>
      </c>
      <c r="G823" t="n">
        <v>1.4</v>
      </c>
      <c r="H823" t="n">
        <v>0</v>
      </c>
      <c r="I823" t="n">
        <v>0</v>
      </c>
      <c r="J823" t="n">
        <v>0</v>
      </c>
      <c r="K823" t="n">
        <v>0</v>
      </c>
      <c r="L823" t="n">
        <v>0</v>
      </c>
      <c r="M823" t="n">
        <v>0</v>
      </c>
      <c r="N823" t="n">
        <v>0</v>
      </c>
      <c r="O823" t="n">
        <v>0</v>
      </c>
      <c r="P823" t="n">
        <v>0</v>
      </c>
      <c r="Q823" t="n">
        <v>0</v>
      </c>
      <c r="R823" s="2" t="inlineStr"/>
    </row>
    <row r="824" ht="15" customHeight="1">
      <c r="A824" t="inlineStr">
        <is>
          <t>A 13389-2025</t>
        </is>
      </c>
      <c r="B824" s="1" t="n">
        <v>45735.69842592593</v>
      </c>
      <c r="C824" s="1" t="n">
        <v>45894</v>
      </c>
      <c r="D824" t="inlineStr">
        <is>
          <t>JÄMTLANDS LÄN</t>
        </is>
      </c>
      <c r="E824" t="inlineStr">
        <is>
          <t>RAGUNDA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46549-2023</t>
        </is>
      </c>
      <c r="B825" s="1" t="n">
        <v>45197.94171296297</v>
      </c>
      <c r="C825" s="1" t="n">
        <v>45894</v>
      </c>
      <c r="D825" t="inlineStr">
        <is>
          <t>JÄMTLANDS LÄN</t>
        </is>
      </c>
      <c r="E825" t="inlineStr">
        <is>
          <t>RAGUNDA</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32258-2024</t>
        </is>
      </c>
      <c r="B826" s="1" t="n">
        <v>45511</v>
      </c>
      <c r="C826" s="1" t="n">
        <v>45894</v>
      </c>
      <c r="D826" t="inlineStr">
        <is>
          <t>JÄMTLANDS LÄN</t>
        </is>
      </c>
      <c r="E826" t="inlineStr">
        <is>
          <t>RAGUNDA</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38270-2021</t>
        </is>
      </c>
      <c r="B827" s="1" t="n">
        <v>44405.92065972222</v>
      </c>
      <c r="C827" s="1" t="n">
        <v>45894</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45631-2024</t>
        </is>
      </c>
      <c r="B828" s="1" t="n">
        <v>45579.47052083333</v>
      </c>
      <c r="C828" s="1" t="n">
        <v>45894</v>
      </c>
      <c r="D828" t="inlineStr">
        <is>
          <t>JÄMTLANDS LÄN</t>
        </is>
      </c>
      <c r="E828" t="inlineStr">
        <is>
          <t>RAGUNDA</t>
        </is>
      </c>
      <c r="G828" t="n">
        <v>15.1</v>
      </c>
      <c r="H828" t="n">
        <v>0</v>
      </c>
      <c r="I828" t="n">
        <v>0</v>
      </c>
      <c r="J828" t="n">
        <v>0</v>
      </c>
      <c r="K828" t="n">
        <v>0</v>
      </c>
      <c r="L828" t="n">
        <v>0</v>
      </c>
      <c r="M828" t="n">
        <v>0</v>
      </c>
      <c r="N828" t="n">
        <v>0</v>
      </c>
      <c r="O828" t="n">
        <v>0</v>
      </c>
      <c r="P828" t="n">
        <v>0</v>
      </c>
      <c r="Q828" t="n">
        <v>0</v>
      </c>
      <c r="R828" s="2" t="inlineStr"/>
    </row>
    <row r="829" ht="15" customHeight="1">
      <c r="A829" t="inlineStr">
        <is>
          <t>A 35541-2025</t>
        </is>
      </c>
      <c r="B829" s="1" t="n">
        <v>45856.46931712963</v>
      </c>
      <c r="C829" s="1" t="n">
        <v>45894</v>
      </c>
      <c r="D829" t="inlineStr">
        <is>
          <t>JÄMTLANDS LÄN</t>
        </is>
      </c>
      <c r="E829" t="inlineStr">
        <is>
          <t>RAGUNDA</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29257-2024</t>
        </is>
      </c>
      <c r="B830" s="1" t="n">
        <v>45482.94815972223</v>
      </c>
      <c r="C830" s="1" t="n">
        <v>45894</v>
      </c>
      <c r="D830" t="inlineStr">
        <is>
          <t>JÄMTLANDS LÄN</t>
        </is>
      </c>
      <c r="E830" t="inlineStr">
        <is>
          <t>RAGUNDA</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27373-2023</t>
        </is>
      </c>
      <c r="B831" s="1" t="n">
        <v>45096.93866898148</v>
      </c>
      <c r="C831" s="1" t="n">
        <v>45894</v>
      </c>
      <c r="D831" t="inlineStr">
        <is>
          <t>JÄMTLANDS LÄN</t>
        </is>
      </c>
      <c r="E831" t="inlineStr">
        <is>
          <t>RAGUNDA</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62115-2024</t>
        </is>
      </c>
      <c r="B832" s="1" t="n">
        <v>45656</v>
      </c>
      <c r="C832" s="1" t="n">
        <v>45894</v>
      </c>
      <c r="D832" t="inlineStr">
        <is>
          <t>JÄMTLANDS LÄN</t>
        </is>
      </c>
      <c r="E832" t="inlineStr">
        <is>
          <t>RAGUNDA</t>
        </is>
      </c>
      <c r="G832" t="n">
        <v>3.3</v>
      </c>
      <c r="H832" t="n">
        <v>0</v>
      </c>
      <c r="I832" t="n">
        <v>0</v>
      </c>
      <c r="J832" t="n">
        <v>0</v>
      </c>
      <c r="K832" t="n">
        <v>0</v>
      </c>
      <c r="L832" t="n">
        <v>0</v>
      </c>
      <c r="M832" t="n">
        <v>0</v>
      </c>
      <c r="N832" t="n">
        <v>0</v>
      </c>
      <c r="O832" t="n">
        <v>0</v>
      </c>
      <c r="P832" t="n">
        <v>0</v>
      </c>
      <c r="Q832" t="n">
        <v>0</v>
      </c>
      <c r="R832" s="2" t="inlineStr"/>
    </row>
    <row r="833" ht="15" customHeight="1">
      <c r="A833" t="inlineStr">
        <is>
          <t>A 12653-2024</t>
        </is>
      </c>
      <c r="B833" s="1" t="n">
        <v>45384</v>
      </c>
      <c r="C833" s="1" t="n">
        <v>45894</v>
      </c>
      <c r="D833" t="inlineStr">
        <is>
          <t>JÄMTLANDS LÄN</t>
        </is>
      </c>
      <c r="E833" t="inlineStr">
        <is>
          <t>RAGUNDA</t>
        </is>
      </c>
      <c r="G833" t="n">
        <v>1.1</v>
      </c>
      <c r="H833" t="n">
        <v>0</v>
      </c>
      <c r="I833" t="n">
        <v>0</v>
      </c>
      <c r="J833" t="n">
        <v>0</v>
      </c>
      <c r="K833" t="n">
        <v>0</v>
      </c>
      <c r="L833" t="n">
        <v>0</v>
      </c>
      <c r="M833" t="n">
        <v>0</v>
      </c>
      <c r="N833" t="n">
        <v>0</v>
      </c>
      <c r="O833" t="n">
        <v>0</v>
      </c>
      <c r="P833" t="n">
        <v>0</v>
      </c>
      <c r="Q833" t="n">
        <v>0</v>
      </c>
      <c r="R833" s="2" t="inlineStr"/>
    </row>
    <row r="834" ht="15" customHeight="1">
      <c r="A834" t="inlineStr">
        <is>
          <t>A 50211-2023</t>
        </is>
      </c>
      <c r="B834" s="1" t="n">
        <v>45215.94657407407</v>
      </c>
      <c r="C834" s="1" t="n">
        <v>45894</v>
      </c>
      <c r="D834" t="inlineStr">
        <is>
          <t>JÄMTLANDS LÄN</t>
        </is>
      </c>
      <c r="E834" t="inlineStr">
        <is>
          <t>RAGUNDA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18989-2025</t>
        </is>
      </c>
      <c r="B835" s="1" t="n">
        <v>45764</v>
      </c>
      <c r="C835" s="1" t="n">
        <v>45894</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55701-2021</t>
        </is>
      </c>
      <c r="B836" s="1" t="n">
        <v>44475</v>
      </c>
      <c r="C836" s="1" t="n">
        <v>45894</v>
      </c>
      <c r="D836" t="inlineStr">
        <is>
          <t>JÄMTLANDS LÄN</t>
        </is>
      </c>
      <c r="E836" t="inlineStr">
        <is>
          <t>RAGUNDA</t>
        </is>
      </c>
      <c r="G836" t="n">
        <v>5.6</v>
      </c>
      <c r="H836" t="n">
        <v>0</v>
      </c>
      <c r="I836" t="n">
        <v>0</v>
      </c>
      <c r="J836" t="n">
        <v>0</v>
      </c>
      <c r="K836" t="n">
        <v>0</v>
      </c>
      <c r="L836" t="n">
        <v>0</v>
      </c>
      <c r="M836" t="n">
        <v>0</v>
      </c>
      <c r="N836" t="n">
        <v>0</v>
      </c>
      <c r="O836" t="n">
        <v>0</v>
      </c>
      <c r="P836" t="n">
        <v>0</v>
      </c>
      <c r="Q836" t="n">
        <v>0</v>
      </c>
      <c r="R836" s="2" t="inlineStr"/>
    </row>
    <row r="837" ht="15" customHeight="1">
      <c r="A837" t="inlineStr">
        <is>
          <t>A 28216-2025</t>
        </is>
      </c>
      <c r="B837" s="1" t="n">
        <v>45818.46898148148</v>
      </c>
      <c r="C837" s="1" t="n">
        <v>45894</v>
      </c>
      <c r="D837" t="inlineStr">
        <is>
          <t>JÄMTLANDS LÄN</t>
        </is>
      </c>
      <c r="E837" t="inlineStr">
        <is>
          <t>RAGUNDA</t>
        </is>
      </c>
      <c r="G837" t="n">
        <v>6.6</v>
      </c>
      <c r="H837" t="n">
        <v>0</v>
      </c>
      <c r="I837" t="n">
        <v>0</v>
      </c>
      <c r="J837" t="n">
        <v>0</v>
      </c>
      <c r="K837" t="n">
        <v>0</v>
      </c>
      <c r="L837" t="n">
        <v>0</v>
      </c>
      <c r="M837" t="n">
        <v>0</v>
      </c>
      <c r="N837" t="n">
        <v>0</v>
      </c>
      <c r="O837" t="n">
        <v>0</v>
      </c>
      <c r="P837" t="n">
        <v>0</v>
      </c>
      <c r="Q837" t="n">
        <v>0</v>
      </c>
      <c r="R837" s="2" t="inlineStr"/>
    </row>
    <row r="838" ht="15" customHeight="1">
      <c r="A838" t="inlineStr">
        <is>
          <t>A 9232-2025</t>
        </is>
      </c>
      <c r="B838" s="1" t="n">
        <v>45714.55064814815</v>
      </c>
      <c r="C838" s="1" t="n">
        <v>45894</v>
      </c>
      <c r="D838" t="inlineStr">
        <is>
          <t>JÄMTLANDS LÄN</t>
        </is>
      </c>
      <c r="E838" t="inlineStr">
        <is>
          <t>RAGUNDA</t>
        </is>
      </c>
      <c r="G838" t="n">
        <v>1.9</v>
      </c>
      <c r="H838" t="n">
        <v>0</v>
      </c>
      <c r="I838" t="n">
        <v>0</v>
      </c>
      <c r="J838" t="n">
        <v>0</v>
      </c>
      <c r="K838" t="n">
        <v>0</v>
      </c>
      <c r="L838" t="n">
        <v>0</v>
      </c>
      <c r="M838" t="n">
        <v>0</v>
      </c>
      <c r="N838" t="n">
        <v>0</v>
      </c>
      <c r="O838" t="n">
        <v>0</v>
      </c>
      <c r="P838" t="n">
        <v>0</v>
      </c>
      <c r="Q838" t="n">
        <v>0</v>
      </c>
      <c r="R838" s="2" t="inlineStr"/>
    </row>
    <row r="839" ht="15" customHeight="1">
      <c r="A839" t="inlineStr">
        <is>
          <t>A 29775-2023</t>
        </is>
      </c>
      <c r="B839" s="1" t="n">
        <v>45098</v>
      </c>
      <c r="C839" s="1" t="n">
        <v>45894</v>
      </c>
      <c r="D839" t="inlineStr">
        <is>
          <t>JÄMTLANDS LÄN</t>
        </is>
      </c>
      <c r="E839" t="inlineStr">
        <is>
          <t>RAGUNDA</t>
        </is>
      </c>
      <c r="G839" t="n">
        <v>3.6</v>
      </c>
      <c r="H839" t="n">
        <v>0</v>
      </c>
      <c r="I839" t="n">
        <v>0</v>
      </c>
      <c r="J839" t="n">
        <v>0</v>
      </c>
      <c r="K839" t="n">
        <v>0</v>
      </c>
      <c r="L839" t="n">
        <v>0</v>
      </c>
      <c r="M839" t="n">
        <v>0</v>
      </c>
      <c r="N839" t="n">
        <v>0</v>
      </c>
      <c r="O839" t="n">
        <v>0</v>
      </c>
      <c r="P839" t="n">
        <v>0</v>
      </c>
      <c r="Q839" t="n">
        <v>0</v>
      </c>
      <c r="R839" s="2" t="inlineStr"/>
    </row>
    <row r="840" ht="15" customHeight="1">
      <c r="A840" t="inlineStr">
        <is>
          <t>A 30484-2024</t>
        </is>
      </c>
      <c r="B840" s="1" t="n">
        <v>45491</v>
      </c>
      <c r="C840" s="1" t="n">
        <v>45894</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44494-2024</t>
        </is>
      </c>
      <c r="B841" s="1" t="n">
        <v>45574.39081018518</v>
      </c>
      <c r="C841" s="1" t="n">
        <v>45894</v>
      </c>
      <c r="D841" t="inlineStr">
        <is>
          <t>JÄMTLANDS LÄN</t>
        </is>
      </c>
      <c r="E841" t="inlineStr">
        <is>
          <t>RAGUNDA</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35689-2025</t>
        </is>
      </c>
      <c r="B842" s="1" t="n">
        <v>45860.30229166667</v>
      </c>
      <c r="C842" s="1" t="n">
        <v>45894</v>
      </c>
      <c r="D842" t="inlineStr">
        <is>
          <t>JÄMTLANDS LÄN</t>
        </is>
      </c>
      <c r="E842" t="inlineStr">
        <is>
          <t>RAGUNDA</t>
        </is>
      </c>
      <c r="G842" t="n">
        <v>1.9</v>
      </c>
      <c r="H842" t="n">
        <v>0</v>
      </c>
      <c r="I842" t="n">
        <v>0</v>
      </c>
      <c r="J842" t="n">
        <v>0</v>
      </c>
      <c r="K842" t="n">
        <v>0</v>
      </c>
      <c r="L842" t="n">
        <v>0</v>
      </c>
      <c r="M842" t="n">
        <v>0</v>
      </c>
      <c r="N842" t="n">
        <v>0</v>
      </c>
      <c r="O842" t="n">
        <v>0</v>
      </c>
      <c r="P842" t="n">
        <v>0</v>
      </c>
      <c r="Q842" t="n">
        <v>0</v>
      </c>
      <c r="R842" s="2" t="inlineStr"/>
    </row>
    <row r="843" ht="15" customHeight="1">
      <c r="A843" t="inlineStr">
        <is>
          <t>A 13898-2023</t>
        </is>
      </c>
      <c r="B843" s="1" t="n">
        <v>45008.01408564814</v>
      </c>
      <c r="C843" s="1" t="n">
        <v>45894</v>
      </c>
      <c r="D843" t="inlineStr">
        <is>
          <t>JÄMTLANDS LÄN</t>
        </is>
      </c>
      <c r="E843" t="inlineStr">
        <is>
          <t>RAGUNDA</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28637-2025</t>
        </is>
      </c>
      <c r="B844" s="1" t="n">
        <v>45819.6359375</v>
      </c>
      <c r="C844" s="1" t="n">
        <v>45894</v>
      </c>
      <c r="D844" t="inlineStr">
        <is>
          <t>JÄMTLANDS LÄN</t>
        </is>
      </c>
      <c r="E844" t="inlineStr">
        <is>
          <t>RAGUNDA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14513-2025</t>
        </is>
      </c>
      <c r="B845" s="1" t="n">
        <v>45741.63675925926</v>
      </c>
      <c r="C845" s="1" t="n">
        <v>45894</v>
      </c>
      <c r="D845" t="inlineStr">
        <is>
          <t>JÄMTLANDS LÄN</t>
        </is>
      </c>
      <c r="E845" t="inlineStr">
        <is>
          <t>RAGUNDA</t>
        </is>
      </c>
      <c r="F845" t="inlineStr">
        <is>
          <t>SCA</t>
        </is>
      </c>
      <c r="G845" t="n">
        <v>6.8</v>
      </c>
      <c r="H845" t="n">
        <v>0</v>
      </c>
      <c r="I845" t="n">
        <v>0</v>
      </c>
      <c r="J845" t="n">
        <v>0</v>
      </c>
      <c r="K845" t="n">
        <v>0</v>
      </c>
      <c r="L845" t="n">
        <v>0</v>
      </c>
      <c r="M845" t="n">
        <v>0</v>
      </c>
      <c r="N845" t="n">
        <v>0</v>
      </c>
      <c r="O845" t="n">
        <v>0</v>
      </c>
      <c r="P845" t="n">
        <v>0</v>
      </c>
      <c r="Q845" t="n">
        <v>0</v>
      </c>
      <c r="R845" s="2" t="inlineStr"/>
    </row>
    <row r="846" ht="15" customHeight="1">
      <c r="A846" t="inlineStr">
        <is>
          <t>A 55904-2022</t>
        </is>
      </c>
      <c r="B846" s="1" t="n">
        <v>44888</v>
      </c>
      <c r="C846" s="1" t="n">
        <v>45894</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26026-2024</t>
        </is>
      </c>
      <c r="B847" s="1" t="n">
        <v>45467.96207175926</v>
      </c>
      <c r="C847" s="1" t="n">
        <v>45894</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28973-2025</t>
        </is>
      </c>
      <c r="B848" s="1" t="n">
        <v>45821.34513888889</v>
      </c>
      <c r="C848" s="1" t="n">
        <v>45894</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7281-2025</t>
        </is>
      </c>
      <c r="B849" s="1" t="n">
        <v>45702.63572916666</v>
      </c>
      <c r="C849" s="1" t="n">
        <v>45894</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48192-2024</t>
        </is>
      </c>
      <c r="B850" s="1" t="n">
        <v>45590</v>
      </c>
      <c r="C850" s="1" t="n">
        <v>45894</v>
      </c>
      <c r="D850" t="inlineStr">
        <is>
          <t>JÄMTLANDS LÄN</t>
        </is>
      </c>
      <c r="E850" t="inlineStr">
        <is>
          <t>RAGUNDA</t>
        </is>
      </c>
      <c r="G850" t="n">
        <v>2.3</v>
      </c>
      <c r="H850" t="n">
        <v>0</v>
      </c>
      <c r="I850" t="n">
        <v>0</v>
      </c>
      <c r="J850" t="n">
        <v>0</v>
      </c>
      <c r="K850" t="n">
        <v>0</v>
      </c>
      <c r="L850" t="n">
        <v>0</v>
      </c>
      <c r="M850" t="n">
        <v>0</v>
      </c>
      <c r="N850" t="n">
        <v>0</v>
      </c>
      <c r="O850" t="n">
        <v>0</v>
      </c>
      <c r="P850" t="n">
        <v>0</v>
      </c>
      <c r="Q850" t="n">
        <v>0</v>
      </c>
      <c r="R850" s="2" t="inlineStr"/>
    </row>
    <row r="851" ht="15" customHeight="1">
      <c r="A851" t="inlineStr">
        <is>
          <t>A 2599-2023</t>
        </is>
      </c>
      <c r="B851" s="1" t="n">
        <v>44943.94802083333</v>
      </c>
      <c r="C851" s="1" t="n">
        <v>45894</v>
      </c>
      <c r="D851" t="inlineStr">
        <is>
          <t>JÄMTLANDS LÄN</t>
        </is>
      </c>
      <c r="E851" t="inlineStr">
        <is>
          <t>RAGUNDA</t>
        </is>
      </c>
      <c r="F851" t="inlineStr">
        <is>
          <t>SCA</t>
        </is>
      </c>
      <c r="G851" t="n">
        <v>5.9</v>
      </c>
      <c r="H851" t="n">
        <v>0</v>
      </c>
      <c r="I851" t="n">
        <v>0</v>
      </c>
      <c r="J851" t="n">
        <v>0</v>
      </c>
      <c r="K851" t="n">
        <v>0</v>
      </c>
      <c r="L851" t="n">
        <v>0</v>
      </c>
      <c r="M851" t="n">
        <v>0</v>
      </c>
      <c r="N851" t="n">
        <v>0</v>
      </c>
      <c r="O851" t="n">
        <v>0</v>
      </c>
      <c r="P851" t="n">
        <v>0</v>
      </c>
      <c r="Q851" t="n">
        <v>0</v>
      </c>
      <c r="R851" s="2" t="inlineStr"/>
    </row>
    <row r="852" ht="15" customHeight="1">
      <c r="A852" t="inlineStr">
        <is>
          <t>A 48249-2024</t>
        </is>
      </c>
      <c r="B852" s="1" t="n">
        <v>45590.40675925926</v>
      </c>
      <c r="C852" s="1" t="n">
        <v>45894</v>
      </c>
      <c r="D852" t="inlineStr">
        <is>
          <t>JÄMTLANDS LÄN</t>
        </is>
      </c>
      <c r="E852" t="inlineStr">
        <is>
          <t>RAGUNDA</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29714-2025</t>
        </is>
      </c>
      <c r="B853" s="1" t="n">
        <v>45825.56762731481</v>
      </c>
      <c r="C853" s="1" t="n">
        <v>45894</v>
      </c>
      <c r="D853" t="inlineStr">
        <is>
          <t>JÄMTLANDS LÄN</t>
        </is>
      </c>
      <c r="E853" t="inlineStr">
        <is>
          <t>RAGUNDA</t>
        </is>
      </c>
      <c r="G853" t="n">
        <v>2.7</v>
      </c>
      <c r="H853" t="n">
        <v>0</v>
      </c>
      <c r="I853" t="n">
        <v>0</v>
      </c>
      <c r="J853" t="n">
        <v>0</v>
      </c>
      <c r="K853" t="n">
        <v>0</v>
      </c>
      <c r="L853" t="n">
        <v>0</v>
      </c>
      <c r="M853" t="n">
        <v>0</v>
      </c>
      <c r="N853" t="n">
        <v>0</v>
      </c>
      <c r="O853" t="n">
        <v>0</v>
      </c>
      <c r="P853" t="n">
        <v>0</v>
      </c>
      <c r="Q853" t="n">
        <v>0</v>
      </c>
      <c r="R853" s="2" t="inlineStr"/>
    </row>
    <row r="854" ht="15" customHeight="1">
      <c r="A854" t="inlineStr">
        <is>
          <t>A 64265-2023</t>
        </is>
      </c>
      <c r="B854" s="1" t="n">
        <v>45279.94572916667</v>
      </c>
      <c r="C854" s="1" t="n">
        <v>45894</v>
      </c>
      <c r="D854" t="inlineStr">
        <is>
          <t>JÄMTLANDS LÄN</t>
        </is>
      </c>
      <c r="E854" t="inlineStr">
        <is>
          <t>RAGUNDA</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5429-2024</t>
        </is>
      </c>
      <c r="B855" s="1" t="n">
        <v>45331.92746527777</v>
      </c>
      <c r="C855" s="1" t="n">
        <v>45894</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10754-2025</t>
        </is>
      </c>
      <c r="B856" s="1" t="n">
        <v>45722.44849537037</v>
      </c>
      <c r="C856" s="1" t="n">
        <v>45894</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29731-2025</t>
        </is>
      </c>
      <c r="B857" s="1" t="n">
        <v>45825.58252314815</v>
      </c>
      <c r="C857" s="1" t="n">
        <v>45894</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66706-2021</t>
        </is>
      </c>
      <c r="B858" s="1" t="n">
        <v>44519.94440972222</v>
      </c>
      <c r="C858" s="1" t="n">
        <v>45894</v>
      </c>
      <c r="D858" t="inlineStr">
        <is>
          <t>JÄMTLANDS LÄN</t>
        </is>
      </c>
      <c r="E858" t="inlineStr">
        <is>
          <t>RAGUNDA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3720-2025</t>
        </is>
      </c>
      <c r="B859" s="1" t="n">
        <v>45681.5315625</v>
      </c>
      <c r="C859" s="1" t="n">
        <v>45894</v>
      </c>
      <c r="D859" t="inlineStr">
        <is>
          <t>JÄMTLANDS LÄN</t>
        </is>
      </c>
      <c r="E859" t="inlineStr">
        <is>
          <t>RAGUNDA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3770-2025</t>
        </is>
      </c>
      <c r="B860" s="1" t="n">
        <v>45681.6050925926</v>
      </c>
      <c r="C860" s="1" t="n">
        <v>45894</v>
      </c>
      <c r="D860" t="inlineStr">
        <is>
          <t>JÄMTLANDS LÄN</t>
        </is>
      </c>
      <c r="E860" t="inlineStr">
        <is>
          <t>RAGUNDA</t>
        </is>
      </c>
      <c r="G860" t="n">
        <v>2.7</v>
      </c>
      <c r="H860" t="n">
        <v>0</v>
      </c>
      <c r="I860" t="n">
        <v>0</v>
      </c>
      <c r="J860" t="n">
        <v>0</v>
      </c>
      <c r="K860" t="n">
        <v>0</v>
      </c>
      <c r="L860" t="n">
        <v>0</v>
      </c>
      <c r="M860" t="n">
        <v>0</v>
      </c>
      <c r="N860" t="n">
        <v>0</v>
      </c>
      <c r="O860" t="n">
        <v>0</v>
      </c>
      <c r="P860" t="n">
        <v>0</v>
      </c>
      <c r="Q860" t="n">
        <v>0</v>
      </c>
      <c r="R860" s="2" t="inlineStr"/>
    </row>
    <row r="861" ht="15" customHeight="1">
      <c r="A861" t="inlineStr">
        <is>
          <t>A 29723-2025</t>
        </is>
      </c>
      <c r="B861" s="1" t="n">
        <v>45825.57675925926</v>
      </c>
      <c r="C861" s="1" t="n">
        <v>45894</v>
      </c>
      <c r="D861" t="inlineStr">
        <is>
          <t>JÄMTLANDS LÄN</t>
        </is>
      </c>
      <c r="E861" t="inlineStr">
        <is>
          <t>RAGUNDA</t>
        </is>
      </c>
      <c r="G861" t="n">
        <v>3.1</v>
      </c>
      <c r="H861" t="n">
        <v>0</v>
      </c>
      <c r="I861" t="n">
        <v>0</v>
      </c>
      <c r="J861" t="n">
        <v>0</v>
      </c>
      <c r="K861" t="n">
        <v>0</v>
      </c>
      <c r="L861" t="n">
        <v>0</v>
      </c>
      <c r="M861" t="n">
        <v>0</v>
      </c>
      <c r="N861" t="n">
        <v>0</v>
      </c>
      <c r="O861" t="n">
        <v>0</v>
      </c>
      <c r="P861" t="n">
        <v>0</v>
      </c>
      <c r="Q861" t="n">
        <v>0</v>
      </c>
      <c r="R861" s="2" t="inlineStr"/>
    </row>
    <row r="862" ht="15" customHeight="1">
      <c r="A862" t="inlineStr">
        <is>
          <t>A 30053-2024</t>
        </is>
      </c>
      <c r="B862" s="1" t="n">
        <v>45488.94747685185</v>
      </c>
      <c r="C862" s="1" t="n">
        <v>45894</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51579-2024</t>
        </is>
      </c>
      <c r="B863" s="1" t="n">
        <v>45604.63575231482</v>
      </c>
      <c r="C863" s="1" t="n">
        <v>45894</v>
      </c>
      <c r="D863" t="inlineStr">
        <is>
          <t>JÄMTLANDS LÄN</t>
        </is>
      </c>
      <c r="E863" t="inlineStr">
        <is>
          <t>RAGUNDA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8775-2025</t>
        </is>
      </c>
      <c r="B864" s="1" t="n">
        <v>45712.61502314815</v>
      </c>
      <c r="C864" s="1" t="n">
        <v>45894</v>
      </c>
      <c r="D864" t="inlineStr">
        <is>
          <t>JÄMTLANDS LÄN</t>
        </is>
      </c>
      <c r="E864" t="inlineStr">
        <is>
          <t>RAGUNDA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55222-2024</t>
        </is>
      </c>
      <c r="B865" s="1" t="n">
        <v>45621.57395833333</v>
      </c>
      <c r="C865" s="1" t="n">
        <v>45894</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46211-2024</t>
        </is>
      </c>
      <c r="B866" s="1" t="n">
        <v>45581.55260416667</v>
      </c>
      <c r="C866" s="1" t="n">
        <v>45894</v>
      </c>
      <c r="D866" t="inlineStr">
        <is>
          <t>JÄMTLANDS LÄN</t>
        </is>
      </c>
      <c r="E866" t="inlineStr">
        <is>
          <t>RAGUNDA</t>
        </is>
      </c>
      <c r="G866" t="n">
        <v>7.3</v>
      </c>
      <c r="H866" t="n">
        <v>0</v>
      </c>
      <c r="I866" t="n">
        <v>0</v>
      </c>
      <c r="J866" t="n">
        <v>0</v>
      </c>
      <c r="K866" t="n">
        <v>0</v>
      </c>
      <c r="L866" t="n">
        <v>0</v>
      </c>
      <c r="M866" t="n">
        <v>0</v>
      </c>
      <c r="N866" t="n">
        <v>0</v>
      </c>
      <c r="O866" t="n">
        <v>0</v>
      </c>
      <c r="P866" t="n">
        <v>0</v>
      </c>
      <c r="Q866" t="n">
        <v>0</v>
      </c>
      <c r="R866" s="2" t="inlineStr"/>
    </row>
    <row r="867" ht="15" customHeight="1">
      <c r="A867" t="inlineStr">
        <is>
          <t>A 31435-2022</t>
        </is>
      </c>
      <c r="B867" s="1" t="n">
        <v>44774</v>
      </c>
      <c r="C867" s="1" t="n">
        <v>45894</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36544-2025</t>
        </is>
      </c>
      <c r="B868" s="1" t="n">
        <v>45869.67744212963</v>
      </c>
      <c r="C868" s="1" t="n">
        <v>45894</v>
      </c>
      <c r="D868" t="inlineStr">
        <is>
          <t>JÄMTLANDS LÄN</t>
        </is>
      </c>
      <c r="E868" t="inlineStr">
        <is>
          <t>RAGUNDA</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36541-2025</t>
        </is>
      </c>
      <c r="B869" s="1" t="n">
        <v>45869.65666666667</v>
      </c>
      <c r="C869" s="1" t="n">
        <v>45894</v>
      </c>
      <c r="D869" t="inlineStr">
        <is>
          <t>JÄMTLANDS LÄN</t>
        </is>
      </c>
      <c r="E869" t="inlineStr">
        <is>
          <t>RAGUNDA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39608-2024</t>
        </is>
      </c>
      <c r="B870" s="1" t="n">
        <v>45552.39113425926</v>
      </c>
      <c r="C870" s="1" t="n">
        <v>45894</v>
      </c>
      <c r="D870" t="inlineStr">
        <is>
          <t>JÄMTLANDS LÄN</t>
        </is>
      </c>
      <c r="E870" t="inlineStr">
        <is>
          <t>RAGUNDA</t>
        </is>
      </c>
      <c r="G870" t="n">
        <v>3.2</v>
      </c>
      <c r="H870" t="n">
        <v>0</v>
      </c>
      <c r="I870" t="n">
        <v>0</v>
      </c>
      <c r="J870" t="n">
        <v>0</v>
      </c>
      <c r="K870" t="n">
        <v>0</v>
      </c>
      <c r="L870" t="n">
        <v>0</v>
      </c>
      <c r="M870" t="n">
        <v>0</v>
      </c>
      <c r="N870" t="n">
        <v>0</v>
      </c>
      <c r="O870" t="n">
        <v>0</v>
      </c>
      <c r="P870" t="n">
        <v>0</v>
      </c>
      <c r="Q870" t="n">
        <v>0</v>
      </c>
      <c r="R870" s="2" t="inlineStr"/>
    </row>
    <row r="871" ht="15" customHeight="1">
      <c r="A871" t="inlineStr">
        <is>
          <t>A 39626-2024</t>
        </is>
      </c>
      <c r="B871" s="1" t="n">
        <v>45552.44096064815</v>
      </c>
      <c r="C871" s="1" t="n">
        <v>45894</v>
      </c>
      <c r="D871" t="inlineStr">
        <is>
          <t>JÄMTLANDS LÄN</t>
        </is>
      </c>
      <c r="E871" t="inlineStr">
        <is>
          <t>RAGUNDA</t>
        </is>
      </c>
      <c r="G871" t="n">
        <v>23.5</v>
      </c>
      <c r="H871" t="n">
        <v>0</v>
      </c>
      <c r="I871" t="n">
        <v>0</v>
      </c>
      <c r="J871" t="n">
        <v>0</v>
      </c>
      <c r="K871" t="n">
        <v>0</v>
      </c>
      <c r="L871" t="n">
        <v>0</v>
      </c>
      <c r="M871" t="n">
        <v>0</v>
      </c>
      <c r="N871" t="n">
        <v>0</v>
      </c>
      <c r="O871" t="n">
        <v>0</v>
      </c>
      <c r="P871" t="n">
        <v>0</v>
      </c>
      <c r="Q871" t="n">
        <v>0</v>
      </c>
      <c r="R871" s="2" t="inlineStr"/>
    </row>
    <row r="872" ht="15" customHeight="1">
      <c r="A872" t="inlineStr">
        <is>
          <t>A 2339-2025</t>
        </is>
      </c>
      <c r="B872" s="1" t="n">
        <v>45673.66358796296</v>
      </c>
      <c r="C872" s="1" t="n">
        <v>45894</v>
      </c>
      <c r="D872" t="inlineStr">
        <is>
          <t>JÄMTLANDS LÄN</t>
        </is>
      </c>
      <c r="E872" t="inlineStr">
        <is>
          <t>RAGUNDA</t>
        </is>
      </c>
      <c r="G872" t="n">
        <v>5</v>
      </c>
      <c r="H872" t="n">
        <v>0</v>
      </c>
      <c r="I872" t="n">
        <v>0</v>
      </c>
      <c r="J872" t="n">
        <v>0</v>
      </c>
      <c r="K872" t="n">
        <v>0</v>
      </c>
      <c r="L872" t="n">
        <v>0</v>
      </c>
      <c r="M872" t="n">
        <v>0</v>
      </c>
      <c r="N872" t="n">
        <v>0</v>
      </c>
      <c r="O872" t="n">
        <v>0</v>
      </c>
      <c r="P872" t="n">
        <v>0</v>
      </c>
      <c r="Q872" t="n">
        <v>0</v>
      </c>
      <c r="R872" s="2" t="inlineStr"/>
    </row>
    <row r="873" ht="15" customHeight="1">
      <c r="A873" t="inlineStr">
        <is>
          <t>A 30088-2025</t>
        </is>
      </c>
      <c r="B873" s="1" t="n">
        <v>45826.65759259259</v>
      </c>
      <c r="C873" s="1" t="n">
        <v>45894</v>
      </c>
      <c r="D873" t="inlineStr">
        <is>
          <t>JÄMTLANDS LÄN</t>
        </is>
      </c>
      <c r="E873" t="inlineStr">
        <is>
          <t>RAGUNDA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27499-2024</t>
        </is>
      </c>
      <c r="B874" s="1" t="n">
        <v>45474.50608796296</v>
      </c>
      <c r="C874" s="1" t="n">
        <v>45894</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30348-2025</t>
        </is>
      </c>
      <c r="B875" s="1" t="n">
        <v>45827.53178240741</v>
      </c>
      <c r="C875" s="1" t="n">
        <v>45894</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56984-2022</t>
        </is>
      </c>
      <c r="B876" s="1" t="n">
        <v>44894.79018518519</v>
      </c>
      <c r="C876" s="1" t="n">
        <v>45894</v>
      </c>
      <c r="D876" t="inlineStr">
        <is>
          <t>JÄMTLANDS LÄN</t>
        </is>
      </c>
      <c r="E876" t="inlineStr">
        <is>
          <t>RAGUNDA</t>
        </is>
      </c>
      <c r="G876" t="n">
        <v>1.4</v>
      </c>
      <c r="H876" t="n">
        <v>0</v>
      </c>
      <c r="I876" t="n">
        <v>0</v>
      </c>
      <c r="J876" t="n">
        <v>0</v>
      </c>
      <c r="K876" t="n">
        <v>0</v>
      </c>
      <c r="L876" t="n">
        <v>0</v>
      </c>
      <c r="M876" t="n">
        <v>0</v>
      </c>
      <c r="N876" t="n">
        <v>0</v>
      </c>
      <c r="O876" t="n">
        <v>0</v>
      </c>
      <c r="P876" t="n">
        <v>0</v>
      </c>
      <c r="Q876" t="n">
        <v>0</v>
      </c>
      <c r="R876" s="2" t="inlineStr"/>
    </row>
    <row r="877" ht="15" customHeight="1">
      <c r="A877" t="inlineStr">
        <is>
          <t>A 57078-2023</t>
        </is>
      </c>
      <c r="B877" s="1" t="n">
        <v>45244.96774305555</v>
      </c>
      <c r="C877" s="1" t="n">
        <v>45894</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59368-2022</t>
        </is>
      </c>
      <c r="B878" s="1" t="n">
        <v>44904.94824074074</v>
      </c>
      <c r="C878" s="1" t="n">
        <v>45894</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30434-2025</t>
        </is>
      </c>
      <c r="B879" s="1" t="n">
        <v>45827.63582175926</v>
      </c>
      <c r="C879" s="1" t="n">
        <v>45894</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13264-2025</t>
        </is>
      </c>
      <c r="B880" s="1" t="n">
        <v>45735</v>
      </c>
      <c r="C880" s="1" t="n">
        <v>45894</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45894</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41656-2023</t>
        </is>
      </c>
      <c r="B882" s="1" t="n">
        <v>45175</v>
      </c>
      <c r="C882" s="1" t="n">
        <v>45894</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5307-2025</t>
        </is>
      </c>
      <c r="B883" s="1" t="n">
        <v>45692.48993055556</v>
      </c>
      <c r="C883" s="1" t="n">
        <v>45894</v>
      </c>
      <c r="D883" t="inlineStr">
        <is>
          <t>JÄMTLANDS LÄN</t>
        </is>
      </c>
      <c r="E883" t="inlineStr">
        <is>
          <t>RAGUNDA</t>
        </is>
      </c>
      <c r="F883" t="inlineStr">
        <is>
          <t>SCA</t>
        </is>
      </c>
      <c r="G883" t="n">
        <v>20.9</v>
      </c>
      <c r="H883" t="n">
        <v>0</v>
      </c>
      <c r="I883" t="n">
        <v>0</v>
      </c>
      <c r="J883" t="n">
        <v>0</v>
      </c>
      <c r="K883" t="n">
        <v>0</v>
      </c>
      <c r="L883" t="n">
        <v>0</v>
      </c>
      <c r="M883" t="n">
        <v>0</v>
      </c>
      <c r="N883" t="n">
        <v>0</v>
      </c>
      <c r="O883" t="n">
        <v>0</v>
      </c>
      <c r="P883" t="n">
        <v>0</v>
      </c>
      <c r="Q883" t="n">
        <v>0</v>
      </c>
      <c r="R883" s="2" t="inlineStr"/>
    </row>
    <row r="884" ht="15" customHeight="1">
      <c r="A884" t="inlineStr">
        <is>
          <t>A 31463-2024</t>
        </is>
      </c>
      <c r="B884" s="1" t="n">
        <v>45505</v>
      </c>
      <c r="C884" s="1" t="n">
        <v>45894</v>
      </c>
      <c r="D884" t="inlineStr">
        <is>
          <t>JÄMTLANDS LÄN</t>
        </is>
      </c>
      <c r="E884" t="inlineStr">
        <is>
          <t>RAGUNDA</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38548-2024</t>
        </is>
      </c>
      <c r="B885" s="1" t="n">
        <v>45546</v>
      </c>
      <c r="C885" s="1" t="n">
        <v>45894</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51646-2023</t>
        </is>
      </c>
      <c r="B886" s="1" t="n">
        <v>45215</v>
      </c>
      <c r="C886" s="1" t="n">
        <v>45894</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36553-2025</t>
        </is>
      </c>
      <c r="B887" s="1" t="n">
        <v>45870.34439814815</v>
      </c>
      <c r="C887" s="1" t="n">
        <v>45894</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2411-2023</t>
        </is>
      </c>
      <c r="B888" s="1" t="n">
        <v>44942</v>
      </c>
      <c r="C888" s="1" t="n">
        <v>45894</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37268-2024</t>
        </is>
      </c>
      <c r="B889" s="1" t="n">
        <v>45540.38586805556</v>
      </c>
      <c r="C889" s="1" t="n">
        <v>45894</v>
      </c>
      <c r="D889" t="inlineStr">
        <is>
          <t>JÄMTLANDS LÄN</t>
        </is>
      </c>
      <c r="E889" t="inlineStr">
        <is>
          <t>RAGUNDA</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13935-2024</t>
        </is>
      </c>
      <c r="B890" s="1" t="n">
        <v>45391.95329861111</v>
      </c>
      <c r="C890" s="1" t="n">
        <v>45894</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5308-2025</t>
        </is>
      </c>
      <c r="B891" s="1" t="n">
        <v>45692.49008101852</v>
      </c>
      <c r="C891" s="1" t="n">
        <v>45894</v>
      </c>
      <c r="D891" t="inlineStr">
        <is>
          <t>JÄMTLANDS LÄN</t>
        </is>
      </c>
      <c r="E891" t="inlineStr">
        <is>
          <t>RAGUNDA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45894</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14512-2025</t>
        </is>
      </c>
      <c r="B893" s="1" t="n">
        <v>45741.63659722222</v>
      </c>
      <c r="C893" s="1" t="n">
        <v>45894</v>
      </c>
      <c r="D893" t="inlineStr">
        <is>
          <t>JÄMTLANDS LÄN</t>
        </is>
      </c>
      <c r="E893" t="inlineStr">
        <is>
          <t>RAGUNDA</t>
        </is>
      </c>
      <c r="F893" t="inlineStr">
        <is>
          <t>SCA</t>
        </is>
      </c>
      <c r="G893" t="n">
        <v>8.9</v>
      </c>
      <c r="H893" t="n">
        <v>0</v>
      </c>
      <c r="I893" t="n">
        <v>0</v>
      </c>
      <c r="J893" t="n">
        <v>0</v>
      </c>
      <c r="K893" t="n">
        <v>0</v>
      </c>
      <c r="L893" t="n">
        <v>0</v>
      </c>
      <c r="M893" t="n">
        <v>0</v>
      </c>
      <c r="N893" t="n">
        <v>0</v>
      </c>
      <c r="O893" t="n">
        <v>0</v>
      </c>
      <c r="P893" t="n">
        <v>0</v>
      </c>
      <c r="Q893" t="n">
        <v>0</v>
      </c>
      <c r="R893" s="2" t="inlineStr"/>
    </row>
    <row r="894" ht="15" customHeight="1">
      <c r="A894" t="inlineStr">
        <is>
          <t>A 30887-2025</t>
        </is>
      </c>
      <c r="B894" s="1" t="n">
        <v>45832.3459375</v>
      </c>
      <c r="C894" s="1" t="n">
        <v>45894</v>
      </c>
      <c r="D894" t="inlineStr">
        <is>
          <t>JÄMTLANDS LÄN</t>
        </is>
      </c>
      <c r="E894" t="inlineStr">
        <is>
          <t>RAGUNDA</t>
        </is>
      </c>
      <c r="F894" t="inlineStr">
        <is>
          <t>SCA</t>
        </is>
      </c>
      <c r="G894" t="n">
        <v>10.1</v>
      </c>
      <c r="H894" t="n">
        <v>0</v>
      </c>
      <c r="I894" t="n">
        <v>0</v>
      </c>
      <c r="J894" t="n">
        <v>0</v>
      </c>
      <c r="K894" t="n">
        <v>0</v>
      </c>
      <c r="L894" t="n">
        <v>0</v>
      </c>
      <c r="M894" t="n">
        <v>0</v>
      </c>
      <c r="N894" t="n">
        <v>0</v>
      </c>
      <c r="O894" t="n">
        <v>0</v>
      </c>
      <c r="P894" t="n">
        <v>0</v>
      </c>
      <c r="Q894" t="n">
        <v>0</v>
      </c>
      <c r="R894" s="2" t="inlineStr"/>
    </row>
    <row r="895" ht="15" customHeight="1">
      <c r="A895" t="inlineStr">
        <is>
          <t>A 32874-2025</t>
        </is>
      </c>
      <c r="B895" s="1" t="n">
        <v>45839</v>
      </c>
      <c r="C895" s="1" t="n">
        <v>45894</v>
      </c>
      <c r="D895" t="inlineStr">
        <is>
          <t>JÄMTLANDS LÄN</t>
        </is>
      </c>
      <c r="E895" t="inlineStr">
        <is>
          <t>RAGUNDA</t>
        </is>
      </c>
      <c r="G895" t="n">
        <v>2.3</v>
      </c>
      <c r="H895" t="n">
        <v>0</v>
      </c>
      <c r="I895" t="n">
        <v>0</v>
      </c>
      <c r="J895" t="n">
        <v>0</v>
      </c>
      <c r="K895" t="n">
        <v>0</v>
      </c>
      <c r="L895" t="n">
        <v>0</v>
      </c>
      <c r="M895" t="n">
        <v>0</v>
      </c>
      <c r="N895" t="n">
        <v>0</v>
      </c>
      <c r="O895" t="n">
        <v>0</v>
      </c>
      <c r="P895" t="n">
        <v>0</v>
      </c>
      <c r="Q895" t="n">
        <v>0</v>
      </c>
      <c r="R895" s="2" t="inlineStr"/>
    </row>
    <row r="896" ht="15" customHeight="1">
      <c r="A896" t="inlineStr">
        <is>
          <t>A 30883-2025</t>
        </is>
      </c>
      <c r="B896" s="1" t="n">
        <v>45832.34552083333</v>
      </c>
      <c r="C896" s="1" t="n">
        <v>45894</v>
      </c>
      <c r="D896" t="inlineStr">
        <is>
          <t>JÄMTLANDS LÄN</t>
        </is>
      </c>
      <c r="E896" t="inlineStr">
        <is>
          <t>RAGUNDA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24171-2021</t>
        </is>
      </c>
      <c r="B897" s="1" t="n">
        <v>44336</v>
      </c>
      <c r="C897" s="1" t="n">
        <v>45894</v>
      </c>
      <c r="D897" t="inlineStr">
        <is>
          <t>JÄMTLANDS LÄN</t>
        </is>
      </c>
      <c r="E897" t="inlineStr">
        <is>
          <t>RAGUNDA</t>
        </is>
      </c>
      <c r="G897" t="n">
        <v>3.6</v>
      </c>
      <c r="H897" t="n">
        <v>0</v>
      </c>
      <c r="I897" t="n">
        <v>0</v>
      </c>
      <c r="J897" t="n">
        <v>0</v>
      </c>
      <c r="K897" t="n">
        <v>0</v>
      </c>
      <c r="L897" t="n">
        <v>0</v>
      </c>
      <c r="M897" t="n">
        <v>0</v>
      </c>
      <c r="N897" t="n">
        <v>0</v>
      </c>
      <c r="O897" t="n">
        <v>0</v>
      </c>
      <c r="P897" t="n">
        <v>0</v>
      </c>
      <c r="Q897" t="n">
        <v>0</v>
      </c>
      <c r="R897" s="2" t="inlineStr"/>
    </row>
    <row r="898" ht="15" customHeight="1">
      <c r="A898" t="inlineStr">
        <is>
          <t>A 50649-2022</t>
        </is>
      </c>
      <c r="B898" s="1" t="n">
        <v>44866</v>
      </c>
      <c r="C898" s="1" t="n">
        <v>45894</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58843-2024</t>
        </is>
      </c>
      <c r="B899" s="1" t="n">
        <v>45636.38599537037</v>
      </c>
      <c r="C899" s="1" t="n">
        <v>45894</v>
      </c>
      <c r="D899" t="inlineStr">
        <is>
          <t>JÄMTLANDS LÄN</t>
        </is>
      </c>
      <c r="E899" t="inlineStr">
        <is>
          <t>RAGUNDA</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37008-2025</t>
        </is>
      </c>
      <c r="B900" s="1" t="n">
        <v>45874.69844907407</v>
      </c>
      <c r="C900" s="1" t="n">
        <v>45894</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59759-2024</t>
        </is>
      </c>
      <c r="B901" s="1" t="n">
        <v>45639.55240740741</v>
      </c>
      <c r="C901" s="1" t="n">
        <v>45894</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35537-2021</t>
        </is>
      </c>
      <c r="B902" s="1" t="n">
        <v>44384</v>
      </c>
      <c r="C902" s="1" t="n">
        <v>45894</v>
      </c>
      <c r="D902" t="inlineStr">
        <is>
          <t>JÄMTLANDS LÄN</t>
        </is>
      </c>
      <c r="E902" t="inlineStr">
        <is>
          <t>RAGUNDA</t>
        </is>
      </c>
      <c r="G902" t="n">
        <v>3.1</v>
      </c>
      <c r="H902" t="n">
        <v>0</v>
      </c>
      <c r="I902" t="n">
        <v>0</v>
      </c>
      <c r="J902" t="n">
        <v>0</v>
      </c>
      <c r="K902" t="n">
        <v>0</v>
      </c>
      <c r="L902" t="n">
        <v>0</v>
      </c>
      <c r="M902" t="n">
        <v>0</v>
      </c>
      <c r="N902" t="n">
        <v>0</v>
      </c>
      <c r="O902" t="n">
        <v>0</v>
      </c>
      <c r="P902" t="n">
        <v>0</v>
      </c>
      <c r="Q902" t="n">
        <v>0</v>
      </c>
      <c r="R902" s="2" t="inlineStr"/>
    </row>
    <row r="903" ht="15" customHeight="1">
      <c r="A903" t="inlineStr">
        <is>
          <t>A 2819-2023</t>
        </is>
      </c>
      <c r="B903" s="1" t="n">
        <v>44944</v>
      </c>
      <c r="C903" s="1" t="n">
        <v>45894</v>
      </c>
      <c r="D903" t="inlineStr">
        <is>
          <t>JÄMTLANDS LÄN</t>
        </is>
      </c>
      <c r="E903" t="inlineStr">
        <is>
          <t>RAGUNDA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36994-2025</t>
        </is>
      </c>
      <c r="B904" s="1" t="n">
        <v>45874.67746527777</v>
      </c>
      <c r="C904" s="1" t="n">
        <v>45894</v>
      </c>
      <c r="D904" t="inlineStr">
        <is>
          <t>JÄMTLANDS LÄN</t>
        </is>
      </c>
      <c r="E904" t="inlineStr">
        <is>
          <t>RAGUNDA</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44536-2022</t>
        </is>
      </c>
      <c r="B905" s="1" t="n">
        <v>44839</v>
      </c>
      <c r="C905" s="1" t="n">
        <v>45894</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30880-2025</t>
        </is>
      </c>
      <c r="B906" s="1" t="n">
        <v>45832.34524305556</v>
      </c>
      <c r="C906" s="1" t="n">
        <v>45894</v>
      </c>
      <c r="D906" t="inlineStr">
        <is>
          <t>JÄMTLANDS LÄN</t>
        </is>
      </c>
      <c r="E906" t="inlineStr">
        <is>
          <t>RAGUNDA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53287-2022</t>
        </is>
      </c>
      <c r="B907" s="1" t="n">
        <v>44876</v>
      </c>
      <c r="C907" s="1" t="n">
        <v>45894</v>
      </c>
      <c r="D907" t="inlineStr">
        <is>
          <t>JÄMTLANDS LÄN</t>
        </is>
      </c>
      <c r="E907" t="inlineStr">
        <is>
          <t>RAGUNDA</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16320-2025</t>
        </is>
      </c>
      <c r="B908" s="1" t="n">
        <v>45751.34859953704</v>
      </c>
      <c r="C908" s="1" t="n">
        <v>45894</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16321-2025</t>
        </is>
      </c>
      <c r="B909" s="1" t="n">
        <v>45751.34873842593</v>
      </c>
      <c r="C909" s="1" t="n">
        <v>45894</v>
      </c>
      <c r="D909" t="inlineStr">
        <is>
          <t>JÄMTLANDS LÄN</t>
        </is>
      </c>
      <c r="E909" t="inlineStr">
        <is>
          <t>RAGUNDA</t>
        </is>
      </c>
      <c r="F909" t="inlineStr">
        <is>
          <t>SCA</t>
        </is>
      </c>
      <c r="G909" t="n">
        <v>63.3</v>
      </c>
      <c r="H909" t="n">
        <v>0</v>
      </c>
      <c r="I909" t="n">
        <v>0</v>
      </c>
      <c r="J909" t="n">
        <v>0</v>
      </c>
      <c r="K909" t="n">
        <v>0</v>
      </c>
      <c r="L909" t="n">
        <v>0</v>
      </c>
      <c r="M909" t="n">
        <v>0</v>
      </c>
      <c r="N909" t="n">
        <v>0</v>
      </c>
      <c r="O909" t="n">
        <v>0</v>
      </c>
      <c r="P909" t="n">
        <v>0</v>
      </c>
      <c r="Q909" t="n">
        <v>0</v>
      </c>
      <c r="R909" s="2" t="inlineStr"/>
    </row>
    <row r="910" ht="15" customHeight="1">
      <c r="A910" t="inlineStr">
        <is>
          <t>A 36947-2025</t>
        </is>
      </c>
      <c r="B910" s="1" t="n">
        <v>45874.59496527778</v>
      </c>
      <c r="C910" s="1" t="n">
        <v>45894</v>
      </c>
      <c r="D910" t="inlineStr">
        <is>
          <t>JÄMTLANDS LÄN</t>
        </is>
      </c>
      <c r="E910" t="inlineStr">
        <is>
          <t>RAGUNDA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32088-2025</t>
        </is>
      </c>
      <c r="B911" s="1" t="n">
        <v>45835.45686342593</v>
      </c>
      <c r="C911" s="1" t="n">
        <v>45894</v>
      </c>
      <c r="D911" t="inlineStr">
        <is>
          <t>JÄMTLANDS LÄN</t>
        </is>
      </c>
      <c r="E911" t="inlineStr">
        <is>
          <t>RAGUNDA</t>
        </is>
      </c>
      <c r="G911" t="n">
        <v>0.8</v>
      </c>
      <c r="H911" t="n">
        <v>0</v>
      </c>
      <c r="I911" t="n">
        <v>0</v>
      </c>
      <c r="J911" t="n">
        <v>0</v>
      </c>
      <c r="K911" t="n">
        <v>0</v>
      </c>
      <c r="L911" t="n">
        <v>0</v>
      </c>
      <c r="M911" t="n">
        <v>0</v>
      </c>
      <c r="N911" t="n">
        <v>0</v>
      </c>
      <c r="O911" t="n">
        <v>0</v>
      </c>
      <c r="P911" t="n">
        <v>0</v>
      </c>
      <c r="Q911" t="n">
        <v>0</v>
      </c>
      <c r="R911" s="2" t="inlineStr"/>
    </row>
    <row r="912" ht="15" customHeight="1">
      <c r="A912" t="inlineStr">
        <is>
          <t>A 14696-2022</t>
        </is>
      </c>
      <c r="B912" s="1" t="n">
        <v>44655</v>
      </c>
      <c r="C912" s="1" t="n">
        <v>45894</v>
      </c>
      <c r="D912" t="inlineStr">
        <is>
          <t>JÄMTLANDS LÄN</t>
        </is>
      </c>
      <c r="E912" t="inlineStr">
        <is>
          <t>RAGUNDA</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55514-2024</t>
        </is>
      </c>
      <c r="B913" s="1" t="n">
        <v>45622.46910879629</v>
      </c>
      <c r="C913" s="1" t="n">
        <v>45894</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18375-2022</t>
        </is>
      </c>
      <c r="B914" s="1" t="n">
        <v>44685</v>
      </c>
      <c r="C914" s="1" t="n">
        <v>45894</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17248-2023</t>
        </is>
      </c>
      <c r="B915" s="1" t="n">
        <v>45033</v>
      </c>
      <c r="C915" s="1" t="n">
        <v>45894</v>
      </c>
      <c r="D915" t="inlineStr">
        <is>
          <t>JÄMTLANDS LÄN</t>
        </is>
      </c>
      <c r="E915" t="inlineStr">
        <is>
          <t>RAGUNDA</t>
        </is>
      </c>
      <c r="G915" t="n">
        <v>3</v>
      </c>
      <c r="H915" t="n">
        <v>0</v>
      </c>
      <c r="I915" t="n">
        <v>0</v>
      </c>
      <c r="J915" t="n">
        <v>0</v>
      </c>
      <c r="K915" t="n">
        <v>0</v>
      </c>
      <c r="L915" t="n">
        <v>0</v>
      </c>
      <c r="M915" t="n">
        <v>0</v>
      </c>
      <c r="N915" t="n">
        <v>0</v>
      </c>
      <c r="O915" t="n">
        <v>0</v>
      </c>
      <c r="P915" t="n">
        <v>0</v>
      </c>
      <c r="Q915" t="n">
        <v>0</v>
      </c>
      <c r="R915" s="2" t="inlineStr"/>
    </row>
    <row r="916" ht="15" customHeight="1">
      <c r="A916" t="inlineStr">
        <is>
          <t>A 62011-2022</t>
        </is>
      </c>
      <c r="B916" s="1" t="n">
        <v>44914</v>
      </c>
      <c r="C916" s="1" t="n">
        <v>45894</v>
      </c>
      <c r="D916" t="inlineStr">
        <is>
          <t>JÄMTLANDS LÄN</t>
        </is>
      </c>
      <c r="E916" t="inlineStr">
        <is>
          <t>RAGUNDA</t>
        </is>
      </c>
      <c r="G916" t="n">
        <v>0.3</v>
      </c>
      <c r="H916" t="n">
        <v>0</v>
      </c>
      <c r="I916" t="n">
        <v>0</v>
      </c>
      <c r="J916" t="n">
        <v>0</v>
      </c>
      <c r="K916" t="n">
        <v>0</v>
      </c>
      <c r="L916" t="n">
        <v>0</v>
      </c>
      <c r="M916" t="n">
        <v>0</v>
      </c>
      <c r="N916" t="n">
        <v>0</v>
      </c>
      <c r="O916" t="n">
        <v>0</v>
      </c>
      <c r="P916" t="n">
        <v>0</v>
      </c>
      <c r="Q916" t="n">
        <v>0</v>
      </c>
      <c r="R916" s="2" t="inlineStr"/>
    </row>
    <row r="917" ht="15" customHeight="1">
      <c r="A917" t="inlineStr">
        <is>
          <t>A 11557-2023</t>
        </is>
      </c>
      <c r="B917" s="1" t="n">
        <v>44993.94950231481</v>
      </c>
      <c r="C917" s="1" t="n">
        <v>45894</v>
      </c>
      <c r="D917" t="inlineStr">
        <is>
          <t>JÄMTLANDS LÄN</t>
        </is>
      </c>
      <c r="E917" t="inlineStr">
        <is>
          <t>RAGUNDA</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11562-2023</t>
        </is>
      </c>
      <c r="B918" s="1" t="n">
        <v>44993</v>
      </c>
      <c r="C918" s="1" t="n">
        <v>45894</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32096-2025</t>
        </is>
      </c>
      <c r="B919" s="1" t="n">
        <v>45835.46334490741</v>
      </c>
      <c r="C919" s="1" t="n">
        <v>45894</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30459-2021</t>
        </is>
      </c>
      <c r="B920" s="1" t="n">
        <v>44362</v>
      </c>
      <c r="C920" s="1" t="n">
        <v>45894</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32151-2025</t>
        </is>
      </c>
      <c r="B921" s="1" t="n">
        <v>45835.53166666667</v>
      </c>
      <c r="C921" s="1" t="n">
        <v>45894</v>
      </c>
      <c r="D921" t="inlineStr">
        <is>
          <t>JÄMTLANDS LÄN</t>
        </is>
      </c>
      <c r="E921" t="inlineStr">
        <is>
          <t>RAGUNDA</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45894</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45894</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45894</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45894</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32306-2025</t>
        </is>
      </c>
      <c r="B926" s="1" t="n">
        <v>45835.72046296296</v>
      </c>
      <c r="C926" s="1" t="n">
        <v>45894</v>
      </c>
      <c r="D926" t="inlineStr">
        <is>
          <t>JÄMTLANDS LÄN</t>
        </is>
      </c>
      <c r="E926" t="inlineStr">
        <is>
          <t>RAGUNDA</t>
        </is>
      </c>
      <c r="G926" t="n">
        <v>10.2</v>
      </c>
      <c r="H926" t="n">
        <v>0</v>
      </c>
      <c r="I926" t="n">
        <v>0</v>
      </c>
      <c r="J926" t="n">
        <v>0</v>
      </c>
      <c r="K926" t="n">
        <v>0</v>
      </c>
      <c r="L926" t="n">
        <v>0</v>
      </c>
      <c r="M926" t="n">
        <v>0</v>
      </c>
      <c r="N926" t="n">
        <v>0</v>
      </c>
      <c r="O926" t="n">
        <v>0</v>
      </c>
      <c r="P926" t="n">
        <v>0</v>
      </c>
      <c r="Q926" t="n">
        <v>0</v>
      </c>
      <c r="R926" s="2" t="inlineStr"/>
    </row>
    <row r="927" ht="15" customHeight="1">
      <c r="A927" t="inlineStr">
        <is>
          <t>A 12768-2022</t>
        </is>
      </c>
      <c r="B927" s="1" t="n">
        <v>44641</v>
      </c>
      <c r="C927" s="1" t="n">
        <v>45894</v>
      </c>
      <c r="D927" t="inlineStr">
        <is>
          <t>JÄMTLANDS LÄN</t>
        </is>
      </c>
      <c r="E927" t="inlineStr">
        <is>
          <t>RAGUNDA</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12773-2022</t>
        </is>
      </c>
      <c r="B928" s="1" t="n">
        <v>44641</v>
      </c>
      <c r="C928" s="1" t="n">
        <v>45894</v>
      </c>
      <c r="D928" t="inlineStr">
        <is>
          <t>JÄMTLANDS LÄN</t>
        </is>
      </c>
      <c r="E928" t="inlineStr">
        <is>
          <t>RAGUNDA</t>
        </is>
      </c>
      <c r="F928" t="inlineStr">
        <is>
          <t>SCA</t>
        </is>
      </c>
      <c r="G928" t="n">
        <v>14.7</v>
      </c>
      <c r="H928" t="n">
        <v>0</v>
      </c>
      <c r="I928" t="n">
        <v>0</v>
      </c>
      <c r="J928" t="n">
        <v>0</v>
      </c>
      <c r="K928" t="n">
        <v>0</v>
      </c>
      <c r="L928" t="n">
        <v>0</v>
      </c>
      <c r="M928" t="n">
        <v>0</v>
      </c>
      <c r="N928" t="n">
        <v>0</v>
      </c>
      <c r="O928" t="n">
        <v>0</v>
      </c>
      <c r="P928" t="n">
        <v>0</v>
      </c>
      <c r="Q928" t="n">
        <v>0</v>
      </c>
      <c r="R928" s="2" t="inlineStr"/>
    </row>
    <row r="929" ht="15" customHeight="1">
      <c r="A929" t="inlineStr">
        <is>
          <t>A 37543-2023</t>
        </is>
      </c>
      <c r="B929" s="1" t="n">
        <v>45158.94231481481</v>
      </c>
      <c r="C929" s="1" t="n">
        <v>45894</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5067-2024</t>
        </is>
      </c>
      <c r="B930" s="1" t="n">
        <v>45329.95806712963</v>
      </c>
      <c r="C930" s="1" t="n">
        <v>45894</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7668-2025</t>
        </is>
      </c>
      <c r="B931" s="1" t="n">
        <v>45706.34450231482</v>
      </c>
      <c r="C931" s="1" t="n">
        <v>45894</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14905-2022</t>
        </is>
      </c>
      <c r="B932" s="1" t="n">
        <v>44656.94708333333</v>
      </c>
      <c r="C932" s="1" t="n">
        <v>45894</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36046-2023</t>
        </is>
      </c>
      <c r="B933" s="1" t="n">
        <v>45148</v>
      </c>
      <c r="C933" s="1" t="n">
        <v>45894</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41885-2020</t>
        </is>
      </c>
      <c r="B934" s="1" t="n">
        <v>44074</v>
      </c>
      <c r="C934" s="1" t="n">
        <v>45894</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32021-2025</t>
        </is>
      </c>
      <c r="B935" s="1" t="n">
        <v>45835.40668981482</v>
      </c>
      <c r="C935" s="1" t="n">
        <v>45894</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32075-2025</t>
        </is>
      </c>
      <c r="B936" s="1" t="n">
        <v>45835.4506712963</v>
      </c>
      <c r="C936" s="1" t="n">
        <v>45894</v>
      </c>
      <c r="D936" t="inlineStr">
        <is>
          <t>JÄMTLANDS LÄN</t>
        </is>
      </c>
      <c r="E936" t="inlineStr">
        <is>
          <t>RAGUNDA</t>
        </is>
      </c>
      <c r="G936" t="n">
        <v>1.1</v>
      </c>
      <c r="H936" t="n">
        <v>0</v>
      </c>
      <c r="I936" t="n">
        <v>0</v>
      </c>
      <c r="J936" t="n">
        <v>0</v>
      </c>
      <c r="K936" t="n">
        <v>0</v>
      </c>
      <c r="L936" t="n">
        <v>0</v>
      </c>
      <c r="M936" t="n">
        <v>0</v>
      </c>
      <c r="N936" t="n">
        <v>0</v>
      </c>
      <c r="O936" t="n">
        <v>0</v>
      </c>
      <c r="P936" t="n">
        <v>0</v>
      </c>
      <c r="Q936" t="n">
        <v>0</v>
      </c>
      <c r="R936" s="2" t="inlineStr"/>
    </row>
    <row r="937" ht="15" customHeight="1">
      <c r="A937" t="inlineStr">
        <is>
          <t>A 31882-2025</t>
        </is>
      </c>
      <c r="B937" s="1" t="n">
        <v>45834.65662037037</v>
      </c>
      <c r="C937" s="1" t="n">
        <v>45894</v>
      </c>
      <c r="D937" t="inlineStr">
        <is>
          <t>JÄMTLANDS LÄN</t>
        </is>
      </c>
      <c r="E937" t="inlineStr">
        <is>
          <t>RAGUNDA</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37292-2025</t>
        </is>
      </c>
      <c r="B938" s="1" t="n">
        <v>45876.53188657408</v>
      </c>
      <c r="C938" s="1" t="n">
        <v>45894</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29766-2023</t>
        </is>
      </c>
      <c r="B939" s="1" t="n">
        <v>45098</v>
      </c>
      <c r="C939" s="1" t="n">
        <v>45894</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61107-2024</t>
        </is>
      </c>
      <c r="B940" s="1" t="n">
        <v>45645.55665509259</v>
      </c>
      <c r="C940" s="1" t="n">
        <v>45894</v>
      </c>
      <c r="D940" t="inlineStr">
        <is>
          <t>JÄMTLANDS LÄN</t>
        </is>
      </c>
      <c r="E940" t="inlineStr">
        <is>
          <t>RAGUNDA</t>
        </is>
      </c>
      <c r="G940" t="n">
        <v>3.2</v>
      </c>
      <c r="H940" t="n">
        <v>0</v>
      </c>
      <c r="I940" t="n">
        <v>0</v>
      </c>
      <c r="J940" t="n">
        <v>0</v>
      </c>
      <c r="K940" t="n">
        <v>0</v>
      </c>
      <c r="L940" t="n">
        <v>0</v>
      </c>
      <c r="M940" t="n">
        <v>0</v>
      </c>
      <c r="N940" t="n">
        <v>0</v>
      </c>
      <c r="O940" t="n">
        <v>0</v>
      </c>
      <c r="P940" t="n">
        <v>0</v>
      </c>
      <c r="Q940" t="n">
        <v>0</v>
      </c>
      <c r="R940" s="2" t="inlineStr"/>
    </row>
    <row r="941" ht="15" customHeight="1">
      <c r="A941" t="inlineStr">
        <is>
          <t>A 23287-2024</t>
        </is>
      </c>
      <c r="B941" s="1" t="n">
        <v>45453.42041666667</v>
      </c>
      <c r="C941" s="1" t="n">
        <v>45894</v>
      </c>
      <c r="D941" t="inlineStr">
        <is>
          <t>JÄMTLANDS LÄN</t>
        </is>
      </c>
      <c r="E941" t="inlineStr">
        <is>
          <t>RAGUNDA</t>
        </is>
      </c>
      <c r="G941" t="n">
        <v>3.1</v>
      </c>
      <c r="H941" t="n">
        <v>0</v>
      </c>
      <c r="I941" t="n">
        <v>0</v>
      </c>
      <c r="J941" t="n">
        <v>0</v>
      </c>
      <c r="K941" t="n">
        <v>0</v>
      </c>
      <c r="L941" t="n">
        <v>0</v>
      </c>
      <c r="M941" t="n">
        <v>0</v>
      </c>
      <c r="N941" t="n">
        <v>0</v>
      </c>
      <c r="O941" t="n">
        <v>0</v>
      </c>
      <c r="P941" t="n">
        <v>0</v>
      </c>
      <c r="Q941" t="n">
        <v>0</v>
      </c>
      <c r="R941" s="2" t="inlineStr"/>
    </row>
    <row r="942" ht="15" customHeight="1">
      <c r="A942" t="inlineStr">
        <is>
          <t>A 36922-2022</t>
        </is>
      </c>
      <c r="B942" s="1" t="n">
        <v>44805.94592592592</v>
      </c>
      <c r="C942" s="1" t="n">
        <v>45894</v>
      </c>
      <c r="D942" t="inlineStr">
        <is>
          <t>JÄMTLANDS LÄN</t>
        </is>
      </c>
      <c r="E942" t="inlineStr">
        <is>
          <t>RAGUNDA</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26347-2023</t>
        </is>
      </c>
      <c r="B943" s="1" t="n">
        <v>45091</v>
      </c>
      <c r="C943" s="1" t="n">
        <v>45894</v>
      </c>
      <c r="D943" t="inlineStr">
        <is>
          <t>JÄMTLANDS LÄN</t>
        </is>
      </c>
      <c r="E943" t="inlineStr">
        <is>
          <t>RAGUNDA</t>
        </is>
      </c>
      <c r="F943" t="inlineStr">
        <is>
          <t>SCA</t>
        </is>
      </c>
      <c r="G943" t="n">
        <v>6.6</v>
      </c>
      <c r="H943" t="n">
        <v>0</v>
      </c>
      <c r="I943" t="n">
        <v>0</v>
      </c>
      <c r="J943" t="n">
        <v>0</v>
      </c>
      <c r="K943" t="n">
        <v>0</v>
      </c>
      <c r="L943" t="n">
        <v>0</v>
      </c>
      <c r="M943" t="n">
        <v>0</v>
      </c>
      <c r="N943" t="n">
        <v>0</v>
      </c>
      <c r="O943" t="n">
        <v>0</v>
      </c>
      <c r="P943" t="n">
        <v>0</v>
      </c>
      <c r="Q943" t="n">
        <v>0</v>
      </c>
      <c r="R943" s="2" t="inlineStr"/>
    </row>
    <row r="944" ht="15" customHeight="1">
      <c r="A944" t="inlineStr">
        <is>
          <t>A 11249-2025</t>
        </is>
      </c>
      <c r="B944" s="1" t="n">
        <v>45726.3860300926</v>
      </c>
      <c r="C944" s="1" t="n">
        <v>45894</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45894</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34483-2023</t>
        </is>
      </c>
      <c r="B946" s="1" t="n">
        <v>45139.94681712963</v>
      </c>
      <c r="C946" s="1" t="n">
        <v>45894</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25304-2023</t>
        </is>
      </c>
      <c r="B947" s="1" t="n">
        <v>45086</v>
      </c>
      <c r="C947" s="1" t="n">
        <v>45894</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6902-2024</t>
        </is>
      </c>
      <c r="B948" s="1" t="n">
        <v>45342</v>
      </c>
      <c r="C948" s="1" t="n">
        <v>45894</v>
      </c>
      <c r="D948" t="inlineStr">
        <is>
          <t>JÄMTLANDS LÄN</t>
        </is>
      </c>
      <c r="E948" t="inlineStr">
        <is>
          <t>RAGUNDA</t>
        </is>
      </c>
      <c r="F948" t="inlineStr">
        <is>
          <t>SCA</t>
        </is>
      </c>
      <c r="G948" t="n">
        <v>18.7</v>
      </c>
      <c r="H948" t="n">
        <v>0</v>
      </c>
      <c r="I948" t="n">
        <v>0</v>
      </c>
      <c r="J948" t="n">
        <v>0</v>
      </c>
      <c r="K948" t="n">
        <v>0</v>
      </c>
      <c r="L948" t="n">
        <v>0</v>
      </c>
      <c r="M948" t="n">
        <v>0</v>
      </c>
      <c r="N948" t="n">
        <v>0</v>
      </c>
      <c r="O948" t="n">
        <v>0</v>
      </c>
      <c r="P948" t="n">
        <v>0</v>
      </c>
      <c r="Q948" t="n">
        <v>0</v>
      </c>
      <c r="R948" s="2" t="inlineStr"/>
    </row>
    <row r="949" ht="15" customHeight="1">
      <c r="A949" t="inlineStr">
        <is>
          <t>A 6905-2024</t>
        </is>
      </c>
      <c r="B949" s="1" t="n">
        <v>45342.9462037037</v>
      </c>
      <c r="C949" s="1" t="n">
        <v>45894</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22731-2023</t>
        </is>
      </c>
      <c r="B950" s="1" t="n">
        <v>45071</v>
      </c>
      <c r="C950" s="1" t="n">
        <v>45894</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32796-2025</t>
        </is>
      </c>
      <c r="B951" s="1" t="n">
        <v>45839.49082175926</v>
      </c>
      <c r="C951" s="1" t="n">
        <v>45894</v>
      </c>
      <c r="D951" t="inlineStr">
        <is>
          <t>JÄMTLANDS LÄN</t>
        </is>
      </c>
      <c r="E951" t="inlineStr">
        <is>
          <t>RAGUNDA</t>
        </is>
      </c>
      <c r="G951" t="n">
        <v>1.7</v>
      </c>
      <c r="H951" t="n">
        <v>0</v>
      </c>
      <c r="I951" t="n">
        <v>0</v>
      </c>
      <c r="J951" t="n">
        <v>0</v>
      </c>
      <c r="K951" t="n">
        <v>0</v>
      </c>
      <c r="L951" t="n">
        <v>0</v>
      </c>
      <c r="M951" t="n">
        <v>0</v>
      </c>
      <c r="N951" t="n">
        <v>0</v>
      </c>
      <c r="O951" t="n">
        <v>0</v>
      </c>
      <c r="P951" t="n">
        <v>0</v>
      </c>
      <c r="Q951" t="n">
        <v>0</v>
      </c>
      <c r="R951" s="2" t="inlineStr"/>
    </row>
    <row r="952" ht="15" customHeight="1">
      <c r="A952" t="inlineStr">
        <is>
          <t>A 11245-2025</t>
        </is>
      </c>
      <c r="B952" s="1" t="n">
        <v>45726.38575231482</v>
      </c>
      <c r="C952" s="1" t="n">
        <v>45894</v>
      </c>
      <c r="D952" t="inlineStr">
        <is>
          <t>JÄMTLANDS LÄN</t>
        </is>
      </c>
      <c r="E952" t="inlineStr">
        <is>
          <t>RAGUNDA</t>
        </is>
      </c>
      <c r="G952" t="n">
        <v>2.3</v>
      </c>
      <c r="H952" t="n">
        <v>0</v>
      </c>
      <c r="I952" t="n">
        <v>0</v>
      </c>
      <c r="J952" t="n">
        <v>0</v>
      </c>
      <c r="K952" t="n">
        <v>0</v>
      </c>
      <c r="L952" t="n">
        <v>0</v>
      </c>
      <c r="M952" t="n">
        <v>0</v>
      </c>
      <c r="N952" t="n">
        <v>0</v>
      </c>
      <c r="O952" t="n">
        <v>0</v>
      </c>
      <c r="P952" t="n">
        <v>0</v>
      </c>
      <c r="Q952" t="n">
        <v>0</v>
      </c>
      <c r="R952" s="2" t="inlineStr"/>
    </row>
    <row r="953" ht="15" customHeight="1">
      <c r="A953" t="inlineStr">
        <is>
          <t>A 61923-2024</t>
        </is>
      </c>
      <c r="B953" s="1" t="n">
        <v>45653.44836805556</v>
      </c>
      <c r="C953" s="1" t="n">
        <v>45894</v>
      </c>
      <c r="D953" t="inlineStr">
        <is>
          <t>JÄMTLANDS LÄN</t>
        </is>
      </c>
      <c r="E953" t="inlineStr">
        <is>
          <t>RAGUNDA</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22948-2024</t>
        </is>
      </c>
      <c r="B954" s="1" t="n">
        <v>45448.94600694445</v>
      </c>
      <c r="C954" s="1" t="n">
        <v>45894</v>
      </c>
      <c r="D954" t="inlineStr">
        <is>
          <t>JÄMTLANDS LÄN</t>
        </is>
      </c>
      <c r="E954" t="inlineStr">
        <is>
          <t>RAGUNDA</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32655-2025</t>
        </is>
      </c>
      <c r="B955" s="1" t="n">
        <v>45838.67800925926</v>
      </c>
      <c r="C955" s="1" t="n">
        <v>45894</v>
      </c>
      <c r="D955" t="inlineStr">
        <is>
          <t>JÄMTLANDS LÄN</t>
        </is>
      </c>
      <c r="E955" t="inlineStr">
        <is>
          <t>RAGUNDA</t>
        </is>
      </c>
      <c r="G955" t="n">
        <v>2.8</v>
      </c>
      <c r="H955" t="n">
        <v>0</v>
      </c>
      <c r="I955" t="n">
        <v>0</v>
      </c>
      <c r="J955" t="n">
        <v>0</v>
      </c>
      <c r="K955" t="n">
        <v>0</v>
      </c>
      <c r="L955" t="n">
        <v>0</v>
      </c>
      <c r="M955" t="n">
        <v>0</v>
      </c>
      <c r="N955" t="n">
        <v>0</v>
      </c>
      <c r="O955" t="n">
        <v>0</v>
      </c>
      <c r="P955" t="n">
        <v>0</v>
      </c>
      <c r="Q955" t="n">
        <v>0</v>
      </c>
      <c r="R955" s="2" t="inlineStr"/>
    </row>
    <row r="956" ht="15" customHeight="1">
      <c r="A956" t="inlineStr">
        <is>
          <t>A 32751-2025</t>
        </is>
      </c>
      <c r="B956" s="1" t="n">
        <v>45839.42864583333</v>
      </c>
      <c r="C956" s="1" t="n">
        <v>45894</v>
      </c>
      <c r="D956" t="inlineStr">
        <is>
          <t>JÄMTLANDS LÄN</t>
        </is>
      </c>
      <c r="E956" t="inlineStr">
        <is>
          <t>RAGUNDA</t>
        </is>
      </c>
      <c r="F956" t="inlineStr">
        <is>
          <t>SCA</t>
        </is>
      </c>
      <c r="G956" t="n">
        <v>10</v>
      </c>
      <c r="H956" t="n">
        <v>0</v>
      </c>
      <c r="I956" t="n">
        <v>0</v>
      </c>
      <c r="J956" t="n">
        <v>0</v>
      </c>
      <c r="K956" t="n">
        <v>0</v>
      </c>
      <c r="L956" t="n">
        <v>0</v>
      </c>
      <c r="M956" t="n">
        <v>0</v>
      </c>
      <c r="N956" t="n">
        <v>0</v>
      </c>
      <c r="O956" t="n">
        <v>0</v>
      </c>
      <c r="P956" t="n">
        <v>0</v>
      </c>
      <c r="Q956" t="n">
        <v>0</v>
      </c>
      <c r="R956" s="2" t="inlineStr"/>
    </row>
    <row r="957" ht="15" customHeight="1">
      <c r="A957" t="inlineStr">
        <is>
          <t>A 23567-2024</t>
        </is>
      </c>
      <c r="B957" s="1" t="n">
        <v>45453.95538194444</v>
      </c>
      <c r="C957" s="1" t="n">
        <v>45894</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19246-2023</t>
        </is>
      </c>
      <c r="B958" s="1" t="n">
        <v>45048.94340277778</v>
      </c>
      <c r="C958" s="1" t="n">
        <v>45894</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61109-2024</t>
        </is>
      </c>
      <c r="B959" s="1" t="n">
        <v>45645.55672453704</v>
      </c>
      <c r="C959" s="1" t="n">
        <v>45894</v>
      </c>
      <c r="D959" t="inlineStr">
        <is>
          <t>JÄMTLANDS LÄN</t>
        </is>
      </c>
      <c r="E959" t="inlineStr">
        <is>
          <t>RAGUNDA</t>
        </is>
      </c>
      <c r="G959" t="n">
        <v>4</v>
      </c>
      <c r="H959" t="n">
        <v>0</v>
      </c>
      <c r="I959" t="n">
        <v>0</v>
      </c>
      <c r="J959" t="n">
        <v>0</v>
      </c>
      <c r="K959" t="n">
        <v>0</v>
      </c>
      <c r="L959" t="n">
        <v>0</v>
      </c>
      <c r="M959" t="n">
        <v>0</v>
      </c>
      <c r="N959" t="n">
        <v>0</v>
      </c>
      <c r="O959" t="n">
        <v>0</v>
      </c>
      <c r="P959" t="n">
        <v>0</v>
      </c>
      <c r="Q959" t="n">
        <v>0</v>
      </c>
      <c r="R959" s="2" t="inlineStr"/>
    </row>
    <row r="960" ht="15" customHeight="1">
      <c r="A960" t="inlineStr">
        <is>
          <t>A 32777-2025</t>
        </is>
      </c>
      <c r="B960" s="1" t="n">
        <v>45839.46915509259</v>
      </c>
      <c r="C960" s="1" t="n">
        <v>45894</v>
      </c>
      <c r="D960" t="inlineStr">
        <is>
          <t>JÄMTLANDS LÄN</t>
        </is>
      </c>
      <c r="E960" t="inlineStr">
        <is>
          <t>RAGUNDA</t>
        </is>
      </c>
      <c r="F960" t="inlineStr">
        <is>
          <t>SCA</t>
        </is>
      </c>
      <c r="G960" t="n">
        <v>21.7</v>
      </c>
      <c r="H960" t="n">
        <v>0</v>
      </c>
      <c r="I960" t="n">
        <v>0</v>
      </c>
      <c r="J960" t="n">
        <v>0</v>
      </c>
      <c r="K960" t="n">
        <v>0</v>
      </c>
      <c r="L960" t="n">
        <v>0</v>
      </c>
      <c r="M960" t="n">
        <v>0</v>
      </c>
      <c r="N960" t="n">
        <v>0</v>
      </c>
      <c r="O960" t="n">
        <v>0</v>
      </c>
      <c r="P960" t="n">
        <v>0</v>
      </c>
      <c r="Q960" t="n">
        <v>0</v>
      </c>
      <c r="R960" s="2" t="inlineStr"/>
    </row>
    <row r="961" ht="15" customHeight="1">
      <c r="A961" t="inlineStr">
        <is>
          <t>A 58955-2024</t>
        </is>
      </c>
      <c r="B961" s="1" t="n">
        <v>45636.57329861111</v>
      </c>
      <c r="C961" s="1" t="n">
        <v>45894</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32430-2025</t>
        </is>
      </c>
      <c r="B962" s="1" t="n">
        <v>45838.36532407408</v>
      </c>
      <c r="C962" s="1" t="n">
        <v>45894</v>
      </c>
      <c r="D962" t="inlineStr">
        <is>
          <t>JÄMTLANDS LÄN</t>
        </is>
      </c>
      <c r="E962" t="inlineStr">
        <is>
          <t>RAGUNDA</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32747-2025</t>
        </is>
      </c>
      <c r="B963" s="1" t="n">
        <v>45839.42810185185</v>
      </c>
      <c r="C963" s="1" t="n">
        <v>45894</v>
      </c>
      <c r="D963" t="inlineStr">
        <is>
          <t>JÄMTLANDS LÄN</t>
        </is>
      </c>
      <c r="E963" t="inlineStr">
        <is>
          <t>RAGUNDA</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32757-2025</t>
        </is>
      </c>
      <c r="B964" s="1" t="n">
        <v>45838</v>
      </c>
      <c r="C964" s="1" t="n">
        <v>45894</v>
      </c>
      <c r="D964" t="inlineStr">
        <is>
          <t>JÄMTLANDS LÄN</t>
        </is>
      </c>
      <c r="E964" t="inlineStr">
        <is>
          <t>RAGUNDA</t>
        </is>
      </c>
      <c r="G964" t="n">
        <v>4.5</v>
      </c>
      <c r="H964" t="n">
        <v>0</v>
      </c>
      <c r="I964" t="n">
        <v>0</v>
      </c>
      <c r="J964" t="n">
        <v>0</v>
      </c>
      <c r="K964" t="n">
        <v>0</v>
      </c>
      <c r="L964" t="n">
        <v>0</v>
      </c>
      <c r="M964" t="n">
        <v>0</v>
      </c>
      <c r="N964" t="n">
        <v>0</v>
      </c>
      <c r="O964" t="n">
        <v>0</v>
      </c>
      <c r="P964" t="n">
        <v>0</v>
      </c>
      <c r="Q964" t="n">
        <v>0</v>
      </c>
      <c r="R964" s="2" t="inlineStr"/>
    </row>
    <row r="965" ht="15" customHeight="1">
      <c r="A965" t="inlineStr">
        <is>
          <t>A 32846-2025</t>
        </is>
      </c>
      <c r="B965" s="1" t="n">
        <v>45839.57331018519</v>
      </c>
      <c r="C965" s="1" t="n">
        <v>45894</v>
      </c>
      <c r="D965" t="inlineStr">
        <is>
          <t>JÄMTLANDS LÄN</t>
        </is>
      </c>
      <c r="E965" t="inlineStr">
        <is>
          <t>RAGUNDA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33877-2023</t>
        </is>
      </c>
      <c r="B966" s="1" t="n">
        <v>45133</v>
      </c>
      <c r="C966" s="1" t="n">
        <v>45894</v>
      </c>
      <c r="D966" t="inlineStr">
        <is>
          <t>JÄMTLANDS LÄN</t>
        </is>
      </c>
      <c r="E966" t="inlineStr">
        <is>
          <t>RAGUNDA</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32748-2025</t>
        </is>
      </c>
      <c r="B967" s="1" t="n">
        <v>45839.42822916667</v>
      </c>
      <c r="C967" s="1" t="n">
        <v>45894</v>
      </c>
      <c r="D967" t="inlineStr">
        <is>
          <t>JÄMTLANDS LÄN</t>
        </is>
      </c>
      <c r="E967" t="inlineStr">
        <is>
          <t>RAGUNDA</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62541-2022</t>
        </is>
      </c>
      <c r="B968" s="1" t="n">
        <v>44917</v>
      </c>
      <c r="C968" s="1" t="n">
        <v>45894</v>
      </c>
      <c r="D968" t="inlineStr">
        <is>
          <t>JÄMTLANDS LÄN</t>
        </is>
      </c>
      <c r="E968" t="inlineStr">
        <is>
          <t>RAGUNDA</t>
        </is>
      </c>
      <c r="G968" t="n">
        <v>2.6</v>
      </c>
      <c r="H968" t="n">
        <v>0</v>
      </c>
      <c r="I968" t="n">
        <v>0</v>
      </c>
      <c r="J968" t="n">
        <v>0</v>
      </c>
      <c r="K968" t="n">
        <v>0</v>
      </c>
      <c r="L968" t="n">
        <v>0</v>
      </c>
      <c r="M968" t="n">
        <v>0</v>
      </c>
      <c r="N968" t="n">
        <v>0</v>
      </c>
      <c r="O968" t="n">
        <v>0</v>
      </c>
      <c r="P968" t="n">
        <v>0</v>
      </c>
      <c r="Q968" t="n">
        <v>0</v>
      </c>
      <c r="R968" s="2" t="inlineStr"/>
    </row>
    <row r="969" ht="15" customHeight="1">
      <c r="A969" t="inlineStr">
        <is>
          <t>A 32762-2025</t>
        </is>
      </c>
      <c r="B969" s="1" t="n">
        <v>45838</v>
      </c>
      <c r="C969" s="1" t="n">
        <v>45894</v>
      </c>
      <c r="D969" t="inlineStr">
        <is>
          <t>JÄMTLANDS LÄN</t>
        </is>
      </c>
      <c r="E969" t="inlineStr">
        <is>
          <t>RAGUNDA</t>
        </is>
      </c>
      <c r="G969" t="n">
        <v>0.6</v>
      </c>
      <c r="H969" t="n">
        <v>0</v>
      </c>
      <c r="I969" t="n">
        <v>0</v>
      </c>
      <c r="J969" t="n">
        <v>0</v>
      </c>
      <c r="K969" t="n">
        <v>0</v>
      </c>
      <c r="L969" t="n">
        <v>0</v>
      </c>
      <c r="M969" t="n">
        <v>0</v>
      </c>
      <c r="N969" t="n">
        <v>0</v>
      </c>
      <c r="O969" t="n">
        <v>0</v>
      </c>
      <c r="P969" t="n">
        <v>0</v>
      </c>
      <c r="Q969" t="n">
        <v>0</v>
      </c>
      <c r="R969" s="2" t="inlineStr"/>
    </row>
    <row r="970" ht="15" customHeight="1">
      <c r="A970" t="inlineStr">
        <is>
          <t>A 32660-2025</t>
        </is>
      </c>
      <c r="B970" s="1" t="n">
        <v>45838.67887731481</v>
      </c>
      <c r="C970" s="1" t="n">
        <v>45894</v>
      </c>
      <c r="D970" t="inlineStr">
        <is>
          <t>JÄMTLANDS LÄN</t>
        </is>
      </c>
      <c r="E970" t="inlineStr">
        <is>
          <t>RAGUNDA</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9567-2025</t>
        </is>
      </c>
      <c r="B971" s="1" t="n">
        <v>45715.61523148148</v>
      </c>
      <c r="C971" s="1" t="n">
        <v>45894</v>
      </c>
      <c r="D971" t="inlineStr">
        <is>
          <t>JÄMTLANDS LÄN</t>
        </is>
      </c>
      <c r="E971" t="inlineStr">
        <is>
          <t>RAGUNDA</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23304-2023</t>
        </is>
      </c>
      <c r="B972" s="1" t="n">
        <v>45075.945</v>
      </c>
      <c r="C972" s="1" t="n">
        <v>45894</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32527-2025</t>
        </is>
      </c>
      <c r="B973" s="1" t="n">
        <v>45838.48996527777</v>
      </c>
      <c r="C973" s="1" t="n">
        <v>45894</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21661-2023</t>
        </is>
      </c>
      <c r="B974" s="1" t="n">
        <v>45063</v>
      </c>
      <c r="C974" s="1" t="n">
        <v>45894</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36226-2023</t>
        </is>
      </c>
      <c r="B975" s="1" t="n">
        <v>45149.95372685185</v>
      </c>
      <c r="C975" s="1" t="n">
        <v>45894</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18615-2024</t>
        </is>
      </c>
      <c r="B976" s="1" t="n">
        <v>45425.96275462963</v>
      </c>
      <c r="C976" s="1" t="n">
        <v>45894</v>
      </c>
      <c r="D976" t="inlineStr">
        <is>
          <t>JÄMTLANDS LÄN</t>
        </is>
      </c>
      <c r="E976" t="inlineStr">
        <is>
          <t>RAGUNDA</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40269-2022</t>
        </is>
      </c>
      <c r="B977" s="1" t="n">
        <v>44820</v>
      </c>
      <c r="C977" s="1" t="n">
        <v>45894</v>
      </c>
      <c r="D977" t="inlineStr">
        <is>
          <t>JÄMTLANDS LÄN</t>
        </is>
      </c>
      <c r="E977" t="inlineStr">
        <is>
          <t>RAGUNDA</t>
        </is>
      </c>
      <c r="F977" t="inlineStr">
        <is>
          <t>SCA</t>
        </is>
      </c>
      <c r="G977" t="n">
        <v>77.8</v>
      </c>
      <c r="H977" t="n">
        <v>0</v>
      </c>
      <c r="I977" t="n">
        <v>0</v>
      </c>
      <c r="J977" t="n">
        <v>0</v>
      </c>
      <c r="K977" t="n">
        <v>0</v>
      </c>
      <c r="L977" t="n">
        <v>0</v>
      </c>
      <c r="M977" t="n">
        <v>0</v>
      </c>
      <c r="N977" t="n">
        <v>0</v>
      </c>
      <c r="O977" t="n">
        <v>0</v>
      </c>
      <c r="P977" t="n">
        <v>0</v>
      </c>
      <c r="Q977" t="n">
        <v>0</v>
      </c>
      <c r="R977" s="2" t="inlineStr"/>
    </row>
    <row r="978" ht="15" customHeight="1">
      <c r="A978" t="inlineStr">
        <is>
          <t>A 37242-2024</t>
        </is>
      </c>
      <c r="B978" s="1" t="n">
        <v>45540.34428240741</v>
      </c>
      <c r="C978" s="1" t="n">
        <v>45894</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33140-2025</t>
        </is>
      </c>
      <c r="B979" s="1" t="n">
        <v>45840.52225694444</v>
      </c>
      <c r="C979" s="1" t="n">
        <v>45894</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33556-2025</t>
        </is>
      </c>
      <c r="B980" s="1" t="n">
        <v>45841.57427083333</v>
      </c>
      <c r="C980" s="1" t="n">
        <v>45894</v>
      </c>
      <c r="D980" t="inlineStr">
        <is>
          <t>JÄMTLANDS LÄN</t>
        </is>
      </c>
      <c r="E980" t="inlineStr">
        <is>
          <t>RAGUNDA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17730-2022</t>
        </is>
      </c>
      <c r="B981" s="1" t="n">
        <v>44680</v>
      </c>
      <c r="C981" s="1" t="n">
        <v>45894</v>
      </c>
      <c r="D981" t="inlineStr">
        <is>
          <t>JÄMTLANDS LÄN</t>
        </is>
      </c>
      <c r="E981" t="inlineStr">
        <is>
          <t>RAGUNDA</t>
        </is>
      </c>
      <c r="G981" t="n">
        <v>3.4</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45894</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56191-2022</t>
        </is>
      </c>
      <c r="B983" s="1" t="n">
        <v>44889.95015046297</v>
      </c>
      <c r="C983" s="1" t="n">
        <v>45894</v>
      </c>
      <c r="D983" t="inlineStr">
        <is>
          <t>JÄMTLANDS LÄN</t>
        </is>
      </c>
      <c r="E983" t="inlineStr">
        <is>
          <t>RAGUNDA</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30823-2023</t>
        </is>
      </c>
      <c r="B984" s="1" t="n">
        <v>45112</v>
      </c>
      <c r="C984" s="1" t="n">
        <v>45894</v>
      </c>
      <c r="D984" t="inlineStr">
        <is>
          <t>JÄMTLANDS LÄN</t>
        </is>
      </c>
      <c r="E984" t="inlineStr">
        <is>
          <t>RAGUNDA</t>
        </is>
      </c>
      <c r="F984" t="inlineStr">
        <is>
          <t>SCA</t>
        </is>
      </c>
      <c r="G984" t="n">
        <v>9</v>
      </c>
      <c r="H984" t="n">
        <v>0</v>
      </c>
      <c r="I984" t="n">
        <v>0</v>
      </c>
      <c r="J984" t="n">
        <v>0</v>
      </c>
      <c r="K984" t="n">
        <v>0</v>
      </c>
      <c r="L984" t="n">
        <v>0</v>
      </c>
      <c r="M984" t="n">
        <v>0</v>
      </c>
      <c r="N984" t="n">
        <v>0</v>
      </c>
      <c r="O984" t="n">
        <v>0</v>
      </c>
      <c r="P984" t="n">
        <v>0</v>
      </c>
      <c r="Q984" t="n">
        <v>0</v>
      </c>
      <c r="R984" s="2" t="inlineStr"/>
    </row>
    <row r="985" ht="15" customHeight="1">
      <c r="A985" t="inlineStr">
        <is>
          <t>A 33650-2025</t>
        </is>
      </c>
      <c r="B985" s="1" t="n">
        <v>45841.6571412037</v>
      </c>
      <c r="C985" s="1" t="n">
        <v>45894</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43339-2024</t>
        </is>
      </c>
      <c r="B986" s="1" t="n">
        <v>45568.51075231482</v>
      </c>
      <c r="C986" s="1" t="n">
        <v>45894</v>
      </c>
      <c r="D986" t="inlineStr">
        <is>
          <t>JÄMTLANDS LÄN</t>
        </is>
      </c>
      <c r="E986" t="inlineStr">
        <is>
          <t>RAGUNDA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43102-2023</t>
        </is>
      </c>
      <c r="B987" s="1" t="n">
        <v>45182</v>
      </c>
      <c r="C987" s="1" t="n">
        <v>45894</v>
      </c>
      <c r="D987" t="inlineStr">
        <is>
          <t>JÄMTLANDS LÄN</t>
        </is>
      </c>
      <c r="E987" t="inlineStr">
        <is>
          <t>RAGUNDA</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69153-2021</t>
        </is>
      </c>
      <c r="B988" s="1" t="n">
        <v>44530.94694444445</v>
      </c>
      <c r="C988" s="1" t="n">
        <v>45894</v>
      </c>
      <c r="D988" t="inlineStr">
        <is>
          <t>JÄMTLANDS LÄN</t>
        </is>
      </c>
      <c r="E988" t="inlineStr">
        <is>
          <t>RAGUNDA</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12585-2024</t>
        </is>
      </c>
      <c r="B989" s="1" t="n">
        <v>45379.93637731481</v>
      </c>
      <c r="C989" s="1" t="n">
        <v>45894</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55489-2024</t>
        </is>
      </c>
      <c r="B990" s="1" t="n">
        <v>45622.44774305556</v>
      </c>
      <c r="C990" s="1" t="n">
        <v>45894</v>
      </c>
      <c r="D990" t="inlineStr">
        <is>
          <t>JÄMTLANDS LÄN</t>
        </is>
      </c>
      <c r="E990" t="inlineStr">
        <is>
          <t>RAGUNDA</t>
        </is>
      </c>
      <c r="G990" t="n">
        <v>1.6</v>
      </c>
      <c r="H990" t="n">
        <v>0</v>
      </c>
      <c r="I990" t="n">
        <v>0</v>
      </c>
      <c r="J990" t="n">
        <v>0</v>
      </c>
      <c r="K990" t="n">
        <v>0</v>
      </c>
      <c r="L990" t="n">
        <v>0</v>
      </c>
      <c r="M990" t="n">
        <v>0</v>
      </c>
      <c r="N990" t="n">
        <v>0</v>
      </c>
      <c r="O990" t="n">
        <v>0</v>
      </c>
      <c r="P990" t="n">
        <v>0</v>
      </c>
      <c r="Q990" t="n">
        <v>0</v>
      </c>
      <c r="R990" s="2" t="inlineStr"/>
    </row>
    <row r="991" ht="15" customHeight="1">
      <c r="A991" t="inlineStr">
        <is>
          <t>A 9823-2025</t>
        </is>
      </c>
      <c r="B991" s="1" t="n">
        <v>45716</v>
      </c>
      <c r="C991" s="1" t="n">
        <v>45894</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18631-2024</t>
        </is>
      </c>
      <c r="B992" s="1" t="n">
        <v>45425.96494212963</v>
      </c>
      <c r="C992" s="1" t="n">
        <v>45894</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13917-2023</t>
        </is>
      </c>
      <c r="B993" s="1" t="n">
        <v>45007</v>
      </c>
      <c r="C993" s="1" t="n">
        <v>45894</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33763-2025</t>
        </is>
      </c>
      <c r="B994" s="1" t="n">
        <v>45842.38579861111</v>
      </c>
      <c r="C994" s="1" t="n">
        <v>45894</v>
      </c>
      <c r="D994" t="inlineStr">
        <is>
          <t>JÄMTLANDS LÄN</t>
        </is>
      </c>
      <c r="E994" t="inlineStr">
        <is>
          <t>RAGUNDA</t>
        </is>
      </c>
      <c r="F994" t="inlineStr">
        <is>
          <t>SCA</t>
        </is>
      </c>
      <c r="G994" t="n">
        <v>13.4</v>
      </c>
      <c r="H994" t="n">
        <v>0</v>
      </c>
      <c r="I994" t="n">
        <v>0</v>
      </c>
      <c r="J994" t="n">
        <v>0</v>
      </c>
      <c r="K994" t="n">
        <v>0</v>
      </c>
      <c r="L994" t="n">
        <v>0</v>
      </c>
      <c r="M994" t="n">
        <v>0</v>
      </c>
      <c r="N994" t="n">
        <v>0</v>
      </c>
      <c r="O994" t="n">
        <v>0</v>
      </c>
      <c r="P994" t="n">
        <v>0</v>
      </c>
      <c r="Q994" t="n">
        <v>0</v>
      </c>
      <c r="R994" s="2" t="inlineStr"/>
    </row>
    <row r="995" ht="15" customHeight="1">
      <c r="A995" t="inlineStr">
        <is>
          <t>A 53019-2023</t>
        </is>
      </c>
      <c r="B995" s="1" t="n">
        <v>45222</v>
      </c>
      <c r="C995" s="1" t="n">
        <v>45894</v>
      </c>
      <c r="D995" t="inlineStr">
        <is>
          <t>JÄMTLANDS LÄN</t>
        </is>
      </c>
      <c r="E995" t="inlineStr">
        <is>
          <t>RAGUNDA</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26646-2023</t>
        </is>
      </c>
      <c r="B996" s="1" t="n">
        <v>45092</v>
      </c>
      <c r="C996" s="1" t="n">
        <v>45894</v>
      </c>
      <c r="D996" t="inlineStr">
        <is>
          <t>JÄMTLANDS LÄN</t>
        </is>
      </c>
      <c r="E996" t="inlineStr">
        <is>
          <t>RAGUNDA</t>
        </is>
      </c>
      <c r="G996" t="n">
        <v>1.4</v>
      </c>
      <c r="H996" t="n">
        <v>0</v>
      </c>
      <c r="I996" t="n">
        <v>0</v>
      </c>
      <c r="J996" t="n">
        <v>0</v>
      </c>
      <c r="K996" t="n">
        <v>0</v>
      </c>
      <c r="L996" t="n">
        <v>0</v>
      </c>
      <c r="M996" t="n">
        <v>0</v>
      </c>
      <c r="N996" t="n">
        <v>0</v>
      </c>
      <c r="O996" t="n">
        <v>0</v>
      </c>
      <c r="P996" t="n">
        <v>0</v>
      </c>
      <c r="Q996" t="n">
        <v>0</v>
      </c>
      <c r="R996" s="2" t="inlineStr"/>
    </row>
    <row r="997" ht="15" customHeight="1">
      <c r="A997" t="inlineStr">
        <is>
          <t>A 14212-2023</t>
        </is>
      </c>
      <c r="B997" s="1" t="n">
        <v>45009</v>
      </c>
      <c r="C997" s="1" t="n">
        <v>45894</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43405-2023</t>
        </is>
      </c>
      <c r="B998" s="1" t="n">
        <v>45183.95563657407</v>
      </c>
      <c r="C998" s="1" t="n">
        <v>45894</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59496-2024</t>
        </is>
      </c>
      <c r="B999" s="1" t="n">
        <v>45638</v>
      </c>
      <c r="C999" s="1" t="n">
        <v>45894</v>
      </c>
      <c r="D999" t="inlineStr">
        <is>
          <t>JÄMTLANDS LÄN</t>
        </is>
      </c>
      <c r="E999" t="inlineStr">
        <is>
          <t>RAGUNDA</t>
        </is>
      </c>
      <c r="G999" t="n">
        <v>13.1</v>
      </c>
      <c r="H999" t="n">
        <v>0</v>
      </c>
      <c r="I999" t="n">
        <v>0</v>
      </c>
      <c r="J999" t="n">
        <v>0</v>
      </c>
      <c r="K999" t="n">
        <v>0</v>
      </c>
      <c r="L999" t="n">
        <v>0</v>
      </c>
      <c r="M999" t="n">
        <v>0</v>
      </c>
      <c r="N999" t="n">
        <v>0</v>
      </c>
      <c r="O999" t="n">
        <v>0</v>
      </c>
      <c r="P999" t="n">
        <v>0</v>
      </c>
      <c r="Q999" t="n">
        <v>0</v>
      </c>
      <c r="R999" s="2" t="inlineStr"/>
    </row>
    <row r="1000" ht="15" customHeight="1">
      <c r="A1000" t="inlineStr">
        <is>
          <t>A 59996-2023</t>
        </is>
      </c>
      <c r="B1000" s="1" t="n">
        <v>45257.92826388889</v>
      </c>
      <c r="C1000" s="1" t="n">
        <v>45894</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62106-2023</t>
        </is>
      </c>
      <c r="B1001" s="1" t="n">
        <v>45266.95082175926</v>
      </c>
      <c r="C1001" s="1" t="n">
        <v>45894</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44980-2023</t>
        </is>
      </c>
      <c r="B1002" s="1" t="n">
        <v>45190</v>
      </c>
      <c r="C1002" s="1" t="n">
        <v>45894</v>
      </c>
      <c r="D1002" t="inlineStr">
        <is>
          <t>JÄMTLANDS LÄN</t>
        </is>
      </c>
      <c r="E1002" t="inlineStr">
        <is>
          <t>RAGUNDA</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18781-2024</t>
        </is>
      </c>
      <c r="B1003" s="1" t="n">
        <v>45426</v>
      </c>
      <c r="C1003" s="1" t="n">
        <v>45894</v>
      </c>
      <c r="D1003" t="inlineStr">
        <is>
          <t>JÄMTLANDS LÄN</t>
        </is>
      </c>
      <c r="E1003" t="inlineStr">
        <is>
          <t>RAGUNDA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14076-2023</t>
        </is>
      </c>
      <c r="B1004" s="1" t="n">
        <v>45009.0897337963</v>
      </c>
      <c r="C1004" s="1" t="n">
        <v>45894</v>
      </c>
      <c r="D1004" t="inlineStr">
        <is>
          <t>JÄMTLANDS LÄN</t>
        </is>
      </c>
      <c r="E1004" t="inlineStr">
        <is>
          <t>RAGUNDA</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62081-2022</t>
        </is>
      </c>
      <c r="B1005" s="1" t="n">
        <v>44918</v>
      </c>
      <c r="C1005" s="1" t="n">
        <v>45894</v>
      </c>
      <c r="D1005" t="inlineStr">
        <is>
          <t>JÄMTLANDS LÄN</t>
        </is>
      </c>
      <c r="E1005" t="inlineStr">
        <is>
          <t>RAGUNDA</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54092-2024</t>
        </is>
      </c>
      <c r="B1006" s="1" t="n">
        <v>45616.5108912037</v>
      </c>
      <c r="C1006" s="1" t="n">
        <v>45894</v>
      </c>
      <c r="D1006" t="inlineStr">
        <is>
          <t>JÄMTLANDS LÄN</t>
        </is>
      </c>
      <c r="E1006" t="inlineStr">
        <is>
          <t>RAGUNDA</t>
        </is>
      </c>
      <c r="F1006" t="inlineStr">
        <is>
          <t>Naturvårdsverket</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33790-2025</t>
        </is>
      </c>
      <c r="B1007" s="1" t="n">
        <v>45842.42608796297</v>
      </c>
      <c r="C1007" s="1" t="n">
        <v>45894</v>
      </c>
      <c r="D1007" t="inlineStr">
        <is>
          <t>JÄMTLANDS LÄN</t>
        </is>
      </c>
      <c r="E1007" t="inlineStr">
        <is>
          <t>RAGUNDA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12805-2025</t>
        </is>
      </c>
      <c r="B1008" s="1" t="n">
        <v>45733.61497685185</v>
      </c>
      <c r="C1008" s="1" t="n">
        <v>45894</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12808-2025</t>
        </is>
      </c>
      <c r="B1009" s="1" t="n">
        <v>45733.61554398148</v>
      </c>
      <c r="C1009" s="1" t="n">
        <v>45894</v>
      </c>
      <c r="D1009" t="inlineStr">
        <is>
          <t>JÄMTLANDS LÄN</t>
        </is>
      </c>
      <c r="E1009" t="inlineStr">
        <is>
          <t>RAGUNDA</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34607-2025</t>
        </is>
      </c>
      <c r="B1010" s="1" t="n">
        <v>45847.65703703704</v>
      </c>
      <c r="C1010" s="1" t="n">
        <v>45894</v>
      </c>
      <c r="D1010" t="inlineStr">
        <is>
          <t>JÄMTLANDS LÄN</t>
        </is>
      </c>
      <c r="E1010" t="inlineStr">
        <is>
          <t>RAGUNDA</t>
        </is>
      </c>
      <c r="F1010" t="inlineStr">
        <is>
          <t>SCA</t>
        </is>
      </c>
      <c r="G1010" t="n">
        <v>31.4</v>
      </c>
      <c r="H1010" t="n">
        <v>0</v>
      </c>
      <c r="I1010" t="n">
        <v>0</v>
      </c>
      <c r="J1010" t="n">
        <v>0</v>
      </c>
      <c r="K1010" t="n">
        <v>0</v>
      </c>
      <c r="L1010" t="n">
        <v>0</v>
      </c>
      <c r="M1010" t="n">
        <v>0</v>
      </c>
      <c r="N1010" t="n">
        <v>0</v>
      </c>
      <c r="O1010" t="n">
        <v>0</v>
      </c>
      <c r="P1010" t="n">
        <v>0</v>
      </c>
      <c r="Q1010" t="n">
        <v>0</v>
      </c>
      <c r="R1010" s="2" t="inlineStr"/>
    </row>
    <row r="1011" ht="15" customHeight="1">
      <c r="A1011" t="inlineStr">
        <is>
          <t>A 34461-2025</t>
        </is>
      </c>
      <c r="B1011" s="1" t="n">
        <v>45847.34474537037</v>
      </c>
      <c r="C1011" s="1" t="n">
        <v>45894</v>
      </c>
      <c r="D1011" t="inlineStr">
        <is>
          <t>JÄMTLANDS LÄN</t>
        </is>
      </c>
      <c r="E1011" t="inlineStr">
        <is>
          <t>RAGUNDA</t>
        </is>
      </c>
      <c r="F1011" t="inlineStr">
        <is>
          <t>SCA</t>
        </is>
      </c>
      <c r="G1011" t="n">
        <v>44.8</v>
      </c>
      <c r="H1011" t="n">
        <v>0</v>
      </c>
      <c r="I1011" t="n">
        <v>0</v>
      </c>
      <c r="J1011" t="n">
        <v>0</v>
      </c>
      <c r="K1011" t="n">
        <v>0</v>
      </c>
      <c r="L1011" t="n">
        <v>0</v>
      </c>
      <c r="M1011" t="n">
        <v>0</v>
      </c>
      <c r="N1011" t="n">
        <v>0</v>
      </c>
      <c r="O1011" t="n">
        <v>0</v>
      </c>
      <c r="P1011" t="n">
        <v>0</v>
      </c>
      <c r="Q1011" t="n">
        <v>0</v>
      </c>
      <c r="R1011" s="2" t="inlineStr"/>
    </row>
    <row r="1012" ht="15" customHeight="1">
      <c r="A1012" t="inlineStr">
        <is>
          <t>A 34464-2025</t>
        </is>
      </c>
      <c r="B1012" s="1" t="n">
        <v>45847.34528935186</v>
      </c>
      <c r="C1012" s="1" t="n">
        <v>45894</v>
      </c>
      <c r="D1012" t="inlineStr">
        <is>
          <t>JÄMTLANDS LÄN</t>
        </is>
      </c>
      <c r="E1012" t="inlineStr">
        <is>
          <t>RAGUNDA</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39192-2025</t>
        </is>
      </c>
      <c r="B1013" s="1" t="n">
        <v>45888.6775</v>
      </c>
      <c r="C1013" s="1" t="n">
        <v>45894</v>
      </c>
      <c r="D1013" t="inlineStr">
        <is>
          <t>JÄMTLANDS LÄN</t>
        </is>
      </c>
      <c r="E1013" t="inlineStr">
        <is>
          <t>RAGUNDA</t>
        </is>
      </c>
      <c r="F1013" t="inlineStr">
        <is>
          <t>Naturvårdsverket</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4615-2023</t>
        </is>
      </c>
      <c r="B1014" s="1" t="n">
        <v>44956.93924768519</v>
      </c>
      <c r="C1014" s="1" t="n">
        <v>45894</v>
      </c>
      <c r="D1014" t="inlineStr">
        <is>
          <t>JÄMTLANDS LÄN</t>
        </is>
      </c>
      <c r="E1014" t="inlineStr">
        <is>
          <t>RAGUNDA</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30826-2023</t>
        </is>
      </c>
      <c r="B1015" s="1" t="n">
        <v>45112</v>
      </c>
      <c r="C1015" s="1" t="n">
        <v>45894</v>
      </c>
      <c r="D1015" t="inlineStr">
        <is>
          <t>JÄMTLANDS LÄN</t>
        </is>
      </c>
      <c r="E1015" t="inlineStr">
        <is>
          <t>RAGUNDA</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5938-2025</t>
        </is>
      </c>
      <c r="B1016" s="1" t="n">
        <v>45695.45868055556</v>
      </c>
      <c r="C1016" s="1" t="n">
        <v>45894</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53263-2024</t>
        </is>
      </c>
      <c r="B1017" s="1" t="n">
        <v>45614.34541666666</v>
      </c>
      <c r="C1017" s="1" t="n">
        <v>45894</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34468-2025</t>
        </is>
      </c>
      <c r="B1018" s="1" t="n">
        <v>45847.34597222223</v>
      </c>
      <c r="C1018" s="1" t="n">
        <v>45894</v>
      </c>
      <c r="D1018" t="inlineStr">
        <is>
          <t>JÄMTLANDS LÄN</t>
        </is>
      </c>
      <c r="E1018" t="inlineStr">
        <is>
          <t>RAGUNDA</t>
        </is>
      </c>
      <c r="F1018" t="inlineStr">
        <is>
          <t>SCA</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4125-2024</t>
        </is>
      </c>
      <c r="B1019" s="1" t="n">
        <v>45323</v>
      </c>
      <c r="C1019" s="1" t="n">
        <v>45894</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34466-2025</t>
        </is>
      </c>
      <c r="B1020" s="1" t="n">
        <v>45847.34565972222</v>
      </c>
      <c r="C1020" s="1" t="n">
        <v>45894</v>
      </c>
      <c r="D1020" t="inlineStr">
        <is>
          <t>JÄMTLANDS LÄN</t>
        </is>
      </c>
      <c r="E1020" t="inlineStr">
        <is>
          <t>RAGUNDA</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53549-2024</t>
        </is>
      </c>
      <c r="B1021" s="1" t="n">
        <v>45614.63869212963</v>
      </c>
      <c r="C1021" s="1" t="n">
        <v>45894</v>
      </c>
      <c r="D1021" t="inlineStr">
        <is>
          <t>JÄMTLANDS LÄN</t>
        </is>
      </c>
      <c r="E1021" t="inlineStr">
        <is>
          <t>RAGUNDA</t>
        </is>
      </c>
      <c r="F1021" t="inlineStr">
        <is>
          <t>Kyrkan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34463-2025</t>
        </is>
      </c>
      <c r="B1022" s="1" t="n">
        <v>45847.34515046296</v>
      </c>
      <c r="C1022" s="1" t="n">
        <v>45894</v>
      </c>
      <c r="D1022" t="inlineStr">
        <is>
          <t>JÄMTLANDS LÄN</t>
        </is>
      </c>
      <c r="E1022" t="inlineStr">
        <is>
          <t>RAGUNDA</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39384-2025</t>
        </is>
      </c>
      <c r="B1023" s="1" t="n">
        <v>45889.61517361111</v>
      </c>
      <c r="C1023" s="1" t="n">
        <v>45894</v>
      </c>
      <c r="D1023" t="inlineStr">
        <is>
          <t>JÄMTLANDS LÄN</t>
        </is>
      </c>
      <c r="E1023" t="inlineStr">
        <is>
          <t>RAGUNDA</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26645-2024</t>
        </is>
      </c>
      <c r="B1024" s="1" t="n">
        <v>45469.94667824074</v>
      </c>
      <c r="C1024" s="1" t="n">
        <v>45894</v>
      </c>
      <c r="D1024" t="inlineStr">
        <is>
          <t>JÄMTLANDS LÄN</t>
        </is>
      </c>
      <c r="E1024" t="inlineStr">
        <is>
          <t>RAGUNDA</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893-2025</t>
        </is>
      </c>
      <c r="B1025" s="1" t="n">
        <v>45665.65684027778</v>
      </c>
      <c r="C1025" s="1" t="n">
        <v>45894</v>
      </c>
      <c r="D1025" t="inlineStr">
        <is>
          <t>JÄMTLANDS LÄN</t>
        </is>
      </c>
      <c r="E1025" t="inlineStr">
        <is>
          <t>RAGUNDA</t>
        </is>
      </c>
      <c r="F1025" t="inlineStr">
        <is>
          <t>SCA</t>
        </is>
      </c>
      <c r="G1025" t="n">
        <v>45.1</v>
      </c>
      <c r="H1025" t="n">
        <v>0</v>
      </c>
      <c r="I1025" t="n">
        <v>0</v>
      </c>
      <c r="J1025" t="n">
        <v>0</v>
      </c>
      <c r="K1025" t="n">
        <v>0</v>
      </c>
      <c r="L1025" t="n">
        <v>0</v>
      </c>
      <c r="M1025" t="n">
        <v>0</v>
      </c>
      <c r="N1025" t="n">
        <v>0</v>
      </c>
      <c r="O1025" t="n">
        <v>0</v>
      </c>
      <c r="P1025" t="n">
        <v>0</v>
      </c>
      <c r="Q1025" t="n">
        <v>0</v>
      </c>
      <c r="R1025" s="2" t="inlineStr"/>
    </row>
    <row r="1026" ht="15" customHeight="1">
      <c r="A1026" t="inlineStr">
        <is>
          <t>A 31135-2023</t>
        </is>
      </c>
      <c r="B1026" s="1" t="n">
        <v>45103</v>
      </c>
      <c r="C1026" s="1" t="n">
        <v>45894</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7284-2025</t>
        </is>
      </c>
      <c r="B1027" s="1" t="n">
        <v>45702.63604166666</v>
      </c>
      <c r="C1027" s="1" t="n">
        <v>45894</v>
      </c>
      <c r="D1027" t="inlineStr">
        <is>
          <t>JÄMTLANDS LÄN</t>
        </is>
      </c>
      <c r="E1027" t="inlineStr">
        <is>
          <t>RAGUNDA</t>
        </is>
      </c>
      <c r="F1027" t="inlineStr">
        <is>
          <t>SCA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31506-2024</t>
        </is>
      </c>
      <c r="B1028" s="1" t="n">
        <v>45505</v>
      </c>
      <c r="C1028" s="1" t="n">
        <v>45894</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34586-2025</t>
        </is>
      </c>
      <c r="B1029" s="1" t="n">
        <v>45847.61513888889</v>
      </c>
      <c r="C1029" s="1" t="n">
        <v>45894</v>
      </c>
      <c r="D1029" t="inlineStr">
        <is>
          <t>JÄMTLANDS LÄN</t>
        </is>
      </c>
      <c r="E1029" t="inlineStr">
        <is>
          <t>RAGUNDA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19382-2025</t>
        </is>
      </c>
      <c r="B1030" s="1" t="n">
        <v>45769.65659722222</v>
      </c>
      <c r="C1030" s="1" t="n">
        <v>45894</v>
      </c>
      <c r="D1030" t="inlineStr">
        <is>
          <t>JÄMTLANDS LÄN</t>
        </is>
      </c>
      <c r="E1030" t="inlineStr">
        <is>
          <t>RAGUNDA</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34588-2025</t>
        </is>
      </c>
      <c r="B1031" s="1" t="n">
        <v>45847.61548611111</v>
      </c>
      <c r="C1031" s="1" t="n">
        <v>45894</v>
      </c>
      <c r="D1031" t="inlineStr">
        <is>
          <t>JÄMTLANDS LÄN</t>
        </is>
      </c>
      <c r="E1031" t="inlineStr">
        <is>
          <t>RAGUNDA</t>
        </is>
      </c>
      <c r="G1031" t="n">
        <v>32.3</v>
      </c>
      <c r="H1031" t="n">
        <v>0</v>
      </c>
      <c r="I1031" t="n">
        <v>0</v>
      </c>
      <c r="J1031" t="n">
        <v>0</v>
      </c>
      <c r="K1031" t="n">
        <v>0</v>
      </c>
      <c r="L1031" t="n">
        <v>0</v>
      </c>
      <c r="M1031" t="n">
        <v>0</v>
      </c>
      <c r="N1031" t="n">
        <v>0</v>
      </c>
      <c r="O1031" t="n">
        <v>0</v>
      </c>
      <c r="P1031" t="n">
        <v>0</v>
      </c>
      <c r="Q1031" t="n">
        <v>0</v>
      </c>
      <c r="R1031" s="2" t="inlineStr"/>
    </row>
    <row r="1032" ht="15" customHeight="1">
      <c r="A1032" t="inlineStr">
        <is>
          <t>A 34296-2025</t>
        </is>
      </c>
      <c r="B1032" s="1" t="n">
        <v>45846.34454861111</v>
      </c>
      <c r="C1032" s="1" t="n">
        <v>45894</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37479-2023</t>
        </is>
      </c>
      <c r="B1033" s="1" t="n">
        <v>45156</v>
      </c>
      <c r="C1033" s="1" t="n">
        <v>45894</v>
      </c>
      <c r="D1033" t="inlineStr">
        <is>
          <t>JÄMTLANDS LÄN</t>
        </is>
      </c>
      <c r="E1033" t="inlineStr">
        <is>
          <t>RAGUNDA</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5958-2021</t>
        </is>
      </c>
      <c r="B1034" s="1" t="n">
        <v>44231</v>
      </c>
      <c r="C1034" s="1" t="n">
        <v>45894</v>
      </c>
      <c r="D1034" t="inlineStr">
        <is>
          <t>JÄMTLANDS LÄN</t>
        </is>
      </c>
      <c r="E1034" t="inlineStr">
        <is>
          <t>RAGUNDA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45894</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1809-2025</t>
        </is>
      </c>
      <c r="B1036" s="1" t="n">
        <v>45671.48989583334</v>
      </c>
      <c r="C1036" s="1" t="n">
        <v>45894</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34772-2025</t>
        </is>
      </c>
      <c r="B1037" s="1" t="n">
        <v>45848.65658564815</v>
      </c>
      <c r="C1037" s="1" t="n">
        <v>45894</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4866-2025</t>
        </is>
      </c>
      <c r="B1038" s="1" t="n">
        <v>45688.67542824074</v>
      </c>
      <c r="C1038" s="1" t="n">
        <v>45894</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43132-2023</t>
        </is>
      </c>
      <c r="B1039" s="1" t="n">
        <v>45182</v>
      </c>
      <c r="C1039" s="1" t="n">
        <v>45894</v>
      </c>
      <c r="D1039" t="inlineStr">
        <is>
          <t>JÄMTLANDS LÄN</t>
        </is>
      </c>
      <c r="E1039" t="inlineStr">
        <is>
          <t>RAGUNDA</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34710-2025</t>
        </is>
      </c>
      <c r="B1040" s="1" t="n">
        <v>45848.49774305556</v>
      </c>
      <c r="C1040" s="1" t="n">
        <v>45894</v>
      </c>
      <c r="D1040" t="inlineStr">
        <is>
          <t>JÄMTLANDS LÄN</t>
        </is>
      </c>
      <c r="E1040" t="inlineStr">
        <is>
          <t>RAGUNDA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11780-2024</t>
        </is>
      </c>
      <c r="B1041" s="1" t="n">
        <v>45374</v>
      </c>
      <c r="C1041" s="1" t="n">
        <v>45894</v>
      </c>
      <c r="D1041" t="inlineStr">
        <is>
          <t>JÄMTLANDS LÄN</t>
        </is>
      </c>
      <c r="E1041" t="inlineStr">
        <is>
          <t>RAGUNDA</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34968-2025</t>
        </is>
      </c>
      <c r="B1042" s="1" t="n">
        <v>45849.65663194445</v>
      </c>
      <c r="C1042" s="1" t="n">
        <v>45894</v>
      </c>
      <c r="D1042" t="inlineStr">
        <is>
          <t>JÄMTLANDS LÄN</t>
        </is>
      </c>
      <c r="E1042" t="inlineStr">
        <is>
          <t>RAGUNDA</t>
        </is>
      </c>
      <c r="F1042" t="inlineStr">
        <is>
          <t>SCA</t>
        </is>
      </c>
      <c r="G1042" t="n">
        <v>20.2</v>
      </c>
      <c r="H1042" t="n">
        <v>0</v>
      </c>
      <c r="I1042" t="n">
        <v>0</v>
      </c>
      <c r="J1042" t="n">
        <v>0</v>
      </c>
      <c r="K1042" t="n">
        <v>0</v>
      </c>
      <c r="L1042" t="n">
        <v>0</v>
      </c>
      <c r="M1042" t="n">
        <v>0</v>
      </c>
      <c r="N1042" t="n">
        <v>0</v>
      </c>
      <c r="O1042" t="n">
        <v>0</v>
      </c>
      <c r="P1042" t="n">
        <v>0</v>
      </c>
      <c r="Q1042" t="n">
        <v>0</v>
      </c>
      <c r="R1042" s="2" t="inlineStr"/>
    </row>
    <row r="1043" ht="15" customHeight="1">
      <c r="A1043" t="inlineStr">
        <is>
          <t>A 56284-2023</t>
        </is>
      </c>
      <c r="B1043" s="1" t="n">
        <v>45241.95724537037</v>
      </c>
      <c r="C1043" s="1" t="n">
        <v>45894</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11288-2022</t>
        </is>
      </c>
      <c r="B1044" s="1" t="n">
        <v>44629</v>
      </c>
      <c r="C1044" s="1" t="n">
        <v>45894</v>
      </c>
      <c r="D1044" t="inlineStr">
        <is>
          <t>JÄMTLANDS LÄN</t>
        </is>
      </c>
      <c r="E1044" t="inlineStr">
        <is>
          <t>RAGUNDA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18984-2023</t>
        </is>
      </c>
      <c r="B1045" s="1" t="n">
        <v>45044</v>
      </c>
      <c r="C1045" s="1" t="n">
        <v>45894</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66011-2021</t>
        </is>
      </c>
      <c r="B1046" s="1" t="n">
        <v>44517.58137731482</v>
      </c>
      <c r="C1046" s="1" t="n">
        <v>45894</v>
      </c>
      <c r="D1046" t="inlineStr">
        <is>
          <t>JÄMTLANDS LÄN</t>
        </is>
      </c>
      <c r="E1046" t="inlineStr">
        <is>
          <t>RAGUNDA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42509-2023</t>
        </is>
      </c>
      <c r="B1047" s="1" t="n">
        <v>45180</v>
      </c>
      <c r="C1047" s="1" t="n">
        <v>45894</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33615-2023</t>
        </is>
      </c>
      <c r="B1048" s="1" t="n">
        <v>45119</v>
      </c>
      <c r="C1048" s="1" t="n">
        <v>45894</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42510-2023</t>
        </is>
      </c>
      <c r="B1049" s="1" t="n">
        <v>45180.95927083334</v>
      </c>
      <c r="C1049" s="1" t="n">
        <v>45894</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61045-2022</t>
        </is>
      </c>
      <c r="B1050" s="1" t="n">
        <v>44914</v>
      </c>
      <c r="C1050" s="1" t="n">
        <v>45894</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19401-2025</t>
        </is>
      </c>
      <c r="B1051" s="1" t="n">
        <v>45769.67767361111</v>
      </c>
      <c r="C1051" s="1" t="n">
        <v>45894</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53860-2023</t>
        </is>
      </c>
      <c r="B1052" s="1" t="n">
        <v>45224</v>
      </c>
      <c r="C1052" s="1" t="n">
        <v>45894</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65898-2020</t>
        </is>
      </c>
      <c r="B1053" s="1" t="n">
        <v>44174</v>
      </c>
      <c r="C1053" s="1" t="n">
        <v>45894</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61197-2023</t>
        </is>
      </c>
      <c r="B1054" s="1" t="n">
        <v>45260</v>
      </c>
      <c r="C1054" s="1" t="n">
        <v>45894</v>
      </c>
      <c r="D1054" t="inlineStr">
        <is>
          <t>JÄMTLANDS LÄN</t>
        </is>
      </c>
      <c r="E1054" t="inlineStr">
        <is>
          <t>RAGUNDA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13263-2025</t>
        </is>
      </c>
      <c r="B1055" s="1" t="n">
        <v>45735.53177083333</v>
      </c>
      <c r="C1055" s="1" t="n">
        <v>45894</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12039-2023</t>
        </is>
      </c>
      <c r="B1056" s="1" t="n">
        <v>44995.98341435185</v>
      </c>
      <c r="C1056" s="1" t="n">
        <v>45894</v>
      </c>
      <c r="D1056" t="inlineStr">
        <is>
          <t>JÄMTLANDS LÄN</t>
        </is>
      </c>
      <c r="E1056" t="inlineStr">
        <is>
          <t>RAGUNDA</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48066-2022</t>
        </is>
      </c>
      <c r="B1057" s="1" t="n">
        <v>44855</v>
      </c>
      <c r="C1057" s="1" t="n">
        <v>45894</v>
      </c>
      <c r="D1057" t="inlineStr">
        <is>
          <t>JÄMTLANDS LÄN</t>
        </is>
      </c>
      <c r="E1057" t="inlineStr">
        <is>
          <t>RAGUNDA</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26991-2023</t>
        </is>
      </c>
      <c r="B1058" s="1" t="n">
        <v>45093.92207175926</v>
      </c>
      <c r="C1058" s="1" t="n">
        <v>45894</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64415-2023</t>
        </is>
      </c>
      <c r="B1059" s="1" t="n">
        <v>45280</v>
      </c>
      <c r="C1059" s="1" t="n">
        <v>45894</v>
      </c>
      <c r="D1059" t="inlineStr">
        <is>
          <t>JÄMTLANDS LÄN</t>
        </is>
      </c>
      <c r="E1059" t="inlineStr">
        <is>
          <t>RAGUNDA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60225-2022</t>
        </is>
      </c>
      <c r="B1060" s="1" t="n">
        <v>44903</v>
      </c>
      <c r="C1060" s="1" t="n">
        <v>45894</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15864-2024</t>
        </is>
      </c>
      <c r="B1061" s="1" t="n">
        <v>45404.99792824074</v>
      </c>
      <c r="C1061" s="1" t="n">
        <v>45894</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c r="U1061">
        <f>HYPERLINK("https://klasma.github.io/Logging_2303/knärot/A 15864-2024 karta knärot.png", "A 15864-2024")</f>
        <v/>
      </c>
      <c r="V1061">
        <f>HYPERLINK("https://klasma.github.io/Logging_2303/klagomål/A 15864-2024 FSC-klagomål.docx", "A 15864-2024")</f>
        <v/>
      </c>
      <c r="W1061">
        <f>HYPERLINK("https://klasma.github.io/Logging_2303/klagomålsmail/A 15864-2024 FSC-klagomål mail.docx", "A 15864-2024")</f>
        <v/>
      </c>
      <c r="X1061">
        <f>HYPERLINK("https://klasma.github.io/Logging_2303/tillsyn/A 15864-2024 tillsynsbegäran.docx", "A 15864-2024")</f>
        <v/>
      </c>
      <c r="Y1061">
        <f>HYPERLINK("https://klasma.github.io/Logging_2303/tillsynsmail/A 15864-2024 tillsynsbegäran mail.docx", "A 15864-2024")</f>
        <v/>
      </c>
    </row>
    <row r="1062" ht="15" customHeight="1">
      <c r="A1062" t="inlineStr">
        <is>
          <t>A 13302-2022</t>
        </is>
      </c>
      <c r="B1062" s="1" t="n">
        <v>44644</v>
      </c>
      <c r="C1062" s="1" t="n">
        <v>45894</v>
      </c>
      <c r="D1062" t="inlineStr">
        <is>
          <t>JÄMTLANDS LÄN</t>
        </is>
      </c>
      <c r="E1062" t="inlineStr">
        <is>
          <t>RAGUNDA</t>
        </is>
      </c>
      <c r="F1062" t="inlineStr">
        <is>
          <t>SCA</t>
        </is>
      </c>
      <c r="G1062" t="n">
        <v>35.6</v>
      </c>
      <c r="H1062" t="n">
        <v>0</v>
      </c>
      <c r="I1062" t="n">
        <v>0</v>
      </c>
      <c r="J1062" t="n">
        <v>0</v>
      </c>
      <c r="K1062" t="n">
        <v>0</v>
      </c>
      <c r="L1062" t="n">
        <v>0</v>
      </c>
      <c r="M1062" t="n">
        <v>0</v>
      </c>
      <c r="N1062" t="n">
        <v>0</v>
      </c>
      <c r="O1062" t="n">
        <v>0</v>
      </c>
      <c r="P1062" t="n">
        <v>0</v>
      </c>
      <c r="Q1062" t="n">
        <v>0</v>
      </c>
      <c r="R1062" s="2" t="inlineStr"/>
    </row>
    <row r="1063" ht="15" customHeight="1">
      <c r="A1063" t="inlineStr">
        <is>
          <t>A 26651-2024</t>
        </is>
      </c>
      <c r="B1063" s="1" t="n">
        <v>45469.94876157407</v>
      </c>
      <c r="C1063" s="1" t="n">
        <v>45894</v>
      </c>
      <c r="D1063" t="inlineStr">
        <is>
          <t>JÄMTLANDS LÄN</t>
        </is>
      </c>
      <c r="E1063" t="inlineStr">
        <is>
          <t>RAGUNDA</t>
        </is>
      </c>
      <c r="F1063" t="inlineStr">
        <is>
          <t>SCA</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45894</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24280-2021</t>
        </is>
      </c>
      <c r="B1065" s="1" t="n">
        <v>44336</v>
      </c>
      <c r="C1065" s="1" t="n">
        <v>45894</v>
      </c>
      <c r="D1065" t="inlineStr">
        <is>
          <t>JÄMTLANDS LÄN</t>
        </is>
      </c>
      <c r="E1065" t="inlineStr">
        <is>
          <t>RAGUNDA</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40919-2024</t>
        </is>
      </c>
      <c r="B1066" s="1" t="n">
        <v>45558.63575231482</v>
      </c>
      <c r="C1066" s="1" t="n">
        <v>45894</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3186-2025</t>
        </is>
      </c>
      <c r="B1067" s="1" t="n">
        <v>45679.40362268518</v>
      </c>
      <c r="C1067" s="1" t="n">
        <v>45894</v>
      </c>
      <c r="D1067" t="inlineStr">
        <is>
          <t>JÄMTLANDS LÄN</t>
        </is>
      </c>
      <c r="E1067" t="inlineStr">
        <is>
          <t>RAGUNDA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8886-2024</t>
        </is>
      </c>
      <c r="B1068" s="1" t="n">
        <v>45357.05300925926</v>
      </c>
      <c r="C1068" s="1" t="n">
        <v>45894</v>
      </c>
      <c r="D1068" t="inlineStr">
        <is>
          <t>JÄMTLANDS LÄN</t>
        </is>
      </c>
      <c r="E1068" t="inlineStr">
        <is>
          <t>RAGUNDA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465-2023</t>
        </is>
      </c>
      <c r="B1069" s="1" t="n">
        <v>44929</v>
      </c>
      <c r="C1069" s="1" t="n">
        <v>45894</v>
      </c>
      <c r="D1069" t="inlineStr">
        <is>
          <t>JÄMTLANDS LÄN</t>
        </is>
      </c>
      <c r="E1069" t="inlineStr">
        <is>
          <t>RAGUNDA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28596-2021</t>
        </is>
      </c>
      <c r="B1070" s="1" t="n">
        <v>44356</v>
      </c>
      <c r="C1070" s="1" t="n">
        <v>45894</v>
      </c>
      <c r="D1070" t="inlineStr">
        <is>
          <t>JÄMTLANDS LÄN</t>
        </is>
      </c>
      <c r="E1070" t="inlineStr">
        <is>
          <t>RAGUNDA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45894</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10639-2024</t>
        </is>
      </c>
      <c r="B1072" s="1" t="n">
        <v>45367.67256944445</v>
      </c>
      <c r="C1072" s="1" t="n">
        <v>45894</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2751-2024</t>
        </is>
      </c>
      <c r="B1073" s="1" t="n">
        <v>45314</v>
      </c>
      <c r="C1073" s="1" t="n">
        <v>45894</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11058-2025</t>
        </is>
      </c>
      <c r="B1074" s="1" t="n">
        <v>45723.51079861111</v>
      </c>
      <c r="C1074" s="1" t="n">
        <v>45894</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36317-2024</t>
        </is>
      </c>
      <c r="B1075" s="1" t="n">
        <v>45534.63537037037</v>
      </c>
      <c r="C1075" s="1" t="n">
        <v>45894</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18614-2024</t>
        </is>
      </c>
      <c r="B1076" s="1" t="n">
        <v>45425.96263888889</v>
      </c>
      <c r="C1076" s="1" t="n">
        <v>45894</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38664-2022</t>
        </is>
      </c>
      <c r="B1077" s="1" t="n">
        <v>44813</v>
      </c>
      <c r="C1077" s="1" t="n">
        <v>45894</v>
      </c>
      <c r="D1077" t="inlineStr">
        <is>
          <t>JÄMTLANDS LÄN</t>
        </is>
      </c>
      <c r="E1077" t="inlineStr">
        <is>
          <t>RAGUNDA</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8787-2022</t>
        </is>
      </c>
      <c r="B1078" s="1" t="n">
        <v>44614</v>
      </c>
      <c r="C1078" s="1" t="n">
        <v>45894</v>
      </c>
      <c r="D1078" t="inlineStr">
        <is>
          <t>JÄMTLANDS LÄN</t>
        </is>
      </c>
      <c r="E1078" t="inlineStr">
        <is>
          <t>RAGUNDA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5967-2021</t>
        </is>
      </c>
      <c r="B1079" s="1" t="n">
        <v>44231</v>
      </c>
      <c r="C1079" s="1" t="n">
        <v>45894</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50431-2024</t>
        </is>
      </c>
      <c r="B1080" s="1" t="n">
        <v>45601.40686342592</v>
      </c>
      <c r="C1080" s="1" t="n">
        <v>45894</v>
      </c>
      <c r="D1080" t="inlineStr">
        <is>
          <t>JÄMTLANDS LÄN</t>
        </is>
      </c>
      <c r="E1080" t="inlineStr">
        <is>
          <t>RAGUNDA</t>
        </is>
      </c>
      <c r="F1080" t="inlineStr">
        <is>
          <t>SCA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24441-2024</t>
        </is>
      </c>
      <c r="B1081" s="1" t="n">
        <v>45457.96372685185</v>
      </c>
      <c r="C1081" s="1" t="n">
        <v>45894</v>
      </c>
      <c r="D1081" t="inlineStr">
        <is>
          <t>JÄMTLANDS LÄN</t>
        </is>
      </c>
      <c r="E1081" t="inlineStr">
        <is>
          <t>RAGUNDA</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40801-2023</t>
        </is>
      </c>
      <c r="B1082" s="1" t="n">
        <v>45170</v>
      </c>
      <c r="C1082" s="1" t="n">
        <v>45894</v>
      </c>
      <c r="D1082" t="inlineStr">
        <is>
          <t>JÄMTLANDS LÄN</t>
        </is>
      </c>
      <c r="E1082" t="inlineStr">
        <is>
          <t>RAGUNDA</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60936-2024</t>
        </is>
      </c>
      <c r="B1083" s="1" t="n">
        <v>45645.36743055555</v>
      </c>
      <c r="C1083" s="1" t="n">
        <v>45894</v>
      </c>
      <c r="D1083" t="inlineStr">
        <is>
          <t>JÄMTLANDS LÄN</t>
        </is>
      </c>
      <c r="E1083" t="inlineStr">
        <is>
          <t>RAGUNDA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48065-2023</t>
        </is>
      </c>
      <c r="B1084" s="1" t="n">
        <v>45204.94399305555</v>
      </c>
      <c r="C1084" s="1" t="n">
        <v>45894</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4592-2024</t>
        </is>
      </c>
      <c r="B1085" s="1" t="n">
        <v>45327.94443287037</v>
      </c>
      <c r="C1085" s="1" t="n">
        <v>45894</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60195-2023</t>
        </is>
      </c>
      <c r="B1086" s="1" t="n">
        <v>45257</v>
      </c>
      <c r="C1086" s="1" t="n">
        <v>45894</v>
      </c>
      <c r="D1086" t="inlineStr">
        <is>
          <t>JÄMTLANDS LÄN</t>
        </is>
      </c>
      <c r="E1086" t="inlineStr">
        <is>
          <t>RAGUNDA</t>
        </is>
      </c>
      <c r="G1086" t="n">
        <v>1.7</v>
      </c>
      <c r="H1086" t="n">
        <v>0</v>
      </c>
      <c r="I1086" t="n">
        <v>0</v>
      </c>
      <c r="J1086" t="n">
        <v>0</v>
      </c>
      <c r="K1086" t="n">
        <v>0</v>
      </c>
      <c r="L1086" t="n">
        <v>0</v>
      </c>
      <c r="M1086" t="n">
        <v>0</v>
      </c>
      <c r="N1086" t="n">
        <v>0</v>
      </c>
      <c r="O1086" t="n">
        <v>0</v>
      </c>
      <c r="P1086" t="n">
        <v>0</v>
      </c>
      <c r="Q1086" t="n">
        <v>0</v>
      </c>
      <c r="R1086" s="2" t="inlineStr"/>
    </row>
    <row r="1087">
      <c r="A1087" t="inlineStr">
        <is>
          <t>A 22981-2023</t>
        </is>
      </c>
      <c r="B1087" s="1" t="n">
        <v>45072.92737268518</v>
      </c>
      <c r="C1087" s="1" t="n">
        <v>45894</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2025-08-25T08:31:11Z</dcterms:created>
  <dcterms:modified xmlns:dcterms="http://purl.org/dc/terms/" xmlns:xsi="http://www.w3.org/2001/XMLSchema-instance" xsi:type="dcterms:W3CDTF">2025-08-25T08:31:12Z</dcterms:modified>
</cp:coreProperties>
</file>