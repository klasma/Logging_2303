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45941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45941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45941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45941</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45941</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45941</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45941</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45941</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45941</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45941</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45941</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45941</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45941</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45941</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45941</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45941</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45941</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45941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45941</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45941</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45941</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59762-2024</t>
        </is>
      </c>
      <c r="B23" s="1" t="n">
        <v>45639.55269675926</v>
      </c>
      <c r="C23" s="1" t="n">
        <v>45941</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45941</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45941</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43107-2023</t>
        </is>
      </c>
      <c r="B26" s="1" t="n">
        <v>45182</v>
      </c>
      <c r="C26" s="1" t="n">
        <v>45941</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45482.63819444444</v>
      </c>
      <c r="C27" s="1" t="n">
        <v>45941</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21213-2025</t>
        </is>
      </c>
      <c r="B28" s="1" t="n">
        <v>45779.49012731481</v>
      </c>
      <c r="C28" s="1" t="n">
        <v>45941</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19727-2025</t>
        </is>
      </c>
      <c r="B29" s="1" t="n">
        <v>45771.36538194444</v>
      </c>
      <c r="C29" s="1" t="n">
        <v>45941</v>
      </c>
      <c r="D29" t="inlineStr">
        <is>
          <t>JÄMTLANDS LÄN</t>
        </is>
      </c>
      <c r="E29" t="inlineStr">
        <is>
          <t>RAGUNDA</t>
        </is>
      </c>
      <c r="F29" t="inlineStr">
        <is>
          <t>SCA</t>
        </is>
      </c>
      <c r="G29" t="n">
        <v>9</v>
      </c>
      <c r="H29" t="n">
        <v>1</v>
      </c>
      <c r="I29" t="n">
        <v>2</v>
      </c>
      <c r="J29" t="n">
        <v>7</v>
      </c>
      <c r="K29" t="n">
        <v>3</v>
      </c>
      <c r="L29" t="n">
        <v>0</v>
      </c>
      <c r="M29" t="n">
        <v>0</v>
      </c>
      <c r="N29" t="n">
        <v>0</v>
      </c>
      <c r="O29" t="n">
        <v>10</v>
      </c>
      <c r="P29" t="n">
        <v>3</v>
      </c>
      <c r="Q29" t="n">
        <v>12</v>
      </c>
      <c r="R29" s="2" t="inlineStr">
        <is>
          <t>Knärot
Lappticka
Rynkskinn
Gammelgransskål
Garnlav
Granticka
Lunglav
Rosenticka
Ullticka
Vitgrynig nållav
Barkkornlav
Bårdlav</t>
        </is>
      </c>
      <c r="S29">
        <f>HYPERLINK("https://klasma.github.io/Logging_2303/artfynd/A 19727-2025 artfynd.xlsx", "A 19727-2025")</f>
        <v/>
      </c>
      <c r="T29">
        <f>HYPERLINK("https://klasma.github.io/Logging_2303/kartor/A 19727-2025 karta.png", "A 19727-2025")</f>
        <v/>
      </c>
      <c r="U29">
        <f>HYPERLINK("https://klasma.github.io/Logging_2303/knärot/A 19727-2025 karta knärot.png", "A 19727-2025")</f>
        <v/>
      </c>
      <c r="V29">
        <f>HYPERLINK("https://klasma.github.io/Logging_2303/klagomål/A 19727-2025 FSC-klagomål.docx", "A 19727-2025")</f>
        <v/>
      </c>
      <c r="W29">
        <f>HYPERLINK("https://klasma.github.io/Logging_2303/klagomålsmail/A 19727-2025 FSC-klagomål mail.docx", "A 19727-2025")</f>
        <v/>
      </c>
      <c r="X29">
        <f>HYPERLINK("https://klasma.github.io/Logging_2303/tillsyn/A 19727-2025 tillsynsbegäran.docx", "A 19727-2025")</f>
        <v/>
      </c>
      <c r="Y29">
        <f>HYPERLINK("https://klasma.github.io/Logging_2303/tillsynsmail/A 19727-2025 tillsynsbegäran mail.docx", "A 19727-2025")</f>
        <v/>
      </c>
    </row>
    <row r="30" ht="15" customHeight="1">
      <c r="A30" t="inlineStr">
        <is>
          <t>A 31197-2023</t>
        </is>
      </c>
      <c r="B30" s="1" t="n">
        <v>45113</v>
      </c>
      <c r="C30" s="1" t="n">
        <v>45941</v>
      </c>
      <c r="D30" t="inlineStr">
        <is>
          <t>JÄMTLANDS LÄN</t>
        </is>
      </c>
      <c r="E30" t="inlineStr">
        <is>
          <t>RAGUNDA</t>
        </is>
      </c>
      <c r="F30" t="inlineStr">
        <is>
          <t>SCA</t>
        </is>
      </c>
      <c r="G30" t="n">
        <v>4.6</v>
      </c>
      <c r="H30" t="n">
        <v>0</v>
      </c>
      <c r="I30" t="n">
        <v>2</v>
      </c>
      <c r="J30" t="n">
        <v>7</v>
      </c>
      <c r="K30" t="n">
        <v>3</v>
      </c>
      <c r="L30" t="n">
        <v>0</v>
      </c>
      <c r="M30" t="n">
        <v>0</v>
      </c>
      <c r="N30" t="n">
        <v>0</v>
      </c>
      <c r="O30" t="n">
        <v>10</v>
      </c>
      <c r="P30" t="n">
        <v>3</v>
      </c>
      <c r="Q30" t="n">
        <v>12</v>
      </c>
      <c r="R30" s="2" t="inlineStr">
        <is>
          <t>Gräddporing
Smalfotad taggsvamp
Tajgataggsvamp
Dvärgbägarlav
Garnlav
Lunglav
Nordtagging
Skrovlig taggsvamp
Vaddporing
Vedskivlav
Dropptaggsvamp
Skarp dropptaggsvamp</t>
        </is>
      </c>
      <c r="S30">
        <f>HYPERLINK("https://klasma.github.io/Logging_2303/artfynd/A 31197-2023 artfynd.xlsx", "A 31197-2023")</f>
        <v/>
      </c>
      <c r="T30">
        <f>HYPERLINK("https://klasma.github.io/Logging_2303/kartor/A 31197-2023 karta.png", "A 31197-2023")</f>
        <v/>
      </c>
      <c r="V30">
        <f>HYPERLINK("https://klasma.github.io/Logging_2303/klagomål/A 31197-2023 FSC-klagomål.docx", "A 31197-2023")</f>
        <v/>
      </c>
      <c r="W30">
        <f>HYPERLINK("https://klasma.github.io/Logging_2303/klagomålsmail/A 31197-2023 FSC-klagomål mail.docx", "A 31197-2023")</f>
        <v/>
      </c>
      <c r="X30">
        <f>HYPERLINK("https://klasma.github.io/Logging_2303/tillsyn/A 31197-2023 tillsynsbegäran.docx", "A 31197-2023")</f>
        <v/>
      </c>
      <c r="Y30">
        <f>HYPERLINK("https://klasma.github.io/Logging_2303/tillsynsmail/A 31197-2023 tillsynsbegäran mail.docx", "A 31197-2023")</f>
        <v/>
      </c>
    </row>
    <row r="31" ht="15" customHeight="1">
      <c r="A31" t="inlineStr">
        <is>
          <t>A 22986-2025</t>
        </is>
      </c>
      <c r="B31" s="1" t="n">
        <v>45790.57349537037</v>
      </c>
      <c r="C31" s="1" t="n">
        <v>45941</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31839-2022</t>
        </is>
      </c>
      <c r="B32" s="1" t="n">
        <v>44776</v>
      </c>
      <c r="C32" s="1" t="n">
        <v>45941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9347-2024</t>
        </is>
      </c>
      <c r="B33" s="1" t="n">
        <v>45358.99375</v>
      </c>
      <c r="C33" s="1" t="n">
        <v>45941</v>
      </c>
      <c r="D33" t="inlineStr">
        <is>
          <t>JÄMTLANDS LÄN</t>
        </is>
      </c>
      <c r="E33" t="inlineStr">
        <is>
          <t>RAGUNDA</t>
        </is>
      </c>
      <c r="F33" t="inlineStr">
        <is>
          <t>SCA</t>
        </is>
      </c>
      <c r="G33" t="n">
        <v>1.6</v>
      </c>
      <c r="H33" t="n">
        <v>2</v>
      </c>
      <c r="I33" t="n">
        <v>3</v>
      </c>
      <c r="J33" t="n">
        <v>6</v>
      </c>
      <c r="K33" t="n">
        <v>2</v>
      </c>
      <c r="L33" t="n">
        <v>0</v>
      </c>
      <c r="M33" t="n">
        <v>0</v>
      </c>
      <c r="N33" t="n">
        <v>0</v>
      </c>
      <c r="O33" t="n">
        <v>8</v>
      </c>
      <c r="P33" t="n">
        <v>2</v>
      </c>
      <c r="Q33" t="n">
        <v>11</v>
      </c>
      <c r="R33" s="2" t="inlineStr">
        <is>
          <t>Knärot
Rynkskinn
Garnlav
Gultoppig fingersvamp
Kolflarnlav
Mörk kolflarnlav
Rosenticka
Vedskivlav
Rödfläckig zontaggsvamp
Svavelriska
Tvåblad</t>
        </is>
      </c>
      <c r="S33">
        <f>HYPERLINK("https://klasma.github.io/Logging_2303/artfynd/A 9347-2024 artfynd.xlsx", "A 9347-2024")</f>
        <v/>
      </c>
      <c r="T33">
        <f>HYPERLINK("https://klasma.github.io/Logging_2303/kartor/A 9347-2024 karta.png", "A 9347-2024")</f>
        <v/>
      </c>
      <c r="U33">
        <f>HYPERLINK("https://klasma.github.io/Logging_2303/knärot/A 9347-2024 karta knärot.png", "A 9347-2024")</f>
        <v/>
      </c>
      <c r="V33">
        <f>HYPERLINK("https://klasma.github.io/Logging_2303/klagomål/A 9347-2024 FSC-klagomål.docx", "A 9347-2024")</f>
        <v/>
      </c>
      <c r="W33">
        <f>HYPERLINK("https://klasma.github.io/Logging_2303/klagomålsmail/A 9347-2024 FSC-klagomål mail.docx", "A 9347-2024")</f>
        <v/>
      </c>
      <c r="X33">
        <f>HYPERLINK("https://klasma.github.io/Logging_2303/tillsyn/A 9347-2024 tillsynsbegäran.docx", "A 9347-2024")</f>
        <v/>
      </c>
      <c r="Y33">
        <f>HYPERLINK("https://klasma.github.io/Logging_2303/tillsynsmail/A 9347-2024 tillsynsbegäran mail.docx", "A 9347-2024")</f>
        <v/>
      </c>
    </row>
    <row r="34" ht="15" customHeight="1">
      <c r="A34" t="inlineStr">
        <is>
          <t>A 32741-2025</t>
        </is>
      </c>
      <c r="B34" s="1" t="n">
        <v>45839.42482638889</v>
      </c>
      <c r="C34" s="1" t="n">
        <v>45941</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25632-2025</t>
        </is>
      </c>
      <c r="B35" s="1" t="n">
        <v>45803.59474537037</v>
      </c>
      <c r="C35" s="1" t="n">
        <v>45941</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36943-2022</t>
        </is>
      </c>
      <c r="B36" s="1" t="n">
        <v>44805</v>
      </c>
      <c r="C36" s="1" t="n">
        <v>45941</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13483-2022</t>
        </is>
      </c>
      <c r="B37" s="1" t="n">
        <v>44645.99859953704</v>
      </c>
      <c r="C37" s="1" t="n">
        <v>45941</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4591-2024</t>
        </is>
      </c>
      <c r="B38" s="1" t="n">
        <v>45327</v>
      </c>
      <c r="C38" s="1" t="n">
        <v>45941</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21244-2025</t>
        </is>
      </c>
      <c r="B39" s="1" t="n">
        <v>45779.57335648148</v>
      </c>
      <c r="C39" s="1" t="n">
        <v>45941</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55894-2022</t>
        </is>
      </c>
      <c r="B40" s="1" t="n">
        <v>44888</v>
      </c>
      <c r="C40" s="1" t="n">
        <v>45941</v>
      </c>
      <c r="D40" t="inlineStr">
        <is>
          <t>JÄMTLANDS LÄN</t>
        </is>
      </c>
      <c r="E40" t="inlineStr">
        <is>
          <t>RAGUNDA</t>
        </is>
      </c>
      <c r="F40" t="inlineStr">
        <is>
          <t>SCA</t>
        </is>
      </c>
      <c r="G40" t="n">
        <v>3.8</v>
      </c>
      <c r="H40" t="n">
        <v>2</v>
      </c>
      <c r="I40" t="n">
        <v>5</v>
      </c>
      <c r="J40" t="n">
        <v>4</v>
      </c>
      <c r="K40" t="n">
        <v>0</v>
      </c>
      <c r="L40" t="n">
        <v>0</v>
      </c>
      <c r="M40" t="n">
        <v>0</v>
      </c>
      <c r="N40" t="n">
        <v>0</v>
      </c>
      <c r="O40" t="n">
        <v>4</v>
      </c>
      <c r="P40" t="n">
        <v>0</v>
      </c>
      <c r="Q40" t="n">
        <v>10</v>
      </c>
      <c r="R40" s="2" t="inlineStr">
        <is>
          <t>Garnlav
Granticka
Lunglav
Spillkråka
Källmossa
Luddlav
Stuplav
Vedticka
Ögonpyrola
Revlummer</t>
        </is>
      </c>
      <c r="S40">
        <f>HYPERLINK("https://klasma.github.io/Logging_2303/artfynd/A 55894-2022 artfynd.xlsx", "A 55894-2022")</f>
        <v/>
      </c>
      <c r="T40">
        <f>HYPERLINK("https://klasma.github.io/Logging_2303/kartor/A 55894-2022 karta.png", "A 55894-2022")</f>
        <v/>
      </c>
      <c r="V40">
        <f>HYPERLINK("https://klasma.github.io/Logging_2303/klagomål/A 55894-2022 FSC-klagomål.docx", "A 55894-2022")</f>
        <v/>
      </c>
      <c r="W40">
        <f>HYPERLINK("https://klasma.github.io/Logging_2303/klagomålsmail/A 55894-2022 FSC-klagomål mail.docx", "A 55894-2022")</f>
        <v/>
      </c>
      <c r="X40">
        <f>HYPERLINK("https://klasma.github.io/Logging_2303/tillsyn/A 55894-2022 tillsynsbegäran.docx", "A 55894-2022")</f>
        <v/>
      </c>
      <c r="Y40">
        <f>HYPERLINK("https://klasma.github.io/Logging_2303/tillsynsmail/A 55894-2022 tillsynsbegäran mail.docx", "A 55894-2022")</f>
        <v/>
      </c>
      <c r="Z40">
        <f>HYPERLINK("https://klasma.github.io/Logging_2303/fåglar/A 55894-2022 prioriterade fågelarter.docx", "A 55894-2022")</f>
        <v/>
      </c>
    </row>
    <row r="41" ht="15" customHeight="1">
      <c r="A41" t="inlineStr">
        <is>
          <t>A 41412-2024</t>
        </is>
      </c>
      <c r="B41" s="1" t="n">
        <v>45560.34484953704</v>
      </c>
      <c r="C41" s="1" t="n">
        <v>45941</v>
      </c>
      <c r="D41" t="inlineStr">
        <is>
          <t>JÄMTLANDS LÄN</t>
        </is>
      </c>
      <c r="E41" t="inlineStr">
        <is>
          <t>RAGUNDA</t>
        </is>
      </c>
      <c r="F41" t="inlineStr">
        <is>
          <t>SCA</t>
        </is>
      </c>
      <c r="G41" t="n">
        <v>1.8</v>
      </c>
      <c r="H41" t="n">
        <v>1</v>
      </c>
      <c r="I41" t="n">
        <v>5</v>
      </c>
      <c r="J41" t="n">
        <v>4</v>
      </c>
      <c r="K41" t="n">
        <v>1</v>
      </c>
      <c r="L41" t="n">
        <v>0</v>
      </c>
      <c r="M41" t="n">
        <v>0</v>
      </c>
      <c r="N41" t="n">
        <v>0</v>
      </c>
      <c r="O41" t="n">
        <v>5</v>
      </c>
      <c r="P41" t="n">
        <v>1</v>
      </c>
      <c r="Q41" t="n">
        <v>10</v>
      </c>
      <c r="R41" s="2" t="inlineStr">
        <is>
          <t>Knärot
Garnlav
Lunglav
Rosenticka
Ullticka
Bårdlav
Korallblylav
Luddlav
Stuplav
Vedticka</t>
        </is>
      </c>
      <c r="S41">
        <f>HYPERLINK("https://klasma.github.io/Logging_2303/artfynd/A 41412-2024 artfynd.xlsx", "A 41412-2024")</f>
        <v/>
      </c>
      <c r="T41">
        <f>HYPERLINK("https://klasma.github.io/Logging_2303/kartor/A 41412-2024 karta.png", "A 41412-2024")</f>
        <v/>
      </c>
      <c r="U41">
        <f>HYPERLINK("https://klasma.github.io/Logging_2303/knärot/A 41412-2024 karta knärot.png", "A 41412-2024")</f>
        <v/>
      </c>
      <c r="V41">
        <f>HYPERLINK("https://klasma.github.io/Logging_2303/klagomål/A 41412-2024 FSC-klagomål.docx", "A 41412-2024")</f>
        <v/>
      </c>
      <c r="W41">
        <f>HYPERLINK("https://klasma.github.io/Logging_2303/klagomålsmail/A 41412-2024 FSC-klagomål mail.docx", "A 41412-2024")</f>
        <v/>
      </c>
      <c r="X41">
        <f>HYPERLINK("https://klasma.github.io/Logging_2303/tillsyn/A 41412-2024 tillsynsbegäran.docx", "A 41412-2024")</f>
        <v/>
      </c>
      <c r="Y41">
        <f>HYPERLINK("https://klasma.github.io/Logging_2303/tillsynsmail/A 41412-2024 tillsynsbegäran mail.docx", "A 41412-2024")</f>
        <v/>
      </c>
    </row>
    <row r="42" ht="15" customHeight="1">
      <c r="A42" t="inlineStr">
        <is>
          <t>A 10982-2025</t>
        </is>
      </c>
      <c r="B42" s="1" t="n">
        <v>45723.40688657408</v>
      </c>
      <c r="C42" s="1" t="n">
        <v>45941</v>
      </c>
      <c r="D42" t="inlineStr">
        <is>
          <t>JÄMTLANDS LÄN</t>
        </is>
      </c>
      <c r="E42" t="inlineStr">
        <is>
          <t>RAGUNDA</t>
        </is>
      </c>
      <c r="F42" t="inlineStr">
        <is>
          <t>SCA</t>
        </is>
      </c>
      <c r="G42" t="n">
        <v>6.4</v>
      </c>
      <c r="H42" t="n">
        <v>0</v>
      </c>
      <c r="I42" t="n">
        <v>7</v>
      </c>
      <c r="J42" t="n">
        <v>3</v>
      </c>
      <c r="K42" t="n">
        <v>0</v>
      </c>
      <c r="L42" t="n">
        <v>0</v>
      </c>
      <c r="M42" t="n">
        <v>0</v>
      </c>
      <c r="N42" t="n">
        <v>0</v>
      </c>
      <c r="O42" t="n">
        <v>3</v>
      </c>
      <c r="P42" t="n">
        <v>0</v>
      </c>
      <c r="Q42" t="n">
        <v>10</v>
      </c>
      <c r="R42" s="2" t="inlineStr">
        <is>
          <t>Blå taggsvamp
Orange taggsvamp
Skrovlig taggsvamp
Barrfagerspindling
Bårdlav
Dropptaggsvamp
Skarp dropptaggsvamp
Stuplav
Svart trolldruva
Tallfingersvamp</t>
        </is>
      </c>
      <c r="S42">
        <f>HYPERLINK("https://klasma.github.io/Logging_2303/artfynd/A 10982-2025 artfynd.xlsx", "A 10982-2025")</f>
        <v/>
      </c>
      <c r="T42">
        <f>HYPERLINK("https://klasma.github.io/Logging_2303/kartor/A 10982-2025 karta.png", "A 10982-2025")</f>
        <v/>
      </c>
      <c r="V42">
        <f>HYPERLINK("https://klasma.github.io/Logging_2303/klagomål/A 10982-2025 FSC-klagomål.docx", "A 10982-2025")</f>
        <v/>
      </c>
      <c r="W42">
        <f>HYPERLINK("https://klasma.github.io/Logging_2303/klagomålsmail/A 10982-2025 FSC-klagomål mail.docx", "A 10982-2025")</f>
        <v/>
      </c>
      <c r="X42">
        <f>HYPERLINK("https://klasma.github.io/Logging_2303/tillsyn/A 10982-2025 tillsynsbegäran.docx", "A 10982-2025")</f>
        <v/>
      </c>
      <c r="Y42">
        <f>HYPERLINK("https://klasma.github.io/Logging_2303/tillsynsmail/A 10982-2025 tillsynsbegäran mail.docx", "A 10982-2025")</f>
        <v/>
      </c>
    </row>
    <row r="43" ht="15" customHeight="1">
      <c r="A43" t="inlineStr">
        <is>
          <t>A 12372-2024</t>
        </is>
      </c>
      <c r="B43" s="1" t="n">
        <v>45378</v>
      </c>
      <c r="C43" s="1" t="n">
        <v>45941</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30876-2025</t>
        </is>
      </c>
      <c r="B44" s="1" t="n">
        <v>45832.34461805555</v>
      </c>
      <c r="C44" s="1" t="n">
        <v>45941</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19278-2025</t>
        </is>
      </c>
      <c r="B45" s="1" t="n">
        <v>45769.53180555555</v>
      </c>
      <c r="C45" s="1" t="n">
        <v>45941</v>
      </c>
      <c r="D45" t="inlineStr">
        <is>
          <t>JÄMTLANDS LÄN</t>
        </is>
      </c>
      <c r="E45" t="inlineStr">
        <is>
          <t>RAGUNDA</t>
        </is>
      </c>
      <c r="F45" t="inlineStr">
        <is>
          <t>SCA</t>
        </is>
      </c>
      <c r="G45" t="n">
        <v>11.8</v>
      </c>
      <c r="H45" t="n">
        <v>3</v>
      </c>
      <c r="I45" t="n">
        <v>2</v>
      </c>
      <c r="J45" t="n">
        <v>6</v>
      </c>
      <c r="K45" t="n">
        <v>1</v>
      </c>
      <c r="L45" t="n">
        <v>0</v>
      </c>
      <c r="M45" t="n">
        <v>0</v>
      </c>
      <c r="N45" t="n">
        <v>0</v>
      </c>
      <c r="O45" t="n">
        <v>7</v>
      </c>
      <c r="P45" t="n">
        <v>1</v>
      </c>
      <c r="Q45" t="n">
        <v>9</v>
      </c>
      <c r="R45" s="2" t="inlineStr">
        <is>
          <t>Knärot
Garnlav
Granticka
Lunglav
Talltita
Tretåig hackspett
Ullticka
Norrlandslav
Skinnlav</t>
        </is>
      </c>
      <c r="S45">
        <f>HYPERLINK("https://klasma.github.io/Logging_2303/artfynd/A 19278-2025 artfynd.xlsx", "A 19278-2025")</f>
        <v/>
      </c>
      <c r="T45">
        <f>HYPERLINK("https://klasma.github.io/Logging_2303/kartor/A 19278-2025 karta.png", "A 19278-2025")</f>
        <v/>
      </c>
      <c r="U45">
        <f>HYPERLINK("https://klasma.github.io/Logging_2303/knärot/A 19278-2025 karta knärot.png", "A 19278-2025")</f>
        <v/>
      </c>
      <c r="V45">
        <f>HYPERLINK("https://klasma.github.io/Logging_2303/klagomål/A 19278-2025 FSC-klagomål.docx", "A 19278-2025")</f>
        <v/>
      </c>
      <c r="W45">
        <f>HYPERLINK("https://klasma.github.io/Logging_2303/klagomålsmail/A 19278-2025 FSC-klagomål mail.docx", "A 19278-2025")</f>
        <v/>
      </c>
      <c r="X45">
        <f>HYPERLINK("https://klasma.github.io/Logging_2303/tillsyn/A 19278-2025 tillsynsbegäran.docx", "A 19278-2025")</f>
        <v/>
      </c>
      <c r="Y45">
        <f>HYPERLINK("https://klasma.github.io/Logging_2303/tillsynsmail/A 19278-2025 tillsynsbegäran mail.docx", "A 19278-2025")</f>
        <v/>
      </c>
      <c r="Z45">
        <f>HYPERLINK("https://klasma.github.io/Logging_2303/fåglar/A 19278-2025 prioriterade fågelarter.docx", "A 19278-2025")</f>
        <v/>
      </c>
    </row>
    <row r="46" ht="15" customHeight="1">
      <c r="A46" t="inlineStr">
        <is>
          <t>A 32068-2024</t>
        </is>
      </c>
      <c r="B46" s="1" t="n">
        <v>45510</v>
      </c>
      <c r="C46" s="1" t="n">
        <v>45941</v>
      </c>
      <c r="D46" t="inlineStr">
        <is>
          <t>JÄMTLANDS LÄN</t>
        </is>
      </c>
      <c r="E46" t="inlineStr">
        <is>
          <t>RAGUNDA</t>
        </is>
      </c>
      <c r="F46" t="inlineStr">
        <is>
          <t>SCA</t>
        </is>
      </c>
      <c r="G46" t="n">
        <v>5.2</v>
      </c>
      <c r="H46" t="n">
        <v>2</v>
      </c>
      <c r="I46" t="n">
        <v>2</v>
      </c>
      <c r="J46" t="n">
        <v>6</v>
      </c>
      <c r="K46" t="n">
        <v>1</v>
      </c>
      <c r="L46" t="n">
        <v>0</v>
      </c>
      <c r="M46" t="n">
        <v>0</v>
      </c>
      <c r="N46" t="n">
        <v>0</v>
      </c>
      <c r="O46" t="n">
        <v>7</v>
      </c>
      <c r="P46" t="n">
        <v>1</v>
      </c>
      <c r="Q46" t="n">
        <v>9</v>
      </c>
      <c r="R46" s="2" t="inlineStr">
        <is>
          <t>Knärot
Garnlav
Gränsticka
Kolflarnlav
Lunglav
Vedflikmossa
Vedtrappmossa
Plattlummer
Stor aspticka</t>
        </is>
      </c>
      <c r="S46">
        <f>HYPERLINK("https://klasma.github.io/Logging_2303/artfynd/A 32068-2024 artfynd.xlsx", "A 32068-2024")</f>
        <v/>
      </c>
      <c r="T46">
        <f>HYPERLINK("https://klasma.github.io/Logging_2303/kartor/A 32068-2024 karta.png", "A 32068-2024")</f>
        <v/>
      </c>
      <c r="U46">
        <f>HYPERLINK("https://klasma.github.io/Logging_2303/knärot/A 32068-2024 karta knärot.png", "A 32068-2024")</f>
        <v/>
      </c>
      <c r="V46">
        <f>HYPERLINK("https://klasma.github.io/Logging_2303/klagomål/A 32068-2024 FSC-klagomål.docx", "A 32068-2024")</f>
        <v/>
      </c>
      <c r="W46">
        <f>HYPERLINK("https://klasma.github.io/Logging_2303/klagomålsmail/A 32068-2024 FSC-klagomål mail.docx", "A 32068-2024")</f>
        <v/>
      </c>
      <c r="X46">
        <f>HYPERLINK("https://klasma.github.io/Logging_2303/tillsyn/A 32068-2024 tillsynsbegäran.docx", "A 32068-2024")</f>
        <v/>
      </c>
      <c r="Y46">
        <f>HYPERLINK("https://klasma.github.io/Logging_2303/tillsynsmail/A 32068-2024 tillsynsbegäran mail.docx", "A 32068-2024")</f>
        <v/>
      </c>
    </row>
    <row r="47" ht="15" customHeight="1">
      <c r="A47" t="inlineStr">
        <is>
          <t>A 41406-2023</t>
        </is>
      </c>
      <c r="B47" s="1" t="n">
        <v>45174</v>
      </c>
      <c r="C47" s="1" t="n">
        <v>45941</v>
      </c>
      <c r="D47" t="inlineStr">
        <is>
          <t>JÄMTLANDS LÄN</t>
        </is>
      </c>
      <c r="E47" t="inlineStr">
        <is>
          <t>RAGUNDA</t>
        </is>
      </c>
      <c r="F47" t="inlineStr">
        <is>
          <t>SCA</t>
        </is>
      </c>
      <c r="G47" t="n">
        <v>8</v>
      </c>
      <c r="H47" t="n">
        <v>0</v>
      </c>
      <c r="I47" t="n">
        <v>1</v>
      </c>
      <c r="J47" t="n">
        <v>8</v>
      </c>
      <c r="K47" t="n">
        <v>0</v>
      </c>
      <c r="L47" t="n">
        <v>0</v>
      </c>
      <c r="M47" t="n">
        <v>0</v>
      </c>
      <c r="N47" t="n">
        <v>0</v>
      </c>
      <c r="O47" t="n">
        <v>8</v>
      </c>
      <c r="P47" t="n">
        <v>0</v>
      </c>
      <c r="Q47" t="n">
        <v>9</v>
      </c>
      <c r="R47" s="2" t="inlineStr">
        <is>
          <t>Dvärgbägarlav
Grönhjon
Lunglav
Nordtagging
Rosa skärelav
Rosenticka
Ullticka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33822-2023</t>
        </is>
      </c>
      <c r="B48" s="1" t="n">
        <v>45121</v>
      </c>
      <c r="C48" s="1" t="n">
        <v>45941</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62948-2021</t>
        </is>
      </c>
      <c r="B49" s="1" t="n">
        <v>44504</v>
      </c>
      <c r="C49" s="1" t="n">
        <v>45941</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U49">
        <f>HYPERLINK("https://klasma.github.io/Logging_2303/knärot/A 62948-2021 karta knärot.png",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45008-2023</t>
        </is>
      </c>
      <c r="B50" s="1" t="n">
        <v>45190.96092592592</v>
      </c>
      <c r="C50" s="1" t="n">
        <v>45941</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4146-2025</t>
        </is>
      </c>
      <c r="B51" s="1" t="n">
        <v>45685.36501157407</v>
      </c>
      <c r="C51" s="1" t="n">
        <v>45941</v>
      </c>
      <c r="D51" t="inlineStr">
        <is>
          <t>JÄMTLANDS LÄN</t>
        </is>
      </c>
      <c r="E51" t="inlineStr">
        <is>
          <t>RAGUNDA</t>
        </is>
      </c>
      <c r="G51" t="n">
        <v>10.7</v>
      </c>
      <c r="H51" t="n">
        <v>1</v>
      </c>
      <c r="I51" t="n">
        <v>5</v>
      </c>
      <c r="J51" t="n">
        <v>2</v>
      </c>
      <c r="K51" t="n">
        <v>2</v>
      </c>
      <c r="L51" t="n">
        <v>0</v>
      </c>
      <c r="M51" t="n">
        <v>0</v>
      </c>
      <c r="N51" t="n">
        <v>0</v>
      </c>
      <c r="O51" t="n">
        <v>4</v>
      </c>
      <c r="P51" t="n">
        <v>2</v>
      </c>
      <c r="Q51" t="n">
        <v>9</v>
      </c>
      <c r="R51" s="2" t="inlineStr">
        <is>
          <t>Knärot
Kopparspindling
Kolflarnlav
Lunglav
Dropptaggsvamp
Dvärgtufs
Korallblylav
Skinnlav
Stuplav</t>
        </is>
      </c>
      <c r="S51">
        <f>HYPERLINK("https://klasma.github.io/Logging_2303/artfynd/A 4146-2025 artfynd.xlsx", "A 4146-2025")</f>
        <v/>
      </c>
      <c r="T51">
        <f>HYPERLINK("https://klasma.github.io/Logging_2303/kartor/A 4146-2025 karta.png", "A 4146-2025")</f>
        <v/>
      </c>
      <c r="U51">
        <f>HYPERLINK("https://klasma.github.io/Logging_2303/knärot/A 4146-2025 karta knärot.png", "A 4146-2025")</f>
        <v/>
      </c>
      <c r="V51">
        <f>HYPERLINK("https://klasma.github.io/Logging_2303/klagomål/A 4146-2025 FSC-klagomål.docx", "A 4146-2025")</f>
        <v/>
      </c>
      <c r="W51">
        <f>HYPERLINK("https://klasma.github.io/Logging_2303/klagomålsmail/A 4146-2025 FSC-klagomål mail.docx", "A 4146-2025")</f>
        <v/>
      </c>
      <c r="X51">
        <f>HYPERLINK("https://klasma.github.io/Logging_2303/tillsyn/A 4146-2025 tillsynsbegäran.docx", "A 4146-2025")</f>
        <v/>
      </c>
      <c r="Y51">
        <f>HYPERLINK("https://klasma.github.io/Logging_2303/tillsynsmail/A 4146-2025 tillsynsbegäran mail.docx", "A 4146-2025")</f>
        <v/>
      </c>
    </row>
    <row r="52" ht="15" customHeight="1">
      <c r="A52" t="inlineStr">
        <is>
          <t>A 25016-2025</t>
        </is>
      </c>
      <c r="B52" s="1" t="n">
        <v>45799.63574074074</v>
      </c>
      <c r="C52" s="1" t="n">
        <v>45941</v>
      </c>
      <c r="D52" t="inlineStr">
        <is>
          <t>JÄMTLANDS LÄN</t>
        </is>
      </c>
      <c r="E52" t="inlineStr">
        <is>
          <t>RAGUNDA</t>
        </is>
      </c>
      <c r="F52" t="inlineStr">
        <is>
          <t>SCA</t>
        </is>
      </c>
      <c r="G52" t="n">
        <v>17.9</v>
      </c>
      <c r="H52" t="n">
        <v>2</v>
      </c>
      <c r="I52" t="n">
        <v>3</v>
      </c>
      <c r="J52" t="n">
        <v>6</v>
      </c>
      <c r="K52" t="n">
        <v>0</v>
      </c>
      <c r="L52" t="n">
        <v>0</v>
      </c>
      <c r="M52" t="n">
        <v>0</v>
      </c>
      <c r="N52" t="n">
        <v>0</v>
      </c>
      <c r="O52" t="n">
        <v>6</v>
      </c>
      <c r="P52" t="n">
        <v>0</v>
      </c>
      <c r="Q52" t="n">
        <v>9</v>
      </c>
      <c r="R52" s="2" t="inlineStr">
        <is>
          <t>Garnlav
Granticka
Lunglav
Spillkråka
Tretåig hackspett
Ullticka
Bårdlav
Stuplav
Vedticka</t>
        </is>
      </c>
      <c r="S52">
        <f>HYPERLINK("https://klasma.github.io/Logging_2303/artfynd/A 25016-2025 artfynd.xlsx", "A 25016-2025")</f>
        <v/>
      </c>
      <c r="T52">
        <f>HYPERLINK("https://klasma.github.io/Logging_2303/kartor/A 25016-2025 karta.png", "A 25016-2025")</f>
        <v/>
      </c>
      <c r="V52">
        <f>HYPERLINK("https://klasma.github.io/Logging_2303/klagomål/A 25016-2025 FSC-klagomål.docx", "A 25016-2025")</f>
        <v/>
      </c>
      <c r="W52">
        <f>HYPERLINK("https://klasma.github.io/Logging_2303/klagomålsmail/A 25016-2025 FSC-klagomål mail.docx", "A 25016-2025")</f>
        <v/>
      </c>
      <c r="X52">
        <f>HYPERLINK("https://klasma.github.io/Logging_2303/tillsyn/A 25016-2025 tillsynsbegäran.docx", "A 25016-2025")</f>
        <v/>
      </c>
      <c r="Y52">
        <f>HYPERLINK("https://klasma.github.io/Logging_2303/tillsynsmail/A 25016-2025 tillsynsbegäran mail.docx", "A 25016-2025")</f>
        <v/>
      </c>
      <c r="Z52">
        <f>HYPERLINK("https://klasma.github.io/Logging_2303/fåglar/A 25016-2025 prioriterade fågelarter.docx", "A 25016-2025")</f>
        <v/>
      </c>
    </row>
    <row r="53" ht="15" customHeight="1">
      <c r="A53" t="inlineStr">
        <is>
          <t>A 24735-2025</t>
        </is>
      </c>
      <c r="B53" s="1" t="n">
        <v>45799.34461805555</v>
      </c>
      <c r="C53" s="1" t="n">
        <v>45941</v>
      </c>
      <c r="D53" t="inlineStr">
        <is>
          <t>JÄMTLANDS LÄN</t>
        </is>
      </c>
      <c r="E53" t="inlineStr">
        <is>
          <t>RAGUNDA</t>
        </is>
      </c>
      <c r="F53" t="inlineStr">
        <is>
          <t>SCA</t>
        </is>
      </c>
      <c r="G53" t="n">
        <v>7.1</v>
      </c>
      <c r="H53" t="n">
        <v>1</v>
      </c>
      <c r="I53" t="n">
        <v>4</v>
      </c>
      <c r="J53" t="n">
        <v>5</v>
      </c>
      <c r="K53" t="n">
        <v>0</v>
      </c>
      <c r="L53" t="n">
        <v>0</v>
      </c>
      <c r="M53" t="n">
        <v>0</v>
      </c>
      <c r="N53" t="n">
        <v>0</v>
      </c>
      <c r="O53" t="n">
        <v>5</v>
      </c>
      <c r="P53" t="n">
        <v>0</v>
      </c>
      <c r="Q53" t="n">
        <v>9</v>
      </c>
      <c r="R53" s="2" t="inlineStr">
        <is>
          <t>Garnlav
Lunglav
Mörk kolflarnlav
Tretåig hackspett
Ullticka
Bollvitmossa
Norrlandslav
Skinnlav
Stuplav</t>
        </is>
      </c>
      <c r="S53">
        <f>HYPERLINK("https://klasma.github.io/Logging_2303/artfynd/A 24735-2025 artfynd.xlsx", "A 24735-2025")</f>
        <v/>
      </c>
      <c r="T53">
        <f>HYPERLINK("https://klasma.github.io/Logging_2303/kartor/A 24735-2025 karta.png", "A 24735-2025")</f>
        <v/>
      </c>
      <c r="V53">
        <f>HYPERLINK("https://klasma.github.io/Logging_2303/klagomål/A 24735-2025 FSC-klagomål.docx", "A 24735-2025")</f>
        <v/>
      </c>
      <c r="W53">
        <f>HYPERLINK("https://klasma.github.io/Logging_2303/klagomålsmail/A 24735-2025 FSC-klagomål mail.docx", "A 24735-2025")</f>
        <v/>
      </c>
      <c r="X53">
        <f>HYPERLINK("https://klasma.github.io/Logging_2303/tillsyn/A 24735-2025 tillsynsbegäran.docx", "A 24735-2025")</f>
        <v/>
      </c>
      <c r="Y53">
        <f>HYPERLINK("https://klasma.github.io/Logging_2303/tillsynsmail/A 24735-2025 tillsynsbegäran mail.docx", "A 24735-2025")</f>
        <v/>
      </c>
      <c r="Z53">
        <f>HYPERLINK("https://klasma.github.io/Logging_2303/fåglar/A 24735-2025 prioriterade fågelarter.docx", "A 24735-2025")</f>
        <v/>
      </c>
    </row>
    <row r="54" ht="15" customHeight="1">
      <c r="A54" t="inlineStr">
        <is>
          <t>A 56215-2020</t>
        </is>
      </c>
      <c r="B54" s="1" t="n">
        <v>44133</v>
      </c>
      <c r="C54" s="1" t="n">
        <v>45941</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30335-2025</t>
        </is>
      </c>
      <c r="B55" s="1" t="n">
        <v>45827.5110300926</v>
      </c>
      <c r="C55" s="1" t="n">
        <v>45941</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3634-2024</t>
        </is>
      </c>
      <c r="B56" s="1" t="n">
        <v>45320</v>
      </c>
      <c r="C56" s="1" t="n">
        <v>45941</v>
      </c>
      <c r="D56" t="inlineStr">
        <is>
          <t>JÄMTLANDS LÄN</t>
        </is>
      </c>
      <c r="E56" t="inlineStr">
        <is>
          <t>RAGUNDA</t>
        </is>
      </c>
      <c r="F56" t="inlineStr">
        <is>
          <t>SCA</t>
        </is>
      </c>
      <c r="G56" t="n">
        <v>3.5</v>
      </c>
      <c r="H56" t="n">
        <v>1</v>
      </c>
      <c r="I56" t="n">
        <v>4</v>
      </c>
      <c r="J56" t="n">
        <v>3</v>
      </c>
      <c r="K56" t="n">
        <v>1</v>
      </c>
      <c r="L56" t="n">
        <v>0</v>
      </c>
      <c r="M56" t="n">
        <v>0</v>
      </c>
      <c r="N56" t="n">
        <v>0</v>
      </c>
      <c r="O56" t="n">
        <v>4</v>
      </c>
      <c r="P56" t="n">
        <v>1</v>
      </c>
      <c r="Q56" t="n">
        <v>8</v>
      </c>
      <c r="R56" s="2" t="inlineStr">
        <is>
          <t>Smalfotad taggsvamp
Garnlav
Kolflarnlav
Lunglav
Korallrot
Luddlav
Norrlandslav
Spädstarr</t>
        </is>
      </c>
      <c r="S56">
        <f>HYPERLINK("https://klasma.github.io/Logging_2303/artfynd/A 3634-2024 artfynd.xlsx", "A 3634-2024")</f>
        <v/>
      </c>
      <c r="T56">
        <f>HYPERLINK("https://klasma.github.io/Logging_2303/kartor/A 3634-2024 karta.png", "A 3634-2024")</f>
        <v/>
      </c>
      <c r="V56">
        <f>HYPERLINK("https://klasma.github.io/Logging_2303/klagomål/A 3634-2024 FSC-klagomål.docx", "A 3634-2024")</f>
        <v/>
      </c>
      <c r="W56">
        <f>HYPERLINK("https://klasma.github.io/Logging_2303/klagomålsmail/A 3634-2024 FSC-klagomål mail.docx", "A 3634-2024")</f>
        <v/>
      </c>
      <c r="X56">
        <f>HYPERLINK("https://klasma.github.io/Logging_2303/tillsyn/A 3634-2024 tillsynsbegäran.docx", "A 3634-2024")</f>
        <v/>
      </c>
      <c r="Y56">
        <f>HYPERLINK("https://klasma.github.io/Logging_2303/tillsynsmail/A 3634-2024 tillsynsbegäran mail.docx", "A 3634-2024")</f>
        <v/>
      </c>
    </row>
    <row r="57" ht="15" customHeight="1">
      <c r="A57" t="inlineStr">
        <is>
          <t>A 32475-2023</t>
        </is>
      </c>
      <c r="B57" s="1" t="n">
        <v>45120</v>
      </c>
      <c r="C57" s="1" t="n">
        <v>45941</v>
      </c>
      <c r="D57" t="inlineStr">
        <is>
          <t>JÄMTLANDS LÄN</t>
        </is>
      </c>
      <c r="E57" t="inlineStr">
        <is>
          <t>RAGUNDA</t>
        </is>
      </c>
      <c r="F57" t="inlineStr">
        <is>
          <t>SCA</t>
        </is>
      </c>
      <c r="G57" t="n">
        <v>2.4</v>
      </c>
      <c r="H57" t="n">
        <v>1</v>
      </c>
      <c r="I57" t="n">
        <v>3</v>
      </c>
      <c r="J57" t="n">
        <v>5</v>
      </c>
      <c r="K57" t="n">
        <v>0</v>
      </c>
      <c r="L57" t="n">
        <v>0</v>
      </c>
      <c r="M57" t="n">
        <v>0</v>
      </c>
      <c r="N57" t="n">
        <v>0</v>
      </c>
      <c r="O57" t="n">
        <v>5</v>
      </c>
      <c r="P57" t="n">
        <v>0</v>
      </c>
      <c r="Q57" t="n">
        <v>8</v>
      </c>
      <c r="R57" s="2" t="inlineStr">
        <is>
          <t>Blanksvart spiklav
Garnlav
Lunglav
Motaggsvamp
Tretåig hackspett
Dropptaggsvamp
Luddlav
Skarp dropptaggsvamp</t>
        </is>
      </c>
      <c r="S57">
        <f>HYPERLINK("https://klasma.github.io/Logging_2303/artfynd/A 32475-2023 artfynd.xlsx", "A 32475-2023")</f>
        <v/>
      </c>
      <c r="T57">
        <f>HYPERLINK("https://klasma.github.io/Logging_2303/kartor/A 32475-2023 karta.png", "A 32475-2023")</f>
        <v/>
      </c>
      <c r="V57">
        <f>HYPERLINK("https://klasma.github.io/Logging_2303/klagomål/A 32475-2023 FSC-klagomål.docx", "A 32475-2023")</f>
        <v/>
      </c>
      <c r="W57">
        <f>HYPERLINK("https://klasma.github.io/Logging_2303/klagomålsmail/A 32475-2023 FSC-klagomål mail.docx", "A 32475-2023")</f>
        <v/>
      </c>
      <c r="X57">
        <f>HYPERLINK("https://klasma.github.io/Logging_2303/tillsyn/A 32475-2023 tillsynsbegäran.docx", "A 32475-2023")</f>
        <v/>
      </c>
      <c r="Y57">
        <f>HYPERLINK("https://klasma.github.io/Logging_2303/tillsynsmail/A 32475-2023 tillsynsbegäran mail.docx", "A 32475-2023")</f>
        <v/>
      </c>
      <c r="Z57">
        <f>HYPERLINK("https://klasma.github.io/Logging_2303/fåglar/A 32475-2023 prioriterade fågelarter.docx", "A 32475-2023")</f>
        <v/>
      </c>
    </row>
    <row r="58" ht="15" customHeight="1">
      <c r="A58" t="inlineStr">
        <is>
          <t>A 24732-2025</t>
        </is>
      </c>
      <c r="B58" s="1" t="n">
        <v>45799.34421296296</v>
      </c>
      <c r="C58" s="1" t="n">
        <v>45941</v>
      </c>
      <c r="D58" t="inlineStr">
        <is>
          <t>JÄMTLANDS LÄN</t>
        </is>
      </c>
      <c r="E58" t="inlineStr">
        <is>
          <t>RAGUNDA</t>
        </is>
      </c>
      <c r="F58" t="inlineStr">
        <is>
          <t>SCA</t>
        </is>
      </c>
      <c r="G58" t="n">
        <v>16.2</v>
      </c>
      <c r="H58" t="n">
        <v>1</v>
      </c>
      <c r="I58" t="n">
        <v>3</v>
      </c>
      <c r="J58" t="n">
        <v>4</v>
      </c>
      <c r="K58" t="n">
        <v>1</v>
      </c>
      <c r="L58" t="n">
        <v>0</v>
      </c>
      <c r="M58" t="n">
        <v>0</v>
      </c>
      <c r="N58" t="n">
        <v>0</v>
      </c>
      <c r="O58" t="n">
        <v>5</v>
      </c>
      <c r="P58" t="n">
        <v>1</v>
      </c>
      <c r="Q58" t="n">
        <v>8</v>
      </c>
      <c r="R58" s="2" t="inlineStr">
        <is>
          <t>Knärot
Gammelgransskål
Garnlav
Lunglav
Vitgrynig nållav
Bollvitmossa
Skarp dropptaggsvamp
Svavelriska</t>
        </is>
      </c>
      <c r="S58">
        <f>HYPERLINK("https://klasma.github.io/Logging_2303/artfynd/A 24732-2025 artfynd.xlsx", "A 24732-2025")</f>
        <v/>
      </c>
      <c r="T58">
        <f>HYPERLINK("https://klasma.github.io/Logging_2303/kartor/A 24732-2025 karta.png", "A 24732-2025")</f>
        <v/>
      </c>
      <c r="U58">
        <f>HYPERLINK("https://klasma.github.io/Logging_2303/knärot/A 24732-2025 karta knärot.png", "A 24732-2025")</f>
        <v/>
      </c>
      <c r="V58">
        <f>HYPERLINK("https://klasma.github.io/Logging_2303/klagomål/A 24732-2025 FSC-klagomål.docx", "A 24732-2025")</f>
        <v/>
      </c>
      <c r="W58">
        <f>HYPERLINK("https://klasma.github.io/Logging_2303/klagomålsmail/A 24732-2025 FSC-klagomål mail.docx", "A 24732-2025")</f>
        <v/>
      </c>
      <c r="X58">
        <f>HYPERLINK("https://klasma.github.io/Logging_2303/tillsyn/A 24732-2025 tillsynsbegäran.docx", "A 24732-2025")</f>
        <v/>
      </c>
      <c r="Y58">
        <f>HYPERLINK("https://klasma.github.io/Logging_2303/tillsynsmail/A 24732-2025 tillsynsbegäran mail.docx", "A 24732-2025")</f>
        <v/>
      </c>
    </row>
    <row r="59" ht="15" customHeight="1">
      <c r="A59" t="inlineStr">
        <is>
          <t>A 56211-2020</t>
        </is>
      </c>
      <c r="B59" s="1" t="n">
        <v>44133</v>
      </c>
      <c r="C59" s="1" t="n">
        <v>45941</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45941</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45941</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26750-2025</t>
        </is>
      </c>
      <c r="B62" s="1" t="n">
        <v>45810.55061342593</v>
      </c>
      <c r="C62" s="1" t="n">
        <v>45941</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41929-2023</t>
        </is>
      </c>
      <c r="B63" s="1" t="n">
        <v>45176</v>
      </c>
      <c r="C63" s="1" t="n">
        <v>45941</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41929-2023 artfynd.xlsx", "A 41929-2023")</f>
        <v/>
      </c>
      <c r="T63">
        <f>HYPERLINK("https://klasma.github.io/Logging_2303/kartor/A 41929-2023 karta.png", "A 41929-2023")</f>
        <v/>
      </c>
      <c r="U63">
        <f>HYPERLINK("https://klasma.github.io/Logging_2303/knärot/A 41929-2023 karta knärot.png", "A 41929-2023")</f>
        <v/>
      </c>
      <c r="V63">
        <f>HYPERLINK("https://klasma.github.io/Logging_2303/klagomål/A 41929-2023 FSC-klagomål.docx", "A 41929-2023")</f>
        <v/>
      </c>
      <c r="W63">
        <f>HYPERLINK("https://klasma.github.io/Logging_2303/klagomålsmail/A 41929-2023 FSC-klagomål mail.docx", "A 41929-2023")</f>
        <v/>
      </c>
      <c r="X63">
        <f>HYPERLINK("https://klasma.github.io/Logging_2303/tillsyn/A 41929-2023 tillsynsbegäran.docx", "A 41929-2023")</f>
        <v/>
      </c>
      <c r="Y63">
        <f>HYPERLINK("https://klasma.github.io/Logging_2303/tillsynsmail/A 41929-2023 tillsynsbegäran mail.docx", "A 41929-2023")</f>
        <v/>
      </c>
    </row>
    <row r="64" ht="15" customHeight="1">
      <c r="A64" t="inlineStr">
        <is>
          <t>A 19399-2025</t>
        </is>
      </c>
      <c r="B64" s="1" t="n">
        <v>45769.67740740741</v>
      </c>
      <c r="C64" s="1" t="n">
        <v>45941</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22466-2025</t>
        </is>
      </c>
      <c r="B65" s="1" t="n">
        <v>45786.61517361111</v>
      </c>
      <c r="C65" s="1" t="n">
        <v>45941</v>
      </c>
      <c r="D65" t="inlineStr">
        <is>
          <t>JÄMTLANDS LÄN</t>
        </is>
      </c>
      <c r="E65" t="inlineStr">
        <is>
          <t>RAGUNDA</t>
        </is>
      </c>
      <c r="F65" t="inlineStr">
        <is>
          <t>SCA</t>
        </is>
      </c>
      <c r="G65" t="n">
        <v>3.2</v>
      </c>
      <c r="H65" t="n">
        <v>3</v>
      </c>
      <c r="I65" t="n">
        <v>1</v>
      </c>
      <c r="J65" t="n">
        <v>4</v>
      </c>
      <c r="K65" t="n">
        <v>0</v>
      </c>
      <c r="L65" t="n">
        <v>0</v>
      </c>
      <c r="M65" t="n">
        <v>0</v>
      </c>
      <c r="N65" t="n">
        <v>0</v>
      </c>
      <c r="O65" t="n">
        <v>4</v>
      </c>
      <c r="P65" t="n">
        <v>0</v>
      </c>
      <c r="Q65" t="n">
        <v>7</v>
      </c>
      <c r="R65" s="2" t="inlineStr">
        <is>
          <t>Gammelgransskål
Garnlav
Lunglav
Tretåig hackspett
Stuplav
Kungsfågel
Revlummer</t>
        </is>
      </c>
      <c r="S65">
        <f>HYPERLINK("https://klasma.github.io/Logging_2303/artfynd/A 22466-2025 artfynd.xlsx", "A 22466-2025")</f>
        <v/>
      </c>
      <c r="T65">
        <f>HYPERLINK("https://klasma.github.io/Logging_2303/kartor/A 22466-2025 karta.png", "A 22466-2025")</f>
        <v/>
      </c>
      <c r="V65">
        <f>HYPERLINK("https://klasma.github.io/Logging_2303/klagomål/A 22466-2025 FSC-klagomål.docx", "A 22466-2025")</f>
        <v/>
      </c>
      <c r="W65">
        <f>HYPERLINK("https://klasma.github.io/Logging_2303/klagomålsmail/A 22466-2025 FSC-klagomål mail.docx", "A 22466-2025")</f>
        <v/>
      </c>
      <c r="X65">
        <f>HYPERLINK("https://klasma.github.io/Logging_2303/tillsyn/A 22466-2025 tillsynsbegäran.docx", "A 22466-2025")</f>
        <v/>
      </c>
      <c r="Y65">
        <f>HYPERLINK("https://klasma.github.io/Logging_2303/tillsynsmail/A 22466-2025 tillsynsbegäran mail.docx", "A 22466-2025")</f>
        <v/>
      </c>
      <c r="Z65">
        <f>HYPERLINK("https://klasma.github.io/Logging_2303/fåglar/A 22466-2025 prioriterade fågelarter.docx", "A 22466-2025")</f>
        <v/>
      </c>
    </row>
    <row r="66" ht="15" customHeight="1">
      <c r="A66" t="inlineStr">
        <is>
          <t>A 33806-2023</t>
        </is>
      </c>
      <c r="B66" s="1" t="n">
        <v>45121</v>
      </c>
      <c r="C66" s="1" t="n">
        <v>45941</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61386-2022</t>
        </is>
      </c>
      <c r="B67" s="1" t="n">
        <v>44915</v>
      </c>
      <c r="C67" s="1" t="n">
        <v>45941</v>
      </c>
      <c r="D67" t="inlineStr">
        <is>
          <t>JÄMTLANDS LÄN</t>
        </is>
      </c>
      <c r="E67" t="inlineStr">
        <is>
          <t>RAGUNDA</t>
        </is>
      </c>
      <c r="F67" t="inlineStr">
        <is>
          <t>Övriga Aktiebolag</t>
        </is>
      </c>
      <c r="G67" t="n">
        <v>19.7</v>
      </c>
      <c r="H67" t="n">
        <v>1</v>
      </c>
      <c r="I67" t="n">
        <v>2</v>
      </c>
      <c r="J67" t="n">
        <v>3</v>
      </c>
      <c r="K67" t="n">
        <v>2</v>
      </c>
      <c r="L67" t="n">
        <v>0</v>
      </c>
      <c r="M67" t="n">
        <v>0</v>
      </c>
      <c r="N67" t="n">
        <v>0</v>
      </c>
      <c r="O67" t="n">
        <v>5</v>
      </c>
      <c r="P67" t="n">
        <v>2</v>
      </c>
      <c r="Q67" t="n">
        <v>7</v>
      </c>
      <c r="R67" s="2" t="inlineStr">
        <is>
          <t>Knärot
Rynkskinn
Lunglav
Rosenticka
Ullticka
Svart trolldruva
Vanlig flatbagge</t>
        </is>
      </c>
      <c r="S67">
        <f>HYPERLINK("https://klasma.github.io/Logging_2303/artfynd/A 61386-2022 artfynd.xlsx", "A 61386-2022")</f>
        <v/>
      </c>
      <c r="T67">
        <f>HYPERLINK("https://klasma.github.io/Logging_2303/kartor/A 61386-2022 karta.png", "A 61386-2022")</f>
        <v/>
      </c>
      <c r="U67">
        <f>HYPERLINK("https://klasma.github.io/Logging_2303/knärot/A 61386-2022 karta knärot.png", "A 61386-2022")</f>
        <v/>
      </c>
      <c r="V67">
        <f>HYPERLINK("https://klasma.github.io/Logging_2303/klagomål/A 61386-2022 FSC-klagomål.docx", "A 61386-2022")</f>
        <v/>
      </c>
      <c r="W67">
        <f>HYPERLINK("https://klasma.github.io/Logging_2303/klagomålsmail/A 61386-2022 FSC-klagomål mail.docx", "A 61386-2022")</f>
        <v/>
      </c>
      <c r="X67">
        <f>HYPERLINK("https://klasma.github.io/Logging_2303/tillsyn/A 61386-2022 tillsynsbegäran.docx", "A 61386-2022")</f>
        <v/>
      </c>
      <c r="Y67">
        <f>HYPERLINK("https://klasma.github.io/Logging_2303/tillsynsmail/A 61386-2022 tillsynsbegäran mail.docx", "A 61386-2022")</f>
        <v/>
      </c>
    </row>
    <row r="68" ht="15" customHeight="1">
      <c r="A68" t="inlineStr">
        <is>
          <t>A 27913-2024</t>
        </is>
      </c>
      <c r="B68" s="1" t="n">
        <v>45475.94796296296</v>
      </c>
      <c r="C68" s="1" t="n">
        <v>45941</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20397-2024</t>
        </is>
      </c>
      <c r="B69" s="1" t="n">
        <v>45435.54734953704</v>
      </c>
      <c r="C69" s="1" t="n">
        <v>45941</v>
      </c>
      <c r="D69" t="inlineStr">
        <is>
          <t>JÄMTLANDS LÄN</t>
        </is>
      </c>
      <c r="E69" t="inlineStr">
        <is>
          <t>RAGUNDA</t>
        </is>
      </c>
      <c r="G69" t="n">
        <v>18.5</v>
      </c>
      <c r="H69" t="n">
        <v>1</v>
      </c>
      <c r="I69" t="n">
        <v>4</v>
      </c>
      <c r="J69" t="n">
        <v>2</v>
      </c>
      <c r="K69" t="n">
        <v>1</v>
      </c>
      <c r="L69" t="n">
        <v>0</v>
      </c>
      <c r="M69" t="n">
        <v>0</v>
      </c>
      <c r="N69" t="n">
        <v>0</v>
      </c>
      <c r="O69" t="n">
        <v>3</v>
      </c>
      <c r="P69" t="n">
        <v>1</v>
      </c>
      <c r="Q69" t="n">
        <v>7</v>
      </c>
      <c r="R69" s="2" t="inlineStr">
        <is>
          <t>Lateritticka
Lunglav
Tallticka
Dropptaggsvamp
Finbräken
Guckusko
Svart trolldruva</t>
        </is>
      </c>
      <c r="S69">
        <f>HYPERLINK("https://klasma.github.io/Logging_2303/artfynd/A 20397-2024 artfynd.xlsx", "A 20397-2024")</f>
        <v/>
      </c>
      <c r="T69">
        <f>HYPERLINK("https://klasma.github.io/Logging_2303/kartor/A 20397-2024 karta.png", "A 20397-2024")</f>
        <v/>
      </c>
      <c r="V69">
        <f>HYPERLINK("https://klasma.github.io/Logging_2303/klagomål/A 20397-2024 FSC-klagomål.docx", "A 20397-2024")</f>
        <v/>
      </c>
      <c r="W69">
        <f>HYPERLINK("https://klasma.github.io/Logging_2303/klagomålsmail/A 20397-2024 FSC-klagomål mail.docx", "A 20397-2024")</f>
        <v/>
      </c>
      <c r="X69">
        <f>HYPERLINK("https://klasma.github.io/Logging_2303/tillsyn/A 20397-2024 tillsynsbegäran.docx", "A 20397-2024")</f>
        <v/>
      </c>
      <c r="Y69">
        <f>HYPERLINK("https://klasma.github.io/Logging_2303/tillsynsmail/A 20397-2024 tillsynsbegäran mail.docx", "A 20397-2024")</f>
        <v/>
      </c>
    </row>
    <row r="70" ht="15" customHeight="1">
      <c r="A70" t="inlineStr">
        <is>
          <t>A 24169-2021</t>
        </is>
      </c>
      <c r="B70" s="1" t="n">
        <v>44336</v>
      </c>
      <c r="C70" s="1" t="n">
        <v>45941</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15977-2024</t>
        </is>
      </c>
      <c r="B71" s="1" t="n">
        <v>45405.57392361111</v>
      </c>
      <c r="C71" s="1" t="n">
        <v>45941</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11829-2023</t>
        </is>
      </c>
      <c r="B72" s="1" t="n">
        <v>44994</v>
      </c>
      <c r="C72" s="1" t="n">
        <v>45941</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37237-2023</t>
        </is>
      </c>
      <c r="B73" s="1" t="n">
        <v>45155</v>
      </c>
      <c r="C73" s="1" t="n">
        <v>45941</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1762-2021</t>
        </is>
      </c>
      <c r="B74" s="1" t="n">
        <v>44209</v>
      </c>
      <c r="C74" s="1" t="n">
        <v>45941</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27322-2024</t>
        </is>
      </c>
      <c r="B75" s="1" t="n">
        <v>45471.94783564815</v>
      </c>
      <c r="C75" s="1" t="n">
        <v>45941</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53021-2022</t>
        </is>
      </c>
      <c r="B76" s="1" t="n">
        <v>44875</v>
      </c>
      <c r="C76" s="1" t="n">
        <v>45941</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30884-2025</t>
        </is>
      </c>
      <c r="B77" s="1" t="n">
        <v>45832.34564814815</v>
      </c>
      <c r="C77" s="1" t="n">
        <v>45941</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19402-2025</t>
        </is>
      </c>
      <c r="B78" s="1" t="n">
        <v>45769.67778935185</v>
      </c>
      <c r="C78" s="1" t="n">
        <v>45941</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11828-2023</t>
        </is>
      </c>
      <c r="B79" s="1" t="n">
        <v>44994</v>
      </c>
      <c r="C79" s="1" t="n">
        <v>45941</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49239-2024</t>
        </is>
      </c>
      <c r="B80" s="1" t="n">
        <v>45595.44886574074</v>
      </c>
      <c r="C80" s="1" t="n">
        <v>45941</v>
      </c>
      <c r="D80" t="inlineStr">
        <is>
          <t>JÄMTLANDS LÄN</t>
        </is>
      </c>
      <c r="E80" t="inlineStr">
        <is>
          <t>RAGUNDA</t>
        </is>
      </c>
      <c r="F80" t="inlineStr">
        <is>
          <t>SCA</t>
        </is>
      </c>
      <c r="G80" t="n">
        <v>2.7</v>
      </c>
      <c r="H80" t="n">
        <v>2</v>
      </c>
      <c r="I80" t="n">
        <v>0</v>
      </c>
      <c r="J80" t="n">
        <v>5</v>
      </c>
      <c r="K80" t="n">
        <v>0</v>
      </c>
      <c r="L80" t="n">
        <v>0</v>
      </c>
      <c r="M80" t="n">
        <v>0</v>
      </c>
      <c r="N80" t="n">
        <v>0</v>
      </c>
      <c r="O80" t="n">
        <v>5</v>
      </c>
      <c r="P80" t="n">
        <v>0</v>
      </c>
      <c r="Q80" t="n">
        <v>6</v>
      </c>
      <c r="R80" s="2" t="inlineStr">
        <is>
          <t>Garnlav
Harticka
Lunglav
Tretåig hackspett
Vitgrynig nållav
Revlummer</t>
        </is>
      </c>
      <c r="S80">
        <f>HYPERLINK("https://klasma.github.io/Logging_2303/artfynd/A 49239-2024 artfynd.xlsx", "A 49239-2024")</f>
        <v/>
      </c>
      <c r="T80">
        <f>HYPERLINK("https://klasma.github.io/Logging_2303/kartor/A 49239-2024 karta.png", "A 49239-2024")</f>
        <v/>
      </c>
      <c r="V80">
        <f>HYPERLINK("https://klasma.github.io/Logging_2303/klagomål/A 49239-2024 FSC-klagomål.docx", "A 49239-2024")</f>
        <v/>
      </c>
      <c r="W80">
        <f>HYPERLINK("https://klasma.github.io/Logging_2303/klagomålsmail/A 49239-2024 FSC-klagomål mail.docx", "A 49239-2024")</f>
        <v/>
      </c>
      <c r="X80">
        <f>HYPERLINK("https://klasma.github.io/Logging_2303/tillsyn/A 49239-2024 tillsynsbegäran.docx", "A 49239-2024")</f>
        <v/>
      </c>
      <c r="Y80">
        <f>HYPERLINK("https://klasma.github.io/Logging_2303/tillsynsmail/A 49239-2024 tillsynsbegäran mail.docx", "A 49239-2024")</f>
        <v/>
      </c>
      <c r="Z80">
        <f>HYPERLINK("https://klasma.github.io/Logging_2303/fåglar/A 49239-2024 prioriterade fågelarter.docx", "A 49239-2024")</f>
        <v/>
      </c>
    </row>
    <row r="81" ht="15" customHeight="1">
      <c r="A81" t="inlineStr">
        <is>
          <t>A 36276-2025</t>
        </is>
      </c>
      <c r="B81" s="1" t="n">
        <v>45867.63619212963</v>
      </c>
      <c r="C81" s="1" t="n">
        <v>45941</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26326-2024</t>
        </is>
      </c>
      <c r="B82" s="1" t="n">
        <v>45468.97528935185</v>
      </c>
      <c r="C82" s="1" t="n">
        <v>45941</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30637-2024</t>
        </is>
      </c>
      <c r="B83" s="1" t="n">
        <v>45495.56244212963</v>
      </c>
      <c r="C83" s="1" t="n">
        <v>45941</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39973-2025</t>
        </is>
      </c>
      <c r="B84" s="1" t="n">
        <v>45893.38584490741</v>
      </c>
      <c r="C84" s="1" t="n">
        <v>45941</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49291-2025</t>
        </is>
      </c>
      <c r="B85" s="1" t="n">
        <v>45938.53188657408</v>
      </c>
      <c r="C85" s="1" t="n">
        <v>45941</v>
      </c>
      <c r="D85" t="inlineStr">
        <is>
          <t>JÄMTLANDS LÄN</t>
        </is>
      </c>
      <c r="E85" t="inlineStr">
        <is>
          <t>RAGUNDA</t>
        </is>
      </c>
      <c r="F85" t="inlineStr">
        <is>
          <t>SCA</t>
        </is>
      </c>
      <c r="G85" t="n">
        <v>4.2</v>
      </c>
      <c r="H85" t="n">
        <v>1</v>
      </c>
      <c r="I85" t="n">
        <v>3</v>
      </c>
      <c r="J85" t="n">
        <v>2</v>
      </c>
      <c r="K85" t="n">
        <v>0</v>
      </c>
      <c r="L85" t="n">
        <v>0</v>
      </c>
      <c r="M85" t="n">
        <v>0</v>
      </c>
      <c r="N85" t="n">
        <v>0</v>
      </c>
      <c r="O85" t="n">
        <v>2</v>
      </c>
      <c r="P85" t="n">
        <v>0</v>
      </c>
      <c r="Q85" t="n">
        <v>6</v>
      </c>
      <c r="R85" s="2" t="inlineStr">
        <is>
          <t>Kolflarnlav
Lunglav
Korallblylav
Skinnlav
Vårärt
Blåsippa</t>
        </is>
      </c>
      <c r="S85">
        <f>HYPERLINK("https://klasma.github.io/Logging_2303/artfynd/A 49291-2025 artfynd.xlsx", "A 49291-2025")</f>
        <v/>
      </c>
      <c r="T85">
        <f>HYPERLINK("https://klasma.github.io/Logging_2303/kartor/A 49291-2025 karta.png", "A 49291-2025")</f>
        <v/>
      </c>
      <c r="V85">
        <f>HYPERLINK("https://klasma.github.io/Logging_2303/klagomål/A 49291-2025 FSC-klagomål.docx", "A 49291-2025")</f>
        <v/>
      </c>
      <c r="W85">
        <f>HYPERLINK("https://klasma.github.io/Logging_2303/klagomålsmail/A 49291-2025 FSC-klagomål mail.docx", "A 49291-2025")</f>
        <v/>
      </c>
      <c r="X85">
        <f>HYPERLINK("https://klasma.github.io/Logging_2303/tillsyn/A 49291-2025 tillsynsbegäran.docx", "A 49291-2025")</f>
        <v/>
      </c>
      <c r="Y85">
        <f>HYPERLINK("https://klasma.github.io/Logging_2303/tillsynsmail/A 49291-2025 tillsynsbegäran mail.docx", "A 49291-2025")</f>
        <v/>
      </c>
    </row>
    <row r="86" ht="15" customHeight="1">
      <c r="A86" t="inlineStr">
        <is>
          <t>A 24431-2024</t>
        </is>
      </c>
      <c r="B86" s="1" t="n">
        <v>45457</v>
      </c>
      <c r="C86" s="1" t="n">
        <v>45941</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34317-2025</t>
        </is>
      </c>
      <c r="B87" s="1" t="n">
        <v>45846.41361111111</v>
      </c>
      <c r="C87" s="1" t="n">
        <v>45941</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933-2023</t>
        </is>
      </c>
      <c r="B88" s="1" t="n">
        <v>44932</v>
      </c>
      <c r="C88" s="1" t="n">
        <v>45941</v>
      </c>
      <c r="D88" t="inlineStr">
        <is>
          <t>JÄMTLANDS LÄN</t>
        </is>
      </c>
      <c r="E88" t="inlineStr">
        <is>
          <t>RAGUNDA</t>
        </is>
      </c>
      <c r="F88" t="inlineStr">
        <is>
          <t>SCA</t>
        </is>
      </c>
      <c r="G88" t="n">
        <v>2</v>
      </c>
      <c r="H88" t="n">
        <v>3</v>
      </c>
      <c r="I88" t="n">
        <v>3</v>
      </c>
      <c r="J88" t="n">
        <v>0</v>
      </c>
      <c r="K88" t="n">
        <v>0</v>
      </c>
      <c r="L88" t="n">
        <v>1</v>
      </c>
      <c r="M88" t="n">
        <v>0</v>
      </c>
      <c r="N88" t="n">
        <v>0</v>
      </c>
      <c r="O88" t="n">
        <v>1</v>
      </c>
      <c r="P88" t="n">
        <v>1</v>
      </c>
      <c r="Q88" t="n">
        <v>6</v>
      </c>
      <c r="R88" s="2" t="inlineStr">
        <is>
          <t>Trolldruvemätare
Stor aspticka
Svart trolldruva
Tvåblad
Nattviol
Gullviva</t>
        </is>
      </c>
      <c r="S88">
        <f>HYPERLINK("https://klasma.github.io/Logging_2303/artfynd/A 933-2023 artfynd.xlsx", "A 933-2023")</f>
        <v/>
      </c>
      <c r="T88">
        <f>HYPERLINK("https://klasma.github.io/Logging_2303/kartor/A 933-2023 karta.png", "A 933-2023")</f>
        <v/>
      </c>
      <c r="V88">
        <f>HYPERLINK("https://klasma.github.io/Logging_2303/klagomål/A 933-2023 FSC-klagomål.docx", "A 933-2023")</f>
        <v/>
      </c>
      <c r="W88">
        <f>HYPERLINK("https://klasma.github.io/Logging_2303/klagomålsmail/A 933-2023 FSC-klagomål mail.docx", "A 933-2023")</f>
        <v/>
      </c>
      <c r="X88">
        <f>HYPERLINK("https://klasma.github.io/Logging_2303/tillsyn/A 933-2023 tillsynsbegäran.docx", "A 933-2023")</f>
        <v/>
      </c>
      <c r="Y88">
        <f>HYPERLINK("https://klasma.github.io/Logging_2303/tillsynsmail/A 933-2023 tillsynsbegäran mail.docx", "A 933-2023")</f>
        <v/>
      </c>
    </row>
    <row r="89" ht="15" customHeight="1">
      <c r="A89" t="inlineStr">
        <is>
          <t>A 55646-2023</t>
        </is>
      </c>
      <c r="B89" s="1" t="n">
        <v>45238</v>
      </c>
      <c r="C89" s="1" t="n">
        <v>45941</v>
      </c>
      <c r="D89" t="inlineStr">
        <is>
          <t>JÄMTLANDS LÄN</t>
        </is>
      </c>
      <c r="E89" t="inlineStr">
        <is>
          <t>RAGUNDA</t>
        </is>
      </c>
      <c r="F89" t="inlineStr">
        <is>
          <t>SCA</t>
        </is>
      </c>
      <c r="G89" t="n">
        <v>3.9</v>
      </c>
      <c r="H89" t="n">
        <v>0</v>
      </c>
      <c r="I89" t="n">
        <v>1</v>
      </c>
      <c r="J89" t="n">
        <v>5</v>
      </c>
      <c r="K89" t="n">
        <v>0</v>
      </c>
      <c r="L89" t="n">
        <v>0</v>
      </c>
      <c r="M89" t="n">
        <v>0</v>
      </c>
      <c r="N89" t="n">
        <v>0</v>
      </c>
      <c r="O89" t="n">
        <v>5</v>
      </c>
      <c r="P89" t="n">
        <v>0</v>
      </c>
      <c r="Q89" t="n">
        <v>6</v>
      </c>
      <c r="R89" s="2" t="inlineStr">
        <is>
          <t>Gammelgransskål
Garnlav
Lunglav
Skrovellav
Småflikig brosklav
Korallblylav</t>
        </is>
      </c>
      <c r="S89">
        <f>HYPERLINK("https://klasma.github.io/Logging_2303/artfynd/A 55646-2023 artfynd.xlsx", "A 55646-2023")</f>
        <v/>
      </c>
      <c r="T89">
        <f>HYPERLINK("https://klasma.github.io/Logging_2303/kartor/A 55646-2023 karta.png", "A 55646-2023")</f>
        <v/>
      </c>
      <c r="V89">
        <f>HYPERLINK("https://klasma.github.io/Logging_2303/klagomål/A 55646-2023 FSC-klagomål.docx", "A 55646-2023")</f>
        <v/>
      </c>
      <c r="W89">
        <f>HYPERLINK("https://klasma.github.io/Logging_2303/klagomålsmail/A 55646-2023 FSC-klagomål mail.docx", "A 55646-2023")</f>
        <v/>
      </c>
      <c r="X89">
        <f>HYPERLINK("https://klasma.github.io/Logging_2303/tillsyn/A 55646-2023 tillsynsbegäran.docx", "A 55646-2023")</f>
        <v/>
      </c>
      <c r="Y89">
        <f>HYPERLINK("https://klasma.github.io/Logging_2303/tillsynsmail/A 55646-2023 tillsynsbegäran mail.docx", "A 55646-2023")</f>
        <v/>
      </c>
    </row>
    <row r="90" ht="15" customHeight="1">
      <c r="A90" t="inlineStr">
        <is>
          <t>A 14908-2022</t>
        </is>
      </c>
      <c r="B90" s="1" t="n">
        <v>44656</v>
      </c>
      <c r="C90" s="1" t="n">
        <v>45941</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13266-2023</t>
        </is>
      </c>
      <c r="B91" s="1" t="n">
        <v>45002.94356481481</v>
      </c>
      <c r="C91" s="1" t="n">
        <v>45941</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22469-2024</t>
        </is>
      </c>
      <c r="B92" s="1" t="n">
        <v>45446.95087962963</v>
      </c>
      <c r="C92" s="1" t="n">
        <v>45941</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39365-2024</t>
        </is>
      </c>
      <c r="B93" s="1" t="n">
        <v>45551.46912037037</v>
      </c>
      <c r="C93" s="1" t="n">
        <v>45941</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30886-2025</t>
        </is>
      </c>
      <c r="B94" s="1" t="n">
        <v>45832.34578703704</v>
      </c>
      <c r="C94" s="1" t="n">
        <v>45941</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45969-2023</t>
        </is>
      </c>
      <c r="B95" s="1" t="n">
        <v>45195</v>
      </c>
      <c r="C95" s="1" t="n">
        <v>45941</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18629-2024</t>
        </is>
      </c>
      <c r="B96" s="1" t="n">
        <v>45425.96472222222</v>
      </c>
      <c r="C96" s="1" t="n">
        <v>45941</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43106-2023</t>
        </is>
      </c>
      <c r="B97" s="1" t="n">
        <v>45182</v>
      </c>
      <c r="C97" s="1" t="n">
        <v>45941</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35344-2025</t>
        </is>
      </c>
      <c r="B98" s="1" t="n">
        <v>45854.61494212963</v>
      </c>
      <c r="C98" s="1" t="n">
        <v>45941</v>
      </c>
      <c r="D98" t="inlineStr">
        <is>
          <t>JÄMTLANDS LÄN</t>
        </is>
      </c>
      <c r="E98" t="inlineStr">
        <is>
          <t>RAGUNDA</t>
        </is>
      </c>
      <c r="F98" t="inlineStr">
        <is>
          <t>SCA</t>
        </is>
      </c>
      <c r="G98" t="n">
        <v>6.1</v>
      </c>
      <c r="H98" t="n">
        <v>0</v>
      </c>
      <c r="I98" t="n">
        <v>0</v>
      </c>
      <c r="J98" t="n">
        <v>5</v>
      </c>
      <c r="K98" t="n">
        <v>0</v>
      </c>
      <c r="L98" t="n">
        <v>0</v>
      </c>
      <c r="M98" t="n">
        <v>0</v>
      </c>
      <c r="N98" t="n">
        <v>0</v>
      </c>
      <c r="O98" t="n">
        <v>5</v>
      </c>
      <c r="P98" t="n">
        <v>0</v>
      </c>
      <c r="Q98" t="n">
        <v>5</v>
      </c>
      <c r="R98" s="2" t="inlineStr">
        <is>
          <t>Blå taggsvamp
Garnlav
Lunglav
Svart taggsvamp
Vedtrappmossa</t>
        </is>
      </c>
      <c r="S98">
        <f>HYPERLINK("https://klasma.github.io/Logging_2303/artfynd/A 35344-2025 artfynd.xlsx", "A 35344-2025")</f>
        <v/>
      </c>
      <c r="T98">
        <f>HYPERLINK("https://klasma.github.io/Logging_2303/kartor/A 35344-2025 karta.png", "A 35344-2025")</f>
        <v/>
      </c>
      <c r="V98">
        <f>HYPERLINK("https://klasma.github.io/Logging_2303/klagomål/A 35344-2025 FSC-klagomål.docx", "A 35344-2025")</f>
        <v/>
      </c>
      <c r="W98">
        <f>HYPERLINK("https://klasma.github.io/Logging_2303/klagomålsmail/A 35344-2025 FSC-klagomål mail.docx", "A 35344-2025")</f>
        <v/>
      </c>
      <c r="X98">
        <f>HYPERLINK("https://klasma.github.io/Logging_2303/tillsyn/A 35344-2025 tillsynsbegäran.docx", "A 35344-2025")</f>
        <v/>
      </c>
      <c r="Y98">
        <f>HYPERLINK("https://klasma.github.io/Logging_2303/tillsynsmail/A 35344-2025 tillsynsbegäran mail.docx", "A 35344-2025")</f>
        <v/>
      </c>
    </row>
    <row r="99" ht="15" customHeight="1">
      <c r="A99" t="inlineStr">
        <is>
          <t>A 2579-2025</t>
        </is>
      </c>
      <c r="B99" s="1" t="n">
        <v>45674.67744212963</v>
      </c>
      <c r="C99" s="1" t="n">
        <v>45941</v>
      </c>
      <c r="D99" t="inlineStr">
        <is>
          <t>JÄMTLANDS LÄN</t>
        </is>
      </c>
      <c r="E99" t="inlineStr">
        <is>
          <t>RAGUNDA</t>
        </is>
      </c>
      <c r="F99" t="inlineStr">
        <is>
          <t>SCA</t>
        </is>
      </c>
      <c r="G99" t="n">
        <v>5.5</v>
      </c>
      <c r="H99" t="n">
        <v>3</v>
      </c>
      <c r="I99" t="n">
        <v>0</v>
      </c>
      <c r="J99" t="n">
        <v>4</v>
      </c>
      <c r="K99" t="n">
        <v>0</v>
      </c>
      <c r="L99" t="n">
        <v>0</v>
      </c>
      <c r="M99" t="n">
        <v>0</v>
      </c>
      <c r="N99" t="n">
        <v>0</v>
      </c>
      <c r="O99" t="n">
        <v>4</v>
      </c>
      <c r="P99" t="n">
        <v>0</v>
      </c>
      <c r="Q99" t="n">
        <v>5</v>
      </c>
      <c r="R99" s="2" t="inlineStr">
        <is>
          <t>Granticka
Rosenticka
Rördrom
Spillkråka
Revlummer</t>
        </is>
      </c>
      <c r="S99">
        <f>HYPERLINK("https://klasma.github.io/Logging_2303/artfynd/A 2579-2025 artfynd.xlsx", "A 2579-2025")</f>
        <v/>
      </c>
      <c r="T99">
        <f>HYPERLINK("https://klasma.github.io/Logging_2303/kartor/A 2579-2025 karta.png", "A 2579-2025")</f>
        <v/>
      </c>
      <c r="V99">
        <f>HYPERLINK("https://klasma.github.io/Logging_2303/klagomål/A 2579-2025 FSC-klagomål.docx", "A 2579-2025")</f>
        <v/>
      </c>
      <c r="W99">
        <f>HYPERLINK("https://klasma.github.io/Logging_2303/klagomålsmail/A 2579-2025 FSC-klagomål mail.docx", "A 2579-2025")</f>
        <v/>
      </c>
      <c r="X99">
        <f>HYPERLINK("https://klasma.github.io/Logging_2303/tillsyn/A 2579-2025 tillsynsbegäran.docx", "A 2579-2025")</f>
        <v/>
      </c>
      <c r="Y99">
        <f>HYPERLINK("https://klasma.github.io/Logging_2303/tillsynsmail/A 2579-2025 tillsynsbegäran mail.docx", "A 2579-2025")</f>
        <v/>
      </c>
      <c r="Z99">
        <f>HYPERLINK("https://klasma.github.io/Logging_2303/fåglar/A 2579-2025 prioriterade fågelarter.docx", "A 2579-2025")</f>
        <v/>
      </c>
    </row>
    <row r="100" ht="15" customHeight="1">
      <c r="A100" t="inlineStr">
        <is>
          <t>A 57073-2023</t>
        </is>
      </c>
      <c r="B100" s="1" t="n">
        <v>45244</v>
      </c>
      <c r="C100" s="1" t="n">
        <v>45941</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27313-2024</t>
        </is>
      </c>
      <c r="B101" s="1" t="n">
        <v>45471.94623842592</v>
      </c>
      <c r="C101" s="1" t="n">
        <v>45941</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39974-2025</t>
        </is>
      </c>
      <c r="B102" s="1" t="n">
        <v>45893.38599537037</v>
      </c>
      <c r="C102" s="1" t="n">
        <v>45941</v>
      </c>
      <c r="D102" t="inlineStr">
        <is>
          <t>JÄMTLANDS LÄN</t>
        </is>
      </c>
      <c r="E102" t="inlineStr">
        <is>
          <t>RAGUNDA</t>
        </is>
      </c>
      <c r="F102" t="inlineStr">
        <is>
          <t>SCA</t>
        </is>
      </c>
      <c r="G102" t="n">
        <v>2.5</v>
      </c>
      <c r="H102" t="n">
        <v>0</v>
      </c>
      <c r="I102" t="n">
        <v>2</v>
      </c>
      <c r="J102" t="n">
        <v>3</v>
      </c>
      <c r="K102" t="n">
        <v>0</v>
      </c>
      <c r="L102" t="n">
        <v>0</v>
      </c>
      <c r="M102" t="n">
        <v>0</v>
      </c>
      <c r="N102" t="n">
        <v>0</v>
      </c>
      <c r="O102" t="n">
        <v>3</v>
      </c>
      <c r="P102" t="n">
        <v>0</v>
      </c>
      <c r="Q102" t="n">
        <v>5</v>
      </c>
      <c r="R102" s="2" t="inlineStr">
        <is>
          <t>Garnlav
Lunglav
Skrovellav
Dropptaggsvamp
Luddlav</t>
        </is>
      </c>
      <c r="S102">
        <f>HYPERLINK("https://klasma.github.io/Logging_2303/artfynd/A 39974-2025 artfynd.xlsx", "A 39974-2025")</f>
        <v/>
      </c>
      <c r="T102">
        <f>HYPERLINK("https://klasma.github.io/Logging_2303/kartor/A 39974-2025 karta.png", "A 39974-2025")</f>
        <v/>
      </c>
      <c r="V102">
        <f>HYPERLINK("https://klasma.github.io/Logging_2303/klagomål/A 39974-2025 FSC-klagomål.docx", "A 39974-2025")</f>
        <v/>
      </c>
      <c r="W102">
        <f>HYPERLINK("https://klasma.github.io/Logging_2303/klagomålsmail/A 39974-2025 FSC-klagomål mail.docx", "A 39974-2025")</f>
        <v/>
      </c>
      <c r="X102">
        <f>HYPERLINK("https://klasma.github.io/Logging_2303/tillsyn/A 39974-2025 tillsynsbegäran.docx", "A 39974-2025")</f>
        <v/>
      </c>
      <c r="Y102">
        <f>HYPERLINK("https://klasma.github.io/Logging_2303/tillsynsmail/A 39974-2025 tillsynsbegäran mail.docx", "A 39974-2025")</f>
        <v/>
      </c>
    </row>
    <row r="103" ht="15" customHeight="1">
      <c r="A103" t="inlineStr">
        <is>
          <t>A 12024-2022</t>
        </is>
      </c>
      <c r="B103" s="1" t="n">
        <v>44635</v>
      </c>
      <c r="C103" s="1" t="n">
        <v>45941</v>
      </c>
      <c r="D103" t="inlineStr">
        <is>
          <t>JÄMTLANDS LÄN</t>
        </is>
      </c>
      <c r="E103" t="inlineStr">
        <is>
          <t>RAGUNDA</t>
        </is>
      </c>
      <c r="F103" t="inlineStr">
        <is>
          <t>SCA</t>
        </is>
      </c>
      <c r="G103" t="n">
        <v>4.9</v>
      </c>
      <c r="H103" t="n">
        <v>1</v>
      </c>
      <c r="I103" t="n">
        <v>1</v>
      </c>
      <c r="J103" t="n">
        <v>3</v>
      </c>
      <c r="K103" t="n">
        <v>1</v>
      </c>
      <c r="L103" t="n">
        <v>0</v>
      </c>
      <c r="M103" t="n">
        <v>0</v>
      </c>
      <c r="N103" t="n">
        <v>0</v>
      </c>
      <c r="O103" t="n">
        <v>4</v>
      </c>
      <c r="P103" t="n">
        <v>1</v>
      </c>
      <c r="Q103" t="n">
        <v>5</v>
      </c>
      <c r="R103" s="2" t="inlineStr">
        <is>
          <t>Rynkskinn
Garnlav
Tretåig hackspett
Vitgrynig nållav
Dropptaggsvamp</t>
        </is>
      </c>
      <c r="S103">
        <f>HYPERLINK("https://klasma.github.io/Logging_2303/artfynd/A 12024-2022 artfynd.xlsx", "A 12024-2022")</f>
        <v/>
      </c>
      <c r="T103">
        <f>HYPERLINK("https://klasma.github.io/Logging_2303/kartor/A 12024-2022 karta.png", "A 12024-2022")</f>
        <v/>
      </c>
      <c r="V103">
        <f>HYPERLINK("https://klasma.github.io/Logging_2303/klagomål/A 12024-2022 FSC-klagomål.docx", "A 12024-2022")</f>
        <v/>
      </c>
      <c r="W103">
        <f>HYPERLINK("https://klasma.github.io/Logging_2303/klagomålsmail/A 12024-2022 FSC-klagomål mail.docx", "A 12024-2022")</f>
        <v/>
      </c>
      <c r="X103">
        <f>HYPERLINK("https://klasma.github.io/Logging_2303/tillsyn/A 12024-2022 tillsynsbegäran.docx", "A 12024-2022")</f>
        <v/>
      </c>
      <c r="Y103">
        <f>HYPERLINK("https://klasma.github.io/Logging_2303/tillsynsmail/A 12024-2022 tillsynsbegäran mail.docx", "A 12024-2022")</f>
        <v/>
      </c>
      <c r="Z103">
        <f>HYPERLINK("https://klasma.github.io/Logging_2303/fåglar/A 12024-2022 prioriterade fågelarter.docx", "A 12024-2022")</f>
        <v/>
      </c>
    </row>
    <row r="104" ht="15" customHeight="1">
      <c r="A104" t="inlineStr">
        <is>
          <t>A 60683-2022</t>
        </is>
      </c>
      <c r="B104" s="1" t="n">
        <v>44911</v>
      </c>
      <c r="C104" s="1" t="n">
        <v>45941</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15379-2024</t>
        </is>
      </c>
      <c r="B105" s="1" t="n">
        <v>45400.94002314815</v>
      </c>
      <c r="C105" s="1" t="n">
        <v>45941</v>
      </c>
      <c r="D105" t="inlineStr">
        <is>
          <t>JÄMTLANDS LÄN</t>
        </is>
      </c>
      <c r="E105" t="inlineStr">
        <is>
          <t>RAGUNDA</t>
        </is>
      </c>
      <c r="F105" t="inlineStr">
        <is>
          <t>SCA</t>
        </is>
      </c>
      <c r="G105" t="n">
        <v>4.2</v>
      </c>
      <c r="H105" t="n">
        <v>3</v>
      </c>
      <c r="I105" t="n">
        <v>3</v>
      </c>
      <c r="J105" t="n">
        <v>0</v>
      </c>
      <c r="K105" t="n">
        <v>1</v>
      </c>
      <c r="L105" t="n">
        <v>0</v>
      </c>
      <c r="M105" t="n">
        <v>0</v>
      </c>
      <c r="N105" t="n">
        <v>0</v>
      </c>
      <c r="O105" t="n">
        <v>1</v>
      </c>
      <c r="P105" t="n">
        <v>1</v>
      </c>
      <c r="Q105" t="n">
        <v>5</v>
      </c>
      <c r="R105" s="2" t="inlineStr">
        <is>
          <t>Knärot
Finbräken
Guckusko
Svavelriska
Blåsippa</t>
        </is>
      </c>
      <c r="S105">
        <f>HYPERLINK("https://klasma.github.io/Logging_2303/artfynd/A 15379-2024 artfynd.xlsx", "A 15379-2024")</f>
        <v/>
      </c>
      <c r="T105">
        <f>HYPERLINK("https://klasma.github.io/Logging_2303/kartor/A 15379-2024 karta.png", "A 15379-2024")</f>
        <v/>
      </c>
      <c r="U105">
        <f>HYPERLINK("https://klasma.github.io/Logging_2303/knärot/A 15379-2024 karta knärot.png", "A 15379-2024")</f>
        <v/>
      </c>
      <c r="V105">
        <f>HYPERLINK("https://klasma.github.io/Logging_2303/klagomål/A 15379-2024 FSC-klagomål.docx", "A 15379-2024")</f>
        <v/>
      </c>
      <c r="W105">
        <f>HYPERLINK("https://klasma.github.io/Logging_2303/klagomålsmail/A 15379-2024 FSC-klagomål mail.docx", "A 15379-2024")</f>
        <v/>
      </c>
      <c r="X105">
        <f>HYPERLINK("https://klasma.github.io/Logging_2303/tillsyn/A 15379-2024 tillsynsbegäran.docx", "A 15379-2024")</f>
        <v/>
      </c>
      <c r="Y105">
        <f>HYPERLINK("https://klasma.github.io/Logging_2303/tillsynsmail/A 15379-2024 tillsynsbegäran mail.docx", "A 15379-2024")</f>
        <v/>
      </c>
    </row>
    <row r="106" ht="15" customHeight="1">
      <c r="A106" t="inlineStr">
        <is>
          <t>A 38169-2024</t>
        </is>
      </c>
      <c r="B106" s="1" t="n">
        <v>45545.45748842593</v>
      </c>
      <c r="C106" s="1" t="n">
        <v>45941</v>
      </c>
      <c r="D106" t="inlineStr">
        <is>
          <t>JÄMTLANDS LÄN</t>
        </is>
      </c>
      <c r="E106" t="inlineStr">
        <is>
          <t>RAGUNDA</t>
        </is>
      </c>
      <c r="G106" t="n">
        <v>7.5</v>
      </c>
      <c r="H106" t="n">
        <v>2</v>
      </c>
      <c r="I106" t="n">
        <v>0</v>
      </c>
      <c r="J106" t="n">
        <v>5</v>
      </c>
      <c r="K106" t="n">
        <v>0</v>
      </c>
      <c r="L106" t="n">
        <v>0</v>
      </c>
      <c r="M106" t="n">
        <v>0</v>
      </c>
      <c r="N106" t="n">
        <v>0</v>
      </c>
      <c r="O106" t="n">
        <v>5</v>
      </c>
      <c r="P106" t="n">
        <v>0</v>
      </c>
      <c r="Q106" t="n">
        <v>5</v>
      </c>
      <c r="R106" s="2" t="inlineStr">
        <is>
          <t>Garnlav
Lunglav
Skrovellav
Talltita
Tretåig hackspett</t>
        </is>
      </c>
      <c r="S106">
        <f>HYPERLINK("https://klasma.github.io/Logging_2303/artfynd/A 38169-2024 artfynd.xlsx", "A 38169-2024")</f>
        <v/>
      </c>
      <c r="T106">
        <f>HYPERLINK("https://klasma.github.io/Logging_2303/kartor/A 38169-2024 karta.png", "A 38169-2024")</f>
        <v/>
      </c>
      <c r="V106">
        <f>HYPERLINK("https://klasma.github.io/Logging_2303/klagomål/A 38169-2024 FSC-klagomål.docx", "A 38169-2024")</f>
        <v/>
      </c>
      <c r="W106">
        <f>HYPERLINK("https://klasma.github.io/Logging_2303/klagomålsmail/A 38169-2024 FSC-klagomål mail.docx", "A 38169-2024")</f>
        <v/>
      </c>
      <c r="X106">
        <f>HYPERLINK("https://klasma.github.io/Logging_2303/tillsyn/A 38169-2024 tillsynsbegäran.docx", "A 38169-2024")</f>
        <v/>
      </c>
      <c r="Y106">
        <f>HYPERLINK("https://klasma.github.io/Logging_2303/tillsynsmail/A 38169-2024 tillsynsbegäran mail.docx", "A 38169-2024")</f>
        <v/>
      </c>
      <c r="Z106">
        <f>HYPERLINK("https://klasma.github.io/Logging_2303/fåglar/A 38169-2024 prioriterade fågelarter.docx", "A 38169-2024")</f>
        <v/>
      </c>
    </row>
    <row r="107" ht="15" customHeight="1">
      <c r="A107" t="inlineStr">
        <is>
          <t>A 15244-2025</t>
        </is>
      </c>
      <c r="B107" s="1" t="n">
        <v>45744.61550925926</v>
      </c>
      <c r="C107" s="1" t="n">
        <v>45941</v>
      </c>
      <c r="D107" t="inlineStr">
        <is>
          <t>JÄMTLANDS LÄN</t>
        </is>
      </c>
      <c r="E107" t="inlineStr">
        <is>
          <t>RAGUNDA</t>
        </is>
      </c>
      <c r="F107" t="inlineStr">
        <is>
          <t>SCA</t>
        </is>
      </c>
      <c r="G107" t="n">
        <v>2.6</v>
      </c>
      <c r="H107" t="n">
        <v>0</v>
      </c>
      <c r="I107" t="n">
        <v>2</v>
      </c>
      <c r="J107" t="n">
        <v>3</v>
      </c>
      <c r="K107" t="n">
        <v>0</v>
      </c>
      <c r="L107" t="n">
        <v>0</v>
      </c>
      <c r="M107" t="n">
        <v>0</v>
      </c>
      <c r="N107" t="n">
        <v>0</v>
      </c>
      <c r="O107" t="n">
        <v>3</v>
      </c>
      <c r="P107" t="n">
        <v>0</v>
      </c>
      <c r="Q107" t="n">
        <v>5</v>
      </c>
      <c r="R107" s="2" t="inlineStr">
        <is>
          <t>Garnlav
Rosenticka
Ullticka
Stuplav
Vedticka</t>
        </is>
      </c>
      <c r="S107">
        <f>HYPERLINK("https://klasma.github.io/Logging_2303/artfynd/A 15244-2025 artfynd.xlsx", "A 15244-2025")</f>
        <v/>
      </c>
      <c r="T107">
        <f>HYPERLINK("https://klasma.github.io/Logging_2303/kartor/A 15244-2025 karta.png", "A 15244-2025")</f>
        <v/>
      </c>
      <c r="V107">
        <f>HYPERLINK("https://klasma.github.io/Logging_2303/klagomål/A 15244-2025 FSC-klagomål.docx", "A 15244-2025")</f>
        <v/>
      </c>
      <c r="W107">
        <f>HYPERLINK("https://klasma.github.io/Logging_2303/klagomålsmail/A 15244-2025 FSC-klagomål mail.docx", "A 15244-2025")</f>
        <v/>
      </c>
      <c r="X107">
        <f>HYPERLINK("https://klasma.github.io/Logging_2303/tillsyn/A 15244-2025 tillsynsbegäran.docx", "A 15244-2025")</f>
        <v/>
      </c>
      <c r="Y107">
        <f>HYPERLINK("https://klasma.github.io/Logging_2303/tillsynsmail/A 15244-2025 tillsynsbegäran mail.docx", "A 15244-2025")</f>
        <v/>
      </c>
    </row>
    <row r="108" ht="15" customHeight="1">
      <c r="A108" t="inlineStr">
        <is>
          <t>A 8636-2021</t>
        </is>
      </c>
      <c r="B108" s="1" t="n">
        <v>44245</v>
      </c>
      <c r="C108" s="1" t="n">
        <v>45941</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19851-2022</t>
        </is>
      </c>
      <c r="B109" s="1" t="n">
        <v>44696</v>
      </c>
      <c r="C109" s="1" t="n">
        <v>45941</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45941</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26082-2025</t>
        </is>
      </c>
      <c r="B111" s="1" t="n">
        <v>45805.34415509259</v>
      </c>
      <c r="C111" s="1" t="n">
        <v>45941</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23931-2024</t>
        </is>
      </c>
      <c r="B112" s="1" t="n">
        <v>45455.96195601852</v>
      </c>
      <c r="C112" s="1" t="n">
        <v>45941</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32067-2024</t>
        </is>
      </c>
      <c r="B113" s="1" t="n">
        <v>45510</v>
      </c>
      <c r="C113" s="1" t="n">
        <v>45941</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52644-2024</t>
        </is>
      </c>
      <c r="B114" s="1" t="n">
        <v>45610.34415509259</v>
      </c>
      <c r="C114" s="1" t="n">
        <v>45941</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32903-2024</t>
        </is>
      </c>
      <c r="B115" s="1" t="n">
        <v>45516.94723379629</v>
      </c>
      <c r="C115" s="1" t="n">
        <v>45941</v>
      </c>
      <c r="D115" t="inlineStr">
        <is>
          <t>JÄMTLANDS LÄN</t>
        </is>
      </c>
      <c r="E115" t="inlineStr">
        <is>
          <t>RAGUNDA</t>
        </is>
      </c>
      <c r="F115" t="inlineStr">
        <is>
          <t>SCA</t>
        </is>
      </c>
      <c r="G115" t="n">
        <v>4.7</v>
      </c>
      <c r="H115" t="n">
        <v>0</v>
      </c>
      <c r="I115" t="n">
        <v>2</v>
      </c>
      <c r="J115" t="n">
        <v>1</v>
      </c>
      <c r="K115" t="n">
        <v>1</v>
      </c>
      <c r="L115" t="n">
        <v>0</v>
      </c>
      <c r="M115" t="n">
        <v>0</v>
      </c>
      <c r="N115" t="n">
        <v>0</v>
      </c>
      <c r="O115" t="n">
        <v>2</v>
      </c>
      <c r="P115" t="n">
        <v>1</v>
      </c>
      <c r="Q115" t="n">
        <v>4</v>
      </c>
      <c r="R115" s="2" t="inlineStr">
        <is>
          <t>Lappticka
Lunglav
Bollvitmossa
Luddlav</t>
        </is>
      </c>
      <c r="S115">
        <f>HYPERLINK("https://klasma.github.io/Logging_2303/artfynd/A 32903-2024 artfynd.xlsx", "A 32903-2024")</f>
        <v/>
      </c>
      <c r="T115">
        <f>HYPERLINK("https://klasma.github.io/Logging_2303/kartor/A 32903-2024 karta.png", "A 32903-2024")</f>
        <v/>
      </c>
      <c r="V115">
        <f>HYPERLINK("https://klasma.github.io/Logging_2303/klagomål/A 32903-2024 FSC-klagomål.docx", "A 32903-2024")</f>
        <v/>
      </c>
      <c r="W115">
        <f>HYPERLINK("https://klasma.github.io/Logging_2303/klagomålsmail/A 32903-2024 FSC-klagomål mail.docx", "A 32903-2024")</f>
        <v/>
      </c>
      <c r="X115">
        <f>HYPERLINK("https://klasma.github.io/Logging_2303/tillsyn/A 32903-2024 tillsynsbegäran.docx", "A 32903-2024")</f>
        <v/>
      </c>
      <c r="Y115">
        <f>HYPERLINK("https://klasma.github.io/Logging_2303/tillsynsmail/A 32903-2024 tillsynsbegäran mail.docx", "A 32903-2024")</f>
        <v/>
      </c>
    </row>
    <row r="116" ht="15" customHeight="1">
      <c r="A116" t="inlineStr">
        <is>
          <t>A 15836-2024</t>
        </is>
      </c>
      <c r="B116" s="1" t="n">
        <v>45404</v>
      </c>
      <c r="C116" s="1" t="n">
        <v>45941</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30465-2024</t>
        </is>
      </c>
      <c r="B117" s="1" t="n">
        <v>45491</v>
      </c>
      <c r="C117" s="1" t="n">
        <v>45941</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22467-2025</t>
        </is>
      </c>
      <c r="B118" s="1" t="n">
        <v>45786.61534722222</v>
      </c>
      <c r="C118" s="1" t="n">
        <v>45941</v>
      </c>
      <c r="D118" t="inlineStr">
        <is>
          <t>JÄMTLANDS LÄN</t>
        </is>
      </c>
      <c r="E118" t="inlineStr">
        <is>
          <t>RAGUNDA</t>
        </is>
      </c>
      <c r="F118" t="inlineStr">
        <is>
          <t>SCA</t>
        </is>
      </c>
      <c r="G118" t="n">
        <v>1.7</v>
      </c>
      <c r="H118" t="n">
        <v>1</v>
      </c>
      <c r="I118" t="n">
        <v>1</v>
      </c>
      <c r="J118" t="n">
        <v>3</v>
      </c>
      <c r="K118" t="n">
        <v>0</v>
      </c>
      <c r="L118" t="n">
        <v>0</v>
      </c>
      <c r="M118" t="n">
        <v>0</v>
      </c>
      <c r="N118" t="n">
        <v>0</v>
      </c>
      <c r="O118" t="n">
        <v>3</v>
      </c>
      <c r="P118" t="n">
        <v>0</v>
      </c>
      <c r="Q118" t="n">
        <v>4</v>
      </c>
      <c r="R118" s="2" t="inlineStr">
        <is>
          <t>Garnlav
Järpe
Lunglav
Bårdlav</t>
        </is>
      </c>
      <c r="S118">
        <f>HYPERLINK("https://klasma.github.io/Logging_2303/artfynd/A 22467-2025 artfynd.xlsx", "A 22467-2025")</f>
        <v/>
      </c>
      <c r="T118">
        <f>HYPERLINK("https://klasma.github.io/Logging_2303/kartor/A 22467-2025 karta.png", "A 22467-2025")</f>
        <v/>
      </c>
      <c r="V118">
        <f>HYPERLINK("https://klasma.github.io/Logging_2303/klagomål/A 22467-2025 FSC-klagomål.docx", "A 22467-2025")</f>
        <v/>
      </c>
      <c r="W118">
        <f>HYPERLINK("https://klasma.github.io/Logging_2303/klagomålsmail/A 22467-2025 FSC-klagomål mail.docx", "A 22467-2025")</f>
        <v/>
      </c>
      <c r="X118">
        <f>HYPERLINK("https://klasma.github.io/Logging_2303/tillsyn/A 22467-2025 tillsynsbegäran.docx", "A 22467-2025")</f>
        <v/>
      </c>
      <c r="Y118">
        <f>HYPERLINK("https://klasma.github.io/Logging_2303/tillsynsmail/A 22467-2025 tillsynsbegäran mail.docx", "A 22467-2025")</f>
        <v/>
      </c>
      <c r="Z118">
        <f>HYPERLINK("https://klasma.github.io/Logging_2303/fåglar/A 22467-2025 prioriterade fågelarter.docx", "A 22467-2025")</f>
        <v/>
      </c>
    </row>
    <row r="119" ht="15" customHeight="1">
      <c r="A119" t="inlineStr">
        <is>
          <t>A 17092-2022</t>
        </is>
      </c>
      <c r="B119" s="1" t="n">
        <v>44677</v>
      </c>
      <c r="C119" s="1" t="n">
        <v>45941</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23682-2021</t>
        </is>
      </c>
      <c r="B120" s="1" t="n">
        <v>44334</v>
      </c>
      <c r="C120" s="1" t="n">
        <v>45941</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44334.62565972222</v>
      </c>
      <c r="C121" s="1" t="n">
        <v>45941</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40653-2025</t>
        </is>
      </c>
      <c r="B122" s="1" t="n">
        <v>45896.63618055556</v>
      </c>
      <c r="C122" s="1" t="n">
        <v>45941</v>
      </c>
      <c r="D122" t="inlineStr">
        <is>
          <t>JÄMTLANDS LÄN</t>
        </is>
      </c>
      <c r="E122" t="inlineStr">
        <is>
          <t>RAGUNDA</t>
        </is>
      </c>
      <c r="F122" t="inlineStr">
        <is>
          <t>SCA</t>
        </is>
      </c>
      <c r="G122" t="n">
        <v>3.9</v>
      </c>
      <c r="H122" t="n">
        <v>0</v>
      </c>
      <c r="I122" t="n">
        <v>1</v>
      </c>
      <c r="J122" t="n">
        <v>3</v>
      </c>
      <c r="K122" t="n">
        <v>0</v>
      </c>
      <c r="L122" t="n">
        <v>0</v>
      </c>
      <c r="M122" t="n">
        <v>0</v>
      </c>
      <c r="N122" t="n">
        <v>0</v>
      </c>
      <c r="O122" t="n">
        <v>3</v>
      </c>
      <c r="P122" t="n">
        <v>0</v>
      </c>
      <c r="Q122" t="n">
        <v>4</v>
      </c>
      <c r="R122" s="2" t="inlineStr">
        <is>
          <t>Blå taggsvamp
Garnlav
Mörk kolflarnlav
Dropptaggsvamp</t>
        </is>
      </c>
      <c r="S122">
        <f>HYPERLINK("https://klasma.github.io/Logging_2303/artfynd/A 40653-2025 artfynd.xlsx", "A 40653-2025")</f>
        <v/>
      </c>
      <c r="T122">
        <f>HYPERLINK("https://klasma.github.io/Logging_2303/kartor/A 40653-2025 karta.png", "A 40653-2025")</f>
        <v/>
      </c>
      <c r="V122">
        <f>HYPERLINK("https://klasma.github.io/Logging_2303/klagomål/A 40653-2025 FSC-klagomål.docx", "A 40653-2025")</f>
        <v/>
      </c>
      <c r="W122">
        <f>HYPERLINK("https://klasma.github.io/Logging_2303/klagomålsmail/A 40653-2025 FSC-klagomål mail.docx", "A 40653-2025")</f>
        <v/>
      </c>
      <c r="X122">
        <f>HYPERLINK("https://klasma.github.io/Logging_2303/tillsyn/A 40653-2025 tillsynsbegäran.docx", "A 40653-2025")</f>
        <v/>
      </c>
      <c r="Y122">
        <f>HYPERLINK("https://klasma.github.io/Logging_2303/tillsynsmail/A 40653-2025 tillsynsbegäran mail.docx", "A 40653-2025")</f>
        <v/>
      </c>
    </row>
    <row r="123" ht="15" customHeight="1">
      <c r="A123" t="inlineStr">
        <is>
          <t>A 30483-2024</t>
        </is>
      </c>
      <c r="B123" s="1" t="n">
        <v>45491</v>
      </c>
      <c r="C123" s="1" t="n">
        <v>45941</v>
      </c>
      <c r="D123" t="inlineStr">
        <is>
          <t>JÄMTLANDS LÄN</t>
        </is>
      </c>
      <c r="E123" t="inlineStr">
        <is>
          <t>RAGUNDA</t>
        </is>
      </c>
      <c r="F123" t="inlineStr">
        <is>
          <t>SCA</t>
        </is>
      </c>
      <c r="G123" t="n">
        <v>1.6</v>
      </c>
      <c r="H123" t="n">
        <v>1</v>
      </c>
      <c r="I123" t="n">
        <v>0</v>
      </c>
      <c r="J123" t="n">
        <v>4</v>
      </c>
      <c r="K123" t="n">
        <v>0</v>
      </c>
      <c r="L123" t="n">
        <v>0</v>
      </c>
      <c r="M123" t="n">
        <v>0</v>
      </c>
      <c r="N123" t="n">
        <v>0</v>
      </c>
      <c r="O123" t="n">
        <v>4</v>
      </c>
      <c r="P123" t="n">
        <v>0</v>
      </c>
      <c r="Q123" t="n">
        <v>4</v>
      </c>
      <c r="R123" s="2" t="inlineStr">
        <is>
          <t>Dvärgbägarlav
Järpe
Kolflarnlav
Vedskivlav</t>
        </is>
      </c>
      <c r="S123">
        <f>HYPERLINK("https://klasma.github.io/Logging_2303/artfynd/A 30483-2024 artfynd.xlsx", "A 30483-2024")</f>
        <v/>
      </c>
      <c r="T123">
        <f>HYPERLINK("https://klasma.github.io/Logging_2303/kartor/A 30483-2024 karta.png", "A 30483-2024")</f>
        <v/>
      </c>
      <c r="V123">
        <f>HYPERLINK("https://klasma.github.io/Logging_2303/klagomål/A 30483-2024 FSC-klagomål.docx", "A 30483-2024")</f>
        <v/>
      </c>
      <c r="W123">
        <f>HYPERLINK("https://klasma.github.io/Logging_2303/klagomålsmail/A 30483-2024 FSC-klagomål mail.docx", "A 30483-2024")</f>
        <v/>
      </c>
      <c r="X123">
        <f>HYPERLINK("https://klasma.github.io/Logging_2303/tillsyn/A 30483-2024 tillsynsbegäran.docx", "A 30483-2024")</f>
        <v/>
      </c>
      <c r="Y123">
        <f>HYPERLINK("https://klasma.github.io/Logging_2303/tillsynsmail/A 30483-2024 tillsynsbegäran mail.docx", "A 30483-2024")</f>
        <v/>
      </c>
      <c r="Z123">
        <f>HYPERLINK("https://klasma.github.io/Logging_2303/fåglar/A 30483-2024 prioriterade fågelarter.docx", "A 30483-2024")</f>
        <v/>
      </c>
    </row>
    <row r="124" ht="15" customHeight="1">
      <c r="A124" t="inlineStr">
        <is>
          <t>A 43960-2023</t>
        </is>
      </c>
      <c r="B124" s="1" t="n">
        <v>45187</v>
      </c>
      <c r="C124" s="1" t="n">
        <v>45941</v>
      </c>
      <c r="D124" t="inlineStr">
        <is>
          <t>JÄMTLANDS LÄN</t>
        </is>
      </c>
      <c r="E124" t="inlineStr">
        <is>
          <t>RAGUNDA</t>
        </is>
      </c>
      <c r="F124" t="inlineStr">
        <is>
          <t>SCA</t>
        </is>
      </c>
      <c r="G124" t="n">
        <v>5.5</v>
      </c>
      <c r="H124" t="n">
        <v>0</v>
      </c>
      <c r="I124" t="n">
        <v>1</v>
      </c>
      <c r="J124" t="n">
        <v>3</v>
      </c>
      <c r="K124" t="n">
        <v>0</v>
      </c>
      <c r="L124" t="n">
        <v>0</v>
      </c>
      <c r="M124" t="n">
        <v>0</v>
      </c>
      <c r="N124" t="n">
        <v>0</v>
      </c>
      <c r="O124" t="n">
        <v>3</v>
      </c>
      <c r="P124" t="n">
        <v>0</v>
      </c>
      <c r="Q124" t="n">
        <v>4</v>
      </c>
      <c r="R124" s="2" t="inlineStr">
        <is>
          <t>Granticka
Vedflikmossa
Vedtrappmossa
Vedticka</t>
        </is>
      </c>
      <c r="S124">
        <f>HYPERLINK("https://klasma.github.io/Logging_2303/artfynd/A 43960-2023 artfynd.xlsx", "A 43960-2023")</f>
        <v/>
      </c>
      <c r="T124">
        <f>HYPERLINK("https://klasma.github.io/Logging_2303/kartor/A 43960-2023 karta.png", "A 43960-2023")</f>
        <v/>
      </c>
      <c r="V124">
        <f>HYPERLINK("https://klasma.github.io/Logging_2303/klagomål/A 43960-2023 FSC-klagomål.docx", "A 43960-2023")</f>
        <v/>
      </c>
      <c r="W124">
        <f>HYPERLINK("https://klasma.github.io/Logging_2303/klagomålsmail/A 43960-2023 FSC-klagomål mail.docx", "A 43960-2023")</f>
        <v/>
      </c>
      <c r="X124">
        <f>HYPERLINK("https://klasma.github.io/Logging_2303/tillsyn/A 43960-2023 tillsynsbegäran.docx", "A 43960-2023")</f>
        <v/>
      </c>
      <c r="Y124">
        <f>HYPERLINK("https://klasma.github.io/Logging_2303/tillsynsmail/A 43960-2023 tillsynsbegäran mail.docx", "A 43960-2023")</f>
        <v/>
      </c>
    </row>
    <row r="125" ht="15" customHeight="1">
      <c r="A125" t="inlineStr">
        <is>
          <t>A 60670-2022</t>
        </is>
      </c>
      <c r="B125" s="1" t="n">
        <v>44911</v>
      </c>
      <c r="C125" s="1" t="n">
        <v>45941</v>
      </c>
      <c r="D125" t="inlineStr">
        <is>
          <t>JÄMTLANDS LÄN</t>
        </is>
      </c>
      <c r="E125" t="inlineStr">
        <is>
          <t>RAGUNDA</t>
        </is>
      </c>
      <c r="F125" t="inlineStr">
        <is>
          <t>SCA</t>
        </is>
      </c>
      <c r="G125" t="n">
        <v>5.1</v>
      </c>
      <c r="H125" t="n">
        <v>0</v>
      </c>
      <c r="I125" t="n">
        <v>0</v>
      </c>
      <c r="J125" t="n">
        <v>4</v>
      </c>
      <c r="K125" t="n">
        <v>0</v>
      </c>
      <c r="L125" t="n">
        <v>0</v>
      </c>
      <c r="M125" t="n">
        <v>0</v>
      </c>
      <c r="N125" t="n">
        <v>0</v>
      </c>
      <c r="O125" t="n">
        <v>4</v>
      </c>
      <c r="P125" t="n">
        <v>0</v>
      </c>
      <c r="Q125" t="n">
        <v>4</v>
      </c>
      <c r="R125" s="2" t="inlineStr">
        <is>
          <t>Doftskinn
Gammelgransskål
Lunglav
Ullticka</t>
        </is>
      </c>
      <c r="S125">
        <f>HYPERLINK("https://klasma.github.io/Logging_2303/artfynd/A 60670-2022 artfynd.xlsx", "A 60670-2022")</f>
        <v/>
      </c>
      <c r="T125">
        <f>HYPERLINK("https://klasma.github.io/Logging_2303/kartor/A 60670-2022 karta.png", "A 60670-2022")</f>
        <v/>
      </c>
      <c r="V125">
        <f>HYPERLINK("https://klasma.github.io/Logging_2303/klagomål/A 60670-2022 FSC-klagomål.docx", "A 60670-2022")</f>
        <v/>
      </c>
      <c r="W125">
        <f>HYPERLINK("https://klasma.github.io/Logging_2303/klagomålsmail/A 60670-2022 FSC-klagomål mail.docx", "A 60670-2022")</f>
        <v/>
      </c>
      <c r="X125">
        <f>HYPERLINK("https://klasma.github.io/Logging_2303/tillsyn/A 60670-2022 tillsynsbegäran.docx", "A 60670-2022")</f>
        <v/>
      </c>
      <c r="Y125">
        <f>HYPERLINK("https://klasma.github.io/Logging_2303/tillsynsmail/A 60670-2022 tillsynsbegäran mail.docx", "A 60670-2022")</f>
        <v/>
      </c>
    </row>
    <row r="126" ht="15" customHeight="1">
      <c r="A126" t="inlineStr">
        <is>
          <t>A 19401-2025</t>
        </is>
      </c>
      <c r="B126" s="1" t="n">
        <v>45769.67767361111</v>
      </c>
      <c r="C126" s="1" t="n">
        <v>45941</v>
      </c>
      <c r="D126" t="inlineStr">
        <is>
          <t>JÄMTLANDS LÄN</t>
        </is>
      </c>
      <c r="E126" t="inlineStr">
        <is>
          <t>RAGUNDA</t>
        </is>
      </c>
      <c r="F126" t="inlineStr">
        <is>
          <t>SCA</t>
        </is>
      </c>
      <c r="G126" t="n">
        <v>4.3</v>
      </c>
      <c r="H126" t="n">
        <v>1</v>
      </c>
      <c r="I126" t="n">
        <v>0</v>
      </c>
      <c r="J126" t="n">
        <v>2</v>
      </c>
      <c r="K126" t="n">
        <v>2</v>
      </c>
      <c r="L126" t="n">
        <v>0</v>
      </c>
      <c r="M126" t="n">
        <v>0</v>
      </c>
      <c r="N126" t="n">
        <v>0</v>
      </c>
      <c r="O126" t="n">
        <v>4</v>
      </c>
      <c r="P126" t="n">
        <v>2</v>
      </c>
      <c r="Q126" t="n">
        <v>4</v>
      </c>
      <c r="R126" s="2" t="inlineStr">
        <is>
          <t>Knärot
Rynkskinn
Rosenticka
Vitgrynig nållav</t>
        </is>
      </c>
      <c r="S126">
        <f>HYPERLINK("https://klasma.github.io/Logging_2303/artfynd/A 19401-2025 artfynd.xlsx", "A 19401-2025")</f>
        <v/>
      </c>
      <c r="T126">
        <f>HYPERLINK("https://klasma.github.io/Logging_2303/kartor/A 19401-2025 karta.png", "A 19401-2025")</f>
        <v/>
      </c>
      <c r="U126">
        <f>HYPERLINK("https://klasma.github.io/Logging_2303/knärot/A 19401-2025 karta knärot.png", "A 19401-2025")</f>
        <v/>
      </c>
      <c r="V126">
        <f>HYPERLINK("https://klasma.github.io/Logging_2303/klagomål/A 19401-2025 FSC-klagomål.docx", "A 19401-2025")</f>
        <v/>
      </c>
      <c r="W126">
        <f>HYPERLINK("https://klasma.github.io/Logging_2303/klagomålsmail/A 19401-2025 FSC-klagomål mail.docx", "A 19401-2025")</f>
        <v/>
      </c>
      <c r="X126">
        <f>HYPERLINK("https://klasma.github.io/Logging_2303/tillsyn/A 19401-2025 tillsynsbegäran.docx", "A 19401-2025")</f>
        <v/>
      </c>
      <c r="Y126">
        <f>HYPERLINK("https://klasma.github.io/Logging_2303/tillsynsmail/A 19401-2025 tillsynsbegäran mail.docx", "A 19401-2025")</f>
        <v/>
      </c>
    </row>
    <row r="127" ht="15" customHeight="1">
      <c r="A127" t="inlineStr">
        <is>
          <t>A 21372-2025</t>
        </is>
      </c>
      <c r="B127" s="1" t="n">
        <v>45782.44871527778</v>
      </c>
      <c r="C127" s="1" t="n">
        <v>45941</v>
      </c>
      <c r="D127" t="inlineStr">
        <is>
          <t>JÄMTLANDS LÄN</t>
        </is>
      </c>
      <c r="E127" t="inlineStr">
        <is>
          <t>RAGUNDA</t>
        </is>
      </c>
      <c r="F127" t="inlineStr">
        <is>
          <t>SCA</t>
        </is>
      </c>
      <c r="G127" t="n">
        <v>2.7</v>
      </c>
      <c r="H127" t="n">
        <v>1</v>
      </c>
      <c r="I127" t="n">
        <v>1</v>
      </c>
      <c r="J127" t="n">
        <v>2</v>
      </c>
      <c r="K127" t="n">
        <v>0</v>
      </c>
      <c r="L127" t="n">
        <v>0</v>
      </c>
      <c r="M127" t="n">
        <v>0</v>
      </c>
      <c r="N127" t="n">
        <v>0</v>
      </c>
      <c r="O127" t="n">
        <v>2</v>
      </c>
      <c r="P127" t="n">
        <v>0</v>
      </c>
      <c r="Q127" t="n">
        <v>4</v>
      </c>
      <c r="R127" s="2" t="inlineStr">
        <is>
          <t>Garnlav
Lunglav
Stuplav
Tjäder</t>
        </is>
      </c>
      <c r="S127">
        <f>HYPERLINK("https://klasma.github.io/Logging_2303/artfynd/A 21372-2025 artfynd.xlsx", "A 21372-2025")</f>
        <v/>
      </c>
      <c r="T127">
        <f>HYPERLINK("https://klasma.github.io/Logging_2303/kartor/A 21372-2025 karta.png", "A 21372-2025")</f>
        <v/>
      </c>
      <c r="V127">
        <f>HYPERLINK("https://klasma.github.io/Logging_2303/klagomål/A 21372-2025 FSC-klagomål.docx", "A 21372-2025")</f>
        <v/>
      </c>
      <c r="W127">
        <f>HYPERLINK("https://klasma.github.io/Logging_2303/klagomålsmail/A 21372-2025 FSC-klagomål mail.docx", "A 21372-2025")</f>
        <v/>
      </c>
      <c r="X127">
        <f>HYPERLINK("https://klasma.github.io/Logging_2303/tillsyn/A 21372-2025 tillsynsbegäran.docx", "A 21372-2025")</f>
        <v/>
      </c>
      <c r="Y127">
        <f>HYPERLINK("https://klasma.github.io/Logging_2303/tillsynsmail/A 21372-2025 tillsynsbegäran mail.docx", "A 21372-2025")</f>
        <v/>
      </c>
      <c r="Z127">
        <f>HYPERLINK("https://klasma.github.io/Logging_2303/fåglar/A 21372-2025 prioriterade fågelarter.docx", "A 21372-2025")</f>
        <v/>
      </c>
    </row>
    <row r="128" ht="15" customHeight="1">
      <c r="A128" t="inlineStr">
        <is>
          <t>A 12640-2024</t>
        </is>
      </c>
      <c r="B128" s="1" t="n">
        <v>45384</v>
      </c>
      <c r="C128" s="1" t="n">
        <v>45941</v>
      </c>
      <c r="D128" t="inlineStr">
        <is>
          <t>JÄMTLANDS LÄN</t>
        </is>
      </c>
      <c r="E128" t="inlineStr">
        <is>
          <t>RAGUNDA</t>
        </is>
      </c>
      <c r="G128" t="n">
        <v>3.3</v>
      </c>
      <c r="H128" t="n">
        <v>0</v>
      </c>
      <c r="I128" t="n">
        <v>2</v>
      </c>
      <c r="J128" t="n">
        <v>1</v>
      </c>
      <c r="K128" t="n">
        <v>1</v>
      </c>
      <c r="L128" t="n">
        <v>0</v>
      </c>
      <c r="M128" t="n">
        <v>0</v>
      </c>
      <c r="N128" t="n">
        <v>0</v>
      </c>
      <c r="O128" t="n">
        <v>2</v>
      </c>
      <c r="P128" t="n">
        <v>1</v>
      </c>
      <c r="Q128" t="n">
        <v>4</v>
      </c>
      <c r="R128" s="2" t="inlineStr">
        <is>
          <t>Spadskinn
Vedskivlav
Dropptaggsvamp
Skarp dropptaggsvamp</t>
        </is>
      </c>
      <c r="S128">
        <f>HYPERLINK("https://klasma.github.io/Logging_2303/artfynd/A 12640-2024 artfynd.xlsx", "A 12640-2024")</f>
        <v/>
      </c>
      <c r="T128">
        <f>HYPERLINK("https://klasma.github.io/Logging_2303/kartor/A 12640-2024 karta.png", "A 12640-2024")</f>
        <v/>
      </c>
      <c r="V128">
        <f>HYPERLINK("https://klasma.github.io/Logging_2303/klagomål/A 12640-2024 FSC-klagomål.docx", "A 12640-2024")</f>
        <v/>
      </c>
      <c r="W128">
        <f>HYPERLINK("https://klasma.github.io/Logging_2303/klagomålsmail/A 12640-2024 FSC-klagomål mail.docx", "A 12640-2024")</f>
        <v/>
      </c>
      <c r="X128">
        <f>HYPERLINK("https://klasma.github.io/Logging_2303/tillsyn/A 12640-2024 tillsynsbegäran.docx", "A 12640-2024")</f>
        <v/>
      </c>
      <c r="Y128">
        <f>HYPERLINK("https://klasma.github.io/Logging_2303/tillsynsmail/A 12640-2024 tillsynsbegäran mail.docx", "A 12640-2024")</f>
        <v/>
      </c>
    </row>
    <row r="129" ht="15" customHeight="1">
      <c r="A129" t="inlineStr">
        <is>
          <t>A 12268-2024</t>
        </is>
      </c>
      <c r="B129" s="1" t="n">
        <v>45378</v>
      </c>
      <c r="C129" s="1" t="n">
        <v>45941</v>
      </c>
      <c r="D129" t="inlineStr">
        <is>
          <t>JÄMTLANDS LÄN</t>
        </is>
      </c>
      <c r="E129" t="inlineStr">
        <is>
          <t>RAGUNDA</t>
        </is>
      </c>
      <c r="F129" t="inlineStr">
        <is>
          <t>Kommuner</t>
        </is>
      </c>
      <c r="G129" t="n">
        <v>15.7</v>
      </c>
      <c r="H129" t="n">
        <v>0</v>
      </c>
      <c r="I129" t="n">
        <v>0</v>
      </c>
      <c r="J129" t="n">
        <v>4</v>
      </c>
      <c r="K129" t="n">
        <v>0</v>
      </c>
      <c r="L129" t="n">
        <v>0</v>
      </c>
      <c r="M129" t="n">
        <v>0</v>
      </c>
      <c r="N129" t="n">
        <v>0</v>
      </c>
      <c r="O129" t="n">
        <v>4</v>
      </c>
      <c r="P129" t="n">
        <v>0</v>
      </c>
      <c r="Q129" t="n">
        <v>4</v>
      </c>
      <c r="R129" s="2" t="inlineStr">
        <is>
          <t>Granticka
Mörk kolflarnlav
Vedskivlav
Vitgrynig nållav</t>
        </is>
      </c>
      <c r="S129">
        <f>HYPERLINK("https://klasma.github.io/Logging_2303/artfynd/A 12268-2024 artfynd.xlsx", "A 12268-2024")</f>
        <v/>
      </c>
      <c r="T129">
        <f>HYPERLINK("https://klasma.github.io/Logging_2303/kartor/A 12268-2024 karta.png", "A 12268-2024")</f>
        <v/>
      </c>
      <c r="V129">
        <f>HYPERLINK("https://klasma.github.io/Logging_2303/klagomål/A 12268-2024 FSC-klagomål.docx", "A 12268-2024")</f>
        <v/>
      </c>
      <c r="W129">
        <f>HYPERLINK("https://klasma.github.io/Logging_2303/klagomålsmail/A 12268-2024 FSC-klagomål mail.docx", "A 12268-2024")</f>
        <v/>
      </c>
      <c r="X129">
        <f>HYPERLINK("https://klasma.github.io/Logging_2303/tillsyn/A 12268-2024 tillsynsbegäran.docx", "A 12268-2024")</f>
        <v/>
      </c>
      <c r="Y129">
        <f>HYPERLINK("https://klasma.github.io/Logging_2303/tillsynsmail/A 12268-2024 tillsynsbegäran mail.docx", "A 12268-2024")</f>
        <v/>
      </c>
    </row>
    <row r="130" ht="15" customHeight="1">
      <c r="A130" t="inlineStr">
        <is>
          <t>A 48052-2022</t>
        </is>
      </c>
      <c r="B130" s="1" t="n">
        <v>44855</v>
      </c>
      <c r="C130" s="1" t="n">
        <v>45941</v>
      </c>
      <c r="D130" t="inlineStr">
        <is>
          <t>JÄMTLANDS LÄN</t>
        </is>
      </c>
      <c r="E130" t="inlineStr">
        <is>
          <t>RAGUNDA</t>
        </is>
      </c>
      <c r="F130" t="inlineStr">
        <is>
          <t>SCA</t>
        </is>
      </c>
      <c r="G130" t="n">
        <v>8.6</v>
      </c>
      <c r="H130" t="n">
        <v>0</v>
      </c>
      <c r="I130" t="n">
        <v>1</v>
      </c>
      <c r="J130" t="n">
        <v>2</v>
      </c>
      <c r="K130" t="n">
        <v>0</v>
      </c>
      <c r="L130" t="n">
        <v>0</v>
      </c>
      <c r="M130" t="n">
        <v>0</v>
      </c>
      <c r="N130" t="n">
        <v>0</v>
      </c>
      <c r="O130" t="n">
        <v>2</v>
      </c>
      <c r="P130" t="n">
        <v>0</v>
      </c>
      <c r="Q130" t="n">
        <v>3</v>
      </c>
      <c r="R130" s="2" t="inlineStr">
        <is>
          <t>Lunglav
Ullticka
Stuplav</t>
        </is>
      </c>
      <c r="S130">
        <f>HYPERLINK("https://klasma.github.io/Logging_2303/artfynd/A 48052-2022 artfynd.xlsx", "A 48052-2022")</f>
        <v/>
      </c>
      <c r="T130">
        <f>HYPERLINK("https://klasma.github.io/Logging_2303/kartor/A 48052-2022 karta.png", "A 48052-2022")</f>
        <v/>
      </c>
      <c r="V130">
        <f>HYPERLINK("https://klasma.github.io/Logging_2303/klagomål/A 48052-2022 FSC-klagomål.docx", "A 48052-2022")</f>
        <v/>
      </c>
      <c r="W130">
        <f>HYPERLINK("https://klasma.github.io/Logging_2303/klagomålsmail/A 48052-2022 FSC-klagomål mail.docx", "A 48052-2022")</f>
        <v/>
      </c>
      <c r="X130">
        <f>HYPERLINK("https://klasma.github.io/Logging_2303/tillsyn/A 48052-2022 tillsynsbegäran.docx", "A 48052-2022")</f>
        <v/>
      </c>
      <c r="Y130">
        <f>HYPERLINK("https://klasma.github.io/Logging_2303/tillsynsmail/A 48052-2022 tillsynsbegäran mail.docx", "A 48052-2022")</f>
        <v/>
      </c>
    </row>
    <row r="131" ht="15" customHeight="1">
      <c r="A131" t="inlineStr">
        <is>
          <t>A 31727-2021</t>
        </is>
      </c>
      <c r="B131" s="1" t="n">
        <v>44369.92025462963</v>
      </c>
      <c r="C131" s="1" t="n">
        <v>45941</v>
      </c>
      <c r="D131" t="inlineStr">
        <is>
          <t>JÄMTLANDS LÄN</t>
        </is>
      </c>
      <c r="E131" t="inlineStr">
        <is>
          <t>RAGUNDA</t>
        </is>
      </c>
      <c r="G131" t="n">
        <v>1</v>
      </c>
      <c r="H131" t="n">
        <v>0</v>
      </c>
      <c r="I131" t="n">
        <v>1</v>
      </c>
      <c r="J131" t="n">
        <v>2</v>
      </c>
      <c r="K131" t="n">
        <v>0</v>
      </c>
      <c r="L131" t="n">
        <v>0</v>
      </c>
      <c r="M131" t="n">
        <v>0</v>
      </c>
      <c r="N131" t="n">
        <v>0</v>
      </c>
      <c r="O131" t="n">
        <v>2</v>
      </c>
      <c r="P131" t="n">
        <v>0</v>
      </c>
      <c r="Q131" t="n">
        <v>3</v>
      </c>
      <c r="R131" s="2" t="inlineStr">
        <is>
          <t>Lunglav
Ullticka
Luddlav</t>
        </is>
      </c>
      <c r="S131">
        <f>HYPERLINK("https://klasma.github.io/Logging_2303/artfynd/A 31727-2021 artfynd.xlsx", "A 31727-2021")</f>
        <v/>
      </c>
      <c r="T131">
        <f>HYPERLINK("https://klasma.github.io/Logging_2303/kartor/A 31727-2021 karta.png", "A 31727-2021")</f>
        <v/>
      </c>
      <c r="V131">
        <f>HYPERLINK("https://klasma.github.io/Logging_2303/klagomål/A 31727-2021 FSC-klagomål.docx", "A 31727-2021")</f>
        <v/>
      </c>
      <c r="W131">
        <f>HYPERLINK("https://klasma.github.io/Logging_2303/klagomålsmail/A 31727-2021 FSC-klagomål mail.docx", "A 31727-2021")</f>
        <v/>
      </c>
      <c r="X131">
        <f>HYPERLINK("https://klasma.github.io/Logging_2303/tillsyn/A 31727-2021 tillsynsbegäran.docx", "A 31727-2021")</f>
        <v/>
      </c>
      <c r="Y131">
        <f>HYPERLINK("https://klasma.github.io/Logging_2303/tillsynsmail/A 31727-2021 tillsynsbegäran mail.docx", "A 31727-2021")</f>
        <v/>
      </c>
    </row>
    <row r="132" ht="15" customHeight="1">
      <c r="A132" t="inlineStr">
        <is>
          <t>A 52345-2024</t>
        </is>
      </c>
      <c r="B132" s="1" t="n">
        <v>45609.34412037037</v>
      </c>
      <c r="C132" s="1" t="n">
        <v>45941</v>
      </c>
      <c r="D132" t="inlineStr">
        <is>
          <t>JÄMTLANDS LÄN</t>
        </is>
      </c>
      <c r="E132" t="inlineStr">
        <is>
          <t>RAGUNDA</t>
        </is>
      </c>
      <c r="F132" t="inlineStr">
        <is>
          <t>SCA</t>
        </is>
      </c>
      <c r="G132" t="n">
        <v>10.3</v>
      </c>
      <c r="H132" t="n">
        <v>1</v>
      </c>
      <c r="I132" t="n">
        <v>0</v>
      </c>
      <c r="J132" t="n">
        <v>2</v>
      </c>
      <c r="K132" t="n">
        <v>0</v>
      </c>
      <c r="L132" t="n">
        <v>0</v>
      </c>
      <c r="M132" t="n">
        <v>0</v>
      </c>
      <c r="N132" t="n">
        <v>0</v>
      </c>
      <c r="O132" t="n">
        <v>2</v>
      </c>
      <c r="P132" t="n">
        <v>0</v>
      </c>
      <c r="Q132" t="n">
        <v>3</v>
      </c>
      <c r="R132" s="2" t="inlineStr">
        <is>
          <t>Doftskinn
Koralltaggsvamp
Blåsippa</t>
        </is>
      </c>
      <c r="S132">
        <f>HYPERLINK("https://klasma.github.io/Logging_2303/artfynd/A 52345-2024 artfynd.xlsx", "A 52345-2024")</f>
        <v/>
      </c>
      <c r="T132">
        <f>HYPERLINK("https://klasma.github.io/Logging_2303/kartor/A 52345-2024 karta.png", "A 52345-2024")</f>
        <v/>
      </c>
      <c r="V132">
        <f>HYPERLINK("https://klasma.github.io/Logging_2303/klagomål/A 52345-2024 FSC-klagomål.docx", "A 52345-2024")</f>
        <v/>
      </c>
      <c r="W132">
        <f>HYPERLINK("https://klasma.github.io/Logging_2303/klagomålsmail/A 52345-2024 FSC-klagomål mail.docx", "A 52345-2024")</f>
        <v/>
      </c>
      <c r="X132">
        <f>HYPERLINK("https://klasma.github.io/Logging_2303/tillsyn/A 52345-2024 tillsynsbegäran.docx", "A 52345-2024")</f>
        <v/>
      </c>
      <c r="Y132">
        <f>HYPERLINK("https://klasma.github.io/Logging_2303/tillsynsmail/A 52345-2024 tillsynsbegäran mail.docx", "A 52345-2024")</f>
        <v/>
      </c>
    </row>
    <row r="133" ht="15" customHeight="1">
      <c r="A133" t="inlineStr">
        <is>
          <t>A 20776-2024</t>
        </is>
      </c>
      <c r="B133" s="1" t="n">
        <v>45436.94686342592</v>
      </c>
      <c r="C133" s="1" t="n">
        <v>45941</v>
      </c>
      <c r="D133" t="inlineStr">
        <is>
          <t>JÄMTLANDS LÄN</t>
        </is>
      </c>
      <c r="E133" t="inlineStr">
        <is>
          <t>RAGUNDA</t>
        </is>
      </c>
      <c r="F133" t="inlineStr">
        <is>
          <t>SCA</t>
        </is>
      </c>
      <c r="G133" t="n">
        <v>5.2</v>
      </c>
      <c r="H133" t="n">
        <v>0</v>
      </c>
      <c r="I133" t="n">
        <v>0</v>
      </c>
      <c r="J133" t="n">
        <v>2</v>
      </c>
      <c r="K133" t="n">
        <v>1</v>
      </c>
      <c r="L133" t="n">
        <v>0</v>
      </c>
      <c r="M133" t="n">
        <v>0</v>
      </c>
      <c r="N133" t="n">
        <v>0</v>
      </c>
      <c r="O133" t="n">
        <v>3</v>
      </c>
      <c r="P133" t="n">
        <v>1</v>
      </c>
      <c r="Q133" t="n">
        <v>3</v>
      </c>
      <c r="R133" s="2" t="inlineStr">
        <is>
          <t>Liten hornflikmossa
Garnlav
Vedtrappmossa</t>
        </is>
      </c>
      <c r="S133">
        <f>HYPERLINK("https://klasma.github.io/Logging_2303/artfynd/A 20776-2024 artfynd.xlsx", "A 20776-2024")</f>
        <v/>
      </c>
      <c r="T133">
        <f>HYPERLINK("https://klasma.github.io/Logging_2303/kartor/A 20776-2024 karta.png", "A 20776-2024")</f>
        <v/>
      </c>
      <c r="V133">
        <f>HYPERLINK("https://klasma.github.io/Logging_2303/klagomål/A 20776-2024 FSC-klagomål.docx", "A 20776-2024")</f>
        <v/>
      </c>
      <c r="W133">
        <f>HYPERLINK("https://klasma.github.io/Logging_2303/klagomålsmail/A 20776-2024 FSC-klagomål mail.docx", "A 20776-2024")</f>
        <v/>
      </c>
      <c r="X133">
        <f>HYPERLINK("https://klasma.github.io/Logging_2303/tillsyn/A 20776-2024 tillsynsbegäran.docx", "A 20776-2024")</f>
        <v/>
      </c>
      <c r="Y133">
        <f>HYPERLINK("https://klasma.github.io/Logging_2303/tillsynsmail/A 20776-2024 tillsynsbegäran mail.docx", "A 20776-2024")</f>
        <v/>
      </c>
    </row>
    <row r="134" ht="15" customHeight="1">
      <c r="A134" t="inlineStr">
        <is>
          <t>A 22730-2023</t>
        </is>
      </c>
      <c r="B134" s="1" t="n">
        <v>45071</v>
      </c>
      <c r="C134" s="1" t="n">
        <v>45941</v>
      </c>
      <c r="D134" t="inlineStr">
        <is>
          <t>JÄMTLANDS LÄN</t>
        </is>
      </c>
      <c r="E134" t="inlineStr">
        <is>
          <t>RAGUNDA</t>
        </is>
      </c>
      <c r="G134" t="n">
        <v>3.6</v>
      </c>
      <c r="H134" t="n">
        <v>0</v>
      </c>
      <c r="I134" t="n">
        <v>0</v>
      </c>
      <c r="J134" t="n">
        <v>3</v>
      </c>
      <c r="K134" t="n">
        <v>0</v>
      </c>
      <c r="L134" t="n">
        <v>0</v>
      </c>
      <c r="M134" t="n">
        <v>0</v>
      </c>
      <c r="N134" t="n">
        <v>0</v>
      </c>
      <c r="O134" t="n">
        <v>3</v>
      </c>
      <c r="P134" t="n">
        <v>0</v>
      </c>
      <c r="Q134" t="n">
        <v>3</v>
      </c>
      <c r="R134" s="2" t="inlineStr">
        <is>
          <t>Garnlav
Lunglav
Vitgrynig nållav</t>
        </is>
      </c>
      <c r="S134">
        <f>HYPERLINK("https://klasma.github.io/Logging_2303/artfynd/A 22730-2023 artfynd.xlsx", "A 22730-2023")</f>
        <v/>
      </c>
      <c r="T134">
        <f>HYPERLINK("https://klasma.github.io/Logging_2303/kartor/A 22730-2023 karta.png", "A 22730-2023")</f>
        <v/>
      </c>
      <c r="V134">
        <f>HYPERLINK("https://klasma.github.io/Logging_2303/klagomål/A 22730-2023 FSC-klagomål.docx", "A 22730-2023")</f>
        <v/>
      </c>
      <c r="W134">
        <f>HYPERLINK("https://klasma.github.io/Logging_2303/klagomålsmail/A 22730-2023 FSC-klagomål mail.docx", "A 22730-2023")</f>
        <v/>
      </c>
      <c r="X134">
        <f>HYPERLINK("https://klasma.github.io/Logging_2303/tillsyn/A 22730-2023 tillsynsbegäran.docx", "A 22730-2023")</f>
        <v/>
      </c>
      <c r="Y134">
        <f>HYPERLINK("https://klasma.github.io/Logging_2303/tillsynsmail/A 22730-2023 tillsynsbegäran mail.docx", "A 22730-2023")</f>
        <v/>
      </c>
    </row>
    <row r="135" ht="15" customHeight="1">
      <c r="A135" t="inlineStr">
        <is>
          <t>A 12737-2025</t>
        </is>
      </c>
      <c r="B135" s="1" t="n">
        <v>45733</v>
      </c>
      <c r="C135" s="1" t="n">
        <v>45941</v>
      </c>
      <c r="D135" t="inlineStr">
        <is>
          <t>JÄMTLANDS LÄN</t>
        </is>
      </c>
      <c r="E135" t="inlineStr">
        <is>
          <t>RAGUNDA</t>
        </is>
      </c>
      <c r="G135" t="n">
        <v>16.1</v>
      </c>
      <c r="H135" t="n">
        <v>2</v>
      </c>
      <c r="I135" t="n">
        <v>2</v>
      </c>
      <c r="J135" t="n">
        <v>0</v>
      </c>
      <c r="K135" t="n">
        <v>1</v>
      </c>
      <c r="L135" t="n">
        <v>0</v>
      </c>
      <c r="M135" t="n">
        <v>0</v>
      </c>
      <c r="N135" t="n">
        <v>0</v>
      </c>
      <c r="O135" t="n">
        <v>1</v>
      </c>
      <c r="P135" t="n">
        <v>1</v>
      </c>
      <c r="Q135" t="n">
        <v>3</v>
      </c>
      <c r="R135" s="2" t="inlineStr">
        <is>
          <t>Knärot
Plattlummer
Skarp dropptaggsvamp</t>
        </is>
      </c>
      <c r="S135">
        <f>HYPERLINK("https://klasma.github.io/Logging_2303/artfynd/A 12737-2025 artfynd.xlsx", "A 12737-2025")</f>
        <v/>
      </c>
      <c r="T135">
        <f>HYPERLINK("https://klasma.github.io/Logging_2303/kartor/A 12737-2025 karta.png", "A 12737-2025")</f>
        <v/>
      </c>
      <c r="U135">
        <f>HYPERLINK("https://klasma.github.io/Logging_2303/knärot/A 12737-2025 karta knärot.png", "A 12737-2025")</f>
        <v/>
      </c>
      <c r="V135">
        <f>HYPERLINK("https://klasma.github.io/Logging_2303/klagomål/A 12737-2025 FSC-klagomål.docx", "A 12737-2025")</f>
        <v/>
      </c>
      <c r="W135">
        <f>HYPERLINK("https://klasma.github.io/Logging_2303/klagomålsmail/A 12737-2025 FSC-klagomål mail.docx", "A 12737-2025")</f>
        <v/>
      </c>
      <c r="X135">
        <f>HYPERLINK("https://klasma.github.io/Logging_2303/tillsyn/A 12737-2025 tillsynsbegäran.docx", "A 12737-2025")</f>
        <v/>
      </c>
      <c r="Y135">
        <f>HYPERLINK("https://klasma.github.io/Logging_2303/tillsynsmail/A 12737-2025 tillsynsbegäran mail.docx", "A 12737-2025")</f>
        <v/>
      </c>
    </row>
    <row r="136" ht="15" customHeight="1">
      <c r="A136" t="inlineStr">
        <is>
          <t>A 30470-2024</t>
        </is>
      </c>
      <c r="B136" s="1" t="n">
        <v>45491.94715277778</v>
      </c>
      <c r="C136" s="1" t="n">
        <v>45941</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14814-2024</t>
        </is>
      </c>
      <c r="B137" s="1" t="n">
        <v>45397.95748842593</v>
      </c>
      <c r="C137" s="1" t="n">
        <v>45941</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48054-2022</t>
        </is>
      </c>
      <c r="B138" s="1" t="n">
        <v>44855</v>
      </c>
      <c r="C138" s="1" t="n">
        <v>45941</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61790-2023</t>
        </is>
      </c>
      <c r="B139" s="1" t="n">
        <v>45265</v>
      </c>
      <c r="C139" s="1" t="n">
        <v>45941</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7519-2023</t>
        </is>
      </c>
      <c r="B140" s="1" t="n">
        <v>44971</v>
      </c>
      <c r="C140" s="1" t="n">
        <v>45941</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58737-2022</t>
        </is>
      </c>
      <c r="B141" s="1" t="n">
        <v>44902</v>
      </c>
      <c r="C141" s="1" t="n">
        <v>45941</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22571-2025</t>
        </is>
      </c>
      <c r="B142" s="1" t="n">
        <v>45789.36503472222</v>
      </c>
      <c r="C142" s="1" t="n">
        <v>45941</v>
      </c>
      <c r="D142" t="inlineStr">
        <is>
          <t>JÄMTLANDS LÄN</t>
        </is>
      </c>
      <c r="E142" t="inlineStr">
        <is>
          <t>RAGUNDA</t>
        </is>
      </c>
      <c r="F142" t="inlineStr">
        <is>
          <t>SCA</t>
        </is>
      </c>
      <c r="G142" t="n">
        <v>18.2</v>
      </c>
      <c r="H142" t="n">
        <v>2</v>
      </c>
      <c r="I142" t="n">
        <v>0</v>
      </c>
      <c r="J142" t="n">
        <v>2</v>
      </c>
      <c r="K142" t="n">
        <v>0</v>
      </c>
      <c r="L142" t="n">
        <v>0</v>
      </c>
      <c r="M142" t="n">
        <v>0</v>
      </c>
      <c r="N142" t="n">
        <v>0</v>
      </c>
      <c r="O142" t="n">
        <v>2</v>
      </c>
      <c r="P142" t="n">
        <v>0</v>
      </c>
      <c r="Q142" t="n">
        <v>3</v>
      </c>
      <c r="R142" s="2" t="inlineStr">
        <is>
          <t>Garnlav
Tretåig hackspett
Nattviol</t>
        </is>
      </c>
      <c r="S142">
        <f>HYPERLINK("https://klasma.github.io/Logging_2303/artfynd/A 22571-2025 artfynd.xlsx", "A 22571-2025")</f>
        <v/>
      </c>
      <c r="T142">
        <f>HYPERLINK("https://klasma.github.io/Logging_2303/kartor/A 22571-2025 karta.png", "A 22571-2025")</f>
        <v/>
      </c>
      <c r="V142">
        <f>HYPERLINK("https://klasma.github.io/Logging_2303/klagomål/A 22571-2025 FSC-klagomål.docx", "A 22571-2025")</f>
        <v/>
      </c>
      <c r="W142">
        <f>HYPERLINK("https://klasma.github.io/Logging_2303/klagomålsmail/A 22571-2025 FSC-klagomål mail.docx", "A 22571-2025")</f>
        <v/>
      </c>
      <c r="X142">
        <f>HYPERLINK("https://klasma.github.io/Logging_2303/tillsyn/A 22571-2025 tillsynsbegäran.docx", "A 22571-2025")</f>
        <v/>
      </c>
      <c r="Y142">
        <f>HYPERLINK("https://klasma.github.io/Logging_2303/tillsynsmail/A 22571-2025 tillsynsbegäran mail.docx", "A 22571-2025")</f>
        <v/>
      </c>
      <c r="Z142">
        <f>HYPERLINK("https://klasma.github.io/Logging_2303/fåglar/A 22571-2025 prioriterade fågelarter.docx", "A 22571-2025")</f>
        <v/>
      </c>
    </row>
    <row r="143" ht="15" customHeight="1">
      <c r="A143" t="inlineStr">
        <is>
          <t>A 58368-2024</t>
        </is>
      </c>
      <c r="B143" s="1" t="n">
        <v>45632.69822916666</v>
      </c>
      <c r="C143" s="1" t="n">
        <v>45941</v>
      </c>
      <c r="D143" t="inlineStr">
        <is>
          <t>JÄMTLANDS LÄN</t>
        </is>
      </c>
      <c r="E143" t="inlineStr">
        <is>
          <t>RAGUNDA</t>
        </is>
      </c>
      <c r="F143" t="inlineStr">
        <is>
          <t>SCA</t>
        </is>
      </c>
      <c r="G143" t="n">
        <v>4.1</v>
      </c>
      <c r="H143" t="n">
        <v>2</v>
      </c>
      <c r="I143" t="n">
        <v>0</v>
      </c>
      <c r="J143" t="n">
        <v>3</v>
      </c>
      <c r="K143" t="n">
        <v>0</v>
      </c>
      <c r="L143" t="n">
        <v>0</v>
      </c>
      <c r="M143" t="n">
        <v>0</v>
      </c>
      <c r="N143" t="n">
        <v>0</v>
      </c>
      <c r="O143" t="n">
        <v>3</v>
      </c>
      <c r="P143" t="n">
        <v>0</v>
      </c>
      <c r="Q143" t="n">
        <v>3</v>
      </c>
      <c r="R143" s="2" t="inlineStr">
        <is>
          <t>Järpe
Lunglav
Tretåig hackspett</t>
        </is>
      </c>
      <c r="S143">
        <f>HYPERLINK("https://klasma.github.io/Logging_2303/artfynd/A 58368-2024 artfynd.xlsx", "A 58368-2024")</f>
        <v/>
      </c>
      <c r="T143">
        <f>HYPERLINK("https://klasma.github.io/Logging_2303/kartor/A 58368-2024 karta.png", "A 58368-2024")</f>
        <v/>
      </c>
      <c r="V143">
        <f>HYPERLINK("https://klasma.github.io/Logging_2303/klagomål/A 58368-2024 FSC-klagomål.docx", "A 58368-2024")</f>
        <v/>
      </c>
      <c r="W143">
        <f>HYPERLINK("https://klasma.github.io/Logging_2303/klagomålsmail/A 58368-2024 FSC-klagomål mail.docx", "A 58368-2024")</f>
        <v/>
      </c>
      <c r="X143">
        <f>HYPERLINK("https://klasma.github.io/Logging_2303/tillsyn/A 58368-2024 tillsynsbegäran.docx", "A 58368-2024")</f>
        <v/>
      </c>
      <c r="Y143">
        <f>HYPERLINK("https://klasma.github.io/Logging_2303/tillsynsmail/A 58368-2024 tillsynsbegäran mail.docx", "A 58368-2024")</f>
        <v/>
      </c>
      <c r="Z143">
        <f>HYPERLINK("https://klasma.github.io/Logging_2303/fåglar/A 58368-2024 prioriterade fågelarter.docx", "A 58368-2024")</f>
        <v/>
      </c>
    </row>
    <row r="144" ht="15" customHeight="1">
      <c r="A144" t="inlineStr">
        <is>
          <t>A 49047-2023</t>
        </is>
      </c>
      <c r="B144" s="1" t="n">
        <v>45209</v>
      </c>
      <c r="C144" s="1" t="n">
        <v>45941</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36504-2023</t>
        </is>
      </c>
      <c r="B145" s="1" t="n">
        <v>45152</v>
      </c>
      <c r="C145" s="1" t="n">
        <v>45941</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34585-2025</t>
        </is>
      </c>
      <c r="B146" s="1" t="n">
        <v>45847.61498842593</v>
      </c>
      <c r="C146" s="1" t="n">
        <v>45941</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34585-2025 artfynd.xlsx", "A 34585-2025")</f>
        <v/>
      </c>
      <c r="T146">
        <f>HYPERLINK("https://klasma.github.io/Logging_2303/kartor/A 34585-2025 karta.png", "A 34585-2025")</f>
        <v/>
      </c>
      <c r="V146">
        <f>HYPERLINK("https://klasma.github.io/Logging_2303/klagomål/A 34585-2025 FSC-klagomål.docx", "A 34585-2025")</f>
        <v/>
      </c>
      <c r="W146">
        <f>HYPERLINK("https://klasma.github.io/Logging_2303/klagomålsmail/A 34585-2025 FSC-klagomål mail.docx", "A 34585-2025")</f>
        <v/>
      </c>
      <c r="X146">
        <f>HYPERLINK("https://klasma.github.io/Logging_2303/tillsyn/A 34585-2025 tillsynsbegäran.docx", "A 34585-2025")</f>
        <v/>
      </c>
      <c r="Y146">
        <f>HYPERLINK("https://klasma.github.io/Logging_2303/tillsynsmail/A 34585-2025 tillsynsbegäran mail.docx", "A 34585-2025")</f>
        <v/>
      </c>
    </row>
    <row r="147" ht="15" customHeight="1">
      <c r="A147" t="inlineStr">
        <is>
          <t>A 32416-2025</t>
        </is>
      </c>
      <c r="B147" s="1" t="n">
        <v>45838</v>
      </c>
      <c r="C147" s="1" t="n">
        <v>45941</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32416-2025 artfynd.xlsx", "A 32416-2025")</f>
        <v/>
      </c>
      <c r="T147">
        <f>HYPERLINK("https://klasma.github.io/Logging_2303/kartor/A 32416-2025 karta.png", "A 32416-2025")</f>
        <v/>
      </c>
      <c r="V147">
        <f>HYPERLINK("https://klasma.github.io/Logging_2303/klagomål/A 32416-2025 FSC-klagomål.docx", "A 32416-2025")</f>
        <v/>
      </c>
      <c r="W147">
        <f>HYPERLINK("https://klasma.github.io/Logging_2303/klagomålsmail/A 32416-2025 FSC-klagomål mail.docx", "A 32416-2025")</f>
        <v/>
      </c>
      <c r="X147">
        <f>HYPERLINK("https://klasma.github.io/Logging_2303/tillsyn/A 32416-2025 tillsynsbegäran.docx", "A 32416-2025")</f>
        <v/>
      </c>
      <c r="Y147">
        <f>HYPERLINK("https://klasma.github.io/Logging_2303/tillsynsmail/A 32416-2025 tillsynsbegäran mail.docx", "A 32416-2025")</f>
        <v/>
      </c>
    </row>
    <row r="148" ht="15" customHeight="1">
      <c r="A148" t="inlineStr">
        <is>
          <t>A 41877-2025</t>
        </is>
      </c>
      <c r="B148" s="1" t="n">
        <v>45903.345625</v>
      </c>
      <c r="C148" s="1" t="n">
        <v>45941</v>
      </c>
      <c r="D148" t="inlineStr">
        <is>
          <t>JÄMTLANDS LÄN</t>
        </is>
      </c>
      <c r="E148" t="inlineStr">
        <is>
          <t>RAGUNDA</t>
        </is>
      </c>
      <c r="G148" t="n">
        <v>27.7</v>
      </c>
      <c r="H148" t="n">
        <v>1</v>
      </c>
      <c r="I148" t="n">
        <v>0</v>
      </c>
      <c r="J148" t="n">
        <v>2</v>
      </c>
      <c r="K148" t="n">
        <v>1</v>
      </c>
      <c r="L148" t="n">
        <v>0</v>
      </c>
      <c r="M148" t="n">
        <v>0</v>
      </c>
      <c r="N148" t="n">
        <v>0</v>
      </c>
      <c r="O148" t="n">
        <v>3</v>
      </c>
      <c r="P148" t="n">
        <v>1</v>
      </c>
      <c r="Q148" t="n">
        <v>3</v>
      </c>
      <c r="R148" s="2" t="inlineStr">
        <is>
          <t>Knärot
Garnlav
Mörk kolflarnlav</t>
        </is>
      </c>
      <c r="S148">
        <f>HYPERLINK("https://klasma.github.io/Logging_2303/artfynd/A 41877-2025 artfynd.xlsx", "A 41877-2025")</f>
        <v/>
      </c>
      <c r="T148">
        <f>HYPERLINK("https://klasma.github.io/Logging_2303/kartor/A 41877-2025 karta.png", "A 41877-2025")</f>
        <v/>
      </c>
      <c r="U148">
        <f>HYPERLINK("https://klasma.github.io/Logging_2303/knärot/A 41877-2025 karta knärot.png", "A 41877-2025")</f>
        <v/>
      </c>
      <c r="V148">
        <f>HYPERLINK("https://klasma.github.io/Logging_2303/klagomål/A 41877-2025 FSC-klagomål.docx", "A 41877-2025")</f>
        <v/>
      </c>
      <c r="W148">
        <f>HYPERLINK("https://klasma.github.io/Logging_2303/klagomålsmail/A 41877-2025 FSC-klagomål mail.docx", "A 41877-2025")</f>
        <v/>
      </c>
      <c r="X148">
        <f>HYPERLINK("https://klasma.github.io/Logging_2303/tillsyn/A 41877-2025 tillsynsbegäran.docx", "A 41877-2025")</f>
        <v/>
      </c>
      <c r="Y148">
        <f>HYPERLINK("https://klasma.github.io/Logging_2303/tillsynsmail/A 41877-2025 tillsynsbegäran mail.docx", "A 41877-2025")</f>
        <v/>
      </c>
    </row>
    <row r="149" ht="15" customHeight="1">
      <c r="A149" t="inlineStr">
        <is>
          <t>A 33278-2022</t>
        </is>
      </c>
      <c r="B149" s="1" t="n">
        <v>44788</v>
      </c>
      <c r="C149" s="1" t="n">
        <v>45941</v>
      </c>
      <c r="D149" t="inlineStr">
        <is>
          <t>JÄMTLANDS LÄN</t>
        </is>
      </c>
      <c r="E149" t="inlineStr">
        <is>
          <t>RAGUNDA</t>
        </is>
      </c>
      <c r="G149" t="n">
        <v>3.2</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HYPERLINK("https://klasma.github.io/Logging_2303/artfynd/A 33278-2022 artfynd.xlsx", "A 33278-2022")</f>
        <v/>
      </c>
      <c r="T149">
        <f>HYPERLINK("https://klasma.github.io/Logging_2303/kartor/A 33278-2022 karta.png", "A 33278-2022")</f>
        <v/>
      </c>
      <c r="U149">
        <f>HYPERLINK("https://klasma.github.io/Logging_2303/knärot/A 33278-2022 karta knärot.png", "A 33278-2022")</f>
        <v/>
      </c>
      <c r="V149">
        <f>HYPERLINK("https://klasma.github.io/Logging_2303/klagomål/A 33278-2022 FSC-klagomål.docx", "A 33278-2022")</f>
        <v/>
      </c>
      <c r="W149">
        <f>HYPERLINK("https://klasma.github.io/Logging_2303/klagomålsmail/A 33278-2022 FSC-klagomål mail.docx", "A 33278-2022")</f>
        <v/>
      </c>
      <c r="X149">
        <f>HYPERLINK("https://klasma.github.io/Logging_2303/tillsyn/A 33278-2022 tillsynsbegäran.docx", "A 33278-2022")</f>
        <v/>
      </c>
      <c r="Y149">
        <f>HYPERLINK("https://klasma.github.io/Logging_2303/tillsynsmail/A 33278-2022 tillsynsbegäran mail.docx", "A 33278-2022")</f>
        <v/>
      </c>
      <c r="Z149">
        <f>HYPERLINK("https://klasma.github.io/Logging_2303/fåglar/A 33278-2022 prioriterade fågelarter.docx", "A 33278-2022")</f>
        <v/>
      </c>
    </row>
    <row r="150" ht="15" customHeight="1">
      <c r="A150" t="inlineStr">
        <is>
          <t>A 53022-2022</t>
        </is>
      </c>
      <c r="B150" s="1" t="n">
        <v>44875</v>
      </c>
      <c r="C150" s="1" t="n">
        <v>45941</v>
      </c>
      <c r="D150" t="inlineStr">
        <is>
          <t>JÄMTLANDS LÄN</t>
        </is>
      </c>
      <c r="E150" t="inlineStr">
        <is>
          <t>RAGUNDA</t>
        </is>
      </c>
      <c r="F150" t="inlineStr">
        <is>
          <t>SCA</t>
        </is>
      </c>
      <c r="G150" t="n">
        <v>2.7</v>
      </c>
      <c r="H150" t="n">
        <v>0</v>
      </c>
      <c r="I150" t="n">
        <v>1</v>
      </c>
      <c r="J150" t="n">
        <v>2</v>
      </c>
      <c r="K150" t="n">
        <v>0</v>
      </c>
      <c r="L150" t="n">
        <v>0</v>
      </c>
      <c r="M150" t="n">
        <v>0</v>
      </c>
      <c r="N150" t="n">
        <v>0</v>
      </c>
      <c r="O150" t="n">
        <v>2</v>
      </c>
      <c r="P150" t="n">
        <v>0</v>
      </c>
      <c r="Q150" t="n">
        <v>3</v>
      </c>
      <c r="R150" s="2" t="inlineStr">
        <is>
          <t>Garnlav
Lunglav
Dropptaggsvamp</t>
        </is>
      </c>
      <c r="S150">
        <f>HYPERLINK("https://klasma.github.io/Logging_2303/artfynd/A 53022-2022 artfynd.xlsx", "A 53022-2022")</f>
        <v/>
      </c>
      <c r="T150">
        <f>HYPERLINK("https://klasma.github.io/Logging_2303/kartor/A 53022-2022 karta.png", "A 53022-2022")</f>
        <v/>
      </c>
      <c r="V150">
        <f>HYPERLINK("https://klasma.github.io/Logging_2303/klagomål/A 53022-2022 FSC-klagomål.docx", "A 53022-2022")</f>
        <v/>
      </c>
      <c r="W150">
        <f>HYPERLINK("https://klasma.github.io/Logging_2303/klagomålsmail/A 53022-2022 FSC-klagomål mail.docx", "A 53022-2022")</f>
        <v/>
      </c>
      <c r="X150">
        <f>HYPERLINK("https://klasma.github.io/Logging_2303/tillsyn/A 53022-2022 tillsynsbegäran.docx", "A 53022-2022")</f>
        <v/>
      </c>
      <c r="Y150">
        <f>HYPERLINK("https://klasma.github.io/Logging_2303/tillsynsmail/A 53022-2022 tillsynsbegäran mail.docx", "A 53022-2022")</f>
        <v/>
      </c>
    </row>
    <row r="151" ht="15" customHeight="1">
      <c r="A151" t="inlineStr">
        <is>
          <t>A 57941-2024</t>
        </is>
      </c>
      <c r="B151" s="1" t="n">
        <v>45631</v>
      </c>
      <c r="C151" s="1" t="n">
        <v>45941</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18616-2024</t>
        </is>
      </c>
      <c r="B152" s="1" t="n">
        <v>45425.96285879629</v>
      </c>
      <c r="C152" s="1" t="n">
        <v>45941</v>
      </c>
      <c r="D152" t="inlineStr">
        <is>
          <t>JÄMTLANDS LÄN</t>
        </is>
      </c>
      <c r="E152" t="inlineStr">
        <is>
          <t>RAGUNDA</t>
        </is>
      </c>
      <c r="F152" t="inlineStr">
        <is>
          <t>SCA</t>
        </is>
      </c>
      <c r="G152" t="n">
        <v>3.4</v>
      </c>
      <c r="H152" t="n">
        <v>0</v>
      </c>
      <c r="I152" t="n">
        <v>0</v>
      </c>
      <c r="J152" t="n">
        <v>3</v>
      </c>
      <c r="K152" t="n">
        <v>0</v>
      </c>
      <c r="L152" t="n">
        <v>0</v>
      </c>
      <c r="M152" t="n">
        <v>0</v>
      </c>
      <c r="N152" t="n">
        <v>0</v>
      </c>
      <c r="O152" t="n">
        <v>3</v>
      </c>
      <c r="P152" t="n">
        <v>0</v>
      </c>
      <c r="Q152" t="n">
        <v>3</v>
      </c>
      <c r="R152" s="2" t="inlineStr">
        <is>
          <t>Granticka
Orange taggsvamp
Ullticka</t>
        </is>
      </c>
      <c r="S152">
        <f>HYPERLINK("https://klasma.github.io/Logging_2303/artfynd/A 18616-2024 artfynd.xlsx", "A 18616-2024")</f>
        <v/>
      </c>
      <c r="T152">
        <f>HYPERLINK("https://klasma.github.io/Logging_2303/kartor/A 18616-2024 karta.png", "A 18616-2024")</f>
        <v/>
      </c>
      <c r="V152">
        <f>HYPERLINK("https://klasma.github.io/Logging_2303/klagomål/A 18616-2024 FSC-klagomål.docx", "A 18616-2024")</f>
        <v/>
      </c>
      <c r="W152">
        <f>HYPERLINK("https://klasma.github.io/Logging_2303/klagomålsmail/A 18616-2024 FSC-klagomål mail.docx", "A 18616-2024")</f>
        <v/>
      </c>
      <c r="X152">
        <f>HYPERLINK("https://klasma.github.io/Logging_2303/tillsyn/A 18616-2024 tillsynsbegäran.docx", "A 18616-2024")</f>
        <v/>
      </c>
      <c r="Y152">
        <f>HYPERLINK("https://klasma.github.io/Logging_2303/tillsynsmail/A 18616-2024 tillsynsbegäran mail.docx", "A 18616-2024")</f>
        <v/>
      </c>
    </row>
    <row r="153" ht="15" customHeight="1">
      <c r="A153" t="inlineStr">
        <is>
          <t>A 16305-2025</t>
        </is>
      </c>
      <c r="B153" s="1" t="n">
        <v>45751.34650462963</v>
      </c>
      <c r="C153" s="1" t="n">
        <v>45941</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28178-2023</t>
        </is>
      </c>
      <c r="B154" s="1" t="n">
        <v>45093</v>
      </c>
      <c r="C154" s="1" t="n">
        <v>45941</v>
      </c>
      <c r="D154" t="inlineStr">
        <is>
          <t>JÄMTLANDS LÄN</t>
        </is>
      </c>
      <c r="E154" t="inlineStr">
        <is>
          <t>RAGUNDA</t>
        </is>
      </c>
      <c r="G154" t="n">
        <v>5.6</v>
      </c>
      <c r="H154" t="n">
        <v>0</v>
      </c>
      <c r="I154" t="n">
        <v>0</v>
      </c>
      <c r="J154" t="n">
        <v>3</v>
      </c>
      <c r="K154" t="n">
        <v>0</v>
      </c>
      <c r="L154" t="n">
        <v>0</v>
      </c>
      <c r="M154" t="n">
        <v>0</v>
      </c>
      <c r="N154" t="n">
        <v>0</v>
      </c>
      <c r="O154" t="n">
        <v>3</v>
      </c>
      <c r="P154" t="n">
        <v>0</v>
      </c>
      <c r="Q154" t="n">
        <v>3</v>
      </c>
      <c r="R154" s="2" t="inlineStr">
        <is>
          <t>Garnlav
Gultoppig fingersvamp
Violettgrå tagellav</t>
        </is>
      </c>
      <c r="S154">
        <f>HYPERLINK("https://klasma.github.io/Logging_2303/artfynd/A 28178-2023 artfynd.xlsx", "A 28178-2023")</f>
        <v/>
      </c>
      <c r="T154">
        <f>HYPERLINK("https://klasma.github.io/Logging_2303/kartor/A 28178-2023 karta.png", "A 28178-2023")</f>
        <v/>
      </c>
      <c r="V154">
        <f>HYPERLINK("https://klasma.github.io/Logging_2303/klagomål/A 28178-2023 FSC-klagomål.docx", "A 28178-2023")</f>
        <v/>
      </c>
      <c r="W154">
        <f>HYPERLINK("https://klasma.github.io/Logging_2303/klagomålsmail/A 28178-2023 FSC-klagomål mail.docx", "A 28178-2023")</f>
        <v/>
      </c>
      <c r="X154">
        <f>HYPERLINK("https://klasma.github.io/Logging_2303/tillsyn/A 28178-2023 tillsynsbegäran.docx", "A 28178-2023")</f>
        <v/>
      </c>
      <c r="Y154">
        <f>HYPERLINK("https://klasma.github.io/Logging_2303/tillsynsmail/A 28178-2023 tillsynsbegäran mail.docx", "A 28178-2023")</f>
        <v/>
      </c>
    </row>
    <row r="155" ht="15" customHeight="1">
      <c r="A155" t="inlineStr">
        <is>
          <t>A 5048-2025</t>
        </is>
      </c>
      <c r="B155" s="1" t="n">
        <v>45691.44769675926</v>
      </c>
      <c r="C155" s="1" t="n">
        <v>45941</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45941</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25769-2025</t>
        </is>
      </c>
      <c r="B157" s="1" t="n">
        <v>45804.34474537037</v>
      </c>
      <c r="C157" s="1" t="n">
        <v>45941</v>
      </c>
      <c r="D157" t="inlineStr">
        <is>
          <t>JÄMTLANDS LÄN</t>
        </is>
      </c>
      <c r="E157" t="inlineStr">
        <is>
          <t>RAGUNDA</t>
        </is>
      </c>
      <c r="F157" t="inlineStr">
        <is>
          <t>SCA</t>
        </is>
      </c>
      <c r="G157" t="n">
        <v>5.3</v>
      </c>
      <c r="H157" t="n">
        <v>2</v>
      </c>
      <c r="I157" t="n">
        <v>0</v>
      </c>
      <c r="J157" t="n">
        <v>3</v>
      </c>
      <c r="K157" t="n">
        <v>0</v>
      </c>
      <c r="L157" t="n">
        <v>0</v>
      </c>
      <c r="M157" t="n">
        <v>0</v>
      </c>
      <c r="N157" t="n">
        <v>0</v>
      </c>
      <c r="O157" t="n">
        <v>3</v>
      </c>
      <c r="P157" t="n">
        <v>0</v>
      </c>
      <c r="Q157" t="n">
        <v>3</v>
      </c>
      <c r="R157" s="2" t="inlineStr">
        <is>
          <t>Garnlav
Rödvingetrast
Tretåig hackspett</t>
        </is>
      </c>
      <c r="S157">
        <f>HYPERLINK("https://klasma.github.io/Logging_2303/artfynd/A 25769-2025 artfynd.xlsx", "A 25769-2025")</f>
        <v/>
      </c>
      <c r="T157">
        <f>HYPERLINK("https://klasma.github.io/Logging_2303/kartor/A 25769-2025 karta.png", "A 25769-2025")</f>
        <v/>
      </c>
      <c r="V157">
        <f>HYPERLINK("https://klasma.github.io/Logging_2303/klagomål/A 25769-2025 FSC-klagomål.docx", "A 25769-2025")</f>
        <v/>
      </c>
      <c r="W157">
        <f>HYPERLINK("https://klasma.github.io/Logging_2303/klagomålsmail/A 25769-2025 FSC-klagomål mail.docx", "A 25769-2025")</f>
        <v/>
      </c>
      <c r="X157">
        <f>HYPERLINK("https://klasma.github.io/Logging_2303/tillsyn/A 25769-2025 tillsynsbegäran.docx", "A 25769-2025")</f>
        <v/>
      </c>
      <c r="Y157">
        <f>HYPERLINK("https://klasma.github.io/Logging_2303/tillsynsmail/A 25769-2025 tillsynsbegäran mail.docx", "A 25769-2025")</f>
        <v/>
      </c>
      <c r="Z157">
        <f>HYPERLINK("https://klasma.github.io/Logging_2303/fåglar/A 25769-2025 prioriterade fågelarter.docx", "A 25769-2025")</f>
        <v/>
      </c>
    </row>
    <row r="158" ht="15" customHeight="1">
      <c r="A158" t="inlineStr">
        <is>
          <t>A 17043-2022</t>
        </is>
      </c>
      <c r="B158" s="1" t="n">
        <v>44676</v>
      </c>
      <c r="C158" s="1" t="n">
        <v>45941</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21037-2021</t>
        </is>
      </c>
      <c r="B159" s="1" t="n">
        <v>44319</v>
      </c>
      <c r="C159" s="1" t="n">
        <v>45941</v>
      </c>
      <c r="D159" t="inlineStr">
        <is>
          <t>JÄMTLANDS LÄN</t>
        </is>
      </c>
      <c r="E159" t="inlineStr">
        <is>
          <t>RAGUNDA</t>
        </is>
      </c>
      <c r="F159" t="inlineStr">
        <is>
          <t>Kyrkan</t>
        </is>
      </c>
      <c r="G159" t="n">
        <v>0.8</v>
      </c>
      <c r="H159" t="n">
        <v>0</v>
      </c>
      <c r="I159" t="n">
        <v>0</v>
      </c>
      <c r="J159" t="n">
        <v>2</v>
      </c>
      <c r="K159" t="n">
        <v>0</v>
      </c>
      <c r="L159" t="n">
        <v>0</v>
      </c>
      <c r="M159" t="n">
        <v>0</v>
      </c>
      <c r="N159" t="n">
        <v>0</v>
      </c>
      <c r="O159" t="n">
        <v>2</v>
      </c>
      <c r="P159" t="n">
        <v>0</v>
      </c>
      <c r="Q159" t="n">
        <v>2</v>
      </c>
      <c r="R159" s="2" t="inlineStr">
        <is>
          <t>Olivbrun gytterlav
Persiljespindling</t>
        </is>
      </c>
      <c r="S159">
        <f>HYPERLINK("https://klasma.github.io/Logging_2303/artfynd/A 21037-2021 artfynd.xlsx", "A 21037-2021")</f>
        <v/>
      </c>
      <c r="T159">
        <f>HYPERLINK("https://klasma.github.io/Logging_2303/kartor/A 21037-2021 karta.png", "A 21037-2021")</f>
        <v/>
      </c>
      <c r="V159">
        <f>HYPERLINK("https://klasma.github.io/Logging_2303/klagomål/A 21037-2021 FSC-klagomål.docx", "A 21037-2021")</f>
        <v/>
      </c>
      <c r="W159">
        <f>HYPERLINK("https://klasma.github.io/Logging_2303/klagomålsmail/A 21037-2021 FSC-klagomål mail.docx", "A 21037-2021")</f>
        <v/>
      </c>
      <c r="X159">
        <f>HYPERLINK("https://klasma.github.io/Logging_2303/tillsyn/A 21037-2021 tillsynsbegäran.docx", "A 21037-2021")</f>
        <v/>
      </c>
      <c r="Y159">
        <f>HYPERLINK("https://klasma.github.io/Logging_2303/tillsynsmail/A 21037-2021 tillsynsbegäran mail.docx", "A 21037-2021")</f>
        <v/>
      </c>
    </row>
    <row r="160" ht="15" customHeight="1">
      <c r="A160" t="inlineStr">
        <is>
          <t>A 48059-2022</t>
        </is>
      </c>
      <c r="B160" s="1" t="n">
        <v>44855</v>
      </c>
      <c r="C160" s="1" t="n">
        <v>45941</v>
      </c>
      <c r="D160" t="inlineStr">
        <is>
          <t>JÄMTLANDS LÄN</t>
        </is>
      </c>
      <c r="E160" t="inlineStr">
        <is>
          <t>RAGUNDA</t>
        </is>
      </c>
      <c r="F160" t="inlineStr">
        <is>
          <t>SCA</t>
        </is>
      </c>
      <c r="G160" t="n">
        <v>3.2</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48059-2022 artfynd.xlsx", "A 48059-2022")</f>
        <v/>
      </c>
      <c r="T160">
        <f>HYPERLINK("https://klasma.github.io/Logging_2303/kartor/A 48059-2022 karta.png", "A 48059-2022")</f>
        <v/>
      </c>
      <c r="V160">
        <f>HYPERLINK("https://klasma.github.io/Logging_2303/klagomål/A 48059-2022 FSC-klagomål.docx", "A 48059-2022")</f>
        <v/>
      </c>
      <c r="W160">
        <f>HYPERLINK("https://klasma.github.io/Logging_2303/klagomålsmail/A 48059-2022 FSC-klagomål mail.docx", "A 48059-2022")</f>
        <v/>
      </c>
      <c r="X160">
        <f>HYPERLINK("https://klasma.github.io/Logging_2303/tillsyn/A 48059-2022 tillsynsbegäran.docx", "A 48059-2022")</f>
        <v/>
      </c>
      <c r="Y160">
        <f>HYPERLINK("https://klasma.github.io/Logging_2303/tillsynsmail/A 48059-2022 tillsynsbegäran mail.docx", "A 48059-2022")</f>
        <v/>
      </c>
    </row>
    <row r="161" ht="15" customHeight="1">
      <c r="A161" t="inlineStr">
        <is>
          <t>A 39495-2024</t>
        </is>
      </c>
      <c r="B161" s="1" t="n">
        <v>45551.65726851852</v>
      </c>
      <c r="C161" s="1" t="n">
        <v>45941</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45941</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32736-2023</t>
        </is>
      </c>
      <c r="B163" s="1" t="n">
        <v>45121</v>
      </c>
      <c r="C163" s="1" t="n">
        <v>45941</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30053-2024</t>
        </is>
      </c>
      <c r="B164" s="1" t="n">
        <v>45488.94747685185</v>
      </c>
      <c r="C164" s="1" t="n">
        <v>45941</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45021-2023</t>
        </is>
      </c>
      <c r="B165" s="1" t="n">
        <v>45190</v>
      </c>
      <c r="C165" s="1" t="n">
        <v>45941</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11544-2024</t>
        </is>
      </c>
      <c r="B166" s="1" t="n">
        <v>45372.95680555556</v>
      </c>
      <c r="C166" s="1" t="n">
        <v>45941</v>
      </c>
      <c r="D166" t="inlineStr">
        <is>
          <t>JÄMTLANDS LÄN</t>
        </is>
      </c>
      <c r="E166" t="inlineStr">
        <is>
          <t>RAGUNDA</t>
        </is>
      </c>
      <c r="F166" t="inlineStr">
        <is>
          <t>SCA</t>
        </is>
      </c>
      <c r="G166" t="n">
        <v>15.5</v>
      </c>
      <c r="H166" t="n">
        <v>0</v>
      </c>
      <c r="I166" t="n">
        <v>0</v>
      </c>
      <c r="J166" t="n">
        <v>2</v>
      </c>
      <c r="K166" t="n">
        <v>0</v>
      </c>
      <c r="L166" t="n">
        <v>0</v>
      </c>
      <c r="M166" t="n">
        <v>0</v>
      </c>
      <c r="N166" t="n">
        <v>0</v>
      </c>
      <c r="O166" t="n">
        <v>2</v>
      </c>
      <c r="P166" t="n">
        <v>0</v>
      </c>
      <c r="Q166" t="n">
        <v>2</v>
      </c>
      <c r="R166" s="2" t="inlineStr">
        <is>
          <t>Granticka
Mörk kolflarnlav</t>
        </is>
      </c>
      <c r="S166">
        <f>HYPERLINK("https://klasma.github.io/Logging_2303/artfynd/A 11544-2024 artfynd.xlsx", "A 11544-2024")</f>
        <v/>
      </c>
      <c r="T166">
        <f>HYPERLINK("https://klasma.github.io/Logging_2303/kartor/A 11544-2024 karta.png", "A 11544-2024")</f>
        <v/>
      </c>
      <c r="V166">
        <f>HYPERLINK("https://klasma.github.io/Logging_2303/klagomål/A 11544-2024 FSC-klagomål.docx", "A 11544-2024")</f>
        <v/>
      </c>
      <c r="W166">
        <f>HYPERLINK("https://klasma.github.io/Logging_2303/klagomålsmail/A 11544-2024 FSC-klagomål mail.docx", "A 11544-2024")</f>
        <v/>
      </c>
      <c r="X166">
        <f>HYPERLINK("https://klasma.github.io/Logging_2303/tillsyn/A 11544-2024 tillsynsbegäran.docx", "A 11544-2024")</f>
        <v/>
      </c>
      <c r="Y166">
        <f>HYPERLINK("https://klasma.github.io/Logging_2303/tillsynsmail/A 11544-2024 tillsynsbegäran mail.docx", "A 11544-2024")</f>
        <v/>
      </c>
    </row>
    <row r="167" ht="15" customHeight="1">
      <c r="A167" t="inlineStr">
        <is>
          <t>A 3838-2024</t>
        </is>
      </c>
      <c r="B167" s="1" t="n">
        <v>45321</v>
      </c>
      <c r="C167" s="1" t="n">
        <v>45941</v>
      </c>
      <c r="D167" t="inlineStr">
        <is>
          <t>JÄMTLANDS LÄN</t>
        </is>
      </c>
      <c r="E167" t="inlineStr">
        <is>
          <t>RAGUNDA</t>
        </is>
      </c>
      <c r="F167" t="inlineStr">
        <is>
          <t>SCA</t>
        </is>
      </c>
      <c r="G167" t="n">
        <v>2</v>
      </c>
      <c r="H167" t="n">
        <v>1</v>
      </c>
      <c r="I167" t="n">
        <v>1</v>
      </c>
      <c r="J167" t="n">
        <v>1</v>
      </c>
      <c r="K167" t="n">
        <v>0</v>
      </c>
      <c r="L167" t="n">
        <v>0</v>
      </c>
      <c r="M167" t="n">
        <v>0</v>
      </c>
      <c r="N167" t="n">
        <v>0</v>
      </c>
      <c r="O167" t="n">
        <v>1</v>
      </c>
      <c r="P167" t="n">
        <v>0</v>
      </c>
      <c r="Q167" t="n">
        <v>2</v>
      </c>
      <c r="R167" s="2" t="inlineStr">
        <is>
          <t>Garnlav
Guckusko</t>
        </is>
      </c>
      <c r="S167">
        <f>HYPERLINK("https://klasma.github.io/Logging_2303/artfynd/A 3838-2024 artfynd.xlsx", "A 3838-2024")</f>
        <v/>
      </c>
      <c r="T167">
        <f>HYPERLINK("https://klasma.github.io/Logging_2303/kartor/A 3838-2024 karta.png", "A 3838-2024")</f>
        <v/>
      </c>
      <c r="V167">
        <f>HYPERLINK("https://klasma.github.io/Logging_2303/klagomål/A 3838-2024 FSC-klagomål.docx", "A 3838-2024")</f>
        <v/>
      </c>
      <c r="W167">
        <f>HYPERLINK("https://klasma.github.io/Logging_2303/klagomålsmail/A 3838-2024 FSC-klagomål mail.docx", "A 3838-2024")</f>
        <v/>
      </c>
      <c r="X167">
        <f>HYPERLINK("https://klasma.github.io/Logging_2303/tillsyn/A 3838-2024 tillsynsbegäran.docx", "A 3838-2024")</f>
        <v/>
      </c>
      <c r="Y167">
        <f>HYPERLINK("https://klasma.github.io/Logging_2303/tillsynsmail/A 3838-2024 tillsynsbegäran mail.docx", "A 3838-2024")</f>
        <v/>
      </c>
    </row>
    <row r="168" ht="15" customHeight="1">
      <c r="A168" t="inlineStr">
        <is>
          <t>A 44409-2023</t>
        </is>
      </c>
      <c r="B168" s="1" t="n">
        <v>45188</v>
      </c>
      <c r="C168" s="1" t="n">
        <v>45941</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44409-2023 artfynd.xlsx", "A 44409-2023")</f>
        <v/>
      </c>
      <c r="T168">
        <f>HYPERLINK("https://klasma.github.io/Logging_2303/kartor/A 44409-2023 karta.png", "A 44409-2023")</f>
        <v/>
      </c>
      <c r="V168">
        <f>HYPERLINK("https://klasma.github.io/Logging_2303/klagomål/A 44409-2023 FSC-klagomål.docx", "A 44409-2023")</f>
        <v/>
      </c>
      <c r="W168">
        <f>HYPERLINK("https://klasma.github.io/Logging_2303/klagomålsmail/A 44409-2023 FSC-klagomål mail.docx", "A 44409-2023")</f>
        <v/>
      </c>
      <c r="X168">
        <f>HYPERLINK("https://klasma.github.io/Logging_2303/tillsyn/A 44409-2023 tillsynsbegäran.docx", "A 44409-2023")</f>
        <v/>
      </c>
      <c r="Y168">
        <f>HYPERLINK("https://klasma.github.io/Logging_2303/tillsynsmail/A 44409-2023 tillsynsbegäran mail.docx", "A 44409-2023")</f>
        <v/>
      </c>
    </row>
    <row r="169" ht="15" customHeight="1">
      <c r="A169" t="inlineStr">
        <is>
          <t>A 12271-2024</t>
        </is>
      </c>
      <c r="B169" s="1" t="n">
        <v>45378</v>
      </c>
      <c r="C169" s="1" t="n">
        <v>45941</v>
      </c>
      <c r="D169" t="inlineStr">
        <is>
          <t>JÄMTLANDS LÄN</t>
        </is>
      </c>
      <c r="E169" t="inlineStr">
        <is>
          <t>RAGUNDA</t>
        </is>
      </c>
      <c r="F169" t="inlineStr">
        <is>
          <t>Kommuner</t>
        </is>
      </c>
      <c r="G169" t="n">
        <v>6.1</v>
      </c>
      <c r="H169" t="n">
        <v>0</v>
      </c>
      <c r="I169" t="n">
        <v>0</v>
      </c>
      <c r="J169" t="n">
        <v>2</v>
      </c>
      <c r="K169" t="n">
        <v>0</v>
      </c>
      <c r="L169" t="n">
        <v>0</v>
      </c>
      <c r="M169" t="n">
        <v>0</v>
      </c>
      <c r="N169" t="n">
        <v>0</v>
      </c>
      <c r="O169" t="n">
        <v>2</v>
      </c>
      <c r="P169" t="n">
        <v>0</v>
      </c>
      <c r="Q169" t="n">
        <v>2</v>
      </c>
      <c r="R169" s="2" t="inlineStr">
        <is>
          <t>Garnlav
Lunglav</t>
        </is>
      </c>
      <c r="S169">
        <f>HYPERLINK("https://klasma.github.io/Logging_2303/artfynd/A 12271-2024 artfynd.xlsx", "A 12271-2024")</f>
        <v/>
      </c>
      <c r="T169">
        <f>HYPERLINK("https://klasma.github.io/Logging_2303/kartor/A 12271-2024 karta.png", "A 12271-2024")</f>
        <v/>
      </c>
      <c r="V169">
        <f>HYPERLINK("https://klasma.github.io/Logging_2303/klagomål/A 12271-2024 FSC-klagomål.docx", "A 12271-2024")</f>
        <v/>
      </c>
      <c r="W169">
        <f>HYPERLINK("https://klasma.github.io/Logging_2303/klagomålsmail/A 12271-2024 FSC-klagomål mail.docx", "A 12271-2024")</f>
        <v/>
      </c>
      <c r="X169">
        <f>HYPERLINK("https://klasma.github.io/Logging_2303/tillsyn/A 12271-2024 tillsynsbegäran.docx", "A 12271-2024")</f>
        <v/>
      </c>
      <c r="Y169">
        <f>HYPERLINK("https://klasma.github.io/Logging_2303/tillsynsmail/A 12271-2024 tillsynsbegäran mail.docx", "A 12271-2024")</f>
        <v/>
      </c>
    </row>
    <row r="170" ht="15" customHeight="1">
      <c r="A170" t="inlineStr">
        <is>
          <t>A 48427-2023</t>
        </is>
      </c>
      <c r="B170" s="1" t="n">
        <v>45205</v>
      </c>
      <c r="C170" s="1" t="n">
        <v>45941</v>
      </c>
      <c r="D170" t="inlineStr">
        <is>
          <t>JÄMTLANDS LÄN</t>
        </is>
      </c>
      <c r="E170" t="inlineStr">
        <is>
          <t>RAGUNDA</t>
        </is>
      </c>
      <c r="F170" t="inlineStr">
        <is>
          <t>SCA</t>
        </is>
      </c>
      <c r="G170" t="n">
        <v>10.1</v>
      </c>
      <c r="H170" t="n">
        <v>0</v>
      </c>
      <c r="I170" t="n">
        <v>1</v>
      </c>
      <c r="J170" t="n">
        <v>1</v>
      </c>
      <c r="K170" t="n">
        <v>0</v>
      </c>
      <c r="L170" t="n">
        <v>0</v>
      </c>
      <c r="M170" t="n">
        <v>0</v>
      </c>
      <c r="N170" t="n">
        <v>0</v>
      </c>
      <c r="O170" t="n">
        <v>1</v>
      </c>
      <c r="P170" t="n">
        <v>0</v>
      </c>
      <c r="Q170" t="n">
        <v>2</v>
      </c>
      <c r="R170" s="2" t="inlineStr">
        <is>
          <t>Lunglav
Luddlav</t>
        </is>
      </c>
      <c r="S170">
        <f>HYPERLINK("https://klasma.github.io/Logging_2303/artfynd/A 48427-2023 artfynd.xlsx", "A 48427-2023")</f>
        <v/>
      </c>
      <c r="T170">
        <f>HYPERLINK("https://klasma.github.io/Logging_2303/kartor/A 48427-2023 karta.png", "A 48427-2023")</f>
        <v/>
      </c>
      <c r="V170">
        <f>HYPERLINK("https://klasma.github.io/Logging_2303/klagomål/A 48427-2023 FSC-klagomål.docx", "A 48427-2023")</f>
        <v/>
      </c>
      <c r="W170">
        <f>HYPERLINK("https://klasma.github.io/Logging_2303/klagomålsmail/A 48427-2023 FSC-klagomål mail.docx", "A 48427-2023")</f>
        <v/>
      </c>
      <c r="X170">
        <f>HYPERLINK("https://klasma.github.io/Logging_2303/tillsyn/A 48427-2023 tillsynsbegäran.docx", "A 48427-2023")</f>
        <v/>
      </c>
      <c r="Y170">
        <f>HYPERLINK("https://klasma.github.io/Logging_2303/tillsynsmail/A 48427-2023 tillsynsbegäran mail.docx", "A 48427-2023")</f>
        <v/>
      </c>
    </row>
    <row r="171" ht="15" customHeight="1">
      <c r="A171" t="inlineStr">
        <is>
          <t>A 17733-2022</t>
        </is>
      </c>
      <c r="B171" s="1" t="n">
        <v>44680</v>
      </c>
      <c r="C171" s="1" t="n">
        <v>45941</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45941</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31960-2025</t>
        </is>
      </c>
      <c r="B173" s="1" t="n">
        <v>45835.344375</v>
      </c>
      <c r="C173" s="1" t="n">
        <v>45941</v>
      </c>
      <c r="D173" t="inlineStr">
        <is>
          <t>JÄMTLANDS LÄN</t>
        </is>
      </c>
      <c r="E173" t="inlineStr">
        <is>
          <t>RAGUNDA</t>
        </is>
      </c>
      <c r="F173" t="inlineStr">
        <is>
          <t>SCA</t>
        </is>
      </c>
      <c r="G173" t="n">
        <v>1.6</v>
      </c>
      <c r="H173" t="n">
        <v>0</v>
      </c>
      <c r="I173" t="n">
        <v>0</v>
      </c>
      <c r="J173" t="n">
        <v>2</v>
      </c>
      <c r="K173" t="n">
        <v>0</v>
      </c>
      <c r="L173" t="n">
        <v>0</v>
      </c>
      <c r="M173" t="n">
        <v>0</v>
      </c>
      <c r="N173" t="n">
        <v>0</v>
      </c>
      <c r="O173" t="n">
        <v>2</v>
      </c>
      <c r="P173" t="n">
        <v>0</v>
      </c>
      <c r="Q173" t="n">
        <v>2</v>
      </c>
      <c r="R173" s="2" t="inlineStr">
        <is>
          <t>Gammelgransskål
Garnlav</t>
        </is>
      </c>
      <c r="S173">
        <f>HYPERLINK("https://klasma.github.io/Logging_2303/artfynd/A 31960-2025 artfynd.xlsx", "A 31960-2025")</f>
        <v/>
      </c>
      <c r="T173">
        <f>HYPERLINK("https://klasma.github.io/Logging_2303/kartor/A 31960-2025 karta.png", "A 31960-2025")</f>
        <v/>
      </c>
      <c r="V173">
        <f>HYPERLINK("https://klasma.github.io/Logging_2303/klagomål/A 31960-2025 FSC-klagomål.docx", "A 31960-2025")</f>
        <v/>
      </c>
      <c r="W173">
        <f>HYPERLINK("https://klasma.github.io/Logging_2303/klagomålsmail/A 31960-2025 FSC-klagomål mail.docx", "A 31960-2025")</f>
        <v/>
      </c>
      <c r="X173">
        <f>HYPERLINK("https://klasma.github.io/Logging_2303/tillsyn/A 31960-2025 tillsynsbegäran.docx", "A 31960-2025")</f>
        <v/>
      </c>
      <c r="Y173">
        <f>HYPERLINK("https://klasma.github.io/Logging_2303/tillsynsmail/A 31960-2025 tillsynsbegäran mail.docx", "A 31960-2025")</f>
        <v/>
      </c>
    </row>
    <row r="174" ht="15" customHeight="1">
      <c r="A174" t="inlineStr">
        <is>
          <t>A 14502-2024</t>
        </is>
      </c>
      <c r="B174" s="1" t="n">
        <v>45394</v>
      </c>
      <c r="C174" s="1" t="n">
        <v>45941</v>
      </c>
      <c r="D174" t="inlineStr">
        <is>
          <t>JÄMTLANDS LÄN</t>
        </is>
      </c>
      <c r="E174" t="inlineStr">
        <is>
          <t>RAGUNDA</t>
        </is>
      </c>
      <c r="G174" t="n">
        <v>11.6</v>
      </c>
      <c r="H174" t="n">
        <v>0</v>
      </c>
      <c r="I174" t="n">
        <v>0</v>
      </c>
      <c r="J174" t="n">
        <v>2</v>
      </c>
      <c r="K174" t="n">
        <v>0</v>
      </c>
      <c r="L174" t="n">
        <v>0</v>
      </c>
      <c r="M174" t="n">
        <v>0</v>
      </c>
      <c r="N174" t="n">
        <v>0</v>
      </c>
      <c r="O174" t="n">
        <v>2</v>
      </c>
      <c r="P174" t="n">
        <v>0</v>
      </c>
      <c r="Q174" t="n">
        <v>2</v>
      </c>
      <c r="R174" s="2" t="inlineStr">
        <is>
          <t>Garnlav
Stjärntagging</t>
        </is>
      </c>
      <c r="S174">
        <f>HYPERLINK("https://klasma.github.io/Logging_2303/artfynd/A 14502-2024 artfynd.xlsx", "A 14502-2024")</f>
        <v/>
      </c>
      <c r="T174">
        <f>HYPERLINK("https://klasma.github.io/Logging_2303/kartor/A 14502-2024 karta.png", "A 14502-2024")</f>
        <v/>
      </c>
      <c r="V174">
        <f>HYPERLINK("https://klasma.github.io/Logging_2303/klagomål/A 14502-2024 FSC-klagomål.docx", "A 14502-2024")</f>
        <v/>
      </c>
      <c r="W174">
        <f>HYPERLINK("https://klasma.github.io/Logging_2303/klagomålsmail/A 14502-2024 FSC-klagomål mail.docx", "A 14502-2024")</f>
        <v/>
      </c>
      <c r="X174">
        <f>HYPERLINK("https://klasma.github.io/Logging_2303/tillsyn/A 14502-2024 tillsynsbegäran.docx", "A 14502-2024")</f>
        <v/>
      </c>
      <c r="Y174">
        <f>HYPERLINK("https://klasma.github.io/Logging_2303/tillsynsmail/A 14502-2024 tillsynsbegäran mail.docx", "A 14502-2024")</f>
        <v/>
      </c>
    </row>
    <row r="175" ht="15" customHeight="1">
      <c r="A175" t="inlineStr">
        <is>
          <t>A 35131-2025</t>
        </is>
      </c>
      <c r="B175" s="1" t="n">
        <v>45852.63597222222</v>
      </c>
      <c r="C175" s="1" t="n">
        <v>45941</v>
      </c>
      <c r="D175" t="inlineStr">
        <is>
          <t>JÄMTLANDS LÄN</t>
        </is>
      </c>
      <c r="E175" t="inlineStr">
        <is>
          <t>RAGUNDA</t>
        </is>
      </c>
      <c r="F175" t="inlineStr">
        <is>
          <t>SCA</t>
        </is>
      </c>
      <c r="G175" t="n">
        <v>6.9</v>
      </c>
      <c r="H175" t="n">
        <v>1</v>
      </c>
      <c r="I175" t="n">
        <v>1</v>
      </c>
      <c r="J175" t="n">
        <v>0</v>
      </c>
      <c r="K175" t="n">
        <v>0</v>
      </c>
      <c r="L175" t="n">
        <v>0</v>
      </c>
      <c r="M175" t="n">
        <v>0</v>
      </c>
      <c r="N175" t="n">
        <v>0</v>
      </c>
      <c r="O175" t="n">
        <v>0</v>
      </c>
      <c r="P175" t="n">
        <v>0</v>
      </c>
      <c r="Q175" t="n">
        <v>2</v>
      </c>
      <c r="R175" s="2" t="inlineStr">
        <is>
          <t>Ögonpyrola
Nattviol</t>
        </is>
      </c>
      <c r="S175">
        <f>HYPERLINK("https://klasma.github.io/Logging_2303/artfynd/A 35131-2025 artfynd.xlsx", "A 35131-2025")</f>
        <v/>
      </c>
      <c r="T175">
        <f>HYPERLINK("https://klasma.github.io/Logging_2303/kartor/A 35131-2025 karta.png", "A 35131-2025")</f>
        <v/>
      </c>
      <c r="V175">
        <f>HYPERLINK("https://klasma.github.io/Logging_2303/klagomål/A 35131-2025 FSC-klagomål.docx", "A 35131-2025")</f>
        <v/>
      </c>
      <c r="W175">
        <f>HYPERLINK("https://klasma.github.io/Logging_2303/klagomålsmail/A 35131-2025 FSC-klagomål mail.docx", "A 35131-2025")</f>
        <v/>
      </c>
      <c r="X175">
        <f>HYPERLINK("https://klasma.github.io/Logging_2303/tillsyn/A 35131-2025 tillsynsbegäran.docx", "A 35131-2025")</f>
        <v/>
      </c>
      <c r="Y175">
        <f>HYPERLINK("https://klasma.github.io/Logging_2303/tillsynsmail/A 35131-2025 tillsynsbegäran mail.docx", "A 35131-2025")</f>
        <v/>
      </c>
    </row>
    <row r="176" ht="15" customHeight="1">
      <c r="A176" t="inlineStr">
        <is>
          <t>A 26482-2023</t>
        </is>
      </c>
      <c r="B176" s="1" t="n">
        <v>45089</v>
      </c>
      <c r="C176" s="1" t="n">
        <v>45941</v>
      </c>
      <c r="D176" t="inlineStr">
        <is>
          <t>JÄMTLANDS LÄN</t>
        </is>
      </c>
      <c r="E176" t="inlineStr">
        <is>
          <t>RAGUNDA</t>
        </is>
      </c>
      <c r="G176" t="n">
        <v>2</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26482-2023 artfynd.xlsx", "A 26482-2023")</f>
        <v/>
      </c>
      <c r="T176">
        <f>HYPERLINK("https://klasma.github.io/Logging_2303/kartor/A 26482-2023 karta.png", "A 26482-2023")</f>
        <v/>
      </c>
      <c r="V176">
        <f>HYPERLINK("https://klasma.github.io/Logging_2303/klagomål/A 26482-2023 FSC-klagomål.docx", "A 26482-2023")</f>
        <v/>
      </c>
      <c r="W176">
        <f>HYPERLINK("https://klasma.github.io/Logging_2303/klagomålsmail/A 26482-2023 FSC-klagomål mail.docx", "A 26482-2023")</f>
        <v/>
      </c>
      <c r="X176">
        <f>HYPERLINK("https://klasma.github.io/Logging_2303/tillsyn/A 26482-2023 tillsynsbegäran.docx", "A 26482-2023")</f>
        <v/>
      </c>
      <c r="Y176">
        <f>HYPERLINK("https://klasma.github.io/Logging_2303/tillsynsmail/A 26482-2023 tillsynsbegäran mail.docx", "A 26482-2023")</f>
        <v/>
      </c>
      <c r="Z176">
        <f>HYPERLINK("https://klasma.github.io/Logging_2303/fåglar/A 26482-2023 prioriterade fågelarter.docx", "A 26482-2023")</f>
        <v/>
      </c>
    </row>
    <row r="177" ht="15" customHeight="1">
      <c r="A177" t="inlineStr">
        <is>
          <t>A 45035-2023</t>
        </is>
      </c>
      <c r="B177" s="1" t="n">
        <v>45191</v>
      </c>
      <c r="C177" s="1" t="n">
        <v>45941</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45941</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19728-2025</t>
        </is>
      </c>
      <c r="B179" s="1" t="n">
        <v>45771.36548611111</v>
      </c>
      <c r="C179" s="1" t="n">
        <v>45941</v>
      </c>
      <c r="D179" t="inlineStr">
        <is>
          <t>JÄMTLANDS LÄN</t>
        </is>
      </c>
      <c r="E179" t="inlineStr">
        <is>
          <t>RAGUNDA</t>
        </is>
      </c>
      <c r="F179" t="inlineStr">
        <is>
          <t>SCA</t>
        </is>
      </c>
      <c r="G179" t="n">
        <v>6.2</v>
      </c>
      <c r="H179" t="n">
        <v>1</v>
      </c>
      <c r="I179" t="n">
        <v>0</v>
      </c>
      <c r="J179" t="n">
        <v>2</v>
      </c>
      <c r="K179" t="n">
        <v>0</v>
      </c>
      <c r="L179" t="n">
        <v>0</v>
      </c>
      <c r="M179" t="n">
        <v>0</v>
      </c>
      <c r="N179" t="n">
        <v>0</v>
      </c>
      <c r="O179" t="n">
        <v>2</v>
      </c>
      <c r="P179" t="n">
        <v>0</v>
      </c>
      <c r="Q179" t="n">
        <v>2</v>
      </c>
      <c r="R179" s="2" t="inlineStr">
        <is>
          <t>Stjärntagging
Tretåig hackspett</t>
        </is>
      </c>
      <c r="S179">
        <f>HYPERLINK("https://klasma.github.io/Logging_2303/artfynd/A 19728-2025 artfynd.xlsx", "A 19728-2025")</f>
        <v/>
      </c>
      <c r="T179">
        <f>HYPERLINK("https://klasma.github.io/Logging_2303/kartor/A 19728-2025 karta.png", "A 19728-2025")</f>
        <v/>
      </c>
      <c r="V179">
        <f>HYPERLINK("https://klasma.github.io/Logging_2303/klagomål/A 19728-2025 FSC-klagomål.docx", "A 19728-2025")</f>
        <v/>
      </c>
      <c r="W179">
        <f>HYPERLINK("https://klasma.github.io/Logging_2303/klagomålsmail/A 19728-2025 FSC-klagomål mail.docx", "A 19728-2025")</f>
        <v/>
      </c>
      <c r="X179">
        <f>HYPERLINK("https://klasma.github.io/Logging_2303/tillsyn/A 19728-2025 tillsynsbegäran.docx", "A 19728-2025")</f>
        <v/>
      </c>
      <c r="Y179">
        <f>HYPERLINK("https://klasma.github.io/Logging_2303/tillsynsmail/A 19728-2025 tillsynsbegäran mail.docx", "A 19728-2025")</f>
        <v/>
      </c>
      <c r="Z179">
        <f>HYPERLINK("https://klasma.github.io/Logging_2303/fåglar/A 19728-2025 prioriterade fågelarter.docx", "A 19728-2025")</f>
        <v/>
      </c>
    </row>
    <row r="180" ht="15" customHeight="1">
      <c r="A180" t="inlineStr">
        <is>
          <t>A 46771-2024</t>
        </is>
      </c>
      <c r="B180" s="1" t="n">
        <v>45583.49642361111</v>
      </c>
      <c r="C180" s="1" t="n">
        <v>45941</v>
      </c>
      <c r="D180" t="inlineStr">
        <is>
          <t>JÄMTLANDS LÄN</t>
        </is>
      </c>
      <c r="E180" t="inlineStr">
        <is>
          <t>RAGUNDA</t>
        </is>
      </c>
      <c r="F180" t="inlineStr">
        <is>
          <t>SCA</t>
        </is>
      </c>
      <c r="G180" t="n">
        <v>3.1</v>
      </c>
      <c r="H180" t="n">
        <v>0</v>
      </c>
      <c r="I180" t="n">
        <v>0</v>
      </c>
      <c r="J180" t="n">
        <v>2</v>
      </c>
      <c r="K180" t="n">
        <v>0</v>
      </c>
      <c r="L180" t="n">
        <v>0</v>
      </c>
      <c r="M180" t="n">
        <v>0</v>
      </c>
      <c r="N180" t="n">
        <v>0</v>
      </c>
      <c r="O180" t="n">
        <v>2</v>
      </c>
      <c r="P180" t="n">
        <v>0</v>
      </c>
      <c r="Q180" t="n">
        <v>2</v>
      </c>
      <c r="R180" s="2" t="inlineStr">
        <is>
          <t>Doftskinn
Gammelgransskål</t>
        </is>
      </c>
      <c r="S180">
        <f>HYPERLINK("https://klasma.github.io/Logging_2303/artfynd/A 46771-2024 artfynd.xlsx", "A 46771-2024")</f>
        <v/>
      </c>
      <c r="T180">
        <f>HYPERLINK("https://klasma.github.io/Logging_2303/kartor/A 46771-2024 karta.png", "A 46771-2024")</f>
        <v/>
      </c>
      <c r="V180">
        <f>HYPERLINK("https://klasma.github.io/Logging_2303/klagomål/A 46771-2024 FSC-klagomål.docx", "A 46771-2024")</f>
        <v/>
      </c>
      <c r="W180">
        <f>HYPERLINK("https://klasma.github.io/Logging_2303/klagomålsmail/A 46771-2024 FSC-klagomål mail.docx", "A 46771-2024")</f>
        <v/>
      </c>
      <c r="X180">
        <f>HYPERLINK("https://klasma.github.io/Logging_2303/tillsyn/A 46771-2024 tillsynsbegäran.docx", "A 46771-2024")</f>
        <v/>
      </c>
      <c r="Y180">
        <f>HYPERLINK("https://klasma.github.io/Logging_2303/tillsynsmail/A 46771-2024 tillsynsbegäran mail.docx", "A 46771-2024")</f>
        <v/>
      </c>
    </row>
    <row r="181" ht="15" customHeight="1">
      <c r="A181" t="inlineStr">
        <is>
          <t>A 47850-2025</t>
        </is>
      </c>
      <c r="B181" s="1" t="n">
        <v>45932.38626157407</v>
      </c>
      <c r="C181" s="1" t="n">
        <v>45941</v>
      </c>
      <c r="D181" t="inlineStr">
        <is>
          <t>JÄMTLANDS LÄN</t>
        </is>
      </c>
      <c r="E181" t="inlineStr">
        <is>
          <t>RAGUNDA</t>
        </is>
      </c>
      <c r="F181" t="inlineStr">
        <is>
          <t>SCA</t>
        </is>
      </c>
      <c r="G181" t="n">
        <v>2.4</v>
      </c>
      <c r="H181" t="n">
        <v>1</v>
      </c>
      <c r="I181" t="n">
        <v>0</v>
      </c>
      <c r="J181" t="n">
        <v>1</v>
      </c>
      <c r="K181" t="n">
        <v>0</v>
      </c>
      <c r="L181" t="n">
        <v>0</v>
      </c>
      <c r="M181" t="n">
        <v>0</v>
      </c>
      <c r="N181" t="n">
        <v>0</v>
      </c>
      <c r="O181" t="n">
        <v>1</v>
      </c>
      <c r="P181" t="n">
        <v>0</v>
      </c>
      <c r="Q181" t="n">
        <v>2</v>
      </c>
      <c r="R181" s="2" t="inlineStr">
        <is>
          <t>Kolflarnlav
Blåsippa</t>
        </is>
      </c>
      <c r="S181">
        <f>HYPERLINK("https://klasma.github.io/Logging_2303/artfynd/A 47850-2025 artfynd.xlsx", "A 47850-2025")</f>
        <v/>
      </c>
      <c r="T181">
        <f>HYPERLINK("https://klasma.github.io/Logging_2303/kartor/A 47850-2025 karta.png", "A 47850-2025")</f>
        <v/>
      </c>
      <c r="V181">
        <f>HYPERLINK("https://klasma.github.io/Logging_2303/klagomål/A 47850-2025 FSC-klagomål.docx", "A 47850-2025")</f>
        <v/>
      </c>
      <c r="W181">
        <f>HYPERLINK("https://klasma.github.io/Logging_2303/klagomålsmail/A 47850-2025 FSC-klagomål mail.docx", "A 47850-2025")</f>
        <v/>
      </c>
      <c r="X181">
        <f>HYPERLINK("https://klasma.github.io/Logging_2303/tillsyn/A 47850-2025 tillsynsbegäran.docx", "A 47850-2025")</f>
        <v/>
      </c>
      <c r="Y181">
        <f>HYPERLINK("https://klasma.github.io/Logging_2303/tillsynsmail/A 47850-2025 tillsynsbegäran mail.docx", "A 47850-2025")</f>
        <v/>
      </c>
    </row>
    <row r="182" ht="15" customHeight="1">
      <c r="A182" t="inlineStr">
        <is>
          <t>A 34715-2024</t>
        </is>
      </c>
      <c r="B182" s="1" t="n">
        <v>45526.56393518519</v>
      </c>
      <c r="C182" s="1" t="n">
        <v>45941</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10866-2025</t>
        </is>
      </c>
      <c r="B183" s="1" t="n">
        <v>45722.61543981481</v>
      </c>
      <c r="C183" s="1" t="n">
        <v>45941</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57940-2024</t>
        </is>
      </c>
      <c r="B184" s="1" t="n">
        <v>45631</v>
      </c>
      <c r="C184" s="1" t="n">
        <v>45941</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10884-2025</t>
        </is>
      </c>
      <c r="B185" s="1" t="n">
        <v>45722.65670138889</v>
      </c>
      <c r="C185" s="1" t="n">
        <v>45941</v>
      </c>
      <c r="D185" t="inlineStr">
        <is>
          <t>JÄMTLANDS LÄN</t>
        </is>
      </c>
      <c r="E185" t="inlineStr">
        <is>
          <t>RAGUNDA</t>
        </is>
      </c>
      <c r="F185" t="inlineStr">
        <is>
          <t>SCA</t>
        </is>
      </c>
      <c r="G185" t="n">
        <v>5.4</v>
      </c>
      <c r="H185" t="n">
        <v>0</v>
      </c>
      <c r="I185" t="n">
        <v>1</v>
      </c>
      <c r="J185" t="n">
        <v>1</v>
      </c>
      <c r="K185" t="n">
        <v>0</v>
      </c>
      <c r="L185" t="n">
        <v>0</v>
      </c>
      <c r="M185" t="n">
        <v>0</v>
      </c>
      <c r="N185" t="n">
        <v>0</v>
      </c>
      <c r="O185" t="n">
        <v>1</v>
      </c>
      <c r="P185" t="n">
        <v>0</v>
      </c>
      <c r="Q185" t="n">
        <v>2</v>
      </c>
      <c r="R185" s="2" t="inlineStr">
        <is>
          <t>Vitgrynig nållav
Dropptaggsvamp</t>
        </is>
      </c>
      <c r="S185">
        <f>HYPERLINK("https://klasma.github.io/Logging_2303/artfynd/A 10884-2025 artfynd.xlsx", "A 10884-2025")</f>
        <v/>
      </c>
      <c r="T185">
        <f>HYPERLINK("https://klasma.github.io/Logging_2303/kartor/A 10884-2025 karta.png", "A 10884-2025")</f>
        <v/>
      </c>
      <c r="V185">
        <f>HYPERLINK("https://klasma.github.io/Logging_2303/klagomål/A 10884-2025 FSC-klagomål.docx", "A 10884-2025")</f>
        <v/>
      </c>
      <c r="W185">
        <f>HYPERLINK("https://klasma.github.io/Logging_2303/klagomålsmail/A 10884-2025 FSC-klagomål mail.docx", "A 10884-2025")</f>
        <v/>
      </c>
      <c r="X185">
        <f>HYPERLINK("https://klasma.github.io/Logging_2303/tillsyn/A 10884-2025 tillsynsbegäran.docx", "A 10884-2025")</f>
        <v/>
      </c>
      <c r="Y185">
        <f>HYPERLINK("https://klasma.github.io/Logging_2303/tillsynsmail/A 10884-2025 tillsynsbegäran mail.docx", "A 10884-2025")</f>
        <v/>
      </c>
    </row>
    <row r="186" ht="15" customHeight="1">
      <c r="A186" t="inlineStr">
        <is>
          <t>A 26324-2024</t>
        </is>
      </c>
      <c r="B186" s="1" t="n">
        <v>45468.97495370371</v>
      </c>
      <c r="C186" s="1" t="n">
        <v>45941</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Knärot
Vedtrappmossa</t>
        </is>
      </c>
      <c r="S186">
        <f>HYPERLINK("https://klasma.github.io/Logging_2303/artfynd/A 26324-2024 artfynd.xlsx", "A 26324-2024")</f>
        <v/>
      </c>
      <c r="T186">
        <f>HYPERLINK("https://klasma.github.io/Logging_2303/kartor/A 26324-2024 karta.png", "A 26324-2024")</f>
        <v/>
      </c>
      <c r="U186">
        <f>HYPERLINK("https://klasma.github.io/Logging_2303/knärot/A 26324-2024 karta knärot.png", "A 26324-2024")</f>
        <v/>
      </c>
      <c r="V186">
        <f>HYPERLINK("https://klasma.github.io/Logging_2303/klagomål/A 26324-2024 FSC-klagomål.docx", "A 26324-2024")</f>
        <v/>
      </c>
      <c r="W186">
        <f>HYPERLINK("https://klasma.github.io/Logging_2303/klagomålsmail/A 26324-2024 FSC-klagomål mail.docx", "A 26324-2024")</f>
        <v/>
      </c>
      <c r="X186">
        <f>HYPERLINK("https://klasma.github.io/Logging_2303/tillsyn/A 26324-2024 tillsynsbegäran.docx", "A 26324-2024")</f>
        <v/>
      </c>
      <c r="Y186">
        <f>HYPERLINK("https://klasma.github.io/Logging_2303/tillsynsmail/A 26324-2024 tillsynsbegäran mail.docx", "A 26324-2024")</f>
        <v/>
      </c>
    </row>
    <row r="187" ht="15" customHeight="1">
      <c r="A187" t="inlineStr">
        <is>
          <t>A 11843-2023</t>
        </is>
      </c>
      <c r="B187" s="1" t="n">
        <v>44993</v>
      </c>
      <c r="C187" s="1" t="n">
        <v>45941</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48084-2022</t>
        </is>
      </c>
      <c r="B188" s="1" t="n">
        <v>44855</v>
      </c>
      <c r="C188" s="1" t="n">
        <v>45941</v>
      </c>
      <c r="D188" t="inlineStr">
        <is>
          <t>JÄMTLANDS LÄN</t>
        </is>
      </c>
      <c r="E188" t="inlineStr">
        <is>
          <t>RAGUNDA</t>
        </is>
      </c>
      <c r="F188" t="inlineStr">
        <is>
          <t>SCA</t>
        </is>
      </c>
      <c r="G188" t="n">
        <v>4.7</v>
      </c>
      <c r="H188" t="n">
        <v>1</v>
      </c>
      <c r="I188" t="n">
        <v>0</v>
      </c>
      <c r="J188" t="n">
        <v>2</v>
      </c>
      <c r="K188" t="n">
        <v>0</v>
      </c>
      <c r="L188" t="n">
        <v>0</v>
      </c>
      <c r="M188" t="n">
        <v>0</v>
      </c>
      <c r="N188" t="n">
        <v>0</v>
      </c>
      <c r="O188" t="n">
        <v>2</v>
      </c>
      <c r="P188" t="n">
        <v>0</v>
      </c>
      <c r="Q188" t="n">
        <v>2</v>
      </c>
      <c r="R188" s="2" t="inlineStr">
        <is>
          <t>Rosenticka
Tretåig hackspett</t>
        </is>
      </c>
      <c r="S188">
        <f>HYPERLINK("https://klasma.github.io/Logging_2303/artfynd/A 48084-2022 artfynd.xlsx", "A 48084-2022")</f>
        <v/>
      </c>
      <c r="T188">
        <f>HYPERLINK("https://klasma.github.io/Logging_2303/kartor/A 48084-2022 karta.png", "A 48084-2022")</f>
        <v/>
      </c>
      <c r="V188">
        <f>HYPERLINK("https://klasma.github.io/Logging_2303/klagomål/A 48084-2022 FSC-klagomål.docx", "A 48084-2022")</f>
        <v/>
      </c>
      <c r="W188">
        <f>HYPERLINK("https://klasma.github.io/Logging_2303/klagomålsmail/A 48084-2022 FSC-klagomål mail.docx", "A 48084-2022")</f>
        <v/>
      </c>
      <c r="X188">
        <f>HYPERLINK("https://klasma.github.io/Logging_2303/tillsyn/A 48084-2022 tillsynsbegäran.docx", "A 48084-2022")</f>
        <v/>
      </c>
      <c r="Y188">
        <f>HYPERLINK("https://klasma.github.io/Logging_2303/tillsynsmail/A 48084-2022 tillsynsbegäran mail.docx", "A 48084-2022")</f>
        <v/>
      </c>
      <c r="Z188">
        <f>HYPERLINK("https://klasma.github.io/Logging_2303/fåglar/A 48084-2022 prioriterade fågelarter.docx", "A 48084-2022")</f>
        <v/>
      </c>
    </row>
    <row r="189" ht="15" customHeight="1">
      <c r="A189" t="inlineStr">
        <is>
          <t>A 19384-2025</t>
        </is>
      </c>
      <c r="B189" s="1" t="n">
        <v>45769.65692129629</v>
      </c>
      <c r="C189" s="1" t="n">
        <v>45941</v>
      </c>
      <c r="D189" t="inlineStr">
        <is>
          <t>JÄMTLANDS LÄN</t>
        </is>
      </c>
      <c r="E189" t="inlineStr">
        <is>
          <t>RAGUNDA</t>
        </is>
      </c>
      <c r="F189" t="inlineStr">
        <is>
          <t>SCA</t>
        </is>
      </c>
      <c r="G189" t="n">
        <v>2.8</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19384-2025 artfynd.xlsx", "A 19384-2025")</f>
        <v/>
      </c>
      <c r="T189">
        <f>HYPERLINK("https://klasma.github.io/Logging_2303/kartor/A 19384-2025 karta.png", "A 19384-2025")</f>
        <v/>
      </c>
      <c r="V189">
        <f>HYPERLINK("https://klasma.github.io/Logging_2303/klagomål/A 19384-2025 FSC-klagomål.docx", "A 19384-2025")</f>
        <v/>
      </c>
      <c r="W189">
        <f>HYPERLINK("https://klasma.github.io/Logging_2303/klagomålsmail/A 19384-2025 FSC-klagomål mail.docx", "A 19384-2025")</f>
        <v/>
      </c>
      <c r="X189">
        <f>HYPERLINK("https://klasma.github.io/Logging_2303/tillsyn/A 19384-2025 tillsynsbegäran.docx", "A 19384-2025")</f>
        <v/>
      </c>
      <c r="Y189">
        <f>HYPERLINK("https://klasma.github.io/Logging_2303/tillsynsmail/A 19384-2025 tillsynsbegäran mail.docx", "A 19384-2025")</f>
        <v/>
      </c>
      <c r="Z189">
        <f>HYPERLINK("https://klasma.github.io/Logging_2303/fåglar/A 19384-2025 prioriterade fågelarter.docx", "A 19384-2025")</f>
        <v/>
      </c>
    </row>
    <row r="190" ht="15" customHeight="1">
      <c r="A190" t="inlineStr">
        <is>
          <t>A 55647-2023</t>
        </is>
      </c>
      <c r="B190" s="1" t="n">
        <v>45238</v>
      </c>
      <c r="C190" s="1" t="n">
        <v>45941</v>
      </c>
      <c r="D190" t="inlineStr">
        <is>
          <t>JÄMTLANDS LÄN</t>
        </is>
      </c>
      <c r="E190" t="inlineStr">
        <is>
          <t>RAGUNDA</t>
        </is>
      </c>
      <c r="F190" t="inlineStr">
        <is>
          <t>SCA</t>
        </is>
      </c>
      <c r="G190" t="n">
        <v>3.7</v>
      </c>
      <c r="H190" t="n">
        <v>0</v>
      </c>
      <c r="I190" t="n">
        <v>1</v>
      </c>
      <c r="J190" t="n">
        <v>1</v>
      </c>
      <c r="K190" t="n">
        <v>0</v>
      </c>
      <c r="L190" t="n">
        <v>0</v>
      </c>
      <c r="M190" t="n">
        <v>0</v>
      </c>
      <c r="N190" t="n">
        <v>0</v>
      </c>
      <c r="O190" t="n">
        <v>1</v>
      </c>
      <c r="P190" t="n">
        <v>0</v>
      </c>
      <c r="Q190" t="n">
        <v>2</v>
      </c>
      <c r="R190" s="2" t="inlineStr">
        <is>
          <t>Granticka
Trådticka</t>
        </is>
      </c>
      <c r="S190">
        <f>HYPERLINK("https://klasma.github.io/Logging_2303/artfynd/A 55647-2023 artfynd.xlsx", "A 55647-2023")</f>
        <v/>
      </c>
      <c r="T190">
        <f>HYPERLINK("https://klasma.github.io/Logging_2303/kartor/A 55647-2023 karta.png", "A 55647-2023")</f>
        <v/>
      </c>
      <c r="V190">
        <f>HYPERLINK("https://klasma.github.io/Logging_2303/klagomål/A 55647-2023 FSC-klagomål.docx", "A 55647-2023")</f>
        <v/>
      </c>
      <c r="W190">
        <f>HYPERLINK("https://klasma.github.io/Logging_2303/klagomålsmail/A 55647-2023 FSC-klagomål mail.docx", "A 55647-2023")</f>
        <v/>
      </c>
      <c r="X190">
        <f>HYPERLINK("https://klasma.github.io/Logging_2303/tillsyn/A 55647-2023 tillsynsbegäran.docx", "A 55647-2023")</f>
        <v/>
      </c>
      <c r="Y190">
        <f>HYPERLINK("https://klasma.github.io/Logging_2303/tillsynsmail/A 55647-2023 tillsynsbegäran mail.docx", "A 55647-2023")</f>
        <v/>
      </c>
    </row>
    <row r="191" ht="15" customHeight="1">
      <c r="A191" t="inlineStr">
        <is>
          <t>A 36756-2023</t>
        </is>
      </c>
      <c r="B191" s="1" t="n">
        <v>45153</v>
      </c>
      <c r="C191" s="1" t="n">
        <v>45941</v>
      </c>
      <c r="D191" t="inlineStr">
        <is>
          <t>JÄMTLANDS LÄN</t>
        </is>
      </c>
      <c r="E191" t="inlineStr">
        <is>
          <t>RAGUNDA</t>
        </is>
      </c>
      <c r="G191" t="n">
        <v>3.5</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HYPERLINK("https://klasma.github.io/Logging_2303/artfynd/A 36756-2023 artfynd.xlsx", "A 36756-2023")</f>
        <v/>
      </c>
      <c r="T191">
        <f>HYPERLINK("https://klasma.github.io/Logging_2303/kartor/A 36756-2023 karta.png", "A 36756-2023")</f>
        <v/>
      </c>
      <c r="V191">
        <f>HYPERLINK("https://klasma.github.io/Logging_2303/klagomål/A 36756-2023 FSC-klagomål.docx", "A 36756-2023")</f>
        <v/>
      </c>
      <c r="W191">
        <f>HYPERLINK("https://klasma.github.io/Logging_2303/klagomålsmail/A 36756-2023 FSC-klagomål mail.docx", "A 36756-2023")</f>
        <v/>
      </c>
      <c r="X191">
        <f>HYPERLINK("https://klasma.github.io/Logging_2303/tillsyn/A 36756-2023 tillsynsbegäran.docx", "A 36756-2023")</f>
        <v/>
      </c>
      <c r="Y191">
        <f>HYPERLINK("https://klasma.github.io/Logging_2303/tillsynsmail/A 36756-2023 tillsynsbegäran mail.docx", "A 36756-2023")</f>
        <v/>
      </c>
      <c r="Z191">
        <f>HYPERLINK("https://klasma.github.io/Logging_2303/fåglar/A 36756-2023 prioriterade fågelarter.docx", "A 36756-2023")</f>
        <v/>
      </c>
    </row>
    <row r="192" ht="15" customHeight="1">
      <c r="A192" t="inlineStr">
        <is>
          <t>A 50089-2022</t>
        </is>
      </c>
      <c r="B192" s="1" t="n">
        <v>44865</v>
      </c>
      <c r="C192" s="1" t="n">
        <v>45941</v>
      </c>
      <c r="D192" t="inlineStr">
        <is>
          <t>JÄMTLANDS LÄN</t>
        </is>
      </c>
      <c r="E192" t="inlineStr">
        <is>
          <t>RAGUNDA</t>
        </is>
      </c>
      <c r="G192" t="n">
        <v>5.7</v>
      </c>
      <c r="H192" t="n">
        <v>2</v>
      </c>
      <c r="I192" t="n">
        <v>0</v>
      </c>
      <c r="J192" t="n">
        <v>2</v>
      </c>
      <c r="K192" t="n">
        <v>0</v>
      </c>
      <c r="L192" t="n">
        <v>0</v>
      </c>
      <c r="M192" t="n">
        <v>0</v>
      </c>
      <c r="N192" t="n">
        <v>0</v>
      </c>
      <c r="O192" t="n">
        <v>2</v>
      </c>
      <c r="P192" t="n">
        <v>0</v>
      </c>
      <c r="Q192" t="n">
        <v>2</v>
      </c>
      <c r="R192" s="2" t="inlineStr">
        <is>
          <t>Björktrast
Drillsnäppa</t>
        </is>
      </c>
      <c r="S192">
        <f>HYPERLINK("https://klasma.github.io/Logging_2303/artfynd/A 50089-2022 artfynd.xlsx", "A 50089-2022")</f>
        <v/>
      </c>
      <c r="T192">
        <f>HYPERLINK("https://klasma.github.io/Logging_2303/kartor/A 50089-2022 karta.png", "A 50089-2022")</f>
        <v/>
      </c>
      <c r="V192">
        <f>HYPERLINK("https://klasma.github.io/Logging_2303/klagomål/A 50089-2022 FSC-klagomål.docx", "A 50089-2022")</f>
        <v/>
      </c>
      <c r="W192">
        <f>HYPERLINK("https://klasma.github.io/Logging_2303/klagomålsmail/A 50089-2022 FSC-klagomål mail.docx", "A 50089-2022")</f>
        <v/>
      </c>
      <c r="X192">
        <f>HYPERLINK("https://klasma.github.io/Logging_2303/tillsyn/A 50089-2022 tillsynsbegäran.docx", "A 50089-2022")</f>
        <v/>
      </c>
      <c r="Y192">
        <f>HYPERLINK("https://klasma.github.io/Logging_2303/tillsynsmail/A 50089-2022 tillsynsbegäran mail.docx", "A 50089-2022")</f>
        <v/>
      </c>
      <c r="Z192">
        <f>HYPERLINK("https://klasma.github.io/Logging_2303/fåglar/A 50089-2022 prioriterade fågelarter.docx", "A 50089-2022")</f>
        <v/>
      </c>
    </row>
    <row r="193" ht="15" customHeight="1">
      <c r="A193" t="inlineStr">
        <is>
          <t>A 11086-2025</t>
        </is>
      </c>
      <c r="B193" s="1" t="n">
        <v>45723.57329861111</v>
      </c>
      <c r="C193" s="1" t="n">
        <v>45941</v>
      </c>
      <c r="D193" t="inlineStr">
        <is>
          <t>JÄMTLANDS LÄN</t>
        </is>
      </c>
      <c r="E193" t="inlineStr">
        <is>
          <t>RAGUNDA</t>
        </is>
      </c>
      <c r="F193" t="inlineStr">
        <is>
          <t>SCA</t>
        </is>
      </c>
      <c r="G193" t="n">
        <v>10.8</v>
      </c>
      <c r="H193" t="n">
        <v>0</v>
      </c>
      <c r="I193" t="n">
        <v>0</v>
      </c>
      <c r="J193" t="n">
        <v>1</v>
      </c>
      <c r="K193" t="n">
        <v>1</v>
      </c>
      <c r="L193" t="n">
        <v>0</v>
      </c>
      <c r="M193" t="n">
        <v>0</v>
      </c>
      <c r="N193" t="n">
        <v>0</v>
      </c>
      <c r="O193" t="n">
        <v>2</v>
      </c>
      <c r="P193" t="n">
        <v>1</v>
      </c>
      <c r="Q193" t="n">
        <v>2</v>
      </c>
      <c r="R193" s="2" t="inlineStr">
        <is>
          <t>Gräddporing
Dvärgbägarlav</t>
        </is>
      </c>
      <c r="S193">
        <f>HYPERLINK("https://klasma.github.io/Logging_2303/artfynd/A 11086-2025 artfynd.xlsx", "A 11086-2025")</f>
        <v/>
      </c>
      <c r="T193">
        <f>HYPERLINK("https://klasma.github.io/Logging_2303/kartor/A 11086-2025 karta.png", "A 11086-2025")</f>
        <v/>
      </c>
      <c r="V193">
        <f>HYPERLINK("https://klasma.github.io/Logging_2303/klagomål/A 11086-2025 FSC-klagomål.docx", "A 11086-2025")</f>
        <v/>
      </c>
      <c r="W193">
        <f>HYPERLINK("https://klasma.github.io/Logging_2303/klagomålsmail/A 11086-2025 FSC-klagomål mail.docx", "A 11086-2025")</f>
        <v/>
      </c>
      <c r="X193">
        <f>HYPERLINK("https://klasma.github.io/Logging_2303/tillsyn/A 11086-2025 tillsynsbegäran.docx", "A 11086-2025")</f>
        <v/>
      </c>
      <c r="Y193">
        <f>HYPERLINK("https://klasma.github.io/Logging_2303/tillsynsmail/A 11086-2025 tillsynsbegäran mail.docx", "A 11086-2025")</f>
        <v/>
      </c>
    </row>
    <row r="194" ht="15" customHeight="1">
      <c r="A194" t="inlineStr">
        <is>
          <t>A 41490-2022</t>
        </is>
      </c>
      <c r="B194" s="1" t="n">
        <v>44826.94976851852</v>
      </c>
      <c r="C194" s="1" t="n">
        <v>45941</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21245-2025</t>
        </is>
      </c>
      <c r="B195" s="1" t="n">
        <v>45779.57350694444</v>
      </c>
      <c r="C195" s="1" t="n">
        <v>45941</v>
      </c>
      <c r="D195" t="inlineStr">
        <is>
          <t>JÄMTLANDS LÄN</t>
        </is>
      </c>
      <c r="E195" t="inlineStr">
        <is>
          <t>RAGUNDA</t>
        </is>
      </c>
      <c r="F195" t="inlineStr">
        <is>
          <t>SCA</t>
        </is>
      </c>
      <c r="G195" t="n">
        <v>3.7</v>
      </c>
      <c r="H195" t="n">
        <v>1</v>
      </c>
      <c r="I195" t="n">
        <v>0</v>
      </c>
      <c r="J195" t="n">
        <v>1</v>
      </c>
      <c r="K195" t="n">
        <v>0</v>
      </c>
      <c r="L195" t="n">
        <v>0</v>
      </c>
      <c r="M195" t="n">
        <v>0</v>
      </c>
      <c r="N195" t="n">
        <v>0</v>
      </c>
      <c r="O195" t="n">
        <v>1</v>
      </c>
      <c r="P195" t="n">
        <v>0</v>
      </c>
      <c r="Q195" t="n">
        <v>2</v>
      </c>
      <c r="R195" s="2" t="inlineStr">
        <is>
          <t>Garnlav
Tjäder</t>
        </is>
      </c>
      <c r="S195">
        <f>HYPERLINK("https://klasma.github.io/Logging_2303/artfynd/A 21245-2025 artfynd.xlsx", "A 21245-2025")</f>
        <v/>
      </c>
      <c r="T195">
        <f>HYPERLINK("https://klasma.github.io/Logging_2303/kartor/A 21245-2025 karta.png", "A 21245-2025")</f>
        <v/>
      </c>
      <c r="V195">
        <f>HYPERLINK("https://klasma.github.io/Logging_2303/klagomål/A 21245-2025 FSC-klagomål.docx", "A 21245-2025")</f>
        <v/>
      </c>
      <c r="W195">
        <f>HYPERLINK("https://klasma.github.io/Logging_2303/klagomålsmail/A 21245-2025 FSC-klagomål mail.docx", "A 21245-2025")</f>
        <v/>
      </c>
      <c r="X195">
        <f>HYPERLINK("https://klasma.github.io/Logging_2303/tillsyn/A 21245-2025 tillsynsbegäran.docx", "A 21245-2025")</f>
        <v/>
      </c>
      <c r="Y195">
        <f>HYPERLINK("https://klasma.github.io/Logging_2303/tillsynsmail/A 21245-2025 tillsynsbegäran mail.docx", "A 21245-2025")</f>
        <v/>
      </c>
      <c r="Z195">
        <f>HYPERLINK("https://klasma.github.io/Logging_2303/fåglar/A 21245-2025 prioriterade fågelarter.docx", "A 21245-2025")</f>
        <v/>
      </c>
    </row>
    <row r="196" ht="15" customHeight="1">
      <c r="A196" t="inlineStr">
        <is>
          <t>A 25155-2025</t>
        </is>
      </c>
      <c r="B196" s="1" t="n">
        <v>45800.42782407408</v>
      </c>
      <c r="C196" s="1" t="n">
        <v>45941</v>
      </c>
      <c r="D196" t="inlineStr">
        <is>
          <t>JÄMTLANDS LÄN</t>
        </is>
      </c>
      <c r="E196" t="inlineStr">
        <is>
          <t>RAGUNDA</t>
        </is>
      </c>
      <c r="F196" t="inlineStr">
        <is>
          <t>SCA</t>
        </is>
      </c>
      <c r="G196" t="n">
        <v>1.7</v>
      </c>
      <c r="H196" t="n">
        <v>1</v>
      </c>
      <c r="I196" t="n">
        <v>0</v>
      </c>
      <c r="J196" t="n">
        <v>1</v>
      </c>
      <c r="K196" t="n">
        <v>0</v>
      </c>
      <c r="L196" t="n">
        <v>0</v>
      </c>
      <c r="M196" t="n">
        <v>0</v>
      </c>
      <c r="N196" t="n">
        <v>0</v>
      </c>
      <c r="O196" t="n">
        <v>1</v>
      </c>
      <c r="P196" t="n">
        <v>0</v>
      </c>
      <c r="Q196" t="n">
        <v>2</v>
      </c>
      <c r="R196" s="2" t="inlineStr">
        <is>
          <t>Leptoporus mollis
Fläcknycklar</t>
        </is>
      </c>
      <c r="S196">
        <f>HYPERLINK("https://klasma.github.io/Logging_2303/artfynd/A 25155-2025 artfynd.xlsx", "A 25155-2025")</f>
        <v/>
      </c>
      <c r="T196">
        <f>HYPERLINK("https://klasma.github.io/Logging_2303/kartor/A 25155-2025 karta.png", "A 25155-2025")</f>
        <v/>
      </c>
      <c r="V196">
        <f>HYPERLINK("https://klasma.github.io/Logging_2303/klagomål/A 25155-2025 FSC-klagomål.docx", "A 25155-2025")</f>
        <v/>
      </c>
      <c r="W196">
        <f>HYPERLINK("https://klasma.github.io/Logging_2303/klagomålsmail/A 25155-2025 FSC-klagomål mail.docx", "A 25155-2025")</f>
        <v/>
      </c>
      <c r="X196">
        <f>HYPERLINK("https://klasma.github.io/Logging_2303/tillsyn/A 25155-2025 tillsynsbegäran.docx", "A 25155-2025")</f>
        <v/>
      </c>
      <c r="Y196">
        <f>HYPERLINK("https://klasma.github.io/Logging_2303/tillsynsmail/A 25155-2025 tillsynsbegäran mail.docx", "A 25155-2025")</f>
        <v/>
      </c>
    </row>
    <row r="197" ht="15" customHeight="1">
      <c r="A197" t="inlineStr">
        <is>
          <t>A 51916-2021</t>
        </is>
      </c>
      <c r="B197" s="1" t="n">
        <v>44462</v>
      </c>
      <c r="C197" s="1" t="n">
        <v>45941</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64363-2020</t>
        </is>
      </c>
      <c r="B198" s="1" t="n">
        <v>44166</v>
      </c>
      <c r="C198" s="1" t="n">
        <v>45941</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Bombmurkla</t>
        </is>
      </c>
      <c r="S198">
        <f>HYPERLINK("https://klasma.github.io/Logging_2303/artfynd/A 64363-2020 artfynd.xlsx", "A 64363-2020")</f>
        <v/>
      </c>
      <c r="T198">
        <f>HYPERLINK("https://klasma.github.io/Logging_2303/kartor/A 64363-2020 karta.png", "A 64363-2020")</f>
        <v/>
      </c>
      <c r="V198">
        <f>HYPERLINK("https://klasma.github.io/Logging_2303/klagomål/A 64363-2020 FSC-klagomål.docx", "A 64363-2020")</f>
        <v/>
      </c>
      <c r="W198">
        <f>HYPERLINK("https://klasma.github.io/Logging_2303/klagomålsmail/A 64363-2020 FSC-klagomål mail.docx", "A 64363-2020")</f>
        <v/>
      </c>
      <c r="X198">
        <f>HYPERLINK("https://klasma.github.io/Logging_2303/tillsyn/A 64363-2020 tillsynsbegäran.docx", "A 64363-2020")</f>
        <v/>
      </c>
      <c r="Y198">
        <f>HYPERLINK("https://klasma.github.io/Logging_2303/tillsynsmail/A 64363-2020 tillsynsbegäran mail.docx", "A 64363-2020")</f>
        <v/>
      </c>
    </row>
    <row r="199" ht="15" customHeight="1">
      <c r="A199" t="inlineStr">
        <is>
          <t>A 21275-2022</t>
        </is>
      </c>
      <c r="B199" s="1" t="n">
        <v>44705</v>
      </c>
      <c r="C199" s="1" t="n">
        <v>45941</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45941</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42899-2022</t>
        </is>
      </c>
      <c r="B201" s="1" t="n">
        <v>44832</v>
      </c>
      <c r="C201" s="1" t="n">
        <v>45941</v>
      </c>
      <c r="D201" t="inlineStr">
        <is>
          <t>JÄMTLANDS LÄN</t>
        </is>
      </c>
      <c r="E201" t="inlineStr">
        <is>
          <t>RAGUNDA</t>
        </is>
      </c>
      <c r="F201" t="inlineStr">
        <is>
          <t>SCA</t>
        </is>
      </c>
      <c r="G201" t="n">
        <v>2.3</v>
      </c>
      <c r="H201" t="n">
        <v>0</v>
      </c>
      <c r="I201" t="n">
        <v>0</v>
      </c>
      <c r="J201" t="n">
        <v>1</v>
      </c>
      <c r="K201" t="n">
        <v>0</v>
      </c>
      <c r="L201" t="n">
        <v>0</v>
      </c>
      <c r="M201" t="n">
        <v>0</v>
      </c>
      <c r="N201" t="n">
        <v>0</v>
      </c>
      <c r="O201" t="n">
        <v>1</v>
      </c>
      <c r="P201" t="n">
        <v>0</v>
      </c>
      <c r="Q201" t="n">
        <v>1</v>
      </c>
      <c r="R201" s="2" t="inlineStr">
        <is>
          <t>Ullticka</t>
        </is>
      </c>
      <c r="S201">
        <f>HYPERLINK("https://klasma.github.io/Logging_2303/artfynd/A 42899-2022 artfynd.xlsx", "A 42899-2022")</f>
        <v/>
      </c>
      <c r="T201">
        <f>HYPERLINK("https://klasma.github.io/Logging_2303/kartor/A 42899-2022 karta.png", "A 42899-2022")</f>
        <v/>
      </c>
      <c r="V201">
        <f>HYPERLINK("https://klasma.github.io/Logging_2303/klagomål/A 42899-2022 FSC-klagomål.docx", "A 42899-2022")</f>
        <v/>
      </c>
      <c r="W201">
        <f>HYPERLINK("https://klasma.github.io/Logging_2303/klagomålsmail/A 42899-2022 FSC-klagomål mail.docx", "A 42899-2022")</f>
        <v/>
      </c>
      <c r="X201">
        <f>HYPERLINK("https://klasma.github.io/Logging_2303/tillsyn/A 42899-2022 tillsynsbegäran.docx", "A 42899-2022")</f>
        <v/>
      </c>
      <c r="Y201">
        <f>HYPERLINK("https://klasma.github.io/Logging_2303/tillsynsmail/A 42899-2022 tillsynsbegäran mail.docx", "A 42899-2022")</f>
        <v/>
      </c>
    </row>
    <row r="202" ht="15" customHeight="1">
      <c r="A202" t="inlineStr">
        <is>
          <t>A 31477-2022</t>
        </is>
      </c>
      <c r="B202" s="1" t="n">
        <v>44774.94347222222</v>
      </c>
      <c r="C202" s="1" t="n">
        <v>45941</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45941</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17340-2023</t>
        </is>
      </c>
      <c r="B204" s="1" t="n">
        <v>45033</v>
      </c>
      <c r="C204" s="1" t="n">
        <v>45941</v>
      </c>
      <c r="D204" t="inlineStr">
        <is>
          <t>JÄMTLANDS LÄN</t>
        </is>
      </c>
      <c r="E204" t="inlineStr">
        <is>
          <t>RAGUNDA</t>
        </is>
      </c>
      <c r="G204" t="n">
        <v>1.6</v>
      </c>
      <c r="H204" t="n">
        <v>0</v>
      </c>
      <c r="I204" t="n">
        <v>0</v>
      </c>
      <c r="J204" t="n">
        <v>1</v>
      </c>
      <c r="K204" t="n">
        <v>0</v>
      </c>
      <c r="L204" t="n">
        <v>0</v>
      </c>
      <c r="M204" t="n">
        <v>0</v>
      </c>
      <c r="N204" t="n">
        <v>0</v>
      </c>
      <c r="O204" t="n">
        <v>1</v>
      </c>
      <c r="P204" t="n">
        <v>0</v>
      </c>
      <c r="Q204" t="n">
        <v>1</v>
      </c>
      <c r="R204" s="2" t="inlineStr">
        <is>
          <t>Vedtrappmossa</t>
        </is>
      </c>
      <c r="S204">
        <f>HYPERLINK("https://klasma.github.io/Logging_2303/artfynd/A 17340-2023 artfynd.xlsx", "A 17340-2023")</f>
        <v/>
      </c>
      <c r="T204">
        <f>HYPERLINK("https://klasma.github.io/Logging_2303/kartor/A 17340-2023 karta.png", "A 17340-2023")</f>
        <v/>
      </c>
      <c r="U204">
        <f>HYPERLINK("https://klasma.github.io/Logging_2303/knärot/A 17340-2023 karta knärot.png", "A 17340-2023")</f>
        <v/>
      </c>
      <c r="V204">
        <f>HYPERLINK("https://klasma.github.io/Logging_2303/klagomål/A 17340-2023 FSC-klagomål.docx", "A 17340-2023")</f>
        <v/>
      </c>
      <c r="W204">
        <f>HYPERLINK("https://klasma.github.io/Logging_2303/klagomålsmail/A 17340-2023 FSC-klagomål mail.docx", "A 17340-2023")</f>
        <v/>
      </c>
      <c r="X204">
        <f>HYPERLINK("https://klasma.github.io/Logging_2303/tillsyn/A 17340-2023 tillsynsbegäran.docx", "A 17340-2023")</f>
        <v/>
      </c>
      <c r="Y204">
        <f>HYPERLINK("https://klasma.github.io/Logging_2303/tillsynsmail/A 17340-2023 tillsynsbegäran mail.docx", "A 17340-2023")</f>
        <v/>
      </c>
    </row>
    <row r="205" ht="15" customHeight="1">
      <c r="A205" t="inlineStr">
        <is>
          <t>A 23930-2024</t>
        </is>
      </c>
      <c r="B205" s="1" t="n">
        <v>45455.96184027778</v>
      </c>
      <c r="C205" s="1" t="n">
        <v>45941</v>
      </c>
      <c r="D205" t="inlineStr">
        <is>
          <t>JÄMTLANDS LÄN</t>
        </is>
      </c>
      <c r="E205" t="inlineStr">
        <is>
          <t>RAGUNDA</t>
        </is>
      </c>
      <c r="F205" t="inlineStr">
        <is>
          <t>SCA</t>
        </is>
      </c>
      <c r="G205" t="n">
        <v>4.2</v>
      </c>
      <c r="H205" t="n">
        <v>1</v>
      </c>
      <c r="I205" t="n">
        <v>1</v>
      </c>
      <c r="J205" t="n">
        <v>0</v>
      </c>
      <c r="K205" t="n">
        <v>0</v>
      </c>
      <c r="L205" t="n">
        <v>0</v>
      </c>
      <c r="M205" t="n">
        <v>0</v>
      </c>
      <c r="N205" t="n">
        <v>0</v>
      </c>
      <c r="O205" t="n">
        <v>0</v>
      </c>
      <c r="P205" t="n">
        <v>0</v>
      </c>
      <c r="Q205" t="n">
        <v>1</v>
      </c>
      <c r="R205" s="2" t="inlineStr">
        <is>
          <t>Guckusko</t>
        </is>
      </c>
      <c r="S205">
        <f>HYPERLINK("https://klasma.github.io/Logging_2303/artfynd/A 23930-2024 artfynd.xlsx", "A 23930-2024")</f>
        <v/>
      </c>
      <c r="T205">
        <f>HYPERLINK("https://klasma.github.io/Logging_2303/kartor/A 23930-2024 karta.png", "A 23930-2024")</f>
        <v/>
      </c>
      <c r="V205">
        <f>HYPERLINK("https://klasma.github.io/Logging_2303/klagomål/A 23930-2024 FSC-klagomål.docx", "A 23930-2024")</f>
        <v/>
      </c>
      <c r="W205">
        <f>HYPERLINK("https://klasma.github.io/Logging_2303/klagomålsmail/A 23930-2024 FSC-klagomål mail.docx", "A 23930-2024")</f>
        <v/>
      </c>
      <c r="X205">
        <f>HYPERLINK("https://klasma.github.io/Logging_2303/tillsyn/A 23930-2024 tillsynsbegäran.docx", "A 23930-2024")</f>
        <v/>
      </c>
      <c r="Y205">
        <f>HYPERLINK("https://klasma.github.io/Logging_2303/tillsynsmail/A 23930-2024 tillsynsbegäran mail.docx", "A 23930-2024")</f>
        <v/>
      </c>
    </row>
    <row r="206" ht="15" customHeight="1">
      <c r="A206" t="inlineStr">
        <is>
          <t>A 6703-2024</t>
        </is>
      </c>
      <c r="B206" s="1" t="n">
        <v>45341</v>
      </c>
      <c r="C206" s="1" t="n">
        <v>45941</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24443-2024</t>
        </is>
      </c>
      <c r="B207" s="1" t="n">
        <v>45457.9640625</v>
      </c>
      <c r="C207" s="1" t="n">
        <v>45941</v>
      </c>
      <c r="D207" t="inlineStr">
        <is>
          <t>JÄMTLANDS LÄN</t>
        </is>
      </c>
      <c r="E207" t="inlineStr">
        <is>
          <t>RAGUNDA</t>
        </is>
      </c>
      <c r="F207" t="inlineStr">
        <is>
          <t>SCA</t>
        </is>
      </c>
      <c r="G207" t="n">
        <v>2.1</v>
      </c>
      <c r="H207" t="n">
        <v>0</v>
      </c>
      <c r="I207" t="n">
        <v>0</v>
      </c>
      <c r="J207" t="n">
        <v>1</v>
      </c>
      <c r="K207" t="n">
        <v>0</v>
      </c>
      <c r="L207" t="n">
        <v>0</v>
      </c>
      <c r="M207" t="n">
        <v>0</v>
      </c>
      <c r="N207" t="n">
        <v>0</v>
      </c>
      <c r="O207" t="n">
        <v>1</v>
      </c>
      <c r="P207" t="n">
        <v>0</v>
      </c>
      <c r="Q207" t="n">
        <v>1</v>
      </c>
      <c r="R207" s="2" t="inlineStr">
        <is>
          <t>Lunglav</t>
        </is>
      </c>
      <c r="S207">
        <f>HYPERLINK("https://klasma.github.io/Logging_2303/artfynd/A 24443-2024 artfynd.xlsx", "A 24443-2024")</f>
        <v/>
      </c>
      <c r="T207">
        <f>HYPERLINK("https://klasma.github.io/Logging_2303/kartor/A 24443-2024 karta.png", "A 24443-2024")</f>
        <v/>
      </c>
      <c r="U207">
        <f>HYPERLINK("https://klasma.github.io/Logging_2303/knärot/A 24443-2024 karta knärot.png", "A 24443-2024")</f>
        <v/>
      </c>
      <c r="V207">
        <f>HYPERLINK("https://klasma.github.io/Logging_2303/klagomål/A 24443-2024 FSC-klagomål.docx", "A 24443-2024")</f>
        <v/>
      </c>
      <c r="W207">
        <f>HYPERLINK("https://klasma.github.io/Logging_2303/klagomålsmail/A 24443-2024 FSC-klagomål mail.docx", "A 24443-2024")</f>
        <v/>
      </c>
      <c r="X207">
        <f>HYPERLINK("https://klasma.github.io/Logging_2303/tillsyn/A 24443-2024 tillsynsbegäran.docx", "A 24443-2024")</f>
        <v/>
      </c>
      <c r="Y207">
        <f>HYPERLINK("https://klasma.github.io/Logging_2303/tillsynsmail/A 24443-2024 tillsynsbegäran mail.docx", "A 24443-2024")</f>
        <v/>
      </c>
    </row>
    <row r="208" ht="15" customHeight="1">
      <c r="A208" t="inlineStr">
        <is>
          <t>A 16724-2025</t>
        </is>
      </c>
      <c r="B208" s="1" t="n">
        <v>45754.51064814815</v>
      </c>
      <c r="C208" s="1" t="n">
        <v>45941</v>
      </c>
      <c r="D208" t="inlineStr">
        <is>
          <t>JÄMTLANDS LÄN</t>
        </is>
      </c>
      <c r="E208" t="inlineStr">
        <is>
          <t>RAGUNDA</t>
        </is>
      </c>
      <c r="G208" t="n">
        <v>3.5</v>
      </c>
      <c r="H208" t="n">
        <v>0</v>
      </c>
      <c r="I208" t="n">
        <v>0</v>
      </c>
      <c r="J208" t="n">
        <v>1</v>
      </c>
      <c r="K208" t="n">
        <v>0</v>
      </c>
      <c r="L208" t="n">
        <v>0</v>
      </c>
      <c r="M208" t="n">
        <v>0</v>
      </c>
      <c r="N208" t="n">
        <v>0</v>
      </c>
      <c r="O208" t="n">
        <v>1</v>
      </c>
      <c r="P208" t="n">
        <v>0</v>
      </c>
      <c r="Q208" t="n">
        <v>1</v>
      </c>
      <c r="R208" s="2" t="inlineStr">
        <is>
          <t>Kolflarnlav</t>
        </is>
      </c>
      <c r="S208">
        <f>HYPERLINK("https://klasma.github.io/Logging_2303/artfynd/A 16724-2025 artfynd.xlsx", "A 16724-2025")</f>
        <v/>
      </c>
      <c r="T208">
        <f>HYPERLINK("https://klasma.github.io/Logging_2303/kartor/A 16724-2025 karta.png", "A 16724-2025")</f>
        <v/>
      </c>
      <c r="V208">
        <f>HYPERLINK("https://klasma.github.io/Logging_2303/klagomål/A 16724-2025 FSC-klagomål.docx", "A 16724-2025")</f>
        <v/>
      </c>
      <c r="W208">
        <f>HYPERLINK("https://klasma.github.io/Logging_2303/klagomålsmail/A 16724-2025 FSC-klagomål mail.docx", "A 16724-2025")</f>
        <v/>
      </c>
      <c r="X208">
        <f>HYPERLINK("https://klasma.github.io/Logging_2303/tillsyn/A 16724-2025 tillsynsbegäran.docx", "A 16724-2025")</f>
        <v/>
      </c>
      <c r="Y208">
        <f>HYPERLINK("https://klasma.github.io/Logging_2303/tillsynsmail/A 16724-2025 tillsynsbegäran mail.docx", "A 16724-2025")</f>
        <v/>
      </c>
    </row>
    <row r="209" ht="15" customHeight="1">
      <c r="A209" t="inlineStr">
        <is>
          <t>A 62072-2023</t>
        </is>
      </c>
      <c r="B209" s="1" t="n">
        <v>45266</v>
      </c>
      <c r="C209" s="1" t="n">
        <v>45941</v>
      </c>
      <c r="D209" t="inlineStr">
        <is>
          <t>JÄMTLANDS LÄN</t>
        </is>
      </c>
      <c r="E209" t="inlineStr">
        <is>
          <t>RAGUNDA</t>
        </is>
      </c>
      <c r="G209" t="n">
        <v>4.5</v>
      </c>
      <c r="H209" t="n">
        <v>1</v>
      </c>
      <c r="I209" t="n">
        <v>0</v>
      </c>
      <c r="J209" t="n">
        <v>0</v>
      </c>
      <c r="K209" t="n">
        <v>1</v>
      </c>
      <c r="L209" t="n">
        <v>0</v>
      </c>
      <c r="M209" t="n">
        <v>0</v>
      </c>
      <c r="N209" t="n">
        <v>0</v>
      </c>
      <c r="O209" t="n">
        <v>1</v>
      </c>
      <c r="P209" t="n">
        <v>1</v>
      </c>
      <c r="Q209" t="n">
        <v>1</v>
      </c>
      <c r="R209" s="2" t="inlineStr">
        <is>
          <t>Lappuggla</t>
        </is>
      </c>
      <c r="S209">
        <f>HYPERLINK("https://klasma.github.io/Logging_2303/artfynd/A 62072-2023 artfynd.xlsx", "A 62072-2023")</f>
        <v/>
      </c>
      <c r="T209">
        <f>HYPERLINK("https://klasma.github.io/Logging_2303/kartor/A 62072-2023 karta.png", "A 62072-2023")</f>
        <v/>
      </c>
      <c r="V209">
        <f>HYPERLINK("https://klasma.github.io/Logging_2303/klagomål/A 62072-2023 FSC-klagomål.docx", "A 62072-2023")</f>
        <v/>
      </c>
      <c r="W209">
        <f>HYPERLINK("https://klasma.github.io/Logging_2303/klagomålsmail/A 62072-2023 FSC-klagomål mail.docx", "A 62072-2023")</f>
        <v/>
      </c>
      <c r="X209">
        <f>HYPERLINK("https://klasma.github.io/Logging_2303/tillsyn/A 62072-2023 tillsynsbegäran.docx", "A 62072-2023")</f>
        <v/>
      </c>
      <c r="Y209">
        <f>HYPERLINK("https://klasma.github.io/Logging_2303/tillsynsmail/A 62072-2023 tillsynsbegäran mail.docx", "A 62072-2023")</f>
        <v/>
      </c>
      <c r="Z209">
        <f>HYPERLINK("https://klasma.github.io/Logging_2303/fåglar/A 62072-2023 prioriterade fågelarter.docx", "A 62072-2023")</f>
        <v/>
      </c>
    </row>
    <row r="210" ht="15" customHeight="1">
      <c r="A210" t="inlineStr">
        <is>
          <t>A 27573-2025</t>
        </is>
      </c>
      <c r="B210" s="1" t="n">
        <v>45813.49061342593</v>
      </c>
      <c r="C210" s="1" t="n">
        <v>45941</v>
      </c>
      <c r="D210" t="inlineStr">
        <is>
          <t>JÄMTLANDS LÄN</t>
        </is>
      </c>
      <c r="E210" t="inlineStr">
        <is>
          <t>RAGUNDA</t>
        </is>
      </c>
      <c r="F210" t="inlineStr">
        <is>
          <t>SCA</t>
        </is>
      </c>
      <c r="G210" t="n">
        <v>14.9</v>
      </c>
      <c r="H210" t="n">
        <v>0</v>
      </c>
      <c r="I210" t="n">
        <v>1</v>
      </c>
      <c r="J210" t="n">
        <v>0</v>
      </c>
      <c r="K210" t="n">
        <v>0</v>
      </c>
      <c r="L210" t="n">
        <v>0</v>
      </c>
      <c r="M210" t="n">
        <v>0</v>
      </c>
      <c r="N210" t="n">
        <v>0</v>
      </c>
      <c r="O210" t="n">
        <v>0</v>
      </c>
      <c r="P210" t="n">
        <v>0</v>
      </c>
      <c r="Q210" t="n">
        <v>1</v>
      </c>
      <c r="R210" s="2" t="inlineStr">
        <is>
          <t>Skinnlav</t>
        </is>
      </c>
      <c r="S210">
        <f>HYPERLINK("https://klasma.github.io/Logging_2303/artfynd/A 27573-2025 artfynd.xlsx", "A 27573-2025")</f>
        <v/>
      </c>
      <c r="T210">
        <f>HYPERLINK("https://klasma.github.io/Logging_2303/kartor/A 27573-2025 karta.png", "A 27573-2025")</f>
        <v/>
      </c>
      <c r="U210">
        <f>HYPERLINK("https://klasma.github.io/Logging_2303/knärot/A 27573-2025 karta knärot.png", "A 27573-2025")</f>
        <v/>
      </c>
      <c r="V210">
        <f>HYPERLINK("https://klasma.github.io/Logging_2303/klagomål/A 27573-2025 FSC-klagomål.docx", "A 27573-2025")</f>
        <v/>
      </c>
      <c r="W210">
        <f>HYPERLINK("https://klasma.github.io/Logging_2303/klagomålsmail/A 27573-2025 FSC-klagomål mail.docx", "A 27573-2025")</f>
        <v/>
      </c>
      <c r="X210">
        <f>HYPERLINK("https://klasma.github.io/Logging_2303/tillsyn/A 27573-2025 tillsynsbegäran.docx", "A 27573-2025")</f>
        <v/>
      </c>
      <c r="Y210">
        <f>HYPERLINK("https://klasma.github.io/Logging_2303/tillsynsmail/A 27573-2025 tillsynsbegäran mail.docx", "A 27573-2025")</f>
        <v/>
      </c>
    </row>
    <row r="211" ht="15" customHeight="1">
      <c r="A211" t="inlineStr">
        <is>
          <t>A 48429-2023</t>
        </is>
      </c>
      <c r="B211" s="1" t="n">
        <v>45205</v>
      </c>
      <c r="C211" s="1" t="n">
        <v>45941</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25694-2023</t>
        </is>
      </c>
      <c r="B212" s="1" t="n">
        <v>45089</v>
      </c>
      <c r="C212" s="1" t="n">
        <v>45941</v>
      </c>
      <c r="D212" t="inlineStr">
        <is>
          <t>JÄMTLANDS LÄN</t>
        </is>
      </c>
      <c r="E212" t="inlineStr">
        <is>
          <t>RAGUNDA</t>
        </is>
      </c>
      <c r="F212" t="inlineStr">
        <is>
          <t>SCA</t>
        </is>
      </c>
      <c r="G212" t="n">
        <v>1.5</v>
      </c>
      <c r="H212" t="n">
        <v>0</v>
      </c>
      <c r="I212" t="n">
        <v>0</v>
      </c>
      <c r="J212" t="n">
        <v>1</v>
      </c>
      <c r="K212" t="n">
        <v>0</v>
      </c>
      <c r="L212" t="n">
        <v>0</v>
      </c>
      <c r="M212" t="n">
        <v>0</v>
      </c>
      <c r="N212" t="n">
        <v>0</v>
      </c>
      <c r="O212" t="n">
        <v>1</v>
      </c>
      <c r="P212" t="n">
        <v>0</v>
      </c>
      <c r="Q212" t="n">
        <v>1</v>
      </c>
      <c r="R212" s="2" t="inlineStr">
        <is>
          <t>Ullticka</t>
        </is>
      </c>
      <c r="S212">
        <f>HYPERLINK("https://klasma.github.io/Logging_2303/artfynd/A 25694-2023 artfynd.xlsx", "A 25694-2023")</f>
        <v/>
      </c>
      <c r="T212">
        <f>HYPERLINK("https://klasma.github.io/Logging_2303/kartor/A 25694-2023 karta.png", "A 25694-2023")</f>
        <v/>
      </c>
      <c r="V212">
        <f>HYPERLINK("https://klasma.github.io/Logging_2303/klagomål/A 25694-2023 FSC-klagomål.docx", "A 25694-2023")</f>
        <v/>
      </c>
      <c r="W212">
        <f>HYPERLINK("https://klasma.github.io/Logging_2303/klagomålsmail/A 25694-2023 FSC-klagomål mail.docx", "A 25694-2023")</f>
        <v/>
      </c>
      <c r="X212">
        <f>HYPERLINK("https://klasma.github.io/Logging_2303/tillsyn/A 25694-2023 tillsynsbegäran.docx", "A 25694-2023")</f>
        <v/>
      </c>
      <c r="Y212">
        <f>HYPERLINK("https://klasma.github.io/Logging_2303/tillsynsmail/A 25694-2023 tillsynsbegäran mail.docx", "A 25694-2023")</f>
        <v/>
      </c>
    </row>
    <row r="213" ht="15" customHeight="1">
      <c r="A213" t="inlineStr">
        <is>
          <t>A 16316-2025</t>
        </is>
      </c>
      <c r="B213" s="1" t="n">
        <v>45751.34795138889</v>
      </c>
      <c r="C213" s="1" t="n">
        <v>45941</v>
      </c>
      <c r="D213" t="inlineStr">
        <is>
          <t>JÄMTLANDS LÄN</t>
        </is>
      </c>
      <c r="E213" t="inlineStr">
        <is>
          <t>RAGUNDA</t>
        </is>
      </c>
      <c r="F213" t="inlineStr">
        <is>
          <t>SCA</t>
        </is>
      </c>
      <c r="G213" t="n">
        <v>1.7</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HYPERLINK("https://klasma.github.io/Logging_2303/artfynd/A 16316-2025 artfynd.xlsx", "A 16316-2025")</f>
        <v/>
      </c>
      <c r="T213">
        <f>HYPERLINK("https://klasma.github.io/Logging_2303/kartor/A 16316-2025 karta.png", "A 16316-2025")</f>
        <v/>
      </c>
      <c r="V213">
        <f>HYPERLINK("https://klasma.github.io/Logging_2303/klagomål/A 16316-2025 FSC-klagomål.docx", "A 16316-2025")</f>
        <v/>
      </c>
      <c r="W213">
        <f>HYPERLINK("https://klasma.github.io/Logging_2303/klagomålsmail/A 16316-2025 FSC-klagomål mail.docx", "A 16316-2025")</f>
        <v/>
      </c>
      <c r="X213">
        <f>HYPERLINK("https://klasma.github.io/Logging_2303/tillsyn/A 16316-2025 tillsynsbegäran.docx", "A 16316-2025")</f>
        <v/>
      </c>
      <c r="Y213">
        <f>HYPERLINK("https://klasma.github.io/Logging_2303/tillsynsmail/A 16316-2025 tillsynsbegäran mail.docx", "A 16316-2025")</f>
        <v/>
      </c>
    </row>
    <row r="214" ht="15" customHeight="1">
      <c r="A214" t="inlineStr">
        <is>
          <t>A 49770-2024</t>
        </is>
      </c>
      <c r="B214" s="1" t="n">
        <v>45597.34461805555</v>
      </c>
      <c r="C214" s="1" t="n">
        <v>45941</v>
      </c>
      <c r="D214" t="inlineStr">
        <is>
          <t>JÄMTLANDS LÄN</t>
        </is>
      </c>
      <c r="E214" t="inlineStr">
        <is>
          <t>RAGUNDA</t>
        </is>
      </c>
      <c r="F214" t="inlineStr">
        <is>
          <t>Naturvårdsverket</t>
        </is>
      </c>
      <c r="G214" t="n">
        <v>8.9</v>
      </c>
      <c r="H214" t="n">
        <v>1</v>
      </c>
      <c r="I214" t="n">
        <v>0</v>
      </c>
      <c r="J214" t="n">
        <v>0</v>
      </c>
      <c r="K214" t="n">
        <v>1</v>
      </c>
      <c r="L214" t="n">
        <v>0</v>
      </c>
      <c r="M214" t="n">
        <v>0</v>
      </c>
      <c r="N214" t="n">
        <v>0</v>
      </c>
      <c r="O214" t="n">
        <v>1</v>
      </c>
      <c r="P214" t="n">
        <v>1</v>
      </c>
      <c r="Q214" t="n">
        <v>1</v>
      </c>
      <c r="R214" s="2" t="inlineStr">
        <is>
          <t>Doftticka</t>
        </is>
      </c>
      <c r="S214">
        <f>HYPERLINK("https://klasma.github.io/Logging_2303/artfynd/A 49770-2024 artfynd.xlsx", "A 49770-2024")</f>
        <v/>
      </c>
      <c r="T214">
        <f>HYPERLINK("https://klasma.github.io/Logging_2303/kartor/A 49770-2024 karta.png", "A 49770-2024")</f>
        <v/>
      </c>
      <c r="V214">
        <f>HYPERLINK("https://klasma.github.io/Logging_2303/klagomål/A 49770-2024 FSC-klagomål.docx", "A 49770-2024")</f>
        <v/>
      </c>
      <c r="W214">
        <f>HYPERLINK("https://klasma.github.io/Logging_2303/klagomålsmail/A 49770-2024 FSC-klagomål mail.docx", "A 49770-2024")</f>
        <v/>
      </c>
      <c r="X214">
        <f>HYPERLINK("https://klasma.github.io/Logging_2303/tillsyn/A 49770-2024 tillsynsbegäran.docx", "A 49770-2024")</f>
        <v/>
      </c>
      <c r="Y214">
        <f>HYPERLINK("https://klasma.github.io/Logging_2303/tillsynsmail/A 49770-2024 tillsynsbegäran mail.docx", "A 49770-2024")</f>
        <v/>
      </c>
    </row>
    <row r="215" ht="15" customHeight="1">
      <c r="A215" t="inlineStr">
        <is>
          <t>A 1057-2024</t>
        </is>
      </c>
      <c r="B215" s="1" t="n">
        <v>45301</v>
      </c>
      <c r="C215" s="1" t="n">
        <v>45941</v>
      </c>
      <c r="D215" t="inlineStr">
        <is>
          <t>JÄMTLANDS LÄN</t>
        </is>
      </c>
      <c r="E215" t="inlineStr">
        <is>
          <t>RAGUNDA</t>
        </is>
      </c>
      <c r="F215" t="inlineStr">
        <is>
          <t>SCA</t>
        </is>
      </c>
      <c r="G215" t="n">
        <v>6.8</v>
      </c>
      <c r="H215" t="n">
        <v>0</v>
      </c>
      <c r="I215" t="n">
        <v>1</v>
      </c>
      <c r="J215" t="n">
        <v>0</v>
      </c>
      <c r="K215" t="n">
        <v>0</v>
      </c>
      <c r="L215" t="n">
        <v>0</v>
      </c>
      <c r="M215" t="n">
        <v>0</v>
      </c>
      <c r="N215" t="n">
        <v>0</v>
      </c>
      <c r="O215" t="n">
        <v>0</v>
      </c>
      <c r="P215" t="n">
        <v>0</v>
      </c>
      <c r="Q215" t="n">
        <v>1</v>
      </c>
      <c r="R215" s="2" t="inlineStr">
        <is>
          <t>Stor aspticka</t>
        </is>
      </c>
      <c r="S215">
        <f>HYPERLINK("https://klasma.github.io/Logging_2303/artfynd/A 1057-2024 artfynd.xlsx", "A 1057-2024")</f>
        <v/>
      </c>
      <c r="T215">
        <f>HYPERLINK("https://klasma.github.io/Logging_2303/kartor/A 1057-2024 karta.png", "A 1057-2024")</f>
        <v/>
      </c>
      <c r="V215">
        <f>HYPERLINK("https://klasma.github.io/Logging_2303/klagomål/A 1057-2024 FSC-klagomål.docx", "A 1057-2024")</f>
        <v/>
      </c>
      <c r="W215">
        <f>HYPERLINK("https://klasma.github.io/Logging_2303/klagomålsmail/A 1057-2024 FSC-klagomål mail.docx", "A 1057-2024")</f>
        <v/>
      </c>
      <c r="X215">
        <f>HYPERLINK("https://klasma.github.io/Logging_2303/tillsyn/A 1057-2024 tillsynsbegäran.docx", "A 1057-2024")</f>
        <v/>
      </c>
      <c r="Y215">
        <f>HYPERLINK("https://klasma.github.io/Logging_2303/tillsynsmail/A 1057-2024 tillsynsbegäran mail.docx", "A 1057-2024")</f>
        <v/>
      </c>
    </row>
    <row r="216" ht="15" customHeight="1">
      <c r="A216" t="inlineStr">
        <is>
          <t>A 11040-2023</t>
        </is>
      </c>
      <c r="B216" s="1" t="n">
        <v>44991</v>
      </c>
      <c r="C216" s="1" t="n">
        <v>45941</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978-2024</t>
        </is>
      </c>
      <c r="B217" s="1" t="n">
        <v>45301</v>
      </c>
      <c r="C217" s="1" t="n">
        <v>45941</v>
      </c>
      <c r="D217" t="inlineStr">
        <is>
          <t>JÄMTLANDS LÄN</t>
        </is>
      </c>
      <c r="E217" t="inlineStr">
        <is>
          <t>RAGUNDA</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978-2024 artfynd.xlsx", "A 978-2024")</f>
        <v/>
      </c>
      <c r="T217">
        <f>HYPERLINK("https://klasma.github.io/Logging_2303/kartor/A 978-2024 karta.png", "A 978-2024")</f>
        <v/>
      </c>
      <c r="V217">
        <f>HYPERLINK("https://klasma.github.io/Logging_2303/klagomål/A 978-2024 FSC-klagomål.docx", "A 978-2024")</f>
        <v/>
      </c>
      <c r="W217">
        <f>HYPERLINK("https://klasma.github.io/Logging_2303/klagomålsmail/A 978-2024 FSC-klagomål mail.docx", "A 978-2024")</f>
        <v/>
      </c>
      <c r="X217">
        <f>HYPERLINK("https://klasma.github.io/Logging_2303/tillsyn/A 978-2024 tillsynsbegäran.docx", "A 978-2024")</f>
        <v/>
      </c>
      <c r="Y217">
        <f>HYPERLINK("https://klasma.github.io/Logging_2303/tillsynsmail/A 978-2024 tillsynsbegäran mail.docx", "A 978-2024")</f>
        <v/>
      </c>
      <c r="Z217">
        <f>HYPERLINK("https://klasma.github.io/Logging_2303/fåglar/A 978-2024 prioriterade fågelarter.docx", "A 978-2024")</f>
        <v/>
      </c>
    </row>
    <row r="218" ht="15" customHeight="1">
      <c r="A218" t="inlineStr">
        <is>
          <t>A 30390-2025</t>
        </is>
      </c>
      <c r="B218" s="1" t="n">
        <v>45827.57371527778</v>
      </c>
      <c r="C218" s="1" t="n">
        <v>45941</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59104-2023</t>
        </is>
      </c>
      <c r="B219" s="1" t="n">
        <v>45252</v>
      </c>
      <c r="C219" s="1" t="n">
        <v>45941</v>
      </c>
      <c r="D219" t="inlineStr">
        <is>
          <t>JÄMTLANDS LÄN</t>
        </is>
      </c>
      <c r="E219" t="inlineStr">
        <is>
          <t>RAGUNDA</t>
        </is>
      </c>
      <c r="F219" t="inlineStr">
        <is>
          <t>SCA</t>
        </is>
      </c>
      <c r="G219" t="n">
        <v>4.2</v>
      </c>
      <c r="H219" t="n">
        <v>0</v>
      </c>
      <c r="I219" t="n">
        <v>0</v>
      </c>
      <c r="J219" t="n">
        <v>1</v>
      </c>
      <c r="K219" t="n">
        <v>0</v>
      </c>
      <c r="L219" t="n">
        <v>0</v>
      </c>
      <c r="M219" t="n">
        <v>0</v>
      </c>
      <c r="N219" t="n">
        <v>0</v>
      </c>
      <c r="O219" t="n">
        <v>1</v>
      </c>
      <c r="P219" t="n">
        <v>0</v>
      </c>
      <c r="Q219" t="n">
        <v>1</v>
      </c>
      <c r="R219" s="2" t="inlineStr">
        <is>
          <t>Ullticka</t>
        </is>
      </c>
      <c r="S219">
        <f>HYPERLINK("https://klasma.github.io/Logging_2303/artfynd/A 59104-2023 artfynd.xlsx", "A 59104-2023")</f>
        <v/>
      </c>
      <c r="T219">
        <f>HYPERLINK("https://klasma.github.io/Logging_2303/kartor/A 59104-2023 karta.png", "A 59104-2023")</f>
        <v/>
      </c>
      <c r="V219">
        <f>HYPERLINK("https://klasma.github.io/Logging_2303/klagomål/A 59104-2023 FSC-klagomål.docx", "A 59104-2023")</f>
        <v/>
      </c>
      <c r="W219">
        <f>HYPERLINK("https://klasma.github.io/Logging_2303/klagomålsmail/A 59104-2023 FSC-klagomål mail.docx", "A 59104-2023")</f>
        <v/>
      </c>
      <c r="X219">
        <f>HYPERLINK("https://klasma.github.io/Logging_2303/tillsyn/A 59104-2023 tillsynsbegäran.docx", "A 59104-2023")</f>
        <v/>
      </c>
      <c r="Y219">
        <f>HYPERLINK("https://klasma.github.io/Logging_2303/tillsynsmail/A 59104-2023 tillsynsbegäran mail.docx", "A 59104-2023")</f>
        <v/>
      </c>
    </row>
    <row r="220" ht="15" customHeight="1">
      <c r="A220" t="inlineStr">
        <is>
          <t>A 36757-2023</t>
        </is>
      </c>
      <c r="B220" s="1" t="n">
        <v>45153</v>
      </c>
      <c r="C220" s="1" t="n">
        <v>45941</v>
      </c>
      <c r="D220" t="inlineStr">
        <is>
          <t>JÄMTLANDS LÄN</t>
        </is>
      </c>
      <c r="E220" t="inlineStr">
        <is>
          <t>RAGUNDA</t>
        </is>
      </c>
      <c r="G220" t="n">
        <v>0.7</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36757-2023 artfynd.xlsx", "A 36757-2023")</f>
        <v/>
      </c>
      <c r="T220">
        <f>HYPERLINK("https://klasma.github.io/Logging_2303/kartor/A 36757-2023 karta.png", "A 36757-2023")</f>
        <v/>
      </c>
      <c r="V220">
        <f>HYPERLINK("https://klasma.github.io/Logging_2303/klagomål/A 36757-2023 FSC-klagomål.docx", "A 36757-2023")</f>
        <v/>
      </c>
      <c r="W220">
        <f>HYPERLINK("https://klasma.github.io/Logging_2303/klagomålsmail/A 36757-2023 FSC-klagomål mail.docx", "A 36757-2023")</f>
        <v/>
      </c>
      <c r="X220">
        <f>HYPERLINK("https://klasma.github.io/Logging_2303/tillsyn/A 36757-2023 tillsynsbegäran.docx", "A 36757-2023")</f>
        <v/>
      </c>
      <c r="Y220">
        <f>HYPERLINK("https://klasma.github.io/Logging_2303/tillsynsmail/A 36757-2023 tillsynsbegäran mail.docx", "A 36757-2023")</f>
        <v/>
      </c>
      <c r="Z220">
        <f>HYPERLINK("https://klasma.github.io/Logging_2303/fåglar/A 36757-2023 prioriterade fågelarter.docx", "A 36757-2023")</f>
        <v/>
      </c>
    </row>
    <row r="221" ht="15" customHeight="1">
      <c r="A221" t="inlineStr">
        <is>
          <t>A 49091-2022</t>
        </is>
      </c>
      <c r="B221" s="1" t="n">
        <v>44860</v>
      </c>
      <c r="C221" s="1" t="n">
        <v>45941</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22054-2025</t>
        </is>
      </c>
      <c r="B222" s="1" t="n">
        <v>45785.36525462963</v>
      </c>
      <c r="C222" s="1" t="n">
        <v>45941</v>
      </c>
      <c r="D222" t="inlineStr">
        <is>
          <t>JÄMTLANDS LÄN</t>
        </is>
      </c>
      <c r="E222" t="inlineStr">
        <is>
          <t>RAGUNDA</t>
        </is>
      </c>
      <c r="F222" t="inlineStr">
        <is>
          <t>SCA</t>
        </is>
      </c>
      <c r="G222" t="n">
        <v>4</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22054-2025 artfynd.xlsx", "A 22054-2025")</f>
        <v/>
      </c>
      <c r="T222">
        <f>HYPERLINK("https://klasma.github.io/Logging_2303/kartor/A 22054-2025 karta.png", "A 22054-2025")</f>
        <v/>
      </c>
      <c r="V222">
        <f>HYPERLINK("https://klasma.github.io/Logging_2303/klagomål/A 22054-2025 FSC-klagomål.docx", "A 22054-2025")</f>
        <v/>
      </c>
      <c r="W222">
        <f>HYPERLINK("https://klasma.github.io/Logging_2303/klagomålsmail/A 22054-2025 FSC-klagomål mail.docx", "A 22054-2025")</f>
        <v/>
      </c>
      <c r="X222">
        <f>HYPERLINK("https://klasma.github.io/Logging_2303/tillsyn/A 22054-2025 tillsynsbegäran.docx", "A 22054-2025")</f>
        <v/>
      </c>
      <c r="Y222">
        <f>HYPERLINK("https://klasma.github.io/Logging_2303/tillsynsmail/A 22054-2025 tillsynsbegäran mail.docx", "A 22054-2025")</f>
        <v/>
      </c>
      <c r="Z222">
        <f>HYPERLINK("https://klasma.github.io/Logging_2303/fåglar/A 22054-2025 prioriterade fågelarter.docx", "A 22054-2025")</f>
        <v/>
      </c>
    </row>
    <row r="223" ht="15" customHeight="1">
      <c r="A223" t="inlineStr">
        <is>
          <t>A 43404-2023</t>
        </is>
      </c>
      <c r="B223" s="1" t="n">
        <v>45183</v>
      </c>
      <c r="C223" s="1" t="n">
        <v>45941</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32445-2025</t>
        </is>
      </c>
      <c r="B224" s="1" t="n">
        <v>45838.38627314815</v>
      </c>
      <c r="C224" s="1" t="n">
        <v>45941</v>
      </c>
      <c r="D224" t="inlineStr">
        <is>
          <t>JÄMTLANDS LÄN</t>
        </is>
      </c>
      <c r="E224" t="inlineStr">
        <is>
          <t>RAGUNDA</t>
        </is>
      </c>
      <c r="F224" t="inlineStr">
        <is>
          <t>SCA</t>
        </is>
      </c>
      <c r="G224" t="n">
        <v>1.6</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32445-2025 artfynd.xlsx", "A 32445-2025")</f>
        <v/>
      </c>
      <c r="T224">
        <f>HYPERLINK("https://klasma.github.io/Logging_2303/kartor/A 32445-2025 karta.png", "A 32445-2025")</f>
        <v/>
      </c>
      <c r="V224">
        <f>HYPERLINK("https://klasma.github.io/Logging_2303/klagomål/A 32445-2025 FSC-klagomål.docx", "A 32445-2025")</f>
        <v/>
      </c>
      <c r="W224">
        <f>HYPERLINK("https://klasma.github.io/Logging_2303/klagomålsmail/A 32445-2025 FSC-klagomål mail.docx", "A 32445-2025")</f>
        <v/>
      </c>
      <c r="X224">
        <f>HYPERLINK("https://klasma.github.io/Logging_2303/tillsyn/A 32445-2025 tillsynsbegäran.docx", "A 32445-2025")</f>
        <v/>
      </c>
      <c r="Y224">
        <f>HYPERLINK("https://klasma.github.io/Logging_2303/tillsynsmail/A 32445-2025 tillsynsbegäran mail.docx", "A 32445-2025")</f>
        <v/>
      </c>
      <c r="Z224">
        <f>HYPERLINK("https://klasma.github.io/Logging_2303/fåglar/A 32445-2025 prioriterade fågelarter.docx", "A 32445-2025")</f>
        <v/>
      </c>
    </row>
    <row r="225" ht="15" customHeight="1">
      <c r="A225" t="inlineStr">
        <is>
          <t>A 34474-2025</t>
        </is>
      </c>
      <c r="B225" s="1" t="n">
        <v>45847.36528935185</v>
      </c>
      <c r="C225" s="1" t="n">
        <v>45941</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61324-2024</t>
        </is>
      </c>
      <c r="B226" s="1" t="n">
        <v>45646.34438657408</v>
      </c>
      <c r="C226" s="1" t="n">
        <v>45941</v>
      </c>
      <c r="D226" t="inlineStr">
        <is>
          <t>JÄMTLANDS LÄN</t>
        </is>
      </c>
      <c r="E226" t="inlineStr">
        <is>
          <t>RAGUNDA</t>
        </is>
      </c>
      <c r="F226" t="inlineStr">
        <is>
          <t>SCA</t>
        </is>
      </c>
      <c r="G226" t="n">
        <v>11.2</v>
      </c>
      <c r="H226" t="n">
        <v>1</v>
      </c>
      <c r="I226" t="n">
        <v>0</v>
      </c>
      <c r="J226" t="n">
        <v>0</v>
      </c>
      <c r="K226" t="n">
        <v>0</v>
      </c>
      <c r="L226" t="n">
        <v>0</v>
      </c>
      <c r="M226" t="n">
        <v>0</v>
      </c>
      <c r="N226" t="n">
        <v>0</v>
      </c>
      <c r="O226" t="n">
        <v>0</v>
      </c>
      <c r="P226" t="n">
        <v>0</v>
      </c>
      <c r="Q226" t="n">
        <v>1</v>
      </c>
      <c r="R226" s="2" t="inlineStr">
        <is>
          <t>Trana</t>
        </is>
      </c>
      <c r="S226">
        <f>HYPERLINK("https://klasma.github.io/Logging_2303/artfynd/A 61324-2024 artfynd.xlsx", "A 61324-2024")</f>
        <v/>
      </c>
      <c r="T226">
        <f>HYPERLINK("https://klasma.github.io/Logging_2303/kartor/A 61324-2024 karta.png", "A 61324-2024")</f>
        <v/>
      </c>
      <c r="V226">
        <f>HYPERLINK("https://klasma.github.io/Logging_2303/klagomål/A 61324-2024 FSC-klagomål.docx", "A 61324-2024")</f>
        <v/>
      </c>
      <c r="W226">
        <f>HYPERLINK("https://klasma.github.io/Logging_2303/klagomålsmail/A 61324-2024 FSC-klagomål mail.docx", "A 61324-2024")</f>
        <v/>
      </c>
      <c r="X226">
        <f>HYPERLINK("https://klasma.github.io/Logging_2303/tillsyn/A 61324-2024 tillsynsbegäran.docx", "A 61324-2024")</f>
        <v/>
      </c>
      <c r="Y226">
        <f>HYPERLINK("https://klasma.github.io/Logging_2303/tillsynsmail/A 61324-2024 tillsynsbegäran mail.docx", "A 61324-2024")</f>
        <v/>
      </c>
      <c r="Z226">
        <f>HYPERLINK("https://klasma.github.io/Logging_2303/fåglar/A 61324-2024 prioriterade fågelarter.docx", "A 61324-2024")</f>
        <v/>
      </c>
    </row>
    <row r="227" ht="15" customHeight="1">
      <c r="A227" t="inlineStr">
        <is>
          <t>A 19387-2025</t>
        </is>
      </c>
      <c r="B227" s="1" t="n">
        <v>45769.65736111111</v>
      </c>
      <c r="C227" s="1" t="n">
        <v>45941</v>
      </c>
      <c r="D227" t="inlineStr">
        <is>
          <t>JÄMTLANDS LÄN</t>
        </is>
      </c>
      <c r="E227" t="inlineStr">
        <is>
          <t>RAGUNDA</t>
        </is>
      </c>
      <c r="F227" t="inlineStr">
        <is>
          <t>SCA</t>
        </is>
      </c>
      <c r="G227" t="n">
        <v>16.4</v>
      </c>
      <c r="H227" t="n">
        <v>1</v>
      </c>
      <c r="I227" t="n">
        <v>0</v>
      </c>
      <c r="J227" t="n">
        <v>0</v>
      </c>
      <c r="K227" t="n">
        <v>1</v>
      </c>
      <c r="L227" t="n">
        <v>0</v>
      </c>
      <c r="M227" t="n">
        <v>0</v>
      </c>
      <c r="N227" t="n">
        <v>0</v>
      </c>
      <c r="O227" t="n">
        <v>1</v>
      </c>
      <c r="P227" t="n">
        <v>1</v>
      </c>
      <c r="Q227" t="n">
        <v>1</v>
      </c>
      <c r="R227" s="2" t="inlineStr">
        <is>
          <t>Norna</t>
        </is>
      </c>
      <c r="S227">
        <f>HYPERLINK("https://klasma.github.io/Logging_2303/artfynd/A 19387-2025 artfynd.xlsx", "A 19387-2025")</f>
        <v/>
      </c>
      <c r="T227">
        <f>HYPERLINK("https://klasma.github.io/Logging_2303/kartor/A 19387-2025 karta.png", "A 19387-2025")</f>
        <v/>
      </c>
      <c r="V227">
        <f>HYPERLINK("https://klasma.github.io/Logging_2303/klagomål/A 19387-2025 FSC-klagomål.docx", "A 19387-2025")</f>
        <v/>
      </c>
      <c r="W227">
        <f>HYPERLINK("https://klasma.github.io/Logging_2303/klagomålsmail/A 19387-2025 FSC-klagomål mail.docx", "A 19387-2025")</f>
        <v/>
      </c>
      <c r="X227">
        <f>HYPERLINK("https://klasma.github.io/Logging_2303/tillsyn/A 19387-2025 tillsynsbegäran.docx", "A 19387-2025")</f>
        <v/>
      </c>
      <c r="Y227">
        <f>HYPERLINK("https://klasma.github.io/Logging_2303/tillsynsmail/A 19387-2025 tillsynsbegäran mail.docx", "A 19387-2025")</f>
        <v/>
      </c>
    </row>
    <row r="228" ht="15" customHeight="1">
      <c r="A228" t="inlineStr">
        <is>
          <t>A 20575-2025</t>
        </is>
      </c>
      <c r="B228" s="1" t="n">
        <v>45775.67769675926</v>
      </c>
      <c r="C228" s="1" t="n">
        <v>45941</v>
      </c>
      <c r="D228" t="inlineStr">
        <is>
          <t>JÄMTLANDS LÄN</t>
        </is>
      </c>
      <c r="E228" t="inlineStr">
        <is>
          <t>RAGUNDA</t>
        </is>
      </c>
      <c r="F228" t="inlineStr">
        <is>
          <t>SCA</t>
        </is>
      </c>
      <c r="G228" t="n">
        <v>8.1</v>
      </c>
      <c r="H228" t="n">
        <v>1</v>
      </c>
      <c r="I228" t="n">
        <v>0</v>
      </c>
      <c r="J228" t="n">
        <v>1</v>
      </c>
      <c r="K228" t="n">
        <v>0</v>
      </c>
      <c r="L228" t="n">
        <v>0</v>
      </c>
      <c r="M228" t="n">
        <v>0</v>
      </c>
      <c r="N228" t="n">
        <v>0</v>
      </c>
      <c r="O228" t="n">
        <v>1</v>
      </c>
      <c r="P228" t="n">
        <v>0</v>
      </c>
      <c r="Q228" t="n">
        <v>1</v>
      </c>
      <c r="R228" s="2" t="inlineStr">
        <is>
          <t>Skogsfru</t>
        </is>
      </c>
      <c r="S228">
        <f>HYPERLINK("https://klasma.github.io/Logging_2303/artfynd/A 20575-2025 artfynd.xlsx", "A 20575-2025")</f>
        <v/>
      </c>
      <c r="T228">
        <f>HYPERLINK("https://klasma.github.io/Logging_2303/kartor/A 20575-2025 karta.png", "A 20575-2025")</f>
        <v/>
      </c>
      <c r="V228">
        <f>HYPERLINK("https://klasma.github.io/Logging_2303/klagomål/A 20575-2025 FSC-klagomål.docx", "A 20575-2025")</f>
        <v/>
      </c>
      <c r="W228">
        <f>HYPERLINK("https://klasma.github.io/Logging_2303/klagomålsmail/A 20575-2025 FSC-klagomål mail.docx", "A 20575-2025")</f>
        <v/>
      </c>
      <c r="X228">
        <f>HYPERLINK("https://klasma.github.io/Logging_2303/tillsyn/A 20575-2025 tillsynsbegäran.docx", "A 20575-2025")</f>
        <v/>
      </c>
      <c r="Y228">
        <f>HYPERLINK("https://klasma.github.io/Logging_2303/tillsynsmail/A 20575-2025 tillsynsbegäran mail.docx", "A 20575-2025")</f>
        <v/>
      </c>
    </row>
    <row r="229" ht="15" customHeight="1">
      <c r="A229" t="inlineStr">
        <is>
          <t>A 33432-2023</t>
        </is>
      </c>
      <c r="B229" s="1" t="n">
        <v>45128</v>
      </c>
      <c r="C229" s="1" t="n">
        <v>45941</v>
      </c>
      <c r="D229" t="inlineStr">
        <is>
          <t>JÄMTLANDS LÄN</t>
        </is>
      </c>
      <c r="E229" t="inlineStr">
        <is>
          <t>RAGUNDA</t>
        </is>
      </c>
      <c r="F229" t="inlineStr">
        <is>
          <t>SCA</t>
        </is>
      </c>
      <c r="G229" t="n">
        <v>10</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33432-2023 artfynd.xlsx", "A 33432-2023")</f>
        <v/>
      </c>
      <c r="T229">
        <f>HYPERLINK("https://klasma.github.io/Logging_2303/kartor/A 33432-2023 karta.png", "A 33432-2023")</f>
        <v/>
      </c>
      <c r="V229">
        <f>HYPERLINK("https://klasma.github.io/Logging_2303/klagomål/A 33432-2023 FSC-klagomål.docx", "A 33432-2023")</f>
        <v/>
      </c>
      <c r="W229">
        <f>HYPERLINK("https://klasma.github.io/Logging_2303/klagomålsmail/A 33432-2023 FSC-klagomål mail.docx", "A 33432-2023")</f>
        <v/>
      </c>
      <c r="X229">
        <f>HYPERLINK("https://klasma.github.io/Logging_2303/tillsyn/A 33432-2023 tillsynsbegäran.docx", "A 33432-2023")</f>
        <v/>
      </c>
      <c r="Y229">
        <f>HYPERLINK("https://klasma.github.io/Logging_2303/tillsynsmail/A 33432-2023 tillsynsbegäran mail.docx", "A 33432-2023")</f>
        <v/>
      </c>
      <c r="Z229">
        <f>HYPERLINK("https://klasma.github.io/Logging_2303/fåglar/A 33432-2023 prioriterade fågelarter.docx", "A 33432-2023")</f>
        <v/>
      </c>
    </row>
    <row r="230" ht="15" customHeight="1">
      <c r="A230" t="inlineStr">
        <is>
          <t>A 20774-2024</t>
        </is>
      </c>
      <c r="B230" s="1" t="n">
        <v>45436.94644675926</v>
      </c>
      <c r="C230" s="1" t="n">
        <v>45941</v>
      </c>
      <c r="D230" t="inlineStr">
        <is>
          <t>JÄMTLANDS LÄN</t>
        </is>
      </c>
      <c r="E230" t="inlineStr">
        <is>
          <t>RAGUNDA</t>
        </is>
      </c>
      <c r="F230" t="inlineStr">
        <is>
          <t>SCA</t>
        </is>
      </c>
      <c r="G230" t="n">
        <v>2.3</v>
      </c>
      <c r="H230" t="n">
        <v>0</v>
      </c>
      <c r="I230" t="n">
        <v>1</v>
      </c>
      <c r="J230" t="n">
        <v>0</v>
      </c>
      <c r="K230" t="n">
        <v>0</v>
      </c>
      <c r="L230" t="n">
        <v>0</v>
      </c>
      <c r="M230" t="n">
        <v>0</v>
      </c>
      <c r="N230" t="n">
        <v>0</v>
      </c>
      <c r="O230" t="n">
        <v>0</v>
      </c>
      <c r="P230" t="n">
        <v>0</v>
      </c>
      <c r="Q230" t="n">
        <v>1</v>
      </c>
      <c r="R230" s="2" t="inlineStr">
        <is>
          <t>Fjällig taggsvamp s.str.</t>
        </is>
      </c>
      <c r="S230">
        <f>HYPERLINK("https://klasma.github.io/Logging_2303/artfynd/A 20774-2024 artfynd.xlsx", "A 20774-2024")</f>
        <v/>
      </c>
      <c r="T230">
        <f>HYPERLINK("https://klasma.github.io/Logging_2303/kartor/A 20774-2024 karta.png", "A 20774-2024")</f>
        <v/>
      </c>
      <c r="V230">
        <f>HYPERLINK("https://klasma.github.io/Logging_2303/klagomål/A 20774-2024 FSC-klagomål.docx", "A 20774-2024")</f>
        <v/>
      </c>
      <c r="W230">
        <f>HYPERLINK("https://klasma.github.io/Logging_2303/klagomålsmail/A 20774-2024 FSC-klagomål mail.docx", "A 20774-2024")</f>
        <v/>
      </c>
      <c r="X230">
        <f>HYPERLINK("https://klasma.github.io/Logging_2303/tillsyn/A 20774-2024 tillsynsbegäran.docx", "A 20774-2024")</f>
        <v/>
      </c>
      <c r="Y230">
        <f>HYPERLINK("https://klasma.github.io/Logging_2303/tillsynsmail/A 20774-2024 tillsynsbegäran mail.docx", "A 20774-2024")</f>
        <v/>
      </c>
    </row>
    <row r="231" ht="15" customHeight="1">
      <c r="A231" t="inlineStr">
        <is>
          <t>A 52898-2020</t>
        </is>
      </c>
      <c r="B231" s="1" t="n">
        <v>44119</v>
      </c>
      <c r="C231" s="1" t="n">
        <v>45941</v>
      </c>
      <c r="D231" t="inlineStr">
        <is>
          <t>JÄMTLANDS LÄN</t>
        </is>
      </c>
      <c r="E231" t="inlineStr">
        <is>
          <t>RAGUNDA</t>
        </is>
      </c>
      <c r="G231" t="n">
        <v>1.4</v>
      </c>
      <c r="H231" t="n">
        <v>1</v>
      </c>
      <c r="I231" t="n">
        <v>0</v>
      </c>
      <c r="J231" t="n">
        <v>0</v>
      </c>
      <c r="K231" t="n">
        <v>0</v>
      </c>
      <c r="L231" t="n">
        <v>0</v>
      </c>
      <c r="M231" t="n">
        <v>0</v>
      </c>
      <c r="N231" t="n">
        <v>0</v>
      </c>
      <c r="O231" t="n">
        <v>0</v>
      </c>
      <c r="P231" t="n">
        <v>0</v>
      </c>
      <c r="Q231" t="n">
        <v>1</v>
      </c>
      <c r="R231" s="2" t="inlineStr">
        <is>
          <t>Revlummer</t>
        </is>
      </c>
      <c r="S231">
        <f>HYPERLINK("https://klasma.github.io/Logging_2303/artfynd/A 52898-2020 artfynd.xlsx", "A 52898-2020")</f>
        <v/>
      </c>
      <c r="T231">
        <f>HYPERLINK("https://klasma.github.io/Logging_2303/kartor/A 52898-2020 karta.png", "A 52898-2020")</f>
        <v/>
      </c>
      <c r="V231">
        <f>HYPERLINK("https://klasma.github.io/Logging_2303/klagomål/A 52898-2020 FSC-klagomål.docx", "A 52898-2020")</f>
        <v/>
      </c>
      <c r="W231">
        <f>HYPERLINK("https://klasma.github.io/Logging_2303/klagomålsmail/A 52898-2020 FSC-klagomål mail.docx", "A 52898-2020")</f>
        <v/>
      </c>
      <c r="X231">
        <f>HYPERLINK("https://klasma.github.io/Logging_2303/tillsyn/A 52898-2020 tillsynsbegäran.docx", "A 52898-2020")</f>
        <v/>
      </c>
      <c r="Y231">
        <f>HYPERLINK("https://klasma.github.io/Logging_2303/tillsynsmail/A 52898-2020 tillsynsbegäran mail.docx", "A 52898-2020")</f>
        <v/>
      </c>
    </row>
    <row r="232" ht="15" customHeight="1">
      <c r="A232" t="inlineStr">
        <is>
          <t>A 26317-2024</t>
        </is>
      </c>
      <c r="B232" s="1" t="n">
        <v>45468</v>
      </c>
      <c r="C232" s="1" t="n">
        <v>45941</v>
      </c>
      <c r="D232" t="inlineStr">
        <is>
          <t>JÄMTLANDS LÄN</t>
        </is>
      </c>
      <c r="E232" t="inlineStr">
        <is>
          <t>RAGUNDA</t>
        </is>
      </c>
      <c r="F232" t="inlineStr">
        <is>
          <t>SCA</t>
        </is>
      </c>
      <c r="G232" t="n">
        <v>3.8</v>
      </c>
      <c r="H232" t="n">
        <v>0</v>
      </c>
      <c r="I232" t="n">
        <v>0</v>
      </c>
      <c r="J232" t="n">
        <v>1</v>
      </c>
      <c r="K232" t="n">
        <v>0</v>
      </c>
      <c r="L232" t="n">
        <v>0</v>
      </c>
      <c r="M232" t="n">
        <v>0</v>
      </c>
      <c r="N232" t="n">
        <v>0</v>
      </c>
      <c r="O232" t="n">
        <v>1</v>
      </c>
      <c r="P232" t="n">
        <v>0</v>
      </c>
      <c r="Q232" t="n">
        <v>1</v>
      </c>
      <c r="R232" s="2" t="inlineStr">
        <is>
          <t>Kortskaftad ärgspik</t>
        </is>
      </c>
      <c r="S232">
        <f>HYPERLINK("https://klasma.github.io/Logging_2303/artfynd/A 26317-2024 artfynd.xlsx", "A 26317-2024")</f>
        <v/>
      </c>
      <c r="T232">
        <f>HYPERLINK("https://klasma.github.io/Logging_2303/kartor/A 26317-2024 karta.png", "A 26317-2024")</f>
        <v/>
      </c>
      <c r="V232">
        <f>HYPERLINK("https://klasma.github.io/Logging_2303/klagomål/A 26317-2024 FSC-klagomål.docx", "A 26317-2024")</f>
        <v/>
      </c>
      <c r="W232">
        <f>HYPERLINK("https://klasma.github.io/Logging_2303/klagomålsmail/A 26317-2024 FSC-klagomål mail.docx", "A 26317-2024")</f>
        <v/>
      </c>
      <c r="X232">
        <f>HYPERLINK("https://klasma.github.io/Logging_2303/tillsyn/A 26317-2024 tillsynsbegäran.docx", "A 26317-2024")</f>
        <v/>
      </c>
      <c r="Y232">
        <f>HYPERLINK("https://klasma.github.io/Logging_2303/tillsynsmail/A 26317-2024 tillsynsbegäran mail.docx", "A 26317-2024")</f>
        <v/>
      </c>
    </row>
    <row r="233" ht="15" customHeight="1">
      <c r="A233" t="inlineStr">
        <is>
          <t>A 29921-2024</t>
        </is>
      </c>
      <c r="B233" s="1" t="n">
        <v>45487.92863425926</v>
      </c>
      <c r="C233" s="1" t="n">
        <v>45941</v>
      </c>
      <c r="D233" t="inlineStr">
        <is>
          <t>JÄMTLANDS LÄN</t>
        </is>
      </c>
      <c r="E233" t="inlineStr">
        <is>
          <t>RAGUNDA</t>
        </is>
      </c>
      <c r="G233" t="n">
        <v>1.6</v>
      </c>
      <c r="H233" t="n">
        <v>1</v>
      </c>
      <c r="I233" t="n">
        <v>0</v>
      </c>
      <c r="J233" t="n">
        <v>0</v>
      </c>
      <c r="K233" t="n">
        <v>1</v>
      </c>
      <c r="L233" t="n">
        <v>0</v>
      </c>
      <c r="M233" t="n">
        <v>0</v>
      </c>
      <c r="N233" t="n">
        <v>0</v>
      </c>
      <c r="O233" t="n">
        <v>1</v>
      </c>
      <c r="P233" t="n">
        <v>1</v>
      </c>
      <c r="Q233" t="n">
        <v>1</v>
      </c>
      <c r="R233" s="2" t="inlineStr">
        <is>
          <t>Knärot</t>
        </is>
      </c>
      <c r="S233">
        <f>HYPERLINK("https://klasma.github.io/Logging_2303/artfynd/A 29921-2024 artfynd.xlsx", "A 29921-2024")</f>
        <v/>
      </c>
      <c r="T233">
        <f>HYPERLINK("https://klasma.github.io/Logging_2303/kartor/A 29921-2024 karta.png", "A 29921-2024")</f>
        <v/>
      </c>
      <c r="U233">
        <f>HYPERLINK("https://klasma.github.io/Logging_2303/knärot/A 29921-2024 karta knärot.png", "A 29921-2024")</f>
        <v/>
      </c>
      <c r="V233">
        <f>HYPERLINK("https://klasma.github.io/Logging_2303/klagomål/A 29921-2024 FSC-klagomål.docx", "A 29921-2024")</f>
        <v/>
      </c>
      <c r="W233">
        <f>HYPERLINK("https://klasma.github.io/Logging_2303/klagomålsmail/A 29921-2024 FSC-klagomål mail.docx", "A 29921-2024")</f>
        <v/>
      </c>
      <c r="X233">
        <f>HYPERLINK("https://klasma.github.io/Logging_2303/tillsyn/A 29921-2024 tillsynsbegäran.docx", "A 29921-2024")</f>
        <v/>
      </c>
      <c r="Y233">
        <f>HYPERLINK("https://klasma.github.io/Logging_2303/tillsynsmail/A 29921-2024 tillsynsbegäran mail.docx", "A 29921-2024")</f>
        <v/>
      </c>
    </row>
    <row r="234" ht="15" customHeight="1">
      <c r="A234" t="inlineStr">
        <is>
          <t>A 36854-2023</t>
        </is>
      </c>
      <c r="B234" s="1" t="n">
        <v>45153</v>
      </c>
      <c r="C234" s="1" t="n">
        <v>45941</v>
      </c>
      <c r="D234" t="inlineStr">
        <is>
          <t>JÄMTLANDS LÄN</t>
        </is>
      </c>
      <c r="E234" t="inlineStr">
        <is>
          <t>RAGUNDA</t>
        </is>
      </c>
      <c r="G234" t="n">
        <v>4</v>
      </c>
      <c r="H234" t="n">
        <v>1</v>
      </c>
      <c r="I234" t="n">
        <v>0</v>
      </c>
      <c r="J234" t="n">
        <v>1</v>
      </c>
      <c r="K234" t="n">
        <v>0</v>
      </c>
      <c r="L234" t="n">
        <v>0</v>
      </c>
      <c r="M234" t="n">
        <v>0</v>
      </c>
      <c r="N234" t="n">
        <v>0</v>
      </c>
      <c r="O234" t="n">
        <v>1</v>
      </c>
      <c r="P234" t="n">
        <v>0</v>
      </c>
      <c r="Q234" t="n">
        <v>1</v>
      </c>
      <c r="R234" s="2" t="inlineStr">
        <is>
          <t>Talltita</t>
        </is>
      </c>
      <c r="S234">
        <f>HYPERLINK("https://klasma.github.io/Logging_2303/artfynd/A 36854-2023 artfynd.xlsx", "A 36854-2023")</f>
        <v/>
      </c>
      <c r="T234">
        <f>HYPERLINK("https://klasma.github.io/Logging_2303/kartor/A 36854-2023 karta.png", "A 36854-2023")</f>
        <v/>
      </c>
      <c r="V234">
        <f>HYPERLINK("https://klasma.github.io/Logging_2303/klagomål/A 36854-2023 FSC-klagomål.docx", "A 36854-2023")</f>
        <v/>
      </c>
      <c r="W234">
        <f>HYPERLINK("https://klasma.github.io/Logging_2303/klagomålsmail/A 36854-2023 FSC-klagomål mail.docx", "A 36854-2023")</f>
        <v/>
      </c>
      <c r="X234">
        <f>HYPERLINK("https://klasma.github.io/Logging_2303/tillsyn/A 36854-2023 tillsynsbegäran.docx", "A 36854-2023")</f>
        <v/>
      </c>
      <c r="Y234">
        <f>HYPERLINK("https://klasma.github.io/Logging_2303/tillsynsmail/A 36854-2023 tillsynsbegäran mail.docx", "A 36854-2023")</f>
        <v/>
      </c>
      <c r="Z234">
        <f>HYPERLINK("https://klasma.github.io/Logging_2303/fåglar/A 36854-2023 prioriterade fågelarter.docx", "A 36854-2023")</f>
        <v/>
      </c>
    </row>
    <row r="235" ht="15" customHeight="1">
      <c r="A235" t="inlineStr">
        <is>
          <t>A 36975-2023</t>
        </is>
      </c>
      <c r="B235" s="1" t="n">
        <v>45154</v>
      </c>
      <c r="C235" s="1" t="n">
        <v>45941</v>
      </c>
      <c r="D235" t="inlineStr">
        <is>
          <t>JÄMTLANDS LÄN</t>
        </is>
      </c>
      <c r="E235" t="inlineStr">
        <is>
          <t>RAGUNDA</t>
        </is>
      </c>
      <c r="F235" t="inlineStr">
        <is>
          <t>SCA</t>
        </is>
      </c>
      <c r="G235" t="n">
        <v>3.8</v>
      </c>
      <c r="H235" t="n">
        <v>0</v>
      </c>
      <c r="I235" t="n">
        <v>0</v>
      </c>
      <c r="J235" t="n">
        <v>0</v>
      </c>
      <c r="K235" t="n">
        <v>1</v>
      </c>
      <c r="L235" t="n">
        <v>0</v>
      </c>
      <c r="M235" t="n">
        <v>0</v>
      </c>
      <c r="N235" t="n">
        <v>0</v>
      </c>
      <c r="O235" t="n">
        <v>1</v>
      </c>
      <c r="P235" t="n">
        <v>1</v>
      </c>
      <c r="Q235" t="n">
        <v>1</v>
      </c>
      <c r="R235" s="2" t="inlineStr">
        <is>
          <t>Gräddporing</t>
        </is>
      </c>
      <c r="S235">
        <f>HYPERLINK("https://klasma.github.io/Logging_2303/artfynd/A 36975-2023 artfynd.xlsx", "A 36975-2023")</f>
        <v/>
      </c>
      <c r="T235">
        <f>HYPERLINK("https://klasma.github.io/Logging_2303/kartor/A 36975-2023 karta.png", "A 36975-2023")</f>
        <v/>
      </c>
      <c r="V235">
        <f>HYPERLINK("https://klasma.github.io/Logging_2303/klagomål/A 36975-2023 FSC-klagomål.docx", "A 36975-2023")</f>
        <v/>
      </c>
      <c r="W235">
        <f>HYPERLINK("https://klasma.github.io/Logging_2303/klagomålsmail/A 36975-2023 FSC-klagomål mail.docx", "A 36975-2023")</f>
        <v/>
      </c>
      <c r="X235">
        <f>HYPERLINK("https://klasma.github.io/Logging_2303/tillsyn/A 36975-2023 tillsynsbegäran.docx", "A 36975-2023")</f>
        <v/>
      </c>
      <c r="Y235">
        <f>HYPERLINK("https://klasma.github.io/Logging_2303/tillsynsmail/A 36975-2023 tillsynsbegäran mail.docx", "A 36975-2023")</f>
        <v/>
      </c>
    </row>
    <row r="236" ht="15" customHeight="1">
      <c r="A236" t="inlineStr">
        <is>
          <t>A 35750-2023</t>
        </is>
      </c>
      <c r="B236" s="1" t="n">
        <v>45147</v>
      </c>
      <c r="C236" s="1" t="n">
        <v>45941</v>
      </c>
      <c r="D236" t="inlineStr">
        <is>
          <t>JÄMTLANDS LÄN</t>
        </is>
      </c>
      <c r="E236" t="inlineStr">
        <is>
          <t>RAGUNDA</t>
        </is>
      </c>
      <c r="F236" t="inlineStr">
        <is>
          <t>SCA</t>
        </is>
      </c>
      <c r="G236" t="n">
        <v>4.8</v>
      </c>
      <c r="H236" t="n">
        <v>0</v>
      </c>
      <c r="I236" t="n">
        <v>0</v>
      </c>
      <c r="J236" t="n">
        <v>1</v>
      </c>
      <c r="K236" t="n">
        <v>0</v>
      </c>
      <c r="L236" t="n">
        <v>0</v>
      </c>
      <c r="M236" t="n">
        <v>0</v>
      </c>
      <c r="N236" t="n">
        <v>0</v>
      </c>
      <c r="O236" t="n">
        <v>1</v>
      </c>
      <c r="P236" t="n">
        <v>0</v>
      </c>
      <c r="Q236" t="n">
        <v>1</v>
      </c>
      <c r="R236" s="2" t="inlineStr">
        <is>
          <t>Grantaggsvamp</t>
        </is>
      </c>
      <c r="S236">
        <f>HYPERLINK("https://klasma.github.io/Logging_2303/artfynd/A 35750-2023 artfynd.xlsx", "A 35750-2023")</f>
        <v/>
      </c>
      <c r="T236">
        <f>HYPERLINK("https://klasma.github.io/Logging_2303/kartor/A 35750-2023 karta.png", "A 35750-2023")</f>
        <v/>
      </c>
      <c r="V236">
        <f>HYPERLINK("https://klasma.github.io/Logging_2303/klagomål/A 35750-2023 FSC-klagomål.docx", "A 35750-2023")</f>
        <v/>
      </c>
      <c r="W236">
        <f>HYPERLINK("https://klasma.github.io/Logging_2303/klagomålsmail/A 35750-2023 FSC-klagomål mail.docx", "A 35750-2023")</f>
        <v/>
      </c>
      <c r="X236">
        <f>HYPERLINK("https://klasma.github.io/Logging_2303/tillsyn/A 35750-2023 tillsynsbegäran.docx", "A 35750-2023")</f>
        <v/>
      </c>
      <c r="Y236">
        <f>HYPERLINK("https://klasma.github.io/Logging_2303/tillsynsmail/A 35750-2023 tillsynsbegäran mail.docx", "A 35750-2023")</f>
        <v/>
      </c>
    </row>
    <row r="237" ht="15" customHeight="1">
      <c r="A237" t="inlineStr">
        <is>
          <t>A 49053-2025</t>
        </is>
      </c>
      <c r="B237" s="1" t="n">
        <v>45937.64009259259</v>
      </c>
      <c r="C237" s="1" t="n">
        <v>45941</v>
      </c>
      <c r="D237" t="inlineStr">
        <is>
          <t>JÄMTLANDS LÄN</t>
        </is>
      </c>
      <c r="E237" t="inlineStr">
        <is>
          <t>RAGUNDA</t>
        </is>
      </c>
      <c r="F237" t="inlineStr">
        <is>
          <t>SCA</t>
        </is>
      </c>
      <c r="G237" t="n">
        <v>7</v>
      </c>
      <c r="H237" t="n">
        <v>1</v>
      </c>
      <c r="I237" t="n">
        <v>1</v>
      </c>
      <c r="J237" t="n">
        <v>0</v>
      </c>
      <c r="K237" t="n">
        <v>0</v>
      </c>
      <c r="L237" t="n">
        <v>0</v>
      </c>
      <c r="M237" t="n">
        <v>0</v>
      </c>
      <c r="N237" t="n">
        <v>0</v>
      </c>
      <c r="O237" t="n">
        <v>0</v>
      </c>
      <c r="P237" t="n">
        <v>0</v>
      </c>
      <c r="Q237" t="n">
        <v>1</v>
      </c>
      <c r="R237" s="2" t="inlineStr">
        <is>
          <t>Guckusko</t>
        </is>
      </c>
      <c r="S237">
        <f>HYPERLINK("https://klasma.github.io/Logging_2303/artfynd/A 49053-2025 artfynd.xlsx", "A 49053-2025")</f>
        <v/>
      </c>
      <c r="T237">
        <f>HYPERLINK("https://klasma.github.io/Logging_2303/kartor/A 49053-2025 karta.png", "A 49053-2025")</f>
        <v/>
      </c>
      <c r="V237">
        <f>HYPERLINK("https://klasma.github.io/Logging_2303/klagomål/A 49053-2025 FSC-klagomål.docx", "A 49053-2025")</f>
        <v/>
      </c>
      <c r="W237">
        <f>HYPERLINK("https://klasma.github.io/Logging_2303/klagomålsmail/A 49053-2025 FSC-klagomål mail.docx", "A 49053-2025")</f>
        <v/>
      </c>
      <c r="X237">
        <f>HYPERLINK("https://klasma.github.io/Logging_2303/tillsyn/A 49053-2025 tillsynsbegäran.docx", "A 49053-2025")</f>
        <v/>
      </c>
      <c r="Y237">
        <f>HYPERLINK("https://klasma.github.io/Logging_2303/tillsynsmail/A 49053-2025 tillsynsbegäran mail.docx", "A 49053-2025")</f>
        <v/>
      </c>
    </row>
    <row r="238" ht="15" customHeight="1">
      <c r="A238" t="inlineStr">
        <is>
          <t>A 40841-2025</t>
        </is>
      </c>
      <c r="B238" s="1" t="n">
        <v>45897.531875</v>
      </c>
      <c r="C238" s="1" t="n">
        <v>45941</v>
      </c>
      <c r="D238" t="inlineStr">
        <is>
          <t>JÄMTLANDS LÄN</t>
        </is>
      </c>
      <c r="E238" t="inlineStr">
        <is>
          <t>RAGUNDA</t>
        </is>
      </c>
      <c r="F238" t="inlineStr">
        <is>
          <t>SCA</t>
        </is>
      </c>
      <c r="G238" t="n">
        <v>1.1</v>
      </c>
      <c r="H238" t="n">
        <v>0</v>
      </c>
      <c r="I238" t="n">
        <v>0</v>
      </c>
      <c r="J238" t="n">
        <v>1</v>
      </c>
      <c r="K238" t="n">
        <v>0</v>
      </c>
      <c r="L238" t="n">
        <v>0</v>
      </c>
      <c r="M238" t="n">
        <v>0</v>
      </c>
      <c r="N238" t="n">
        <v>0</v>
      </c>
      <c r="O238" t="n">
        <v>1</v>
      </c>
      <c r="P238" t="n">
        <v>0</v>
      </c>
      <c r="Q238" t="n">
        <v>1</v>
      </c>
      <c r="R238" s="2" t="inlineStr">
        <is>
          <t>Garnlav</t>
        </is>
      </c>
      <c r="S238">
        <f>HYPERLINK("https://klasma.github.io/Logging_2303/artfynd/A 40841-2025 artfynd.xlsx", "A 40841-2025")</f>
        <v/>
      </c>
      <c r="T238">
        <f>HYPERLINK("https://klasma.github.io/Logging_2303/kartor/A 40841-2025 karta.png", "A 40841-2025")</f>
        <v/>
      </c>
      <c r="V238">
        <f>HYPERLINK("https://klasma.github.io/Logging_2303/klagomål/A 40841-2025 FSC-klagomål.docx", "A 40841-2025")</f>
        <v/>
      </c>
      <c r="W238">
        <f>HYPERLINK("https://klasma.github.io/Logging_2303/klagomålsmail/A 40841-2025 FSC-klagomål mail.docx", "A 40841-2025")</f>
        <v/>
      </c>
      <c r="X238">
        <f>HYPERLINK("https://klasma.github.io/Logging_2303/tillsyn/A 40841-2025 tillsynsbegäran.docx", "A 40841-2025")</f>
        <v/>
      </c>
      <c r="Y238">
        <f>HYPERLINK("https://klasma.github.io/Logging_2303/tillsynsmail/A 40841-2025 tillsynsbegäran mail.docx", "A 40841-2025")</f>
        <v/>
      </c>
    </row>
    <row r="239" ht="15" customHeight="1">
      <c r="A239" t="inlineStr">
        <is>
          <t>A 32069-2024</t>
        </is>
      </c>
      <c r="B239" s="1" t="n">
        <v>45510</v>
      </c>
      <c r="C239" s="1" t="n">
        <v>45941</v>
      </c>
      <c r="D239" t="inlineStr">
        <is>
          <t>JÄMTLANDS LÄN</t>
        </is>
      </c>
      <c r="E239" t="inlineStr">
        <is>
          <t>RAGUNDA</t>
        </is>
      </c>
      <c r="F239" t="inlineStr">
        <is>
          <t>SCA</t>
        </is>
      </c>
      <c r="G239" t="n">
        <v>1.8</v>
      </c>
      <c r="H239" t="n">
        <v>0</v>
      </c>
      <c r="I239" t="n">
        <v>0</v>
      </c>
      <c r="J239" t="n">
        <v>1</v>
      </c>
      <c r="K239" t="n">
        <v>0</v>
      </c>
      <c r="L239" t="n">
        <v>0</v>
      </c>
      <c r="M239" t="n">
        <v>0</v>
      </c>
      <c r="N239" t="n">
        <v>0</v>
      </c>
      <c r="O239" t="n">
        <v>1</v>
      </c>
      <c r="P239" t="n">
        <v>0</v>
      </c>
      <c r="Q239" t="n">
        <v>1</v>
      </c>
      <c r="R239" s="2" t="inlineStr">
        <is>
          <t>Lunglav</t>
        </is>
      </c>
      <c r="S239">
        <f>HYPERLINK("https://klasma.github.io/Logging_2303/artfynd/A 32069-2024 artfynd.xlsx", "A 32069-2024")</f>
        <v/>
      </c>
      <c r="T239">
        <f>HYPERLINK("https://klasma.github.io/Logging_2303/kartor/A 32069-2024 karta.png", "A 32069-2024")</f>
        <v/>
      </c>
      <c r="V239">
        <f>HYPERLINK("https://klasma.github.io/Logging_2303/klagomål/A 32069-2024 FSC-klagomål.docx", "A 32069-2024")</f>
        <v/>
      </c>
      <c r="W239">
        <f>HYPERLINK("https://klasma.github.io/Logging_2303/klagomålsmail/A 32069-2024 FSC-klagomål mail.docx", "A 32069-2024")</f>
        <v/>
      </c>
      <c r="X239">
        <f>HYPERLINK("https://klasma.github.io/Logging_2303/tillsyn/A 32069-2024 tillsynsbegäran.docx", "A 32069-2024")</f>
        <v/>
      </c>
      <c r="Y239">
        <f>HYPERLINK("https://klasma.github.io/Logging_2303/tillsynsmail/A 32069-2024 tillsynsbegäran mail.docx", "A 32069-2024")</f>
        <v/>
      </c>
    </row>
    <row r="240" ht="15" customHeight="1">
      <c r="A240" t="inlineStr">
        <is>
          <t>A 30485-2024</t>
        </is>
      </c>
      <c r="B240" s="1" t="n">
        <v>45491.95008101852</v>
      </c>
      <c r="C240" s="1" t="n">
        <v>45941</v>
      </c>
      <c r="D240" t="inlineStr">
        <is>
          <t>JÄMTLANDS LÄN</t>
        </is>
      </c>
      <c r="E240" t="inlineStr">
        <is>
          <t>RAGUNDA</t>
        </is>
      </c>
      <c r="F240" t="inlineStr">
        <is>
          <t>SCA</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HYPERLINK("https://klasma.github.io/Logging_2303/artfynd/A 30485-2024 artfynd.xlsx", "A 30485-2024")</f>
        <v/>
      </c>
      <c r="T240">
        <f>HYPERLINK("https://klasma.github.io/Logging_2303/kartor/A 30485-2024 karta.png", "A 30485-2024")</f>
        <v/>
      </c>
      <c r="V240">
        <f>HYPERLINK("https://klasma.github.io/Logging_2303/klagomål/A 30485-2024 FSC-klagomål.docx", "A 30485-2024")</f>
        <v/>
      </c>
      <c r="W240">
        <f>HYPERLINK("https://klasma.github.io/Logging_2303/klagomålsmail/A 30485-2024 FSC-klagomål mail.docx", "A 30485-2024")</f>
        <v/>
      </c>
      <c r="X240">
        <f>HYPERLINK("https://klasma.github.io/Logging_2303/tillsyn/A 30485-2024 tillsynsbegäran.docx", "A 30485-2024")</f>
        <v/>
      </c>
      <c r="Y240">
        <f>HYPERLINK("https://klasma.github.io/Logging_2303/tillsynsmail/A 30485-2024 tillsynsbegäran mail.docx", "A 30485-2024")</f>
        <v/>
      </c>
    </row>
    <row r="241" ht="15" customHeight="1">
      <c r="A241" t="inlineStr">
        <is>
          <t>A 31773-2021</t>
        </is>
      </c>
      <c r="B241" s="1" t="n">
        <v>44369</v>
      </c>
      <c r="C241" s="1" t="n">
        <v>45941</v>
      </c>
      <c r="D241" t="inlineStr">
        <is>
          <t>JÄMTLANDS LÄN</t>
        </is>
      </c>
      <c r="E241" t="inlineStr">
        <is>
          <t>RAGUNDA</t>
        </is>
      </c>
      <c r="G241" t="n">
        <v>0.8</v>
      </c>
      <c r="H241" t="n">
        <v>0</v>
      </c>
      <c r="I241" t="n">
        <v>0</v>
      </c>
      <c r="J241" t="n">
        <v>0</v>
      </c>
      <c r="K241" t="n">
        <v>1</v>
      </c>
      <c r="L241" t="n">
        <v>0</v>
      </c>
      <c r="M241" t="n">
        <v>0</v>
      </c>
      <c r="N241" t="n">
        <v>0</v>
      </c>
      <c r="O241" t="n">
        <v>1</v>
      </c>
      <c r="P241" t="n">
        <v>1</v>
      </c>
      <c r="Q241" t="n">
        <v>1</v>
      </c>
      <c r="R241" s="2" t="inlineStr">
        <is>
          <t>Strandsandjägare</t>
        </is>
      </c>
      <c r="S241">
        <f>HYPERLINK("https://klasma.github.io/Logging_2303/artfynd/A 31773-2021 artfynd.xlsx", "A 31773-2021")</f>
        <v/>
      </c>
      <c r="T241">
        <f>HYPERLINK("https://klasma.github.io/Logging_2303/kartor/A 31773-2021 karta.png", "A 31773-2021")</f>
        <v/>
      </c>
      <c r="V241">
        <f>HYPERLINK("https://klasma.github.io/Logging_2303/klagomål/A 31773-2021 FSC-klagomål.docx", "A 31773-2021")</f>
        <v/>
      </c>
      <c r="W241">
        <f>HYPERLINK("https://klasma.github.io/Logging_2303/klagomålsmail/A 31773-2021 FSC-klagomål mail.docx", "A 31773-2021")</f>
        <v/>
      </c>
      <c r="X241">
        <f>HYPERLINK("https://klasma.github.io/Logging_2303/tillsyn/A 31773-2021 tillsynsbegäran.docx", "A 31773-2021")</f>
        <v/>
      </c>
      <c r="Y241">
        <f>HYPERLINK("https://klasma.github.io/Logging_2303/tillsynsmail/A 31773-2021 tillsynsbegäran mail.docx", "A 31773-2021")</f>
        <v/>
      </c>
    </row>
    <row r="242" ht="15" customHeight="1">
      <c r="A242" t="inlineStr">
        <is>
          <t>A 48477-2023</t>
        </is>
      </c>
      <c r="B242" s="1" t="n">
        <v>45206</v>
      </c>
      <c r="C242" s="1" t="n">
        <v>45941</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2929-2024</t>
        </is>
      </c>
      <c r="B243" s="1" t="n">
        <v>45315</v>
      </c>
      <c r="C243" s="1" t="n">
        <v>45941</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18985-2023</t>
        </is>
      </c>
      <c r="B244" s="1" t="n">
        <v>45044</v>
      </c>
      <c r="C244" s="1" t="n">
        <v>45941</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50233-2024</t>
        </is>
      </c>
      <c r="B245" s="1" t="n">
        <v>45600.55265046296</v>
      </c>
      <c r="C245" s="1" t="n">
        <v>45941</v>
      </c>
      <c r="D245" t="inlineStr">
        <is>
          <t>JÄMTLANDS LÄN</t>
        </is>
      </c>
      <c r="E245" t="inlineStr">
        <is>
          <t>RAGUNDA</t>
        </is>
      </c>
      <c r="F245" t="inlineStr">
        <is>
          <t>SCA</t>
        </is>
      </c>
      <c r="G245" t="n">
        <v>5.6</v>
      </c>
      <c r="H245" t="n">
        <v>0</v>
      </c>
      <c r="I245" t="n">
        <v>0</v>
      </c>
      <c r="J245" t="n">
        <v>1</v>
      </c>
      <c r="K245" t="n">
        <v>0</v>
      </c>
      <c r="L245" t="n">
        <v>0</v>
      </c>
      <c r="M245" t="n">
        <v>0</v>
      </c>
      <c r="N245" t="n">
        <v>0</v>
      </c>
      <c r="O245" t="n">
        <v>1</v>
      </c>
      <c r="P245" t="n">
        <v>0</v>
      </c>
      <c r="Q245" t="n">
        <v>1</v>
      </c>
      <c r="R245" s="2" t="inlineStr">
        <is>
          <t>Granticka</t>
        </is>
      </c>
      <c r="S245">
        <f>HYPERLINK("https://klasma.github.io/Logging_2303/artfynd/A 50233-2024 artfynd.xlsx", "A 50233-2024")</f>
        <v/>
      </c>
      <c r="T245">
        <f>HYPERLINK("https://klasma.github.io/Logging_2303/kartor/A 50233-2024 karta.png", "A 50233-2024")</f>
        <v/>
      </c>
      <c r="V245">
        <f>HYPERLINK("https://klasma.github.io/Logging_2303/klagomål/A 50233-2024 FSC-klagomål.docx", "A 50233-2024")</f>
        <v/>
      </c>
      <c r="W245">
        <f>HYPERLINK("https://klasma.github.io/Logging_2303/klagomålsmail/A 50233-2024 FSC-klagomål mail.docx", "A 50233-2024")</f>
        <v/>
      </c>
      <c r="X245">
        <f>HYPERLINK("https://klasma.github.io/Logging_2303/tillsyn/A 50233-2024 tillsynsbegäran.docx", "A 50233-2024")</f>
        <v/>
      </c>
      <c r="Y245">
        <f>HYPERLINK("https://klasma.github.io/Logging_2303/tillsynsmail/A 50233-2024 tillsynsbegäran mail.docx", "A 50233-2024")</f>
        <v/>
      </c>
    </row>
    <row r="246" ht="15" customHeight="1">
      <c r="A246" t="inlineStr">
        <is>
          <t>A 19751-2025</t>
        </is>
      </c>
      <c r="B246" s="1" t="n">
        <v>45771.3859837963</v>
      </c>
      <c r="C246" s="1" t="n">
        <v>45941</v>
      </c>
      <c r="D246" t="inlineStr">
        <is>
          <t>JÄMTLANDS LÄN</t>
        </is>
      </c>
      <c r="E246" t="inlineStr">
        <is>
          <t>RAGUNDA</t>
        </is>
      </c>
      <c r="F246" t="inlineStr">
        <is>
          <t>SCA</t>
        </is>
      </c>
      <c r="G246" t="n">
        <v>1.1</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19751-2025 artfynd.xlsx", "A 19751-2025")</f>
        <v/>
      </c>
      <c r="T246">
        <f>HYPERLINK("https://klasma.github.io/Logging_2303/kartor/A 19751-2025 karta.png", "A 19751-2025")</f>
        <v/>
      </c>
      <c r="V246">
        <f>HYPERLINK("https://klasma.github.io/Logging_2303/klagomål/A 19751-2025 FSC-klagomål.docx", "A 19751-2025")</f>
        <v/>
      </c>
      <c r="W246">
        <f>HYPERLINK("https://klasma.github.io/Logging_2303/klagomålsmail/A 19751-2025 FSC-klagomål mail.docx", "A 19751-2025")</f>
        <v/>
      </c>
      <c r="X246">
        <f>HYPERLINK("https://klasma.github.io/Logging_2303/tillsyn/A 19751-2025 tillsynsbegäran.docx", "A 19751-2025")</f>
        <v/>
      </c>
      <c r="Y246">
        <f>HYPERLINK("https://klasma.github.io/Logging_2303/tillsynsmail/A 19751-2025 tillsynsbegäran mail.docx", "A 19751-2025")</f>
        <v/>
      </c>
      <c r="Z246">
        <f>HYPERLINK("https://klasma.github.io/Logging_2303/fåglar/A 19751-2025 prioriterade fågelarter.docx", "A 19751-2025")</f>
        <v/>
      </c>
    </row>
    <row r="247" ht="15" customHeight="1">
      <c r="A247" t="inlineStr">
        <is>
          <t>A 36224-2023</t>
        </is>
      </c>
      <c r="B247" s="1" t="n">
        <v>45149</v>
      </c>
      <c r="C247" s="1" t="n">
        <v>45941</v>
      </c>
      <c r="D247" t="inlineStr">
        <is>
          <t>JÄMTLANDS LÄN</t>
        </is>
      </c>
      <c r="E247" t="inlineStr">
        <is>
          <t>RAGUNDA</t>
        </is>
      </c>
      <c r="F247" t="inlineStr">
        <is>
          <t>SCA</t>
        </is>
      </c>
      <c r="G247" t="n">
        <v>8.1</v>
      </c>
      <c r="H247" t="n">
        <v>0</v>
      </c>
      <c r="I247" t="n">
        <v>0</v>
      </c>
      <c r="J247" t="n">
        <v>1</v>
      </c>
      <c r="K247" t="n">
        <v>0</v>
      </c>
      <c r="L247" t="n">
        <v>0</v>
      </c>
      <c r="M247" t="n">
        <v>0</v>
      </c>
      <c r="N247" t="n">
        <v>0</v>
      </c>
      <c r="O247" t="n">
        <v>1</v>
      </c>
      <c r="P247" t="n">
        <v>0</v>
      </c>
      <c r="Q247" t="n">
        <v>1</v>
      </c>
      <c r="R247" s="2" t="inlineStr">
        <is>
          <t>Garnlav</t>
        </is>
      </c>
      <c r="S247">
        <f>HYPERLINK("https://klasma.github.io/Logging_2303/artfynd/A 36224-2023 artfynd.xlsx", "A 36224-2023")</f>
        <v/>
      </c>
      <c r="T247">
        <f>HYPERLINK("https://klasma.github.io/Logging_2303/kartor/A 36224-2023 karta.png", "A 36224-2023")</f>
        <v/>
      </c>
      <c r="V247">
        <f>HYPERLINK("https://klasma.github.io/Logging_2303/klagomål/A 36224-2023 FSC-klagomål.docx", "A 36224-2023")</f>
        <v/>
      </c>
      <c r="W247">
        <f>HYPERLINK("https://klasma.github.io/Logging_2303/klagomålsmail/A 36224-2023 FSC-klagomål mail.docx", "A 36224-2023")</f>
        <v/>
      </c>
      <c r="X247">
        <f>HYPERLINK("https://klasma.github.io/Logging_2303/tillsyn/A 36224-2023 tillsynsbegäran.docx", "A 36224-2023")</f>
        <v/>
      </c>
      <c r="Y247">
        <f>HYPERLINK("https://klasma.github.io/Logging_2303/tillsynsmail/A 36224-2023 tillsynsbegäran mail.docx", "A 36224-2023")</f>
        <v/>
      </c>
    </row>
    <row r="248" ht="15" customHeight="1">
      <c r="A248" t="inlineStr">
        <is>
          <t>A 50164-2023</t>
        </is>
      </c>
      <c r="B248" s="1" t="n">
        <v>45208</v>
      </c>
      <c r="C248" s="1" t="n">
        <v>45941</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58846-2024</t>
        </is>
      </c>
      <c r="B249" s="1" t="n">
        <v>45636.3863425926</v>
      </c>
      <c r="C249" s="1" t="n">
        <v>45941</v>
      </c>
      <c r="D249" t="inlineStr">
        <is>
          <t>JÄMTLANDS LÄN</t>
        </is>
      </c>
      <c r="E249" t="inlineStr">
        <is>
          <t>RAGUNDA</t>
        </is>
      </c>
      <c r="F249" t="inlineStr">
        <is>
          <t>SCA</t>
        </is>
      </c>
      <c r="G249" t="n">
        <v>1.5</v>
      </c>
      <c r="H249" t="n">
        <v>0</v>
      </c>
      <c r="I249" t="n">
        <v>0</v>
      </c>
      <c r="J249" t="n">
        <v>0</v>
      </c>
      <c r="K249" t="n">
        <v>1</v>
      </c>
      <c r="L249" t="n">
        <v>0</v>
      </c>
      <c r="M249" t="n">
        <v>0</v>
      </c>
      <c r="N249" t="n">
        <v>0</v>
      </c>
      <c r="O249" t="n">
        <v>1</v>
      </c>
      <c r="P249" t="n">
        <v>1</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26322-2024</t>
        </is>
      </c>
      <c r="B250" s="1" t="n">
        <v>45468.97461805555</v>
      </c>
      <c r="C250" s="1" t="n">
        <v>45941</v>
      </c>
      <c r="D250" t="inlineStr">
        <is>
          <t>JÄMTLANDS LÄN</t>
        </is>
      </c>
      <c r="E250" t="inlineStr">
        <is>
          <t>RAGUNDA</t>
        </is>
      </c>
      <c r="F250" t="inlineStr">
        <is>
          <t>SCA</t>
        </is>
      </c>
      <c r="G250" t="n">
        <v>9.6</v>
      </c>
      <c r="H250" t="n">
        <v>0</v>
      </c>
      <c r="I250" t="n">
        <v>0</v>
      </c>
      <c r="J250" t="n">
        <v>1</v>
      </c>
      <c r="K250" t="n">
        <v>0</v>
      </c>
      <c r="L250" t="n">
        <v>0</v>
      </c>
      <c r="M250" t="n">
        <v>0</v>
      </c>
      <c r="N250" t="n">
        <v>0</v>
      </c>
      <c r="O250" t="n">
        <v>1</v>
      </c>
      <c r="P250" t="n">
        <v>0</v>
      </c>
      <c r="Q250" t="n">
        <v>1</v>
      </c>
      <c r="R250" s="2" t="inlineStr">
        <is>
          <t>Rosenticka</t>
        </is>
      </c>
      <c r="S250">
        <f>HYPERLINK("https://klasma.github.io/Logging_2303/artfynd/A 26322-2024 artfynd.xlsx", "A 26322-2024")</f>
        <v/>
      </c>
      <c r="T250">
        <f>HYPERLINK("https://klasma.github.io/Logging_2303/kartor/A 26322-2024 karta.png", "A 26322-2024")</f>
        <v/>
      </c>
      <c r="U250">
        <f>HYPERLINK("https://klasma.github.io/Logging_2303/knärot/A 26322-2024 karta knärot.png", "A 26322-2024")</f>
        <v/>
      </c>
      <c r="V250">
        <f>HYPERLINK("https://klasma.github.io/Logging_2303/klagomål/A 26322-2024 FSC-klagomål.docx", "A 26322-2024")</f>
        <v/>
      </c>
      <c r="W250">
        <f>HYPERLINK("https://klasma.github.io/Logging_2303/klagomålsmail/A 26322-2024 FSC-klagomål mail.docx", "A 26322-2024")</f>
        <v/>
      </c>
      <c r="X250">
        <f>HYPERLINK("https://klasma.github.io/Logging_2303/tillsyn/A 26322-2024 tillsynsbegäran.docx", "A 26322-2024")</f>
        <v/>
      </c>
      <c r="Y250">
        <f>HYPERLINK("https://klasma.github.io/Logging_2303/tillsynsmail/A 26322-2024 tillsynsbegäran mail.docx", "A 26322-2024")</f>
        <v/>
      </c>
    </row>
    <row r="251" ht="15" customHeight="1">
      <c r="A251" t="inlineStr">
        <is>
          <t>A 21212-2025</t>
        </is>
      </c>
      <c r="B251" s="1" t="n">
        <v>45779.48993055556</v>
      </c>
      <c r="C251" s="1" t="n">
        <v>45941</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57941-2020</t>
        </is>
      </c>
      <c r="B252" s="1" t="n">
        <v>44141</v>
      </c>
      <c r="C252" s="1" t="n">
        <v>45941</v>
      </c>
      <c r="D252" t="inlineStr">
        <is>
          <t>JÄMTLANDS LÄN</t>
        </is>
      </c>
      <c r="E252" t="inlineStr">
        <is>
          <t>RAGUNDA</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61441-2020</t>
        </is>
      </c>
      <c r="B253" s="1" t="n">
        <v>44157</v>
      </c>
      <c r="C253" s="1" t="n">
        <v>45941</v>
      </c>
      <c r="D253" t="inlineStr">
        <is>
          <t>JÄMTLANDS LÄN</t>
        </is>
      </c>
      <c r="E253" t="inlineStr">
        <is>
          <t>RAGUNDA</t>
        </is>
      </c>
      <c r="G253" t="n">
        <v>0.4</v>
      </c>
      <c r="H253" t="n">
        <v>0</v>
      </c>
      <c r="I253" t="n">
        <v>0</v>
      </c>
      <c r="J253" t="n">
        <v>0</v>
      </c>
      <c r="K253" t="n">
        <v>0</v>
      </c>
      <c r="L253" t="n">
        <v>0</v>
      </c>
      <c r="M253" t="n">
        <v>0</v>
      </c>
      <c r="N253" t="n">
        <v>0</v>
      </c>
      <c r="O253" t="n">
        <v>0</v>
      </c>
      <c r="P253" t="n">
        <v>0</v>
      </c>
      <c r="Q253" t="n">
        <v>0</v>
      </c>
      <c r="R253" s="2" t="inlineStr"/>
    </row>
    <row r="254" ht="15" customHeight="1">
      <c r="A254" t="inlineStr">
        <is>
          <t>A 69618-2020</t>
        </is>
      </c>
      <c r="B254" s="1" t="n">
        <v>44195</v>
      </c>
      <c r="C254" s="1" t="n">
        <v>45941</v>
      </c>
      <c r="D254" t="inlineStr">
        <is>
          <t>JÄMTLANDS LÄN</t>
        </is>
      </c>
      <c r="E254" t="inlineStr">
        <is>
          <t>RAGUNDA</t>
        </is>
      </c>
      <c r="G254" t="n">
        <v>2.4</v>
      </c>
      <c r="H254" t="n">
        <v>0</v>
      </c>
      <c r="I254" t="n">
        <v>0</v>
      </c>
      <c r="J254" t="n">
        <v>0</v>
      </c>
      <c r="K254" t="n">
        <v>0</v>
      </c>
      <c r="L254" t="n">
        <v>0</v>
      </c>
      <c r="M254" t="n">
        <v>0</v>
      </c>
      <c r="N254" t="n">
        <v>0</v>
      </c>
      <c r="O254" t="n">
        <v>0</v>
      </c>
      <c r="P254" t="n">
        <v>0</v>
      </c>
      <c r="Q254" t="n">
        <v>0</v>
      </c>
      <c r="R254" s="2" t="inlineStr"/>
    </row>
    <row r="255" ht="15" customHeight="1">
      <c r="A255" t="inlineStr">
        <is>
          <t>A 2469-2021</t>
        </is>
      </c>
      <c r="B255" s="1" t="n">
        <v>44214</v>
      </c>
      <c r="C255" s="1" t="n">
        <v>45941</v>
      </c>
      <c r="D255" t="inlineStr">
        <is>
          <t>JÄMTLANDS LÄN</t>
        </is>
      </c>
      <c r="E255" t="inlineStr">
        <is>
          <t>RAGUNDA</t>
        </is>
      </c>
      <c r="G255" t="n">
        <v>1.1</v>
      </c>
      <c r="H255" t="n">
        <v>0</v>
      </c>
      <c r="I255" t="n">
        <v>0</v>
      </c>
      <c r="J255" t="n">
        <v>0</v>
      </c>
      <c r="K255" t="n">
        <v>0</v>
      </c>
      <c r="L255" t="n">
        <v>0</v>
      </c>
      <c r="M255" t="n">
        <v>0</v>
      </c>
      <c r="N255" t="n">
        <v>0</v>
      </c>
      <c r="O255" t="n">
        <v>0</v>
      </c>
      <c r="P255" t="n">
        <v>0</v>
      </c>
      <c r="Q255" t="n">
        <v>0</v>
      </c>
      <c r="R255" s="2" t="inlineStr"/>
    </row>
    <row r="256" ht="15" customHeight="1">
      <c r="A256" t="inlineStr">
        <is>
          <t>A 46050-2022</t>
        </is>
      </c>
      <c r="B256" s="1" t="n">
        <v>44846</v>
      </c>
      <c r="C256" s="1" t="n">
        <v>45941</v>
      </c>
      <c r="D256" t="inlineStr">
        <is>
          <t>JÄMTLANDS LÄN</t>
        </is>
      </c>
      <c r="E256" t="inlineStr">
        <is>
          <t>RAGUNDA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64386-2020</t>
        </is>
      </c>
      <c r="B257" s="1" t="n">
        <v>44168</v>
      </c>
      <c r="C257" s="1" t="n">
        <v>45941</v>
      </c>
      <c r="D257" t="inlineStr">
        <is>
          <t>JÄMTLANDS LÄN</t>
        </is>
      </c>
      <c r="E257" t="inlineStr">
        <is>
          <t>RAGUNDA</t>
        </is>
      </c>
      <c r="G257" t="n">
        <v>2.5</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45941</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45941</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45941</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45941</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45941</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45941</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45941</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45941</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45941</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45941</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45941</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45941</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45941</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45941</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45941</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45941</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45941</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45941</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45941</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45941</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45941</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45941</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45941</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45941</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45941</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45941</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45941</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45941</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45941</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45941</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45941</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45941</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45941</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45941</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45941</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45941</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45941</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45941</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45941</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45941</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45941</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45941</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55926-2020</t>
        </is>
      </c>
      <c r="B300" s="1" t="n">
        <v>44132</v>
      </c>
      <c r="C300" s="1" t="n">
        <v>45941</v>
      </c>
      <c r="D300" t="inlineStr">
        <is>
          <t>JÄMTLANDS LÄN</t>
        </is>
      </c>
      <c r="E300" t="inlineStr">
        <is>
          <t>RAGUNDA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45941</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54580-2020</t>
        </is>
      </c>
      <c r="B302" s="1" t="n">
        <v>44126</v>
      </c>
      <c r="C302" s="1" t="n">
        <v>45941</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45941</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45941</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45941</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45941</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45941</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54199-2020</t>
        </is>
      </c>
      <c r="B308" s="1" t="n">
        <v>44125.94493055555</v>
      </c>
      <c r="C308" s="1" t="n">
        <v>45941</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43163-2022</t>
        </is>
      </c>
      <c r="B309" s="1" t="n">
        <v>44833.95405092592</v>
      </c>
      <c r="C309" s="1" t="n">
        <v>45941</v>
      </c>
      <c r="D309" t="inlineStr">
        <is>
          <t>JÄMTLANDS LÄN</t>
        </is>
      </c>
      <c r="E309" t="inlineStr">
        <is>
          <t>RAGUNDA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2494-2022</t>
        </is>
      </c>
      <c r="B310" s="1" t="n">
        <v>44579.68604166667</v>
      </c>
      <c r="C310" s="1" t="n">
        <v>45941</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45941</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45941</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45941</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45941</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45941</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45941</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45941</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45941</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45941</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45941</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45941</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45941</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45941</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45941</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45941</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45941</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45941</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45941</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55932-2021</t>
        </is>
      </c>
      <c r="B329" s="1" t="n">
        <v>44476</v>
      </c>
      <c r="C329" s="1" t="n">
        <v>45941</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45941</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22772-2022</t>
        </is>
      </c>
      <c r="B331" s="1" t="n">
        <v>44714.94162037037</v>
      </c>
      <c r="C331" s="1" t="n">
        <v>45941</v>
      </c>
      <c r="D331" t="inlineStr">
        <is>
          <t>JÄMTLANDS LÄN</t>
        </is>
      </c>
      <c r="E331" t="inlineStr">
        <is>
          <t>RAGUNDA</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52334-2021</t>
        </is>
      </c>
      <c r="B332" s="1" t="n">
        <v>44463.94077546296</v>
      </c>
      <c r="C332" s="1" t="n">
        <v>45941</v>
      </c>
      <c r="D332" t="inlineStr">
        <is>
          <t>JÄMTLANDS LÄN</t>
        </is>
      </c>
      <c r="E332" t="inlineStr">
        <is>
          <t>RAGUNDA</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45941</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45941</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46048-2022</t>
        </is>
      </c>
      <c r="B335" s="1" t="n">
        <v>44846</v>
      </c>
      <c r="C335" s="1" t="n">
        <v>45941</v>
      </c>
      <c r="D335" t="inlineStr">
        <is>
          <t>JÄMTLANDS LÄN</t>
        </is>
      </c>
      <c r="E335" t="inlineStr">
        <is>
          <t>RAGUNDA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29409-2021</t>
        </is>
      </c>
      <c r="B336" s="1" t="n">
        <v>44361.55445601852</v>
      </c>
      <c r="C336" s="1" t="n">
        <v>45941</v>
      </c>
      <c r="D336" t="inlineStr">
        <is>
          <t>JÄMTLANDS LÄN</t>
        </is>
      </c>
      <c r="E336" t="inlineStr">
        <is>
          <t>RAGUNDA</t>
        </is>
      </c>
      <c r="G336" t="n">
        <v>0.3</v>
      </c>
      <c r="H336" t="n">
        <v>0</v>
      </c>
      <c r="I336" t="n">
        <v>0</v>
      </c>
      <c r="J336" t="n">
        <v>0</v>
      </c>
      <c r="K336" t="n">
        <v>0</v>
      </c>
      <c r="L336" t="n">
        <v>0</v>
      </c>
      <c r="M336" t="n">
        <v>0</v>
      </c>
      <c r="N336" t="n">
        <v>0</v>
      </c>
      <c r="O336" t="n">
        <v>0</v>
      </c>
      <c r="P336" t="n">
        <v>0</v>
      </c>
      <c r="Q336" t="n">
        <v>0</v>
      </c>
      <c r="R336" s="2" t="inlineStr"/>
    </row>
    <row r="337" ht="15" customHeight="1">
      <c r="A337" t="inlineStr">
        <is>
          <t>A 5130-2021</t>
        </is>
      </c>
      <c r="B337" s="1" t="n">
        <v>44228</v>
      </c>
      <c r="C337" s="1" t="n">
        <v>45941</v>
      </c>
      <c r="D337" t="inlineStr">
        <is>
          <t>JÄMTLANDS LÄN</t>
        </is>
      </c>
      <c r="E337" t="inlineStr">
        <is>
          <t>RAGUNDA</t>
        </is>
      </c>
      <c r="G337" t="n">
        <v>1.6</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45941</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45941</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25027-2022</t>
        </is>
      </c>
      <c r="B340" s="1" t="n">
        <v>44728.94392361111</v>
      </c>
      <c r="C340" s="1" t="n">
        <v>45941</v>
      </c>
      <c r="D340" t="inlineStr">
        <is>
          <t>JÄMTLANDS LÄN</t>
        </is>
      </c>
      <c r="E340" t="inlineStr">
        <is>
          <t>RAGUNDA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32780-2022</t>
        </is>
      </c>
      <c r="B341" s="1" t="n">
        <v>44783</v>
      </c>
      <c r="C341" s="1" t="n">
        <v>45941</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59996-2021</t>
        </is>
      </c>
      <c r="B342" s="1" t="n">
        <v>44494.93930555556</v>
      </c>
      <c r="C342" s="1" t="n">
        <v>45941</v>
      </c>
      <c r="D342" t="inlineStr">
        <is>
          <t>JÄMTLANDS LÄN</t>
        </is>
      </c>
      <c r="E342" t="inlineStr">
        <is>
          <t>RAGUNDA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36084-2022</t>
        </is>
      </c>
      <c r="B343" s="1" t="n">
        <v>44802</v>
      </c>
      <c r="C343" s="1" t="n">
        <v>45941</v>
      </c>
      <c r="D343" t="inlineStr">
        <is>
          <t>JÄMTLANDS LÄN</t>
        </is>
      </c>
      <c r="E343" t="inlineStr">
        <is>
          <t>RAGUNDA</t>
        </is>
      </c>
      <c r="F343" t="inlineStr">
        <is>
          <t>SCA</t>
        </is>
      </c>
      <c r="G343" t="n">
        <v>5.7</v>
      </c>
      <c r="H343" t="n">
        <v>0</v>
      </c>
      <c r="I343" t="n">
        <v>0</v>
      </c>
      <c r="J343" t="n">
        <v>0</v>
      </c>
      <c r="K343" t="n">
        <v>0</v>
      </c>
      <c r="L343" t="n">
        <v>0</v>
      </c>
      <c r="M343" t="n">
        <v>0</v>
      </c>
      <c r="N343" t="n">
        <v>0</v>
      </c>
      <c r="O343" t="n">
        <v>0</v>
      </c>
      <c r="P343" t="n">
        <v>0</v>
      </c>
      <c r="Q343" t="n">
        <v>0</v>
      </c>
      <c r="R343" s="2" t="inlineStr"/>
    </row>
    <row r="344" ht="15" customHeight="1">
      <c r="A344" t="inlineStr">
        <is>
          <t>A 32288-2022</t>
        </is>
      </c>
      <c r="B344" s="1" t="n">
        <v>44781</v>
      </c>
      <c r="C344" s="1" t="n">
        <v>45941</v>
      </c>
      <c r="D344" t="inlineStr">
        <is>
          <t>JÄMTLANDS LÄN</t>
        </is>
      </c>
      <c r="E344" t="inlineStr">
        <is>
          <t>RAGUNDA</t>
        </is>
      </c>
      <c r="G344" t="n">
        <v>0.8</v>
      </c>
      <c r="H344" t="n">
        <v>0</v>
      </c>
      <c r="I344" t="n">
        <v>0</v>
      </c>
      <c r="J344" t="n">
        <v>0</v>
      </c>
      <c r="K344" t="n">
        <v>0</v>
      </c>
      <c r="L344" t="n">
        <v>0</v>
      </c>
      <c r="M344" t="n">
        <v>0</v>
      </c>
      <c r="N344" t="n">
        <v>0</v>
      </c>
      <c r="O344" t="n">
        <v>0</v>
      </c>
      <c r="P344" t="n">
        <v>0</v>
      </c>
      <c r="Q344" t="n">
        <v>0</v>
      </c>
      <c r="R344" s="2" t="inlineStr"/>
    </row>
    <row r="345" ht="15" customHeight="1">
      <c r="A345" t="inlineStr">
        <is>
          <t>A 28597-2021</t>
        </is>
      </c>
      <c r="B345" s="1" t="n">
        <v>44356.91935185185</v>
      </c>
      <c r="C345" s="1" t="n">
        <v>45941</v>
      </c>
      <c r="D345" t="inlineStr">
        <is>
          <t>JÄMTLANDS LÄN</t>
        </is>
      </c>
      <c r="E345" t="inlineStr">
        <is>
          <t>RAGUNDA</t>
        </is>
      </c>
      <c r="G345" t="n">
        <v>3.1</v>
      </c>
      <c r="H345" t="n">
        <v>0</v>
      </c>
      <c r="I345" t="n">
        <v>0</v>
      </c>
      <c r="J345" t="n">
        <v>0</v>
      </c>
      <c r="K345" t="n">
        <v>0</v>
      </c>
      <c r="L345" t="n">
        <v>0</v>
      </c>
      <c r="M345" t="n">
        <v>0</v>
      </c>
      <c r="N345" t="n">
        <v>0</v>
      </c>
      <c r="O345" t="n">
        <v>0</v>
      </c>
      <c r="P345" t="n">
        <v>0</v>
      </c>
      <c r="Q345" t="n">
        <v>0</v>
      </c>
      <c r="R345" s="2" t="inlineStr"/>
    </row>
    <row r="346" ht="15" customHeight="1">
      <c r="A346" t="inlineStr">
        <is>
          <t>A 47803-2022</t>
        </is>
      </c>
      <c r="B346" s="1" t="n">
        <v>44854.95390046296</v>
      </c>
      <c r="C346" s="1" t="n">
        <v>45941</v>
      </c>
      <c r="D346" t="inlineStr">
        <is>
          <t>JÄMTLANDS LÄN</t>
        </is>
      </c>
      <c r="E346" t="inlineStr">
        <is>
          <t>RAGUNDA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42652-2022</t>
        </is>
      </c>
      <c r="B347" s="1" t="n">
        <v>44831.94846064815</v>
      </c>
      <c r="C347" s="1" t="n">
        <v>45941</v>
      </c>
      <c r="D347" t="inlineStr">
        <is>
          <t>JÄMTLANDS LÄN</t>
        </is>
      </c>
      <c r="E347" t="inlineStr">
        <is>
          <t>RAGUNDA</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42653-2022</t>
        </is>
      </c>
      <c r="B348" s="1" t="n">
        <v>44831.9485300926</v>
      </c>
      <c r="C348" s="1" t="n">
        <v>45941</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32986-2022</t>
        </is>
      </c>
      <c r="B349" s="1" t="n">
        <v>44784.94157407407</v>
      </c>
      <c r="C349" s="1" t="n">
        <v>45941</v>
      </c>
      <c r="D349" t="inlineStr">
        <is>
          <t>JÄMTLANDS LÄN</t>
        </is>
      </c>
      <c r="E349" t="inlineStr">
        <is>
          <t>RAGUNDA</t>
        </is>
      </c>
      <c r="F349" t="inlineStr">
        <is>
          <t>SCA</t>
        </is>
      </c>
      <c r="G349" t="n">
        <v>6.7</v>
      </c>
      <c r="H349" t="n">
        <v>0</v>
      </c>
      <c r="I349" t="n">
        <v>0</v>
      </c>
      <c r="J349" t="n">
        <v>0</v>
      </c>
      <c r="K349" t="n">
        <v>0</v>
      </c>
      <c r="L349" t="n">
        <v>0</v>
      </c>
      <c r="M349" t="n">
        <v>0</v>
      </c>
      <c r="N349" t="n">
        <v>0</v>
      </c>
      <c r="O349" t="n">
        <v>0</v>
      </c>
      <c r="P349" t="n">
        <v>0</v>
      </c>
      <c r="Q349" t="n">
        <v>0</v>
      </c>
      <c r="R349" s="2" t="inlineStr"/>
    </row>
    <row r="350" ht="15" customHeight="1">
      <c r="A350" t="inlineStr">
        <is>
          <t>A 49904-2022</t>
        </is>
      </c>
      <c r="B350" s="1" t="n">
        <v>44864.94835648148</v>
      </c>
      <c r="C350" s="1" t="n">
        <v>45941</v>
      </c>
      <c r="D350" t="inlineStr">
        <is>
          <t>JÄMTLANDS LÄN</t>
        </is>
      </c>
      <c r="E350" t="inlineStr">
        <is>
          <t>RAGUNDA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19595-2021</t>
        </is>
      </c>
      <c r="B351" s="1" t="n">
        <v>44308</v>
      </c>
      <c r="C351" s="1" t="n">
        <v>45941</v>
      </c>
      <c r="D351" t="inlineStr">
        <is>
          <t>JÄMTLANDS LÄN</t>
        </is>
      </c>
      <c r="E351" t="inlineStr">
        <is>
          <t>RAGUNDA</t>
        </is>
      </c>
      <c r="G351" t="n">
        <v>5.4</v>
      </c>
      <c r="H351" t="n">
        <v>0</v>
      </c>
      <c r="I351" t="n">
        <v>0</v>
      </c>
      <c r="J351" t="n">
        <v>0</v>
      </c>
      <c r="K351" t="n">
        <v>0</v>
      </c>
      <c r="L351" t="n">
        <v>0</v>
      </c>
      <c r="M351" t="n">
        <v>0</v>
      </c>
      <c r="N351" t="n">
        <v>0</v>
      </c>
      <c r="O351" t="n">
        <v>0</v>
      </c>
      <c r="P351" t="n">
        <v>0</v>
      </c>
      <c r="Q351" t="n">
        <v>0</v>
      </c>
      <c r="R351" s="2" t="inlineStr"/>
    </row>
    <row r="352" ht="15" customHeight="1">
      <c r="A352" t="inlineStr">
        <is>
          <t>A 36941-2022</t>
        </is>
      </c>
      <c r="B352" s="1" t="n">
        <v>44805</v>
      </c>
      <c r="C352" s="1" t="n">
        <v>45941</v>
      </c>
      <c r="D352" t="inlineStr">
        <is>
          <t>JÄMTLANDS LÄN</t>
        </is>
      </c>
      <c r="E352" t="inlineStr">
        <is>
          <t>RAGUNDA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20548-2021</t>
        </is>
      </c>
      <c r="B353" s="1" t="n">
        <v>44315</v>
      </c>
      <c r="C353" s="1" t="n">
        <v>45941</v>
      </c>
      <c r="D353" t="inlineStr">
        <is>
          <t>JÄMTLANDS LÄN</t>
        </is>
      </c>
      <c r="E353" t="inlineStr">
        <is>
          <t>RAGUNDA</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42882-2022</t>
        </is>
      </c>
      <c r="B354" s="1" t="n">
        <v>44832.95300925926</v>
      </c>
      <c r="C354" s="1" t="n">
        <v>45941</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45941</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42267-2022</t>
        </is>
      </c>
      <c r="B356" s="1" t="n">
        <v>44830</v>
      </c>
      <c r="C356" s="1" t="n">
        <v>45941</v>
      </c>
      <c r="D356" t="inlineStr">
        <is>
          <t>JÄMTLANDS LÄN</t>
        </is>
      </c>
      <c r="E356" t="inlineStr">
        <is>
          <t>RAGUNDA</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57194-2021</t>
        </is>
      </c>
      <c r="B357" s="1" t="n">
        <v>44482.92271990741</v>
      </c>
      <c r="C357" s="1" t="n">
        <v>45941</v>
      </c>
      <c r="D357" t="inlineStr">
        <is>
          <t>JÄMTLANDS LÄN</t>
        </is>
      </c>
      <c r="E357" t="inlineStr">
        <is>
          <t>RAGUNDA</t>
        </is>
      </c>
      <c r="G357" t="n">
        <v>7.3</v>
      </c>
      <c r="H357" t="n">
        <v>0</v>
      </c>
      <c r="I357" t="n">
        <v>0</v>
      </c>
      <c r="J357" t="n">
        <v>0</v>
      </c>
      <c r="K357" t="n">
        <v>0</v>
      </c>
      <c r="L357" t="n">
        <v>0</v>
      </c>
      <c r="M357" t="n">
        <v>0</v>
      </c>
      <c r="N357" t="n">
        <v>0</v>
      </c>
      <c r="O357" t="n">
        <v>0</v>
      </c>
      <c r="P357" t="n">
        <v>0</v>
      </c>
      <c r="Q357" t="n">
        <v>0</v>
      </c>
      <c r="R357" s="2" t="inlineStr"/>
    </row>
    <row r="358" ht="15" customHeight="1">
      <c r="A358" t="inlineStr">
        <is>
          <t>A 37806-2021</t>
        </is>
      </c>
      <c r="B358" s="1" t="n">
        <v>44402.42243055555</v>
      </c>
      <c r="C358" s="1" t="n">
        <v>45941</v>
      </c>
      <c r="D358" t="inlineStr">
        <is>
          <t>JÄMTLANDS LÄN</t>
        </is>
      </c>
      <c r="E358" t="inlineStr">
        <is>
          <t>RAGUNDA</t>
        </is>
      </c>
      <c r="G358" t="n">
        <v>0.3</v>
      </c>
      <c r="H358" t="n">
        <v>0</v>
      </c>
      <c r="I358" t="n">
        <v>0</v>
      </c>
      <c r="J358" t="n">
        <v>0</v>
      </c>
      <c r="K358" t="n">
        <v>0</v>
      </c>
      <c r="L358" t="n">
        <v>0</v>
      </c>
      <c r="M358" t="n">
        <v>0</v>
      </c>
      <c r="N358" t="n">
        <v>0</v>
      </c>
      <c r="O358" t="n">
        <v>0</v>
      </c>
      <c r="P358" t="n">
        <v>0</v>
      </c>
      <c r="Q358" t="n">
        <v>0</v>
      </c>
      <c r="R358" s="2" t="inlineStr"/>
    </row>
    <row r="359" ht="15" customHeight="1">
      <c r="A359" t="inlineStr">
        <is>
          <t>A 31854-2022</t>
        </is>
      </c>
      <c r="B359" s="1" t="n">
        <v>44776</v>
      </c>
      <c r="C359" s="1" t="n">
        <v>45941</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47568-2022</t>
        </is>
      </c>
      <c r="B360" s="1" t="n">
        <v>44853.9499537037</v>
      </c>
      <c r="C360" s="1" t="n">
        <v>45941</v>
      </c>
      <c r="D360" t="inlineStr">
        <is>
          <t>JÄMTLANDS LÄN</t>
        </is>
      </c>
      <c r="E360" t="inlineStr">
        <is>
          <t>RAGUNDA</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45941</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40829-2022</t>
        </is>
      </c>
      <c r="B362" s="1" t="n">
        <v>44824.94635416667</v>
      </c>
      <c r="C362" s="1" t="n">
        <v>45941</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46992-2022</t>
        </is>
      </c>
      <c r="B363" s="1" t="n">
        <v>44851.95488425926</v>
      </c>
      <c r="C363" s="1" t="n">
        <v>45941</v>
      </c>
      <c r="D363" t="inlineStr">
        <is>
          <t>JÄMTLANDS LÄN</t>
        </is>
      </c>
      <c r="E363" t="inlineStr">
        <is>
          <t>RAGUNDA</t>
        </is>
      </c>
      <c r="F363" t="inlineStr">
        <is>
          <t>SCA</t>
        </is>
      </c>
      <c r="G363" t="n">
        <v>26.4</v>
      </c>
      <c r="H363" t="n">
        <v>0</v>
      </c>
      <c r="I363" t="n">
        <v>0</v>
      </c>
      <c r="J363" t="n">
        <v>0</v>
      </c>
      <c r="K363" t="n">
        <v>0</v>
      </c>
      <c r="L363" t="n">
        <v>0</v>
      </c>
      <c r="M363" t="n">
        <v>0</v>
      </c>
      <c r="N363" t="n">
        <v>0</v>
      </c>
      <c r="O363" t="n">
        <v>0</v>
      </c>
      <c r="P363" t="n">
        <v>0</v>
      </c>
      <c r="Q363" t="n">
        <v>0</v>
      </c>
      <c r="R363" s="2" t="inlineStr"/>
    </row>
    <row r="364" ht="15" customHeight="1">
      <c r="A364" t="inlineStr">
        <is>
          <t>A 34348-2021</t>
        </is>
      </c>
      <c r="B364" s="1" t="n">
        <v>44379</v>
      </c>
      <c r="C364" s="1" t="n">
        <v>45941</v>
      </c>
      <c r="D364" t="inlineStr">
        <is>
          <t>JÄMTLANDS LÄN</t>
        </is>
      </c>
      <c r="E364" t="inlineStr">
        <is>
          <t>RAGUNDA</t>
        </is>
      </c>
      <c r="G364" t="n">
        <v>8.1</v>
      </c>
      <c r="H364" t="n">
        <v>0</v>
      </c>
      <c r="I364" t="n">
        <v>0</v>
      </c>
      <c r="J364" t="n">
        <v>0</v>
      </c>
      <c r="K364" t="n">
        <v>0</v>
      </c>
      <c r="L364" t="n">
        <v>0</v>
      </c>
      <c r="M364" t="n">
        <v>0</v>
      </c>
      <c r="N364" t="n">
        <v>0</v>
      </c>
      <c r="O364" t="n">
        <v>0</v>
      </c>
      <c r="P364" t="n">
        <v>0</v>
      </c>
      <c r="Q364" t="n">
        <v>0</v>
      </c>
      <c r="R364" s="2" t="inlineStr"/>
    </row>
    <row r="365" ht="15" customHeight="1">
      <c r="A365" t="inlineStr">
        <is>
          <t>A 65017-2021</t>
        </is>
      </c>
      <c r="B365" s="1" t="n">
        <v>44512</v>
      </c>
      <c r="C365" s="1" t="n">
        <v>45941</v>
      </c>
      <c r="D365" t="inlineStr">
        <is>
          <t>JÄMTLANDS LÄN</t>
        </is>
      </c>
      <c r="E365" t="inlineStr">
        <is>
          <t>RAGUNDA</t>
        </is>
      </c>
      <c r="G365" t="n">
        <v>2.3</v>
      </c>
      <c r="H365" t="n">
        <v>0</v>
      </c>
      <c r="I365" t="n">
        <v>0</v>
      </c>
      <c r="J365" t="n">
        <v>0</v>
      </c>
      <c r="K365" t="n">
        <v>0</v>
      </c>
      <c r="L365" t="n">
        <v>0</v>
      </c>
      <c r="M365" t="n">
        <v>0</v>
      </c>
      <c r="N365" t="n">
        <v>0</v>
      </c>
      <c r="O365" t="n">
        <v>0</v>
      </c>
      <c r="P365" t="n">
        <v>0</v>
      </c>
      <c r="Q365" t="n">
        <v>0</v>
      </c>
      <c r="R365" s="2" t="inlineStr"/>
    </row>
    <row r="366" ht="15" customHeight="1">
      <c r="A366" t="inlineStr">
        <is>
          <t>A 15664-2022</t>
        </is>
      </c>
      <c r="B366" s="1" t="n">
        <v>44662</v>
      </c>
      <c r="C366" s="1" t="n">
        <v>45941</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21984-2022</t>
        </is>
      </c>
      <c r="B367" s="1" t="n">
        <v>44704</v>
      </c>
      <c r="C367" s="1" t="n">
        <v>45941</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18341-2022</t>
        </is>
      </c>
      <c r="B368" s="1" t="n">
        <v>44685</v>
      </c>
      <c r="C368" s="1" t="n">
        <v>45941</v>
      </c>
      <c r="D368" t="inlineStr">
        <is>
          <t>JÄMTLANDS LÄN</t>
        </is>
      </c>
      <c r="E368" t="inlineStr">
        <is>
          <t>RAGUNDA</t>
        </is>
      </c>
      <c r="G368" t="n">
        <v>0.2</v>
      </c>
      <c r="H368" t="n">
        <v>0</v>
      </c>
      <c r="I368" t="n">
        <v>0</v>
      </c>
      <c r="J368" t="n">
        <v>0</v>
      </c>
      <c r="K368" t="n">
        <v>0</v>
      </c>
      <c r="L368" t="n">
        <v>0</v>
      </c>
      <c r="M368" t="n">
        <v>0</v>
      </c>
      <c r="N368" t="n">
        <v>0</v>
      </c>
      <c r="O368" t="n">
        <v>0</v>
      </c>
      <c r="P368" t="n">
        <v>0</v>
      </c>
      <c r="Q368" t="n">
        <v>0</v>
      </c>
      <c r="R368" s="2" t="inlineStr"/>
    </row>
    <row r="369" ht="15" customHeight="1">
      <c r="A369" t="inlineStr">
        <is>
          <t>A 26948-2021</t>
        </is>
      </c>
      <c r="B369" s="1" t="n">
        <v>44349.92013888889</v>
      </c>
      <c r="C369" s="1" t="n">
        <v>45941</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9185-2022</t>
        </is>
      </c>
      <c r="B370" s="1" t="n">
        <v>44615</v>
      </c>
      <c r="C370" s="1" t="n">
        <v>45941</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44241-2021</t>
        </is>
      </c>
      <c r="B371" s="1" t="n">
        <v>44434.94517361111</v>
      </c>
      <c r="C371" s="1" t="n">
        <v>45941</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19600-2021</t>
        </is>
      </c>
      <c r="B372" s="1" t="n">
        <v>44308</v>
      </c>
      <c r="C372" s="1" t="n">
        <v>45941</v>
      </c>
      <c r="D372" t="inlineStr">
        <is>
          <t>JÄMTLANDS LÄN</t>
        </is>
      </c>
      <c r="E372" t="inlineStr">
        <is>
          <t>RAGUNDA</t>
        </is>
      </c>
      <c r="G372" t="n">
        <v>4.3</v>
      </c>
      <c r="H372" t="n">
        <v>0</v>
      </c>
      <c r="I372" t="n">
        <v>0</v>
      </c>
      <c r="J372" t="n">
        <v>0</v>
      </c>
      <c r="K372" t="n">
        <v>0</v>
      </c>
      <c r="L372" t="n">
        <v>0</v>
      </c>
      <c r="M372" t="n">
        <v>0</v>
      </c>
      <c r="N372" t="n">
        <v>0</v>
      </c>
      <c r="O372" t="n">
        <v>0</v>
      </c>
      <c r="P372" t="n">
        <v>0</v>
      </c>
      <c r="Q372" t="n">
        <v>0</v>
      </c>
      <c r="R372" s="2" t="inlineStr"/>
    </row>
    <row r="373" ht="15" customHeight="1">
      <c r="A373" t="inlineStr">
        <is>
          <t>A 25253-2022</t>
        </is>
      </c>
      <c r="B373" s="1" t="n">
        <v>44729.94136574074</v>
      </c>
      <c r="C373" s="1" t="n">
        <v>45941</v>
      </c>
      <c r="D373" t="inlineStr">
        <is>
          <t>JÄMTLANDS LÄN</t>
        </is>
      </c>
      <c r="E373" t="inlineStr">
        <is>
          <t>RAGUNDA</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16460-2022</t>
        </is>
      </c>
      <c r="B374" s="1" t="n">
        <v>44671</v>
      </c>
      <c r="C374" s="1" t="n">
        <v>45941</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45941</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44833.9519212963</v>
      </c>
      <c r="C376" s="1" t="n">
        <v>45941</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21195-2022</t>
        </is>
      </c>
      <c r="B377" s="1" t="n">
        <v>44704.94229166667</v>
      </c>
      <c r="C377" s="1" t="n">
        <v>45941</v>
      </c>
      <c r="D377" t="inlineStr">
        <is>
          <t>JÄMTLANDS LÄN</t>
        </is>
      </c>
      <c r="E377" t="inlineStr">
        <is>
          <t>RAGUNDA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49531-2022</t>
        </is>
      </c>
      <c r="B378" s="1" t="n">
        <v>44861</v>
      </c>
      <c r="C378" s="1" t="n">
        <v>45941</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57730-2020</t>
        </is>
      </c>
      <c r="B379" s="1" t="n">
        <v>44140</v>
      </c>
      <c r="C379" s="1" t="n">
        <v>45941</v>
      </c>
      <c r="D379" t="inlineStr">
        <is>
          <t>JÄMTLANDS LÄN</t>
        </is>
      </c>
      <c r="E379" t="inlineStr">
        <is>
          <t>RAGUNDA</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35749-2022</t>
        </is>
      </c>
      <c r="B380" s="1" t="n">
        <v>44799.94394675926</v>
      </c>
      <c r="C380" s="1" t="n">
        <v>45941</v>
      </c>
      <c r="D380" t="inlineStr">
        <is>
          <t>JÄMTLANDS LÄN</t>
        </is>
      </c>
      <c r="E380" t="inlineStr">
        <is>
          <t>RAGUNDA</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31972-2022</t>
        </is>
      </c>
      <c r="B381" s="1" t="n">
        <v>44777.95504629629</v>
      </c>
      <c r="C381" s="1" t="n">
        <v>45941</v>
      </c>
      <c r="D381" t="inlineStr">
        <is>
          <t>JÄMTLANDS LÄN</t>
        </is>
      </c>
      <c r="E381" t="inlineStr">
        <is>
          <t>RAGUNDA</t>
        </is>
      </c>
      <c r="F381" t="inlineStr">
        <is>
          <t>Naturvårdsverket</t>
        </is>
      </c>
      <c r="G381" t="n">
        <v>0.8</v>
      </c>
      <c r="H381" t="n">
        <v>0</v>
      </c>
      <c r="I381" t="n">
        <v>0</v>
      </c>
      <c r="J381" t="n">
        <v>0</v>
      </c>
      <c r="K381" t="n">
        <v>0</v>
      </c>
      <c r="L381" t="n">
        <v>0</v>
      </c>
      <c r="M381" t="n">
        <v>0</v>
      </c>
      <c r="N381" t="n">
        <v>0</v>
      </c>
      <c r="O381" t="n">
        <v>0</v>
      </c>
      <c r="P381" t="n">
        <v>0</v>
      </c>
      <c r="Q381" t="n">
        <v>0</v>
      </c>
      <c r="R381" s="2" t="inlineStr"/>
    </row>
    <row r="382" ht="15" customHeight="1">
      <c r="A382" t="inlineStr">
        <is>
          <t>A 1858-2022</t>
        </is>
      </c>
      <c r="B382" s="1" t="n">
        <v>44574</v>
      </c>
      <c r="C382" s="1" t="n">
        <v>45941</v>
      </c>
      <c r="D382" t="inlineStr">
        <is>
          <t>JÄMTLANDS LÄN</t>
        </is>
      </c>
      <c r="E382" t="inlineStr">
        <is>
          <t>RAGUNDA</t>
        </is>
      </c>
      <c r="G382" t="n">
        <v>5.7</v>
      </c>
      <c r="H382" t="n">
        <v>0</v>
      </c>
      <c r="I382" t="n">
        <v>0</v>
      </c>
      <c r="J382" t="n">
        <v>0</v>
      </c>
      <c r="K382" t="n">
        <v>0</v>
      </c>
      <c r="L382" t="n">
        <v>0</v>
      </c>
      <c r="M382" t="n">
        <v>0</v>
      </c>
      <c r="N382" t="n">
        <v>0</v>
      </c>
      <c r="O382" t="n">
        <v>0</v>
      </c>
      <c r="P382" t="n">
        <v>0</v>
      </c>
      <c r="Q382" t="n">
        <v>0</v>
      </c>
      <c r="R382" s="2" t="inlineStr"/>
    </row>
    <row r="383" ht="15" customHeight="1">
      <c r="A383" t="inlineStr">
        <is>
          <t>A 48086-2022</t>
        </is>
      </c>
      <c r="B383" s="1" t="n">
        <v>44855.9471875</v>
      </c>
      <c r="C383" s="1" t="n">
        <v>45941</v>
      </c>
      <c r="D383" t="inlineStr">
        <is>
          <t>JÄMTLANDS LÄN</t>
        </is>
      </c>
      <c r="E383" t="inlineStr">
        <is>
          <t>RAGUNDA</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54836-2022</t>
        </is>
      </c>
      <c r="B384" s="1" t="n">
        <v>44883.94918981481</v>
      </c>
      <c r="C384" s="1" t="n">
        <v>45941</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53522-2020</t>
        </is>
      </c>
      <c r="B385" s="1" t="n">
        <v>44124</v>
      </c>
      <c r="C385" s="1" t="n">
        <v>45941</v>
      </c>
      <c r="D385" t="inlineStr">
        <is>
          <t>JÄMTLANDS LÄN</t>
        </is>
      </c>
      <c r="E385" t="inlineStr">
        <is>
          <t>RAGUNDA</t>
        </is>
      </c>
      <c r="G385" t="n">
        <v>1.3</v>
      </c>
      <c r="H385" t="n">
        <v>0</v>
      </c>
      <c r="I385" t="n">
        <v>0</v>
      </c>
      <c r="J385" t="n">
        <v>0</v>
      </c>
      <c r="K385" t="n">
        <v>0</v>
      </c>
      <c r="L385" t="n">
        <v>0</v>
      </c>
      <c r="M385" t="n">
        <v>0</v>
      </c>
      <c r="N385" t="n">
        <v>0</v>
      </c>
      <c r="O385" t="n">
        <v>0</v>
      </c>
      <c r="P385" t="n">
        <v>0</v>
      </c>
      <c r="Q385" t="n">
        <v>0</v>
      </c>
      <c r="R385" s="2" t="inlineStr"/>
    </row>
    <row r="386" ht="15" customHeight="1">
      <c r="A386" t="inlineStr">
        <is>
          <t>A 57246-2020</t>
        </is>
      </c>
      <c r="B386" s="1" t="n">
        <v>44138</v>
      </c>
      <c r="C386" s="1" t="n">
        <v>45941</v>
      </c>
      <c r="D386" t="inlineStr">
        <is>
          <t>JÄMTLANDS LÄN</t>
        </is>
      </c>
      <c r="E386" t="inlineStr">
        <is>
          <t>RAGUNDA</t>
        </is>
      </c>
      <c r="G386" t="n">
        <v>3.1</v>
      </c>
      <c r="H386" t="n">
        <v>0</v>
      </c>
      <c r="I386" t="n">
        <v>0</v>
      </c>
      <c r="J386" t="n">
        <v>0</v>
      </c>
      <c r="K386" t="n">
        <v>0</v>
      </c>
      <c r="L386" t="n">
        <v>0</v>
      </c>
      <c r="M386" t="n">
        <v>0</v>
      </c>
      <c r="N386" t="n">
        <v>0</v>
      </c>
      <c r="O386" t="n">
        <v>0</v>
      </c>
      <c r="P386" t="n">
        <v>0</v>
      </c>
      <c r="Q386" t="n">
        <v>0</v>
      </c>
      <c r="R386" s="2" t="inlineStr"/>
    </row>
    <row r="387" ht="15" customHeight="1">
      <c r="A387" t="inlineStr">
        <is>
          <t>A 40213-2021</t>
        </is>
      </c>
      <c r="B387" s="1" t="n">
        <v>44418.9369212963</v>
      </c>
      <c r="C387" s="1" t="n">
        <v>45941</v>
      </c>
      <c r="D387" t="inlineStr">
        <is>
          <t>JÄMTLANDS LÄN</t>
        </is>
      </c>
      <c r="E387" t="inlineStr">
        <is>
          <t>RAGUNDA</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23528-2024</t>
        </is>
      </c>
      <c r="B388" s="1" t="n">
        <v>45453.95016203704</v>
      </c>
      <c r="C388" s="1" t="n">
        <v>45941</v>
      </c>
      <c r="D388" t="inlineStr">
        <is>
          <t>JÄMTLANDS LÄN</t>
        </is>
      </c>
      <c r="E388" t="inlineStr">
        <is>
          <t>RAGUNDA</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33279-2022</t>
        </is>
      </c>
      <c r="B389" s="1" t="n">
        <v>44788</v>
      </c>
      <c r="C389" s="1" t="n">
        <v>45941</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10120-2022</t>
        </is>
      </c>
      <c r="B390" s="1" t="n">
        <v>44621</v>
      </c>
      <c r="C390" s="1" t="n">
        <v>45941</v>
      </c>
      <c r="D390" t="inlineStr">
        <is>
          <t>JÄMTLANDS LÄN</t>
        </is>
      </c>
      <c r="E390" t="inlineStr">
        <is>
          <t>RAGUNDA</t>
        </is>
      </c>
      <c r="G390" t="n">
        <v>0.4</v>
      </c>
      <c r="H390" t="n">
        <v>0</v>
      </c>
      <c r="I390" t="n">
        <v>0</v>
      </c>
      <c r="J390" t="n">
        <v>0</v>
      </c>
      <c r="K390" t="n">
        <v>0</v>
      </c>
      <c r="L390" t="n">
        <v>0</v>
      </c>
      <c r="M390" t="n">
        <v>0</v>
      </c>
      <c r="N390" t="n">
        <v>0</v>
      </c>
      <c r="O390" t="n">
        <v>0</v>
      </c>
      <c r="P390" t="n">
        <v>0</v>
      </c>
      <c r="Q390" t="n">
        <v>0</v>
      </c>
      <c r="R390" s="2" t="inlineStr"/>
    </row>
    <row r="391" ht="15" customHeight="1">
      <c r="A391" t="inlineStr">
        <is>
          <t>A 47567-2022</t>
        </is>
      </c>
      <c r="B391" s="1" t="n">
        <v>44853</v>
      </c>
      <c r="C391" s="1" t="n">
        <v>45941</v>
      </c>
      <c r="D391" t="inlineStr">
        <is>
          <t>JÄMTLANDS LÄN</t>
        </is>
      </c>
      <c r="E391" t="inlineStr">
        <is>
          <t>RAGUNDA</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22412-2024</t>
        </is>
      </c>
      <c r="B392" s="1" t="n">
        <v>45446.68947916666</v>
      </c>
      <c r="C392" s="1" t="n">
        <v>45941</v>
      </c>
      <c r="D392" t="inlineStr">
        <is>
          <t>JÄMTLANDS LÄN</t>
        </is>
      </c>
      <c r="E392" t="inlineStr">
        <is>
          <t>RAGUNDA</t>
        </is>
      </c>
      <c r="G392" t="n">
        <v>0.8</v>
      </c>
      <c r="H392" t="n">
        <v>0</v>
      </c>
      <c r="I392" t="n">
        <v>0</v>
      </c>
      <c r="J392" t="n">
        <v>0</v>
      </c>
      <c r="K392" t="n">
        <v>0</v>
      </c>
      <c r="L392" t="n">
        <v>0</v>
      </c>
      <c r="M392" t="n">
        <v>0</v>
      </c>
      <c r="N392" t="n">
        <v>0</v>
      </c>
      <c r="O392" t="n">
        <v>0</v>
      </c>
      <c r="P392" t="n">
        <v>0</v>
      </c>
      <c r="Q392" t="n">
        <v>0</v>
      </c>
      <c r="R392" s="2" t="inlineStr"/>
    </row>
    <row r="393" ht="15" customHeight="1">
      <c r="A393" t="inlineStr">
        <is>
          <t>A 24196-2024</t>
        </is>
      </c>
      <c r="B393" s="1" t="n">
        <v>45456.96569444444</v>
      </c>
      <c r="C393" s="1" t="n">
        <v>45941</v>
      </c>
      <c r="D393" t="inlineStr">
        <is>
          <t>JÄMTLANDS LÄN</t>
        </is>
      </c>
      <c r="E393" t="inlineStr">
        <is>
          <t>RAGUNDA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58984-2021</t>
        </is>
      </c>
      <c r="B394" s="1" t="n">
        <v>44489.94711805556</v>
      </c>
      <c r="C394" s="1" t="n">
        <v>45941</v>
      </c>
      <c r="D394" t="inlineStr">
        <is>
          <t>JÄMTLANDS LÄN</t>
        </is>
      </c>
      <c r="E394" t="inlineStr">
        <is>
          <t>RAGUNDA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45941</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40978-2022</t>
        </is>
      </c>
      <c r="B396" s="1" t="n">
        <v>44823</v>
      </c>
      <c r="C396" s="1" t="n">
        <v>45941</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43040-2021</t>
        </is>
      </c>
      <c r="B397" s="1" t="n">
        <v>44431</v>
      </c>
      <c r="C397" s="1" t="n">
        <v>45941</v>
      </c>
      <c r="D397" t="inlineStr">
        <is>
          <t>JÄMTLANDS LÄN</t>
        </is>
      </c>
      <c r="E397" t="inlineStr">
        <is>
          <t>RAGUNDA</t>
        </is>
      </c>
      <c r="G397" t="n">
        <v>4.9</v>
      </c>
      <c r="H397" t="n">
        <v>0</v>
      </c>
      <c r="I397" t="n">
        <v>0</v>
      </c>
      <c r="J397" t="n">
        <v>0</v>
      </c>
      <c r="K397" t="n">
        <v>0</v>
      </c>
      <c r="L397" t="n">
        <v>0</v>
      </c>
      <c r="M397" t="n">
        <v>0</v>
      </c>
      <c r="N397" t="n">
        <v>0</v>
      </c>
      <c r="O397" t="n">
        <v>0</v>
      </c>
      <c r="P397" t="n">
        <v>0</v>
      </c>
      <c r="Q397" t="n">
        <v>0</v>
      </c>
      <c r="R397" s="2" t="inlineStr"/>
    </row>
    <row r="398" ht="15" customHeight="1">
      <c r="A398" t="inlineStr">
        <is>
          <t>A 55701-2021</t>
        </is>
      </c>
      <c r="B398" s="1" t="n">
        <v>44475</v>
      </c>
      <c r="C398" s="1" t="n">
        <v>45941</v>
      </c>
      <c r="D398" t="inlineStr">
        <is>
          <t>JÄMTLANDS LÄN</t>
        </is>
      </c>
      <c r="E398" t="inlineStr">
        <is>
          <t>RAGUNDA</t>
        </is>
      </c>
      <c r="G398" t="n">
        <v>5.6</v>
      </c>
      <c r="H398" t="n">
        <v>0</v>
      </c>
      <c r="I398" t="n">
        <v>0</v>
      </c>
      <c r="J398" t="n">
        <v>0</v>
      </c>
      <c r="K398" t="n">
        <v>0</v>
      </c>
      <c r="L398" t="n">
        <v>0</v>
      </c>
      <c r="M398" t="n">
        <v>0</v>
      </c>
      <c r="N398" t="n">
        <v>0</v>
      </c>
      <c r="O398" t="n">
        <v>0</v>
      </c>
      <c r="P398" t="n">
        <v>0</v>
      </c>
      <c r="Q398" t="n">
        <v>0</v>
      </c>
      <c r="R398" s="2" t="inlineStr"/>
    </row>
    <row r="399" ht="15" customHeight="1">
      <c r="A399" t="inlineStr">
        <is>
          <t>A 24741-2022</t>
        </is>
      </c>
      <c r="B399" s="1" t="n">
        <v>44727</v>
      </c>
      <c r="C399" s="1" t="n">
        <v>45941</v>
      </c>
      <c r="D399" t="inlineStr">
        <is>
          <t>JÄMTLANDS LÄN</t>
        </is>
      </c>
      <c r="E399" t="inlineStr">
        <is>
          <t>RAGUNDA</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9187-2022</t>
        </is>
      </c>
      <c r="B400" s="1" t="n">
        <v>44615</v>
      </c>
      <c r="C400" s="1" t="n">
        <v>45941</v>
      </c>
      <c r="D400" t="inlineStr">
        <is>
          <t>JÄMTLANDS LÄN</t>
        </is>
      </c>
      <c r="E400" t="inlineStr">
        <is>
          <t>RAGUNDA</t>
        </is>
      </c>
      <c r="G400" t="n">
        <v>2</v>
      </c>
      <c r="H400" t="n">
        <v>0</v>
      </c>
      <c r="I400" t="n">
        <v>0</v>
      </c>
      <c r="J400" t="n">
        <v>0</v>
      </c>
      <c r="K400" t="n">
        <v>0</v>
      </c>
      <c r="L400" t="n">
        <v>0</v>
      </c>
      <c r="M400" t="n">
        <v>0</v>
      </c>
      <c r="N400" t="n">
        <v>0</v>
      </c>
      <c r="O400" t="n">
        <v>0</v>
      </c>
      <c r="P400" t="n">
        <v>0</v>
      </c>
      <c r="Q400" t="n">
        <v>0</v>
      </c>
      <c r="R400" s="2" t="inlineStr"/>
    </row>
    <row r="401" ht="15" customHeight="1">
      <c r="A401" t="inlineStr">
        <is>
          <t>A 48536-2022</t>
        </is>
      </c>
      <c r="B401" s="1" t="n">
        <v>44858</v>
      </c>
      <c r="C401" s="1" t="n">
        <v>45941</v>
      </c>
      <c r="D401" t="inlineStr">
        <is>
          <t>JÄMTLANDS LÄN</t>
        </is>
      </c>
      <c r="E401" t="inlineStr">
        <is>
          <t>RAGUNDA</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41613-2021</t>
        </is>
      </c>
      <c r="B402" s="1" t="n">
        <v>44425</v>
      </c>
      <c r="C402" s="1" t="n">
        <v>45941</v>
      </c>
      <c r="D402" t="inlineStr">
        <is>
          <t>JÄMTLANDS LÄN</t>
        </is>
      </c>
      <c r="E402" t="inlineStr">
        <is>
          <t>RAGUNDA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57713-2020</t>
        </is>
      </c>
      <c r="B403" s="1" t="n">
        <v>44140</v>
      </c>
      <c r="C403" s="1" t="n">
        <v>45941</v>
      </c>
      <c r="D403" t="inlineStr">
        <is>
          <t>JÄMTLANDS LÄN</t>
        </is>
      </c>
      <c r="E403" t="inlineStr">
        <is>
          <t>RAGUNDA</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24171-2021</t>
        </is>
      </c>
      <c r="B404" s="1" t="n">
        <v>44336</v>
      </c>
      <c r="C404" s="1" t="n">
        <v>45941</v>
      </c>
      <c r="D404" t="inlineStr">
        <is>
          <t>JÄMTLANDS LÄN</t>
        </is>
      </c>
      <c r="E404" t="inlineStr">
        <is>
          <t>RAGUNDA</t>
        </is>
      </c>
      <c r="G404" t="n">
        <v>3.6</v>
      </c>
      <c r="H404" t="n">
        <v>0</v>
      </c>
      <c r="I404" t="n">
        <v>0</v>
      </c>
      <c r="J404" t="n">
        <v>0</v>
      </c>
      <c r="K404" t="n">
        <v>0</v>
      </c>
      <c r="L404" t="n">
        <v>0</v>
      </c>
      <c r="M404" t="n">
        <v>0</v>
      </c>
      <c r="N404" t="n">
        <v>0</v>
      </c>
      <c r="O404" t="n">
        <v>0</v>
      </c>
      <c r="P404" t="n">
        <v>0</v>
      </c>
      <c r="Q404" t="n">
        <v>0</v>
      </c>
      <c r="R404" s="2" t="inlineStr"/>
    </row>
    <row r="405" ht="15" customHeight="1">
      <c r="A405" t="inlineStr">
        <is>
          <t>A 38733-2022</t>
        </is>
      </c>
      <c r="B405" s="1" t="n">
        <v>44815</v>
      </c>
      <c r="C405" s="1" t="n">
        <v>45941</v>
      </c>
      <c r="D405" t="inlineStr">
        <is>
          <t>JÄMTLANDS LÄN</t>
        </is>
      </c>
      <c r="E405" t="inlineStr">
        <is>
          <t>RAGUNDA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2336-2022</t>
        </is>
      </c>
      <c r="B406" s="1" t="n">
        <v>44578.92284722222</v>
      </c>
      <c r="C406" s="1" t="n">
        <v>45941</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6177-2022</t>
        </is>
      </c>
      <c r="B407" s="1" t="n">
        <v>44599.98685185185</v>
      </c>
      <c r="C407" s="1" t="n">
        <v>45941</v>
      </c>
      <c r="D407" t="inlineStr">
        <is>
          <t>JÄMTLANDS LÄN</t>
        </is>
      </c>
      <c r="E407" t="inlineStr">
        <is>
          <t>RAGUNDA</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41343-2024</t>
        </is>
      </c>
      <c r="B408" s="1" t="n">
        <v>45559.67745370371</v>
      </c>
      <c r="C408" s="1" t="n">
        <v>45941</v>
      </c>
      <c r="D408" t="inlineStr">
        <is>
          <t>JÄMTLANDS LÄN</t>
        </is>
      </c>
      <c r="E408" t="inlineStr">
        <is>
          <t>RAGUNDA</t>
        </is>
      </c>
      <c r="F408" t="inlineStr">
        <is>
          <t>SCA</t>
        </is>
      </c>
      <c r="G408" t="n">
        <v>25.1</v>
      </c>
      <c r="H408" t="n">
        <v>0</v>
      </c>
      <c r="I408" t="n">
        <v>0</v>
      </c>
      <c r="J408" t="n">
        <v>0</v>
      </c>
      <c r="K408" t="n">
        <v>0</v>
      </c>
      <c r="L408" t="n">
        <v>0</v>
      </c>
      <c r="M408" t="n">
        <v>0</v>
      </c>
      <c r="N408" t="n">
        <v>0</v>
      </c>
      <c r="O408" t="n">
        <v>0</v>
      </c>
      <c r="P408" t="n">
        <v>0</v>
      </c>
      <c r="Q408" t="n">
        <v>0</v>
      </c>
      <c r="R408" s="2" t="inlineStr"/>
    </row>
    <row r="409" ht="15" customHeight="1">
      <c r="A409" t="inlineStr">
        <is>
          <t>A 12039-2023</t>
        </is>
      </c>
      <c r="B409" s="1" t="n">
        <v>44995.98341435185</v>
      </c>
      <c r="C409" s="1" t="n">
        <v>45941</v>
      </c>
      <c r="D409" t="inlineStr">
        <is>
          <t>JÄMTLANDS LÄN</t>
        </is>
      </c>
      <c r="E409" t="inlineStr">
        <is>
          <t>RAGUNDA</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12050-2023</t>
        </is>
      </c>
      <c r="B410" s="1" t="n">
        <v>44995.98644675926</v>
      </c>
      <c r="C410" s="1" t="n">
        <v>45941</v>
      </c>
      <c r="D410" t="inlineStr">
        <is>
          <t>JÄMTLANDS LÄN</t>
        </is>
      </c>
      <c r="E410" t="inlineStr">
        <is>
          <t>RAGUNDA</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19613-2023</t>
        </is>
      </c>
      <c r="B411" s="1" t="n">
        <v>45050.94020833333</v>
      </c>
      <c r="C411" s="1" t="n">
        <v>45941</v>
      </c>
      <c r="D411" t="inlineStr">
        <is>
          <t>JÄMTLANDS LÄN</t>
        </is>
      </c>
      <c r="E411" t="inlineStr">
        <is>
          <t>RAGUNDA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2751-2024</t>
        </is>
      </c>
      <c r="B412" s="1" t="n">
        <v>45314</v>
      </c>
      <c r="C412" s="1" t="n">
        <v>45941</v>
      </c>
      <c r="D412" t="inlineStr">
        <is>
          <t>JÄMTLANDS LÄN</t>
        </is>
      </c>
      <c r="E412" t="inlineStr">
        <is>
          <t>RAGUNDA</t>
        </is>
      </c>
      <c r="G412" t="n">
        <v>1.8</v>
      </c>
      <c r="H412" t="n">
        <v>0</v>
      </c>
      <c r="I412" t="n">
        <v>0</v>
      </c>
      <c r="J412" t="n">
        <v>0</v>
      </c>
      <c r="K412" t="n">
        <v>0</v>
      </c>
      <c r="L412" t="n">
        <v>0</v>
      </c>
      <c r="M412" t="n">
        <v>0</v>
      </c>
      <c r="N412" t="n">
        <v>0</v>
      </c>
      <c r="O412" t="n">
        <v>0</v>
      </c>
      <c r="P412" t="n">
        <v>0</v>
      </c>
      <c r="Q412" t="n">
        <v>0</v>
      </c>
      <c r="R412" s="2" t="inlineStr"/>
    </row>
    <row r="413" ht="15" customHeight="1">
      <c r="A413" t="inlineStr">
        <is>
          <t>A 36986-2023</t>
        </is>
      </c>
      <c r="B413" s="1" t="n">
        <v>45154.95525462963</v>
      </c>
      <c r="C413" s="1" t="n">
        <v>45941</v>
      </c>
      <c r="D413" t="inlineStr">
        <is>
          <t>JÄMTLANDS LÄN</t>
        </is>
      </c>
      <c r="E413" t="inlineStr">
        <is>
          <t>RAGUNDA</t>
        </is>
      </c>
      <c r="F413" t="inlineStr">
        <is>
          <t>SCA</t>
        </is>
      </c>
      <c r="G413" t="n">
        <v>0.2</v>
      </c>
      <c r="H413" t="n">
        <v>0</v>
      </c>
      <c r="I413" t="n">
        <v>0</v>
      </c>
      <c r="J413" t="n">
        <v>0</v>
      </c>
      <c r="K413" t="n">
        <v>0</v>
      </c>
      <c r="L413" t="n">
        <v>0</v>
      </c>
      <c r="M413" t="n">
        <v>0</v>
      </c>
      <c r="N413" t="n">
        <v>0</v>
      </c>
      <c r="O413" t="n">
        <v>0</v>
      </c>
      <c r="P413" t="n">
        <v>0</v>
      </c>
      <c r="Q413" t="n">
        <v>0</v>
      </c>
      <c r="R413" s="2" t="inlineStr"/>
    </row>
    <row r="414" ht="15" customHeight="1">
      <c r="A414" t="inlineStr">
        <is>
          <t>A 25994-2025</t>
        </is>
      </c>
      <c r="B414" s="1" t="n">
        <v>45804.65672453704</v>
      </c>
      <c r="C414" s="1" t="n">
        <v>45941</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14368-2024</t>
        </is>
      </c>
      <c r="B415" s="1" t="n">
        <v>45393.94431712963</v>
      </c>
      <c r="C415" s="1" t="n">
        <v>45941</v>
      </c>
      <c r="D415" t="inlineStr">
        <is>
          <t>JÄMTLANDS LÄN</t>
        </is>
      </c>
      <c r="E415" t="inlineStr">
        <is>
          <t>RAGUNDA</t>
        </is>
      </c>
      <c r="F415" t="inlineStr">
        <is>
          <t>Naturvårdsverket</t>
        </is>
      </c>
      <c r="G415" t="n">
        <v>1.6</v>
      </c>
      <c r="H415" t="n">
        <v>0</v>
      </c>
      <c r="I415" t="n">
        <v>0</v>
      </c>
      <c r="J415" t="n">
        <v>0</v>
      </c>
      <c r="K415" t="n">
        <v>0</v>
      </c>
      <c r="L415" t="n">
        <v>0</v>
      </c>
      <c r="M415" t="n">
        <v>0</v>
      </c>
      <c r="N415" t="n">
        <v>0</v>
      </c>
      <c r="O415" t="n">
        <v>0</v>
      </c>
      <c r="P415" t="n">
        <v>0</v>
      </c>
      <c r="Q415" t="n">
        <v>0</v>
      </c>
      <c r="R415" s="2" t="inlineStr"/>
    </row>
    <row r="416" ht="15" customHeight="1">
      <c r="A416" t="inlineStr">
        <is>
          <t>A 26283-2025</t>
        </is>
      </c>
      <c r="B416" s="1" t="n">
        <v>45805.61495370371</v>
      </c>
      <c r="C416" s="1" t="n">
        <v>45941</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18159-2023</t>
        </is>
      </c>
      <c r="B417" s="1" t="n">
        <v>45040.94277777777</v>
      </c>
      <c r="C417" s="1" t="n">
        <v>45941</v>
      </c>
      <c r="D417" t="inlineStr">
        <is>
          <t>JÄMTLANDS LÄN</t>
        </is>
      </c>
      <c r="E417" t="inlineStr">
        <is>
          <t>RAGUNDA</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2224-2024</t>
        </is>
      </c>
      <c r="B418" s="1" t="n">
        <v>45309.92524305556</v>
      </c>
      <c r="C418" s="1" t="n">
        <v>45941</v>
      </c>
      <c r="D418" t="inlineStr">
        <is>
          <t>JÄMTLANDS LÄN</t>
        </is>
      </c>
      <c r="E418" t="inlineStr">
        <is>
          <t>RAGUNDA</t>
        </is>
      </c>
      <c r="G418" t="n">
        <v>0.9</v>
      </c>
      <c r="H418" t="n">
        <v>0</v>
      </c>
      <c r="I418" t="n">
        <v>0</v>
      </c>
      <c r="J418" t="n">
        <v>0</v>
      </c>
      <c r="K418" t="n">
        <v>0</v>
      </c>
      <c r="L418" t="n">
        <v>0</v>
      </c>
      <c r="M418" t="n">
        <v>0</v>
      </c>
      <c r="N418" t="n">
        <v>0</v>
      </c>
      <c r="O418" t="n">
        <v>0</v>
      </c>
      <c r="P418" t="n">
        <v>0</v>
      </c>
      <c r="Q418" t="n">
        <v>0</v>
      </c>
      <c r="R418" s="2" t="inlineStr"/>
    </row>
    <row r="419" ht="15" customHeight="1">
      <c r="A419" t="inlineStr">
        <is>
          <t>A 13700-2023</t>
        </is>
      </c>
      <c r="B419" s="1" t="n">
        <v>45006</v>
      </c>
      <c r="C419" s="1" t="n">
        <v>45941</v>
      </c>
      <c r="D419" t="inlineStr">
        <is>
          <t>JÄMTLANDS LÄN</t>
        </is>
      </c>
      <c r="E419" t="inlineStr">
        <is>
          <t>RAGUNDA</t>
        </is>
      </c>
      <c r="F419" t="inlineStr">
        <is>
          <t>SCA</t>
        </is>
      </c>
      <c r="G419" t="n">
        <v>50.3</v>
      </c>
      <c r="H419" t="n">
        <v>0</v>
      </c>
      <c r="I419" t="n">
        <v>0</v>
      </c>
      <c r="J419" t="n">
        <v>0</v>
      </c>
      <c r="K419" t="n">
        <v>0</v>
      </c>
      <c r="L419" t="n">
        <v>0</v>
      </c>
      <c r="M419" t="n">
        <v>0</v>
      </c>
      <c r="N419" t="n">
        <v>0</v>
      </c>
      <c r="O419" t="n">
        <v>0</v>
      </c>
      <c r="P419" t="n">
        <v>0</v>
      </c>
      <c r="Q419" t="n">
        <v>0</v>
      </c>
      <c r="R419" s="2" t="inlineStr"/>
    </row>
    <row r="420" ht="15" customHeight="1">
      <c r="A420" t="inlineStr">
        <is>
          <t>A 22655-2021</t>
        </is>
      </c>
      <c r="B420" s="1" t="n">
        <v>44322</v>
      </c>
      <c r="C420" s="1" t="n">
        <v>45941</v>
      </c>
      <c r="D420" t="inlineStr">
        <is>
          <t>JÄMTLANDS LÄN</t>
        </is>
      </c>
      <c r="E420" t="inlineStr">
        <is>
          <t>RAGUNDA</t>
        </is>
      </c>
      <c r="G420" t="n">
        <v>5.8</v>
      </c>
      <c r="H420" t="n">
        <v>0</v>
      </c>
      <c r="I420" t="n">
        <v>0</v>
      </c>
      <c r="J420" t="n">
        <v>0</v>
      </c>
      <c r="K420" t="n">
        <v>0</v>
      </c>
      <c r="L420" t="n">
        <v>0</v>
      </c>
      <c r="M420" t="n">
        <v>0</v>
      </c>
      <c r="N420" t="n">
        <v>0</v>
      </c>
      <c r="O420" t="n">
        <v>0</v>
      </c>
      <c r="P420" t="n">
        <v>0</v>
      </c>
      <c r="Q420" t="n">
        <v>0</v>
      </c>
      <c r="R420" s="2" t="inlineStr"/>
    </row>
    <row r="421" ht="15" customHeight="1">
      <c r="A421" t="inlineStr">
        <is>
          <t>A 37543-2023</t>
        </is>
      </c>
      <c r="B421" s="1" t="n">
        <v>45158.94231481481</v>
      </c>
      <c r="C421" s="1" t="n">
        <v>45941</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56702-2023</t>
        </is>
      </c>
      <c r="B422" s="1" t="n">
        <v>45243</v>
      </c>
      <c r="C422" s="1" t="n">
        <v>45941</v>
      </c>
      <c r="D422" t="inlineStr">
        <is>
          <t>JÄMTLANDS LÄN</t>
        </is>
      </c>
      <c r="E422" t="inlineStr">
        <is>
          <t>RAGUNDA</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63708-2023</t>
        </is>
      </c>
      <c r="B423" s="1" t="n">
        <v>45275.95060185185</v>
      </c>
      <c r="C423" s="1" t="n">
        <v>45941</v>
      </c>
      <c r="D423" t="inlineStr">
        <is>
          <t>JÄMTLANDS LÄN</t>
        </is>
      </c>
      <c r="E423" t="inlineStr">
        <is>
          <t>RAGUNDA</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21194-2022</t>
        </is>
      </c>
      <c r="B424" s="1" t="n">
        <v>44704.9422337963</v>
      </c>
      <c r="C424" s="1" t="n">
        <v>45941</v>
      </c>
      <c r="D424" t="inlineStr">
        <is>
          <t>JÄMTLANDS LÄN</t>
        </is>
      </c>
      <c r="E424" t="inlineStr">
        <is>
          <t>RAGUNDA</t>
        </is>
      </c>
      <c r="F424" t="inlineStr">
        <is>
          <t>SCA</t>
        </is>
      </c>
      <c r="G424" t="n">
        <v>10.6</v>
      </c>
      <c r="H424" t="n">
        <v>0</v>
      </c>
      <c r="I424" t="n">
        <v>0</v>
      </c>
      <c r="J424" t="n">
        <v>0</v>
      </c>
      <c r="K424" t="n">
        <v>0</v>
      </c>
      <c r="L424" t="n">
        <v>0</v>
      </c>
      <c r="M424" t="n">
        <v>0</v>
      </c>
      <c r="N424" t="n">
        <v>0</v>
      </c>
      <c r="O424" t="n">
        <v>0</v>
      </c>
      <c r="P424" t="n">
        <v>0</v>
      </c>
      <c r="Q424" t="n">
        <v>0</v>
      </c>
      <c r="R424" s="2" t="inlineStr"/>
    </row>
    <row r="425" ht="15" customHeight="1">
      <c r="A425" t="inlineStr">
        <is>
          <t>A 26651-2024</t>
        </is>
      </c>
      <c r="B425" s="1" t="n">
        <v>45469.94876157407</v>
      </c>
      <c r="C425" s="1" t="n">
        <v>45941</v>
      </c>
      <c r="D425" t="inlineStr">
        <is>
          <t>JÄMTLANDS LÄN</t>
        </is>
      </c>
      <c r="E425" t="inlineStr">
        <is>
          <t>RAGUNDA</t>
        </is>
      </c>
      <c r="F425" t="inlineStr">
        <is>
          <t>SCA</t>
        </is>
      </c>
      <c r="G425" t="n">
        <v>10.4</v>
      </c>
      <c r="H425" t="n">
        <v>0</v>
      </c>
      <c r="I425" t="n">
        <v>0</v>
      </c>
      <c r="J425" t="n">
        <v>0</v>
      </c>
      <c r="K425" t="n">
        <v>0</v>
      </c>
      <c r="L425" t="n">
        <v>0</v>
      </c>
      <c r="M425" t="n">
        <v>0</v>
      </c>
      <c r="N425" t="n">
        <v>0</v>
      </c>
      <c r="O425" t="n">
        <v>0</v>
      </c>
      <c r="P425" t="n">
        <v>0</v>
      </c>
      <c r="Q425" t="n">
        <v>0</v>
      </c>
      <c r="R425" s="2" t="inlineStr"/>
    </row>
    <row r="426" ht="15" customHeight="1">
      <c r="A426" t="inlineStr">
        <is>
          <t>A 53171-2024</t>
        </is>
      </c>
      <c r="B426" s="1" t="n">
        <v>45611.65679398148</v>
      </c>
      <c r="C426" s="1" t="n">
        <v>45941</v>
      </c>
      <c r="D426" t="inlineStr">
        <is>
          <t>JÄMTLANDS LÄN</t>
        </is>
      </c>
      <c r="E426" t="inlineStr">
        <is>
          <t>RAGUNDA</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1523-2024</t>
        </is>
      </c>
      <c r="B427" s="1" t="n">
        <v>45306</v>
      </c>
      <c r="C427" s="1" t="n">
        <v>45941</v>
      </c>
      <c r="D427" t="inlineStr">
        <is>
          <t>JÄMTLANDS LÄN</t>
        </is>
      </c>
      <c r="E427" t="inlineStr">
        <is>
          <t>RAGUNDA</t>
        </is>
      </c>
      <c r="G427" t="n">
        <v>4.1</v>
      </c>
      <c r="H427" t="n">
        <v>0</v>
      </c>
      <c r="I427" t="n">
        <v>0</v>
      </c>
      <c r="J427" t="n">
        <v>0</v>
      </c>
      <c r="K427" t="n">
        <v>0</v>
      </c>
      <c r="L427" t="n">
        <v>0</v>
      </c>
      <c r="M427" t="n">
        <v>0</v>
      </c>
      <c r="N427" t="n">
        <v>0</v>
      </c>
      <c r="O427" t="n">
        <v>0</v>
      </c>
      <c r="P427" t="n">
        <v>0</v>
      </c>
      <c r="Q427" t="n">
        <v>0</v>
      </c>
      <c r="R427" s="2" t="inlineStr"/>
    </row>
    <row r="428" ht="15" customHeight="1">
      <c r="A428" t="inlineStr">
        <is>
          <t>A 64265-2023</t>
        </is>
      </c>
      <c r="B428" s="1" t="n">
        <v>45279.94572916667</v>
      </c>
      <c r="C428" s="1" t="n">
        <v>45941</v>
      </c>
      <c r="D428" t="inlineStr">
        <is>
          <t>JÄMTLANDS LÄN</t>
        </is>
      </c>
      <c r="E428" t="inlineStr">
        <is>
          <t>RAGUNDA</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60313-2021</t>
        </is>
      </c>
      <c r="B429" s="1" t="n">
        <v>44495</v>
      </c>
      <c r="C429" s="1" t="n">
        <v>45941</v>
      </c>
      <c r="D429" t="inlineStr">
        <is>
          <t>JÄMTLANDS LÄN</t>
        </is>
      </c>
      <c r="E429" t="inlineStr">
        <is>
          <t>RAGUNDA</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24258-2025</t>
        </is>
      </c>
      <c r="B430" s="1" t="n">
        <v>45797.40800925926</v>
      </c>
      <c r="C430" s="1" t="n">
        <v>45941</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26172-2025</t>
        </is>
      </c>
      <c r="B431" s="1" t="n">
        <v>45805.46613425926</v>
      </c>
      <c r="C431" s="1" t="n">
        <v>45941</v>
      </c>
      <c r="D431" t="inlineStr">
        <is>
          <t>JÄMTLANDS LÄN</t>
        </is>
      </c>
      <c r="E431" t="inlineStr">
        <is>
          <t>RAGUNDA</t>
        </is>
      </c>
      <c r="G431" t="n">
        <v>2.1</v>
      </c>
      <c r="H431" t="n">
        <v>0</v>
      </c>
      <c r="I431" t="n">
        <v>0</v>
      </c>
      <c r="J431" t="n">
        <v>0</v>
      </c>
      <c r="K431" t="n">
        <v>0</v>
      </c>
      <c r="L431" t="n">
        <v>0</v>
      </c>
      <c r="M431" t="n">
        <v>0</v>
      </c>
      <c r="N431" t="n">
        <v>0</v>
      </c>
      <c r="O431" t="n">
        <v>0</v>
      </c>
      <c r="P431" t="n">
        <v>0</v>
      </c>
      <c r="Q431" t="n">
        <v>0</v>
      </c>
      <c r="R431" s="2" t="inlineStr"/>
    </row>
    <row r="432" ht="15" customHeight="1">
      <c r="A432" t="inlineStr">
        <is>
          <t>A 44605-2024</t>
        </is>
      </c>
      <c r="B432" s="1" t="n">
        <v>45574.51185185185</v>
      </c>
      <c r="C432" s="1" t="n">
        <v>45941</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19438-2023</t>
        </is>
      </c>
      <c r="B433" s="1" t="n">
        <v>45049</v>
      </c>
      <c r="C433" s="1" t="n">
        <v>45941</v>
      </c>
      <c r="D433" t="inlineStr">
        <is>
          <t>JÄMTLANDS LÄN</t>
        </is>
      </c>
      <c r="E433" t="inlineStr">
        <is>
          <t>RAGUNDA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55309-2020</t>
        </is>
      </c>
      <c r="B434" s="1" t="n">
        <v>44130.9416550926</v>
      </c>
      <c r="C434" s="1" t="n">
        <v>45941</v>
      </c>
      <c r="D434" t="inlineStr">
        <is>
          <t>JÄMTLANDS LÄN</t>
        </is>
      </c>
      <c r="E434" t="inlineStr">
        <is>
          <t>RAGUNDA</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10788-2025</t>
        </is>
      </c>
      <c r="B435" s="1" t="n">
        <v>45722.48982638889</v>
      </c>
      <c r="C435" s="1" t="n">
        <v>45941</v>
      </c>
      <c r="D435" t="inlineStr">
        <is>
          <t>JÄMTLANDS LÄN</t>
        </is>
      </c>
      <c r="E435" t="inlineStr">
        <is>
          <t>RAGUNDA</t>
        </is>
      </c>
      <c r="G435" t="n">
        <v>3.5</v>
      </c>
      <c r="H435" t="n">
        <v>0</v>
      </c>
      <c r="I435" t="n">
        <v>0</v>
      </c>
      <c r="J435" t="n">
        <v>0</v>
      </c>
      <c r="K435" t="n">
        <v>0</v>
      </c>
      <c r="L435" t="n">
        <v>0</v>
      </c>
      <c r="M435" t="n">
        <v>0</v>
      </c>
      <c r="N435" t="n">
        <v>0</v>
      </c>
      <c r="O435" t="n">
        <v>0</v>
      </c>
      <c r="P435" t="n">
        <v>0</v>
      </c>
      <c r="Q435" t="n">
        <v>0</v>
      </c>
      <c r="R435" s="2" t="inlineStr"/>
    </row>
    <row r="436" ht="15" customHeight="1">
      <c r="A436" t="inlineStr">
        <is>
          <t>A 56193-2022</t>
        </is>
      </c>
      <c r="B436" s="1" t="n">
        <v>44889</v>
      </c>
      <c r="C436" s="1" t="n">
        <v>45941</v>
      </c>
      <c r="D436" t="inlineStr">
        <is>
          <t>JÄMTLANDS LÄN</t>
        </is>
      </c>
      <c r="E436" t="inlineStr">
        <is>
          <t>RAGUNDA</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5515-2022</t>
        </is>
      </c>
      <c r="B437" s="1" t="n">
        <v>44595</v>
      </c>
      <c r="C437" s="1" t="n">
        <v>45941</v>
      </c>
      <c r="D437" t="inlineStr">
        <is>
          <t>JÄMTLANDS LÄN</t>
        </is>
      </c>
      <c r="E437" t="inlineStr">
        <is>
          <t>RAGUNDA</t>
        </is>
      </c>
      <c r="G437" t="n">
        <v>1</v>
      </c>
      <c r="H437" t="n">
        <v>0</v>
      </c>
      <c r="I437" t="n">
        <v>0</v>
      </c>
      <c r="J437" t="n">
        <v>0</v>
      </c>
      <c r="K437" t="n">
        <v>0</v>
      </c>
      <c r="L437" t="n">
        <v>0</v>
      </c>
      <c r="M437" t="n">
        <v>0</v>
      </c>
      <c r="N437" t="n">
        <v>0</v>
      </c>
      <c r="O437" t="n">
        <v>0</v>
      </c>
      <c r="P437" t="n">
        <v>0</v>
      </c>
      <c r="Q437" t="n">
        <v>0</v>
      </c>
      <c r="R437" s="2" t="inlineStr"/>
    </row>
    <row r="438" ht="15" customHeight="1">
      <c r="A438" t="inlineStr">
        <is>
          <t>A 53136-2024</t>
        </is>
      </c>
      <c r="B438" s="1" t="n">
        <v>45611.5953125</v>
      </c>
      <c r="C438" s="1" t="n">
        <v>45941</v>
      </c>
      <c r="D438" t="inlineStr">
        <is>
          <t>JÄMTLANDS LÄN</t>
        </is>
      </c>
      <c r="E438" t="inlineStr">
        <is>
          <t>RAGUNDA</t>
        </is>
      </c>
      <c r="G438" t="n">
        <v>3.8</v>
      </c>
      <c r="H438" t="n">
        <v>0</v>
      </c>
      <c r="I438" t="n">
        <v>0</v>
      </c>
      <c r="J438" t="n">
        <v>0</v>
      </c>
      <c r="K438" t="n">
        <v>0</v>
      </c>
      <c r="L438" t="n">
        <v>0</v>
      </c>
      <c r="M438" t="n">
        <v>0</v>
      </c>
      <c r="N438" t="n">
        <v>0</v>
      </c>
      <c r="O438" t="n">
        <v>0</v>
      </c>
      <c r="P438" t="n">
        <v>0</v>
      </c>
      <c r="Q438" t="n">
        <v>0</v>
      </c>
      <c r="R438" s="2" t="inlineStr"/>
    </row>
    <row r="439" ht="15" customHeight="1">
      <c r="A439" t="inlineStr">
        <is>
          <t>A 26246-2025</t>
        </is>
      </c>
      <c r="B439" s="1" t="n">
        <v>45805.57390046296</v>
      </c>
      <c r="C439" s="1" t="n">
        <v>45941</v>
      </c>
      <c r="D439" t="inlineStr">
        <is>
          <t>JÄMTLANDS LÄN</t>
        </is>
      </c>
      <c r="E439" t="inlineStr">
        <is>
          <t>RAGUNDA</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52228-2024</t>
        </is>
      </c>
      <c r="B440" s="1" t="n">
        <v>45608.6078587963</v>
      </c>
      <c r="C440" s="1" t="n">
        <v>45941</v>
      </c>
      <c r="D440" t="inlineStr">
        <is>
          <t>JÄMTLANDS LÄN</t>
        </is>
      </c>
      <c r="E440" t="inlineStr">
        <is>
          <t>RAGUNDA</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60957-2021</t>
        </is>
      </c>
      <c r="B441" s="1" t="n">
        <v>44496</v>
      </c>
      <c r="C441" s="1" t="n">
        <v>45941</v>
      </c>
      <c r="D441" t="inlineStr">
        <is>
          <t>JÄMTLANDS LÄN</t>
        </is>
      </c>
      <c r="E441" t="inlineStr">
        <is>
          <t>RAGUNDA</t>
        </is>
      </c>
      <c r="G441" t="n">
        <v>1.6</v>
      </c>
      <c r="H441" t="n">
        <v>0</v>
      </c>
      <c r="I441" t="n">
        <v>0</v>
      </c>
      <c r="J441" t="n">
        <v>0</v>
      </c>
      <c r="K441" t="n">
        <v>0</v>
      </c>
      <c r="L441" t="n">
        <v>0</v>
      </c>
      <c r="M441" t="n">
        <v>0</v>
      </c>
      <c r="N441" t="n">
        <v>0</v>
      </c>
      <c r="O441" t="n">
        <v>0</v>
      </c>
      <c r="P441" t="n">
        <v>0</v>
      </c>
      <c r="Q441" t="n">
        <v>0</v>
      </c>
      <c r="R441" s="2" t="inlineStr"/>
    </row>
    <row r="442" ht="15" customHeight="1">
      <c r="A442" t="inlineStr">
        <is>
          <t>A 26122-2022</t>
        </is>
      </c>
      <c r="B442" s="1" t="n">
        <v>44734.94193287037</v>
      </c>
      <c r="C442" s="1" t="n">
        <v>45941</v>
      </c>
      <c r="D442" t="inlineStr">
        <is>
          <t>JÄMTLANDS LÄN</t>
        </is>
      </c>
      <c r="E442" t="inlineStr">
        <is>
          <t>RAGUNDA</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2001-2025</t>
        </is>
      </c>
      <c r="B443" s="1" t="n">
        <v>45672.44898148148</v>
      </c>
      <c r="C443" s="1" t="n">
        <v>45941</v>
      </c>
      <c r="D443" t="inlineStr">
        <is>
          <t>JÄMTLANDS LÄN</t>
        </is>
      </c>
      <c r="E443" t="inlineStr">
        <is>
          <t>RAGUNDA</t>
        </is>
      </c>
      <c r="F443" t="inlineStr">
        <is>
          <t>SCA</t>
        </is>
      </c>
      <c r="G443" t="n">
        <v>16.2</v>
      </c>
      <c r="H443" t="n">
        <v>0</v>
      </c>
      <c r="I443" t="n">
        <v>0</v>
      </c>
      <c r="J443" t="n">
        <v>0</v>
      </c>
      <c r="K443" t="n">
        <v>0</v>
      </c>
      <c r="L443" t="n">
        <v>0</v>
      </c>
      <c r="M443" t="n">
        <v>0</v>
      </c>
      <c r="N443" t="n">
        <v>0</v>
      </c>
      <c r="O443" t="n">
        <v>0</v>
      </c>
      <c r="P443" t="n">
        <v>0</v>
      </c>
      <c r="Q443" t="n">
        <v>0</v>
      </c>
      <c r="R443" s="2" t="inlineStr"/>
    </row>
    <row r="444" ht="15" customHeight="1">
      <c r="A444" t="inlineStr">
        <is>
          <t>A 59372-2024</t>
        </is>
      </c>
      <c r="B444" s="1" t="n">
        <v>45638.34431712963</v>
      </c>
      <c r="C444" s="1" t="n">
        <v>45941</v>
      </c>
      <c r="D444" t="inlineStr">
        <is>
          <t>JÄMTLANDS LÄN</t>
        </is>
      </c>
      <c r="E444" t="inlineStr">
        <is>
          <t>RAGUNDA</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21193-2022</t>
        </is>
      </c>
      <c r="B445" s="1" t="n">
        <v>44704.94217592593</v>
      </c>
      <c r="C445" s="1" t="n">
        <v>45941</v>
      </c>
      <c r="D445" t="inlineStr">
        <is>
          <t>JÄMTLANDS LÄN</t>
        </is>
      </c>
      <c r="E445" t="inlineStr">
        <is>
          <t>RAGUNDA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62115-2024</t>
        </is>
      </c>
      <c r="B446" s="1" t="n">
        <v>45656</v>
      </c>
      <c r="C446" s="1" t="n">
        <v>45941</v>
      </c>
      <c r="D446" t="inlineStr">
        <is>
          <t>JÄMTLANDS LÄN</t>
        </is>
      </c>
      <c r="E446" t="inlineStr">
        <is>
          <t>RAGUNDA</t>
        </is>
      </c>
      <c r="G446" t="n">
        <v>3.3</v>
      </c>
      <c r="H446" t="n">
        <v>0</v>
      </c>
      <c r="I446" t="n">
        <v>0</v>
      </c>
      <c r="J446" t="n">
        <v>0</v>
      </c>
      <c r="K446" t="n">
        <v>0</v>
      </c>
      <c r="L446" t="n">
        <v>0</v>
      </c>
      <c r="M446" t="n">
        <v>0</v>
      </c>
      <c r="N446" t="n">
        <v>0</v>
      </c>
      <c r="O446" t="n">
        <v>0</v>
      </c>
      <c r="P446" t="n">
        <v>0</v>
      </c>
      <c r="Q446" t="n">
        <v>0</v>
      </c>
      <c r="R446" s="2" t="inlineStr"/>
    </row>
    <row r="447" ht="15" customHeight="1">
      <c r="A447" t="inlineStr">
        <is>
          <t>A 4594-2024</t>
        </is>
      </c>
      <c r="B447" s="1" t="n">
        <v>45327.94459490741</v>
      </c>
      <c r="C447" s="1" t="n">
        <v>45941</v>
      </c>
      <c r="D447" t="inlineStr">
        <is>
          <t>JÄMTLANDS LÄN</t>
        </is>
      </c>
      <c r="E447" t="inlineStr">
        <is>
          <t>RAGUNDA</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3018-2024</t>
        </is>
      </c>
      <c r="B448" s="1" t="n">
        <v>45315.9492824074</v>
      </c>
      <c r="C448" s="1" t="n">
        <v>45941</v>
      </c>
      <c r="D448" t="inlineStr">
        <is>
          <t>JÄMTLANDS LÄN</t>
        </is>
      </c>
      <c r="E448" t="inlineStr">
        <is>
          <t>RAGUNDA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50486-2023</t>
        </is>
      </c>
      <c r="B449" s="1" t="n">
        <v>45216.92424768519</v>
      </c>
      <c r="C449" s="1" t="n">
        <v>45941</v>
      </c>
      <c r="D449" t="inlineStr">
        <is>
          <t>JÄMTLANDS LÄN</t>
        </is>
      </c>
      <c r="E449" t="inlineStr">
        <is>
          <t>RAGUNDA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48065-2023</t>
        </is>
      </c>
      <c r="B450" s="1" t="n">
        <v>45204.94399305555</v>
      </c>
      <c r="C450" s="1" t="n">
        <v>45941</v>
      </c>
      <c r="D450" t="inlineStr">
        <is>
          <t>JÄMTLANDS LÄN</t>
        </is>
      </c>
      <c r="E450" t="inlineStr">
        <is>
          <t>RAGUNDA</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44597-2024</t>
        </is>
      </c>
      <c r="B451" s="1" t="n">
        <v>45574.51087962963</v>
      </c>
      <c r="C451" s="1" t="n">
        <v>45941</v>
      </c>
      <c r="D451" t="inlineStr">
        <is>
          <t>JÄMTLANDS LÄN</t>
        </is>
      </c>
      <c r="E451" t="inlineStr">
        <is>
          <t>RAGUNDA</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44598-2024</t>
        </is>
      </c>
      <c r="B452" s="1" t="n">
        <v>45574.51090277778</v>
      </c>
      <c r="C452" s="1" t="n">
        <v>45941</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9084-2023</t>
        </is>
      </c>
      <c r="B453" s="1" t="n">
        <v>44979</v>
      </c>
      <c r="C453" s="1" t="n">
        <v>45941</v>
      </c>
      <c r="D453" t="inlineStr">
        <is>
          <t>JÄMTLANDS LÄN</t>
        </is>
      </c>
      <c r="E453" t="inlineStr">
        <is>
          <t>RAGUNDA</t>
        </is>
      </c>
      <c r="G453" t="n">
        <v>1.9</v>
      </c>
      <c r="H453" t="n">
        <v>0</v>
      </c>
      <c r="I453" t="n">
        <v>0</v>
      </c>
      <c r="J453" t="n">
        <v>0</v>
      </c>
      <c r="K453" t="n">
        <v>0</v>
      </c>
      <c r="L453" t="n">
        <v>0</v>
      </c>
      <c r="M453" t="n">
        <v>0</v>
      </c>
      <c r="N453" t="n">
        <v>0</v>
      </c>
      <c r="O453" t="n">
        <v>0</v>
      </c>
      <c r="P453" t="n">
        <v>0</v>
      </c>
      <c r="Q453" t="n">
        <v>0</v>
      </c>
      <c r="R453" s="2" t="inlineStr"/>
    </row>
    <row r="454" ht="15" customHeight="1">
      <c r="A454" t="inlineStr">
        <is>
          <t>A 49659-2023</t>
        </is>
      </c>
      <c r="B454" s="1" t="n">
        <v>45211.95134259259</v>
      </c>
      <c r="C454" s="1" t="n">
        <v>45941</v>
      </c>
      <c r="D454" t="inlineStr">
        <is>
          <t>JÄMTLANDS LÄN</t>
        </is>
      </c>
      <c r="E454" t="inlineStr">
        <is>
          <t>RAGUNDA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9360-2023</t>
        </is>
      </c>
      <c r="B455" s="1" t="n">
        <v>44980.93865740741</v>
      </c>
      <c r="C455" s="1" t="n">
        <v>45941</v>
      </c>
      <c r="D455" t="inlineStr">
        <is>
          <t>JÄMTLANDS LÄN</t>
        </is>
      </c>
      <c r="E455" t="inlineStr">
        <is>
          <t>RAGUNDA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66706-2021</t>
        </is>
      </c>
      <c r="B456" s="1" t="n">
        <v>44519.94440972222</v>
      </c>
      <c r="C456" s="1" t="n">
        <v>45941</v>
      </c>
      <c r="D456" t="inlineStr">
        <is>
          <t>JÄMTLANDS LÄN</t>
        </is>
      </c>
      <c r="E456" t="inlineStr">
        <is>
          <t>RAGUNDA</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23734-2024</t>
        </is>
      </c>
      <c r="B457" s="1" t="n">
        <v>45454.95960648148</v>
      </c>
      <c r="C457" s="1" t="n">
        <v>45941</v>
      </c>
      <c r="D457" t="inlineStr">
        <is>
          <t>JÄMTLANDS LÄN</t>
        </is>
      </c>
      <c r="E457" t="inlineStr">
        <is>
          <t>RAGUNDA</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13917-2023</t>
        </is>
      </c>
      <c r="B458" s="1" t="n">
        <v>45007</v>
      </c>
      <c r="C458" s="1" t="n">
        <v>45941</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73278-2021</t>
        </is>
      </c>
      <c r="B459" s="1" t="n">
        <v>44550.92168981482</v>
      </c>
      <c r="C459" s="1" t="n">
        <v>45941</v>
      </c>
      <c r="D459" t="inlineStr">
        <is>
          <t>JÄMTLANDS LÄN</t>
        </is>
      </c>
      <c r="E459" t="inlineStr">
        <is>
          <t>RAGUNDA</t>
        </is>
      </c>
      <c r="G459" t="n">
        <v>4.4</v>
      </c>
      <c r="H459" t="n">
        <v>0</v>
      </c>
      <c r="I459" t="n">
        <v>0</v>
      </c>
      <c r="J459" t="n">
        <v>0</v>
      </c>
      <c r="K459" t="n">
        <v>0</v>
      </c>
      <c r="L459" t="n">
        <v>0</v>
      </c>
      <c r="M459" t="n">
        <v>0</v>
      </c>
      <c r="N459" t="n">
        <v>0</v>
      </c>
      <c r="O459" t="n">
        <v>0</v>
      </c>
      <c r="P459" t="n">
        <v>0</v>
      </c>
      <c r="Q459" t="n">
        <v>0</v>
      </c>
      <c r="R459" s="2" t="inlineStr"/>
    </row>
    <row r="460" ht="15" customHeight="1">
      <c r="A460" t="inlineStr">
        <is>
          <t>A 18820-2023</t>
        </is>
      </c>
      <c r="B460" s="1" t="n">
        <v>45042</v>
      </c>
      <c r="C460" s="1" t="n">
        <v>45941</v>
      </c>
      <c r="D460" t="inlineStr">
        <is>
          <t>JÄMTLANDS LÄN</t>
        </is>
      </c>
      <c r="E460" t="inlineStr">
        <is>
          <t>RAGUNDA</t>
        </is>
      </c>
      <c r="G460" t="n">
        <v>18.8</v>
      </c>
      <c r="H460" t="n">
        <v>0</v>
      </c>
      <c r="I460" t="n">
        <v>0</v>
      </c>
      <c r="J460" t="n">
        <v>0</v>
      </c>
      <c r="K460" t="n">
        <v>0</v>
      </c>
      <c r="L460" t="n">
        <v>0</v>
      </c>
      <c r="M460" t="n">
        <v>0</v>
      </c>
      <c r="N460" t="n">
        <v>0</v>
      </c>
      <c r="O460" t="n">
        <v>0</v>
      </c>
      <c r="P460" t="n">
        <v>0</v>
      </c>
      <c r="Q460" t="n">
        <v>0</v>
      </c>
      <c r="R460" s="2" t="inlineStr"/>
    </row>
    <row r="461" ht="15" customHeight="1">
      <c r="A461" t="inlineStr">
        <is>
          <t>A 12653-2024</t>
        </is>
      </c>
      <c r="B461" s="1" t="n">
        <v>45384</v>
      </c>
      <c r="C461" s="1" t="n">
        <v>45941</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11147-2025</t>
        </is>
      </c>
      <c r="B462" s="1" t="n">
        <v>45723.67777777778</v>
      </c>
      <c r="C462" s="1" t="n">
        <v>45941</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24280-2021</t>
        </is>
      </c>
      <c r="B463" s="1" t="n">
        <v>44336</v>
      </c>
      <c r="C463" s="1" t="n">
        <v>45941</v>
      </c>
      <c r="D463" t="inlineStr">
        <is>
          <t>JÄMTLANDS LÄN</t>
        </is>
      </c>
      <c r="E463" t="inlineStr">
        <is>
          <t>RAGUNDA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32259-2024</t>
        </is>
      </c>
      <c r="B464" s="1" t="n">
        <v>45511</v>
      </c>
      <c r="C464" s="1" t="n">
        <v>45941</v>
      </c>
      <c r="D464" t="inlineStr">
        <is>
          <t>JÄMTLANDS LÄN</t>
        </is>
      </c>
      <c r="E464" t="inlineStr">
        <is>
          <t>RAGUNDA</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14821-2025</t>
        </is>
      </c>
      <c r="B465" s="1" t="n">
        <v>45743.36</v>
      </c>
      <c r="C465" s="1" t="n">
        <v>45941</v>
      </c>
      <c r="D465" t="inlineStr">
        <is>
          <t>JÄMTLANDS LÄN</t>
        </is>
      </c>
      <c r="E465" t="inlineStr">
        <is>
          <t>RAGUNDA</t>
        </is>
      </c>
      <c r="F465" t="inlineStr">
        <is>
          <t>Kyrkan</t>
        </is>
      </c>
      <c r="G465" t="n">
        <v>6.4</v>
      </c>
      <c r="H465" t="n">
        <v>0</v>
      </c>
      <c r="I465" t="n">
        <v>0</v>
      </c>
      <c r="J465" t="n">
        <v>0</v>
      </c>
      <c r="K465" t="n">
        <v>0</v>
      </c>
      <c r="L465" t="n">
        <v>0</v>
      </c>
      <c r="M465" t="n">
        <v>0</v>
      </c>
      <c r="N465" t="n">
        <v>0</v>
      </c>
      <c r="O465" t="n">
        <v>0</v>
      </c>
      <c r="P465" t="n">
        <v>0</v>
      </c>
      <c r="Q465" t="n">
        <v>0</v>
      </c>
      <c r="R465" s="2" t="inlineStr"/>
    </row>
    <row r="466" ht="15" customHeight="1">
      <c r="A466" t="inlineStr">
        <is>
          <t>A 34483-2023</t>
        </is>
      </c>
      <c r="B466" s="1" t="n">
        <v>45139.94681712963</v>
      </c>
      <c r="C466" s="1" t="n">
        <v>45941</v>
      </c>
      <c r="D466" t="inlineStr">
        <is>
          <t>JÄMTLANDS LÄN</t>
        </is>
      </c>
      <c r="E466" t="inlineStr">
        <is>
          <t>RAGUNDA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23567-2024</t>
        </is>
      </c>
      <c r="B467" s="1" t="n">
        <v>45453.95538194444</v>
      </c>
      <c r="C467" s="1" t="n">
        <v>45941</v>
      </c>
      <c r="D467" t="inlineStr">
        <is>
          <t>JÄMTLANDS LÄN</t>
        </is>
      </c>
      <c r="E467" t="inlineStr">
        <is>
          <t>RAGUNDA</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18778-2024</t>
        </is>
      </c>
      <c r="B468" s="1" t="n">
        <v>45426</v>
      </c>
      <c r="C468" s="1" t="n">
        <v>45941</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57116-2024</t>
        </is>
      </c>
      <c r="B469" s="1" t="n">
        <v>45629.36513888889</v>
      </c>
      <c r="C469" s="1" t="n">
        <v>45941</v>
      </c>
      <c r="D469" t="inlineStr">
        <is>
          <t>JÄMTLANDS LÄN</t>
        </is>
      </c>
      <c r="E469" t="inlineStr">
        <is>
          <t>RAGUNDA</t>
        </is>
      </c>
      <c r="G469" t="n">
        <v>0.6</v>
      </c>
      <c r="H469" t="n">
        <v>0</v>
      </c>
      <c r="I469" t="n">
        <v>0</v>
      </c>
      <c r="J469" t="n">
        <v>0</v>
      </c>
      <c r="K469" t="n">
        <v>0</v>
      </c>
      <c r="L469" t="n">
        <v>0</v>
      </c>
      <c r="M469" t="n">
        <v>0</v>
      </c>
      <c r="N469" t="n">
        <v>0</v>
      </c>
      <c r="O469" t="n">
        <v>0</v>
      </c>
      <c r="P469" t="n">
        <v>0</v>
      </c>
      <c r="Q469" t="n">
        <v>0</v>
      </c>
      <c r="R469" s="2" t="inlineStr"/>
    </row>
    <row r="470" ht="15" customHeight="1">
      <c r="A470" t="inlineStr">
        <is>
          <t>A 18781-2024</t>
        </is>
      </c>
      <c r="B470" s="1" t="n">
        <v>45426</v>
      </c>
      <c r="C470" s="1" t="n">
        <v>45941</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38312-2024</t>
        </is>
      </c>
      <c r="B471" s="1" t="n">
        <v>45545.64957175926</v>
      </c>
      <c r="C471" s="1" t="n">
        <v>45941</v>
      </c>
      <c r="D471" t="inlineStr">
        <is>
          <t>JÄMTLANDS LÄN</t>
        </is>
      </c>
      <c r="E471" t="inlineStr">
        <is>
          <t>RAGUNDA</t>
        </is>
      </c>
      <c r="G471" t="n">
        <v>1.2</v>
      </c>
      <c r="H471" t="n">
        <v>0</v>
      </c>
      <c r="I471" t="n">
        <v>0</v>
      </c>
      <c r="J471" t="n">
        <v>0</v>
      </c>
      <c r="K471" t="n">
        <v>0</v>
      </c>
      <c r="L471" t="n">
        <v>0</v>
      </c>
      <c r="M471" t="n">
        <v>0</v>
      </c>
      <c r="N471" t="n">
        <v>0</v>
      </c>
      <c r="O471" t="n">
        <v>0</v>
      </c>
      <c r="P471" t="n">
        <v>0</v>
      </c>
      <c r="Q471" t="n">
        <v>0</v>
      </c>
      <c r="R471" s="2" t="inlineStr"/>
    </row>
    <row r="472" ht="15" customHeight="1">
      <c r="A472" t="inlineStr">
        <is>
          <t>A 9262-2025</t>
        </is>
      </c>
      <c r="B472" s="1" t="n">
        <v>45714.60649305556</v>
      </c>
      <c r="C472" s="1" t="n">
        <v>45941</v>
      </c>
      <c r="D472" t="inlineStr">
        <is>
          <t>JÄMTLANDS LÄN</t>
        </is>
      </c>
      <c r="E472" t="inlineStr">
        <is>
          <t>RAGUNDA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16982-2024</t>
        </is>
      </c>
      <c r="B473" s="1" t="n">
        <v>45412.02506944445</v>
      </c>
      <c r="C473" s="1" t="n">
        <v>45941</v>
      </c>
      <c r="D473" t="inlineStr">
        <is>
          <t>JÄMTLANDS LÄN</t>
        </is>
      </c>
      <c r="E473" t="inlineStr">
        <is>
          <t>RAGUNDA</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17248-2023</t>
        </is>
      </c>
      <c r="B474" s="1" t="n">
        <v>45033</v>
      </c>
      <c r="C474" s="1" t="n">
        <v>45941</v>
      </c>
      <c r="D474" t="inlineStr">
        <is>
          <t>JÄMTLANDS LÄN</t>
        </is>
      </c>
      <c r="E474" t="inlineStr">
        <is>
          <t>RAGUNDA</t>
        </is>
      </c>
      <c r="G474" t="n">
        <v>3</v>
      </c>
      <c r="H474" t="n">
        <v>0</v>
      </c>
      <c r="I474" t="n">
        <v>0</v>
      </c>
      <c r="J474" t="n">
        <v>0</v>
      </c>
      <c r="K474" t="n">
        <v>0</v>
      </c>
      <c r="L474" t="n">
        <v>0</v>
      </c>
      <c r="M474" t="n">
        <v>0</v>
      </c>
      <c r="N474" t="n">
        <v>0</v>
      </c>
      <c r="O474" t="n">
        <v>0</v>
      </c>
      <c r="P474" t="n">
        <v>0</v>
      </c>
      <c r="Q474" t="n">
        <v>0</v>
      </c>
      <c r="R474" s="2" t="inlineStr"/>
    </row>
    <row r="475" ht="15" customHeight="1">
      <c r="A475" t="inlineStr">
        <is>
          <t>A 62358-2023</t>
        </is>
      </c>
      <c r="B475" s="1" t="n">
        <v>45267</v>
      </c>
      <c r="C475" s="1" t="n">
        <v>45941</v>
      </c>
      <c r="D475" t="inlineStr">
        <is>
          <t>JÄMTLANDS LÄN</t>
        </is>
      </c>
      <c r="E475" t="inlineStr">
        <is>
          <t>RAGUNDA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19264-2025</t>
        </is>
      </c>
      <c r="B476" s="1" t="n">
        <v>45769.51087962963</v>
      </c>
      <c r="C476" s="1" t="n">
        <v>45941</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51396-2024</t>
        </is>
      </c>
      <c r="B477" s="1" t="n">
        <v>45604.4190625</v>
      </c>
      <c r="C477" s="1" t="n">
        <v>45941</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53263-2024</t>
        </is>
      </c>
      <c r="B478" s="1" t="n">
        <v>45614.34541666666</v>
      </c>
      <c r="C478" s="1" t="n">
        <v>45941</v>
      </c>
      <c r="D478" t="inlineStr">
        <is>
          <t>JÄMTLANDS LÄN</t>
        </is>
      </c>
      <c r="E478" t="inlineStr">
        <is>
          <t>RAGUNDA</t>
        </is>
      </c>
      <c r="G478" t="n">
        <v>1.9</v>
      </c>
      <c r="H478" t="n">
        <v>0</v>
      </c>
      <c r="I478" t="n">
        <v>0</v>
      </c>
      <c r="J478" t="n">
        <v>0</v>
      </c>
      <c r="K478" t="n">
        <v>0</v>
      </c>
      <c r="L478" t="n">
        <v>0</v>
      </c>
      <c r="M478" t="n">
        <v>0</v>
      </c>
      <c r="N478" t="n">
        <v>0</v>
      </c>
      <c r="O478" t="n">
        <v>0</v>
      </c>
      <c r="P478" t="n">
        <v>0</v>
      </c>
      <c r="Q478" t="n">
        <v>0</v>
      </c>
      <c r="R478" s="2" t="inlineStr"/>
    </row>
    <row r="479" ht="15" customHeight="1">
      <c r="A479" t="inlineStr">
        <is>
          <t>A 26640-2025</t>
        </is>
      </c>
      <c r="B479" s="1" t="n">
        <v>45810.36495370371</v>
      </c>
      <c r="C479" s="1" t="n">
        <v>45941</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23304-2023</t>
        </is>
      </c>
      <c r="B480" s="1" t="n">
        <v>45075.945</v>
      </c>
      <c r="C480" s="1" t="n">
        <v>45941</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58630-2024</t>
        </is>
      </c>
      <c r="B481" s="1" t="n">
        <v>45635.57331018519</v>
      </c>
      <c r="C481" s="1" t="n">
        <v>45941</v>
      </c>
      <c r="D481" t="inlineStr">
        <is>
          <t>JÄMTLANDS LÄN</t>
        </is>
      </c>
      <c r="E481" t="inlineStr">
        <is>
          <t>RAGUNDA</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58564-2024</t>
        </is>
      </c>
      <c r="B482" s="1" t="n">
        <v>45635.47243055556</v>
      </c>
      <c r="C482" s="1" t="n">
        <v>45941</v>
      </c>
      <c r="D482" t="inlineStr">
        <is>
          <t>JÄMTLANDS LÄN</t>
        </is>
      </c>
      <c r="E482" t="inlineStr">
        <is>
          <t>RAGUNDA</t>
        </is>
      </c>
      <c r="G482" t="n">
        <v>2.6</v>
      </c>
      <c r="H482" t="n">
        <v>0</v>
      </c>
      <c r="I482" t="n">
        <v>0</v>
      </c>
      <c r="J482" t="n">
        <v>0</v>
      </c>
      <c r="K482" t="n">
        <v>0</v>
      </c>
      <c r="L482" t="n">
        <v>0</v>
      </c>
      <c r="M482" t="n">
        <v>0</v>
      </c>
      <c r="N482" t="n">
        <v>0</v>
      </c>
      <c r="O482" t="n">
        <v>0</v>
      </c>
      <c r="P482" t="n">
        <v>0</v>
      </c>
      <c r="Q482" t="n">
        <v>0</v>
      </c>
      <c r="R482" s="2" t="inlineStr"/>
    </row>
    <row r="483" ht="15" customHeight="1">
      <c r="A483" t="inlineStr">
        <is>
          <t>A 64492-2023</t>
        </is>
      </c>
      <c r="B483" s="1" t="n">
        <v>45280.92645833334</v>
      </c>
      <c r="C483" s="1" t="n">
        <v>45941</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14896-2022</t>
        </is>
      </c>
      <c r="B484" s="1" t="n">
        <v>44656</v>
      </c>
      <c r="C484" s="1" t="n">
        <v>45941</v>
      </c>
      <c r="D484" t="inlineStr">
        <is>
          <t>JÄMTLANDS LÄN</t>
        </is>
      </c>
      <c r="E484" t="inlineStr">
        <is>
          <t>RAGUNDA</t>
        </is>
      </c>
      <c r="F484" t="inlineStr">
        <is>
          <t>SCA</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11551-2024</t>
        </is>
      </c>
      <c r="B485" s="1" t="n">
        <v>45372.95762731481</v>
      </c>
      <c r="C485" s="1" t="n">
        <v>45941</v>
      </c>
      <c r="D485" t="inlineStr">
        <is>
          <t>JÄMTLANDS LÄN</t>
        </is>
      </c>
      <c r="E485" t="inlineStr">
        <is>
          <t>RAGUNDA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53144-2024</t>
        </is>
      </c>
      <c r="B486" s="1" t="n">
        <v>45611</v>
      </c>
      <c r="C486" s="1" t="n">
        <v>45941</v>
      </c>
      <c r="D486" t="inlineStr">
        <is>
          <t>JÄMTLANDS LÄN</t>
        </is>
      </c>
      <c r="E486" t="inlineStr">
        <is>
          <t>RAGUNDA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53762-2023</t>
        </is>
      </c>
      <c r="B487" s="1" t="n">
        <v>45230.96376157407</v>
      </c>
      <c r="C487" s="1" t="n">
        <v>45941</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28596-2021</t>
        </is>
      </c>
      <c r="B488" s="1" t="n">
        <v>44356</v>
      </c>
      <c r="C488" s="1" t="n">
        <v>45941</v>
      </c>
      <c r="D488" t="inlineStr">
        <is>
          <t>JÄMTLANDS LÄN</t>
        </is>
      </c>
      <c r="E488" t="inlineStr">
        <is>
          <t>RAGUNDA</t>
        </is>
      </c>
      <c r="G488" t="n">
        <v>5.4</v>
      </c>
      <c r="H488" t="n">
        <v>0</v>
      </c>
      <c r="I488" t="n">
        <v>0</v>
      </c>
      <c r="J488" t="n">
        <v>0</v>
      </c>
      <c r="K488" t="n">
        <v>0</v>
      </c>
      <c r="L488" t="n">
        <v>0</v>
      </c>
      <c r="M488" t="n">
        <v>0</v>
      </c>
      <c r="N488" t="n">
        <v>0</v>
      </c>
      <c r="O488" t="n">
        <v>0</v>
      </c>
      <c r="P488" t="n">
        <v>0</v>
      </c>
      <c r="Q488" t="n">
        <v>0</v>
      </c>
      <c r="R488" s="2" t="inlineStr"/>
    </row>
    <row r="489" ht="15" customHeight="1">
      <c r="A489" t="inlineStr">
        <is>
          <t>A 19089-2024</t>
        </is>
      </c>
      <c r="B489" s="1" t="n">
        <v>45428.00471064815</v>
      </c>
      <c r="C489" s="1" t="n">
        <v>45941</v>
      </c>
      <c r="D489" t="inlineStr">
        <is>
          <t>JÄMTLANDS LÄN</t>
        </is>
      </c>
      <c r="E489" t="inlineStr">
        <is>
          <t>RAGUNDA</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5806-2025</t>
        </is>
      </c>
      <c r="B490" s="1" t="n">
        <v>45694.69826388889</v>
      </c>
      <c r="C490" s="1" t="n">
        <v>45941</v>
      </c>
      <c r="D490" t="inlineStr">
        <is>
          <t>JÄMTLANDS LÄN</t>
        </is>
      </c>
      <c r="E490" t="inlineStr">
        <is>
          <t>RAGUNDA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36106-2022</t>
        </is>
      </c>
      <c r="B491" s="1" t="n">
        <v>44802.94811342593</v>
      </c>
      <c r="C491" s="1" t="n">
        <v>45941</v>
      </c>
      <c r="D491" t="inlineStr">
        <is>
          <t>JÄMTLANDS LÄN</t>
        </is>
      </c>
      <c r="E491" t="inlineStr">
        <is>
          <t>RAGUNDA</t>
        </is>
      </c>
      <c r="F491" t="inlineStr">
        <is>
          <t>SCA</t>
        </is>
      </c>
      <c r="G491" t="n">
        <v>7.3</v>
      </c>
      <c r="H491" t="n">
        <v>0</v>
      </c>
      <c r="I491" t="n">
        <v>0</v>
      </c>
      <c r="J491" t="n">
        <v>0</v>
      </c>
      <c r="K491" t="n">
        <v>0</v>
      </c>
      <c r="L491" t="n">
        <v>0</v>
      </c>
      <c r="M491" t="n">
        <v>0</v>
      </c>
      <c r="N491" t="n">
        <v>0</v>
      </c>
      <c r="O491" t="n">
        <v>0</v>
      </c>
      <c r="P491" t="n">
        <v>0</v>
      </c>
      <c r="Q491" t="n">
        <v>0</v>
      </c>
      <c r="R491" s="2" t="inlineStr"/>
    </row>
    <row r="492" ht="15" customHeight="1">
      <c r="A492" t="inlineStr">
        <is>
          <t>A 57839-2022</t>
        </is>
      </c>
      <c r="B492" s="1" t="n">
        <v>44897</v>
      </c>
      <c r="C492" s="1" t="n">
        <v>45941</v>
      </c>
      <c r="D492" t="inlineStr">
        <is>
          <t>JÄMTLANDS LÄN</t>
        </is>
      </c>
      <c r="E492" t="inlineStr">
        <is>
          <t>RAGUNDA</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20773-2024</t>
        </is>
      </c>
      <c r="B493" s="1" t="n">
        <v>45436.94636574074</v>
      </c>
      <c r="C493" s="1" t="n">
        <v>45941</v>
      </c>
      <c r="D493" t="inlineStr">
        <is>
          <t>JÄMTLANDS LÄN</t>
        </is>
      </c>
      <c r="E493" t="inlineStr">
        <is>
          <t>RAGUNDA</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60663-2022</t>
        </is>
      </c>
      <c r="B494" s="1" t="n">
        <v>44911.93846064815</v>
      </c>
      <c r="C494" s="1" t="n">
        <v>45941</v>
      </c>
      <c r="D494" t="inlineStr">
        <is>
          <t>JÄMTLANDS LÄN</t>
        </is>
      </c>
      <c r="E494" t="inlineStr">
        <is>
          <t>RAGUNDA</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12585-2024</t>
        </is>
      </c>
      <c r="B495" s="1" t="n">
        <v>45379.93637731481</v>
      </c>
      <c r="C495" s="1" t="n">
        <v>45941</v>
      </c>
      <c r="D495" t="inlineStr">
        <is>
          <t>JÄMTLANDS LÄN</t>
        </is>
      </c>
      <c r="E495" t="inlineStr">
        <is>
          <t>RAGUNDA</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15581-2024</t>
        </is>
      </c>
      <c r="B496" s="1" t="n">
        <v>45401</v>
      </c>
      <c r="C496" s="1" t="n">
        <v>45941</v>
      </c>
      <c r="D496" t="inlineStr">
        <is>
          <t>JÄMTLANDS LÄN</t>
        </is>
      </c>
      <c r="E496" t="inlineStr">
        <is>
          <t>RAGUNDA</t>
        </is>
      </c>
      <c r="F496" t="inlineStr">
        <is>
          <t>Kommuner</t>
        </is>
      </c>
      <c r="G496" t="n">
        <v>2.2</v>
      </c>
      <c r="H496" t="n">
        <v>0</v>
      </c>
      <c r="I496" t="n">
        <v>0</v>
      </c>
      <c r="J496" t="n">
        <v>0</v>
      </c>
      <c r="K496" t="n">
        <v>0</v>
      </c>
      <c r="L496" t="n">
        <v>0</v>
      </c>
      <c r="M496" t="n">
        <v>0</v>
      </c>
      <c r="N496" t="n">
        <v>0</v>
      </c>
      <c r="O496" t="n">
        <v>0</v>
      </c>
      <c r="P496" t="n">
        <v>0</v>
      </c>
      <c r="Q496" t="n">
        <v>0</v>
      </c>
      <c r="R496" s="2" t="inlineStr"/>
    </row>
    <row r="497" ht="15" customHeight="1">
      <c r="A497" t="inlineStr">
        <is>
          <t>A 15611-2024</t>
        </is>
      </c>
      <c r="B497" s="1" t="n">
        <v>45401</v>
      </c>
      <c r="C497" s="1" t="n">
        <v>45941</v>
      </c>
      <c r="D497" t="inlineStr">
        <is>
          <t>JÄMTLANDS LÄN</t>
        </is>
      </c>
      <c r="E497" t="inlineStr">
        <is>
          <t>RAGUNDA</t>
        </is>
      </c>
      <c r="F497" t="inlineStr">
        <is>
          <t>SCA</t>
        </is>
      </c>
      <c r="G497" t="n">
        <v>10.3</v>
      </c>
      <c r="H497" t="n">
        <v>0</v>
      </c>
      <c r="I497" t="n">
        <v>0</v>
      </c>
      <c r="J497" t="n">
        <v>0</v>
      </c>
      <c r="K497" t="n">
        <v>0</v>
      </c>
      <c r="L497" t="n">
        <v>0</v>
      </c>
      <c r="M497" t="n">
        <v>0</v>
      </c>
      <c r="N497" t="n">
        <v>0</v>
      </c>
      <c r="O497" t="n">
        <v>0</v>
      </c>
      <c r="P497" t="n">
        <v>0</v>
      </c>
      <c r="Q497" t="n">
        <v>0</v>
      </c>
      <c r="R497" s="2" t="inlineStr"/>
    </row>
    <row r="498" ht="15" customHeight="1">
      <c r="A498" t="inlineStr">
        <is>
          <t>A 11780-2024</t>
        </is>
      </c>
      <c r="B498" s="1" t="n">
        <v>45374</v>
      </c>
      <c r="C498" s="1" t="n">
        <v>45941</v>
      </c>
      <c r="D498" t="inlineStr">
        <is>
          <t>JÄMTLANDS LÄN</t>
        </is>
      </c>
      <c r="E498" t="inlineStr">
        <is>
          <t>RAGUNDA</t>
        </is>
      </c>
      <c r="G498" t="n">
        <v>14.6</v>
      </c>
      <c r="H498" t="n">
        <v>0</v>
      </c>
      <c r="I498" t="n">
        <v>0</v>
      </c>
      <c r="J498" t="n">
        <v>0</v>
      </c>
      <c r="K498" t="n">
        <v>0</v>
      </c>
      <c r="L498" t="n">
        <v>0</v>
      </c>
      <c r="M498" t="n">
        <v>0</v>
      </c>
      <c r="N498" t="n">
        <v>0</v>
      </c>
      <c r="O498" t="n">
        <v>0</v>
      </c>
      <c r="P498" t="n">
        <v>0</v>
      </c>
      <c r="Q498" t="n">
        <v>0</v>
      </c>
      <c r="R498" s="2" t="inlineStr"/>
    </row>
    <row r="499" ht="15" customHeight="1">
      <c r="A499" t="inlineStr">
        <is>
          <t>A 59496-2024</t>
        </is>
      </c>
      <c r="B499" s="1" t="n">
        <v>45638</v>
      </c>
      <c r="C499" s="1" t="n">
        <v>45941</v>
      </c>
      <c r="D499" t="inlineStr">
        <is>
          <t>JÄMTLANDS LÄN</t>
        </is>
      </c>
      <c r="E499" t="inlineStr">
        <is>
          <t>RAGUNDA</t>
        </is>
      </c>
      <c r="G499" t="n">
        <v>13.1</v>
      </c>
      <c r="H499" t="n">
        <v>0</v>
      </c>
      <c r="I499" t="n">
        <v>0</v>
      </c>
      <c r="J499" t="n">
        <v>0</v>
      </c>
      <c r="K499" t="n">
        <v>0</v>
      </c>
      <c r="L499" t="n">
        <v>0</v>
      </c>
      <c r="M499" t="n">
        <v>0</v>
      </c>
      <c r="N499" t="n">
        <v>0</v>
      </c>
      <c r="O499" t="n">
        <v>0</v>
      </c>
      <c r="P499" t="n">
        <v>0</v>
      </c>
      <c r="Q499" t="n">
        <v>0</v>
      </c>
      <c r="R499" s="2" t="inlineStr"/>
    </row>
    <row r="500" ht="15" customHeight="1">
      <c r="A500" t="inlineStr">
        <is>
          <t>A 14076-2023</t>
        </is>
      </c>
      <c r="B500" s="1" t="n">
        <v>45009.0897337963</v>
      </c>
      <c r="C500" s="1" t="n">
        <v>45941</v>
      </c>
      <c r="D500" t="inlineStr">
        <is>
          <t>JÄMTLANDS LÄN</t>
        </is>
      </c>
      <c r="E500" t="inlineStr">
        <is>
          <t>RAGUNDA</t>
        </is>
      </c>
      <c r="F500" t="inlineStr">
        <is>
          <t>SCA</t>
        </is>
      </c>
      <c r="G500" t="n">
        <v>6.4</v>
      </c>
      <c r="H500" t="n">
        <v>0</v>
      </c>
      <c r="I500" t="n">
        <v>0</v>
      </c>
      <c r="J500" t="n">
        <v>0</v>
      </c>
      <c r="K500" t="n">
        <v>0</v>
      </c>
      <c r="L500" t="n">
        <v>0</v>
      </c>
      <c r="M500" t="n">
        <v>0</v>
      </c>
      <c r="N500" t="n">
        <v>0</v>
      </c>
      <c r="O500" t="n">
        <v>0</v>
      </c>
      <c r="P500" t="n">
        <v>0</v>
      </c>
      <c r="Q500" t="n">
        <v>0</v>
      </c>
      <c r="R500" s="2" t="inlineStr"/>
    </row>
    <row r="501" ht="15" customHeight="1">
      <c r="A501" t="inlineStr">
        <is>
          <t>A 45335-2023</t>
        </is>
      </c>
      <c r="B501" s="1" t="n">
        <v>45191</v>
      </c>
      <c r="C501" s="1" t="n">
        <v>45941</v>
      </c>
      <c r="D501" t="inlineStr">
        <is>
          <t>JÄMTLANDS LÄN</t>
        </is>
      </c>
      <c r="E501" t="inlineStr">
        <is>
          <t>RAGUNDA</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37265-2024</t>
        </is>
      </c>
      <c r="B502" s="1" t="n">
        <v>45540.38564814815</v>
      </c>
      <c r="C502" s="1" t="n">
        <v>45941</v>
      </c>
      <c r="D502" t="inlineStr">
        <is>
          <t>JÄMTLANDS LÄN</t>
        </is>
      </c>
      <c r="E502" t="inlineStr">
        <is>
          <t>RAGUNDA</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18612-2024</t>
        </is>
      </c>
      <c r="B503" s="1" t="n">
        <v>45425.96239583333</v>
      </c>
      <c r="C503" s="1" t="n">
        <v>45941</v>
      </c>
      <c r="D503" t="inlineStr">
        <is>
          <t>JÄMTLANDS LÄN</t>
        </is>
      </c>
      <c r="E503" t="inlineStr">
        <is>
          <t>RAGUNDA</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10972-2022</t>
        </is>
      </c>
      <c r="B504" s="1" t="n">
        <v>44628</v>
      </c>
      <c r="C504" s="1" t="n">
        <v>45941</v>
      </c>
      <c r="D504" t="inlineStr">
        <is>
          <t>JÄMTLANDS LÄN</t>
        </is>
      </c>
      <c r="E504" t="inlineStr">
        <is>
          <t>RAGUNDA</t>
        </is>
      </c>
      <c r="G504" t="n">
        <v>9.5</v>
      </c>
      <c r="H504" t="n">
        <v>0</v>
      </c>
      <c r="I504" t="n">
        <v>0</v>
      </c>
      <c r="J504" t="n">
        <v>0</v>
      </c>
      <c r="K504" t="n">
        <v>0</v>
      </c>
      <c r="L504" t="n">
        <v>0</v>
      </c>
      <c r="M504" t="n">
        <v>0</v>
      </c>
      <c r="N504" t="n">
        <v>0</v>
      </c>
      <c r="O504" t="n">
        <v>0</v>
      </c>
      <c r="P504" t="n">
        <v>0</v>
      </c>
      <c r="Q504" t="n">
        <v>0</v>
      </c>
      <c r="R504" s="2" t="inlineStr"/>
    </row>
    <row r="505" ht="15" customHeight="1">
      <c r="A505" t="inlineStr">
        <is>
          <t>A 48249-2024</t>
        </is>
      </c>
      <c r="B505" s="1" t="n">
        <v>45590.40675925926</v>
      </c>
      <c r="C505" s="1" t="n">
        <v>45941</v>
      </c>
      <c r="D505" t="inlineStr">
        <is>
          <t>JÄMTLANDS LÄN</t>
        </is>
      </c>
      <c r="E505" t="inlineStr">
        <is>
          <t>RAGUNDA</t>
        </is>
      </c>
      <c r="F505" t="inlineStr">
        <is>
          <t>SCA</t>
        </is>
      </c>
      <c r="G505" t="n">
        <v>14.4</v>
      </c>
      <c r="H505" t="n">
        <v>0</v>
      </c>
      <c r="I505" t="n">
        <v>0</v>
      </c>
      <c r="J505" t="n">
        <v>0</v>
      </c>
      <c r="K505" t="n">
        <v>0</v>
      </c>
      <c r="L505" t="n">
        <v>0</v>
      </c>
      <c r="M505" t="n">
        <v>0</v>
      </c>
      <c r="N505" t="n">
        <v>0</v>
      </c>
      <c r="O505" t="n">
        <v>0</v>
      </c>
      <c r="P505" t="n">
        <v>0</v>
      </c>
      <c r="Q505" t="n">
        <v>0</v>
      </c>
      <c r="R505" s="2" t="inlineStr"/>
    </row>
    <row r="506" ht="15" customHeight="1">
      <c r="A506" t="inlineStr">
        <is>
          <t>A 43102-2023</t>
        </is>
      </c>
      <c r="B506" s="1" t="n">
        <v>45182</v>
      </c>
      <c r="C506" s="1" t="n">
        <v>45941</v>
      </c>
      <c r="D506" t="inlineStr">
        <is>
          <t>JÄMTLANDS LÄN</t>
        </is>
      </c>
      <c r="E506" t="inlineStr">
        <is>
          <t>RAGUNDA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45941</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59557-2023</t>
        </is>
      </c>
      <c r="B508" s="1" t="n">
        <v>45253</v>
      </c>
      <c r="C508" s="1" t="n">
        <v>45941</v>
      </c>
      <c r="D508" t="inlineStr">
        <is>
          <t>JÄMTLANDS LÄN</t>
        </is>
      </c>
      <c r="E508" t="inlineStr">
        <is>
          <t>RAGUNDA</t>
        </is>
      </c>
      <c r="G508" t="n">
        <v>1</v>
      </c>
      <c r="H508" t="n">
        <v>0</v>
      </c>
      <c r="I508" t="n">
        <v>0</v>
      </c>
      <c r="J508" t="n">
        <v>0</v>
      </c>
      <c r="K508" t="n">
        <v>0</v>
      </c>
      <c r="L508" t="n">
        <v>0</v>
      </c>
      <c r="M508" t="n">
        <v>0</v>
      </c>
      <c r="N508" t="n">
        <v>0</v>
      </c>
      <c r="O508" t="n">
        <v>0</v>
      </c>
      <c r="P508" t="n">
        <v>0</v>
      </c>
      <c r="Q508" t="n">
        <v>0</v>
      </c>
      <c r="R508" s="2" t="inlineStr"/>
    </row>
    <row r="509" ht="15" customHeight="1">
      <c r="A509" t="inlineStr">
        <is>
          <t>A 61934-2022</t>
        </is>
      </c>
      <c r="B509" s="1" t="n">
        <v>44917</v>
      </c>
      <c r="C509" s="1" t="n">
        <v>45941</v>
      </c>
      <c r="D509" t="inlineStr">
        <is>
          <t>JÄMTLANDS LÄN</t>
        </is>
      </c>
      <c r="E509" t="inlineStr">
        <is>
          <t>RAGUNDA</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50157-2023</t>
        </is>
      </c>
      <c r="B510" s="1" t="n">
        <v>45208</v>
      </c>
      <c r="C510" s="1" t="n">
        <v>45941</v>
      </c>
      <c r="D510" t="inlineStr">
        <is>
          <t>JÄMTLANDS LÄN</t>
        </is>
      </c>
      <c r="E510" t="inlineStr">
        <is>
          <t>RAGUNDA</t>
        </is>
      </c>
      <c r="G510" t="n">
        <v>0.9</v>
      </c>
      <c r="H510" t="n">
        <v>0</v>
      </c>
      <c r="I510" t="n">
        <v>0</v>
      </c>
      <c r="J510" t="n">
        <v>0</v>
      </c>
      <c r="K510" t="n">
        <v>0</v>
      </c>
      <c r="L510" t="n">
        <v>0</v>
      </c>
      <c r="M510" t="n">
        <v>0</v>
      </c>
      <c r="N510" t="n">
        <v>0</v>
      </c>
      <c r="O510" t="n">
        <v>0</v>
      </c>
      <c r="P510" t="n">
        <v>0</v>
      </c>
      <c r="Q510" t="n">
        <v>0</v>
      </c>
      <c r="R510" s="2" t="inlineStr"/>
    </row>
    <row r="511" ht="15" customHeight="1">
      <c r="A511" t="inlineStr">
        <is>
          <t>A 19404-2025</t>
        </is>
      </c>
      <c r="B511" s="1" t="n">
        <v>45769.67802083334</v>
      </c>
      <c r="C511" s="1" t="n">
        <v>45941</v>
      </c>
      <c r="D511" t="inlineStr">
        <is>
          <t>JÄMTLANDS LÄN</t>
        </is>
      </c>
      <c r="E511" t="inlineStr">
        <is>
          <t>RAGUNDA</t>
        </is>
      </c>
      <c r="F511" t="inlineStr">
        <is>
          <t>SCA</t>
        </is>
      </c>
      <c r="G511" t="n">
        <v>3</v>
      </c>
      <c r="H511" t="n">
        <v>0</v>
      </c>
      <c r="I511" t="n">
        <v>0</v>
      </c>
      <c r="J511" t="n">
        <v>0</v>
      </c>
      <c r="K511" t="n">
        <v>0</v>
      </c>
      <c r="L511" t="n">
        <v>0</v>
      </c>
      <c r="M511" t="n">
        <v>0</v>
      </c>
      <c r="N511" t="n">
        <v>0</v>
      </c>
      <c r="O511" t="n">
        <v>0</v>
      </c>
      <c r="P511" t="n">
        <v>0</v>
      </c>
      <c r="Q511" t="n">
        <v>0</v>
      </c>
      <c r="R511" s="2" t="inlineStr"/>
      <c r="U511">
        <f>HYPERLINK("https://klasma.github.io/Logging_2303/knärot/A 19404-2025 karta knärot.png", "A 19404-2025")</f>
        <v/>
      </c>
      <c r="V511">
        <f>HYPERLINK("https://klasma.github.io/Logging_2303/klagomål/A 19404-2025 FSC-klagomål.docx", "A 19404-2025")</f>
        <v/>
      </c>
      <c r="W511">
        <f>HYPERLINK("https://klasma.github.io/Logging_2303/klagomålsmail/A 19404-2025 FSC-klagomål mail.docx", "A 19404-2025")</f>
        <v/>
      </c>
      <c r="X511">
        <f>HYPERLINK("https://klasma.github.io/Logging_2303/tillsyn/A 19404-2025 tillsynsbegäran.docx", "A 19404-2025")</f>
        <v/>
      </c>
      <c r="Y511">
        <f>HYPERLINK("https://klasma.github.io/Logging_2303/tillsynsmail/A 19404-2025 tillsynsbegäran mail.docx", "A 19404-2025")</f>
        <v/>
      </c>
    </row>
    <row r="512" ht="15" customHeight="1">
      <c r="A512" t="inlineStr">
        <is>
          <t>A 38664-2022</t>
        </is>
      </c>
      <c r="B512" s="1" t="n">
        <v>44813</v>
      </c>
      <c r="C512" s="1" t="n">
        <v>45941</v>
      </c>
      <c r="D512" t="inlineStr">
        <is>
          <t>JÄMTLANDS LÄN</t>
        </is>
      </c>
      <c r="E512" t="inlineStr">
        <is>
          <t>RAGUNDA</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11558-2023</t>
        </is>
      </c>
      <c r="B513" s="1" t="n">
        <v>44993.94958333333</v>
      </c>
      <c r="C513" s="1" t="n">
        <v>45941</v>
      </c>
      <c r="D513" t="inlineStr">
        <is>
          <t>JÄMTLANDS LÄN</t>
        </is>
      </c>
      <c r="E513" t="inlineStr">
        <is>
          <t>RAGUNDA</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42893-2022</t>
        </is>
      </c>
      <c r="B514" s="1" t="n">
        <v>44832</v>
      </c>
      <c r="C514" s="1" t="n">
        <v>45941</v>
      </c>
      <c r="D514" t="inlineStr">
        <is>
          <t>JÄMTLANDS LÄN</t>
        </is>
      </c>
      <c r="E514" t="inlineStr">
        <is>
          <t>RAGUNDA</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38425-2022</t>
        </is>
      </c>
      <c r="B515" s="1" t="n">
        <v>44812.94709490741</v>
      </c>
      <c r="C515" s="1" t="n">
        <v>45941</v>
      </c>
      <c r="D515" t="inlineStr">
        <is>
          <t>JÄMTLANDS LÄN</t>
        </is>
      </c>
      <c r="E515" t="inlineStr">
        <is>
          <t>RAGUNDA</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6694-2024</t>
        </is>
      </c>
      <c r="B516" s="1" t="n">
        <v>45341.95381944445</v>
      </c>
      <c r="C516" s="1" t="n">
        <v>45941</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36922-2022</t>
        </is>
      </c>
      <c r="B517" s="1" t="n">
        <v>44805.94592592592</v>
      </c>
      <c r="C517" s="1" t="n">
        <v>45941</v>
      </c>
      <c r="D517" t="inlineStr">
        <is>
          <t>JÄMTLANDS LÄN</t>
        </is>
      </c>
      <c r="E517" t="inlineStr">
        <is>
          <t>RAGUNDA</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27510-2025</t>
        </is>
      </c>
      <c r="B518" s="1" t="n">
        <v>45813.42790509259</v>
      </c>
      <c r="C518" s="1" t="n">
        <v>45941</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49648-2023</t>
        </is>
      </c>
      <c r="B519" s="1" t="n">
        <v>45211.95061342593</v>
      </c>
      <c r="C519" s="1" t="n">
        <v>45941</v>
      </c>
      <c r="D519" t="inlineStr">
        <is>
          <t>JÄMTLANDS LÄN</t>
        </is>
      </c>
      <c r="E519" t="inlineStr">
        <is>
          <t>RAGUNDA</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21083-2024</t>
        </is>
      </c>
      <c r="B520" s="1" t="n">
        <v>45439.92752314815</v>
      </c>
      <c r="C520" s="1" t="n">
        <v>45941</v>
      </c>
      <c r="D520" t="inlineStr">
        <is>
          <t>JÄMTLANDS LÄN</t>
        </is>
      </c>
      <c r="E520" t="inlineStr">
        <is>
          <t>RAGUNDA</t>
        </is>
      </c>
      <c r="G520" t="n">
        <v>1.5</v>
      </c>
      <c r="H520" t="n">
        <v>0</v>
      </c>
      <c r="I520" t="n">
        <v>0</v>
      </c>
      <c r="J520" t="n">
        <v>0</v>
      </c>
      <c r="K520" t="n">
        <v>0</v>
      </c>
      <c r="L520" t="n">
        <v>0</v>
      </c>
      <c r="M520" t="n">
        <v>0</v>
      </c>
      <c r="N520" t="n">
        <v>0</v>
      </c>
      <c r="O520" t="n">
        <v>0</v>
      </c>
      <c r="P520" t="n">
        <v>0</v>
      </c>
      <c r="Q520" t="n">
        <v>0</v>
      </c>
      <c r="R520" s="2" t="inlineStr"/>
    </row>
    <row r="521" ht="15" customHeight="1">
      <c r="A521" t="inlineStr">
        <is>
          <t>A 14513-2025</t>
        </is>
      </c>
      <c r="B521" s="1" t="n">
        <v>45741.63675925926</v>
      </c>
      <c r="C521" s="1" t="n">
        <v>45941</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59759-2024</t>
        </is>
      </c>
      <c r="B522" s="1" t="n">
        <v>45639.55240740741</v>
      </c>
      <c r="C522" s="1" t="n">
        <v>45941</v>
      </c>
      <c r="D522" t="inlineStr">
        <is>
          <t>JÄMTLANDS LÄN</t>
        </is>
      </c>
      <c r="E522" t="inlineStr">
        <is>
          <t>RAGUNDA</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12204-2025</t>
        </is>
      </c>
      <c r="B523" s="1" t="n">
        <v>45729.51074074074</v>
      </c>
      <c r="C523" s="1" t="n">
        <v>45941</v>
      </c>
      <c r="D523" t="inlineStr">
        <is>
          <t>JÄMTLANDS LÄN</t>
        </is>
      </c>
      <c r="E523" t="inlineStr">
        <is>
          <t>RAGUNDA</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9326-2024</t>
        </is>
      </c>
      <c r="B524" s="1" t="n">
        <v>45358.95818287037</v>
      </c>
      <c r="C524" s="1" t="n">
        <v>45941</v>
      </c>
      <c r="D524" t="inlineStr">
        <is>
          <t>JÄMTLANDS LÄN</t>
        </is>
      </c>
      <c r="E524" t="inlineStr">
        <is>
          <t>RAGUNDA</t>
        </is>
      </c>
      <c r="G524" t="n">
        <v>0.7</v>
      </c>
      <c r="H524" t="n">
        <v>0</v>
      </c>
      <c r="I524" t="n">
        <v>0</v>
      </c>
      <c r="J524" t="n">
        <v>0</v>
      </c>
      <c r="K524" t="n">
        <v>0</v>
      </c>
      <c r="L524" t="n">
        <v>0</v>
      </c>
      <c r="M524" t="n">
        <v>0</v>
      </c>
      <c r="N524" t="n">
        <v>0</v>
      </c>
      <c r="O524" t="n">
        <v>0</v>
      </c>
      <c r="P524" t="n">
        <v>0</v>
      </c>
      <c r="Q524" t="n">
        <v>0</v>
      </c>
      <c r="R524" s="2" t="inlineStr"/>
    </row>
    <row r="525" ht="15" customHeight="1">
      <c r="A525" t="inlineStr">
        <is>
          <t>A 58194-2022</t>
        </is>
      </c>
      <c r="B525" s="1" t="n">
        <v>44900</v>
      </c>
      <c r="C525" s="1" t="n">
        <v>45941</v>
      </c>
      <c r="D525" t="inlineStr">
        <is>
          <t>JÄMTLANDS LÄN</t>
        </is>
      </c>
      <c r="E525" t="inlineStr">
        <is>
          <t>RAGUNDA</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11245-2025</t>
        </is>
      </c>
      <c r="B526" s="1" t="n">
        <v>45726.38575231482</v>
      </c>
      <c r="C526" s="1" t="n">
        <v>45941</v>
      </c>
      <c r="D526" t="inlineStr">
        <is>
          <t>JÄMTLANDS LÄN</t>
        </is>
      </c>
      <c r="E526" t="inlineStr">
        <is>
          <t>RAGUNDA</t>
        </is>
      </c>
      <c r="G526" t="n">
        <v>2.3</v>
      </c>
      <c r="H526" t="n">
        <v>0</v>
      </c>
      <c r="I526" t="n">
        <v>0</v>
      </c>
      <c r="J526" t="n">
        <v>0</v>
      </c>
      <c r="K526" t="n">
        <v>0</v>
      </c>
      <c r="L526" t="n">
        <v>0</v>
      </c>
      <c r="M526" t="n">
        <v>0</v>
      </c>
      <c r="N526" t="n">
        <v>0</v>
      </c>
      <c r="O526" t="n">
        <v>0</v>
      </c>
      <c r="P526" t="n">
        <v>0</v>
      </c>
      <c r="Q526" t="n">
        <v>0</v>
      </c>
      <c r="R526" s="2" t="inlineStr"/>
    </row>
    <row r="527" ht="15" customHeight="1">
      <c r="A527" t="inlineStr">
        <is>
          <t>A 42875-2024</t>
        </is>
      </c>
      <c r="B527" s="1" t="n">
        <v>45566.68125</v>
      </c>
      <c r="C527" s="1" t="n">
        <v>45941</v>
      </c>
      <c r="D527" t="inlineStr">
        <is>
          <t>JÄMTLANDS LÄN</t>
        </is>
      </c>
      <c r="E527" t="inlineStr">
        <is>
          <t>RAGUNDA</t>
        </is>
      </c>
      <c r="G527" t="n">
        <v>0.5</v>
      </c>
      <c r="H527" t="n">
        <v>0</v>
      </c>
      <c r="I527" t="n">
        <v>0</v>
      </c>
      <c r="J527" t="n">
        <v>0</v>
      </c>
      <c r="K527" t="n">
        <v>0</v>
      </c>
      <c r="L527" t="n">
        <v>0</v>
      </c>
      <c r="M527" t="n">
        <v>0</v>
      </c>
      <c r="N527" t="n">
        <v>0</v>
      </c>
      <c r="O527" t="n">
        <v>0</v>
      </c>
      <c r="P527" t="n">
        <v>0</v>
      </c>
      <c r="Q527" t="n">
        <v>0</v>
      </c>
      <c r="R527" s="2" t="inlineStr"/>
    </row>
    <row r="528" ht="15" customHeight="1">
      <c r="A528" t="inlineStr">
        <is>
          <t>A 13905-2025</t>
        </is>
      </c>
      <c r="B528" s="1" t="n">
        <v>45737.63574074074</v>
      </c>
      <c r="C528" s="1" t="n">
        <v>45941</v>
      </c>
      <c r="D528" t="inlineStr">
        <is>
          <t>JÄMTLANDS LÄN</t>
        </is>
      </c>
      <c r="E528" t="inlineStr">
        <is>
          <t>RAGUNDA</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15864-2024</t>
        </is>
      </c>
      <c r="B529" s="1" t="n">
        <v>45404.99792824074</v>
      </c>
      <c r="C529" s="1" t="n">
        <v>45941</v>
      </c>
      <c r="D529" t="inlineStr">
        <is>
          <t>JÄMTLANDS LÄN</t>
        </is>
      </c>
      <c r="E529" t="inlineStr">
        <is>
          <t>RAGUNDA</t>
        </is>
      </c>
      <c r="F529" t="inlineStr">
        <is>
          <t>SCA</t>
        </is>
      </c>
      <c r="G529" t="n">
        <v>1.1</v>
      </c>
      <c r="H529" t="n">
        <v>0</v>
      </c>
      <c r="I529" t="n">
        <v>0</v>
      </c>
      <c r="J529" t="n">
        <v>0</v>
      </c>
      <c r="K529" t="n">
        <v>0</v>
      </c>
      <c r="L529" t="n">
        <v>0</v>
      </c>
      <c r="M529" t="n">
        <v>0</v>
      </c>
      <c r="N529" t="n">
        <v>0</v>
      </c>
      <c r="O529" t="n">
        <v>0</v>
      </c>
      <c r="P529" t="n">
        <v>0</v>
      </c>
      <c r="Q529" t="n">
        <v>0</v>
      </c>
      <c r="R529" s="2" t="inlineStr"/>
      <c r="U529">
        <f>HYPERLINK("https://klasma.github.io/Logging_2303/knärot/A 15864-2024 karta knärot.png", "A 15864-2024")</f>
        <v/>
      </c>
      <c r="V529">
        <f>HYPERLINK("https://klasma.github.io/Logging_2303/klagomål/A 15864-2024 FSC-klagomål.docx", "A 15864-2024")</f>
        <v/>
      </c>
      <c r="W529">
        <f>HYPERLINK("https://klasma.github.io/Logging_2303/klagomålsmail/A 15864-2024 FSC-klagomål mail.docx", "A 15864-2024")</f>
        <v/>
      </c>
      <c r="X529">
        <f>HYPERLINK("https://klasma.github.io/Logging_2303/tillsyn/A 15864-2024 tillsynsbegäran.docx", "A 15864-2024")</f>
        <v/>
      </c>
      <c r="Y529">
        <f>HYPERLINK("https://klasma.github.io/Logging_2303/tillsynsmail/A 15864-2024 tillsynsbegäran mail.docx", "A 15864-2024")</f>
        <v/>
      </c>
    </row>
    <row r="530" ht="15" customHeight="1">
      <c r="A530" t="inlineStr">
        <is>
          <t>A 7281-2025</t>
        </is>
      </c>
      <c r="B530" s="1" t="n">
        <v>45702.63572916666</v>
      </c>
      <c r="C530" s="1" t="n">
        <v>45941</v>
      </c>
      <c r="D530" t="inlineStr">
        <is>
          <t>JÄMTLANDS LÄN</t>
        </is>
      </c>
      <c r="E530" t="inlineStr">
        <is>
          <t>RAGUNDA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18989-2025</t>
        </is>
      </c>
      <c r="B531" s="1" t="n">
        <v>45764</v>
      </c>
      <c r="C531" s="1" t="n">
        <v>45941</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4015-2022</t>
        </is>
      </c>
      <c r="B532" s="1" t="n">
        <v>44587.92149305555</v>
      </c>
      <c r="C532" s="1" t="n">
        <v>45941</v>
      </c>
      <c r="D532" t="inlineStr">
        <is>
          <t>JÄMTLANDS LÄN</t>
        </is>
      </c>
      <c r="E532" t="inlineStr">
        <is>
          <t>RAGUNDA</t>
        </is>
      </c>
      <c r="G532" t="n">
        <v>3.9</v>
      </c>
      <c r="H532" t="n">
        <v>0</v>
      </c>
      <c r="I532" t="n">
        <v>0</v>
      </c>
      <c r="J532" t="n">
        <v>0</v>
      </c>
      <c r="K532" t="n">
        <v>0</v>
      </c>
      <c r="L532" t="n">
        <v>0</v>
      </c>
      <c r="M532" t="n">
        <v>0</v>
      </c>
      <c r="N532" t="n">
        <v>0</v>
      </c>
      <c r="O532" t="n">
        <v>0</v>
      </c>
      <c r="P532" t="n">
        <v>0</v>
      </c>
      <c r="Q532" t="n">
        <v>0</v>
      </c>
      <c r="R532" s="2" t="inlineStr"/>
    </row>
    <row r="533" ht="15" customHeight="1">
      <c r="A533" t="inlineStr">
        <is>
          <t>A 2599-2023</t>
        </is>
      </c>
      <c r="B533" s="1" t="n">
        <v>44943.94802083333</v>
      </c>
      <c r="C533" s="1" t="n">
        <v>45941</v>
      </c>
      <c r="D533" t="inlineStr">
        <is>
          <t>JÄMTLANDS LÄN</t>
        </is>
      </c>
      <c r="E533" t="inlineStr">
        <is>
          <t>RAGUNDA</t>
        </is>
      </c>
      <c r="F533" t="inlineStr">
        <is>
          <t>SCA</t>
        </is>
      </c>
      <c r="G533" t="n">
        <v>5.9</v>
      </c>
      <c r="H533" t="n">
        <v>0</v>
      </c>
      <c r="I533" t="n">
        <v>0</v>
      </c>
      <c r="J533" t="n">
        <v>0</v>
      </c>
      <c r="K533" t="n">
        <v>0</v>
      </c>
      <c r="L533" t="n">
        <v>0</v>
      </c>
      <c r="M533" t="n">
        <v>0</v>
      </c>
      <c r="N533" t="n">
        <v>0</v>
      </c>
      <c r="O533" t="n">
        <v>0</v>
      </c>
      <c r="P533" t="n">
        <v>0</v>
      </c>
      <c r="Q533" t="n">
        <v>0</v>
      </c>
      <c r="R533" s="2" t="inlineStr"/>
    </row>
    <row r="534" ht="15" customHeight="1">
      <c r="A534" t="inlineStr">
        <is>
          <t>A 59044-2022</t>
        </is>
      </c>
      <c r="B534" s="1" t="n">
        <v>44903</v>
      </c>
      <c r="C534" s="1" t="n">
        <v>45941</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4014-2022</t>
        </is>
      </c>
      <c r="B535" s="1" t="n">
        <v>44587.92144675926</v>
      </c>
      <c r="C535" s="1" t="n">
        <v>45941</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8243-2024</t>
        </is>
      </c>
      <c r="B536" s="1" t="n">
        <v>45351.98532407408</v>
      </c>
      <c r="C536" s="1" t="n">
        <v>45941</v>
      </c>
      <c r="D536" t="inlineStr">
        <is>
          <t>JÄMTLANDS LÄN</t>
        </is>
      </c>
      <c r="E536" t="inlineStr">
        <is>
          <t>RAGUNDA</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13935-2024</t>
        </is>
      </c>
      <c r="B537" s="1" t="n">
        <v>45391.95329861111</v>
      </c>
      <c r="C537" s="1" t="n">
        <v>45941</v>
      </c>
      <c r="D537" t="inlineStr">
        <is>
          <t>JÄMTLANDS LÄN</t>
        </is>
      </c>
      <c r="E537" t="inlineStr">
        <is>
          <t>RAGUNDA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6902-2024</t>
        </is>
      </c>
      <c r="B538" s="1" t="n">
        <v>45342</v>
      </c>
      <c r="C538" s="1" t="n">
        <v>45941</v>
      </c>
      <c r="D538" t="inlineStr">
        <is>
          <t>JÄMTLANDS LÄN</t>
        </is>
      </c>
      <c r="E538" t="inlineStr">
        <is>
          <t>RAGUNDA</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6905-2024</t>
        </is>
      </c>
      <c r="B539" s="1" t="n">
        <v>45342.9462037037</v>
      </c>
      <c r="C539" s="1" t="n">
        <v>45941</v>
      </c>
      <c r="D539" t="inlineStr">
        <is>
          <t>JÄMTLANDS LÄN</t>
        </is>
      </c>
      <c r="E539" t="inlineStr">
        <is>
          <t>RAGUNDA</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28637-2025</t>
        </is>
      </c>
      <c r="B540" s="1" t="n">
        <v>45819.6359375</v>
      </c>
      <c r="C540" s="1" t="n">
        <v>45941</v>
      </c>
      <c r="D540" t="inlineStr">
        <is>
          <t>JÄMTLANDS LÄN</t>
        </is>
      </c>
      <c r="E540" t="inlineStr">
        <is>
          <t>RAGUNDA</t>
        </is>
      </c>
      <c r="F540" t="inlineStr">
        <is>
          <t>SCA</t>
        </is>
      </c>
      <c r="G540" t="n">
        <v>6.6</v>
      </c>
      <c r="H540" t="n">
        <v>0</v>
      </c>
      <c r="I540" t="n">
        <v>0</v>
      </c>
      <c r="J540" t="n">
        <v>0</v>
      </c>
      <c r="K540" t="n">
        <v>0</v>
      </c>
      <c r="L540" t="n">
        <v>0</v>
      </c>
      <c r="M540" t="n">
        <v>0</v>
      </c>
      <c r="N540" t="n">
        <v>0</v>
      </c>
      <c r="O540" t="n">
        <v>0</v>
      </c>
      <c r="P540" t="n">
        <v>0</v>
      </c>
      <c r="Q540" t="n">
        <v>0</v>
      </c>
      <c r="R540" s="2" t="inlineStr"/>
    </row>
    <row r="541" ht="15" customHeight="1">
      <c r="A541" t="inlineStr">
        <is>
          <t>A 4125-2024</t>
        </is>
      </c>
      <c r="B541" s="1" t="n">
        <v>45323</v>
      </c>
      <c r="C541" s="1" t="n">
        <v>45941</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44980-2023</t>
        </is>
      </c>
      <c r="B542" s="1" t="n">
        <v>45190</v>
      </c>
      <c r="C542" s="1" t="n">
        <v>45941</v>
      </c>
      <c r="D542" t="inlineStr">
        <is>
          <t>JÄMTLANDS LÄN</t>
        </is>
      </c>
      <c r="E542" t="inlineStr">
        <is>
          <t>RAGUNDA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28973-2025</t>
        </is>
      </c>
      <c r="B543" s="1" t="n">
        <v>45821.34513888889</v>
      </c>
      <c r="C543" s="1" t="n">
        <v>45941</v>
      </c>
      <c r="D543" t="inlineStr">
        <is>
          <t>JÄMTLANDS LÄN</t>
        </is>
      </c>
      <c r="E543" t="inlineStr">
        <is>
          <t>RAGUNDA</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18777-2024</t>
        </is>
      </c>
      <c r="B544" s="1" t="n">
        <v>45426</v>
      </c>
      <c r="C544" s="1" t="n">
        <v>45941</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29723-2025</t>
        </is>
      </c>
      <c r="B545" s="1" t="n">
        <v>45825.57675925926</v>
      </c>
      <c r="C545" s="1" t="n">
        <v>45941</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29731-2025</t>
        </is>
      </c>
      <c r="B546" s="1" t="n">
        <v>45825.58252314815</v>
      </c>
      <c r="C546" s="1" t="n">
        <v>45941</v>
      </c>
      <c r="D546" t="inlineStr">
        <is>
          <t>JÄMTLANDS LÄN</t>
        </is>
      </c>
      <c r="E546" t="inlineStr">
        <is>
          <t>RAGUNDA</t>
        </is>
      </c>
      <c r="G546" t="n">
        <v>2.3</v>
      </c>
      <c r="H546" t="n">
        <v>0</v>
      </c>
      <c r="I546" t="n">
        <v>0</v>
      </c>
      <c r="J546" t="n">
        <v>0</v>
      </c>
      <c r="K546" t="n">
        <v>0</v>
      </c>
      <c r="L546" t="n">
        <v>0</v>
      </c>
      <c r="M546" t="n">
        <v>0</v>
      </c>
      <c r="N546" t="n">
        <v>0</v>
      </c>
      <c r="O546" t="n">
        <v>0</v>
      </c>
      <c r="P546" t="n">
        <v>0</v>
      </c>
      <c r="Q546" t="n">
        <v>0</v>
      </c>
      <c r="R546" s="2" t="inlineStr"/>
    </row>
    <row r="547" ht="15" customHeight="1">
      <c r="A547" t="inlineStr">
        <is>
          <t>A 53989-2024</t>
        </is>
      </c>
      <c r="B547" s="1" t="n">
        <v>45616.34479166667</v>
      </c>
      <c r="C547" s="1" t="n">
        <v>45941</v>
      </c>
      <c r="D547" t="inlineStr">
        <is>
          <t>JÄMTLANDS LÄN</t>
        </is>
      </c>
      <c r="E547" t="inlineStr">
        <is>
          <t>RAGUNDA</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59670-2023</t>
        </is>
      </c>
      <c r="B548" s="1" t="n">
        <v>45254.96516203704</v>
      </c>
      <c r="C548" s="1" t="n">
        <v>45941</v>
      </c>
      <c r="D548" t="inlineStr">
        <is>
          <t>JÄMTLANDS LÄN</t>
        </is>
      </c>
      <c r="E548" t="inlineStr">
        <is>
          <t>RAGUNDA</t>
        </is>
      </c>
      <c r="F548" t="inlineStr">
        <is>
          <t>SCA</t>
        </is>
      </c>
      <c r="G548" t="n">
        <v>7.6</v>
      </c>
      <c r="H548" t="n">
        <v>0</v>
      </c>
      <c r="I548" t="n">
        <v>0</v>
      </c>
      <c r="J548" t="n">
        <v>0</v>
      </c>
      <c r="K548" t="n">
        <v>0</v>
      </c>
      <c r="L548" t="n">
        <v>0</v>
      </c>
      <c r="M548" t="n">
        <v>0</v>
      </c>
      <c r="N548" t="n">
        <v>0</v>
      </c>
      <c r="O548" t="n">
        <v>0</v>
      </c>
      <c r="P548" t="n">
        <v>0</v>
      </c>
      <c r="Q548" t="n">
        <v>0</v>
      </c>
      <c r="R548" s="2" t="inlineStr"/>
    </row>
    <row r="549" ht="15" customHeight="1">
      <c r="A549" t="inlineStr">
        <is>
          <t>A 27777-2022</t>
        </is>
      </c>
      <c r="B549" s="1" t="n">
        <v>44743</v>
      </c>
      <c r="C549" s="1" t="n">
        <v>45941</v>
      </c>
      <c r="D549" t="inlineStr">
        <is>
          <t>JÄMTLANDS LÄN</t>
        </is>
      </c>
      <c r="E549" t="inlineStr">
        <is>
          <t>RAGUNDA</t>
        </is>
      </c>
      <c r="G549" t="n">
        <v>1.5</v>
      </c>
      <c r="H549" t="n">
        <v>0</v>
      </c>
      <c r="I549" t="n">
        <v>0</v>
      </c>
      <c r="J549" t="n">
        <v>0</v>
      </c>
      <c r="K549" t="n">
        <v>0</v>
      </c>
      <c r="L549" t="n">
        <v>0</v>
      </c>
      <c r="M549" t="n">
        <v>0</v>
      </c>
      <c r="N549" t="n">
        <v>0</v>
      </c>
      <c r="O549" t="n">
        <v>0</v>
      </c>
      <c r="P549" t="n">
        <v>0</v>
      </c>
      <c r="Q549" t="n">
        <v>0</v>
      </c>
      <c r="R549" s="2" t="inlineStr"/>
    </row>
    <row r="550" ht="15" customHeight="1">
      <c r="A550" t="inlineStr">
        <is>
          <t>A 42509-2023</t>
        </is>
      </c>
      <c r="B550" s="1" t="n">
        <v>45180</v>
      </c>
      <c r="C550" s="1" t="n">
        <v>45941</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42510-2023</t>
        </is>
      </c>
      <c r="B551" s="1" t="n">
        <v>45180.95927083334</v>
      </c>
      <c r="C551" s="1" t="n">
        <v>45941</v>
      </c>
      <c r="D551" t="inlineStr">
        <is>
          <t>JÄMTLANDS LÄN</t>
        </is>
      </c>
      <c r="E551" t="inlineStr">
        <is>
          <t>RAGUNDA</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51245-2024</t>
        </is>
      </c>
      <c r="B552" s="1" t="n">
        <v>45603.67850694444</v>
      </c>
      <c r="C552" s="1" t="n">
        <v>45941</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11048-2023</t>
        </is>
      </c>
      <c r="B553" s="1" t="n">
        <v>44991</v>
      </c>
      <c r="C553" s="1" t="n">
        <v>45941</v>
      </c>
      <c r="D553" t="inlineStr">
        <is>
          <t>JÄMTLANDS LÄN</t>
        </is>
      </c>
      <c r="E553" t="inlineStr">
        <is>
          <t>RAGUNDA</t>
        </is>
      </c>
      <c r="F553" t="inlineStr">
        <is>
          <t>SCA</t>
        </is>
      </c>
      <c r="G553" t="n">
        <v>13.5</v>
      </c>
      <c r="H553" t="n">
        <v>0</v>
      </c>
      <c r="I553" t="n">
        <v>0</v>
      </c>
      <c r="J553" t="n">
        <v>0</v>
      </c>
      <c r="K553" t="n">
        <v>0</v>
      </c>
      <c r="L553" t="n">
        <v>0</v>
      </c>
      <c r="M553" t="n">
        <v>0</v>
      </c>
      <c r="N553" t="n">
        <v>0</v>
      </c>
      <c r="O553" t="n">
        <v>0</v>
      </c>
      <c r="P553" t="n">
        <v>0</v>
      </c>
      <c r="Q553" t="n">
        <v>0</v>
      </c>
      <c r="R553" s="2" t="inlineStr"/>
    </row>
    <row r="554" ht="15" customHeight="1">
      <c r="A554" t="inlineStr">
        <is>
          <t>A 61923-2024</t>
        </is>
      </c>
      <c r="B554" s="1" t="n">
        <v>45653.44836805556</v>
      </c>
      <c r="C554" s="1" t="n">
        <v>45941</v>
      </c>
      <c r="D554" t="inlineStr">
        <is>
          <t>JÄMTLANDS LÄN</t>
        </is>
      </c>
      <c r="E554" t="inlineStr">
        <is>
          <t>RAGUNDA</t>
        </is>
      </c>
      <c r="F554" t="inlineStr">
        <is>
          <t>SCA</t>
        </is>
      </c>
      <c r="G554" t="n">
        <v>11.1</v>
      </c>
      <c r="H554" t="n">
        <v>0</v>
      </c>
      <c r="I554" t="n">
        <v>0</v>
      </c>
      <c r="J554" t="n">
        <v>0</v>
      </c>
      <c r="K554" t="n">
        <v>0</v>
      </c>
      <c r="L554" t="n">
        <v>0</v>
      </c>
      <c r="M554" t="n">
        <v>0</v>
      </c>
      <c r="N554" t="n">
        <v>0</v>
      </c>
      <c r="O554" t="n">
        <v>0</v>
      </c>
      <c r="P554" t="n">
        <v>0</v>
      </c>
      <c r="Q554" t="n">
        <v>0</v>
      </c>
      <c r="R554" s="2" t="inlineStr"/>
    </row>
    <row r="555" ht="15" customHeight="1">
      <c r="A555" t="inlineStr">
        <is>
          <t>A 50503-2024</t>
        </is>
      </c>
      <c r="B555" s="1" t="n">
        <v>45601.5315625</v>
      </c>
      <c r="C555" s="1" t="n">
        <v>45941</v>
      </c>
      <c r="D555" t="inlineStr">
        <is>
          <t>JÄMTLANDS LÄN</t>
        </is>
      </c>
      <c r="E555" t="inlineStr">
        <is>
          <t>RAGUNDA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59556-2024</t>
        </is>
      </c>
      <c r="B556" s="1" t="n">
        <v>45638.63600694444</v>
      </c>
      <c r="C556" s="1" t="n">
        <v>45941</v>
      </c>
      <c r="D556" t="inlineStr">
        <is>
          <t>JÄMTLANDS LÄN</t>
        </is>
      </c>
      <c r="E556" t="inlineStr">
        <is>
          <t>RAGUNDA</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13302-2022</t>
        </is>
      </c>
      <c r="B557" s="1" t="n">
        <v>44644</v>
      </c>
      <c r="C557" s="1" t="n">
        <v>45941</v>
      </c>
      <c r="D557" t="inlineStr">
        <is>
          <t>JÄMTLANDS LÄN</t>
        </is>
      </c>
      <c r="E557" t="inlineStr">
        <is>
          <t>RAGUNDA</t>
        </is>
      </c>
      <c r="F557" t="inlineStr">
        <is>
          <t>SCA</t>
        </is>
      </c>
      <c r="G557" t="n">
        <v>35.6</v>
      </c>
      <c r="H557" t="n">
        <v>0</v>
      </c>
      <c r="I557" t="n">
        <v>0</v>
      </c>
      <c r="J557" t="n">
        <v>0</v>
      </c>
      <c r="K557" t="n">
        <v>0</v>
      </c>
      <c r="L557" t="n">
        <v>0</v>
      </c>
      <c r="M557" t="n">
        <v>0</v>
      </c>
      <c r="N557" t="n">
        <v>0</v>
      </c>
      <c r="O557" t="n">
        <v>0</v>
      </c>
      <c r="P557" t="n">
        <v>0</v>
      </c>
      <c r="Q557" t="n">
        <v>0</v>
      </c>
      <c r="R557" s="2" t="inlineStr"/>
    </row>
    <row r="558" ht="15" customHeight="1">
      <c r="A558" t="inlineStr">
        <is>
          <t>A 29714-2025</t>
        </is>
      </c>
      <c r="B558" s="1" t="n">
        <v>45825.56762731481</v>
      </c>
      <c r="C558" s="1" t="n">
        <v>45941</v>
      </c>
      <c r="D558" t="inlineStr">
        <is>
          <t>JÄMTLANDS LÄN</t>
        </is>
      </c>
      <c r="E558" t="inlineStr">
        <is>
          <t>RAGUNDA</t>
        </is>
      </c>
      <c r="G558" t="n">
        <v>2.7</v>
      </c>
      <c r="H558" t="n">
        <v>0</v>
      </c>
      <c r="I558" t="n">
        <v>0</v>
      </c>
      <c r="J558" t="n">
        <v>0</v>
      </c>
      <c r="K558" t="n">
        <v>0</v>
      </c>
      <c r="L558" t="n">
        <v>0</v>
      </c>
      <c r="M558" t="n">
        <v>0</v>
      </c>
      <c r="N558" t="n">
        <v>0</v>
      </c>
      <c r="O558" t="n">
        <v>0</v>
      </c>
      <c r="P558" t="n">
        <v>0</v>
      </c>
      <c r="Q558" t="n">
        <v>0</v>
      </c>
      <c r="R558" s="2" t="inlineStr"/>
    </row>
    <row r="559" ht="15" customHeight="1">
      <c r="A559" t="inlineStr">
        <is>
          <t>A 58193-2022</t>
        </is>
      </c>
      <c r="B559" s="1" t="n">
        <v>44900.95700231481</v>
      </c>
      <c r="C559" s="1" t="n">
        <v>45941</v>
      </c>
      <c r="D559" t="inlineStr">
        <is>
          <t>JÄMTLANDS LÄN</t>
        </is>
      </c>
      <c r="E559" t="inlineStr">
        <is>
          <t>RAGUNDA</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18194-2025</t>
        </is>
      </c>
      <c r="B560" s="1" t="n">
        <v>45761.67744212963</v>
      </c>
      <c r="C560" s="1" t="n">
        <v>45941</v>
      </c>
      <c r="D560" t="inlineStr">
        <is>
          <t>JÄMTLANDS LÄN</t>
        </is>
      </c>
      <c r="E560" t="inlineStr">
        <is>
          <t>RAGUNDA</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30088-2025</t>
        </is>
      </c>
      <c r="B561" s="1" t="n">
        <v>45826.65759259259</v>
      </c>
      <c r="C561" s="1" t="n">
        <v>45941</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26991-2023</t>
        </is>
      </c>
      <c r="B562" s="1" t="n">
        <v>45093.92207175926</v>
      </c>
      <c r="C562" s="1" t="n">
        <v>45941</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18225-2024</t>
        </is>
      </c>
      <c r="B563" s="1" t="n">
        <v>45420</v>
      </c>
      <c r="C563" s="1" t="n">
        <v>45941</v>
      </c>
      <c r="D563" t="inlineStr">
        <is>
          <t>JÄMTLANDS LÄN</t>
        </is>
      </c>
      <c r="E563" t="inlineStr">
        <is>
          <t>RAGUNDA</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13299-2024</t>
        </is>
      </c>
      <c r="B564" s="1" t="n">
        <v>45386.68003472222</v>
      </c>
      <c r="C564" s="1" t="n">
        <v>45941</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58537-2022</t>
        </is>
      </c>
      <c r="B565" s="1" t="n">
        <v>44894</v>
      </c>
      <c r="C565" s="1" t="n">
        <v>45941</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53347-2023</t>
        </is>
      </c>
      <c r="B566" s="1" t="n">
        <v>45223</v>
      </c>
      <c r="C566" s="1" t="n">
        <v>45941</v>
      </c>
      <c r="D566" t="inlineStr">
        <is>
          <t>JÄMTLANDS LÄN</t>
        </is>
      </c>
      <c r="E566" t="inlineStr">
        <is>
          <t>RAGUNDA</t>
        </is>
      </c>
      <c r="G566" t="n">
        <v>1.6</v>
      </c>
      <c r="H566" t="n">
        <v>0</v>
      </c>
      <c r="I566" t="n">
        <v>0</v>
      </c>
      <c r="J566" t="n">
        <v>0</v>
      </c>
      <c r="K566" t="n">
        <v>0</v>
      </c>
      <c r="L566" t="n">
        <v>0</v>
      </c>
      <c r="M566" t="n">
        <v>0</v>
      </c>
      <c r="N566" t="n">
        <v>0</v>
      </c>
      <c r="O566" t="n">
        <v>0</v>
      </c>
      <c r="P566" t="n">
        <v>0</v>
      </c>
      <c r="Q566" t="n">
        <v>0</v>
      </c>
      <c r="R566" s="2" t="inlineStr"/>
    </row>
    <row r="567" ht="15" customHeight="1">
      <c r="A567" t="inlineStr">
        <is>
          <t>A 61088-2020</t>
        </is>
      </c>
      <c r="B567" s="1" t="n">
        <v>44153</v>
      </c>
      <c r="C567" s="1" t="n">
        <v>45941</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16364-2023</t>
        </is>
      </c>
      <c r="B568" s="1" t="n">
        <v>45028</v>
      </c>
      <c r="C568" s="1" t="n">
        <v>45941</v>
      </c>
      <c r="D568" t="inlineStr">
        <is>
          <t>JÄMTLANDS LÄN</t>
        </is>
      </c>
      <c r="E568" t="inlineStr">
        <is>
          <t>RAGUNDA</t>
        </is>
      </c>
      <c r="G568" t="n">
        <v>0.5</v>
      </c>
      <c r="H568" t="n">
        <v>0</v>
      </c>
      <c r="I568" t="n">
        <v>0</v>
      </c>
      <c r="J568" t="n">
        <v>0</v>
      </c>
      <c r="K568" t="n">
        <v>0</v>
      </c>
      <c r="L568" t="n">
        <v>0</v>
      </c>
      <c r="M568" t="n">
        <v>0</v>
      </c>
      <c r="N568" t="n">
        <v>0</v>
      </c>
      <c r="O568" t="n">
        <v>0</v>
      </c>
      <c r="P568" t="n">
        <v>0</v>
      </c>
      <c r="Q568" t="n">
        <v>0</v>
      </c>
      <c r="R568" s="2" t="inlineStr"/>
    </row>
    <row r="569" ht="15" customHeight="1">
      <c r="A569" t="inlineStr">
        <is>
          <t>A 61598-2024</t>
        </is>
      </c>
      <c r="B569" s="1" t="n">
        <v>45646.63605324074</v>
      </c>
      <c r="C569" s="1" t="n">
        <v>45941</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7280-2024</t>
        </is>
      </c>
      <c r="B570" s="1" t="n">
        <v>45344</v>
      </c>
      <c r="C570" s="1" t="n">
        <v>45941</v>
      </c>
      <c r="D570" t="inlineStr">
        <is>
          <t>JÄMTLANDS LÄN</t>
        </is>
      </c>
      <c r="E570" t="inlineStr">
        <is>
          <t>RAGUNDA</t>
        </is>
      </c>
      <c r="G570" t="n">
        <v>1.6</v>
      </c>
      <c r="H570" t="n">
        <v>0</v>
      </c>
      <c r="I570" t="n">
        <v>0</v>
      </c>
      <c r="J570" t="n">
        <v>0</v>
      </c>
      <c r="K570" t="n">
        <v>0</v>
      </c>
      <c r="L570" t="n">
        <v>0</v>
      </c>
      <c r="M570" t="n">
        <v>0</v>
      </c>
      <c r="N570" t="n">
        <v>0</v>
      </c>
      <c r="O570" t="n">
        <v>0</v>
      </c>
      <c r="P570" t="n">
        <v>0</v>
      </c>
      <c r="Q570" t="n">
        <v>0</v>
      </c>
      <c r="R570" s="2" t="inlineStr"/>
    </row>
    <row r="571" ht="15" customHeight="1">
      <c r="A571" t="inlineStr">
        <is>
          <t>A 31463-2024</t>
        </is>
      </c>
      <c r="B571" s="1" t="n">
        <v>45505</v>
      </c>
      <c r="C571" s="1" t="n">
        <v>45941</v>
      </c>
      <c r="D571" t="inlineStr">
        <is>
          <t>JÄMTLANDS LÄN</t>
        </is>
      </c>
      <c r="E571" t="inlineStr">
        <is>
          <t>RAGUNDA</t>
        </is>
      </c>
      <c r="F571" t="inlineStr">
        <is>
          <t>SCA</t>
        </is>
      </c>
      <c r="G571" t="n">
        <v>20.3</v>
      </c>
      <c r="H571" t="n">
        <v>0</v>
      </c>
      <c r="I571" t="n">
        <v>0</v>
      </c>
      <c r="J571" t="n">
        <v>0</v>
      </c>
      <c r="K571" t="n">
        <v>0</v>
      </c>
      <c r="L571" t="n">
        <v>0</v>
      </c>
      <c r="M571" t="n">
        <v>0</v>
      </c>
      <c r="N571" t="n">
        <v>0</v>
      </c>
      <c r="O571" t="n">
        <v>0</v>
      </c>
      <c r="P571" t="n">
        <v>0</v>
      </c>
      <c r="Q571" t="n">
        <v>0</v>
      </c>
      <c r="R571" s="2" t="inlineStr"/>
    </row>
    <row r="572" ht="15" customHeight="1">
      <c r="A572" t="inlineStr">
        <is>
          <t>A 22948-2024</t>
        </is>
      </c>
      <c r="B572" s="1" t="n">
        <v>45448.94600694445</v>
      </c>
      <c r="C572" s="1" t="n">
        <v>45941</v>
      </c>
      <c r="D572" t="inlineStr">
        <is>
          <t>JÄMTLANDS LÄN</t>
        </is>
      </c>
      <c r="E572" t="inlineStr">
        <is>
          <t>RAGUNDA</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21662-2023</t>
        </is>
      </c>
      <c r="B573" s="1" t="n">
        <v>45063</v>
      </c>
      <c r="C573" s="1" t="n">
        <v>45941</v>
      </c>
      <c r="D573" t="inlineStr">
        <is>
          <t>JÄMTLANDS LÄN</t>
        </is>
      </c>
      <c r="E573" t="inlineStr">
        <is>
          <t>RAGUNDA</t>
        </is>
      </c>
      <c r="G573" t="n">
        <v>1.8</v>
      </c>
      <c r="H573" t="n">
        <v>0</v>
      </c>
      <c r="I573" t="n">
        <v>0</v>
      </c>
      <c r="J573" t="n">
        <v>0</v>
      </c>
      <c r="K573" t="n">
        <v>0</v>
      </c>
      <c r="L573" t="n">
        <v>0</v>
      </c>
      <c r="M573" t="n">
        <v>0</v>
      </c>
      <c r="N573" t="n">
        <v>0</v>
      </c>
      <c r="O573" t="n">
        <v>0</v>
      </c>
      <c r="P573" t="n">
        <v>0</v>
      </c>
      <c r="Q573" t="n">
        <v>0</v>
      </c>
      <c r="R573" s="2" t="inlineStr"/>
    </row>
    <row r="574" ht="15" customHeight="1">
      <c r="A574" t="inlineStr">
        <is>
          <t>A 61107-2024</t>
        </is>
      </c>
      <c r="B574" s="1" t="n">
        <v>45645.55665509259</v>
      </c>
      <c r="C574" s="1" t="n">
        <v>45941</v>
      </c>
      <c r="D574" t="inlineStr">
        <is>
          <t>JÄMTLANDS LÄN</t>
        </is>
      </c>
      <c r="E574" t="inlineStr">
        <is>
          <t>RAGUNDA</t>
        </is>
      </c>
      <c r="G574" t="n">
        <v>3.2</v>
      </c>
      <c r="H574" t="n">
        <v>0</v>
      </c>
      <c r="I574" t="n">
        <v>0</v>
      </c>
      <c r="J574" t="n">
        <v>0</v>
      </c>
      <c r="K574" t="n">
        <v>0</v>
      </c>
      <c r="L574" t="n">
        <v>0</v>
      </c>
      <c r="M574" t="n">
        <v>0</v>
      </c>
      <c r="N574" t="n">
        <v>0</v>
      </c>
      <c r="O574" t="n">
        <v>0</v>
      </c>
      <c r="P574" t="n">
        <v>0</v>
      </c>
      <c r="Q574" t="n">
        <v>0</v>
      </c>
      <c r="R574" s="2" t="inlineStr"/>
    </row>
    <row r="575" ht="15" customHeight="1">
      <c r="A575" t="inlineStr">
        <is>
          <t>A 30348-2025</t>
        </is>
      </c>
      <c r="B575" s="1" t="n">
        <v>45827.53178240741</v>
      </c>
      <c r="C575" s="1" t="n">
        <v>45941</v>
      </c>
      <c r="D575" t="inlineStr">
        <is>
          <t>JÄMTLANDS LÄN</t>
        </is>
      </c>
      <c r="E575" t="inlineStr">
        <is>
          <t>RAGUNDA</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46549-2023</t>
        </is>
      </c>
      <c r="B576" s="1" t="n">
        <v>45197.94171296297</v>
      </c>
      <c r="C576" s="1" t="n">
        <v>45941</v>
      </c>
      <c r="D576" t="inlineStr">
        <is>
          <t>JÄMTLANDS LÄN</t>
        </is>
      </c>
      <c r="E576" t="inlineStr">
        <is>
          <t>RAGUNDA</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30434-2025</t>
        </is>
      </c>
      <c r="B577" s="1" t="n">
        <v>45827.63582175926</v>
      </c>
      <c r="C577" s="1" t="n">
        <v>45941</v>
      </c>
      <c r="D577" t="inlineStr">
        <is>
          <t>JÄMTLANDS LÄN</t>
        </is>
      </c>
      <c r="E577" t="inlineStr">
        <is>
          <t>RAGUNDA</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5313-2025</t>
        </is>
      </c>
      <c r="B578" s="1" t="n">
        <v>45692.51069444444</v>
      </c>
      <c r="C578" s="1" t="n">
        <v>45941</v>
      </c>
      <c r="D578" t="inlineStr">
        <is>
          <t>JÄMTLANDS LÄN</t>
        </is>
      </c>
      <c r="E578" t="inlineStr">
        <is>
          <t>RAGUNDA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5357-2025</t>
        </is>
      </c>
      <c r="B579" s="1" t="n">
        <v>45692.57326388889</v>
      </c>
      <c r="C579" s="1" t="n">
        <v>45941</v>
      </c>
      <c r="D579" t="inlineStr">
        <is>
          <t>JÄMTLANDS LÄN</t>
        </is>
      </c>
      <c r="E579" t="inlineStr">
        <is>
          <t>RAGUNDA</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53678-2022</t>
        </is>
      </c>
      <c r="B580" s="1" t="n">
        <v>44879.95768518518</v>
      </c>
      <c r="C580" s="1" t="n">
        <v>45941</v>
      </c>
      <c r="D580" t="inlineStr">
        <is>
          <t>JÄMTLANDS LÄN</t>
        </is>
      </c>
      <c r="E580" t="inlineStr">
        <is>
          <t>RAGUNDA</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14369-2024</t>
        </is>
      </c>
      <c r="B581" s="1" t="n">
        <v>45393.94459490741</v>
      </c>
      <c r="C581" s="1" t="n">
        <v>45941</v>
      </c>
      <c r="D581" t="inlineStr">
        <is>
          <t>JÄMTLANDS LÄN</t>
        </is>
      </c>
      <c r="E581" t="inlineStr">
        <is>
          <t>RAGUNDA</t>
        </is>
      </c>
      <c r="F581" t="inlineStr">
        <is>
          <t>Naturvårdsverket</t>
        </is>
      </c>
      <c r="G581" t="n">
        <v>1.8</v>
      </c>
      <c r="H581" t="n">
        <v>0</v>
      </c>
      <c r="I581" t="n">
        <v>0</v>
      </c>
      <c r="J581" t="n">
        <v>0</v>
      </c>
      <c r="K581" t="n">
        <v>0</v>
      </c>
      <c r="L581" t="n">
        <v>0</v>
      </c>
      <c r="M581" t="n">
        <v>0</v>
      </c>
      <c r="N581" t="n">
        <v>0</v>
      </c>
      <c r="O581" t="n">
        <v>0</v>
      </c>
      <c r="P581" t="n">
        <v>0</v>
      </c>
      <c r="Q581" t="n">
        <v>0</v>
      </c>
      <c r="R581" s="2" t="inlineStr"/>
    </row>
    <row r="582" ht="15" customHeight="1">
      <c r="A582" t="inlineStr">
        <is>
          <t>A 10639-2024</t>
        </is>
      </c>
      <c r="B582" s="1" t="n">
        <v>45367.67256944445</v>
      </c>
      <c r="C582" s="1" t="n">
        <v>45941</v>
      </c>
      <c r="D582" t="inlineStr">
        <is>
          <t>JÄMTLANDS LÄN</t>
        </is>
      </c>
      <c r="E582" t="inlineStr">
        <is>
          <t>RAGUNDA</t>
        </is>
      </c>
      <c r="G582" t="n">
        <v>2</v>
      </c>
      <c r="H582" t="n">
        <v>0</v>
      </c>
      <c r="I582" t="n">
        <v>0</v>
      </c>
      <c r="J582" t="n">
        <v>0</v>
      </c>
      <c r="K582" t="n">
        <v>0</v>
      </c>
      <c r="L582" t="n">
        <v>0</v>
      </c>
      <c r="M582" t="n">
        <v>0</v>
      </c>
      <c r="N582" t="n">
        <v>0</v>
      </c>
      <c r="O582" t="n">
        <v>0</v>
      </c>
      <c r="P582" t="n">
        <v>0</v>
      </c>
      <c r="Q582" t="n">
        <v>0</v>
      </c>
      <c r="R582" s="2" t="inlineStr"/>
    </row>
    <row r="583" ht="15" customHeight="1">
      <c r="A583" t="inlineStr">
        <is>
          <t>A 44494-2024</t>
        </is>
      </c>
      <c r="B583" s="1" t="n">
        <v>45574.39081018518</v>
      </c>
      <c r="C583" s="1" t="n">
        <v>45941</v>
      </c>
      <c r="D583" t="inlineStr">
        <is>
          <t>JÄMTLANDS LÄN</t>
        </is>
      </c>
      <c r="E583" t="inlineStr">
        <is>
          <t>RAGUNDA</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12983-2025</t>
        </is>
      </c>
      <c r="B584" s="1" t="n">
        <v>45734.4633912037</v>
      </c>
      <c r="C584" s="1" t="n">
        <v>45941</v>
      </c>
      <c r="D584" t="inlineStr">
        <is>
          <t>JÄMTLANDS LÄN</t>
        </is>
      </c>
      <c r="E584" t="inlineStr">
        <is>
          <t>RAGUNDA</t>
        </is>
      </c>
      <c r="G584" t="n">
        <v>5.2</v>
      </c>
      <c r="H584" t="n">
        <v>0</v>
      </c>
      <c r="I584" t="n">
        <v>0</v>
      </c>
      <c r="J584" t="n">
        <v>0</v>
      </c>
      <c r="K584" t="n">
        <v>0</v>
      </c>
      <c r="L584" t="n">
        <v>0</v>
      </c>
      <c r="M584" t="n">
        <v>0</v>
      </c>
      <c r="N584" t="n">
        <v>0</v>
      </c>
      <c r="O584" t="n">
        <v>0</v>
      </c>
      <c r="P584" t="n">
        <v>0</v>
      </c>
      <c r="Q584" t="n">
        <v>0</v>
      </c>
      <c r="R584" s="2" t="inlineStr"/>
    </row>
    <row r="585" ht="15" customHeight="1">
      <c r="A585" t="inlineStr">
        <is>
          <t>A 39626-2024</t>
        </is>
      </c>
      <c r="B585" s="1" t="n">
        <v>45552.44096064815</v>
      </c>
      <c r="C585" s="1" t="n">
        <v>45941</v>
      </c>
      <c r="D585" t="inlineStr">
        <is>
          <t>JÄMTLANDS LÄN</t>
        </is>
      </c>
      <c r="E585" t="inlineStr">
        <is>
          <t>RAGUNDA</t>
        </is>
      </c>
      <c r="G585" t="n">
        <v>23.5</v>
      </c>
      <c r="H585" t="n">
        <v>0</v>
      </c>
      <c r="I585" t="n">
        <v>0</v>
      </c>
      <c r="J585" t="n">
        <v>0</v>
      </c>
      <c r="K585" t="n">
        <v>0</v>
      </c>
      <c r="L585" t="n">
        <v>0</v>
      </c>
      <c r="M585" t="n">
        <v>0</v>
      </c>
      <c r="N585" t="n">
        <v>0</v>
      </c>
      <c r="O585" t="n">
        <v>0</v>
      </c>
      <c r="P585" t="n">
        <v>0</v>
      </c>
      <c r="Q585" t="n">
        <v>0</v>
      </c>
      <c r="R585" s="2" t="inlineStr"/>
    </row>
    <row r="586" ht="15" customHeight="1">
      <c r="A586" t="inlineStr">
        <is>
          <t>A 45631-2024</t>
        </is>
      </c>
      <c r="B586" s="1" t="n">
        <v>45579.47052083333</v>
      </c>
      <c r="C586" s="1" t="n">
        <v>45941</v>
      </c>
      <c r="D586" t="inlineStr">
        <is>
          <t>JÄMTLANDS LÄN</t>
        </is>
      </c>
      <c r="E586" t="inlineStr">
        <is>
          <t>RAGUNDA</t>
        </is>
      </c>
      <c r="G586" t="n">
        <v>15.1</v>
      </c>
      <c r="H586" t="n">
        <v>0</v>
      </c>
      <c r="I586" t="n">
        <v>0</v>
      </c>
      <c r="J586" t="n">
        <v>0</v>
      </c>
      <c r="K586" t="n">
        <v>0</v>
      </c>
      <c r="L586" t="n">
        <v>0</v>
      </c>
      <c r="M586" t="n">
        <v>0</v>
      </c>
      <c r="N586" t="n">
        <v>0</v>
      </c>
      <c r="O586" t="n">
        <v>0</v>
      </c>
      <c r="P586" t="n">
        <v>0</v>
      </c>
      <c r="Q586" t="n">
        <v>0</v>
      </c>
      <c r="R586" s="2" t="inlineStr"/>
    </row>
    <row r="587" ht="15" customHeight="1">
      <c r="A587" t="inlineStr">
        <is>
          <t>A 62135-2024</t>
        </is>
      </c>
      <c r="B587" s="1" t="n">
        <v>45656.64223379629</v>
      </c>
      <c r="C587" s="1" t="n">
        <v>45941</v>
      </c>
      <c r="D587" t="inlineStr">
        <is>
          <t>JÄMTLANDS LÄN</t>
        </is>
      </c>
      <c r="E587" t="inlineStr">
        <is>
          <t>RAGUNDA</t>
        </is>
      </c>
      <c r="G587" t="n">
        <v>1.5</v>
      </c>
      <c r="H587" t="n">
        <v>0</v>
      </c>
      <c r="I587" t="n">
        <v>0</v>
      </c>
      <c r="J587" t="n">
        <v>0</v>
      </c>
      <c r="K587" t="n">
        <v>0</v>
      </c>
      <c r="L587" t="n">
        <v>0</v>
      </c>
      <c r="M587" t="n">
        <v>0</v>
      </c>
      <c r="N587" t="n">
        <v>0</v>
      </c>
      <c r="O587" t="n">
        <v>0</v>
      </c>
      <c r="P587" t="n">
        <v>0</v>
      </c>
      <c r="Q587" t="n">
        <v>0</v>
      </c>
      <c r="R587" s="2" t="inlineStr"/>
    </row>
    <row r="588" ht="15" customHeight="1">
      <c r="A588" t="inlineStr">
        <is>
          <t>A 8802-2022</t>
        </is>
      </c>
      <c r="B588" s="1" t="n">
        <v>44614</v>
      </c>
      <c r="C588" s="1" t="n">
        <v>45941</v>
      </c>
      <c r="D588" t="inlineStr">
        <is>
          <t>JÄMTLANDS LÄN</t>
        </is>
      </c>
      <c r="E588" t="inlineStr">
        <is>
          <t>RAGUNDA</t>
        </is>
      </c>
      <c r="G588" t="n">
        <v>2.8</v>
      </c>
      <c r="H588" t="n">
        <v>0</v>
      </c>
      <c r="I588" t="n">
        <v>0</v>
      </c>
      <c r="J588" t="n">
        <v>0</v>
      </c>
      <c r="K588" t="n">
        <v>0</v>
      </c>
      <c r="L588" t="n">
        <v>0</v>
      </c>
      <c r="M588" t="n">
        <v>0</v>
      </c>
      <c r="N588" t="n">
        <v>0</v>
      </c>
      <c r="O588" t="n">
        <v>0</v>
      </c>
      <c r="P588" t="n">
        <v>0</v>
      </c>
      <c r="Q588" t="n">
        <v>0</v>
      </c>
      <c r="R588" s="2" t="inlineStr"/>
    </row>
    <row r="589" ht="15" customHeight="1">
      <c r="A589" t="inlineStr">
        <is>
          <t>A 30883-2025</t>
        </is>
      </c>
      <c r="B589" s="1" t="n">
        <v>45832.34552083333</v>
      </c>
      <c r="C589" s="1" t="n">
        <v>45941</v>
      </c>
      <c r="D589" t="inlineStr">
        <is>
          <t>JÄMTLANDS LÄN</t>
        </is>
      </c>
      <c r="E589" t="inlineStr">
        <is>
          <t>RAGUNDA</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55214-2022</t>
        </is>
      </c>
      <c r="B590" s="1" t="n">
        <v>44886</v>
      </c>
      <c r="C590" s="1" t="n">
        <v>45941</v>
      </c>
      <c r="D590" t="inlineStr">
        <is>
          <t>JÄMTLANDS LÄN</t>
        </is>
      </c>
      <c r="E590" t="inlineStr">
        <is>
          <t>RAGUNDA</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9823-2025</t>
        </is>
      </c>
      <c r="B591" s="1" t="n">
        <v>45716</v>
      </c>
      <c r="C591" s="1" t="n">
        <v>45941</v>
      </c>
      <c r="D591" t="inlineStr">
        <is>
          <t>JÄMTLANDS LÄN</t>
        </is>
      </c>
      <c r="E591" t="inlineStr">
        <is>
          <t>RAGUNDA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9847-2025</t>
        </is>
      </c>
      <c r="B592" s="1" t="n">
        <v>45716.61487268518</v>
      </c>
      <c r="C592" s="1" t="n">
        <v>45941</v>
      </c>
      <c r="D592" t="inlineStr">
        <is>
          <t>JÄMTLANDS LÄN</t>
        </is>
      </c>
      <c r="E592" t="inlineStr">
        <is>
          <t>RAGUNDA</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50649-2022</t>
        </is>
      </c>
      <c r="B593" s="1" t="n">
        <v>44866</v>
      </c>
      <c r="C593" s="1" t="n">
        <v>45941</v>
      </c>
      <c r="D593" t="inlineStr">
        <is>
          <t>JÄMTLANDS LÄN</t>
        </is>
      </c>
      <c r="E593" t="inlineStr">
        <is>
          <t>RAGUNDA</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20987-2023</t>
        </is>
      </c>
      <c r="B594" s="1" t="n">
        <v>45056</v>
      </c>
      <c r="C594" s="1" t="n">
        <v>45941</v>
      </c>
      <c r="D594" t="inlineStr">
        <is>
          <t>JÄMTLANDS LÄN</t>
        </is>
      </c>
      <c r="E594" t="inlineStr">
        <is>
          <t>RAGUNDA</t>
        </is>
      </c>
      <c r="G594" t="n">
        <v>1.1</v>
      </c>
      <c r="H594" t="n">
        <v>0</v>
      </c>
      <c r="I594" t="n">
        <v>0</v>
      </c>
      <c r="J594" t="n">
        <v>0</v>
      </c>
      <c r="K594" t="n">
        <v>0</v>
      </c>
      <c r="L594" t="n">
        <v>0</v>
      </c>
      <c r="M594" t="n">
        <v>0</v>
      </c>
      <c r="N594" t="n">
        <v>0</v>
      </c>
      <c r="O594" t="n">
        <v>0</v>
      </c>
      <c r="P594" t="n">
        <v>0</v>
      </c>
      <c r="Q594" t="n">
        <v>0</v>
      </c>
      <c r="R594" s="2" t="inlineStr"/>
    </row>
    <row r="595" ht="15" customHeight="1">
      <c r="A595" t="inlineStr">
        <is>
          <t>A 20994-2023</t>
        </is>
      </c>
      <c r="B595" s="1" t="n">
        <v>45056</v>
      </c>
      <c r="C595" s="1" t="n">
        <v>45941</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40246-2024</t>
        </is>
      </c>
      <c r="B596" s="1" t="n">
        <v>45554.61583333334</v>
      </c>
      <c r="C596" s="1" t="n">
        <v>45941</v>
      </c>
      <c r="D596" t="inlineStr">
        <is>
          <t>JÄMTLANDS LÄN</t>
        </is>
      </c>
      <c r="E596" t="inlineStr">
        <is>
          <t>RAGUNDA</t>
        </is>
      </c>
      <c r="G596" t="n">
        <v>1</v>
      </c>
      <c r="H596" t="n">
        <v>0</v>
      </c>
      <c r="I596" t="n">
        <v>0</v>
      </c>
      <c r="J596" t="n">
        <v>0</v>
      </c>
      <c r="K596" t="n">
        <v>0</v>
      </c>
      <c r="L596" t="n">
        <v>0</v>
      </c>
      <c r="M596" t="n">
        <v>0</v>
      </c>
      <c r="N596" t="n">
        <v>0</v>
      </c>
      <c r="O596" t="n">
        <v>0</v>
      </c>
      <c r="P596" t="n">
        <v>0</v>
      </c>
      <c r="Q596" t="n">
        <v>0</v>
      </c>
      <c r="R596" s="2" t="inlineStr"/>
    </row>
    <row r="597" ht="15" customHeight="1">
      <c r="A597" t="inlineStr">
        <is>
          <t>A 6490-2022</t>
        </is>
      </c>
      <c r="B597" s="1" t="n">
        <v>44601</v>
      </c>
      <c r="C597" s="1" t="n">
        <v>45941</v>
      </c>
      <c r="D597" t="inlineStr">
        <is>
          <t>JÄMTLANDS LÄN</t>
        </is>
      </c>
      <c r="E597" t="inlineStr">
        <is>
          <t>RAGUNDA</t>
        </is>
      </c>
      <c r="G597" t="n">
        <v>3.8</v>
      </c>
      <c r="H597" t="n">
        <v>0</v>
      </c>
      <c r="I597" t="n">
        <v>0</v>
      </c>
      <c r="J597" t="n">
        <v>0</v>
      </c>
      <c r="K597" t="n">
        <v>0</v>
      </c>
      <c r="L597" t="n">
        <v>0</v>
      </c>
      <c r="M597" t="n">
        <v>0</v>
      </c>
      <c r="N597" t="n">
        <v>0</v>
      </c>
      <c r="O597" t="n">
        <v>0</v>
      </c>
      <c r="P597" t="n">
        <v>0</v>
      </c>
      <c r="Q597" t="n">
        <v>0</v>
      </c>
      <c r="R597" s="2" t="inlineStr"/>
    </row>
    <row r="598" ht="15" customHeight="1">
      <c r="A598" t="inlineStr">
        <is>
          <t>A 23287-2024</t>
        </is>
      </c>
      <c r="B598" s="1" t="n">
        <v>45453.42041666667</v>
      </c>
      <c r="C598" s="1" t="n">
        <v>45941</v>
      </c>
      <c r="D598" t="inlineStr">
        <is>
          <t>JÄMTLANDS LÄN</t>
        </is>
      </c>
      <c r="E598" t="inlineStr">
        <is>
          <t>RAGUNDA</t>
        </is>
      </c>
      <c r="G598" t="n">
        <v>3.1</v>
      </c>
      <c r="H598" t="n">
        <v>0</v>
      </c>
      <c r="I598" t="n">
        <v>0</v>
      </c>
      <c r="J598" t="n">
        <v>0</v>
      </c>
      <c r="K598" t="n">
        <v>0</v>
      </c>
      <c r="L598" t="n">
        <v>0</v>
      </c>
      <c r="M598" t="n">
        <v>0</v>
      </c>
      <c r="N598" t="n">
        <v>0</v>
      </c>
      <c r="O598" t="n">
        <v>0</v>
      </c>
      <c r="P598" t="n">
        <v>0</v>
      </c>
      <c r="Q598" t="n">
        <v>0</v>
      </c>
      <c r="R598" s="2" t="inlineStr"/>
    </row>
    <row r="599" ht="15" customHeight="1">
      <c r="A599" t="inlineStr">
        <is>
          <t>A 60195-2023</t>
        </is>
      </c>
      <c r="B599" s="1" t="n">
        <v>45257</v>
      </c>
      <c r="C599" s="1" t="n">
        <v>45941</v>
      </c>
      <c r="D599" t="inlineStr">
        <is>
          <t>JÄMTLANDS LÄN</t>
        </is>
      </c>
      <c r="E599" t="inlineStr">
        <is>
          <t>RAGUNDA</t>
        </is>
      </c>
      <c r="G599" t="n">
        <v>1.7</v>
      </c>
      <c r="H599" t="n">
        <v>0</v>
      </c>
      <c r="I599" t="n">
        <v>0</v>
      </c>
      <c r="J599" t="n">
        <v>0</v>
      </c>
      <c r="K599" t="n">
        <v>0</v>
      </c>
      <c r="L599" t="n">
        <v>0</v>
      </c>
      <c r="M599" t="n">
        <v>0</v>
      </c>
      <c r="N599" t="n">
        <v>0</v>
      </c>
      <c r="O599" t="n">
        <v>0</v>
      </c>
      <c r="P599" t="n">
        <v>0</v>
      </c>
      <c r="Q599" t="n">
        <v>0</v>
      </c>
      <c r="R599" s="2" t="inlineStr"/>
    </row>
    <row r="600" ht="15" customHeight="1">
      <c r="A600" t="inlineStr">
        <is>
          <t>A 53740-2024</t>
        </is>
      </c>
      <c r="B600" s="1" t="n">
        <v>45615.47091435185</v>
      </c>
      <c r="C600" s="1" t="n">
        <v>45941</v>
      </c>
      <c r="D600" t="inlineStr">
        <is>
          <t>JÄMTLANDS LÄN</t>
        </is>
      </c>
      <c r="E600" t="inlineStr">
        <is>
          <t>RAGUNDA</t>
        </is>
      </c>
      <c r="G600" t="n">
        <v>2.7</v>
      </c>
      <c r="H600" t="n">
        <v>0</v>
      </c>
      <c r="I600" t="n">
        <v>0</v>
      </c>
      <c r="J600" t="n">
        <v>0</v>
      </c>
      <c r="K600" t="n">
        <v>0</v>
      </c>
      <c r="L600" t="n">
        <v>0</v>
      </c>
      <c r="M600" t="n">
        <v>0</v>
      </c>
      <c r="N600" t="n">
        <v>0</v>
      </c>
      <c r="O600" t="n">
        <v>0</v>
      </c>
      <c r="P600" t="n">
        <v>0</v>
      </c>
      <c r="Q600" t="n">
        <v>0</v>
      </c>
      <c r="R600" s="2" t="inlineStr"/>
    </row>
    <row r="601" ht="15" customHeight="1">
      <c r="A601" t="inlineStr">
        <is>
          <t>A 30880-2025</t>
        </is>
      </c>
      <c r="B601" s="1" t="n">
        <v>45832.34524305556</v>
      </c>
      <c r="C601" s="1" t="n">
        <v>45941</v>
      </c>
      <c r="D601" t="inlineStr">
        <is>
          <t>JÄMTLANDS LÄN</t>
        </is>
      </c>
      <c r="E601" t="inlineStr">
        <is>
          <t>RAGUNDA</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1325-2025</t>
        </is>
      </c>
      <c r="B602" s="1" t="n">
        <v>45667.57342592593</v>
      </c>
      <c r="C602" s="1" t="n">
        <v>45941</v>
      </c>
      <c r="D602" t="inlineStr">
        <is>
          <t>JÄMTLANDS LÄN</t>
        </is>
      </c>
      <c r="E602" t="inlineStr">
        <is>
          <t>RAGUNDA</t>
        </is>
      </c>
      <c r="F602" t="inlineStr">
        <is>
          <t>SCA</t>
        </is>
      </c>
      <c r="G602" t="n">
        <v>20.2</v>
      </c>
      <c r="H602" t="n">
        <v>0</v>
      </c>
      <c r="I602" t="n">
        <v>0</v>
      </c>
      <c r="J602" t="n">
        <v>0</v>
      </c>
      <c r="K602" t="n">
        <v>0</v>
      </c>
      <c r="L602" t="n">
        <v>0</v>
      </c>
      <c r="M602" t="n">
        <v>0</v>
      </c>
      <c r="N602" t="n">
        <v>0</v>
      </c>
      <c r="O602" t="n">
        <v>0</v>
      </c>
      <c r="P602" t="n">
        <v>0</v>
      </c>
      <c r="Q602" t="n">
        <v>0</v>
      </c>
      <c r="R602" s="2" t="inlineStr"/>
    </row>
    <row r="603" ht="15" customHeight="1">
      <c r="A603" t="inlineStr">
        <is>
          <t>A 30887-2025</t>
        </is>
      </c>
      <c r="B603" s="1" t="n">
        <v>45832.3459375</v>
      </c>
      <c r="C603" s="1" t="n">
        <v>45941</v>
      </c>
      <c r="D603" t="inlineStr">
        <is>
          <t>JÄMTLANDS LÄN</t>
        </is>
      </c>
      <c r="E603" t="inlineStr">
        <is>
          <t>RAGUNDA</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1326-2025</t>
        </is>
      </c>
      <c r="B604" s="1" t="n">
        <v>45667.57347222222</v>
      </c>
      <c r="C604" s="1" t="n">
        <v>45941</v>
      </c>
      <c r="D604" t="inlineStr">
        <is>
          <t>JÄMTLANDS LÄN</t>
        </is>
      </c>
      <c r="E604" t="inlineStr">
        <is>
          <t>RAGUNDA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2819-2023</t>
        </is>
      </c>
      <c r="B605" s="1" t="n">
        <v>44944</v>
      </c>
      <c r="C605" s="1" t="n">
        <v>45941</v>
      </c>
      <c r="D605" t="inlineStr">
        <is>
          <t>JÄMTLANDS LÄN</t>
        </is>
      </c>
      <c r="E605" t="inlineStr">
        <is>
          <t>RAGUNDA</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182-2023</t>
        </is>
      </c>
      <c r="B606" s="1" t="n">
        <v>44922</v>
      </c>
      <c r="C606" s="1" t="n">
        <v>45941</v>
      </c>
      <c r="D606" t="inlineStr">
        <is>
          <t>JÄMTLANDS LÄN</t>
        </is>
      </c>
      <c r="E606" t="inlineStr">
        <is>
          <t>RAGUNDA</t>
        </is>
      </c>
      <c r="G606" t="n">
        <v>1.4</v>
      </c>
      <c r="H606" t="n">
        <v>0</v>
      </c>
      <c r="I606" t="n">
        <v>0</v>
      </c>
      <c r="J606" t="n">
        <v>0</v>
      </c>
      <c r="K606" t="n">
        <v>0</v>
      </c>
      <c r="L606" t="n">
        <v>0</v>
      </c>
      <c r="M606" t="n">
        <v>0</v>
      </c>
      <c r="N606" t="n">
        <v>0</v>
      </c>
      <c r="O606" t="n">
        <v>0</v>
      </c>
      <c r="P606" t="n">
        <v>0</v>
      </c>
      <c r="Q606" t="n">
        <v>0</v>
      </c>
      <c r="R606" s="2" t="inlineStr"/>
    </row>
    <row r="607" ht="15" customHeight="1">
      <c r="A607" t="inlineStr">
        <is>
          <t>A 66011-2021</t>
        </is>
      </c>
      <c r="B607" s="1" t="n">
        <v>44517.58137731482</v>
      </c>
      <c r="C607" s="1" t="n">
        <v>45941</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14696-2022</t>
        </is>
      </c>
      <c r="B608" s="1" t="n">
        <v>44655</v>
      </c>
      <c r="C608" s="1" t="n">
        <v>45941</v>
      </c>
      <c r="D608" t="inlineStr">
        <is>
          <t>JÄMTLANDS LÄN</t>
        </is>
      </c>
      <c r="E608" t="inlineStr">
        <is>
          <t>RAGUNDA</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32904-2024</t>
        </is>
      </c>
      <c r="B609" s="1" t="n">
        <v>45516.94732638889</v>
      </c>
      <c r="C609" s="1" t="n">
        <v>45941</v>
      </c>
      <c r="D609" t="inlineStr">
        <is>
          <t>JÄMTLANDS LÄN</t>
        </is>
      </c>
      <c r="E609" t="inlineStr">
        <is>
          <t>RAGUNDA</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21853-2024</t>
        </is>
      </c>
      <c r="B610" s="1" t="n">
        <v>45442.96296296296</v>
      </c>
      <c r="C610" s="1" t="n">
        <v>45941</v>
      </c>
      <c r="D610" t="inlineStr">
        <is>
          <t>JÄMTLANDS LÄN</t>
        </is>
      </c>
      <c r="E610" t="inlineStr">
        <is>
          <t>RAGUNDA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50160-2023</t>
        </is>
      </c>
      <c r="B611" s="1" t="n">
        <v>45208</v>
      </c>
      <c r="C611" s="1" t="n">
        <v>45941</v>
      </c>
      <c r="D611" t="inlineStr">
        <is>
          <t>JÄMTLANDS LÄN</t>
        </is>
      </c>
      <c r="E611" t="inlineStr">
        <is>
          <t>RAGUNDA</t>
        </is>
      </c>
      <c r="G611" t="n">
        <v>4.6</v>
      </c>
      <c r="H611" t="n">
        <v>0</v>
      </c>
      <c r="I611" t="n">
        <v>0</v>
      </c>
      <c r="J611" t="n">
        <v>0</v>
      </c>
      <c r="K611" t="n">
        <v>0</v>
      </c>
      <c r="L611" t="n">
        <v>0</v>
      </c>
      <c r="M611" t="n">
        <v>0</v>
      </c>
      <c r="N611" t="n">
        <v>0</v>
      </c>
      <c r="O611" t="n">
        <v>0</v>
      </c>
      <c r="P611" t="n">
        <v>0</v>
      </c>
      <c r="Q611" t="n">
        <v>0</v>
      </c>
      <c r="R611" s="2" t="inlineStr"/>
    </row>
    <row r="612" ht="15" customHeight="1">
      <c r="A612" t="inlineStr">
        <is>
          <t>A 29775-2023</t>
        </is>
      </c>
      <c r="B612" s="1" t="n">
        <v>45098</v>
      </c>
      <c r="C612" s="1" t="n">
        <v>45941</v>
      </c>
      <c r="D612" t="inlineStr">
        <is>
          <t>JÄMTLANDS LÄN</t>
        </is>
      </c>
      <c r="E612" t="inlineStr">
        <is>
          <t>RAGUNDA</t>
        </is>
      </c>
      <c r="G612" t="n">
        <v>3.6</v>
      </c>
      <c r="H612" t="n">
        <v>0</v>
      </c>
      <c r="I612" t="n">
        <v>0</v>
      </c>
      <c r="J612" t="n">
        <v>0</v>
      </c>
      <c r="K612" t="n">
        <v>0</v>
      </c>
      <c r="L612" t="n">
        <v>0</v>
      </c>
      <c r="M612" t="n">
        <v>0</v>
      </c>
      <c r="N612" t="n">
        <v>0</v>
      </c>
      <c r="O612" t="n">
        <v>0</v>
      </c>
      <c r="P612" t="n">
        <v>0</v>
      </c>
      <c r="Q612" t="n">
        <v>0</v>
      </c>
      <c r="R612" s="2" t="inlineStr"/>
    </row>
    <row r="613" ht="15" customHeight="1">
      <c r="A613" t="inlineStr">
        <is>
          <t>A 40365-2024</t>
        </is>
      </c>
      <c r="B613" s="1" t="n">
        <v>45555.38509259259</v>
      </c>
      <c r="C613" s="1" t="n">
        <v>45941</v>
      </c>
      <c r="D613" t="inlineStr">
        <is>
          <t>JÄMTLANDS LÄN</t>
        </is>
      </c>
      <c r="E613" t="inlineStr">
        <is>
          <t>RAGUNDA</t>
        </is>
      </c>
      <c r="G613" t="n">
        <v>7.8</v>
      </c>
      <c r="H613" t="n">
        <v>0</v>
      </c>
      <c r="I613" t="n">
        <v>0</v>
      </c>
      <c r="J613" t="n">
        <v>0</v>
      </c>
      <c r="K613" t="n">
        <v>0</v>
      </c>
      <c r="L613" t="n">
        <v>0</v>
      </c>
      <c r="M613" t="n">
        <v>0</v>
      </c>
      <c r="N613" t="n">
        <v>0</v>
      </c>
      <c r="O613" t="n">
        <v>0</v>
      </c>
      <c r="P613" t="n">
        <v>0</v>
      </c>
      <c r="Q613" t="n">
        <v>0</v>
      </c>
      <c r="R613" s="2" t="inlineStr"/>
    </row>
    <row r="614" ht="15" customHeight="1">
      <c r="A614" t="inlineStr">
        <is>
          <t>A 45952-2023</t>
        </is>
      </c>
      <c r="B614" s="1" t="n">
        <v>45195</v>
      </c>
      <c r="C614" s="1" t="n">
        <v>45941</v>
      </c>
      <c r="D614" t="inlineStr">
        <is>
          <t>JÄMTLANDS LÄN</t>
        </is>
      </c>
      <c r="E614" t="inlineStr">
        <is>
          <t>RAGUNDA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45954-2023</t>
        </is>
      </c>
      <c r="B615" s="1" t="n">
        <v>45195.94679398148</v>
      </c>
      <c r="C615" s="1" t="n">
        <v>45941</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45955-2023</t>
        </is>
      </c>
      <c r="B616" s="1" t="n">
        <v>45195.94685185186</v>
      </c>
      <c r="C616" s="1" t="n">
        <v>45941</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31882-2025</t>
        </is>
      </c>
      <c r="B617" s="1" t="n">
        <v>45834.65662037037</v>
      </c>
      <c r="C617" s="1" t="n">
        <v>45941</v>
      </c>
      <c r="D617" t="inlineStr">
        <is>
          <t>JÄMTLANDS LÄN</t>
        </is>
      </c>
      <c r="E617" t="inlineStr">
        <is>
          <t>RAGUNDA</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8787-2022</t>
        </is>
      </c>
      <c r="B618" s="1" t="n">
        <v>44614</v>
      </c>
      <c r="C618" s="1" t="n">
        <v>45941</v>
      </c>
      <c r="D618" t="inlineStr">
        <is>
          <t>JÄMTLANDS LÄN</t>
        </is>
      </c>
      <c r="E618" t="inlineStr">
        <is>
          <t>RAGUNDA</t>
        </is>
      </c>
      <c r="G618" t="n">
        <v>6.4</v>
      </c>
      <c r="H618" t="n">
        <v>0</v>
      </c>
      <c r="I618" t="n">
        <v>0</v>
      </c>
      <c r="J618" t="n">
        <v>0</v>
      </c>
      <c r="K618" t="n">
        <v>0</v>
      </c>
      <c r="L618" t="n">
        <v>0</v>
      </c>
      <c r="M618" t="n">
        <v>0</v>
      </c>
      <c r="N618" t="n">
        <v>0</v>
      </c>
      <c r="O618" t="n">
        <v>0</v>
      </c>
      <c r="P618" t="n">
        <v>0</v>
      </c>
      <c r="Q618" t="n">
        <v>0</v>
      </c>
      <c r="R618" s="2" t="inlineStr"/>
    </row>
    <row r="619" ht="15" customHeight="1">
      <c r="A619" t="inlineStr">
        <is>
          <t>A 5308-2025</t>
        </is>
      </c>
      <c r="B619" s="1" t="n">
        <v>45692.49008101852</v>
      </c>
      <c r="C619" s="1" t="n">
        <v>45941</v>
      </c>
      <c r="D619" t="inlineStr">
        <is>
          <t>JÄMTLANDS LÄN</t>
        </is>
      </c>
      <c r="E619" t="inlineStr">
        <is>
          <t>RAGUNDA</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32762-2025</t>
        </is>
      </c>
      <c r="B620" s="1" t="n">
        <v>45838</v>
      </c>
      <c r="C620" s="1" t="n">
        <v>45941</v>
      </c>
      <c r="D620" t="inlineStr">
        <is>
          <t>JÄMTLANDS LÄN</t>
        </is>
      </c>
      <c r="E620" t="inlineStr">
        <is>
          <t>RAGUNDA</t>
        </is>
      </c>
      <c r="G620" t="n">
        <v>0.6</v>
      </c>
      <c r="H620" t="n">
        <v>0</v>
      </c>
      <c r="I620" t="n">
        <v>0</v>
      </c>
      <c r="J620" t="n">
        <v>0</v>
      </c>
      <c r="K620" t="n">
        <v>0</v>
      </c>
      <c r="L620" t="n">
        <v>0</v>
      </c>
      <c r="M620" t="n">
        <v>0</v>
      </c>
      <c r="N620" t="n">
        <v>0</v>
      </c>
      <c r="O620" t="n">
        <v>0</v>
      </c>
      <c r="P620" t="n">
        <v>0</v>
      </c>
      <c r="Q620" t="n">
        <v>0</v>
      </c>
      <c r="R620" s="2" t="inlineStr"/>
    </row>
    <row r="621" ht="15" customHeight="1">
      <c r="A621" t="inlineStr">
        <is>
          <t>A 60456-2023</t>
        </is>
      </c>
      <c r="B621" s="1" t="n">
        <v>45258</v>
      </c>
      <c r="C621" s="1" t="n">
        <v>45941</v>
      </c>
      <c r="D621" t="inlineStr">
        <is>
          <t>JÄMTLANDS LÄN</t>
        </is>
      </c>
      <c r="E621" t="inlineStr">
        <is>
          <t>RAGUNDA</t>
        </is>
      </c>
      <c r="G621" t="n">
        <v>1.8</v>
      </c>
      <c r="H621" t="n">
        <v>0</v>
      </c>
      <c r="I621" t="n">
        <v>0</v>
      </c>
      <c r="J621" t="n">
        <v>0</v>
      </c>
      <c r="K621" t="n">
        <v>0</v>
      </c>
      <c r="L621" t="n">
        <v>0</v>
      </c>
      <c r="M621" t="n">
        <v>0</v>
      </c>
      <c r="N621" t="n">
        <v>0</v>
      </c>
      <c r="O621" t="n">
        <v>0</v>
      </c>
      <c r="P621" t="n">
        <v>0</v>
      </c>
      <c r="Q621" t="n">
        <v>0</v>
      </c>
      <c r="R621" s="2" t="inlineStr"/>
    </row>
    <row r="622" ht="15" customHeight="1">
      <c r="A622" t="inlineStr">
        <is>
          <t>A 32306-2025</t>
        </is>
      </c>
      <c r="B622" s="1" t="n">
        <v>45835.72046296296</v>
      </c>
      <c r="C622" s="1" t="n">
        <v>45941</v>
      </c>
      <c r="D622" t="inlineStr">
        <is>
          <t>JÄMTLANDS LÄN</t>
        </is>
      </c>
      <c r="E622" t="inlineStr">
        <is>
          <t>RAGUNDA</t>
        </is>
      </c>
      <c r="G622" t="n">
        <v>10.2</v>
      </c>
      <c r="H622" t="n">
        <v>0</v>
      </c>
      <c r="I622" t="n">
        <v>0</v>
      </c>
      <c r="J622" t="n">
        <v>0</v>
      </c>
      <c r="K622" t="n">
        <v>0</v>
      </c>
      <c r="L622" t="n">
        <v>0</v>
      </c>
      <c r="M622" t="n">
        <v>0</v>
      </c>
      <c r="N622" t="n">
        <v>0</v>
      </c>
      <c r="O622" t="n">
        <v>0</v>
      </c>
      <c r="P622" t="n">
        <v>0</v>
      </c>
      <c r="Q622" t="n">
        <v>0</v>
      </c>
      <c r="R622" s="2" t="inlineStr"/>
    </row>
    <row r="623" ht="15" customHeight="1">
      <c r="A623" t="inlineStr">
        <is>
          <t>A 32757-2025</t>
        </is>
      </c>
      <c r="B623" s="1" t="n">
        <v>45838</v>
      </c>
      <c r="C623" s="1" t="n">
        <v>45941</v>
      </c>
      <c r="D623" t="inlineStr">
        <is>
          <t>JÄMTLANDS LÄN</t>
        </is>
      </c>
      <c r="E623" t="inlineStr">
        <is>
          <t>RAGUNDA</t>
        </is>
      </c>
      <c r="G623" t="n">
        <v>4.5</v>
      </c>
      <c r="H623" t="n">
        <v>0</v>
      </c>
      <c r="I623" t="n">
        <v>0</v>
      </c>
      <c r="J623" t="n">
        <v>0</v>
      </c>
      <c r="K623" t="n">
        <v>0</v>
      </c>
      <c r="L623" t="n">
        <v>0</v>
      </c>
      <c r="M623" t="n">
        <v>0</v>
      </c>
      <c r="N623" t="n">
        <v>0</v>
      </c>
      <c r="O623" t="n">
        <v>0</v>
      </c>
      <c r="P623" t="n">
        <v>0</v>
      </c>
      <c r="Q623" t="n">
        <v>0</v>
      </c>
      <c r="R623" s="2" t="inlineStr"/>
    </row>
    <row r="624" ht="15" customHeight="1">
      <c r="A624" t="inlineStr">
        <is>
          <t>A 32660-2025</t>
        </is>
      </c>
      <c r="B624" s="1" t="n">
        <v>45838.67887731481</v>
      </c>
      <c r="C624" s="1" t="n">
        <v>45941</v>
      </c>
      <c r="D624" t="inlineStr">
        <is>
          <t>JÄMTLANDS LÄN</t>
        </is>
      </c>
      <c r="E624" t="inlineStr">
        <is>
          <t>RAGUNDA</t>
        </is>
      </c>
      <c r="F624" t="inlineStr">
        <is>
          <t>SCA</t>
        </is>
      </c>
      <c r="G624" t="n">
        <v>10.3</v>
      </c>
      <c r="H624" t="n">
        <v>0</v>
      </c>
      <c r="I624" t="n">
        <v>0</v>
      </c>
      <c r="J624" t="n">
        <v>0</v>
      </c>
      <c r="K624" t="n">
        <v>0</v>
      </c>
      <c r="L624" t="n">
        <v>0</v>
      </c>
      <c r="M624" t="n">
        <v>0</v>
      </c>
      <c r="N624" t="n">
        <v>0</v>
      </c>
      <c r="O624" t="n">
        <v>0</v>
      </c>
      <c r="P624" t="n">
        <v>0</v>
      </c>
      <c r="Q624" t="n">
        <v>0</v>
      </c>
      <c r="R624" s="2" t="inlineStr"/>
    </row>
    <row r="625" ht="15" customHeight="1">
      <c r="A625" t="inlineStr">
        <is>
          <t>A 58438-2022</t>
        </is>
      </c>
      <c r="B625" s="1" t="n">
        <v>44901</v>
      </c>
      <c r="C625" s="1" t="n">
        <v>45941</v>
      </c>
      <c r="D625" t="inlineStr">
        <is>
          <t>JÄMTLANDS LÄN</t>
        </is>
      </c>
      <c r="E625" t="inlineStr">
        <is>
          <t>RAGUNDA</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58442-2022</t>
        </is>
      </c>
      <c r="B626" s="1" t="n">
        <v>44901</v>
      </c>
      <c r="C626" s="1" t="n">
        <v>45941</v>
      </c>
      <c r="D626" t="inlineStr">
        <is>
          <t>JÄMTLANDS LÄN</t>
        </is>
      </c>
      <c r="E626" t="inlineStr">
        <is>
          <t>RAGUNDA</t>
        </is>
      </c>
      <c r="F626" t="inlineStr">
        <is>
          <t>SCA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32527-2025</t>
        </is>
      </c>
      <c r="B627" s="1" t="n">
        <v>45838.48996527777</v>
      </c>
      <c r="C627" s="1" t="n">
        <v>45941</v>
      </c>
      <c r="D627" t="inlineStr">
        <is>
          <t>JÄMTLANDS LÄN</t>
        </is>
      </c>
      <c r="E627" t="inlineStr">
        <is>
          <t>RAGUNDA</t>
        </is>
      </c>
      <c r="G627" t="n">
        <v>5</v>
      </c>
      <c r="H627" t="n">
        <v>0</v>
      </c>
      <c r="I627" t="n">
        <v>0</v>
      </c>
      <c r="J627" t="n">
        <v>0</v>
      </c>
      <c r="K627" t="n">
        <v>0</v>
      </c>
      <c r="L627" t="n">
        <v>0</v>
      </c>
      <c r="M627" t="n">
        <v>0</v>
      </c>
      <c r="N627" t="n">
        <v>0</v>
      </c>
      <c r="O627" t="n">
        <v>0</v>
      </c>
      <c r="P627" t="n">
        <v>0</v>
      </c>
      <c r="Q627" t="n">
        <v>0</v>
      </c>
      <c r="R627" s="2" t="inlineStr"/>
    </row>
    <row r="628" ht="15" customHeight="1">
      <c r="A628" t="inlineStr">
        <is>
          <t>A 45253-2023</t>
        </is>
      </c>
      <c r="B628" s="1" t="n">
        <v>45187</v>
      </c>
      <c r="C628" s="1" t="n">
        <v>45941</v>
      </c>
      <c r="D628" t="inlineStr">
        <is>
          <t>JÄMTLANDS LÄN</t>
        </is>
      </c>
      <c r="E628" t="inlineStr">
        <is>
          <t>RAGUNDA</t>
        </is>
      </c>
      <c r="G628" t="n">
        <v>3.3</v>
      </c>
      <c r="H628" t="n">
        <v>0</v>
      </c>
      <c r="I628" t="n">
        <v>0</v>
      </c>
      <c r="J628" t="n">
        <v>0</v>
      </c>
      <c r="K628" t="n">
        <v>0</v>
      </c>
      <c r="L628" t="n">
        <v>0</v>
      </c>
      <c r="M628" t="n">
        <v>0</v>
      </c>
      <c r="N628" t="n">
        <v>0</v>
      </c>
      <c r="O628" t="n">
        <v>0</v>
      </c>
      <c r="P628" t="n">
        <v>0</v>
      </c>
      <c r="Q628" t="n">
        <v>0</v>
      </c>
      <c r="R628" s="2" t="inlineStr"/>
    </row>
    <row r="629" ht="15" customHeight="1">
      <c r="A629" t="inlineStr">
        <is>
          <t>A 32021-2025</t>
        </is>
      </c>
      <c r="B629" s="1" t="n">
        <v>45835.40668981482</v>
      </c>
      <c r="C629" s="1" t="n">
        <v>45941</v>
      </c>
      <c r="D629" t="inlineStr">
        <is>
          <t>JÄMTLANDS LÄN</t>
        </is>
      </c>
      <c r="E629" t="inlineStr">
        <is>
          <t>RAGUNDA</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32655-2025</t>
        </is>
      </c>
      <c r="B630" s="1" t="n">
        <v>45838.67800925926</v>
      </c>
      <c r="C630" s="1" t="n">
        <v>45941</v>
      </c>
      <c r="D630" t="inlineStr">
        <is>
          <t>JÄMTLANDS LÄN</t>
        </is>
      </c>
      <c r="E630" t="inlineStr">
        <is>
          <t>RAGUNDA</t>
        </is>
      </c>
      <c r="G630" t="n">
        <v>2.8</v>
      </c>
      <c r="H630" t="n">
        <v>0</v>
      </c>
      <c r="I630" t="n">
        <v>0</v>
      </c>
      <c r="J630" t="n">
        <v>0</v>
      </c>
      <c r="K630" t="n">
        <v>0</v>
      </c>
      <c r="L630" t="n">
        <v>0</v>
      </c>
      <c r="M630" t="n">
        <v>0</v>
      </c>
      <c r="N630" t="n">
        <v>0</v>
      </c>
      <c r="O630" t="n">
        <v>0</v>
      </c>
      <c r="P630" t="n">
        <v>0</v>
      </c>
      <c r="Q630" t="n">
        <v>0</v>
      </c>
      <c r="R630" s="2" t="inlineStr"/>
    </row>
    <row r="631" ht="15" customHeight="1">
      <c r="A631" t="inlineStr">
        <is>
          <t>A 32151-2025</t>
        </is>
      </c>
      <c r="B631" s="1" t="n">
        <v>45835.53166666667</v>
      </c>
      <c r="C631" s="1" t="n">
        <v>45941</v>
      </c>
      <c r="D631" t="inlineStr">
        <is>
          <t>JÄMTLANDS LÄN</t>
        </is>
      </c>
      <c r="E631" t="inlineStr">
        <is>
          <t>RAGUNDA</t>
        </is>
      </c>
      <c r="F631" t="inlineStr">
        <is>
          <t>SCA</t>
        </is>
      </c>
      <c r="G631" t="n">
        <v>12.3</v>
      </c>
      <c r="H631" t="n">
        <v>0</v>
      </c>
      <c r="I631" t="n">
        <v>0</v>
      </c>
      <c r="J631" t="n">
        <v>0</v>
      </c>
      <c r="K631" t="n">
        <v>0</v>
      </c>
      <c r="L631" t="n">
        <v>0</v>
      </c>
      <c r="M631" t="n">
        <v>0</v>
      </c>
      <c r="N631" t="n">
        <v>0</v>
      </c>
      <c r="O631" t="n">
        <v>0</v>
      </c>
      <c r="P631" t="n">
        <v>0</v>
      </c>
      <c r="Q631" t="n">
        <v>0</v>
      </c>
      <c r="R631" s="2" t="inlineStr"/>
    </row>
    <row r="632" ht="15" customHeight="1">
      <c r="A632" t="inlineStr">
        <is>
          <t>A 49229-2024</t>
        </is>
      </c>
      <c r="B632" s="1" t="n">
        <v>45595.42738425926</v>
      </c>
      <c r="C632" s="1" t="n">
        <v>45941</v>
      </c>
      <c r="D632" t="inlineStr">
        <is>
          <t>JÄMTLANDS LÄN</t>
        </is>
      </c>
      <c r="E632" t="inlineStr">
        <is>
          <t>RAGUNDA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32096-2025</t>
        </is>
      </c>
      <c r="B633" s="1" t="n">
        <v>45835.46334490741</v>
      </c>
      <c r="C633" s="1" t="n">
        <v>45941</v>
      </c>
      <c r="D633" t="inlineStr">
        <is>
          <t>JÄMTLANDS LÄN</t>
        </is>
      </c>
      <c r="E633" t="inlineStr">
        <is>
          <t>RAGUNDA</t>
        </is>
      </c>
      <c r="G633" t="n">
        <v>0.9</v>
      </c>
      <c r="H633" t="n">
        <v>0</v>
      </c>
      <c r="I633" t="n">
        <v>0</v>
      </c>
      <c r="J633" t="n">
        <v>0</v>
      </c>
      <c r="K633" t="n">
        <v>0</v>
      </c>
      <c r="L633" t="n">
        <v>0</v>
      </c>
      <c r="M633" t="n">
        <v>0</v>
      </c>
      <c r="N633" t="n">
        <v>0</v>
      </c>
      <c r="O633" t="n">
        <v>0</v>
      </c>
      <c r="P633" t="n">
        <v>0</v>
      </c>
      <c r="Q633" t="n">
        <v>0</v>
      </c>
      <c r="R633" s="2" t="inlineStr"/>
    </row>
    <row r="634" ht="15" customHeight="1">
      <c r="A634" t="inlineStr">
        <is>
          <t>A 32748-2025</t>
        </is>
      </c>
      <c r="B634" s="1" t="n">
        <v>45839.42822916667</v>
      </c>
      <c r="C634" s="1" t="n">
        <v>45941</v>
      </c>
      <c r="D634" t="inlineStr">
        <is>
          <t>JÄMTLANDS LÄN</t>
        </is>
      </c>
      <c r="E634" t="inlineStr">
        <is>
          <t>RAGUNDA</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32777-2025</t>
        </is>
      </c>
      <c r="B635" s="1" t="n">
        <v>45839.46915509259</v>
      </c>
      <c r="C635" s="1" t="n">
        <v>45941</v>
      </c>
      <c r="D635" t="inlineStr">
        <is>
          <t>JÄMTLANDS LÄN</t>
        </is>
      </c>
      <c r="E635" t="inlineStr">
        <is>
          <t>RAGUNDA</t>
        </is>
      </c>
      <c r="F635" t="inlineStr">
        <is>
          <t>SCA</t>
        </is>
      </c>
      <c r="G635" t="n">
        <v>21.7</v>
      </c>
      <c r="H635" t="n">
        <v>0</v>
      </c>
      <c r="I635" t="n">
        <v>0</v>
      </c>
      <c r="J635" t="n">
        <v>0</v>
      </c>
      <c r="K635" t="n">
        <v>0</v>
      </c>
      <c r="L635" t="n">
        <v>0</v>
      </c>
      <c r="M635" t="n">
        <v>0</v>
      </c>
      <c r="N635" t="n">
        <v>0</v>
      </c>
      <c r="O635" t="n">
        <v>0</v>
      </c>
      <c r="P635" t="n">
        <v>0</v>
      </c>
      <c r="Q635" t="n">
        <v>0</v>
      </c>
      <c r="R635" s="2" t="inlineStr"/>
    </row>
    <row r="636" ht="15" customHeight="1">
      <c r="A636" t="inlineStr">
        <is>
          <t>A 3104-2025</t>
        </is>
      </c>
      <c r="B636" s="1" t="n">
        <v>45678.67761574074</v>
      </c>
      <c r="C636" s="1" t="n">
        <v>45941</v>
      </c>
      <c r="D636" t="inlineStr">
        <is>
          <t>JÄMTLANDS LÄN</t>
        </is>
      </c>
      <c r="E636" t="inlineStr">
        <is>
          <t>RAGUNDA</t>
        </is>
      </c>
      <c r="F636" t="inlineStr">
        <is>
          <t>SCA</t>
        </is>
      </c>
      <c r="G636" t="n">
        <v>46.2</v>
      </c>
      <c r="H636" t="n">
        <v>0</v>
      </c>
      <c r="I636" t="n">
        <v>0</v>
      </c>
      <c r="J636" t="n">
        <v>0</v>
      </c>
      <c r="K636" t="n">
        <v>0</v>
      </c>
      <c r="L636" t="n">
        <v>0</v>
      </c>
      <c r="M636" t="n">
        <v>0</v>
      </c>
      <c r="N636" t="n">
        <v>0</v>
      </c>
      <c r="O636" t="n">
        <v>0</v>
      </c>
      <c r="P636" t="n">
        <v>0</v>
      </c>
      <c r="Q636" t="n">
        <v>0</v>
      </c>
      <c r="R636" s="2" t="inlineStr"/>
    </row>
    <row r="637" ht="15" customHeight="1">
      <c r="A637" t="inlineStr">
        <is>
          <t>A 32430-2025</t>
        </is>
      </c>
      <c r="B637" s="1" t="n">
        <v>45838.36532407408</v>
      </c>
      <c r="C637" s="1" t="n">
        <v>45941</v>
      </c>
      <c r="D637" t="inlineStr">
        <is>
          <t>JÄMTLANDS LÄN</t>
        </is>
      </c>
      <c r="E637" t="inlineStr">
        <is>
          <t>RAGUNDA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32796-2025</t>
        </is>
      </c>
      <c r="B638" s="1" t="n">
        <v>45839.49082175926</v>
      </c>
      <c r="C638" s="1" t="n">
        <v>45941</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32747-2025</t>
        </is>
      </c>
      <c r="B639" s="1" t="n">
        <v>45839.42810185185</v>
      </c>
      <c r="C639" s="1" t="n">
        <v>45941</v>
      </c>
      <c r="D639" t="inlineStr">
        <is>
          <t>JÄMTLANDS LÄN</t>
        </is>
      </c>
      <c r="E639" t="inlineStr">
        <is>
          <t>RAGUNDA</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55524-2024</t>
        </is>
      </c>
      <c r="B640" s="1" t="n">
        <v>45622.47435185185</v>
      </c>
      <c r="C640" s="1" t="n">
        <v>45941</v>
      </c>
      <c r="D640" t="inlineStr">
        <is>
          <t>JÄMTLANDS LÄN</t>
        </is>
      </c>
      <c r="E640" t="inlineStr">
        <is>
          <t>RAGUNDA</t>
        </is>
      </c>
      <c r="G640" t="n">
        <v>1.4</v>
      </c>
      <c r="H640" t="n">
        <v>0</v>
      </c>
      <c r="I640" t="n">
        <v>0</v>
      </c>
      <c r="J640" t="n">
        <v>0</v>
      </c>
      <c r="K640" t="n">
        <v>0</v>
      </c>
      <c r="L640" t="n">
        <v>0</v>
      </c>
      <c r="M640" t="n">
        <v>0</v>
      </c>
      <c r="N640" t="n">
        <v>0</v>
      </c>
      <c r="O640" t="n">
        <v>0</v>
      </c>
      <c r="P640" t="n">
        <v>0</v>
      </c>
      <c r="Q640" t="n">
        <v>0</v>
      </c>
      <c r="R640" s="2" t="inlineStr"/>
    </row>
    <row r="641" ht="15" customHeight="1">
      <c r="A641" t="inlineStr">
        <is>
          <t>A 19419-2024</t>
        </is>
      </c>
      <c r="B641" s="1" t="n">
        <v>45429</v>
      </c>
      <c r="C641" s="1" t="n">
        <v>45941</v>
      </c>
      <c r="D641" t="inlineStr">
        <is>
          <t>JÄMTLANDS LÄN</t>
        </is>
      </c>
      <c r="E641" t="inlineStr">
        <is>
          <t>RAGUNDA</t>
        </is>
      </c>
      <c r="G641" t="n">
        <v>3.5</v>
      </c>
      <c r="H641" t="n">
        <v>0</v>
      </c>
      <c r="I641" t="n">
        <v>0</v>
      </c>
      <c r="J641" t="n">
        <v>0</v>
      </c>
      <c r="K641" t="n">
        <v>0</v>
      </c>
      <c r="L641" t="n">
        <v>0</v>
      </c>
      <c r="M641" t="n">
        <v>0</v>
      </c>
      <c r="N641" t="n">
        <v>0</v>
      </c>
      <c r="O641" t="n">
        <v>0</v>
      </c>
      <c r="P641" t="n">
        <v>0</v>
      </c>
      <c r="Q641" t="n">
        <v>0</v>
      </c>
      <c r="R641" s="2" t="inlineStr"/>
    </row>
    <row r="642" ht="15" customHeight="1">
      <c r="A642" t="inlineStr">
        <is>
          <t>A 32751-2025</t>
        </is>
      </c>
      <c r="B642" s="1" t="n">
        <v>45839.42864583333</v>
      </c>
      <c r="C642" s="1" t="n">
        <v>45941</v>
      </c>
      <c r="D642" t="inlineStr">
        <is>
          <t>JÄMTLANDS LÄN</t>
        </is>
      </c>
      <c r="E642" t="inlineStr">
        <is>
          <t>RAGUNDA</t>
        </is>
      </c>
      <c r="F642" t="inlineStr">
        <is>
          <t>SCA</t>
        </is>
      </c>
      <c r="G642" t="n">
        <v>10</v>
      </c>
      <c r="H642" t="n">
        <v>0</v>
      </c>
      <c r="I642" t="n">
        <v>0</v>
      </c>
      <c r="J642" t="n">
        <v>0</v>
      </c>
      <c r="K642" t="n">
        <v>0</v>
      </c>
      <c r="L642" t="n">
        <v>0</v>
      </c>
      <c r="M642" t="n">
        <v>0</v>
      </c>
      <c r="N642" t="n">
        <v>0</v>
      </c>
      <c r="O642" t="n">
        <v>0</v>
      </c>
      <c r="P642" t="n">
        <v>0</v>
      </c>
      <c r="Q642" t="n">
        <v>0</v>
      </c>
      <c r="R642" s="2" t="inlineStr"/>
    </row>
    <row r="643" ht="15" customHeight="1">
      <c r="A643" t="inlineStr">
        <is>
          <t>A 32846-2025</t>
        </is>
      </c>
      <c r="B643" s="1" t="n">
        <v>45839.57331018519</v>
      </c>
      <c r="C643" s="1" t="n">
        <v>45941</v>
      </c>
      <c r="D643" t="inlineStr">
        <is>
          <t>JÄMTLANDS LÄN</t>
        </is>
      </c>
      <c r="E643" t="inlineStr">
        <is>
          <t>RAGUNDA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33140-2025</t>
        </is>
      </c>
      <c r="B644" s="1" t="n">
        <v>45840.52225694444</v>
      </c>
      <c r="C644" s="1" t="n">
        <v>45941</v>
      </c>
      <c r="D644" t="inlineStr">
        <is>
          <t>JÄMTLANDS LÄN</t>
        </is>
      </c>
      <c r="E644" t="inlineStr">
        <is>
          <t>RAGUNDA</t>
        </is>
      </c>
      <c r="G644" t="n">
        <v>2</v>
      </c>
      <c r="H644" t="n">
        <v>0</v>
      </c>
      <c r="I644" t="n">
        <v>0</v>
      </c>
      <c r="J644" t="n">
        <v>0</v>
      </c>
      <c r="K644" t="n">
        <v>0</v>
      </c>
      <c r="L644" t="n">
        <v>0</v>
      </c>
      <c r="M644" t="n">
        <v>0</v>
      </c>
      <c r="N644" t="n">
        <v>0</v>
      </c>
      <c r="O644" t="n">
        <v>0</v>
      </c>
      <c r="P644" t="n">
        <v>0</v>
      </c>
      <c r="Q644" t="n">
        <v>0</v>
      </c>
      <c r="R644" s="2" t="inlineStr"/>
    </row>
    <row r="645" ht="15" customHeight="1">
      <c r="A645" t="inlineStr">
        <is>
          <t>A 33763-2025</t>
        </is>
      </c>
      <c r="B645" s="1" t="n">
        <v>45842.38579861111</v>
      </c>
      <c r="C645" s="1" t="n">
        <v>45941</v>
      </c>
      <c r="D645" t="inlineStr">
        <is>
          <t>JÄMTLANDS LÄN</t>
        </is>
      </c>
      <c r="E645" t="inlineStr">
        <is>
          <t>RAGUNDA</t>
        </is>
      </c>
      <c r="F645" t="inlineStr">
        <is>
          <t>SCA</t>
        </is>
      </c>
      <c r="G645" t="n">
        <v>13.4</v>
      </c>
      <c r="H645" t="n">
        <v>0</v>
      </c>
      <c r="I645" t="n">
        <v>0</v>
      </c>
      <c r="J645" t="n">
        <v>0</v>
      </c>
      <c r="K645" t="n">
        <v>0</v>
      </c>
      <c r="L645" t="n">
        <v>0</v>
      </c>
      <c r="M645" t="n">
        <v>0</v>
      </c>
      <c r="N645" t="n">
        <v>0</v>
      </c>
      <c r="O645" t="n">
        <v>0</v>
      </c>
      <c r="P645" t="n">
        <v>0</v>
      </c>
      <c r="Q645" t="n">
        <v>0</v>
      </c>
      <c r="R645" s="2" t="inlineStr"/>
    </row>
    <row r="646" ht="15" customHeight="1">
      <c r="A646" t="inlineStr">
        <is>
          <t>A 36046-2023</t>
        </is>
      </c>
      <c r="B646" s="1" t="n">
        <v>45148</v>
      </c>
      <c r="C646" s="1" t="n">
        <v>45941</v>
      </c>
      <c r="D646" t="inlineStr">
        <is>
          <t>JÄMTLANDS LÄN</t>
        </is>
      </c>
      <c r="E646" t="inlineStr">
        <is>
          <t>RAGUNDA</t>
        </is>
      </c>
      <c r="G646" t="n">
        <v>1.9</v>
      </c>
      <c r="H646" t="n">
        <v>0</v>
      </c>
      <c r="I646" t="n">
        <v>0</v>
      </c>
      <c r="J646" t="n">
        <v>0</v>
      </c>
      <c r="K646" t="n">
        <v>0</v>
      </c>
      <c r="L646" t="n">
        <v>0</v>
      </c>
      <c r="M646" t="n">
        <v>0</v>
      </c>
      <c r="N646" t="n">
        <v>0</v>
      </c>
      <c r="O646" t="n">
        <v>0</v>
      </c>
      <c r="P646" t="n">
        <v>0</v>
      </c>
      <c r="Q646" t="n">
        <v>0</v>
      </c>
      <c r="R646" s="2" t="inlineStr"/>
    </row>
    <row r="647" ht="15" customHeight="1">
      <c r="A647" t="inlineStr">
        <is>
          <t>A 18193-2022</t>
        </is>
      </c>
      <c r="B647" s="1" t="n">
        <v>44684.94032407407</v>
      </c>
      <c r="C647" s="1" t="n">
        <v>45941</v>
      </c>
      <c r="D647" t="inlineStr">
        <is>
          <t>JÄMTLANDS LÄN</t>
        </is>
      </c>
      <c r="E647" t="inlineStr">
        <is>
          <t>RAGUNDA</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33556-2025</t>
        </is>
      </c>
      <c r="B648" s="1" t="n">
        <v>45841.57427083333</v>
      </c>
      <c r="C648" s="1" t="n">
        <v>45941</v>
      </c>
      <c r="D648" t="inlineStr">
        <is>
          <t>JÄMTLANDS LÄN</t>
        </is>
      </c>
      <c r="E648" t="inlineStr">
        <is>
          <t>RAGUNDA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33790-2025</t>
        </is>
      </c>
      <c r="B649" s="1" t="n">
        <v>45842.42608796297</v>
      </c>
      <c r="C649" s="1" t="n">
        <v>45941</v>
      </c>
      <c r="D649" t="inlineStr">
        <is>
          <t>JÄMTLANDS LÄN</t>
        </is>
      </c>
      <c r="E649" t="inlineStr">
        <is>
          <t>RAGUNDA</t>
        </is>
      </c>
      <c r="G649" t="n">
        <v>0.3</v>
      </c>
      <c r="H649" t="n">
        <v>0</v>
      </c>
      <c r="I649" t="n">
        <v>0</v>
      </c>
      <c r="J649" t="n">
        <v>0</v>
      </c>
      <c r="K649" t="n">
        <v>0</v>
      </c>
      <c r="L649" t="n">
        <v>0</v>
      </c>
      <c r="M649" t="n">
        <v>0</v>
      </c>
      <c r="N649" t="n">
        <v>0</v>
      </c>
      <c r="O649" t="n">
        <v>0</v>
      </c>
      <c r="P649" t="n">
        <v>0</v>
      </c>
      <c r="Q649" t="n">
        <v>0</v>
      </c>
      <c r="R649" s="2" t="inlineStr"/>
    </row>
    <row r="650" ht="15" customHeight="1">
      <c r="A650" t="inlineStr">
        <is>
          <t>A 34323-2023</t>
        </is>
      </c>
      <c r="B650" s="1" t="n">
        <v>45138.94925925926</v>
      </c>
      <c r="C650" s="1" t="n">
        <v>45941</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58843-2024</t>
        </is>
      </c>
      <c r="B651" s="1" t="n">
        <v>45636.38599537037</v>
      </c>
      <c r="C651" s="1" t="n">
        <v>45941</v>
      </c>
      <c r="D651" t="inlineStr">
        <is>
          <t>JÄMTLANDS LÄN</t>
        </is>
      </c>
      <c r="E651" t="inlineStr">
        <is>
          <t>RAGUNDA</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45953-2023</t>
        </is>
      </c>
      <c r="B652" s="1" t="n">
        <v>45195.94672453704</v>
      </c>
      <c r="C652" s="1" t="n">
        <v>45941</v>
      </c>
      <c r="D652" t="inlineStr">
        <is>
          <t>JÄMTLANDS LÄN</t>
        </is>
      </c>
      <c r="E652" t="inlineStr">
        <is>
          <t>RAGUNDA</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46751-2025</t>
        </is>
      </c>
      <c r="B653" s="1" t="n">
        <v>45926.6153125</v>
      </c>
      <c r="C653" s="1" t="n">
        <v>45941</v>
      </c>
      <c r="D653" t="inlineStr">
        <is>
          <t>JÄMTLANDS LÄN</t>
        </is>
      </c>
      <c r="E653" t="inlineStr">
        <is>
          <t>RAGUNDA</t>
        </is>
      </c>
      <c r="F653" t="inlineStr">
        <is>
          <t>SCA</t>
        </is>
      </c>
      <c r="G653" t="n">
        <v>7.8</v>
      </c>
      <c r="H653" t="n">
        <v>0</v>
      </c>
      <c r="I653" t="n">
        <v>0</v>
      </c>
      <c r="J653" t="n">
        <v>0</v>
      </c>
      <c r="K653" t="n">
        <v>0</v>
      </c>
      <c r="L653" t="n">
        <v>0</v>
      </c>
      <c r="M653" t="n">
        <v>0</v>
      </c>
      <c r="N653" t="n">
        <v>0</v>
      </c>
      <c r="O653" t="n">
        <v>0</v>
      </c>
      <c r="P653" t="n">
        <v>0</v>
      </c>
      <c r="Q653" t="n">
        <v>0</v>
      </c>
      <c r="R653" s="2" t="inlineStr"/>
    </row>
    <row r="654" ht="15" customHeight="1">
      <c r="A654" t="inlineStr">
        <is>
          <t>A 34296-2025</t>
        </is>
      </c>
      <c r="B654" s="1" t="n">
        <v>45846.34454861111</v>
      </c>
      <c r="C654" s="1" t="n">
        <v>45941</v>
      </c>
      <c r="D654" t="inlineStr">
        <is>
          <t>JÄMTLANDS LÄN</t>
        </is>
      </c>
      <c r="E654" t="inlineStr">
        <is>
          <t>RAGUNDA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46211-2024</t>
        </is>
      </c>
      <c r="B655" s="1" t="n">
        <v>45581.55260416667</v>
      </c>
      <c r="C655" s="1" t="n">
        <v>45941</v>
      </c>
      <c r="D655" t="inlineStr">
        <is>
          <t>JÄMTLANDS LÄN</t>
        </is>
      </c>
      <c r="E655" t="inlineStr">
        <is>
          <t>RAGUNDA</t>
        </is>
      </c>
      <c r="G655" t="n">
        <v>7.3</v>
      </c>
      <c r="H655" t="n">
        <v>0</v>
      </c>
      <c r="I655" t="n">
        <v>0</v>
      </c>
      <c r="J655" t="n">
        <v>0</v>
      </c>
      <c r="K655" t="n">
        <v>0</v>
      </c>
      <c r="L655" t="n">
        <v>0</v>
      </c>
      <c r="M655" t="n">
        <v>0</v>
      </c>
      <c r="N655" t="n">
        <v>0</v>
      </c>
      <c r="O655" t="n">
        <v>0</v>
      </c>
      <c r="P655" t="n">
        <v>0</v>
      </c>
      <c r="Q655" t="n">
        <v>0</v>
      </c>
      <c r="R655" s="2" t="inlineStr"/>
    </row>
    <row r="656" ht="15" customHeight="1">
      <c r="A656" t="inlineStr">
        <is>
          <t>A 8679-2023</t>
        </is>
      </c>
      <c r="B656" s="1" t="n">
        <v>44977.98670138889</v>
      </c>
      <c r="C656" s="1" t="n">
        <v>45941</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14158-2024</t>
        </is>
      </c>
      <c r="B657" s="1" t="n">
        <v>45392</v>
      </c>
      <c r="C657" s="1" t="n">
        <v>45941</v>
      </c>
      <c r="D657" t="inlineStr">
        <is>
          <t>JÄMTLANDS LÄN</t>
        </is>
      </c>
      <c r="E657" t="inlineStr">
        <is>
          <t>RAGUNDA</t>
        </is>
      </c>
      <c r="G657" t="n">
        <v>0.7</v>
      </c>
      <c r="H657" t="n">
        <v>0</v>
      </c>
      <c r="I657" t="n">
        <v>0</v>
      </c>
      <c r="J657" t="n">
        <v>0</v>
      </c>
      <c r="K657" t="n">
        <v>0</v>
      </c>
      <c r="L657" t="n">
        <v>0</v>
      </c>
      <c r="M657" t="n">
        <v>0</v>
      </c>
      <c r="N657" t="n">
        <v>0</v>
      </c>
      <c r="O657" t="n">
        <v>0</v>
      </c>
      <c r="P657" t="n">
        <v>0</v>
      </c>
      <c r="Q657" t="n">
        <v>0</v>
      </c>
      <c r="R657" s="2" t="inlineStr"/>
    </row>
    <row r="658" ht="15" customHeight="1">
      <c r="A658" t="inlineStr">
        <is>
          <t>A 30824-2023</t>
        </is>
      </c>
      <c r="B658" s="1" t="n">
        <v>45112.94303240741</v>
      </c>
      <c r="C658" s="1" t="n">
        <v>45941</v>
      </c>
      <c r="D658" t="inlineStr">
        <is>
          <t>JÄMTLANDS LÄN</t>
        </is>
      </c>
      <c r="E658" t="inlineStr">
        <is>
          <t>RAGUNDA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30825-2023</t>
        </is>
      </c>
      <c r="B659" s="1" t="n">
        <v>45112.94310185185</v>
      </c>
      <c r="C659" s="1" t="n">
        <v>45941</v>
      </c>
      <c r="D659" t="inlineStr">
        <is>
          <t>JÄMTLANDS LÄN</t>
        </is>
      </c>
      <c r="E659" t="inlineStr">
        <is>
          <t>RAGUNDA</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55649-2023</t>
        </is>
      </c>
      <c r="B660" s="1" t="n">
        <v>45238</v>
      </c>
      <c r="C660" s="1" t="n">
        <v>45941</v>
      </c>
      <c r="D660" t="inlineStr">
        <is>
          <t>JÄMTLANDS LÄN</t>
        </is>
      </c>
      <c r="E660" t="inlineStr">
        <is>
          <t>RAGUNDA</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53769-2023</t>
        </is>
      </c>
      <c r="B661" s="1" t="n">
        <v>45230</v>
      </c>
      <c r="C661" s="1" t="n">
        <v>45941</v>
      </c>
      <c r="D661" t="inlineStr">
        <is>
          <t>JÄMTLANDS LÄN</t>
        </is>
      </c>
      <c r="E661" t="inlineStr">
        <is>
          <t>RAGUNDA</t>
        </is>
      </c>
      <c r="F661" t="inlineStr">
        <is>
          <t>SCA</t>
        </is>
      </c>
      <c r="G661" t="n">
        <v>11.6</v>
      </c>
      <c r="H661" t="n">
        <v>0</v>
      </c>
      <c r="I661" t="n">
        <v>0</v>
      </c>
      <c r="J661" t="n">
        <v>0</v>
      </c>
      <c r="K661" t="n">
        <v>0</v>
      </c>
      <c r="L661" t="n">
        <v>0</v>
      </c>
      <c r="M661" t="n">
        <v>0</v>
      </c>
      <c r="N661" t="n">
        <v>0</v>
      </c>
      <c r="O661" t="n">
        <v>0</v>
      </c>
      <c r="P661" t="n">
        <v>0</v>
      </c>
      <c r="Q661" t="n">
        <v>0</v>
      </c>
      <c r="R661" s="2" t="inlineStr"/>
    </row>
    <row r="662" ht="15" customHeight="1">
      <c r="A662" t="inlineStr">
        <is>
          <t>A 31506-2024</t>
        </is>
      </c>
      <c r="B662" s="1" t="n">
        <v>45505</v>
      </c>
      <c r="C662" s="1" t="n">
        <v>45941</v>
      </c>
      <c r="D662" t="inlineStr">
        <is>
          <t>JÄMTLANDS LÄN</t>
        </is>
      </c>
      <c r="E662" t="inlineStr">
        <is>
          <t>RAGUNDA</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34461-2025</t>
        </is>
      </c>
      <c r="B663" s="1" t="n">
        <v>45847.34474537037</v>
      </c>
      <c r="C663" s="1" t="n">
        <v>45941</v>
      </c>
      <c r="D663" t="inlineStr">
        <is>
          <t>JÄMTLANDS LÄN</t>
        </is>
      </c>
      <c r="E663" t="inlineStr">
        <is>
          <t>RAGUNDA</t>
        </is>
      </c>
      <c r="F663" t="inlineStr">
        <is>
          <t>SCA</t>
        </is>
      </c>
      <c r="G663" t="n">
        <v>44.8</v>
      </c>
      <c r="H663" t="n">
        <v>0</v>
      </c>
      <c r="I663" t="n">
        <v>0</v>
      </c>
      <c r="J663" t="n">
        <v>0</v>
      </c>
      <c r="K663" t="n">
        <v>0</v>
      </c>
      <c r="L663" t="n">
        <v>0</v>
      </c>
      <c r="M663" t="n">
        <v>0</v>
      </c>
      <c r="N663" t="n">
        <v>0</v>
      </c>
      <c r="O663" t="n">
        <v>0</v>
      </c>
      <c r="P663" t="n">
        <v>0</v>
      </c>
      <c r="Q663" t="n">
        <v>0</v>
      </c>
      <c r="R663" s="2" t="inlineStr"/>
    </row>
    <row r="664" ht="15" customHeight="1">
      <c r="A664" t="inlineStr">
        <is>
          <t>A 34464-2025</t>
        </is>
      </c>
      <c r="B664" s="1" t="n">
        <v>45847.34528935186</v>
      </c>
      <c r="C664" s="1" t="n">
        <v>45941</v>
      </c>
      <c r="D664" t="inlineStr">
        <is>
          <t>JÄMTLANDS LÄN</t>
        </is>
      </c>
      <c r="E664" t="inlineStr">
        <is>
          <t>RAGUNDA</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55222-2024</t>
        </is>
      </c>
      <c r="B665" s="1" t="n">
        <v>45621.57395833333</v>
      </c>
      <c r="C665" s="1" t="n">
        <v>45941</v>
      </c>
      <c r="D665" t="inlineStr">
        <is>
          <t>JÄMTLANDS LÄN</t>
        </is>
      </c>
      <c r="E665" t="inlineStr">
        <is>
          <t>RAGUNDA</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40919-2024</t>
        </is>
      </c>
      <c r="B666" s="1" t="n">
        <v>45558.63575231482</v>
      </c>
      <c r="C666" s="1" t="n">
        <v>45941</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34468-2025</t>
        </is>
      </c>
      <c r="B667" s="1" t="n">
        <v>45847.34597222223</v>
      </c>
      <c r="C667" s="1" t="n">
        <v>45941</v>
      </c>
      <c r="D667" t="inlineStr">
        <is>
          <t>JÄMTLANDS LÄN</t>
        </is>
      </c>
      <c r="E667" t="inlineStr">
        <is>
          <t>RAGUNDA</t>
        </is>
      </c>
      <c r="F667" t="inlineStr">
        <is>
          <t>SCA</t>
        </is>
      </c>
      <c r="G667" t="n">
        <v>10</v>
      </c>
      <c r="H667" t="n">
        <v>0</v>
      </c>
      <c r="I667" t="n">
        <v>0</v>
      </c>
      <c r="J667" t="n">
        <v>0</v>
      </c>
      <c r="K667" t="n">
        <v>0</v>
      </c>
      <c r="L667" t="n">
        <v>0</v>
      </c>
      <c r="M667" t="n">
        <v>0</v>
      </c>
      <c r="N667" t="n">
        <v>0</v>
      </c>
      <c r="O667" t="n">
        <v>0</v>
      </c>
      <c r="P667" t="n">
        <v>0</v>
      </c>
      <c r="Q667" t="n">
        <v>0</v>
      </c>
      <c r="R667" s="2" t="inlineStr"/>
    </row>
    <row r="668" ht="15" customHeight="1">
      <c r="A668" t="inlineStr">
        <is>
          <t>A 34586-2025</t>
        </is>
      </c>
      <c r="B668" s="1" t="n">
        <v>45847.61513888889</v>
      </c>
      <c r="C668" s="1" t="n">
        <v>45941</v>
      </c>
      <c r="D668" t="inlineStr">
        <is>
          <t>JÄMTLANDS LÄN</t>
        </is>
      </c>
      <c r="E668" t="inlineStr">
        <is>
          <t>RAGUNDA</t>
        </is>
      </c>
      <c r="G668" t="n">
        <v>1.6</v>
      </c>
      <c r="H668" t="n">
        <v>0</v>
      </c>
      <c r="I668" t="n">
        <v>0</v>
      </c>
      <c r="J668" t="n">
        <v>0</v>
      </c>
      <c r="K668" t="n">
        <v>0</v>
      </c>
      <c r="L668" t="n">
        <v>0</v>
      </c>
      <c r="M668" t="n">
        <v>0</v>
      </c>
      <c r="N668" t="n">
        <v>0</v>
      </c>
      <c r="O668" t="n">
        <v>0</v>
      </c>
      <c r="P668" t="n">
        <v>0</v>
      </c>
      <c r="Q668" t="n">
        <v>0</v>
      </c>
      <c r="R668" s="2" t="inlineStr"/>
    </row>
    <row r="669" ht="15" customHeight="1">
      <c r="A669" t="inlineStr">
        <is>
          <t>A 34607-2025</t>
        </is>
      </c>
      <c r="B669" s="1" t="n">
        <v>45847.65703703704</v>
      </c>
      <c r="C669" s="1" t="n">
        <v>45941</v>
      </c>
      <c r="D669" t="inlineStr">
        <is>
          <t>JÄMTLANDS LÄN</t>
        </is>
      </c>
      <c r="E669" t="inlineStr">
        <is>
          <t>RAGUNDA</t>
        </is>
      </c>
      <c r="F669" t="inlineStr">
        <is>
          <t>SCA</t>
        </is>
      </c>
      <c r="G669" t="n">
        <v>31.4</v>
      </c>
      <c r="H669" t="n">
        <v>0</v>
      </c>
      <c r="I669" t="n">
        <v>0</v>
      </c>
      <c r="J669" t="n">
        <v>0</v>
      </c>
      <c r="K669" t="n">
        <v>0</v>
      </c>
      <c r="L669" t="n">
        <v>0</v>
      </c>
      <c r="M669" t="n">
        <v>0</v>
      </c>
      <c r="N669" t="n">
        <v>0</v>
      </c>
      <c r="O669" t="n">
        <v>0</v>
      </c>
      <c r="P669" t="n">
        <v>0</v>
      </c>
      <c r="Q669" t="n">
        <v>0</v>
      </c>
      <c r="R669" s="2" t="inlineStr"/>
    </row>
    <row r="670" ht="15" customHeight="1">
      <c r="A670" t="inlineStr">
        <is>
          <t>A 15024-2022</t>
        </is>
      </c>
      <c r="B670" s="1" t="n">
        <v>44657</v>
      </c>
      <c r="C670" s="1" t="n">
        <v>45941</v>
      </c>
      <c r="D670" t="inlineStr">
        <is>
          <t>JÄMTLANDS LÄN</t>
        </is>
      </c>
      <c r="E670" t="inlineStr">
        <is>
          <t>RAGUNDA</t>
        </is>
      </c>
      <c r="G670" t="n">
        <v>1.8</v>
      </c>
      <c r="H670" t="n">
        <v>0</v>
      </c>
      <c r="I670" t="n">
        <v>0</v>
      </c>
      <c r="J670" t="n">
        <v>0</v>
      </c>
      <c r="K670" t="n">
        <v>0</v>
      </c>
      <c r="L670" t="n">
        <v>0</v>
      </c>
      <c r="M670" t="n">
        <v>0</v>
      </c>
      <c r="N670" t="n">
        <v>0</v>
      </c>
      <c r="O670" t="n">
        <v>0</v>
      </c>
      <c r="P670" t="n">
        <v>0</v>
      </c>
      <c r="Q670" t="n">
        <v>0</v>
      </c>
      <c r="R670" s="2" t="inlineStr"/>
    </row>
    <row r="671" ht="15" customHeight="1">
      <c r="A671" t="inlineStr">
        <is>
          <t>A 34772-2025</t>
        </is>
      </c>
      <c r="B671" s="1" t="n">
        <v>45848.65658564815</v>
      </c>
      <c r="C671" s="1" t="n">
        <v>45941</v>
      </c>
      <c r="D671" t="inlineStr">
        <is>
          <t>JÄMTLANDS LÄN</t>
        </is>
      </c>
      <c r="E671" t="inlineStr">
        <is>
          <t>RAGUNDA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34466-2025</t>
        </is>
      </c>
      <c r="B672" s="1" t="n">
        <v>45847.34565972222</v>
      </c>
      <c r="C672" s="1" t="n">
        <v>45941</v>
      </c>
      <c r="D672" t="inlineStr">
        <is>
          <t>JÄMTLANDS LÄN</t>
        </is>
      </c>
      <c r="E672" t="inlineStr">
        <is>
          <t>RAGUNDA</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34588-2025</t>
        </is>
      </c>
      <c r="B673" s="1" t="n">
        <v>45847.61548611111</v>
      </c>
      <c r="C673" s="1" t="n">
        <v>45941</v>
      </c>
      <c r="D673" t="inlineStr">
        <is>
          <t>JÄMTLANDS LÄN</t>
        </is>
      </c>
      <c r="E673" t="inlineStr">
        <is>
          <t>RAGUNDA</t>
        </is>
      </c>
      <c r="G673" t="n">
        <v>32.3</v>
      </c>
      <c r="H673" t="n">
        <v>0</v>
      </c>
      <c r="I673" t="n">
        <v>0</v>
      </c>
      <c r="J673" t="n">
        <v>0</v>
      </c>
      <c r="K673" t="n">
        <v>0</v>
      </c>
      <c r="L673" t="n">
        <v>0</v>
      </c>
      <c r="M673" t="n">
        <v>0</v>
      </c>
      <c r="N673" t="n">
        <v>0</v>
      </c>
      <c r="O673" t="n">
        <v>0</v>
      </c>
      <c r="P673" t="n">
        <v>0</v>
      </c>
      <c r="Q673" t="n">
        <v>0</v>
      </c>
      <c r="R673" s="2" t="inlineStr"/>
    </row>
    <row r="674" ht="15" customHeight="1">
      <c r="A674" t="inlineStr">
        <is>
          <t>A 44755-2024</t>
        </is>
      </c>
      <c r="B674" s="1" t="n">
        <v>45574.61184027778</v>
      </c>
      <c r="C674" s="1" t="n">
        <v>45941</v>
      </c>
      <c r="D674" t="inlineStr">
        <is>
          <t>JÄMTLANDS LÄN</t>
        </is>
      </c>
      <c r="E674" t="inlineStr">
        <is>
          <t>RAGUNDA</t>
        </is>
      </c>
      <c r="G674" t="n">
        <v>4.4</v>
      </c>
      <c r="H674" t="n">
        <v>0</v>
      </c>
      <c r="I674" t="n">
        <v>0</v>
      </c>
      <c r="J674" t="n">
        <v>0</v>
      </c>
      <c r="K674" t="n">
        <v>0</v>
      </c>
      <c r="L674" t="n">
        <v>0</v>
      </c>
      <c r="M674" t="n">
        <v>0</v>
      </c>
      <c r="N674" t="n">
        <v>0</v>
      </c>
      <c r="O674" t="n">
        <v>0</v>
      </c>
      <c r="P674" t="n">
        <v>0</v>
      </c>
      <c r="Q674" t="n">
        <v>0</v>
      </c>
      <c r="R674" s="2" t="inlineStr"/>
    </row>
    <row r="675" ht="15" customHeight="1">
      <c r="A675" t="inlineStr">
        <is>
          <t>A 44766-2024</t>
        </is>
      </c>
      <c r="B675" s="1" t="n">
        <v>45574.62297453704</v>
      </c>
      <c r="C675" s="1" t="n">
        <v>45941</v>
      </c>
      <c r="D675" t="inlineStr">
        <is>
          <t>JÄMTLANDS LÄN</t>
        </is>
      </c>
      <c r="E675" t="inlineStr">
        <is>
          <t>RAGUNDA</t>
        </is>
      </c>
      <c r="G675" t="n">
        <v>3.2</v>
      </c>
      <c r="H675" t="n">
        <v>0</v>
      </c>
      <c r="I675" t="n">
        <v>0</v>
      </c>
      <c r="J675" t="n">
        <v>0</v>
      </c>
      <c r="K675" t="n">
        <v>0</v>
      </c>
      <c r="L675" t="n">
        <v>0</v>
      </c>
      <c r="M675" t="n">
        <v>0</v>
      </c>
      <c r="N675" t="n">
        <v>0</v>
      </c>
      <c r="O675" t="n">
        <v>0</v>
      </c>
      <c r="P675" t="n">
        <v>0</v>
      </c>
      <c r="Q675" t="n">
        <v>0</v>
      </c>
      <c r="R675" s="2" t="inlineStr"/>
    </row>
    <row r="676" ht="15" customHeight="1">
      <c r="A676" t="inlineStr">
        <is>
          <t>A 44778-2024</t>
        </is>
      </c>
      <c r="B676" s="1" t="n">
        <v>45574.63355324074</v>
      </c>
      <c r="C676" s="1" t="n">
        <v>45941</v>
      </c>
      <c r="D676" t="inlineStr">
        <is>
          <t>JÄMTLANDS LÄN</t>
        </is>
      </c>
      <c r="E676" t="inlineStr">
        <is>
          <t>RAGUNDA</t>
        </is>
      </c>
      <c r="G676" t="n">
        <v>5.5</v>
      </c>
      <c r="H676" t="n">
        <v>0</v>
      </c>
      <c r="I676" t="n">
        <v>0</v>
      </c>
      <c r="J676" t="n">
        <v>0</v>
      </c>
      <c r="K676" t="n">
        <v>0</v>
      </c>
      <c r="L676" t="n">
        <v>0</v>
      </c>
      <c r="M676" t="n">
        <v>0</v>
      </c>
      <c r="N676" t="n">
        <v>0</v>
      </c>
      <c r="O676" t="n">
        <v>0</v>
      </c>
      <c r="P676" t="n">
        <v>0</v>
      </c>
      <c r="Q676" t="n">
        <v>0</v>
      </c>
      <c r="R676" s="2" t="inlineStr"/>
    </row>
    <row r="677" ht="15" customHeight="1">
      <c r="A677" t="inlineStr">
        <is>
          <t>A 34463-2025</t>
        </is>
      </c>
      <c r="B677" s="1" t="n">
        <v>45847.34515046296</v>
      </c>
      <c r="C677" s="1" t="n">
        <v>45941</v>
      </c>
      <c r="D677" t="inlineStr">
        <is>
          <t>JÄMTLANDS LÄN</t>
        </is>
      </c>
      <c r="E677" t="inlineStr">
        <is>
          <t>RAGUNDA</t>
        </is>
      </c>
      <c r="F677" t="inlineStr">
        <is>
          <t>SCA</t>
        </is>
      </c>
      <c r="G677" t="n">
        <v>6.1</v>
      </c>
      <c r="H677" t="n">
        <v>0</v>
      </c>
      <c r="I677" t="n">
        <v>0</v>
      </c>
      <c r="J677" t="n">
        <v>0</v>
      </c>
      <c r="K677" t="n">
        <v>0</v>
      </c>
      <c r="L677" t="n">
        <v>0</v>
      </c>
      <c r="M677" t="n">
        <v>0</v>
      </c>
      <c r="N677" t="n">
        <v>0</v>
      </c>
      <c r="O677" t="n">
        <v>0</v>
      </c>
      <c r="P677" t="n">
        <v>0</v>
      </c>
      <c r="Q677" t="n">
        <v>0</v>
      </c>
      <c r="R677" s="2" t="inlineStr"/>
    </row>
    <row r="678" ht="15" customHeight="1">
      <c r="A678" t="inlineStr">
        <is>
          <t>A 34710-2025</t>
        </is>
      </c>
      <c r="B678" s="1" t="n">
        <v>45848.49774305556</v>
      </c>
      <c r="C678" s="1" t="n">
        <v>45941</v>
      </c>
      <c r="D678" t="inlineStr">
        <is>
          <t>JÄMTLANDS LÄN</t>
        </is>
      </c>
      <c r="E678" t="inlineStr">
        <is>
          <t>RAGUNDA</t>
        </is>
      </c>
      <c r="G678" t="n">
        <v>4.1</v>
      </c>
      <c r="H678" t="n">
        <v>0</v>
      </c>
      <c r="I678" t="n">
        <v>0</v>
      </c>
      <c r="J678" t="n">
        <v>0</v>
      </c>
      <c r="K678" t="n">
        <v>0</v>
      </c>
      <c r="L678" t="n">
        <v>0</v>
      </c>
      <c r="M678" t="n">
        <v>0</v>
      </c>
      <c r="N678" t="n">
        <v>0</v>
      </c>
      <c r="O678" t="n">
        <v>0</v>
      </c>
      <c r="P678" t="n">
        <v>0</v>
      </c>
      <c r="Q678" t="n">
        <v>0</v>
      </c>
      <c r="R678" s="2" t="inlineStr"/>
    </row>
    <row r="679" ht="15" customHeight="1">
      <c r="A679" t="inlineStr">
        <is>
          <t>A 48192-2024</t>
        </is>
      </c>
      <c r="B679" s="1" t="n">
        <v>45590</v>
      </c>
      <c r="C679" s="1" t="n">
        <v>45941</v>
      </c>
      <c r="D679" t="inlineStr">
        <is>
          <t>JÄMTLANDS LÄN</t>
        </is>
      </c>
      <c r="E679" t="inlineStr">
        <is>
          <t>RAGUNDA</t>
        </is>
      </c>
      <c r="G679" t="n">
        <v>2.3</v>
      </c>
      <c r="H679" t="n">
        <v>0</v>
      </c>
      <c r="I679" t="n">
        <v>0</v>
      </c>
      <c r="J679" t="n">
        <v>0</v>
      </c>
      <c r="K679" t="n">
        <v>0</v>
      </c>
      <c r="L679" t="n">
        <v>0</v>
      </c>
      <c r="M679" t="n">
        <v>0</v>
      </c>
      <c r="N679" t="n">
        <v>0</v>
      </c>
      <c r="O679" t="n">
        <v>0</v>
      </c>
      <c r="P679" t="n">
        <v>0</v>
      </c>
      <c r="Q679" t="n">
        <v>0</v>
      </c>
      <c r="R679" s="2" t="inlineStr"/>
    </row>
    <row r="680" ht="15" customHeight="1">
      <c r="A680" t="inlineStr">
        <is>
          <t>A 12768-2022</t>
        </is>
      </c>
      <c r="B680" s="1" t="n">
        <v>44641</v>
      </c>
      <c r="C680" s="1" t="n">
        <v>45941</v>
      </c>
      <c r="D680" t="inlineStr">
        <is>
          <t>JÄMTLANDS LÄN</t>
        </is>
      </c>
      <c r="E680" t="inlineStr">
        <is>
          <t>RAGUNDA</t>
        </is>
      </c>
      <c r="F680" t="inlineStr">
        <is>
          <t>SCA</t>
        </is>
      </c>
      <c r="G680" t="n">
        <v>8</v>
      </c>
      <c r="H680" t="n">
        <v>0</v>
      </c>
      <c r="I680" t="n">
        <v>0</v>
      </c>
      <c r="J680" t="n">
        <v>0</v>
      </c>
      <c r="K680" t="n">
        <v>0</v>
      </c>
      <c r="L680" t="n">
        <v>0</v>
      </c>
      <c r="M680" t="n">
        <v>0</v>
      </c>
      <c r="N680" t="n">
        <v>0</v>
      </c>
      <c r="O680" t="n">
        <v>0</v>
      </c>
      <c r="P680" t="n">
        <v>0</v>
      </c>
      <c r="Q680" t="n">
        <v>0</v>
      </c>
      <c r="R680" s="2" t="inlineStr"/>
    </row>
    <row r="681" ht="15" customHeight="1">
      <c r="A681" t="inlineStr">
        <is>
          <t>A 12773-2022</t>
        </is>
      </c>
      <c r="B681" s="1" t="n">
        <v>44641</v>
      </c>
      <c r="C681" s="1" t="n">
        <v>45941</v>
      </c>
      <c r="D681" t="inlineStr">
        <is>
          <t>JÄMTLANDS LÄN</t>
        </is>
      </c>
      <c r="E681" t="inlineStr">
        <is>
          <t>RAGUNDA</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8795-2022</t>
        </is>
      </c>
      <c r="B682" s="1" t="n">
        <v>44614</v>
      </c>
      <c r="C682" s="1" t="n">
        <v>45941</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14905-2022</t>
        </is>
      </c>
      <c r="B683" s="1" t="n">
        <v>44656.94708333333</v>
      </c>
      <c r="C683" s="1" t="n">
        <v>45941</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34709-2025</t>
        </is>
      </c>
      <c r="B684" s="1" t="n">
        <v>45848.49761574074</v>
      </c>
      <c r="C684" s="1" t="n">
        <v>45941</v>
      </c>
      <c r="D684" t="inlineStr">
        <is>
          <t>JÄMTLANDS LÄN</t>
        </is>
      </c>
      <c r="E684" t="inlineStr">
        <is>
          <t>RAGUNDA</t>
        </is>
      </c>
      <c r="G684" t="n">
        <v>3.1</v>
      </c>
      <c r="H684" t="n">
        <v>0</v>
      </c>
      <c r="I684" t="n">
        <v>0</v>
      </c>
      <c r="J684" t="n">
        <v>0</v>
      </c>
      <c r="K684" t="n">
        <v>0</v>
      </c>
      <c r="L684" t="n">
        <v>0</v>
      </c>
      <c r="M684" t="n">
        <v>0</v>
      </c>
      <c r="N684" t="n">
        <v>0</v>
      </c>
      <c r="O684" t="n">
        <v>0</v>
      </c>
      <c r="P684" t="n">
        <v>0</v>
      </c>
      <c r="Q684" t="n">
        <v>0</v>
      </c>
      <c r="R684" s="2" t="inlineStr"/>
    </row>
    <row r="685" ht="15" customHeight="1">
      <c r="A685" t="inlineStr">
        <is>
          <t>A 35092-2025</t>
        </is>
      </c>
      <c r="B685" s="1" t="n">
        <v>45852.53185185185</v>
      </c>
      <c r="C685" s="1" t="n">
        <v>45941</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34998-2025</t>
        </is>
      </c>
      <c r="B686" s="1" t="n">
        <v>45850.34434027778</v>
      </c>
      <c r="C686" s="1" t="n">
        <v>45941</v>
      </c>
      <c r="D686" t="inlineStr">
        <is>
          <t>JÄMTLANDS LÄN</t>
        </is>
      </c>
      <c r="E686" t="inlineStr">
        <is>
          <t>RAGUNDA</t>
        </is>
      </c>
      <c r="G686" t="n">
        <v>1.4</v>
      </c>
      <c r="H686" t="n">
        <v>0</v>
      </c>
      <c r="I686" t="n">
        <v>0</v>
      </c>
      <c r="J686" t="n">
        <v>0</v>
      </c>
      <c r="K686" t="n">
        <v>0</v>
      </c>
      <c r="L686" t="n">
        <v>0</v>
      </c>
      <c r="M686" t="n">
        <v>0</v>
      </c>
      <c r="N686" t="n">
        <v>0</v>
      </c>
      <c r="O686" t="n">
        <v>0</v>
      </c>
      <c r="P686" t="n">
        <v>0</v>
      </c>
      <c r="Q686" t="n">
        <v>0</v>
      </c>
      <c r="R686" s="2" t="inlineStr"/>
    </row>
    <row r="687" ht="15" customHeight="1">
      <c r="A687" t="inlineStr">
        <is>
          <t>A 6257-2025</t>
        </is>
      </c>
      <c r="B687" s="1" t="n">
        <v>45698.59409722222</v>
      </c>
      <c r="C687" s="1" t="n">
        <v>45941</v>
      </c>
      <c r="D687" t="inlineStr">
        <is>
          <t>JÄMTLANDS LÄN</t>
        </is>
      </c>
      <c r="E687" t="inlineStr">
        <is>
          <t>RAGUNDA</t>
        </is>
      </c>
      <c r="F687" t="inlineStr">
        <is>
          <t>SCA</t>
        </is>
      </c>
      <c r="G687" t="n">
        <v>7</v>
      </c>
      <c r="H687" t="n">
        <v>0</v>
      </c>
      <c r="I687" t="n">
        <v>0</v>
      </c>
      <c r="J687" t="n">
        <v>0</v>
      </c>
      <c r="K687" t="n">
        <v>0</v>
      </c>
      <c r="L687" t="n">
        <v>0</v>
      </c>
      <c r="M687" t="n">
        <v>0</v>
      </c>
      <c r="N687" t="n">
        <v>0</v>
      </c>
      <c r="O687" t="n">
        <v>0</v>
      </c>
      <c r="P687" t="n">
        <v>0</v>
      </c>
      <c r="Q687" t="n">
        <v>0</v>
      </c>
      <c r="R687" s="2" t="inlineStr"/>
    </row>
    <row r="688" ht="15" customHeight="1">
      <c r="A688" t="inlineStr">
        <is>
          <t>A 34968-2025</t>
        </is>
      </c>
      <c r="B688" s="1" t="n">
        <v>45849.65663194445</v>
      </c>
      <c r="C688" s="1" t="n">
        <v>45941</v>
      </c>
      <c r="D688" t="inlineStr">
        <is>
          <t>JÄMTLANDS LÄN</t>
        </is>
      </c>
      <c r="E688" t="inlineStr">
        <is>
          <t>RAGUNDA</t>
        </is>
      </c>
      <c r="F688" t="inlineStr">
        <is>
          <t>SCA</t>
        </is>
      </c>
      <c r="G688" t="n">
        <v>20.2</v>
      </c>
      <c r="H688" t="n">
        <v>0</v>
      </c>
      <c r="I688" t="n">
        <v>0</v>
      </c>
      <c r="J688" t="n">
        <v>0</v>
      </c>
      <c r="K688" t="n">
        <v>0</v>
      </c>
      <c r="L688" t="n">
        <v>0</v>
      </c>
      <c r="M688" t="n">
        <v>0</v>
      </c>
      <c r="N688" t="n">
        <v>0</v>
      </c>
      <c r="O688" t="n">
        <v>0</v>
      </c>
      <c r="P688" t="n">
        <v>0</v>
      </c>
      <c r="Q688" t="n">
        <v>0</v>
      </c>
      <c r="R688" s="2" t="inlineStr"/>
    </row>
    <row r="689" ht="15" customHeight="1">
      <c r="A689" t="inlineStr">
        <is>
          <t>A 42508-2023</t>
        </is>
      </c>
      <c r="B689" s="1" t="n">
        <v>45180.95907407408</v>
      </c>
      <c r="C689" s="1" t="n">
        <v>45941</v>
      </c>
      <c r="D689" t="inlineStr">
        <is>
          <t>JÄMTLANDS LÄN</t>
        </is>
      </c>
      <c r="E689" t="inlineStr">
        <is>
          <t>RAGUNDA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34999-2025</t>
        </is>
      </c>
      <c r="B690" s="1" t="n">
        <v>45850.34450231482</v>
      </c>
      <c r="C690" s="1" t="n">
        <v>45941</v>
      </c>
      <c r="D690" t="inlineStr">
        <is>
          <t>JÄMTLANDS LÄN</t>
        </is>
      </c>
      <c r="E690" t="inlineStr">
        <is>
          <t>RAGUNDA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35091-2025</t>
        </is>
      </c>
      <c r="B691" s="1" t="n">
        <v>45852.53168981482</v>
      </c>
      <c r="C691" s="1" t="n">
        <v>45941</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35355-2025</t>
        </is>
      </c>
      <c r="B692" s="1" t="n">
        <v>45854.65663194445</v>
      </c>
      <c r="C692" s="1" t="n">
        <v>45941</v>
      </c>
      <c r="D692" t="inlineStr">
        <is>
          <t>JÄMTLANDS LÄN</t>
        </is>
      </c>
      <c r="E692" t="inlineStr">
        <is>
          <t>RAGUNDA</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45941</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55536-2024</t>
        </is>
      </c>
      <c r="B694" s="1" t="n">
        <v>45622</v>
      </c>
      <c r="C694" s="1" t="n">
        <v>45941</v>
      </c>
      <c r="D694" t="inlineStr">
        <is>
          <t>JÄMTLANDS LÄN</t>
        </is>
      </c>
      <c r="E694" t="inlineStr">
        <is>
          <t>RAGUNDA</t>
        </is>
      </c>
      <c r="G694" t="n">
        <v>0.8</v>
      </c>
      <c r="H694" t="n">
        <v>0</v>
      </c>
      <c r="I694" t="n">
        <v>0</v>
      </c>
      <c r="J694" t="n">
        <v>0</v>
      </c>
      <c r="K694" t="n">
        <v>0</v>
      </c>
      <c r="L694" t="n">
        <v>0</v>
      </c>
      <c r="M694" t="n">
        <v>0</v>
      </c>
      <c r="N694" t="n">
        <v>0</v>
      </c>
      <c r="O694" t="n">
        <v>0</v>
      </c>
      <c r="P694" t="n">
        <v>0</v>
      </c>
      <c r="Q694" t="n">
        <v>0</v>
      </c>
      <c r="R694" s="2" t="inlineStr"/>
    </row>
    <row r="695" ht="15" customHeight="1">
      <c r="A695" t="inlineStr">
        <is>
          <t>A 2411-2023</t>
        </is>
      </c>
      <c r="B695" s="1" t="n">
        <v>44942</v>
      </c>
      <c r="C695" s="1" t="n">
        <v>45941</v>
      </c>
      <c r="D695" t="inlineStr">
        <is>
          <t>JÄMTLANDS LÄN</t>
        </is>
      </c>
      <c r="E695" t="inlineStr">
        <is>
          <t>RAGUNDA</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11834-2023</t>
        </is>
      </c>
      <c r="B696" s="1" t="n">
        <v>44994.94296296296</v>
      </c>
      <c r="C696" s="1" t="n">
        <v>45941</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53264-2024</t>
        </is>
      </c>
      <c r="B697" s="1" t="n">
        <v>45614.34545138889</v>
      </c>
      <c r="C697" s="1" t="n">
        <v>45941</v>
      </c>
      <c r="D697" t="inlineStr">
        <is>
          <t>JÄMTLANDS LÄN</t>
        </is>
      </c>
      <c r="E697" t="inlineStr">
        <is>
          <t>RAGUNDA</t>
        </is>
      </c>
      <c r="G697" t="n">
        <v>1.4</v>
      </c>
      <c r="H697" t="n">
        <v>0</v>
      </c>
      <c r="I697" t="n">
        <v>0</v>
      </c>
      <c r="J697" t="n">
        <v>0</v>
      </c>
      <c r="K697" t="n">
        <v>0</v>
      </c>
      <c r="L697" t="n">
        <v>0</v>
      </c>
      <c r="M697" t="n">
        <v>0</v>
      </c>
      <c r="N697" t="n">
        <v>0</v>
      </c>
      <c r="O697" t="n">
        <v>0</v>
      </c>
      <c r="P697" t="n">
        <v>0</v>
      </c>
      <c r="Q697" t="n">
        <v>0</v>
      </c>
      <c r="R697" s="2" t="inlineStr"/>
    </row>
    <row r="698" ht="15" customHeight="1">
      <c r="A698" t="inlineStr">
        <is>
          <t>A 59286-2023</t>
        </is>
      </c>
      <c r="B698" s="1" t="n">
        <v>45253</v>
      </c>
      <c r="C698" s="1" t="n">
        <v>45941</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50431-2024</t>
        </is>
      </c>
      <c r="B699" s="1" t="n">
        <v>45601.40686342592</v>
      </c>
      <c r="C699" s="1" t="n">
        <v>45941</v>
      </c>
      <c r="D699" t="inlineStr">
        <is>
          <t>JÄMTLANDS LÄN</t>
        </is>
      </c>
      <c r="E699" t="inlineStr">
        <is>
          <t>RAGUNDA</t>
        </is>
      </c>
      <c r="F699" t="inlineStr">
        <is>
          <t>SCA</t>
        </is>
      </c>
      <c r="G699" t="n">
        <v>8.5</v>
      </c>
      <c r="H699" t="n">
        <v>0</v>
      </c>
      <c r="I699" t="n">
        <v>0</v>
      </c>
      <c r="J699" t="n">
        <v>0</v>
      </c>
      <c r="K699" t="n">
        <v>0</v>
      </c>
      <c r="L699" t="n">
        <v>0</v>
      </c>
      <c r="M699" t="n">
        <v>0</v>
      </c>
      <c r="N699" t="n">
        <v>0</v>
      </c>
      <c r="O699" t="n">
        <v>0</v>
      </c>
      <c r="P699" t="n">
        <v>0</v>
      </c>
      <c r="Q699" t="n">
        <v>0</v>
      </c>
      <c r="R699" s="2" t="inlineStr"/>
    </row>
    <row r="700" ht="15" customHeight="1">
      <c r="A700" t="inlineStr">
        <is>
          <t>A 35477-2025</t>
        </is>
      </c>
      <c r="B700" s="1" t="n">
        <v>45855.67899305555</v>
      </c>
      <c r="C700" s="1" t="n">
        <v>45941</v>
      </c>
      <c r="D700" t="inlineStr">
        <is>
          <t>JÄMTLANDS LÄN</t>
        </is>
      </c>
      <c r="E700" t="inlineStr">
        <is>
          <t>RAGUNDA</t>
        </is>
      </c>
      <c r="G700" t="n">
        <v>3.6</v>
      </c>
      <c r="H700" t="n">
        <v>0</v>
      </c>
      <c r="I700" t="n">
        <v>0</v>
      </c>
      <c r="J700" t="n">
        <v>0</v>
      </c>
      <c r="K700" t="n">
        <v>0</v>
      </c>
      <c r="L700" t="n">
        <v>0</v>
      </c>
      <c r="M700" t="n">
        <v>0</v>
      </c>
      <c r="N700" t="n">
        <v>0</v>
      </c>
      <c r="O700" t="n">
        <v>0</v>
      </c>
      <c r="P700" t="n">
        <v>0</v>
      </c>
      <c r="Q700" t="n">
        <v>0</v>
      </c>
      <c r="R700" s="2" t="inlineStr"/>
    </row>
    <row r="701" ht="15" customHeight="1">
      <c r="A701" t="inlineStr">
        <is>
          <t>A 35541-2025</t>
        </is>
      </c>
      <c r="B701" s="1" t="n">
        <v>45856.46931712963</v>
      </c>
      <c r="C701" s="1" t="n">
        <v>45941</v>
      </c>
      <c r="D701" t="inlineStr">
        <is>
          <t>JÄMTLANDS LÄN</t>
        </is>
      </c>
      <c r="E701" t="inlineStr">
        <is>
          <t>RAGUNDA</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16334-2025</t>
        </is>
      </c>
      <c r="B702" s="1" t="n">
        <v>45751.36490740741</v>
      </c>
      <c r="C702" s="1" t="n">
        <v>45941</v>
      </c>
      <c r="D702" t="inlineStr">
        <is>
          <t>JÄMTLANDS LÄN</t>
        </is>
      </c>
      <c r="E702" t="inlineStr">
        <is>
          <t>RAGUNDA</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35462-2025</t>
        </is>
      </c>
      <c r="B703" s="1" t="n">
        <v>45855.61523148148</v>
      </c>
      <c r="C703" s="1" t="n">
        <v>45941</v>
      </c>
      <c r="D703" t="inlineStr">
        <is>
          <t>JÄMTLANDS LÄN</t>
        </is>
      </c>
      <c r="E703" t="inlineStr">
        <is>
          <t>RAGUNDA</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7284-2025</t>
        </is>
      </c>
      <c r="B704" s="1" t="n">
        <v>45702.63604166666</v>
      </c>
      <c r="C704" s="1" t="n">
        <v>45941</v>
      </c>
      <c r="D704" t="inlineStr">
        <is>
          <t>JÄMTLANDS LÄN</t>
        </is>
      </c>
      <c r="E704" t="inlineStr">
        <is>
          <t>RAGUNDA</t>
        </is>
      </c>
      <c r="F704" t="inlineStr">
        <is>
          <t>SCA</t>
        </is>
      </c>
      <c r="G704" t="n">
        <v>0.3</v>
      </c>
      <c r="H704" t="n">
        <v>0</v>
      </c>
      <c r="I704" t="n">
        <v>0</v>
      </c>
      <c r="J704" t="n">
        <v>0</v>
      </c>
      <c r="K704" t="n">
        <v>0</v>
      </c>
      <c r="L704" t="n">
        <v>0</v>
      </c>
      <c r="M704" t="n">
        <v>0</v>
      </c>
      <c r="N704" t="n">
        <v>0</v>
      </c>
      <c r="O704" t="n">
        <v>0</v>
      </c>
      <c r="P704" t="n">
        <v>0</v>
      </c>
      <c r="Q704" t="n">
        <v>0</v>
      </c>
      <c r="R704" s="2" t="inlineStr"/>
    </row>
    <row r="705" ht="15" customHeight="1">
      <c r="A705" t="inlineStr">
        <is>
          <t>A 35689-2025</t>
        </is>
      </c>
      <c r="B705" s="1" t="n">
        <v>45860.30229166667</v>
      </c>
      <c r="C705" s="1" t="n">
        <v>45941</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41656-2025</t>
        </is>
      </c>
      <c r="B706" s="1" t="n">
        <v>45902.34423611111</v>
      </c>
      <c r="C706" s="1" t="n">
        <v>45941</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41422-2025</t>
        </is>
      </c>
      <c r="B707" s="1" t="n">
        <v>45901.38572916666</v>
      </c>
      <c r="C707" s="1" t="n">
        <v>45941</v>
      </c>
      <c r="D707" t="inlineStr">
        <is>
          <t>JÄMTLANDS LÄN</t>
        </is>
      </c>
      <c r="E707" t="inlineStr">
        <is>
          <t>RAGUNDA</t>
        </is>
      </c>
      <c r="G707" t="n">
        <v>4.3</v>
      </c>
      <c r="H707" t="n">
        <v>0</v>
      </c>
      <c r="I707" t="n">
        <v>0</v>
      </c>
      <c r="J707" t="n">
        <v>0</v>
      </c>
      <c r="K707" t="n">
        <v>0</v>
      </c>
      <c r="L707" t="n">
        <v>0</v>
      </c>
      <c r="M707" t="n">
        <v>0</v>
      </c>
      <c r="N707" t="n">
        <v>0</v>
      </c>
      <c r="O707" t="n">
        <v>0</v>
      </c>
      <c r="P707" t="n">
        <v>0</v>
      </c>
      <c r="Q707" t="n">
        <v>0</v>
      </c>
      <c r="R707" s="2" t="inlineStr"/>
    </row>
    <row r="708" ht="15" customHeight="1">
      <c r="A708" t="inlineStr">
        <is>
          <t>A 41424-2025</t>
        </is>
      </c>
      <c r="B708" s="1" t="n">
        <v>45901.38584490741</v>
      </c>
      <c r="C708" s="1" t="n">
        <v>45941</v>
      </c>
      <c r="D708" t="inlineStr">
        <is>
          <t>JÄMTLANDS LÄN</t>
        </is>
      </c>
      <c r="E708" t="inlineStr">
        <is>
          <t>RAGUNDA</t>
        </is>
      </c>
      <c r="G708" t="n">
        <v>3</v>
      </c>
      <c r="H708" t="n">
        <v>0</v>
      </c>
      <c r="I708" t="n">
        <v>0</v>
      </c>
      <c r="J708" t="n">
        <v>0</v>
      </c>
      <c r="K708" t="n">
        <v>0</v>
      </c>
      <c r="L708" t="n">
        <v>0</v>
      </c>
      <c r="M708" t="n">
        <v>0</v>
      </c>
      <c r="N708" t="n">
        <v>0</v>
      </c>
      <c r="O708" t="n">
        <v>0</v>
      </c>
      <c r="P708" t="n">
        <v>0</v>
      </c>
      <c r="Q708" t="n">
        <v>0</v>
      </c>
      <c r="R708" s="2" t="inlineStr"/>
    </row>
    <row r="709" ht="15" customHeight="1">
      <c r="A709" t="inlineStr">
        <is>
          <t>A 35658-2025</t>
        </is>
      </c>
      <c r="B709" s="1" t="n">
        <v>45859.594375</v>
      </c>
      <c r="C709" s="1" t="n">
        <v>45941</v>
      </c>
      <c r="D709" t="inlineStr">
        <is>
          <t>JÄMTLANDS LÄN</t>
        </is>
      </c>
      <c r="E709" t="inlineStr">
        <is>
          <t>RAGUNDA</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41423-2025</t>
        </is>
      </c>
      <c r="B710" s="1" t="n">
        <v>45901.38578703703</v>
      </c>
      <c r="C710" s="1" t="n">
        <v>45941</v>
      </c>
      <c r="D710" t="inlineStr">
        <is>
          <t>JÄMTLANDS LÄN</t>
        </is>
      </c>
      <c r="E710" t="inlineStr">
        <is>
          <t>RAGUNDA</t>
        </is>
      </c>
      <c r="G710" t="n">
        <v>0.7</v>
      </c>
      <c r="H710" t="n">
        <v>0</v>
      </c>
      <c r="I710" t="n">
        <v>0</v>
      </c>
      <c r="J710" t="n">
        <v>0</v>
      </c>
      <c r="K710" t="n">
        <v>0</v>
      </c>
      <c r="L710" t="n">
        <v>0</v>
      </c>
      <c r="M710" t="n">
        <v>0</v>
      </c>
      <c r="N710" t="n">
        <v>0</v>
      </c>
      <c r="O710" t="n">
        <v>0</v>
      </c>
      <c r="P710" t="n">
        <v>0</v>
      </c>
      <c r="Q710" t="n">
        <v>0</v>
      </c>
      <c r="R710" s="2" t="inlineStr"/>
    </row>
    <row r="711" ht="15" customHeight="1">
      <c r="A711" t="inlineStr">
        <is>
          <t>A 41876-2025</t>
        </is>
      </c>
      <c r="B711" s="1" t="n">
        <v>45903.34555555556</v>
      </c>
      <c r="C711" s="1" t="n">
        <v>45941</v>
      </c>
      <c r="D711" t="inlineStr">
        <is>
          <t>JÄMTLANDS LÄN</t>
        </is>
      </c>
      <c r="E711" t="inlineStr">
        <is>
          <t>RAGUNDA</t>
        </is>
      </c>
      <c r="G711" t="n">
        <v>2</v>
      </c>
      <c r="H711" t="n">
        <v>0</v>
      </c>
      <c r="I711" t="n">
        <v>0</v>
      </c>
      <c r="J711" t="n">
        <v>0</v>
      </c>
      <c r="K711" t="n">
        <v>0</v>
      </c>
      <c r="L711" t="n">
        <v>0</v>
      </c>
      <c r="M711" t="n">
        <v>0</v>
      </c>
      <c r="N711" t="n">
        <v>0</v>
      </c>
      <c r="O711" t="n">
        <v>0</v>
      </c>
      <c r="P711" t="n">
        <v>0</v>
      </c>
      <c r="Q711" t="n">
        <v>0</v>
      </c>
      <c r="R711" s="2" t="inlineStr"/>
    </row>
    <row r="712" ht="15" customHeight="1">
      <c r="A712" t="inlineStr">
        <is>
          <t>A 42269-2025</t>
        </is>
      </c>
      <c r="B712" s="1" t="n">
        <v>45904.60431712963</v>
      </c>
      <c r="C712" s="1" t="n">
        <v>45941</v>
      </c>
      <c r="D712" t="inlineStr">
        <is>
          <t>JÄMTLANDS LÄN</t>
        </is>
      </c>
      <c r="E712" t="inlineStr">
        <is>
          <t>RAGUNDA</t>
        </is>
      </c>
      <c r="G712" t="n">
        <v>4.3</v>
      </c>
      <c r="H712" t="n">
        <v>0</v>
      </c>
      <c r="I712" t="n">
        <v>0</v>
      </c>
      <c r="J712" t="n">
        <v>0</v>
      </c>
      <c r="K712" t="n">
        <v>0</v>
      </c>
      <c r="L712" t="n">
        <v>0</v>
      </c>
      <c r="M712" t="n">
        <v>0</v>
      </c>
      <c r="N712" t="n">
        <v>0</v>
      </c>
      <c r="O712" t="n">
        <v>0</v>
      </c>
      <c r="P712" t="n">
        <v>0</v>
      </c>
      <c r="Q712" t="n">
        <v>0</v>
      </c>
      <c r="R712" s="2" t="inlineStr"/>
    </row>
    <row r="713" ht="15" customHeight="1">
      <c r="A713" t="inlineStr">
        <is>
          <t>A 7284-2024</t>
        </is>
      </c>
      <c r="B713" s="1" t="n">
        <v>45344.92865740741</v>
      </c>
      <c r="C713" s="1" t="n">
        <v>45941</v>
      </c>
      <c r="D713" t="inlineStr">
        <is>
          <t>JÄMTLANDS LÄN</t>
        </is>
      </c>
      <c r="E713" t="inlineStr">
        <is>
          <t>RAGUNDA</t>
        </is>
      </c>
      <c r="G713" t="n">
        <v>2.1</v>
      </c>
      <c r="H713" t="n">
        <v>0</v>
      </c>
      <c r="I713" t="n">
        <v>0</v>
      </c>
      <c r="J713" t="n">
        <v>0</v>
      </c>
      <c r="K713" t="n">
        <v>0</v>
      </c>
      <c r="L713" t="n">
        <v>0</v>
      </c>
      <c r="M713" t="n">
        <v>0</v>
      </c>
      <c r="N713" t="n">
        <v>0</v>
      </c>
      <c r="O713" t="n">
        <v>0</v>
      </c>
      <c r="P713" t="n">
        <v>0</v>
      </c>
      <c r="Q713" t="n">
        <v>0</v>
      </c>
      <c r="R713" s="2" t="inlineStr"/>
    </row>
    <row r="714" ht="15" customHeight="1">
      <c r="A714" t="inlineStr">
        <is>
          <t>A 7285-2024</t>
        </is>
      </c>
      <c r="B714" s="1" t="n">
        <v>45344.92873842592</v>
      </c>
      <c r="C714" s="1" t="n">
        <v>45941</v>
      </c>
      <c r="D714" t="inlineStr">
        <is>
          <t>JÄMTLANDS LÄN</t>
        </is>
      </c>
      <c r="E714" t="inlineStr">
        <is>
          <t>RAGUNDA</t>
        </is>
      </c>
      <c r="G714" t="n">
        <v>0.5</v>
      </c>
      <c r="H714" t="n">
        <v>0</v>
      </c>
      <c r="I714" t="n">
        <v>0</v>
      </c>
      <c r="J714" t="n">
        <v>0</v>
      </c>
      <c r="K714" t="n">
        <v>0</v>
      </c>
      <c r="L714" t="n">
        <v>0</v>
      </c>
      <c r="M714" t="n">
        <v>0</v>
      </c>
      <c r="N714" t="n">
        <v>0</v>
      </c>
      <c r="O714" t="n">
        <v>0</v>
      </c>
      <c r="P714" t="n">
        <v>0</v>
      </c>
      <c r="Q714" t="n">
        <v>0</v>
      </c>
      <c r="R714" s="2" t="inlineStr"/>
    </row>
    <row r="715" ht="15" customHeight="1">
      <c r="A715" t="inlineStr">
        <is>
          <t>A 60012-2023</t>
        </is>
      </c>
      <c r="B715" s="1" t="n">
        <v>45257</v>
      </c>
      <c r="C715" s="1" t="n">
        <v>45941</v>
      </c>
      <c r="D715" t="inlineStr">
        <is>
          <t>JÄMTLANDS LÄN</t>
        </is>
      </c>
      <c r="E715" t="inlineStr">
        <is>
          <t>RAGUNDA</t>
        </is>
      </c>
      <c r="F715" t="inlineStr">
        <is>
          <t>SCA</t>
        </is>
      </c>
      <c r="G715" t="n">
        <v>5</v>
      </c>
      <c r="H715" t="n">
        <v>0</v>
      </c>
      <c r="I715" t="n">
        <v>0</v>
      </c>
      <c r="J715" t="n">
        <v>0</v>
      </c>
      <c r="K715" t="n">
        <v>0</v>
      </c>
      <c r="L715" t="n">
        <v>0</v>
      </c>
      <c r="M715" t="n">
        <v>0</v>
      </c>
      <c r="N715" t="n">
        <v>0</v>
      </c>
      <c r="O715" t="n">
        <v>0</v>
      </c>
      <c r="P715" t="n">
        <v>0</v>
      </c>
      <c r="Q715" t="n">
        <v>0</v>
      </c>
      <c r="R715" s="2" t="inlineStr"/>
    </row>
    <row r="716" ht="15" customHeight="1">
      <c r="A716" t="inlineStr">
        <is>
          <t>A 2242-2024</t>
        </is>
      </c>
      <c r="B716" s="1" t="n">
        <v>45309</v>
      </c>
      <c r="C716" s="1" t="n">
        <v>45941</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2248-2024</t>
        </is>
      </c>
      <c r="B717" s="1" t="n">
        <v>45309</v>
      </c>
      <c r="C717" s="1" t="n">
        <v>45941</v>
      </c>
      <c r="D717" t="inlineStr">
        <is>
          <t>JÄMTLANDS LÄN</t>
        </is>
      </c>
      <c r="E717" t="inlineStr">
        <is>
          <t>RAGUNDA</t>
        </is>
      </c>
      <c r="G717" t="n">
        <v>4.2</v>
      </c>
      <c r="H717" t="n">
        <v>0</v>
      </c>
      <c r="I717" t="n">
        <v>0</v>
      </c>
      <c r="J717" t="n">
        <v>0</v>
      </c>
      <c r="K717" t="n">
        <v>0</v>
      </c>
      <c r="L717" t="n">
        <v>0</v>
      </c>
      <c r="M717" t="n">
        <v>0</v>
      </c>
      <c r="N717" t="n">
        <v>0</v>
      </c>
      <c r="O717" t="n">
        <v>0</v>
      </c>
      <c r="P717" t="n">
        <v>0</v>
      </c>
      <c r="Q717" t="n">
        <v>0</v>
      </c>
      <c r="R717" s="2" t="inlineStr"/>
    </row>
    <row r="718" ht="15" customHeight="1">
      <c r="A718" t="inlineStr">
        <is>
          <t>A 5958-2021</t>
        </is>
      </c>
      <c r="B718" s="1" t="n">
        <v>44231</v>
      </c>
      <c r="C718" s="1" t="n">
        <v>45941</v>
      </c>
      <c r="D718" t="inlineStr">
        <is>
          <t>JÄMTLANDS LÄN</t>
        </is>
      </c>
      <c r="E718" t="inlineStr">
        <is>
          <t>RAGUNDA</t>
        </is>
      </c>
      <c r="G718" t="n">
        <v>3.1</v>
      </c>
      <c r="H718" t="n">
        <v>0</v>
      </c>
      <c r="I718" t="n">
        <v>0</v>
      </c>
      <c r="J718" t="n">
        <v>0</v>
      </c>
      <c r="K718" t="n">
        <v>0</v>
      </c>
      <c r="L718" t="n">
        <v>0</v>
      </c>
      <c r="M718" t="n">
        <v>0</v>
      </c>
      <c r="N718" t="n">
        <v>0</v>
      </c>
      <c r="O718" t="n">
        <v>0</v>
      </c>
      <c r="P718" t="n">
        <v>0</v>
      </c>
      <c r="Q718" t="n">
        <v>0</v>
      </c>
      <c r="R718" s="2" t="inlineStr"/>
    </row>
    <row r="719" ht="15" customHeight="1">
      <c r="A719" t="inlineStr">
        <is>
          <t>A 20221-2025</t>
        </is>
      </c>
      <c r="B719" s="1" t="n">
        <v>45772.6565625</v>
      </c>
      <c r="C719" s="1" t="n">
        <v>45941</v>
      </c>
      <c r="D719" t="inlineStr">
        <is>
          <t>JÄMTLANDS LÄN</t>
        </is>
      </c>
      <c r="E719" t="inlineStr">
        <is>
          <t>RAGUNDA</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24197-2024</t>
        </is>
      </c>
      <c r="B720" s="1" t="n">
        <v>45456.96601851852</v>
      </c>
      <c r="C720" s="1" t="n">
        <v>45941</v>
      </c>
      <c r="D720" t="inlineStr">
        <is>
          <t>JÄMTLANDS LÄN</t>
        </is>
      </c>
      <c r="E720" t="inlineStr">
        <is>
          <t>RAGUNDA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4916-2025</t>
        </is>
      </c>
      <c r="B721" s="1" t="n">
        <v>45688.68196759259</v>
      </c>
      <c r="C721" s="1" t="n">
        <v>45941</v>
      </c>
      <c r="D721" t="inlineStr">
        <is>
          <t>JÄMTLANDS LÄN</t>
        </is>
      </c>
      <c r="E721" t="inlineStr">
        <is>
          <t>RAGUNDA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21401-2024</t>
        </is>
      </c>
      <c r="B722" s="1" t="n">
        <v>45441.33313657407</v>
      </c>
      <c r="C722" s="1" t="n">
        <v>45941</v>
      </c>
      <c r="D722" t="inlineStr">
        <is>
          <t>JÄMTLANDS LÄN</t>
        </is>
      </c>
      <c r="E722" t="inlineStr">
        <is>
          <t>RAGUNDA</t>
        </is>
      </c>
      <c r="G722" t="n">
        <v>3.7</v>
      </c>
      <c r="H722" t="n">
        <v>0</v>
      </c>
      <c r="I722" t="n">
        <v>0</v>
      </c>
      <c r="J722" t="n">
        <v>0</v>
      </c>
      <c r="K722" t="n">
        <v>0</v>
      </c>
      <c r="L722" t="n">
        <v>0</v>
      </c>
      <c r="M722" t="n">
        <v>0</v>
      </c>
      <c r="N722" t="n">
        <v>0</v>
      </c>
      <c r="O722" t="n">
        <v>0</v>
      </c>
      <c r="P722" t="n">
        <v>0</v>
      </c>
      <c r="Q722" t="n">
        <v>0</v>
      </c>
      <c r="R722" s="2" t="inlineStr"/>
    </row>
    <row r="723" ht="15" customHeight="1">
      <c r="A723" t="inlineStr">
        <is>
          <t>A 35265-2023</t>
        </is>
      </c>
      <c r="B723" s="1" t="n">
        <v>45145.95326388889</v>
      </c>
      <c r="C723" s="1" t="n">
        <v>45941</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31435-2022</t>
        </is>
      </c>
      <c r="B724" s="1" t="n">
        <v>44774</v>
      </c>
      <c r="C724" s="1" t="n">
        <v>45941</v>
      </c>
      <c r="D724" t="inlineStr">
        <is>
          <t>JÄMTLANDS LÄN</t>
        </is>
      </c>
      <c r="E724" t="inlineStr">
        <is>
          <t>RAGUNDA</t>
        </is>
      </c>
      <c r="G724" t="n">
        <v>1.6</v>
      </c>
      <c r="H724" t="n">
        <v>0</v>
      </c>
      <c r="I724" t="n">
        <v>0</v>
      </c>
      <c r="J724" t="n">
        <v>0</v>
      </c>
      <c r="K724" t="n">
        <v>0</v>
      </c>
      <c r="L724" t="n">
        <v>0</v>
      </c>
      <c r="M724" t="n">
        <v>0</v>
      </c>
      <c r="N724" t="n">
        <v>0</v>
      </c>
      <c r="O724" t="n">
        <v>0</v>
      </c>
      <c r="P724" t="n">
        <v>0</v>
      </c>
      <c r="Q724" t="n">
        <v>0</v>
      </c>
      <c r="R724" s="2" t="inlineStr"/>
    </row>
    <row r="725" ht="15" customHeight="1">
      <c r="A725" t="inlineStr">
        <is>
          <t>A 50211-2023</t>
        </is>
      </c>
      <c r="B725" s="1" t="n">
        <v>45215.94657407407</v>
      </c>
      <c r="C725" s="1" t="n">
        <v>45941</v>
      </c>
      <c r="D725" t="inlineStr">
        <is>
          <t>JÄMTLANDS LÄN</t>
        </is>
      </c>
      <c r="E725" t="inlineStr">
        <is>
          <t>RAGUNDA</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23305-2023</t>
        </is>
      </c>
      <c r="B726" s="1" t="n">
        <v>45075.94506944445</v>
      </c>
      <c r="C726" s="1" t="n">
        <v>45941</v>
      </c>
      <c r="D726" t="inlineStr">
        <is>
          <t>JÄMTLANDS LÄN</t>
        </is>
      </c>
      <c r="E726" t="inlineStr">
        <is>
          <t>RAGUNDA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16529-2022</t>
        </is>
      </c>
      <c r="B727" s="1" t="n">
        <v>44671</v>
      </c>
      <c r="C727" s="1" t="n">
        <v>45941</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40269-2022</t>
        </is>
      </c>
      <c r="B728" s="1" t="n">
        <v>44820</v>
      </c>
      <c r="C728" s="1" t="n">
        <v>45941</v>
      </c>
      <c r="D728" t="inlineStr">
        <is>
          <t>JÄMTLANDS LÄN</t>
        </is>
      </c>
      <c r="E728" t="inlineStr">
        <is>
          <t>RAGUNDA</t>
        </is>
      </c>
      <c r="F728" t="inlineStr">
        <is>
          <t>SCA</t>
        </is>
      </c>
      <c r="G728" t="n">
        <v>77.8</v>
      </c>
      <c r="H728" t="n">
        <v>0</v>
      </c>
      <c r="I728" t="n">
        <v>0</v>
      </c>
      <c r="J728" t="n">
        <v>0</v>
      </c>
      <c r="K728" t="n">
        <v>0</v>
      </c>
      <c r="L728" t="n">
        <v>0</v>
      </c>
      <c r="M728" t="n">
        <v>0</v>
      </c>
      <c r="N728" t="n">
        <v>0</v>
      </c>
      <c r="O728" t="n">
        <v>0</v>
      </c>
      <c r="P728" t="n">
        <v>0</v>
      </c>
      <c r="Q728" t="n">
        <v>0</v>
      </c>
      <c r="R728" s="2" t="inlineStr"/>
    </row>
    <row r="729" ht="15" customHeight="1">
      <c r="A729" t="inlineStr">
        <is>
          <t>A 44536-2022</t>
        </is>
      </c>
      <c r="B729" s="1" t="n">
        <v>44839</v>
      </c>
      <c r="C729" s="1" t="n">
        <v>45941</v>
      </c>
      <c r="D729" t="inlineStr">
        <is>
          <t>JÄMTLANDS LÄN</t>
        </is>
      </c>
      <c r="E729" t="inlineStr">
        <is>
          <t>RAGUNDA</t>
        </is>
      </c>
      <c r="G729" t="n">
        <v>4</v>
      </c>
      <c r="H729" t="n">
        <v>0</v>
      </c>
      <c r="I729" t="n">
        <v>0</v>
      </c>
      <c r="J729" t="n">
        <v>0</v>
      </c>
      <c r="K729" t="n">
        <v>0</v>
      </c>
      <c r="L729" t="n">
        <v>0</v>
      </c>
      <c r="M729" t="n">
        <v>0</v>
      </c>
      <c r="N729" t="n">
        <v>0</v>
      </c>
      <c r="O729" t="n">
        <v>0</v>
      </c>
      <c r="P729" t="n">
        <v>0</v>
      </c>
      <c r="Q729" t="n">
        <v>0</v>
      </c>
      <c r="R729" s="2" t="inlineStr"/>
    </row>
    <row r="730" ht="15" customHeight="1">
      <c r="A730" t="inlineStr">
        <is>
          <t>A 36212-2023</t>
        </is>
      </c>
      <c r="B730" s="1" t="n">
        <v>45149.95241898148</v>
      </c>
      <c r="C730" s="1" t="n">
        <v>45941</v>
      </c>
      <c r="D730" t="inlineStr">
        <is>
          <t>JÄMTLANDS LÄN</t>
        </is>
      </c>
      <c r="E730" t="inlineStr">
        <is>
          <t>RAGUNDA</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42393-2025</t>
        </is>
      </c>
      <c r="B731" s="1" t="n">
        <v>45905</v>
      </c>
      <c r="C731" s="1" t="n">
        <v>45941</v>
      </c>
      <c r="D731" t="inlineStr">
        <is>
          <t>JÄMTLANDS LÄN</t>
        </is>
      </c>
      <c r="E731" t="inlineStr">
        <is>
          <t>RAGUNDA</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53860-2023</t>
        </is>
      </c>
      <c r="B732" s="1" t="n">
        <v>45224</v>
      </c>
      <c r="C732" s="1" t="n">
        <v>45941</v>
      </c>
      <c r="D732" t="inlineStr">
        <is>
          <t>JÄMTLANDS LÄN</t>
        </is>
      </c>
      <c r="E732" t="inlineStr">
        <is>
          <t>RAGUNDA</t>
        </is>
      </c>
      <c r="G732" t="n">
        <v>3.3</v>
      </c>
      <c r="H732" t="n">
        <v>0</v>
      </c>
      <c r="I732" t="n">
        <v>0</v>
      </c>
      <c r="J732" t="n">
        <v>0</v>
      </c>
      <c r="K732" t="n">
        <v>0</v>
      </c>
      <c r="L732" t="n">
        <v>0</v>
      </c>
      <c r="M732" t="n">
        <v>0</v>
      </c>
      <c r="N732" t="n">
        <v>0</v>
      </c>
      <c r="O732" t="n">
        <v>0</v>
      </c>
      <c r="P732" t="n">
        <v>0</v>
      </c>
      <c r="Q732" t="n">
        <v>0</v>
      </c>
      <c r="R732" s="2" t="inlineStr"/>
    </row>
    <row r="733" ht="15" customHeight="1">
      <c r="A733" t="inlineStr">
        <is>
          <t>A 54599-2023</t>
        </is>
      </c>
      <c r="B733" s="1" t="n">
        <v>45233.92591435185</v>
      </c>
      <c r="C733" s="1" t="n">
        <v>45941</v>
      </c>
      <c r="D733" t="inlineStr">
        <is>
          <t>JÄMTLANDS LÄN</t>
        </is>
      </c>
      <c r="E733" t="inlineStr">
        <is>
          <t>RAGUNDA</t>
        </is>
      </c>
      <c r="G733" t="n">
        <v>3.7</v>
      </c>
      <c r="H733" t="n">
        <v>0</v>
      </c>
      <c r="I733" t="n">
        <v>0</v>
      </c>
      <c r="J733" t="n">
        <v>0</v>
      </c>
      <c r="K733" t="n">
        <v>0</v>
      </c>
      <c r="L733" t="n">
        <v>0</v>
      </c>
      <c r="M733" t="n">
        <v>0</v>
      </c>
      <c r="N733" t="n">
        <v>0</v>
      </c>
      <c r="O733" t="n">
        <v>0</v>
      </c>
      <c r="P733" t="n">
        <v>0</v>
      </c>
      <c r="Q733" t="n">
        <v>0</v>
      </c>
      <c r="R733" s="2" t="inlineStr"/>
    </row>
    <row r="734" ht="15" customHeight="1">
      <c r="A734" t="inlineStr">
        <is>
          <t>A 42776-2025</t>
        </is>
      </c>
      <c r="B734" s="1" t="n">
        <v>45908.48993055556</v>
      </c>
      <c r="C734" s="1" t="n">
        <v>45941</v>
      </c>
      <c r="D734" t="inlineStr">
        <is>
          <t>JÄMTLANDS LÄN</t>
        </is>
      </c>
      <c r="E734" t="inlineStr">
        <is>
          <t>RAGUNDA</t>
        </is>
      </c>
      <c r="G734" t="n">
        <v>11.6</v>
      </c>
      <c r="H734" t="n">
        <v>0</v>
      </c>
      <c r="I734" t="n">
        <v>0</v>
      </c>
      <c r="J734" t="n">
        <v>0</v>
      </c>
      <c r="K734" t="n">
        <v>0</v>
      </c>
      <c r="L734" t="n">
        <v>0</v>
      </c>
      <c r="M734" t="n">
        <v>0</v>
      </c>
      <c r="N734" t="n">
        <v>0</v>
      </c>
      <c r="O734" t="n">
        <v>0</v>
      </c>
      <c r="P734" t="n">
        <v>0</v>
      </c>
      <c r="Q734" t="n">
        <v>0</v>
      </c>
      <c r="R734" s="2" t="inlineStr"/>
    </row>
    <row r="735" ht="15" customHeight="1">
      <c r="A735" t="inlineStr">
        <is>
          <t>A 54092-2024</t>
        </is>
      </c>
      <c r="B735" s="1" t="n">
        <v>45616.5108912037</v>
      </c>
      <c r="C735" s="1" t="n">
        <v>45941</v>
      </c>
      <c r="D735" t="inlineStr">
        <is>
          <t>JÄMTLANDS LÄN</t>
        </is>
      </c>
      <c r="E735" t="inlineStr">
        <is>
          <t>RAGUNDA</t>
        </is>
      </c>
      <c r="F735" t="inlineStr">
        <is>
          <t>Naturvårdsverket</t>
        </is>
      </c>
      <c r="G735" t="n">
        <v>1.3</v>
      </c>
      <c r="H735" t="n">
        <v>0</v>
      </c>
      <c r="I735" t="n">
        <v>0</v>
      </c>
      <c r="J735" t="n">
        <v>0</v>
      </c>
      <c r="K735" t="n">
        <v>0</v>
      </c>
      <c r="L735" t="n">
        <v>0</v>
      </c>
      <c r="M735" t="n">
        <v>0</v>
      </c>
      <c r="N735" t="n">
        <v>0</v>
      </c>
      <c r="O735" t="n">
        <v>0</v>
      </c>
      <c r="P735" t="n">
        <v>0</v>
      </c>
      <c r="Q735" t="n">
        <v>0</v>
      </c>
      <c r="R735" s="2" t="inlineStr"/>
    </row>
    <row r="736" ht="15" customHeight="1">
      <c r="A736" t="inlineStr">
        <is>
          <t>A 10610-2024</t>
        </is>
      </c>
      <c r="B736" s="1" t="n">
        <v>45367.04693287037</v>
      </c>
      <c r="C736" s="1" t="n">
        <v>45941</v>
      </c>
      <c r="D736" t="inlineStr">
        <is>
          <t>JÄMTLANDS LÄN</t>
        </is>
      </c>
      <c r="E736" t="inlineStr">
        <is>
          <t>RAGUNDA</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8779-2025</t>
        </is>
      </c>
      <c r="B737" s="1" t="n">
        <v>45712.61552083334</v>
      </c>
      <c r="C737" s="1" t="n">
        <v>45941</v>
      </c>
      <c r="D737" t="inlineStr">
        <is>
          <t>JÄMTLANDS LÄN</t>
        </is>
      </c>
      <c r="E737" t="inlineStr">
        <is>
          <t>RAGUNDA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20574-2025</t>
        </is>
      </c>
      <c r="B738" s="1" t="n">
        <v>45775.67747685185</v>
      </c>
      <c r="C738" s="1" t="n">
        <v>45941</v>
      </c>
      <c r="D738" t="inlineStr">
        <is>
          <t>JÄMTLANDS LÄN</t>
        </is>
      </c>
      <c r="E738" t="inlineStr">
        <is>
          <t>RAGUNDA</t>
        </is>
      </c>
      <c r="F738" t="inlineStr">
        <is>
          <t>SCA</t>
        </is>
      </c>
      <c r="G738" t="n">
        <v>5.1</v>
      </c>
      <c r="H738" t="n">
        <v>0</v>
      </c>
      <c r="I738" t="n">
        <v>0</v>
      </c>
      <c r="J738" t="n">
        <v>0</v>
      </c>
      <c r="K738" t="n">
        <v>0</v>
      </c>
      <c r="L738" t="n">
        <v>0</v>
      </c>
      <c r="M738" t="n">
        <v>0</v>
      </c>
      <c r="N738" t="n">
        <v>0</v>
      </c>
      <c r="O738" t="n">
        <v>0</v>
      </c>
      <c r="P738" t="n">
        <v>0</v>
      </c>
      <c r="Q738" t="n">
        <v>0</v>
      </c>
      <c r="R738" s="2" t="inlineStr"/>
    </row>
    <row r="739" ht="15" customHeight="1">
      <c r="A739" t="inlineStr">
        <is>
          <t>A 16676-2022</t>
        </is>
      </c>
      <c r="B739" s="1" t="n">
        <v>44672.94018518519</v>
      </c>
      <c r="C739" s="1" t="n">
        <v>45941</v>
      </c>
      <c r="D739" t="inlineStr">
        <is>
          <t>JÄMTLANDS LÄN</t>
        </is>
      </c>
      <c r="E739" t="inlineStr">
        <is>
          <t>RAGUNDA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43177-2025</t>
        </is>
      </c>
      <c r="B740" s="1" t="n">
        <v>45910.40667824074</v>
      </c>
      <c r="C740" s="1" t="n">
        <v>45941</v>
      </c>
      <c r="D740" t="inlineStr">
        <is>
          <t>JÄMTLANDS LÄN</t>
        </is>
      </c>
      <c r="E740" t="inlineStr">
        <is>
          <t>RAGUNDA</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57078-2023</t>
        </is>
      </c>
      <c r="B741" s="1" t="n">
        <v>45244.96774305555</v>
      </c>
      <c r="C741" s="1" t="n">
        <v>45941</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12976-2025</t>
        </is>
      </c>
      <c r="B742" s="1" t="n">
        <v>45734.45268518518</v>
      </c>
      <c r="C742" s="1" t="n">
        <v>45941</v>
      </c>
      <c r="D742" t="inlineStr">
        <is>
          <t>JÄMTLANDS LÄN</t>
        </is>
      </c>
      <c r="E742" t="inlineStr">
        <is>
          <t>RAGUNDA</t>
        </is>
      </c>
      <c r="G742" t="n">
        <v>24.2</v>
      </c>
      <c r="H742" t="n">
        <v>0</v>
      </c>
      <c r="I742" t="n">
        <v>0</v>
      </c>
      <c r="J742" t="n">
        <v>0</v>
      </c>
      <c r="K742" t="n">
        <v>0</v>
      </c>
      <c r="L742" t="n">
        <v>0</v>
      </c>
      <c r="M742" t="n">
        <v>0</v>
      </c>
      <c r="N742" t="n">
        <v>0</v>
      </c>
      <c r="O742" t="n">
        <v>0</v>
      </c>
      <c r="P742" t="n">
        <v>0</v>
      </c>
      <c r="Q742" t="n">
        <v>0</v>
      </c>
      <c r="R742" s="2" t="inlineStr"/>
    </row>
    <row r="743" ht="15" customHeight="1">
      <c r="A743" t="inlineStr">
        <is>
          <t>A 46689-2025</t>
        </is>
      </c>
      <c r="B743" s="1" t="n">
        <v>45926.55307870371</v>
      </c>
      <c r="C743" s="1" t="n">
        <v>45941</v>
      </c>
      <c r="D743" t="inlineStr">
        <is>
          <t>JÄMTLANDS LÄN</t>
        </is>
      </c>
      <c r="E743" t="inlineStr">
        <is>
          <t>RAGUNDA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4615-2023</t>
        </is>
      </c>
      <c r="B744" s="1" t="n">
        <v>44956.93924768519</v>
      </c>
      <c r="C744" s="1" t="n">
        <v>45941</v>
      </c>
      <c r="D744" t="inlineStr">
        <is>
          <t>JÄMTLANDS LÄN</t>
        </is>
      </c>
      <c r="E744" t="inlineStr">
        <is>
          <t>RAGUNDA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2673-2024</t>
        </is>
      </c>
      <c r="B745" s="1" t="n">
        <v>45314</v>
      </c>
      <c r="C745" s="1" t="n">
        <v>45941</v>
      </c>
      <c r="D745" t="inlineStr">
        <is>
          <t>JÄMTLANDS LÄN</t>
        </is>
      </c>
      <c r="E745" t="inlineStr">
        <is>
          <t>RAGUNDA</t>
        </is>
      </c>
      <c r="G745" t="n">
        <v>0.9</v>
      </c>
      <c r="H745" t="n">
        <v>0</v>
      </c>
      <c r="I745" t="n">
        <v>0</v>
      </c>
      <c r="J745" t="n">
        <v>0</v>
      </c>
      <c r="K745" t="n">
        <v>0</v>
      </c>
      <c r="L745" t="n">
        <v>0</v>
      </c>
      <c r="M745" t="n">
        <v>0</v>
      </c>
      <c r="N745" t="n">
        <v>0</v>
      </c>
      <c r="O745" t="n">
        <v>0</v>
      </c>
      <c r="P745" t="n">
        <v>0</v>
      </c>
      <c r="Q745" t="n">
        <v>0</v>
      </c>
      <c r="R745" s="2" t="inlineStr"/>
    </row>
    <row r="746" ht="15" customHeight="1">
      <c r="A746" t="inlineStr">
        <is>
          <t>A 56286-2023</t>
        </is>
      </c>
      <c r="B746" s="1" t="n">
        <v>45241.95741898148</v>
      </c>
      <c r="C746" s="1" t="n">
        <v>45941</v>
      </c>
      <c r="D746" t="inlineStr">
        <is>
          <t>JÄMTLANDS LÄN</t>
        </is>
      </c>
      <c r="E746" t="inlineStr">
        <is>
          <t>RAGUNDA</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56287-2023</t>
        </is>
      </c>
      <c r="B747" s="1" t="n">
        <v>45241</v>
      </c>
      <c r="C747" s="1" t="n">
        <v>45941</v>
      </c>
      <c r="D747" t="inlineStr">
        <is>
          <t>JÄMTLANDS LÄN</t>
        </is>
      </c>
      <c r="E747" t="inlineStr">
        <is>
          <t>RAGUNDA</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57112-2024</t>
        </is>
      </c>
      <c r="B748" s="1" t="n">
        <v>45629.36486111111</v>
      </c>
      <c r="C748" s="1" t="n">
        <v>45941</v>
      </c>
      <c r="D748" t="inlineStr">
        <is>
          <t>JÄMTLANDS LÄN</t>
        </is>
      </c>
      <c r="E748" t="inlineStr">
        <is>
          <t>RAGUNDA</t>
        </is>
      </c>
      <c r="G748" t="n">
        <v>0.7</v>
      </c>
      <c r="H748" t="n">
        <v>0</v>
      </c>
      <c r="I748" t="n">
        <v>0</v>
      </c>
      <c r="J748" t="n">
        <v>0</v>
      </c>
      <c r="K748" t="n">
        <v>0</v>
      </c>
      <c r="L748" t="n">
        <v>0</v>
      </c>
      <c r="M748" t="n">
        <v>0</v>
      </c>
      <c r="N748" t="n">
        <v>0</v>
      </c>
      <c r="O748" t="n">
        <v>0</v>
      </c>
      <c r="P748" t="n">
        <v>0</v>
      </c>
      <c r="Q748" t="n">
        <v>0</v>
      </c>
      <c r="R748" s="2" t="inlineStr"/>
    </row>
    <row r="749" ht="15" customHeight="1">
      <c r="A749" t="inlineStr">
        <is>
          <t>A 36375-2022</t>
        </is>
      </c>
      <c r="B749" s="1" t="n">
        <v>44803.94351851852</v>
      </c>
      <c r="C749" s="1" t="n">
        <v>45941</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43181-2025</t>
        </is>
      </c>
      <c r="B750" s="1" t="n">
        <v>45910.40721064815</v>
      </c>
      <c r="C750" s="1" t="n">
        <v>45941</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43330-2025</t>
        </is>
      </c>
      <c r="B751" s="1" t="n">
        <v>45910.67766203704</v>
      </c>
      <c r="C751" s="1" t="n">
        <v>45941</v>
      </c>
      <c r="D751" t="inlineStr">
        <is>
          <t>JÄMTLANDS LÄN</t>
        </is>
      </c>
      <c r="E751" t="inlineStr">
        <is>
          <t>RAGUNDA</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59658-2023</t>
        </is>
      </c>
      <c r="B752" s="1" t="n">
        <v>45254.96402777778</v>
      </c>
      <c r="C752" s="1" t="n">
        <v>45941</v>
      </c>
      <c r="D752" t="inlineStr">
        <is>
          <t>JÄMTLANDS LÄN</t>
        </is>
      </c>
      <c r="E752" t="inlineStr">
        <is>
          <t>RAGUNDA</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43776-2025</t>
        </is>
      </c>
      <c r="B753" s="1" t="n">
        <v>45912.51086805556</v>
      </c>
      <c r="C753" s="1" t="n">
        <v>45941</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17667-2025</t>
        </is>
      </c>
      <c r="B754" s="1" t="n">
        <v>45758.36487268518</v>
      </c>
      <c r="C754" s="1" t="n">
        <v>45941</v>
      </c>
      <c r="D754" t="inlineStr">
        <is>
          <t>JÄMTLANDS LÄN</t>
        </is>
      </c>
      <c r="E754" t="inlineStr">
        <is>
          <t>RAGUNDA</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36541-2025</t>
        </is>
      </c>
      <c r="B755" s="1" t="n">
        <v>45869.65666666667</v>
      </c>
      <c r="C755" s="1" t="n">
        <v>45941</v>
      </c>
      <c r="D755" t="inlineStr">
        <is>
          <t>JÄMTLANDS LÄN</t>
        </is>
      </c>
      <c r="E755" t="inlineStr">
        <is>
          <t>RAGUNDA</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36544-2025</t>
        </is>
      </c>
      <c r="B756" s="1" t="n">
        <v>45869.67744212963</v>
      </c>
      <c r="C756" s="1" t="n">
        <v>45941</v>
      </c>
      <c r="D756" t="inlineStr">
        <is>
          <t>JÄMTLANDS LÄN</t>
        </is>
      </c>
      <c r="E756" t="inlineStr">
        <is>
          <t>RAGUNDA</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5148-2023</t>
        </is>
      </c>
      <c r="B757" s="1" t="n">
        <v>44958</v>
      </c>
      <c r="C757" s="1" t="n">
        <v>45941</v>
      </c>
      <c r="D757" t="inlineStr">
        <is>
          <t>JÄMTLANDS LÄN</t>
        </is>
      </c>
      <c r="E757" t="inlineStr">
        <is>
          <t>RAGUNDA</t>
        </is>
      </c>
      <c r="G757" t="n">
        <v>2.9</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45941</v>
      </c>
      <c r="D758" t="inlineStr">
        <is>
          <t>JÄMTLANDS LÄN</t>
        </is>
      </c>
      <c r="E758" t="inlineStr">
        <is>
          <t>RAGUNDA</t>
        </is>
      </c>
      <c r="G758" t="n">
        <v>7.2</v>
      </c>
      <c r="H758" t="n">
        <v>0</v>
      </c>
      <c r="I758" t="n">
        <v>0</v>
      </c>
      <c r="J758" t="n">
        <v>0</v>
      </c>
      <c r="K758" t="n">
        <v>0</v>
      </c>
      <c r="L758" t="n">
        <v>0</v>
      </c>
      <c r="M758" t="n">
        <v>0</v>
      </c>
      <c r="N758" t="n">
        <v>0</v>
      </c>
      <c r="O758" t="n">
        <v>0</v>
      </c>
      <c r="P758" t="n">
        <v>0</v>
      </c>
      <c r="Q758" t="n">
        <v>0</v>
      </c>
      <c r="R758" s="2" t="inlineStr"/>
    </row>
    <row r="759" ht="15" customHeight="1">
      <c r="A759" t="inlineStr">
        <is>
          <t>A 51049-2024</t>
        </is>
      </c>
      <c r="B759" s="1" t="n">
        <v>45603.44644675926</v>
      </c>
      <c r="C759" s="1" t="n">
        <v>45941</v>
      </c>
      <c r="D759" t="inlineStr">
        <is>
          <t>JÄMTLANDS LÄN</t>
        </is>
      </c>
      <c r="E759" t="inlineStr">
        <is>
          <t>RAGUNDA</t>
        </is>
      </c>
      <c r="F759" t="inlineStr">
        <is>
          <t>SCA</t>
        </is>
      </c>
      <c r="G759" t="n">
        <v>6.9</v>
      </c>
      <c r="H759" t="n">
        <v>0</v>
      </c>
      <c r="I759" t="n">
        <v>0</v>
      </c>
      <c r="J759" t="n">
        <v>0</v>
      </c>
      <c r="K759" t="n">
        <v>0</v>
      </c>
      <c r="L759" t="n">
        <v>0</v>
      </c>
      <c r="M759" t="n">
        <v>0</v>
      </c>
      <c r="N759" t="n">
        <v>0</v>
      </c>
      <c r="O759" t="n">
        <v>0</v>
      </c>
      <c r="P759" t="n">
        <v>0</v>
      </c>
      <c r="Q759" t="n">
        <v>0</v>
      </c>
      <c r="R759" s="2" t="inlineStr"/>
    </row>
    <row r="760" ht="15" customHeight="1">
      <c r="A760" t="inlineStr">
        <is>
          <t>A 36553-2025</t>
        </is>
      </c>
      <c r="B760" s="1" t="n">
        <v>45870.34439814815</v>
      </c>
      <c r="C760" s="1" t="n">
        <v>45941</v>
      </c>
      <c r="D760" t="inlineStr">
        <is>
          <t>JÄMTLANDS LÄN</t>
        </is>
      </c>
      <c r="E760" t="inlineStr">
        <is>
          <t>RAGUNDA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55489-2024</t>
        </is>
      </c>
      <c r="B761" s="1" t="n">
        <v>45622.44774305556</v>
      </c>
      <c r="C761" s="1" t="n">
        <v>45941</v>
      </c>
      <c r="D761" t="inlineStr">
        <is>
          <t>JÄMTLANDS LÄN</t>
        </is>
      </c>
      <c r="E761" t="inlineStr">
        <is>
          <t>RAGUNDA</t>
        </is>
      </c>
      <c r="G761" t="n">
        <v>1.6</v>
      </c>
      <c r="H761" t="n">
        <v>0</v>
      </c>
      <c r="I761" t="n">
        <v>0</v>
      </c>
      <c r="J761" t="n">
        <v>0</v>
      </c>
      <c r="K761" t="n">
        <v>0</v>
      </c>
      <c r="L761" t="n">
        <v>0</v>
      </c>
      <c r="M761" t="n">
        <v>0</v>
      </c>
      <c r="N761" t="n">
        <v>0</v>
      </c>
      <c r="O761" t="n">
        <v>0</v>
      </c>
      <c r="P761" t="n">
        <v>0</v>
      </c>
      <c r="Q761" t="n">
        <v>0</v>
      </c>
      <c r="R761" s="2" t="inlineStr"/>
    </row>
    <row r="762" ht="15" customHeight="1">
      <c r="A762" t="inlineStr">
        <is>
          <t>A 39192-2025</t>
        </is>
      </c>
      <c r="B762" s="1" t="n">
        <v>45888.6775</v>
      </c>
      <c r="C762" s="1" t="n">
        <v>45941</v>
      </c>
      <c r="D762" t="inlineStr">
        <is>
          <t>JÄMTLANDS LÄN</t>
        </is>
      </c>
      <c r="E762" t="inlineStr">
        <is>
          <t>RAGUNDA</t>
        </is>
      </c>
      <c r="F762" t="inlineStr">
        <is>
          <t>Naturvårdsverket</t>
        </is>
      </c>
      <c r="G762" t="n">
        <v>2.3</v>
      </c>
      <c r="H762" t="n">
        <v>0</v>
      </c>
      <c r="I762" t="n">
        <v>0</v>
      </c>
      <c r="J762" t="n">
        <v>0</v>
      </c>
      <c r="K762" t="n">
        <v>0</v>
      </c>
      <c r="L762" t="n">
        <v>0</v>
      </c>
      <c r="M762" t="n">
        <v>0</v>
      </c>
      <c r="N762" t="n">
        <v>0</v>
      </c>
      <c r="O762" t="n">
        <v>0</v>
      </c>
      <c r="P762" t="n">
        <v>0</v>
      </c>
      <c r="Q762" t="n">
        <v>0</v>
      </c>
      <c r="R762" s="2" t="inlineStr"/>
    </row>
    <row r="763" ht="15" customHeight="1">
      <c r="A763" t="inlineStr">
        <is>
          <t>A 37324-2022</t>
        </is>
      </c>
      <c r="B763" s="1" t="n">
        <v>44806</v>
      </c>
      <c r="C763" s="1" t="n">
        <v>45941</v>
      </c>
      <c r="D763" t="inlineStr">
        <is>
          <t>JÄMTLANDS LÄN</t>
        </is>
      </c>
      <c r="E763" t="inlineStr">
        <is>
          <t>RAGUNDA</t>
        </is>
      </c>
      <c r="G763" t="n">
        <v>2.3</v>
      </c>
      <c r="H763" t="n">
        <v>0</v>
      </c>
      <c r="I763" t="n">
        <v>0</v>
      </c>
      <c r="J763" t="n">
        <v>0</v>
      </c>
      <c r="K763" t="n">
        <v>0</v>
      </c>
      <c r="L763" t="n">
        <v>0</v>
      </c>
      <c r="M763" t="n">
        <v>0</v>
      </c>
      <c r="N763" t="n">
        <v>0</v>
      </c>
      <c r="O763" t="n">
        <v>0</v>
      </c>
      <c r="P763" t="n">
        <v>0</v>
      </c>
      <c r="Q763" t="n">
        <v>0</v>
      </c>
      <c r="R763" s="2" t="inlineStr"/>
    </row>
    <row r="764" ht="15" customHeight="1">
      <c r="A764" t="inlineStr">
        <is>
          <t>A 14074-2023</t>
        </is>
      </c>
      <c r="B764" s="1" t="n">
        <v>45009.089375</v>
      </c>
      <c r="C764" s="1" t="n">
        <v>45941</v>
      </c>
      <c r="D764" t="inlineStr">
        <is>
          <t>JÄMTLANDS LÄN</t>
        </is>
      </c>
      <c r="E764" t="inlineStr">
        <is>
          <t>RAGUNDA</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43804-2025</t>
        </is>
      </c>
      <c r="B765" s="1" t="n">
        <v>45912.57373842593</v>
      </c>
      <c r="C765" s="1" t="n">
        <v>45941</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54764-2024</t>
        </is>
      </c>
      <c r="B766" s="1" t="n">
        <v>45618.46921296296</v>
      </c>
      <c r="C766" s="1" t="n">
        <v>45941</v>
      </c>
      <c r="D766" t="inlineStr">
        <is>
          <t>JÄMTLANDS LÄN</t>
        </is>
      </c>
      <c r="E766" t="inlineStr">
        <is>
          <t>RAGUNDA</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47037-2025</t>
        </is>
      </c>
      <c r="B767" s="1" t="n">
        <v>45929.59456018519</v>
      </c>
      <c r="C767" s="1" t="n">
        <v>45941</v>
      </c>
      <c r="D767" t="inlineStr">
        <is>
          <t>JÄMTLANDS LÄN</t>
        </is>
      </c>
      <c r="E767" t="inlineStr">
        <is>
          <t>RAGUNDA</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43812-2025</t>
        </is>
      </c>
      <c r="B768" s="1" t="n">
        <v>45912.59417824074</v>
      </c>
      <c r="C768" s="1" t="n">
        <v>45941</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62106-2023</t>
        </is>
      </c>
      <c r="B769" s="1" t="n">
        <v>45266.95082175926</v>
      </c>
      <c r="C769" s="1" t="n">
        <v>45941</v>
      </c>
      <c r="D769" t="inlineStr">
        <is>
          <t>JÄMTLANDS LÄN</t>
        </is>
      </c>
      <c r="E769" t="inlineStr">
        <is>
          <t>RAGUNDA</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4592-2024</t>
        </is>
      </c>
      <c r="B770" s="1" t="n">
        <v>45327.94443287037</v>
      </c>
      <c r="C770" s="1" t="n">
        <v>45941</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46825-2025</t>
        </is>
      </c>
      <c r="B771" s="1" t="n">
        <v>45926.92506944444</v>
      </c>
      <c r="C771" s="1" t="n">
        <v>45941</v>
      </c>
      <c r="D771" t="inlineStr">
        <is>
          <t>JÄMTLANDS LÄN</t>
        </is>
      </c>
      <c r="E771" t="inlineStr">
        <is>
          <t>RAGUNDA</t>
        </is>
      </c>
      <c r="G771" t="n">
        <v>1.4</v>
      </c>
      <c r="H771" t="n">
        <v>0</v>
      </c>
      <c r="I771" t="n">
        <v>0</v>
      </c>
      <c r="J771" t="n">
        <v>0</v>
      </c>
      <c r="K771" t="n">
        <v>0</v>
      </c>
      <c r="L771" t="n">
        <v>0</v>
      </c>
      <c r="M771" t="n">
        <v>0</v>
      </c>
      <c r="N771" t="n">
        <v>0</v>
      </c>
      <c r="O771" t="n">
        <v>0</v>
      </c>
      <c r="P771" t="n">
        <v>0</v>
      </c>
      <c r="Q771" t="n">
        <v>0</v>
      </c>
      <c r="R771" s="2" t="inlineStr"/>
    </row>
    <row r="772" ht="15" customHeight="1">
      <c r="A772" t="inlineStr">
        <is>
          <t>A 7279-2024</t>
        </is>
      </c>
      <c r="B772" s="1" t="n">
        <v>45344.92822916667</v>
      </c>
      <c r="C772" s="1" t="n">
        <v>45941</v>
      </c>
      <c r="D772" t="inlineStr">
        <is>
          <t>JÄMTLANDS LÄN</t>
        </is>
      </c>
      <c r="E772" t="inlineStr">
        <is>
          <t>RAGUNDA</t>
        </is>
      </c>
      <c r="G772" t="n">
        <v>2.1</v>
      </c>
      <c r="H772" t="n">
        <v>0</v>
      </c>
      <c r="I772" t="n">
        <v>0</v>
      </c>
      <c r="J772" t="n">
        <v>0</v>
      </c>
      <c r="K772" t="n">
        <v>0</v>
      </c>
      <c r="L772" t="n">
        <v>0</v>
      </c>
      <c r="M772" t="n">
        <v>0</v>
      </c>
      <c r="N772" t="n">
        <v>0</v>
      </c>
      <c r="O772" t="n">
        <v>0</v>
      </c>
      <c r="P772" t="n">
        <v>0</v>
      </c>
      <c r="Q772" t="n">
        <v>0</v>
      </c>
      <c r="R772" s="2" t="inlineStr"/>
    </row>
    <row r="773" ht="15" customHeight="1">
      <c r="A773" t="inlineStr">
        <is>
          <t>A 33650-2025</t>
        </is>
      </c>
      <c r="B773" s="1" t="n">
        <v>45841.6571412037</v>
      </c>
      <c r="C773" s="1" t="n">
        <v>45941</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28216-2025</t>
        </is>
      </c>
      <c r="B774" s="1" t="n">
        <v>45818.46898148148</v>
      </c>
      <c r="C774" s="1" t="n">
        <v>45941</v>
      </c>
      <c r="D774" t="inlineStr">
        <is>
          <t>JÄMTLANDS LÄN</t>
        </is>
      </c>
      <c r="E774" t="inlineStr">
        <is>
          <t>RAGUNDA</t>
        </is>
      </c>
      <c r="G774" t="n">
        <v>6.6</v>
      </c>
      <c r="H774" t="n">
        <v>0</v>
      </c>
      <c r="I774" t="n">
        <v>0</v>
      </c>
      <c r="J774" t="n">
        <v>0</v>
      </c>
      <c r="K774" t="n">
        <v>0</v>
      </c>
      <c r="L774" t="n">
        <v>0</v>
      </c>
      <c r="M774" t="n">
        <v>0</v>
      </c>
      <c r="N774" t="n">
        <v>0</v>
      </c>
      <c r="O774" t="n">
        <v>0</v>
      </c>
      <c r="P774" t="n">
        <v>0</v>
      </c>
      <c r="Q774" t="n">
        <v>0</v>
      </c>
      <c r="R774" s="2" t="inlineStr"/>
    </row>
    <row r="775" ht="15" customHeight="1">
      <c r="A775" t="inlineStr">
        <is>
          <t>A 43971-2025</t>
        </is>
      </c>
      <c r="B775" s="1" t="n">
        <v>45915.40694444445</v>
      </c>
      <c r="C775" s="1" t="n">
        <v>45941</v>
      </c>
      <c r="D775" t="inlineStr">
        <is>
          <t>JÄMTLANDS LÄN</t>
        </is>
      </c>
      <c r="E775" t="inlineStr">
        <is>
          <t>RAGUNDA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18984-2023</t>
        </is>
      </c>
      <c r="B776" s="1" t="n">
        <v>45044</v>
      </c>
      <c r="C776" s="1" t="n">
        <v>45941</v>
      </c>
      <c r="D776" t="inlineStr">
        <is>
          <t>JÄMTLANDS LÄN</t>
        </is>
      </c>
      <c r="E776" t="inlineStr">
        <is>
          <t>RAGUNDA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8241-2024</t>
        </is>
      </c>
      <c r="B777" s="1" t="n">
        <v>45351.98496527778</v>
      </c>
      <c r="C777" s="1" t="n">
        <v>45941</v>
      </c>
      <c r="D777" t="inlineStr">
        <is>
          <t>JÄMTLANDS LÄN</t>
        </is>
      </c>
      <c r="E777" t="inlineStr">
        <is>
          <t>RAGUNDA</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14512-2025</t>
        </is>
      </c>
      <c r="B778" s="1" t="n">
        <v>45741.63659722222</v>
      </c>
      <c r="C778" s="1" t="n">
        <v>45941</v>
      </c>
      <c r="D778" t="inlineStr">
        <is>
          <t>JÄMTLANDS LÄN</t>
        </is>
      </c>
      <c r="E778" t="inlineStr">
        <is>
          <t>RAGUNDA</t>
        </is>
      </c>
      <c r="F778" t="inlineStr">
        <is>
          <t>SCA</t>
        </is>
      </c>
      <c r="G778" t="n">
        <v>8.9</v>
      </c>
      <c r="H778" t="n">
        <v>0</v>
      </c>
      <c r="I778" t="n">
        <v>0</v>
      </c>
      <c r="J778" t="n">
        <v>0</v>
      </c>
      <c r="K778" t="n">
        <v>0</v>
      </c>
      <c r="L778" t="n">
        <v>0</v>
      </c>
      <c r="M778" t="n">
        <v>0</v>
      </c>
      <c r="N778" t="n">
        <v>0</v>
      </c>
      <c r="O778" t="n">
        <v>0</v>
      </c>
      <c r="P778" t="n">
        <v>0</v>
      </c>
      <c r="Q778" t="n">
        <v>0</v>
      </c>
      <c r="R778" s="2" t="inlineStr"/>
    </row>
    <row r="779" ht="15" customHeight="1">
      <c r="A779" t="inlineStr">
        <is>
          <t>A 46909-2025</t>
        </is>
      </c>
      <c r="B779" s="1" t="n">
        <v>45929.40673611111</v>
      </c>
      <c r="C779" s="1" t="n">
        <v>45941</v>
      </c>
      <c r="D779" t="inlineStr">
        <is>
          <t>JÄMTLANDS LÄN</t>
        </is>
      </c>
      <c r="E779" t="inlineStr">
        <is>
          <t>RAGUNDA</t>
        </is>
      </c>
      <c r="G779" t="n">
        <v>5.7</v>
      </c>
      <c r="H779" t="n">
        <v>0</v>
      </c>
      <c r="I779" t="n">
        <v>0</v>
      </c>
      <c r="J779" t="n">
        <v>0</v>
      </c>
      <c r="K779" t="n">
        <v>0</v>
      </c>
      <c r="L779" t="n">
        <v>0</v>
      </c>
      <c r="M779" t="n">
        <v>0</v>
      </c>
      <c r="N779" t="n">
        <v>0</v>
      </c>
      <c r="O779" t="n">
        <v>0</v>
      </c>
      <c r="P779" t="n">
        <v>0</v>
      </c>
      <c r="Q779" t="n">
        <v>0</v>
      </c>
      <c r="R779" s="2" t="inlineStr"/>
    </row>
    <row r="780" ht="15" customHeight="1">
      <c r="A780" t="inlineStr">
        <is>
          <t>A 43533-2025</t>
        </is>
      </c>
      <c r="B780" s="1" t="n">
        <v>45911</v>
      </c>
      <c r="C780" s="1" t="n">
        <v>45941</v>
      </c>
      <c r="D780" t="inlineStr">
        <is>
          <t>JÄMTLANDS LÄN</t>
        </is>
      </c>
      <c r="E780" t="inlineStr">
        <is>
          <t>RAGUNDA</t>
        </is>
      </c>
      <c r="G780" t="n">
        <v>19</v>
      </c>
      <c r="H780" t="n">
        <v>0</v>
      </c>
      <c r="I780" t="n">
        <v>0</v>
      </c>
      <c r="J780" t="n">
        <v>0</v>
      </c>
      <c r="K780" t="n">
        <v>0</v>
      </c>
      <c r="L780" t="n">
        <v>0</v>
      </c>
      <c r="M780" t="n">
        <v>0</v>
      </c>
      <c r="N780" t="n">
        <v>0</v>
      </c>
      <c r="O780" t="n">
        <v>0</v>
      </c>
      <c r="P780" t="n">
        <v>0</v>
      </c>
      <c r="Q780" t="n">
        <v>0</v>
      </c>
      <c r="R780" s="2" t="inlineStr"/>
    </row>
    <row r="781" ht="15" customHeight="1">
      <c r="A781" t="inlineStr">
        <is>
          <t>A 53019-2023</t>
        </is>
      </c>
      <c r="B781" s="1" t="n">
        <v>45222</v>
      </c>
      <c r="C781" s="1" t="n">
        <v>45941</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59996-2023</t>
        </is>
      </c>
      <c r="B782" s="1" t="n">
        <v>45257.92826388889</v>
      </c>
      <c r="C782" s="1" t="n">
        <v>45941</v>
      </c>
      <c r="D782" t="inlineStr">
        <is>
          <t>JÄMTLANDS LÄN</t>
        </is>
      </c>
      <c r="E782" t="inlineStr">
        <is>
          <t>RAGUNDA</t>
        </is>
      </c>
      <c r="G782" t="n">
        <v>2.7</v>
      </c>
      <c r="H782" t="n">
        <v>0</v>
      </c>
      <c r="I782" t="n">
        <v>0</v>
      </c>
      <c r="J782" t="n">
        <v>0</v>
      </c>
      <c r="K782" t="n">
        <v>0</v>
      </c>
      <c r="L782" t="n">
        <v>0</v>
      </c>
      <c r="M782" t="n">
        <v>0</v>
      </c>
      <c r="N782" t="n">
        <v>0</v>
      </c>
      <c r="O782" t="n">
        <v>0</v>
      </c>
      <c r="P782" t="n">
        <v>0</v>
      </c>
      <c r="Q782" t="n">
        <v>0</v>
      </c>
      <c r="R782" s="2" t="inlineStr"/>
    </row>
    <row r="783" ht="15" customHeight="1">
      <c r="A783" t="inlineStr">
        <is>
          <t>A 10706-2023</t>
        </is>
      </c>
      <c r="B783" s="1" t="n">
        <v>44984</v>
      </c>
      <c r="C783" s="1" t="n">
        <v>45941</v>
      </c>
      <c r="D783" t="inlineStr">
        <is>
          <t>JÄMTLANDS LÄN</t>
        </is>
      </c>
      <c r="E783" t="inlineStr">
        <is>
          <t>RAGUNDA</t>
        </is>
      </c>
      <c r="G783" t="n">
        <v>7.7</v>
      </c>
      <c r="H783" t="n">
        <v>0</v>
      </c>
      <c r="I783" t="n">
        <v>0</v>
      </c>
      <c r="J783" t="n">
        <v>0</v>
      </c>
      <c r="K783" t="n">
        <v>0</v>
      </c>
      <c r="L783" t="n">
        <v>0</v>
      </c>
      <c r="M783" t="n">
        <v>0</v>
      </c>
      <c r="N783" t="n">
        <v>0</v>
      </c>
      <c r="O783" t="n">
        <v>0</v>
      </c>
      <c r="P783" t="n">
        <v>0</v>
      </c>
      <c r="Q783" t="n">
        <v>0</v>
      </c>
      <c r="R783" s="2" t="inlineStr"/>
    </row>
    <row r="784" ht="15" customHeight="1">
      <c r="A784" t="inlineStr">
        <is>
          <t>A 1537-2024</t>
        </is>
      </c>
      <c r="B784" s="1" t="n">
        <v>45306</v>
      </c>
      <c r="C784" s="1" t="n">
        <v>45941</v>
      </c>
      <c r="D784" t="inlineStr">
        <is>
          <t>JÄMTLANDS LÄN</t>
        </is>
      </c>
      <c r="E784" t="inlineStr">
        <is>
          <t>RAGUNDA</t>
        </is>
      </c>
      <c r="G784" t="n">
        <v>0.2</v>
      </c>
      <c r="H784" t="n">
        <v>0</v>
      </c>
      <c r="I784" t="n">
        <v>0</v>
      </c>
      <c r="J784" t="n">
        <v>0</v>
      </c>
      <c r="K784" t="n">
        <v>0</v>
      </c>
      <c r="L784" t="n">
        <v>0</v>
      </c>
      <c r="M784" t="n">
        <v>0</v>
      </c>
      <c r="N784" t="n">
        <v>0</v>
      </c>
      <c r="O784" t="n">
        <v>0</v>
      </c>
      <c r="P784" t="n">
        <v>0</v>
      </c>
      <c r="Q784" t="n">
        <v>0</v>
      </c>
      <c r="R784" s="2" t="inlineStr"/>
    </row>
    <row r="785" ht="15" customHeight="1">
      <c r="A785" t="inlineStr">
        <is>
          <t>A 43526-2025</t>
        </is>
      </c>
      <c r="B785" s="1" t="n">
        <v>45911</v>
      </c>
      <c r="C785" s="1" t="n">
        <v>45941</v>
      </c>
      <c r="D785" t="inlineStr">
        <is>
          <t>JÄMTLANDS LÄN</t>
        </is>
      </c>
      <c r="E785" t="inlineStr">
        <is>
          <t>RAGUNDA</t>
        </is>
      </c>
      <c r="G785" t="n">
        <v>5.5</v>
      </c>
      <c r="H785" t="n">
        <v>0</v>
      </c>
      <c r="I785" t="n">
        <v>0</v>
      </c>
      <c r="J785" t="n">
        <v>0</v>
      </c>
      <c r="K785" t="n">
        <v>0</v>
      </c>
      <c r="L785" t="n">
        <v>0</v>
      </c>
      <c r="M785" t="n">
        <v>0</v>
      </c>
      <c r="N785" t="n">
        <v>0</v>
      </c>
      <c r="O785" t="n">
        <v>0</v>
      </c>
      <c r="P785" t="n">
        <v>0</v>
      </c>
      <c r="Q785" t="n">
        <v>0</v>
      </c>
      <c r="R785" s="2" t="inlineStr"/>
    </row>
    <row r="786" ht="15" customHeight="1">
      <c r="A786" t="inlineStr">
        <is>
          <t>A 891-2022</t>
        </is>
      </c>
      <c r="B786" s="1" t="n">
        <v>44571</v>
      </c>
      <c r="C786" s="1" t="n">
        <v>45941</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47075-2025</t>
        </is>
      </c>
      <c r="B787" s="1" t="n">
        <v>45929.63728009259</v>
      </c>
      <c r="C787" s="1" t="n">
        <v>45941</v>
      </c>
      <c r="D787" t="inlineStr">
        <is>
          <t>JÄMTLANDS LÄN</t>
        </is>
      </c>
      <c r="E787" t="inlineStr">
        <is>
          <t>RAGUNDA</t>
        </is>
      </c>
      <c r="F787" t="inlineStr">
        <is>
          <t>SCA</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47122-2025</t>
        </is>
      </c>
      <c r="B788" s="1" t="n">
        <v>45929.67878472222</v>
      </c>
      <c r="C788" s="1" t="n">
        <v>45941</v>
      </c>
      <c r="D788" t="inlineStr">
        <is>
          <t>JÄMTLANDS LÄN</t>
        </is>
      </c>
      <c r="E788" t="inlineStr">
        <is>
          <t>RAGUNDA</t>
        </is>
      </c>
      <c r="F788" t="inlineStr">
        <is>
          <t>SCA</t>
        </is>
      </c>
      <c r="G788" t="n">
        <v>31.1</v>
      </c>
      <c r="H788" t="n">
        <v>0</v>
      </c>
      <c r="I788" t="n">
        <v>0</v>
      </c>
      <c r="J788" t="n">
        <v>0</v>
      </c>
      <c r="K788" t="n">
        <v>0</v>
      </c>
      <c r="L788" t="n">
        <v>0</v>
      </c>
      <c r="M788" t="n">
        <v>0</v>
      </c>
      <c r="N788" t="n">
        <v>0</v>
      </c>
      <c r="O788" t="n">
        <v>0</v>
      </c>
      <c r="P788" t="n">
        <v>0</v>
      </c>
      <c r="Q788" t="n">
        <v>0</v>
      </c>
      <c r="R788" s="2" t="inlineStr"/>
    </row>
    <row r="789" ht="15" customHeight="1">
      <c r="A789" t="inlineStr">
        <is>
          <t>A 36947-2025</t>
        </is>
      </c>
      <c r="B789" s="1" t="n">
        <v>45874.59496527778</v>
      </c>
      <c r="C789" s="1" t="n">
        <v>45941</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47228-2025</t>
        </is>
      </c>
      <c r="B790" s="1" t="n">
        <v>45930.3990162037</v>
      </c>
      <c r="C790" s="1" t="n">
        <v>45941</v>
      </c>
      <c r="D790" t="inlineStr">
        <is>
          <t>JÄMTLANDS LÄN</t>
        </is>
      </c>
      <c r="E790" t="inlineStr">
        <is>
          <t>RAGUNDA</t>
        </is>
      </c>
      <c r="G790" t="n">
        <v>2.6</v>
      </c>
      <c r="H790" t="n">
        <v>0</v>
      </c>
      <c r="I790" t="n">
        <v>0</v>
      </c>
      <c r="J790" t="n">
        <v>0</v>
      </c>
      <c r="K790" t="n">
        <v>0</v>
      </c>
      <c r="L790" t="n">
        <v>0</v>
      </c>
      <c r="M790" t="n">
        <v>0</v>
      </c>
      <c r="N790" t="n">
        <v>0</v>
      </c>
      <c r="O790" t="n">
        <v>0</v>
      </c>
      <c r="P790" t="n">
        <v>0</v>
      </c>
      <c r="Q790" t="n">
        <v>0</v>
      </c>
      <c r="R790" s="2" t="inlineStr"/>
    </row>
    <row r="791" ht="15" customHeight="1">
      <c r="A791" t="inlineStr">
        <is>
          <t>A 47229-2025</t>
        </is>
      </c>
      <c r="B791" s="1" t="n">
        <v>45930.40166666666</v>
      </c>
      <c r="C791" s="1" t="n">
        <v>45941</v>
      </c>
      <c r="D791" t="inlineStr">
        <is>
          <t>JÄMTLANDS LÄN</t>
        </is>
      </c>
      <c r="E791" t="inlineStr">
        <is>
          <t>RAGUNDA</t>
        </is>
      </c>
      <c r="G791" t="n">
        <v>1.8</v>
      </c>
      <c r="H791" t="n">
        <v>0</v>
      </c>
      <c r="I791" t="n">
        <v>0</v>
      </c>
      <c r="J791" t="n">
        <v>0</v>
      </c>
      <c r="K791" t="n">
        <v>0</v>
      </c>
      <c r="L791" t="n">
        <v>0</v>
      </c>
      <c r="M791" t="n">
        <v>0</v>
      </c>
      <c r="N791" t="n">
        <v>0</v>
      </c>
      <c r="O791" t="n">
        <v>0</v>
      </c>
      <c r="P791" t="n">
        <v>0</v>
      </c>
      <c r="Q791" t="n">
        <v>0</v>
      </c>
      <c r="R791" s="2" t="inlineStr"/>
    </row>
    <row r="792" ht="15" customHeight="1">
      <c r="A792" t="inlineStr">
        <is>
          <t>A 47115-2025</t>
        </is>
      </c>
      <c r="B792" s="1" t="n">
        <v>45929.67459490741</v>
      </c>
      <c r="C792" s="1" t="n">
        <v>45941</v>
      </c>
      <c r="D792" t="inlineStr">
        <is>
          <t>JÄMTLANDS LÄN</t>
        </is>
      </c>
      <c r="E792" t="inlineStr">
        <is>
          <t>RAGUNDA</t>
        </is>
      </c>
      <c r="G792" t="n">
        <v>6.4</v>
      </c>
      <c r="H792" t="n">
        <v>0</v>
      </c>
      <c r="I792" t="n">
        <v>0</v>
      </c>
      <c r="J792" t="n">
        <v>0</v>
      </c>
      <c r="K792" t="n">
        <v>0</v>
      </c>
      <c r="L792" t="n">
        <v>0</v>
      </c>
      <c r="M792" t="n">
        <v>0</v>
      </c>
      <c r="N792" t="n">
        <v>0</v>
      </c>
      <c r="O792" t="n">
        <v>0</v>
      </c>
      <c r="P792" t="n">
        <v>0</v>
      </c>
      <c r="Q792" t="n">
        <v>0</v>
      </c>
      <c r="R792" s="2" t="inlineStr"/>
    </row>
    <row r="793" ht="15" customHeight="1">
      <c r="A793" t="inlineStr">
        <is>
          <t>A 32075-2025</t>
        </is>
      </c>
      <c r="B793" s="1" t="n">
        <v>45835.4506712963</v>
      </c>
      <c r="C793" s="1" t="n">
        <v>45941</v>
      </c>
      <c r="D793" t="inlineStr">
        <is>
          <t>JÄMTLANDS LÄN</t>
        </is>
      </c>
      <c r="E793" t="inlineStr">
        <is>
          <t>RAGUNDA</t>
        </is>
      </c>
      <c r="G793" t="n">
        <v>1.1</v>
      </c>
      <c r="H793" t="n">
        <v>0</v>
      </c>
      <c r="I793" t="n">
        <v>0</v>
      </c>
      <c r="J793" t="n">
        <v>0</v>
      </c>
      <c r="K793" t="n">
        <v>0</v>
      </c>
      <c r="L793" t="n">
        <v>0</v>
      </c>
      <c r="M793" t="n">
        <v>0</v>
      </c>
      <c r="N793" t="n">
        <v>0</v>
      </c>
      <c r="O793" t="n">
        <v>0</v>
      </c>
      <c r="P793" t="n">
        <v>0</v>
      </c>
      <c r="Q793" t="n">
        <v>0</v>
      </c>
      <c r="R793" s="2" t="inlineStr"/>
    </row>
    <row r="794" ht="15" customHeight="1">
      <c r="A794" t="inlineStr">
        <is>
          <t>A 36994-2025</t>
        </is>
      </c>
      <c r="B794" s="1" t="n">
        <v>45874.67746527777</v>
      </c>
      <c r="C794" s="1" t="n">
        <v>45941</v>
      </c>
      <c r="D794" t="inlineStr">
        <is>
          <t>JÄMTLANDS LÄN</t>
        </is>
      </c>
      <c r="E794" t="inlineStr">
        <is>
          <t>RAGUNDA</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29257-2024</t>
        </is>
      </c>
      <c r="B795" s="1" t="n">
        <v>45482.94815972223</v>
      </c>
      <c r="C795" s="1" t="n">
        <v>45941</v>
      </c>
      <c r="D795" t="inlineStr">
        <is>
          <t>JÄMTLANDS LÄN</t>
        </is>
      </c>
      <c r="E795" t="inlineStr">
        <is>
          <t>RAGUNDA</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32874-2025</t>
        </is>
      </c>
      <c r="B796" s="1" t="n">
        <v>45839</v>
      </c>
      <c r="C796" s="1" t="n">
        <v>45941</v>
      </c>
      <c r="D796" t="inlineStr">
        <is>
          <t>JÄMTLANDS LÄN</t>
        </is>
      </c>
      <c r="E796" t="inlineStr">
        <is>
          <t>RAGUNDA</t>
        </is>
      </c>
      <c r="G796" t="n">
        <v>2.3</v>
      </c>
      <c r="H796" t="n">
        <v>0</v>
      </c>
      <c r="I796" t="n">
        <v>0</v>
      </c>
      <c r="J796" t="n">
        <v>0</v>
      </c>
      <c r="K796" t="n">
        <v>0</v>
      </c>
      <c r="L796" t="n">
        <v>0</v>
      </c>
      <c r="M796" t="n">
        <v>0</v>
      </c>
      <c r="N796" t="n">
        <v>0</v>
      </c>
      <c r="O796" t="n">
        <v>0</v>
      </c>
      <c r="P796" t="n">
        <v>0</v>
      </c>
      <c r="Q796" t="n">
        <v>0</v>
      </c>
      <c r="R796" s="2" t="inlineStr"/>
    </row>
    <row r="797" ht="15" customHeight="1">
      <c r="A797" t="inlineStr">
        <is>
          <t>A 47119-2025</t>
        </is>
      </c>
      <c r="B797" s="1" t="n">
        <v>45929.67795138889</v>
      </c>
      <c r="C797" s="1" t="n">
        <v>45941</v>
      </c>
      <c r="D797" t="inlineStr">
        <is>
          <t>JÄMTLANDS LÄN</t>
        </is>
      </c>
      <c r="E797" t="inlineStr">
        <is>
          <t>RAGUNDA</t>
        </is>
      </c>
      <c r="F797" t="inlineStr">
        <is>
          <t>SCA</t>
        </is>
      </c>
      <c r="G797" t="n">
        <v>22.7</v>
      </c>
      <c r="H797" t="n">
        <v>0</v>
      </c>
      <c r="I797" t="n">
        <v>0</v>
      </c>
      <c r="J797" t="n">
        <v>0</v>
      </c>
      <c r="K797" t="n">
        <v>0</v>
      </c>
      <c r="L797" t="n">
        <v>0</v>
      </c>
      <c r="M797" t="n">
        <v>0</v>
      </c>
      <c r="N797" t="n">
        <v>0</v>
      </c>
      <c r="O797" t="n">
        <v>0</v>
      </c>
      <c r="P797" t="n">
        <v>0</v>
      </c>
      <c r="Q797" t="n">
        <v>0</v>
      </c>
      <c r="R797" s="2" t="inlineStr"/>
    </row>
    <row r="798" ht="15" customHeight="1">
      <c r="A798" t="inlineStr">
        <is>
          <t>A 8416-2023</t>
        </is>
      </c>
      <c r="B798" s="1" t="n">
        <v>44977.44373842593</v>
      </c>
      <c r="C798" s="1" t="n">
        <v>45941</v>
      </c>
      <c r="D798" t="inlineStr">
        <is>
          <t>JÄMTLANDS LÄN</t>
        </is>
      </c>
      <c r="E798" t="inlineStr">
        <is>
          <t>RAGUNDA</t>
        </is>
      </c>
      <c r="G798" t="n">
        <v>0.7</v>
      </c>
      <c r="H798" t="n">
        <v>0</v>
      </c>
      <c r="I798" t="n">
        <v>0</v>
      </c>
      <c r="J798" t="n">
        <v>0</v>
      </c>
      <c r="K798" t="n">
        <v>0</v>
      </c>
      <c r="L798" t="n">
        <v>0</v>
      </c>
      <c r="M798" t="n">
        <v>0</v>
      </c>
      <c r="N798" t="n">
        <v>0</v>
      </c>
      <c r="O798" t="n">
        <v>0</v>
      </c>
      <c r="P798" t="n">
        <v>0</v>
      </c>
      <c r="Q798" t="n">
        <v>0</v>
      </c>
      <c r="R798" s="2" t="inlineStr"/>
    </row>
    <row r="799" ht="15" customHeight="1">
      <c r="A799" t="inlineStr">
        <is>
          <t>A 40801-2023</t>
        </is>
      </c>
      <c r="B799" s="1" t="n">
        <v>45170</v>
      </c>
      <c r="C799" s="1" t="n">
        <v>45941</v>
      </c>
      <c r="D799" t="inlineStr">
        <is>
          <t>JÄMTLANDS LÄN</t>
        </is>
      </c>
      <c r="E799" t="inlineStr">
        <is>
          <t>RAGUNDA</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55487-2023</t>
        </is>
      </c>
      <c r="B800" s="1" t="n">
        <v>45238</v>
      </c>
      <c r="C800" s="1" t="n">
        <v>45941</v>
      </c>
      <c r="D800" t="inlineStr">
        <is>
          <t>JÄMTLANDS LÄN</t>
        </is>
      </c>
      <c r="E800" t="inlineStr">
        <is>
          <t>RAGUNDA</t>
        </is>
      </c>
      <c r="G800" t="n">
        <v>3</v>
      </c>
      <c r="H800" t="n">
        <v>0</v>
      </c>
      <c r="I800" t="n">
        <v>0</v>
      </c>
      <c r="J800" t="n">
        <v>0</v>
      </c>
      <c r="K800" t="n">
        <v>0</v>
      </c>
      <c r="L800" t="n">
        <v>0</v>
      </c>
      <c r="M800" t="n">
        <v>0</v>
      </c>
      <c r="N800" t="n">
        <v>0</v>
      </c>
      <c r="O800" t="n">
        <v>0</v>
      </c>
      <c r="P800" t="n">
        <v>0</v>
      </c>
      <c r="Q800" t="n">
        <v>0</v>
      </c>
      <c r="R800" s="2" t="inlineStr"/>
    </row>
    <row r="801" ht="15" customHeight="1">
      <c r="A801" t="inlineStr">
        <is>
          <t>A 20770-2024</t>
        </is>
      </c>
      <c r="B801" s="1" t="n">
        <v>45436.94613425926</v>
      </c>
      <c r="C801" s="1" t="n">
        <v>45941</v>
      </c>
      <c r="D801" t="inlineStr">
        <is>
          <t>JÄMTLANDS LÄN</t>
        </is>
      </c>
      <c r="E801" t="inlineStr">
        <is>
          <t>RAGUNDA</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39384-2025</t>
        </is>
      </c>
      <c r="B802" s="1" t="n">
        <v>45889.61517361111</v>
      </c>
      <c r="C802" s="1" t="n">
        <v>45941</v>
      </c>
      <c r="D802" t="inlineStr">
        <is>
          <t>JÄMTLANDS LÄN</t>
        </is>
      </c>
      <c r="E802" t="inlineStr">
        <is>
          <t>RAGUNDA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27499-2024</t>
        </is>
      </c>
      <c r="B803" s="1" t="n">
        <v>45474.50608796296</v>
      </c>
      <c r="C803" s="1" t="n">
        <v>45941</v>
      </c>
      <c r="D803" t="inlineStr">
        <is>
          <t>JÄMTLANDS LÄN</t>
        </is>
      </c>
      <c r="E803" t="inlineStr">
        <is>
          <t>RAGUNDA</t>
        </is>
      </c>
      <c r="G803" t="n">
        <v>1.3</v>
      </c>
      <c r="H803" t="n">
        <v>0</v>
      </c>
      <c r="I803" t="n">
        <v>0</v>
      </c>
      <c r="J803" t="n">
        <v>0</v>
      </c>
      <c r="K803" t="n">
        <v>0</v>
      </c>
      <c r="L803" t="n">
        <v>0</v>
      </c>
      <c r="M803" t="n">
        <v>0</v>
      </c>
      <c r="N803" t="n">
        <v>0</v>
      </c>
      <c r="O803" t="n">
        <v>0</v>
      </c>
      <c r="P803" t="n">
        <v>0</v>
      </c>
      <c r="Q803" t="n">
        <v>0</v>
      </c>
      <c r="R803" s="2" t="inlineStr"/>
    </row>
    <row r="804" ht="15" customHeight="1">
      <c r="A804" t="inlineStr">
        <is>
          <t>A 52148-2024</t>
        </is>
      </c>
      <c r="B804" s="1" t="n">
        <v>45608.52354166667</v>
      </c>
      <c r="C804" s="1" t="n">
        <v>45941</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462-2023</t>
        </is>
      </c>
      <c r="B805" s="1" t="n">
        <v>44929</v>
      </c>
      <c r="C805" s="1" t="n">
        <v>45941</v>
      </c>
      <c r="D805" t="inlineStr">
        <is>
          <t>JÄMTLANDS LÄN</t>
        </is>
      </c>
      <c r="E805" t="inlineStr">
        <is>
          <t>RAGUNDA</t>
        </is>
      </c>
      <c r="G805" t="n">
        <v>4.5</v>
      </c>
      <c r="H805" t="n">
        <v>0</v>
      </c>
      <c r="I805" t="n">
        <v>0</v>
      </c>
      <c r="J805" t="n">
        <v>0</v>
      </c>
      <c r="K805" t="n">
        <v>0</v>
      </c>
      <c r="L805" t="n">
        <v>0</v>
      </c>
      <c r="M805" t="n">
        <v>0</v>
      </c>
      <c r="N805" t="n">
        <v>0</v>
      </c>
      <c r="O805" t="n">
        <v>0</v>
      </c>
      <c r="P805" t="n">
        <v>0</v>
      </c>
      <c r="Q805" t="n">
        <v>0</v>
      </c>
      <c r="R805" s="2" t="inlineStr"/>
    </row>
    <row r="806" ht="15" customHeight="1">
      <c r="A806" t="inlineStr">
        <is>
          <t>A 19383-2025</t>
        </is>
      </c>
      <c r="B806" s="1" t="n">
        <v>45769.65688657408</v>
      </c>
      <c r="C806" s="1" t="n">
        <v>45941</v>
      </c>
      <c r="D806" t="inlineStr">
        <is>
          <t>JÄMTLANDS LÄN</t>
        </is>
      </c>
      <c r="E806" t="inlineStr">
        <is>
          <t>RAGUNDA</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47749-2025</t>
        </is>
      </c>
      <c r="B807" s="1" t="n">
        <v>45931.65711805555</v>
      </c>
      <c r="C807" s="1" t="n">
        <v>45941</v>
      </c>
      <c r="D807" t="inlineStr">
        <is>
          <t>JÄMTLANDS LÄN</t>
        </is>
      </c>
      <c r="E807" t="inlineStr">
        <is>
          <t>RAGUNDA</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26645-2024</t>
        </is>
      </c>
      <c r="B808" s="1" t="n">
        <v>45469.94667824074</v>
      </c>
      <c r="C808" s="1" t="n">
        <v>45941</v>
      </c>
      <c r="D808" t="inlineStr">
        <is>
          <t>JÄMTLANDS LÄN</t>
        </is>
      </c>
      <c r="E808" t="inlineStr">
        <is>
          <t>RAGUNDA</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37008-2025</t>
        </is>
      </c>
      <c r="B809" s="1" t="n">
        <v>45874.69844907407</v>
      </c>
      <c r="C809" s="1" t="n">
        <v>45941</v>
      </c>
      <c r="D809" t="inlineStr">
        <is>
          <t>JÄMTLANDS LÄN</t>
        </is>
      </c>
      <c r="E809" t="inlineStr">
        <is>
          <t>RAGUNDA</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12783-2023</t>
        </is>
      </c>
      <c r="B810" s="1" t="n">
        <v>45000</v>
      </c>
      <c r="C810" s="1" t="n">
        <v>45941</v>
      </c>
      <c r="D810" t="inlineStr">
        <is>
          <t>JÄMTLANDS LÄN</t>
        </is>
      </c>
      <c r="E810" t="inlineStr">
        <is>
          <t>RAGUNDA</t>
        </is>
      </c>
      <c r="G810" t="n">
        <v>0.9</v>
      </c>
      <c r="H810" t="n">
        <v>0</v>
      </c>
      <c r="I810" t="n">
        <v>0</v>
      </c>
      <c r="J810" t="n">
        <v>0</v>
      </c>
      <c r="K810" t="n">
        <v>0</v>
      </c>
      <c r="L810" t="n">
        <v>0</v>
      </c>
      <c r="M810" t="n">
        <v>0</v>
      </c>
      <c r="N810" t="n">
        <v>0</v>
      </c>
      <c r="O810" t="n">
        <v>0</v>
      </c>
      <c r="P810" t="n">
        <v>0</v>
      </c>
      <c r="Q810" t="n">
        <v>0</v>
      </c>
      <c r="R810" s="2" t="inlineStr"/>
    </row>
    <row r="811" ht="15" customHeight="1">
      <c r="A811" t="inlineStr">
        <is>
          <t>A 32258-2024</t>
        </is>
      </c>
      <c r="B811" s="1" t="n">
        <v>45511</v>
      </c>
      <c r="C811" s="1" t="n">
        <v>45941</v>
      </c>
      <c r="D811" t="inlineStr">
        <is>
          <t>JÄMTLANDS LÄN</t>
        </is>
      </c>
      <c r="E811" t="inlineStr">
        <is>
          <t>RAGUNDA</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35153-2024</t>
        </is>
      </c>
      <c r="B812" s="1" t="n">
        <v>45530</v>
      </c>
      <c r="C812" s="1" t="n">
        <v>45941</v>
      </c>
      <c r="D812" t="inlineStr">
        <is>
          <t>JÄMTLANDS LÄN</t>
        </is>
      </c>
      <c r="E812" t="inlineStr">
        <is>
          <t>RAGUNDA</t>
        </is>
      </c>
      <c r="G812" t="n">
        <v>2.7</v>
      </c>
      <c r="H812" t="n">
        <v>0</v>
      </c>
      <c r="I812" t="n">
        <v>0</v>
      </c>
      <c r="J812" t="n">
        <v>0</v>
      </c>
      <c r="K812" t="n">
        <v>0</v>
      </c>
      <c r="L812" t="n">
        <v>0</v>
      </c>
      <c r="M812" t="n">
        <v>0</v>
      </c>
      <c r="N812" t="n">
        <v>0</v>
      </c>
      <c r="O812" t="n">
        <v>0</v>
      </c>
      <c r="P812" t="n">
        <v>0</v>
      </c>
      <c r="Q812" t="n">
        <v>0</v>
      </c>
      <c r="R812" s="2" t="inlineStr"/>
    </row>
    <row r="813" ht="15" customHeight="1">
      <c r="A813" t="inlineStr">
        <is>
          <t>A 61197-2023</t>
        </is>
      </c>
      <c r="B813" s="1" t="n">
        <v>45260</v>
      </c>
      <c r="C813" s="1" t="n">
        <v>45941</v>
      </c>
      <c r="D813" t="inlineStr">
        <is>
          <t>JÄMTLANDS LÄN</t>
        </is>
      </c>
      <c r="E813" t="inlineStr">
        <is>
          <t>RAGUNDA</t>
        </is>
      </c>
      <c r="G813" t="n">
        <v>2.5</v>
      </c>
      <c r="H813" t="n">
        <v>0</v>
      </c>
      <c r="I813" t="n">
        <v>0</v>
      </c>
      <c r="J813" t="n">
        <v>0</v>
      </c>
      <c r="K813" t="n">
        <v>0</v>
      </c>
      <c r="L813" t="n">
        <v>0</v>
      </c>
      <c r="M813" t="n">
        <v>0</v>
      </c>
      <c r="N813" t="n">
        <v>0</v>
      </c>
      <c r="O813" t="n">
        <v>0</v>
      </c>
      <c r="P813" t="n">
        <v>0</v>
      </c>
      <c r="Q813" t="n">
        <v>0</v>
      </c>
      <c r="R813" s="2" t="inlineStr"/>
    </row>
    <row r="814" ht="15" customHeight="1">
      <c r="A814" t="inlineStr">
        <is>
          <t>A 47748-2025</t>
        </is>
      </c>
      <c r="B814" s="1" t="n">
        <v>45931.65693287037</v>
      </c>
      <c r="C814" s="1" t="n">
        <v>45941</v>
      </c>
      <c r="D814" t="inlineStr">
        <is>
          <t>JÄMTLANDS LÄN</t>
        </is>
      </c>
      <c r="E814" t="inlineStr">
        <is>
          <t>RAGUNDA</t>
        </is>
      </c>
      <c r="F814" t="inlineStr">
        <is>
          <t>SCA</t>
        </is>
      </c>
      <c r="G814" t="n">
        <v>8.6</v>
      </c>
      <c r="H814" t="n">
        <v>0</v>
      </c>
      <c r="I814" t="n">
        <v>0</v>
      </c>
      <c r="J814" t="n">
        <v>0</v>
      </c>
      <c r="K814" t="n">
        <v>0</v>
      </c>
      <c r="L814" t="n">
        <v>0</v>
      </c>
      <c r="M814" t="n">
        <v>0</v>
      </c>
      <c r="N814" t="n">
        <v>0</v>
      </c>
      <c r="O814" t="n">
        <v>0</v>
      </c>
      <c r="P814" t="n">
        <v>0</v>
      </c>
      <c r="Q814" t="n">
        <v>0</v>
      </c>
      <c r="R814" s="2" t="inlineStr"/>
    </row>
    <row r="815" ht="15" customHeight="1">
      <c r="A815" t="inlineStr">
        <is>
          <t>A 37292-2025</t>
        </is>
      </c>
      <c r="B815" s="1" t="n">
        <v>45876.53188657408</v>
      </c>
      <c r="C815" s="1" t="n">
        <v>45941</v>
      </c>
      <c r="D815" t="inlineStr">
        <is>
          <t>JÄMTLANDS LÄN</t>
        </is>
      </c>
      <c r="E815" t="inlineStr">
        <is>
          <t>RAGUNDA</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15672-2021</t>
        </is>
      </c>
      <c r="B816" s="1" t="n">
        <v>44286</v>
      </c>
      <c r="C816" s="1" t="n">
        <v>45941</v>
      </c>
      <c r="D816" t="inlineStr">
        <is>
          <t>JÄMTLANDS LÄN</t>
        </is>
      </c>
      <c r="E816" t="inlineStr">
        <is>
          <t>RAGUNDA</t>
        </is>
      </c>
      <c r="G816" t="n">
        <v>1.7</v>
      </c>
      <c r="H816" t="n">
        <v>0</v>
      </c>
      <c r="I816" t="n">
        <v>0</v>
      </c>
      <c r="J816" t="n">
        <v>0</v>
      </c>
      <c r="K816" t="n">
        <v>0</v>
      </c>
      <c r="L816" t="n">
        <v>0</v>
      </c>
      <c r="M816" t="n">
        <v>0</v>
      </c>
      <c r="N816" t="n">
        <v>0</v>
      </c>
      <c r="O816" t="n">
        <v>0</v>
      </c>
      <c r="P816" t="n">
        <v>0</v>
      </c>
      <c r="Q816" t="n">
        <v>0</v>
      </c>
      <c r="R816" s="2" t="inlineStr"/>
    </row>
    <row r="817" ht="15" customHeight="1">
      <c r="A817" t="inlineStr">
        <is>
          <t>A 31135-2023</t>
        </is>
      </c>
      <c r="B817" s="1" t="n">
        <v>45103</v>
      </c>
      <c r="C817" s="1" t="n">
        <v>45941</v>
      </c>
      <c r="D817" t="inlineStr">
        <is>
          <t>JÄMTLANDS LÄN</t>
        </is>
      </c>
      <c r="E817" t="inlineStr">
        <is>
          <t>RAGUNDA</t>
        </is>
      </c>
      <c r="G817" t="n">
        <v>0.9</v>
      </c>
      <c r="H817" t="n">
        <v>0</v>
      </c>
      <c r="I817" t="n">
        <v>0</v>
      </c>
      <c r="J817" t="n">
        <v>0</v>
      </c>
      <c r="K817" t="n">
        <v>0</v>
      </c>
      <c r="L817" t="n">
        <v>0</v>
      </c>
      <c r="M817" t="n">
        <v>0</v>
      </c>
      <c r="N817" t="n">
        <v>0</v>
      </c>
      <c r="O817" t="n">
        <v>0</v>
      </c>
      <c r="P817" t="n">
        <v>0</v>
      </c>
      <c r="Q817" t="n">
        <v>0</v>
      </c>
      <c r="R817" s="2" t="inlineStr"/>
    </row>
    <row r="818" ht="15" customHeight="1">
      <c r="A818" t="inlineStr">
        <is>
          <t>A 50650-2023</t>
        </is>
      </c>
      <c r="B818" s="1" t="n">
        <v>45210</v>
      </c>
      <c r="C818" s="1" t="n">
        <v>45941</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39949-2025</t>
        </is>
      </c>
      <c r="B819" s="1" t="n">
        <v>45892.38619212963</v>
      </c>
      <c r="C819" s="1" t="n">
        <v>45941</v>
      </c>
      <c r="D819" t="inlineStr">
        <is>
          <t>JÄMTLANDS LÄN</t>
        </is>
      </c>
      <c r="E819" t="inlineStr">
        <is>
          <t>RAGUNDA</t>
        </is>
      </c>
      <c r="G819" t="n">
        <v>1.4</v>
      </c>
      <c r="H819" t="n">
        <v>0</v>
      </c>
      <c r="I819" t="n">
        <v>0</v>
      </c>
      <c r="J819" t="n">
        <v>0</v>
      </c>
      <c r="K819" t="n">
        <v>0</v>
      </c>
      <c r="L819" t="n">
        <v>0</v>
      </c>
      <c r="M819" t="n">
        <v>0</v>
      </c>
      <c r="N819" t="n">
        <v>0</v>
      </c>
      <c r="O819" t="n">
        <v>0</v>
      </c>
      <c r="P819" t="n">
        <v>0</v>
      </c>
      <c r="Q819" t="n">
        <v>0</v>
      </c>
      <c r="R819" s="2" t="inlineStr"/>
    </row>
    <row r="820" ht="15" customHeight="1">
      <c r="A820" t="inlineStr">
        <is>
          <t>A 13767-2022</t>
        </is>
      </c>
      <c r="B820" s="1" t="n">
        <v>44649.47048611111</v>
      </c>
      <c r="C820" s="1" t="n">
        <v>45941</v>
      </c>
      <c r="D820" t="inlineStr">
        <is>
          <t>JÄMTLANDS LÄN</t>
        </is>
      </c>
      <c r="E820" t="inlineStr">
        <is>
          <t>RAGUNDA</t>
        </is>
      </c>
      <c r="F820" t="inlineStr">
        <is>
          <t>Kommuner</t>
        </is>
      </c>
      <c r="G820" t="n">
        <v>3.1</v>
      </c>
      <c r="H820" t="n">
        <v>0</v>
      </c>
      <c r="I820" t="n">
        <v>0</v>
      </c>
      <c r="J820" t="n">
        <v>0</v>
      </c>
      <c r="K820" t="n">
        <v>0</v>
      </c>
      <c r="L820" t="n">
        <v>0</v>
      </c>
      <c r="M820" t="n">
        <v>0</v>
      </c>
      <c r="N820" t="n">
        <v>0</v>
      </c>
      <c r="O820" t="n">
        <v>0</v>
      </c>
      <c r="P820" t="n">
        <v>0</v>
      </c>
      <c r="Q820" t="n">
        <v>0</v>
      </c>
      <c r="R820" s="2" t="inlineStr"/>
    </row>
    <row r="821" ht="15" customHeight="1">
      <c r="A821" t="inlineStr">
        <is>
          <t>A 564-2025</t>
        </is>
      </c>
      <c r="B821" s="1" t="n">
        <v>45664.55241898148</v>
      </c>
      <c r="C821" s="1" t="n">
        <v>45941</v>
      </c>
      <c r="D821" t="inlineStr">
        <is>
          <t>JÄMTLANDS LÄN</t>
        </is>
      </c>
      <c r="E821" t="inlineStr">
        <is>
          <t>RAGUNDA</t>
        </is>
      </c>
      <c r="F821" t="inlineStr">
        <is>
          <t>SCA</t>
        </is>
      </c>
      <c r="G821" t="n">
        <v>7</v>
      </c>
      <c r="H821" t="n">
        <v>0</v>
      </c>
      <c r="I821" t="n">
        <v>0</v>
      </c>
      <c r="J821" t="n">
        <v>0</v>
      </c>
      <c r="K821" t="n">
        <v>0</v>
      </c>
      <c r="L821" t="n">
        <v>0</v>
      </c>
      <c r="M821" t="n">
        <v>0</v>
      </c>
      <c r="N821" t="n">
        <v>0</v>
      </c>
      <c r="O821" t="n">
        <v>0</v>
      </c>
      <c r="P821" t="n">
        <v>0</v>
      </c>
      <c r="Q821" t="n">
        <v>0</v>
      </c>
      <c r="R821" s="2" t="inlineStr"/>
    </row>
    <row r="822" ht="15" customHeight="1">
      <c r="A822" t="inlineStr">
        <is>
          <t>A 22569-2023</t>
        </is>
      </c>
      <c r="B822" s="1" t="n">
        <v>45069</v>
      </c>
      <c r="C822" s="1" t="n">
        <v>45941</v>
      </c>
      <c r="D822" t="inlineStr">
        <is>
          <t>JÄMTLANDS LÄN</t>
        </is>
      </c>
      <c r="E822" t="inlineStr">
        <is>
          <t>RAGUNDA</t>
        </is>
      </c>
      <c r="G822" t="n">
        <v>6.6</v>
      </c>
      <c r="H822" t="n">
        <v>0</v>
      </c>
      <c r="I822" t="n">
        <v>0</v>
      </c>
      <c r="J822" t="n">
        <v>0</v>
      </c>
      <c r="K822" t="n">
        <v>0</v>
      </c>
      <c r="L822" t="n">
        <v>0</v>
      </c>
      <c r="M822" t="n">
        <v>0</v>
      </c>
      <c r="N822" t="n">
        <v>0</v>
      </c>
      <c r="O822" t="n">
        <v>0</v>
      </c>
      <c r="P822" t="n">
        <v>0</v>
      </c>
      <c r="Q822" t="n">
        <v>0</v>
      </c>
      <c r="R822" s="2" t="inlineStr"/>
    </row>
    <row r="823" ht="15" customHeight="1">
      <c r="A823" t="inlineStr">
        <is>
          <t>A 39948-2025</t>
        </is>
      </c>
      <c r="B823" s="1" t="n">
        <v>45892.38591435185</v>
      </c>
      <c r="C823" s="1" t="n">
        <v>45941</v>
      </c>
      <c r="D823" t="inlineStr">
        <is>
          <t>JÄMTLANDS LÄN</t>
        </is>
      </c>
      <c r="E823" t="inlineStr">
        <is>
          <t>RAGUNDA</t>
        </is>
      </c>
      <c r="G823" t="n">
        <v>5</v>
      </c>
      <c r="H823" t="n">
        <v>0</v>
      </c>
      <c r="I823" t="n">
        <v>0</v>
      </c>
      <c r="J823" t="n">
        <v>0</v>
      </c>
      <c r="K823" t="n">
        <v>0</v>
      </c>
      <c r="L823" t="n">
        <v>0</v>
      </c>
      <c r="M823" t="n">
        <v>0</v>
      </c>
      <c r="N823" t="n">
        <v>0</v>
      </c>
      <c r="O823" t="n">
        <v>0</v>
      </c>
      <c r="P823" t="n">
        <v>0</v>
      </c>
      <c r="Q823" t="n">
        <v>0</v>
      </c>
      <c r="R823" s="2" t="inlineStr"/>
    </row>
    <row r="824" ht="15" customHeight="1">
      <c r="A824" t="inlineStr">
        <is>
          <t>A 48746-2025</t>
        </is>
      </c>
      <c r="B824" s="1" t="n">
        <v>45936.67878472222</v>
      </c>
      <c r="C824" s="1" t="n">
        <v>45941</v>
      </c>
      <c r="D824" t="inlineStr">
        <is>
          <t>JÄMTLANDS LÄN</t>
        </is>
      </c>
      <c r="E824" t="inlineStr">
        <is>
          <t>RAGUNDA</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4212-2024</t>
        </is>
      </c>
      <c r="B825" s="1" t="n">
        <v>45324</v>
      </c>
      <c r="C825" s="1" t="n">
        <v>45941</v>
      </c>
      <c r="D825" t="inlineStr">
        <is>
          <t>JÄMTLANDS LÄN</t>
        </is>
      </c>
      <c r="E825" t="inlineStr">
        <is>
          <t>RAGUNDA</t>
        </is>
      </c>
      <c r="G825" t="n">
        <v>2</v>
      </c>
      <c r="H825" t="n">
        <v>0</v>
      </c>
      <c r="I825" t="n">
        <v>0</v>
      </c>
      <c r="J825" t="n">
        <v>0</v>
      </c>
      <c r="K825" t="n">
        <v>0</v>
      </c>
      <c r="L825" t="n">
        <v>0</v>
      </c>
      <c r="M825" t="n">
        <v>0</v>
      </c>
      <c r="N825" t="n">
        <v>0</v>
      </c>
      <c r="O825" t="n">
        <v>0</v>
      </c>
      <c r="P825" t="n">
        <v>0</v>
      </c>
      <c r="Q825" t="n">
        <v>0</v>
      </c>
      <c r="R825" s="2" t="inlineStr"/>
    </row>
    <row r="826" ht="15" customHeight="1">
      <c r="A826" t="inlineStr">
        <is>
          <t>A 44954-2025</t>
        </is>
      </c>
      <c r="B826" s="1" t="n">
        <v>45918.61203703703</v>
      </c>
      <c r="C826" s="1" t="n">
        <v>45941</v>
      </c>
      <c r="D826" t="inlineStr">
        <is>
          <t>JÄMTLANDS LÄN</t>
        </is>
      </c>
      <c r="E826" t="inlineStr">
        <is>
          <t>RAGUNDA</t>
        </is>
      </c>
      <c r="G826" t="n">
        <v>3</v>
      </c>
      <c r="H826" t="n">
        <v>0</v>
      </c>
      <c r="I826" t="n">
        <v>0</v>
      </c>
      <c r="J826" t="n">
        <v>0</v>
      </c>
      <c r="K826" t="n">
        <v>0</v>
      </c>
      <c r="L826" t="n">
        <v>0</v>
      </c>
      <c r="M826" t="n">
        <v>0</v>
      </c>
      <c r="N826" t="n">
        <v>0</v>
      </c>
      <c r="O826" t="n">
        <v>0</v>
      </c>
      <c r="P826" t="n">
        <v>0</v>
      </c>
      <c r="Q826" t="n">
        <v>0</v>
      </c>
      <c r="R826" s="2" t="inlineStr"/>
    </row>
    <row r="827" ht="15" customHeight="1">
      <c r="A827" t="inlineStr">
        <is>
          <t>A 43405-2023</t>
        </is>
      </c>
      <c r="B827" s="1" t="n">
        <v>45183.95563657407</v>
      </c>
      <c r="C827" s="1" t="n">
        <v>45941</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56984-2022</t>
        </is>
      </c>
      <c r="B828" s="1" t="n">
        <v>44894.79018518519</v>
      </c>
      <c r="C828" s="1" t="n">
        <v>45941</v>
      </c>
      <c r="D828" t="inlineStr">
        <is>
          <t>JÄMTLANDS LÄN</t>
        </is>
      </c>
      <c r="E828" t="inlineStr">
        <is>
          <t>RAGUNDA</t>
        </is>
      </c>
      <c r="G828" t="n">
        <v>1.4</v>
      </c>
      <c r="H828" t="n">
        <v>0</v>
      </c>
      <c r="I828" t="n">
        <v>0</v>
      </c>
      <c r="J828" t="n">
        <v>0</v>
      </c>
      <c r="K828" t="n">
        <v>0</v>
      </c>
      <c r="L828" t="n">
        <v>0</v>
      </c>
      <c r="M828" t="n">
        <v>0</v>
      </c>
      <c r="N828" t="n">
        <v>0</v>
      </c>
      <c r="O828" t="n">
        <v>0</v>
      </c>
      <c r="P828" t="n">
        <v>0</v>
      </c>
      <c r="Q828" t="n">
        <v>0</v>
      </c>
      <c r="R828" s="2" t="inlineStr"/>
    </row>
    <row r="829" ht="15" customHeight="1">
      <c r="A829" t="inlineStr">
        <is>
          <t>A 39947-2025</t>
        </is>
      </c>
      <c r="B829" s="1" t="n">
        <v>45892.34438657408</v>
      </c>
      <c r="C829" s="1" t="n">
        <v>45941</v>
      </c>
      <c r="D829" t="inlineStr">
        <is>
          <t>JÄMTLANDS LÄN</t>
        </is>
      </c>
      <c r="E829" t="inlineStr">
        <is>
          <t>RAGUNDA</t>
        </is>
      </c>
      <c r="G829" t="n">
        <v>6.6</v>
      </c>
      <c r="H829" t="n">
        <v>0</v>
      </c>
      <c r="I829" t="n">
        <v>0</v>
      </c>
      <c r="J829" t="n">
        <v>0</v>
      </c>
      <c r="K829" t="n">
        <v>0</v>
      </c>
      <c r="L829" t="n">
        <v>0</v>
      </c>
      <c r="M829" t="n">
        <v>0</v>
      </c>
      <c r="N829" t="n">
        <v>0</v>
      </c>
      <c r="O829" t="n">
        <v>0</v>
      </c>
      <c r="P829" t="n">
        <v>0</v>
      </c>
      <c r="Q829" t="n">
        <v>0</v>
      </c>
      <c r="R829" s="2" t="inlineStr"/>
    </row>
    <row r="830" ht="15" customHeight="1">
      <c r="A830" t="inlineStr">
        <is>
          <t>A 39951-2025</t>
        </is>
      </c>
      <c r="B830" s="1" t="n">
        <v>45892.38657407407</v>
      </c>
      <c r="C830" s="1" t="n">
        <v>45941</v>
      </c>
      <c r="D830" t="inlineStr">
        <is>
          <t>JÄMTLANDS LÄN</t>
        </is>
      </c>
      <c r="E830" t="inlineStr">
        <is>
          <t>RAGUNDA</t>
        </is>
      </c>
      <c r="G830" t="n">
        <v>2.3</v>
      </c>
      <c r="H830" t="n">
        <v>0</v>
      </c>
      <c r="I830" t="n">
        <v>0</v>
      </c>
      <c r="J830" t="n">
        <v>0</v>
      </c>
      <c r="K830" t="n">
        <v>0</v>
      </c>
      <c r="L830" t="n">
        <v>0</v>
      </c>
      <c r="M830" t="n">
        <v>0</v>
      </c>
      <c r="N830" t="n">
        <v>0</v>
      </c>
      <c r="O830" t="n">
        <v>0</v>
      </c>
      <c r="P830" t="n">
        <v>0</v>
      </c>
      <c r="Q830" t="n">
        <v>0</v>
      </c>
      <c r="R830" s="2" t="inlineStr"/>
    </row>
    <row r="831" ht="15" customHeight="1">
      <c r="A831" t="inlineStr">
        <is>
          <t>A 3767-2025</t>
        </is>
      </c>
      <c r="B831" s="1" t="n">
        <v>45681.60203703704</v>
      </c>
      <c r="C831" s="1" t="n">
        <v>45941</v>
      </c>
      <c r="D831" t="inlineStr">
        <is>
          <t>JÄMTLANDS LÄN</t>
        </is>
      </c>
      <c r="E831" t="inlineStr">
        <is>
          <t>RAGUNDA</t>
        </is>
      </c>
      <c r="G831" t="n">
        <v>4.9</v>
      </c>
      <c r="H831" t="n">
        <v>0</v>
      </c>
      <c r="I831" t="n">
        <v>0</v>
      </c>
      <c r="J831" t="n">
        <v>0</v>
      </c>
      <c r="K831" t="n">
        <v>0</v>
      </c>
      <c r="L831" t="n">
        <v>0</v>
      </c>
      <c r="M831" t="n">
        <v>0</v>
      </c>
      <c r="N831" t="n">
        <v>0</v>
      </c>
      <c r="O831" t="n">
        <v>0</v>
      </c>
      <c r="P831" t="n">
        <v>0</v>
      </c>
      <c r="Q831" t="n">
        <v>0</v>
      </c>
      <c r="R831" s="2" t="inlineStr"/>
    </row>
    <row r="832" ht="15" customHeight="1">
      <c r="A832" t="inlineStr">
        <is>
          <t>A 3186-2025</t>
        </is>
      </c>
      <c r="B832" s="1" t="n">
        <v>45679.40362268518</v>
      </c>
      <c r="C832" s="1" t="n">
        <v>45941</v>
      </c>
      <c r="D832" t="inlineStr">
        <is>
          <t>JÄMTLANDS LÄN</t>
        </is>
      </c>
      <c r="E832" t="inlineStr">
        <is>
          <t>RAGUNDA</t>
        </is>
      </c>
      <c r="G832" t="n">
        <v>5.2</v>
      </c>
      <c r="H832" t="n">
        <v>0</v>
      </c>
      <c r="I832" t="n">
        <v>0</v>
      </c>
      <c r="J832" t="n">
        <v>0</v>
      </c>
      <c r="K832" t="n">
        <v>0</v>
      </c>
      <c r="L832" t="n">
        <v>0</v>
      </c>
      <c r="M832" t="n">
        <v>0</v>
      </c>
      <c r="N832" t="n">
        <v>0</v>
      </c>
      <c r="O832" t="n">
        <v>0</v>
      </c>
      <c r="P832" t="n">
        <v>0</v>
      </c>
      <c r="Q832" t="n">
        <v>0</v>
      </c>
      <c r="R832" s="2" t="inlineStr"/>
    </row>
    <row r="833" ht="15" customHeight="1">
      <c r="A833" t="inlineStr">
        <is>
          <t>A 1308-2025</t>
        </is>
      </c>
      <c r="B833" s="1" t="n">
        <v>45667.55239583334</v>
      </c>
      <c r="C833" s="1" t="n">
        <v>45941</v>
      </c>
      <c r="D833" t="inlineStr">
        <is>
          <t>JÄMTLANDS LÄN</t>
        </is>
      </c>
      <c r="E833" t="inlineStr">
        <is>
          <t>RAGUNDA</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5958-2023</t>
        </is>
      </c>
      <c r="B834" s="1" t="n">
        <v>44963</v>
      </c>
      <c r="C834" s="1" t="n">
        <v>45941</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48528-2025</t>
        </is>
      </c>
      <c r="B835" s="1" t="n">
        <v>45936.40758101852</v>
      </c>
      <c r="C835" s="1" t="n">
        <v>45941</v>
      </c>
      <c r="D835" t="inlineStr">
        <is>
          <t>JÄMTLANDS LÄN</t>
        </is>
      </c>
      <c r="E835" t="inlineStr">
        <is>
          <t>RAGUNDA</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39946-2025</t>
        </is>
      </c>
      <c r="B836" s="1" t="n">
        <v>45892.34423611111</v>
      </c>
      <c r="C836" s="1" t="n">
        <v>45941</v>
      </c>
      <c r="D836" t="inlineStr">
        <is>
          <t>JÄMTLANDS LÄN</t>
        </is>
      </c>
      <c r="E836" t="inlineStr">
        <is>
          <t>RAGUNDA</t>
        </is>
      </c>
      <c r="G836" t="n">
        <v>4.7</v>
      </c>
      <c r="H836" t="n">
        <v>0</v>
      </c>
      <c r="I836" t="n">
        <v>0</v>
      </c>
      <c r="J836" t="n">
        <v>0</v>
      </c>
      <c r="K836" t="n">
        <v>0</v>
      </c>
      <c r="L836" t="n">
        <v>0</v>
      </c>
      <c r="M836" t="n">
        <v>0</v>
      </c>
      <c r="N836" t="n">
        <v>0</v>
      </c>
      <c r="O836" t="n">
        <v>0</v>
      </c>
      <c r="P836" t="n">
        <v>0</v>
      </c>
      <c r="Q836" t="n">
        <v>0</v>
      </c>
      <c r="R836" s="2" t="inlineStr"/>
    </row>
    <row r="837" ht="15" customHeight="1">
      <c r="A837" t="inlineStr">
        <is>
          <t>A 39950-2025</t>
        </is>
      </c>
      <c r="B837" s="1" t="n">
        <v>45892.38641203703</v>
      </c>
      <c r="C837" s="1" t="n">
        <v>45941</v>
      </c>
      <c r="D837" t="inlineStr">
        <is>
          <t>JÄMTLANDS LÄN</t>
        </is>
      </c>
      <c r="E837" t="inlineStr">
        <is>
          <t>RAGUNDA</t>
        </is>
      </c>
      <c r="G837" t="n">
        <v>1.1</v>
      </c>
      <c r="H837" t="n">
        <v>0</v>
      </c>
      <c r="I837" t="n">
        <v>0</v>
      </c>
      <c r="J837" t="n">
        <v>0</v>
      </c>
      <c r="K837" t="n">
        <v>0</v>
      </c>
      <c r="L837" t="n">
        <v>0</v>
      </c>
      <c r="M837" t="n">
        <v>0</v>
      </c>
      <c r="N837" t="n">
        <v>0</v>
      </c>
      <c r="O837" t="n">
        <v>0</v>
      </c>
      <c r="P837" t="n">
        <v>0</v>
      </c>
      <c r="Q837" t="n">
        <v>0</v>
      </c>
      <c r="R837" s="2" t="inlineStr"/>
    </row>
    <row r="838" ht="15" customHeight="1">
      <c r="A838" t="inlineStr">
        <is>
          <t>A 39955-2025</t>
        </is>
      </c>
      <c r="B838" s="1" t="n">
        <v>45892.44824074074</v>
      </c>
      <c r="C838" s="1" t="n">
        <v>45941</v>
      </c>
      <c r="D838" t="inlineStr">
        <is>
          <t>JÄMTLANDS LÄN</t>
        </is>
      </c>
      <c r="E838" t="inlineStr">
        <is>
          <t>RAGUNDA</t>
        </is>
      </c>
      <c r="G838" t="n">
        <v>1.4</v>
      </c>
      <c r="H838" t="n">
        <v>0</v>
      </c>
      <c r="I838" t="n">
        <v>0</v>
      </c>
      <c r="J838" t="n">
        <v>0</v>
      </c>
      <c r="K838" t="n">
        <v>0</v>
      </c>
      <c r="L838" t="n">
        <v>0</v>
      </c>
      <c r="M838" t="n">
        <v>0</v>
      </c>
      <c r="N838" t="n">
        <v>0</v>
      </c>
      <c r="O838" t="n">
        <v>0</v>
      </c>
      <c r="P838" t="n">
        <v>0</v>
      </c>
      <c r="Q838" t="n">
        <v>0</v>
      </c>
      <c r="R838" s="2" t="inlineStr"/>
    </row>
    <row r="839" ht="15" customHeight="1">
      <c r="A839" t="inlineStr">
        <is>
          <t>A 39956-2025</t>
        </is>
      </c>
      <c r="B839" s="1" t="n">
        <v>45892.44840277778</v>
      </c>
      <c r="C839" s="1" t="n">
        <v>45941</v>
      </c>
      <c r="D839" t="inlineStr">
        <is>
          <t>JÄMTLANDS LÄN</t>
        </is>
      </c>
      <c r="E839" t="inlineStr">
        <is>
          <t>RAGUNDA</t>
        </is>
      </c>
      <c r="G839" t="n">
        <v>3.6</v>
      </c>
      <c r="H839" t="n">
        <v>0</v>
      </c>
      <c r="I839" t="n">
        <v>0</v>
      </c>
      <c r="J839" t="n">
        <v>0</v>
      </c>
      <c r="K839" t="n">
        <v>0</v>
      </c>
      <c r="L839" t="n">
        <v>0</v>
      </c>
      <c r="M839" t="n">
        <v>0</v>
      </c>
      <c r="N839" t="n">
        <v>0</v>
      </c>
      <c r="O839" t="n">
        <v>0</v>
      </c>
      <c r="P839" t="n">
        <v>0</v>
      </c>
      <c r="Q839" t="n">
        <v>0</v>
      </c>
      <c r="R839" s="2" t="inlineStr"/>
    </row>
    <row r="840" ht="15" customHeight="1">
      <c r="A840" t="inlineStr">
        <is>
          <t>A 50521-2024</t>
        </is>
      </c>
      <c r="B840" s="1" t="n">
        <v>45601.55331018518</v>
      </c>
      <c r="C840" s="1" t="n">
        <v>45941</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29920-2024</t>
        </is>
      </c>
      <c r="B841" s="1" t="n">
        <v>45487.92856481481</v>
      </c>
      <c r="C841" s="1" t="n">
        <v>45941</v>
      </c>
      <c r="D841" t="inlineStr">
        <is>
          <t>JÄMTLANDS LÄN</t>
        </is>
      </c>
      <c r="E841" t="inlineStr">
        <is>
          <t>RAGUNDA</t>
        </is>
      </c>
      <c r="G841" t="n">
        <v>3.4</v>
      </c>
      <c r="H841" t="n">
        <v>0</v>
      </c>
      <c r="I841" t="n">
        <v>0</v>
      </c>
      <c r="J841" t="n">
        <v>0</v>
      </c>
      <c r="K841" t="n">
        <v>0</v>
      </c>
      <c r="L841" t="n">
        <v>0</v>
      </c>
      <c r="M841" t="n">
        <v>0</v>
      </c>
      <c r="N841" t="n">
        <v>0</v>
      </c>
      <c r="O841" t="n">
        <v>0</v>
      </c>
      <c r="P841" t="n">
        <v>0</v>
      </c>
      <c r="Q841" t="n">
        <v>0</v>
      </c>
      <c r="R841" s="2" t="inlineStr"/>
    </row>
    <row r="842" ht="15" customHeight="1">
      <c r="A842" t="inlineStr">
        <is>
          <t>A 62011-2022</t>
        </is>
      </c>
      <c r="B842" s="1" t="n">
        <v>44914</v>
      </c>
      <c r="C842" s="1" t="n">
        <v>45941</v>
      </c>
      <c r="D842" t="inlineStr">
        <is>
          <t>JÄMTLANDS LÄN</t>
        </is>
      </c>
      <c r="E842" t="inlineStr">
        <is>
          <t>RAGUNDA</t>
        </is>
      </c>
      <c r="G842" t="n">
        <v>0.3</v>
      </c>
      <c r="H842" t="n">
        <v>0</v>
      </c>
      <c r="I842" t="n">
        <v>0</v>
      </c>
      <c r="J842" t="n">
        <v>0</v>
      </c>
      <c r="K842" t="n">
        <v>0</v>
      </c>
      <c r="L842" t="n">
        <v>0</v>
      </c>
      <c r="M842" t="n">
        <v>0</v>
      </c>
      <c r="N842" t="n">
        <v>0</v>
      </c>
      <c r="O842" t="n">
        <v>0</v>
      </c>
      <c r="P842" t="n">
        <v>0</v>
      </c>
      <c r="Q842" t="n">
        <v>0</v>
      </c>
      <c r="R842" s="2" t="inlineStr"/>
    </row>
    <row r="843" ht="15" customHeight="1">
      <c r="A843" t="inlineStr">
        <is>
          <t>A 41262-2021</t>
        </is>
      </c>
      <c r="B843" s="1" t="n">
        <v>44424</v>
      </c>
      <c r="C843" s="1" t="n">
        <v>45941</v>
      </c>
      <c r="D843" t="inlineStr">
        <is>
          <t>JÄMTLANDS LÄN</t>
        </is>
      </c>
      <c r="E843" t="inlineStr">
        <is>
          <t>RAGUNDA</t>
        </is>
      </c>
      <c r="G843" t="n">
        <v>2.6</v>
      </c>
      <c r="H843" t="n">
        <v>0</v>
      </c>
      <c r="I843" t="n">
        <v>0</v>
      </c>
      <c r="J843" t="n">
        <v>0</v>
      </c>
      <c r="K843" t="n">
        <v>0</v>
      </c>
      <c r="L843" t="n">
        <v>0</v>
      </c>
      <c r="M843" t="n">
        <v>0</v>
      </c>
      <c r="N843" t="n">
        <v>0</v>
      </c>
      <c r="O843" t="n">
        <v>0</v>
      </c>
      <c r="P843" t="n">
        <v>0</v>
      </c>
      <c r="Q843" t="n">
        <v>0</v>
      </c>
      <c r="R843" s="2" t="inlineStr"/>
    </row>
    <row r="844" ht="15" customHeight="1">
      <c r="A844" t="inlineStr">
        <is>
          <t>A 36371-2023</t>
        </is>
      </c>
      <c r="B844" s="1" t="n">
        <v>45149</v>
      </c>
      <c r="C844" s="1" t="n">
        <v>45941</v>
      </c>
      <c r="D844" t="inlineStr">
        <is>
          <t>JÄMTLANDS LÄN</t>
        </is>
      </c>
      <c r="E844" t="inlineStr">
        <is>
          <t>RAGUNDA</t>
        </is>
      </c>
      <c r="G844" t="n">
        <v>25.7</v>
      </c>
      <c r="H844" t="n">
        <v>0</v>
      </c>
      <c r="I844" t="n">
        <v>0</v>
      </c>
      <c r="J844" t="n">
        <v>0</v>
      </c>
      <c r="K844" t="n">
        <v>0</v>
      </c>
      <c r="L844" t="n">
        <v>0</v>
      </c>
      <c r="M844" t="n">
        <v>0</v>
      </c>
      <c r="N844" t="n">
        <v>0</v>
      </c>
      <c r="O844" t="n">
        <v>0</v>
      </c>
      <c r="P844" t="n">
        <v>0</v>
      </c>
      <c r="Q844" t="n">
        <v>0</v>
      </c>
      <c r="R844" s="2" t="inlineStr"/>
    </row>
    <row r="845" ht="15" customHeight="1">
      <c r="A845" t="inlineStr">
        <is>
          <t>A 48748-2025</t>
        </is>
      </c>
      <c r="B845" s="1" t="n">
        <v>45936.67912037037</v>
      </c>
      <c r="C845" s="1" t="n">
        <v>45941</v>
      </c>
      <c r="D845" t="inlineStr">
        <is>
          <t>JÄMTLANDS LÄN</t>
        </is>
      </c>
      <c r="E845" t="inlineStr">
        <is>
          <t>RAGUNDA</t>
        </is>
      </c>
      <c r="F845" t="inlineStr">
        <is>
          <t>SCA</t>
        </is>
      </c>
      <c r="G845" t="n">
        <v>11.1</v>
      </c>
      <c r="H845" t="n">
        <v>0</v>
      </c>
      <c r="I845" t="n">
        <v>0</v>
      </c>
      <c r="J845" t="n">
        <v>0</v>
      </c>
      <c r="K845" t="n">
        <v>0</v>
      </c>
      <c r="L845" t="n">
        <v>0</v>
      </c>
      <c r="M845" t="n">
        <v>0</v>
      </c>
      <c r="N845" t="n">
        <v>0</v>
      </c>
      <c r="O845" t="n">
        <v>0</v>
      </c>
      <c r="P845" t="n">
        <v>0</v>
      </c>
      <c r="Q845" t="n">
        <v>0</v>
      </c>
      <c r="R845" s="2" t="inlineStr"/>
    </row>
    <row r="846" ht="15" customHeight="1">
      <c r="A846" t="inlineStr">
        <is>
          <t>A 48742-2025</t>
        </is>
      </c>
      <c r="B846" s="1" t="n">
        <v>45936.67810185185</v>
      </c>
      <c r="C846" s="1" t="n">
        <v>45941</v>
      </c>
      <c r="D846" t="inlineStr">
        <is>
          <t>JÄMTLANDS LÄN</t>
        </is>
      </c>
      <c r="E846" t="inlineStr">
        <is>
          <t>RAGUNDA</t>
        </is>
      </c>
      <c r="F846" t="inlineStr">
        <is>
          <t>SCA</t>
        </is>
      </c>
      <c r="G846" t="n">
        <v>8.9</v>
      </c>
      <c r="H846" t="n">
        <v>0</v>
      </c>
      <c r="I846" t="n">
        <v>0</v>
      </c>
      <c r="J846" t="n">
        <v>0</v>
      </c>
      <c r="K846" t="n">
        <v>0</v>
      </c>
      <c r="L846" t="n">
        <v>0</v>
      </c>
      <c r="M846" t="n">
        <v>0</v>
      </c>
      <c r="N846" t="n">
        <v>0</v>
      </c>
      <c r="O846" t="n">
        <v>0</v>
      </c>
      <c r="P846" t="n">
        <v>0</v>
      </c>
      <c r="Q846" t="n">
        <v>0</v>
      </c>
      <c r="R846" s="2" t="inlineStr"/>
    </row>
    <row r="847" ht="15" customHeight="1">
      <c r="A847" t="inlineStr">
        <is>
          <t>A 51579-2024</t>
        </is>
      </c>
      <c r="B847" s="1" t="n">
        <v>45604.63575231482</v>
      </c>
      <c r="C847" s="1" t="n">
        <v>45941</v>
      </c>
      <c r="D847" t="inlineStr">
        <is>
          <t>JÄMTLANDS LÄN</t>
        </is>
      </c>
      <c r="E847" t="inlineStr">
        <is>
          <t>RAGUNDA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40586-2025</t>
        </is>
      </c>
      <c r="B848" s="1" t="n">
        <v>45896.52478009259</v>
      </c>
      <c r="C848" s="1" t="n">
        <v>45941</v>
      </c>
      <c r="D848" t="inlineStr">
        <is>
          <t>JÄMTLANDS LÄN</t>
        </is>
      </c>
      <c r="E848" t="inlineStr">
        <is>
          <t>RAGUNDA</t>
        </is>
      </c>
      <c r="G848" t="n">
        <v>1.2</v>
      </c>
      <c r="H848" t="n">
        <v>0</v>
      </c>
      <c r="I848" t="n">
        <v>0</v>
      </c>
      <c r="J848" t="n">
        <v>0</v>
      </c>
      <c r="K848" t="n">
        <v>0</v>
      </c>
      <c r="L848" t="n">
        <v>0</v>
      </c>
      <c r="M848" t="n">
        <v>0</v>
      </c>
      <c r="N848" t="n">
        <v>0</v>
      </c>
      <c r="O848" t="n">
        <v>0</v>
      </c>
      <c r="P848" t="n">
        <v>0</v>
      </c>
      <c r="Q848" t="n">
        <v>0</v>
      </c>
      <c r="R848" s="2" t="inlineStr"/>
    </row>
    <row r="849" ht="15" customHeight="1">
      <c r="A849" t="inlineStr">
        <is>
          <t>A 49238-2025</t>
        </is>
      </c>
      <c r="B849" s="1" t="n">
        <v>45938.48231481481</v>
      </c>
      <c r="C849" s="1" t="n">
        <v>45941</v>
      </c>
      <c r="D849" t="inlineStr">
        <is>
          <t>JÄMTLANDS LÄN</t>
        </is>
      </c>
      <c r="E849" t="inlineStr">
        <is>
          <t>RAGUNDA</t>
        </is>
      </c>
      <c r="G849" t="n">
        <v>4.7</v>
      </c>
      <c r="H849" t="n">
        <v>0</v>
      </c>
      <c r="I849" t="n">
        <v>0</v>
      </c>
      <c r="J849" t="n">
        <v>0</v>
      </c>
      <c r="K849" t="n">
        <v>0</v>
      </c>
      <c r="L849" t="n">
        <v>0</v>
      </c>
      <c r="M849" t="n">
        <v>0</v>
      </c>
      <c r="N849" t="n">
        <v>0</v>
      </c>
      <c r="O849" t="n">
        <v>0</v>
      </c>
      <c r="P849" t="n">
        <v>0</v>
      </c>
      <c r="Q849" t="n">
        <v>0</v>
      </c>
      <c r="R849" s="2" t="inlineStr"/>
    </row>
    <row r="850" ht="15" customHeight="1">
      <c r="A850" t="inlineStr">
        <is>
          <t>A 49290-2025</t>
        </is>
      </c>
      <c r="B850" s="1" t="n">
        <v>45938.53168981482</v>
      </c>
      <c r="C850" s="1" t="n">
        <v>45941</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22311-2024</t>
        </is>
      </c>
      <c r="B851" s="1" t="n">
        <v>45446.57052083333</v>
      </c>
      <c r="C851" s="1" t="n">
        <v>45941</v>
      </c>
      <c r="D851" t="inlineStr">
        <is>
          <t>JÄMTLANDS LÄN</t>
        </is>
      </c>
      <c r="E851" t="inlineStr">
        <is>
          <t>RAGUNDA</t>
        </is>
      </c>
      <c r="G851" t="n">
        <v>1.3</v>
      </c>
      <c r="H851" t="n">
        <v>0</v>
      </c>
      <c r="I851" t="n">
        <v>0</v>
      </c>
      <c r="J851" t="n">
        <v>0</v>
      </c>
      <c r="K851" t="n">
        <v>0</v>
      </c>
      <c r="L851" t="n">
        <v>0</v>
      </c>
      <c r="M851" t="n">
        <v>0</v>
      </c>
      <c r="N851" t="n">
        <v>0</v>
      </c>
      <c r="O851" t="n">
        <v>0</v>
      </c>
      <c r="P851" t="n">
        <v>0</v>
      </c>
      <c r="Q851" t="n">
        <v>0</v>
      </c>
      <c r="R851" s="2" t="inlineStr"/>
    </row>
    <row r="852" ht="15" customHeight="1">
      <c r="A852" t="inlineStr">
        <is>
          <t>A 19866-2023</t>
        </is>
      </c>
      <c r="B852" s="1" t="n">
        <v>45053.94313657407</v>
      </c>
      <c r="C852" s="1" t="n">
        <v>45941</v>
      </c>
      <c r="D852" t="inlineStr">
        <is>
          <t>JÄMTLANDS LÄN</t>
        </is>
      </c>
      <c r="E852" t="inlineStr">
        <is>
          <t>RAGUNDA</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49092-2025</t>
        </is>
      </c>
      <c r="B853" s="1" t="n">
        <v>45937.67792824074</v>
      </c>
      <c r="C853" s="1" t="n">
        <v>45941</v>
      </c>
      <c r="D853" t="inlineStr">
        <is>
          <t>JÄMTLANDS LÄN</t>
        </is>
      </c>
      <c r="E853" t="inlineStr">
        <is>
          <t>RAGUNDA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46974-2025</t>
        </is>
      </c>
      <c r="B854" s="1" t="n">
        <v>45929.51104166666</v>
      </c>
      <c r="C854" s="1" t="n">
        <v>45941</v>
      </c>
      <c r="D854" t="inlineStr">
        <is>
          <t>JÄMTLANDS LÄN</t>
        </is>
      </c>
      <c r="E854" t="inlineStr">
        <is>
          <t>RAGUNDA</t>
        </is>
      </c>
      <c r="F854" t="inlineStr">
        <is>
          <t>SCA</t>
        </is>
      </c>
      <c r="G854" t="n">
        <v>12.1</v>
      </c>
      <c r="H854" t="n">
        <v>0</v>
      </c>
      <c r="I854" t="n">
        <v>0</v>
      </c>
      <c r="J854" t="n">
        <v>0</v>
      </c>
      <c r="K854" t="n">
        <v>0</v>
      </c>
      <c r="L854" t="n">
        <v>0</v>
      </c>
      <c r="M854" t="n">
        <v>0</v>
      </c>
      <c r="N854" t="n">
        <v>0</v>
      </c>
      <c r="O854" t="n">
        <v>0</v>
      </c>
      <c r="P854" t="n">
        <v>0</v>
      </c>
      <c r="Q854" t="n">
        <v>0</v>
      </c>
      <c r="R854" s="2" t="inlineStr"/>
    </row>
    <row r="855" ht="15" customHeight="1">
      <c r="A855" t="inlineStr">
        <is>
          <t>A 53935-2022</t>
        </is>
      </c>
      <c r="B855" s="1" t="n">
        <v>44880</v>
      </c>
      <c r="C855" s="1" t="n">
        <v>45941</v>
      </c>
      <c r="D855" t="inlineStr">
        <is>
          <t>JÄMTLANDS LÄN</t>
        </is>
      </c>
      <c r="E855" t="inlineStr">
        <is>
          <t>RAGUNDA</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45279-2025</t>
        </is>
      </c>
      <c r="B856" s="1" t="n">
        <v>45919.71912037037</v>
      </c>
      <c r="C856" s="1" t="n">
        <v>45941</v>
      </c>
      <c r="D856" t="inlineStr">
        <is>
          <t>JÄMTLANDS LÄN</t>
        </is>
      </c>
      <c r="E856" t="inlineStr">
        <is>
          <t>RAGUNDA</t>
        </is>
      </c>
      <c r="F856" t="inlineStr">
        <is>
          <t>SCA</t>
        </is>
      </c>
      <c r="G856" t="n">
        <v>11.5</v>
      </c>
      <c r="H856" t="n">
        <v>0</v>
      </c>
      <c r="I856" t="n">
        <v>0</v>
      </c>
      <c r="J856" t="n">
        <v>0</v>
      </c>
      <c r="K856" t="n">
        <v>0</v>
      </c>
      <c r="L856" t="n">
        <v>0</v>
      </c>
      <c r="M856" t="n">
        <v>0</v>
      </c>
      <c r="N856" t="n">
        <v>0</v>
      </c>
      <c r="O856" t="n">
        <v>0</v>
      </c>
      <c r="P856" t="n">
        <v>0</v>
      </c>
      <c r="Q856" t="n">
        <v>0</v>
      </c>
      <c r="R856" s="2" t="inlineStr"/>
    </row>
    <row r="857" ht="15" customHeight="1">
      <c r="A857" t="inlineStr">
        <is>
          <t>A 18631-2024</t>
        </is>
      </c>
      <c r="B857" s="1" t="n">
        <v>45425.96494212963</v>
      </c>
      <c r="C857" s="1" t="n">
        <v>45941</v>
      </c>
      <c r="D857" t="inlineStr">
        <is>
          <t>JÄMTLANDS LÄN</t>
        </is>
      </c>
      <c r="E857" t="inlineStr">
        <is>
          <t>RAGUNDA</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49193-2025</t>
        </is>
      </c>
      <c r="B858" s="1" t="n">
        <v>45938.40831018519</v>
      </c>
      <c r="C858" s="1" t="n">
        <v>45941</v>
      </c>
      <c r="D858" t="inlineStr">
        <is>
          <t>JÄMTLANDS LÄN</t>
        </is>
      </c>
      <c r="E858" t="inlineStr">
        <is>
          <t>RAGUNDA</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49059-2025</t>
        </is>
      </c>
      <c r="B859" s="1" t="n">
        <v>45937.64123842592</v>
      </c>
      <c r="C859" s="1" t="n">
        <v>45941</v>
      </c>
      <c r="D859" t="inlineStr">
        <is>
          <t>JÄMTLANDS LÄN</t>
        </is>
      </c>
      <c r="E859" t="inlineStr">
        <is>
          <t>RAGUNDA</t>
        </is>
      </c>
      <c r="G859" t="n">
        <v>2.1</v>
      </c>
      <c r="H859" t="n">
        <v>0</v>
      </c>
      <c r="I859" t="n">
        <v>0</v>
      </c>
      <c r="J859" t="n">
        <v>0</v>
      </c>
      <c r="K859" t="n">
        <v>0</v>
      </c>
      <c r="L859" t="n">
        <v>0</v>
      </c>
      <c r="M859" t="n">
        <v>0</v>
      </c>
      <c r="N859" t="n">
        <v>0</v>
      </c>
      <c r="O859" t="n">
        <v>0</v>
      </c>
      <c r="P859" t="n">
        <v>0</v>
      </c>
      <c r="Q859" t="n">
        <v>0</v>
      </c>
      <c r="R859" s="2" t="inlineStr"/>
    </row>
    <row r="860" ht="15" customHeight="1">
      <c r="A860" t="inlineStr">
        <is>
          <t>A 44630-2023</t>
        </is>
      </c>
      <c r="B860" s="1" t="n">
        <v>45184</v>
      </c>
      <c r="C860" s="1" t="n">
        <v>45941</v>
      </c>
      <c r="D860" t="inlineStr">
        <is>
          <t>JÄMTLANDS LÄN</t>
        </is>
      </c>
      <c r="E860" t="inlineStr">
        <is>
          <t>RAGUNDA</t>
        </is>
      </c>
      <c r="G860" t="n">
        <v>3.4</v>
      </c>
      <c r="H860" t="n">
        <v>0</v>
      </c>
      <c r="I860" t="n">
        <v>0</v>
      </c>
      <c r="J860" t="n">
        <v>0</v>
      </c>
      <c r="K860" t="n">
        <v>0</v>
      </c>
      <c r="L860" t="n">
        <v>0</v>
      </c>
      <c r="M860" t="n">
        <v>0</v>
      </c>
      <c r="N860" t="n">
        <v>0</v>
      </c>
      <c r="O860" t="n">
        <v>0</v>
      </c>
      <c r="P860" t="n">
        <v>0</v>
      </c>
      <c r="Q860" t="n">
        <v>0</v>
      </c>
      <c r="R860" s="2" t="inlineStr"/>
    </row>
    <row r="861" ht="15" customHeight="1">
      <c r="A861" t="inlineStr">
        <is>
          <t>A 12522-2023</t>
        </is>
      </c>
      <c r="B861" s="1" t="n">
        <v>45000</v>
      </c>
      <c r="C861" s="1" t="n">
        <v>45941</v>
      </c>
      <c r="D861" t="inlineStr">
        <is>
          <t>JÄMTLANDS LÄN</t>
        </is>
      </c>
      <c r="E861" t="inlineStr">
        <is>
          <t>RAGUNDA</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12523-2023</t>
        </is>
      </c>
      <c r="B862" s="1" t="n">
        <v>45000</v>
      </c>
      <c r="C862" s="1" t="n">
        <v>45941</v>
      </c>
      <c r="D862" t="inlineStr">
        <is>
          <t>JÄMTLANDS LÄN</t>
        </is>
      </c>
      <c r="E862" t="inlineStr">
        <is>
          <t>RAGUNDA</t>
        </is>
      </c>
      <c r="F862" t="inlineStr">
        <is>
          <t>SCA</t>
        </is>
      </c>
      <c r="G862" t="n">
        <v>14.3</v>
      </c>
      <c r="H862" t="n">
        <v>0</v>
      </c>
      <c r="I862" t="n">
        <v>0</v>
      </c>
      <c r="J862" t="n">
        <v>0</v>
      </c>
      <c r="K862" t="n">
        <v>0</v>
      </c>
      <c r="L862" t="n">
        <v>0</v>
      </c>
      <c r="M862" t="n">
        <v>0</v>
      </c>
      <c r="N862" t="n">
        <v>0</v>
      </c>
      <c r="O862" t="n">
        <v>0</v>
      </c>
      <c r="P862" t="n">
        <v>0</v>
      </c>
      <c r="Q862" t="n">
        <v>0</v>
      </c>
      <c r="R862" s="2" t="inlineStr"/>
    </row>
    <row r="863" ht="15" customHeight="1">
      <c r="A863" t="inlineStr">
        <is>
          <t>A 12805-2025</t>
        </is>
      </c>
      <c r="B863" s="1" t="n">
        <v>45733.61497685185</v>
      </c>
      <c r="C863" s="1" t="n">
        <v>45941</v>
      </c>
      <c r="D863" t="inlineStr">
        <is>
          <t>JÄMTLANDS LÄN</t>
        </is>
      </c>
      <c r="E863" t="inlineStr">
        <is>
          <t>RAGUNDA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41161-2025</t>
        </is>
      </c>
      <c r="B864" s="1" t="n">
        <v>45898.53193287037</v>
      </c>
      <c r="C864" s="1" t="n">
        <v>45941</v>
      </c>
      <c r="D864" t="inlineStr">
        <is>
          <t>JÄMTLANDS LÄN</t>
        </is>
      </c>
      <c r="E864" t="inlineStr">
        <is>
          <t>RAGUNDA</t>
        </is>
      </c>
      <c r="F864" t="inlineStr">
        <is>
          <t>SCA</t>
        </is>
      </c>
      <c r="G864" t="n">
        <v>4.4</v>
      </c>
      <c r="H864" t="n">
        <v>0</v>
      </c>
      <c r="I864" t="n">
        <v>0</v>
      </c>
      <c r="J864" t="n">
        <v>0</v>
      </c>
      <c r="K864" t="n">
        <v>0</v>
      </c>
      <c r="L864" t="n">
        <v>0</v>
      </c>
      <c r="M864" t="n">
        <v>0</v>
      </c>
      <c r="N864" t="n">
        <v>0</v>
      </c>
      <c r="O864" t="n">
        <v>0</v>
      </c>
      <c r="P864" t="n">
        <v>0</v>
      </c>
      <c r="Q864" t="n">
        <v>0</v>
      </c>
      <c r="R864" s="2" t="inlineStr"/>
    </row>
    <row r="865" ht="15" customHeight="1">
      <c r="A865" t="inlineStr">
        <is>
          <t>A 41140-2025</t>
        </is>
      </c>
      <c r="B865" s="1" t="n">
        <v>45898.49012731481</v>
      </c>
      <c r="C865" s="1" t="n">
        <v>45941</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36246-2024</t>
        </is>
      </c>
      <c r="B866" s="1" t="n">
        <v>45534</v>
      </c>
      <c r="C866" s="1" t="n">
        <v>45941</v>
      </c>
      <c r="D866" t="inlineStr">
        <is>
          <t>JÄMTLANDS LÄN</t>
        </is>
      </c>
      <c r="E866" t="inlineStr">
        <is>
          <t>RAGUNDA</t>
        </is>
      </c>
      <c r="G866" t="n">
        <v>1.6</v>
      </c>
      <c r="H866" t="n">
        <v>0</v>
      </c>
      <c r="I866" t="n">
        <v>0</v>
      </c>
      <c r="J866" t="n">
        <v>0</v>
      </c>
      <c r="K866" t="n">
        <v>0</v>
      </c>
      <c r="L866" t="n">
        <v>0</v>
      </c>
      <c r="M866" t="n">
        <v>0</v>
      </c>
      <c r="N866" t="n">
        <v>0</v>
      </c>
      <c r="O866" t="n">
        <v>0</v>
      </c>
      <c r="P866" t="n">
        <v>0</v>
      </c>
      <c r="Q866" t="n">
        <v>0</v>
      </c>
      <c r="R866" s="2" t="inlineStr"/>
    </row>
    <row r="867" ht="15" customHeight="1">
      <c r="A867" t="inlineStr">
        <is>
          <t>A 9504-2025</t>
        </is>
      </c>
      <c r="B867" s="1" t="n">
        <v>45714</v>
      </c>
      <c r="C867" s="1" t="n">
        <v>45941</v>
      </c>
      <c r="D867" t="inlineStr">
        <is>
          <t>JÄMTLANDS LÄN</t>
        </is>
      </c>
      <c r="E867" t="inlineStr">
        <is>
          <t>RAGUNDA</t>
        </is>
      </c>
      <c r="G867" t="n">
        <v>6</v>
      </c>
      <c r="H867" t="n">
        <v>0</v>
      </c>
      <c r="I867" t="n">
        <v>0</v>
      </c>
      <c r="J867" t="n">
        <v>0</v>
      </c>
      <c r="K867" t="n">
        <v>0</v>
      </c>
      <c r="L867" t="n">
        <v>0</v>
      </c>
      <c r="M867" t="n">
        <v>0</v>
      </c>
      <c r="N867" t="n">
        <v>0</v>
      </c>
      <c r="O867" t="n">
        <v>0</v>
      </c>
      <c r="P867" t="n">
        <v>0</v>
      </c>
      <c r="Q867" t="n">
        <v>0</v>
      </c>
      <c r="R867" s="2" t="inlineStr"/>
    </row>
    <row r="868" ht="15" customHeight="1">
      <c r="A868" t="inlineStr">
        <is>
          <t>A 11062-2023</t>
        </is>
      </c>
      <c r="B868" s="1" t="n">
        <v>44991</v>
      </c>
      <c r="C868" s="1" t="n">
        <v>45941</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32063-2024</t>
        </is>
      </c>
      <c r="B869" s="1" t="n">
        <v>45510</v>
      </c>
      <c r="C869" s="1" t="n">
        <v>45941</v>
      </c>
      <c r="D869" t="inlineStr">
        <is>
          <t>JÄMTLANDS LÄN</t>
        </is>
      </c>
      <c r="E869" t="inlineStr">
        <is>
          <t>RAGUNDA</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41233-2025</t>
        </is>
      </c>
      <c r="B870" s="1" t="n">
        <v>45898.59295138889</v>
      </c>
      <c r="C870" s="1" t="n">
        <v>45941</v>
      </c>
      <c r="D870" t="inlineStr">
        <is>
          <t>JÄMTLANDS LÄN</t>
        </is>
      </c>
      <c r="E870" t="inlineStr">
        <is>
          <t>RAGUNDA</t>
        </is>
      </c>
      <c r="G870" t="n">
        <v>1.7</v>
      </c>
      <c r="H870" t="n">
        <v>0</v>
      </c>
      <c r="I870" t="n">
        <v>0</v>
      </c>
      <c r="J870" t="n">
        <v>0</v>
      </c>
      <c r="K870" t="n">
        <v>0</v>
      </c>
      <c r="L870" t="n">
        <v>0</v>
      </c>
      <c r="M870" t="n">
        <v>0</v>
      </c>
      <c r="N870" t="n">
        <v>0</v>
      </c>
      <c r="O870" t="n">
        <v>0</v>
      </c>
      <c r="P870" t="n">
        <v>0</v>
      </c>
      <c r="Q870" t="n">
        <v>0</v>
      </c>
      <c r="R870" s="2" t="inlineStr"/>
    </row>
    <row r="871" ht="15" customHeight="1">
      <c r="A871" t="inlineStr">
        <is>
          <t>A 41262-2025</t>
        </is>
      </c>
      <c r="B871" s="1" t="n">
        <v>45898.61502314815</v>
      </c>
      <c r="C871" s="1" t="n">
        <v>45941</v>
      </c>
      <c r="D871" t="inlineStr">
        <is>
          <t>JÄMTLANDS LÄN</t>
        </is>
      </c>
      <c r="E871" t="inlineStr">
        <is>
          <t>RAGUNDA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49639-2025</t>
        </is>
      </c>
      <c r="B872" s="1" t="n">
        <v>45939.61253472222</v>
      </c>
      <c r="C872" s="1" t="n">
        <v>45941</v>
      </c>
      <c r="D872" t="inlineStr">
        <is>
          <t>JÄMTLANDS LÄN</t>
        </is>
      </c>
      <c r="E872" t="inlineStr">
        <is>
          <t>RAGUNDA</t>
        </is>
      </c>
      <c r="F872" t="inlineStr">
        <is>
          <t>Kommuner</t>
        </is>
      </c>
      <c r="G872" t="n">
        <v>13.6</v>
      </c>
      <c r="H872" t="n">
        <v>0</v>
      </c>
      <c r="I872" t="n">
        <v>0</v>
      </c>
      <c r="J872" t="n">
        <v>0</v>
      </c>
      <c r="K872" t="n">
        <v>0</v>
      </c>
      <c r="L872" t="n">
        <v>0</v>
      </c>
      <c r="M872" t="n">
        <v>0</v>
      </c>
      <c r="N872" t="n">
        <v>0</v>
      </c>
      <c r="O872" t="n">
        <v>0</v>
      </c>
      <c r="P872" t="n">
        <v>0</v>
      </c>
      <c r="Q872" t="n">
        <v>0</v>
      </c>
      <c r="R872" s="2" t="inlineStr"/>
    </row>
    <row r="873" ht="15" customHeight="1">
      <c r="A873" t="inlineStr">
        <is>
          <t>A 5307-2025</t>
        </is>
      </c>
      <c r="B873" s="1" t="n">
        <v>45692.48993055556</v>
      </c>
      <c r="C873" s="1" t="n">
        <v>45941</v>
      </c>
      <c r="D873" t="inlineStr">
        <is>
          <t>JÄMTLANDS LÄN</t>
        </is>
      </c>
      <c r="E873" t="inlineStr">
        <is>
          <t>RAGUNDA</t>
        </is>
      </c>
      <c r="F873" t="inlineStr">
        <is>
          <t>SCA</t>
        </is>
      </c>
      <c r="G873" t="n">
        <v>20.9</v>
      </c>
      <c r="H873" t="n">
        <v>0</v>
      </c>
      <c r="I873" t="n">
        <v>0</v>
      </c>
      <c r="J873" t="n">
        <v>0</v>
      </c>
      <c r="K873" t="n">
        <v>0</v>
      </c>
      <c r="L873" t="n">
        <v>0</v>
      </c>
      <c r="M873" t="n">
        <v>0</v>
      </c>
      <c r="N873" t="n">
        <v>0</v>
      </c>
      <c r="O873" t="n">
        <v>0</v>
      </c>
      <c r="P873" t="n">
        <v>0</v>
      </c>
      <c r="Q873" t="n">
        <v>0</v>
      </c>
      <c r="R873" s="2" t="inlineStr"/>
    </row>
    <row r="874" ht="15" customHeight="1">
      <c r="A874" t="inlineStr">
        <is>
          <t>A 46192-2025</t>
        </is>
      </c>
      <c r="B874" s="1" t="n">
        <v>45924.67789351852</v>
      </c>
      <c r="C874" s="1" t="n">
        <v>45941</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48066-2022</t>
        </is>
      </c>
      <c r="B875" s="1" t="n">
        <v>44855</v>
      </c>
      <c r="C875" s="1" t="n">
        <v>45941</v>
      </c>
      <c r="D875" t="inlineStr">
        <is>
          <t>JÄMTLANDS LÄN</t>
        </is>
      </c>
      <c r="E875" t="inlineStr">
        <is>
          <t>RAGUNDA</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26942-2021</t>
        </is>
      </c>
      <c r="B876" s="1" t="n">
        <v>44349.91978009259</v>
      </c>
      <c r="C876" s="1" t="n">
        <v>45941</v>
      </c>
      <c r="D876" t="inlineStr">
        <is>
          <t>JÄMTLANDS LÄN</t>
        </is>
      </c>
      <c r="E876" t="inlineStr">
        <is>
          <t>RAGUNDA</t>
        </is>
      </c>
      <c r="G876" t="n">
        <v>6.2</v>
      </c>
      <c r="H876" t="n">
        <v>0</v>
      </c>
      <c r="I876" t="n">
        <v>0</v>
      </c>
      <c r="J876" t="n">
        <v>0</v>
      </c>
      <c r="K876" t="n">
        <v>0</v>
      </c>
      <c r="L876" t="n">
        <v>0</v>
      </c>
      <c r="M876" t="n">
        <v>0</v>
      </c>
      <c r="N876" t="n">
        <v>0</v>
      </c>
      <c r="O876" t="n">
        <v>0</v>
      </c>
      <c r="P876" t="n">
        <v>0</v>
      </c>
      <c r="Q876" t="n">
        <v>0</v>
      </c>
      <c r="R876" s="2" t="inlineStr"/>
    </row>
    <row r="877" ht="15" customHeight="1">
      <c r="A877" t="inlineStr">
        <is>
          <t>A 69153-2021</t>
        </is>
      </c>
      <c r="B877" s="1" t="n">
        <v>44530.94694444445</v>
      </c>
      <c r="C877" s="1" t="n">
        <v>45941</v>
      </c>
      <c r="D877" t="inlineStr">
        <is>
          <t>JÄMTLANDS LÄN</t>
        </is>
      </c>
      <c r="E877" t="inlineStr">
        <is>
          <t>RAGUNDA</t>
        </is>
      </c>
      <c r="F877" t="inlineStr">
        <is>
          <t>SCA</t>
        </is>
      </c>
      <c r="G877" t="n">
        <v>5</v>
      </c>
      <c r="H877" t="n">
        <v>0</v>
      </c>
      <c r="I877" t="n">
        <v>0</v>
      </c>
      <c r="J877" t="n">
        <v>0</v>
      </c>
      <c r="K877" t="n">
        <v>0</v>
      </c>
      <c r="L877" t="n">
        <v>0</v>
      </c>
      <c r="M877" t="n">
        <v>0</v>
      </c>
      <c r="N877" t="n">
        <v>0</v>
      </c>
      <c r="O877" t="n">
        <v>0</v>
      </c>
      <c r="P877" t="n">
        <v>0</v>
      </c>
      <c r="Q877" t="n">
        <v>0</v>
      </c>
      <c r="R877" s="2" t="inlineStr"/>
    </row>
    <row r="878" ht="15" customHeight="1">
      <c r="A878" t="inlineStr">
        <is>
          <t>A 4882-2023</t>
        </is>
      </c>
      <c r="B878" s="1" t="n">
        <v>44957.94075231482</v>
      </c>
      <c r="C878" s="1" t="n">
        <v>45941</v>
      </c>
      <c r="D878" t="inlineStr">
        <is>
          <t>JÄMTLANDS LÄN</t>
        </is>
      </c>
      <c r="E878" t="inlineStr">
        <is>
          <t>RAGUNDA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45894-2025</t>
        </is>
      </c>
      <c r="B879" s="1" t="n">
        <v>45923.67765046296</v>
      </c>
      <c r="C879" s="1" t="n">
        <v>45941</v>
      </c>
      <c r="D879" t="inlineStr">
        <is>
          <t>JÄMTLANDS LÄN</t>
        </is>
      </c>
      <c r="E879" t="inlineStr">
        <is>
          <t>RAGUNDA</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39608-2024</t>
        </is>
      </c>
      <c r="B880" s="1" t="n">
        <v>45552.39113425926</v>
      </c>
      <c r="C880" s="1" t="n">
        <v>45941</v>
      </c>
      <c r="D880" t="inlineStr">
        <is>
          <t>JÄMTLANDS LÄN</t>
        </is>
      </c>
      <c r="E880" t="inlineStr">
        <is>
          <t>RAGUNDA</t>
        </is>
      </c>
      <c r="G880" t="n">
        <v>3.2</v>
      </c>
      <c r="H880" t="n">
        <v>0</v>
      </c>
      <c r="I880" t="n">
        <v>0</v>
      </c>
      <c r="J880" t="n">
        <v>0</v>
      </c>
      <c r="K880" t="n">
        <v>0</v>
      </c>
      <c r="L880" t="n">
        <v>0</v>
      </c>
      <c r="M880" t="n">
        <v>0</v>
      </c>
      <c r="N880" t="n">
        <v>0</v>
      </c>
      <c r="O880" t="n">
        <v>0</v>
      </c>
      <c r="P880" t="n">
        <v>0</v>
      </c>
      <c r="Q880" t="n">
        <v>0</v>
      </c>
      <c r="R880" s="2" t="inlineStr"/>
    </row>
    <row r="881" ht="15" customHeight="1">
      <c r="A881" t="inlineStr">
        <is>
          <t>A 18454-2021</t>
        </is>
      </c>
      <c r="B881" s="1" t="n">
        <v>44305.92047453704</v>
      </c>
      <c r="C881" s="1" t="n">
        <v>45941</v>
      </c>
      <c r="D881" t="inlineStr">
        <is>
          <t>JÄMTLANDS LÄN</t>
        </is>
      </c>
      <c r="E881" t="inlineStr">
        <is>
          <t>RAGUNDA</t>
        </is>
      </c>
      <c r="G881" t="n">
        <v>1.3</v>
      </c>
      <c r="H881" t="n">
        <v>0</v>
      </c>
      <c r="I881" t="n">
        <v>0</v>
      </c>
      <c r="J881" t="n">
        <v>0</v>
      </c>
      <c r="K881" t="n">
        <v>0</v>
      </c>
      <c r="L881" t="n">
        <v>0</v>
      </c>
      <c r="M881" t="n">
        <v>0</v>
      </c>
      <c r="N881" t="n">
        <v>0</v>
      </c>
      <c r="O881" t="n">
        <v>0</v>
      </c>
      <c r="P881" t="n">
        <v>0</v>
      </c>
      <c r="Q881" t="n">
        <v>0</v>
      </c>
      <c r="R881" s="2" t="inlineStr"/>
    </row>
    <row r="882" ht="15" customHeight="1">
      <c r="A882" t="inlineStr">
        <is>
          <t>A 56504-2024</t>
        </is>
      </c>
      <c r="B882" s="1" t="n">
        <v>45625.51068287037</v>
      </c>
      <c r="C882" s="1" t="n">
        <v>45941</v>
      </c>
      <c r="D882" t="inlineStr">
        <is>
          <t>JÄMTLANDS LÄN</t>
        </is>
      </c>
      <c r="E882" t="inlineStr">
        <is>
          <t>RAGUNDA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5938-2025</t>
        </is>
      </c>
      <c r="B883" s="1" t="n">
        <v>45695.45868055556</v>
      </c>
      <c r="C883" s="1" t="n">
        <v>45941</v>
      </c>
      <c r="D883" t="inlineStr">
        <is>
          <t>JÄMTLANDS LÄN</t>
        </is>
      </c>
      <c r="E883" t="inlineStr">
        <is>
          <t>RAGUNDA</t>
        </is>
      </c>
      <c r="G883" t="n">
        <v>1</v>
      </c>
      <c r="H883" t="n">
        <v>0</v>
      </c>
      <c r="I883" t="n">
        <v>0</v>
      </c>
      <c r="J883" t="n">
        <v>0</v>
      </c>
      <c r="K883" t="n">
        <v>0</v>
      </c>
      <c r="L883" t="n">
        <v>0</v>
      </c>
      <c r="M883" t="n">
        <v>0</v>
      </c>
      <c r="N883" t="n">
        <v>0</v>
      </c>
      <c r="O883" t="n">
        <v>0</v>
      </c>
      <c r="P883" t="n">
        <v>0</v>
      </c>
      <c r="Q883" t="n">
        <v>0</v>
      </c>
      <c r="R883" s="2" t="inlineStr"/>
    </row>
    <row r="884" ht="15" customHeight="1">
      <c r="A884" t="inlineStr">
        <is>
          <t>A 26455-2023</t>
        </is>
      </c>
      <c r="B884" s="1" t="n">
        <v>45092</v>
      </c>
      <c r="C884" s="1" t="n">
        <v>45941</v>
      </c>
      <c r="D884" t="inlineStr">
        <is>
          <t>JÄMTLANDS LÄN</t>
        </is>
      </c>
      <c r="E884" t="inlineStr">
        <is>
          <t>RAGUNDA</t>
        </is>
      </c>
      <c r="G884" t="n">
        <v>3.8</v>
      </c>
      <c r="H884" t="n">
        <v>0</v>
      </c>
      <c r="I884" t="n">
        <v>0</v>
      </c>
      <c r="J884" t="n">
        <v>0</v>
      </c>
      <c r="K884" t="n">
        <v>0</v>
      </c>
      <c r="L884" t="n">
        <v>0</v>
      </c>
      <c r="M884" t="n">
        <v>0</v>
      </c>
      <c r="N884" t="n">
        <v>0</v>
      </c>
      <c r="O884" t="n">
        <v>0</v>
      </c>
      <c r="P884" t="n">
        <v>0</v>
      </c>
      <c r="Q884" t="n">
        <v>0</v>
      </c>
      <c r="R884" s="2" t="inlineStr"/>
    </row>
    <row r="885" ht="15" customHeight="1">
      <c r="A885" t="inlineStr">
        <is>
          <t>A 28173-2024</t>
        </is>
      </c>
      <c r="B885" s="1" t="n">
        <v>45476.94533564815</v>
      </c>
      <c r="C885" s="1" t="n">
        <v>45941</v>
      </c>
      <c r="D885" t="inlineStr">
        <is>
          <t>JÄMTLANDS LÄN</t>
        </is>
      </c>
      <c r="E885" t="inlineStr">
        <is>
          <t>RAGUNDA</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35537-2021</t>
        </is>
      </c>
      <c r="B886" s="1" t="n">
        <v>44384</v>
      </c>
      <c r="C886" s="1" t="n">
        <v>45941</v>
      </c>
      <c r="D886" t="inlineStr">
        <is>
          <t>JÄMTLANDS LÄN</t>
        </is>
      </c>
      <c r="E886" t="inlineStr">
        <is>
          <t>RAGUNDA</t>
        </is>
      </c>
      <c r="G886" t="n">
        <v>3.1</v>
      </c>
      <c r="H886" t="n">
        <v>0</v>
      </c>
      <c r="I886" t="n">
        <v>0</v>
      </c>
      <c r="J886" t="n">
        <v>0</v>
      </c>
      <c r="K886" t="n">
        <v>0</v>
      </c>
      <c r="L886" t="n">
        <v>0</v>
      </c>
      <c r="M886" t="n">
        <v>0</v>
      </c>
      <c r="N886" t="n">
        <v>0</v>
      </c>
      <c r="O886" t="n">
        <v>0</v>
      </c>
      <c r="P886" t="n">
        <v>0</v>
      </c>
      <c r="Q886" t="n">
        <v>0</v>
      </c>
      <c r="R886" s="2" t="inlineStr"/>
    </row>
    <row r="887" ht="15" customHeight="1">
      <c r="A887" t="inlineStr">
        <is>
          <t>A 6801-2023</t>
        </is>
      </c>
      <c r="B887" s="1" t="n">
        <v>44966.95328703704</v>
      </c>
      <c r="C887" s="1" t="n">
        <v>45941</v>
      </c>
      <c r="D887" t="inlineStr">
        <is>
          <t>JÄMTLANDS LÄN</t>
        </is>
      </c>
      <c r="E887" t="inlineStr">
        <is>
          <t>RAGUNDA</t>
        </is>
      </c>
      <c r="F887" t="inlineStr">
        <is>
          <t>SCA</t>
        </is>
      </c>
      <c r="G887" t="n">
        <v>10.6</v>
      </c>
      <c r="H887" t="n">
        <v>0</v>
      </c>
      <c r="I887" t="n">
        <v>0</v>
      </c>
      <c r="J887" t="n">
        <v>0</v>
      </c>
      <c r="K887" t="n">
        <v>0</v>
      </c>
      <c r="L887" t="n">
        <v>0</v>
      </c>
      <c r="M887" t="n">
        <v>0</v>
      </c>
      <c r="N887" t="n">
        <v>0</v>
      </c>
      <c r="O887" t="n">
        <v>0</v>
      </c>
      <c r="P887" t="n">
        <v>0</v>
      </c>
      <c r="Q887" t="n">
        <v>0</v>
      </c>
      <c r="R887" s="2" t="inlineStr"/>
    </row>
    <row r="888" ht="15" customHeight="1">
      <c r="A888" t="inlineStr">
        <is>
          <t>A 5967-2021</t>
        </is>
      </c>
      <c r="B888" s="1" t="n">
        <v>44231</v>
      </c>
      <c r="C888" s="1" t="n">
        <v>45941</v>
      </c>
      <c r="D888" t="inlineStr">
        <is>
          <t>JÄMTLANDS LÄN</t>
        </is>
      </c>
      <c r="E888" t="inlineStr">
        <is>
          <t>RAGUNDA</t>
        </is>
      </c>
      <c r="G888" t="n">
        <v>3.6</v>
      </c>
      <c r="H888" t="n">
        <v>0</v>
      </c>
      <c r="I888" t="n">
        <v>0</v>
      </c>
      <c r="J888" t="n">
        <v>0</v>
      </c>
      <c r="K888" t="n">
        <v>0</v>
      </c>
      <c r="L888" t="n">
        <v>0</v>
      </c>
      <c r="M888" t="n">
        <v>0</v>
      </c>
      <c r="N888" t="n">
        <v>0</v>
      </c>
      <c r="O888" t="n">
        <v>0</v>
      </c>
      <c r="P888" t="n">
        <v>0</v>
      </c>
      <c r="Q888" t="n">
        <v>0</v>
      </c>
      <c r="R888" s="2" t="inlineStr"/>
    </row>
    <row r="889" ht="15" customHeight="1">
      <c r="A889" t="inlineStr">
        <is>
          <t>A 46710-2025</t>
        </is>
      </c>
      <c r="B889" s="1" t="n">
        <v>45926.57337962963</v>
      </c>
      <c r="C889" s="1" t="n">
        <v>45941</v>
      </c>
      <c r="D889" t="inlineStr">
        <is>
          <t>JÄMTLANDS LÄN</t>
        </is>
      </c>
      <c r="E889" t="inlineStr">
        <is>
          <t>RAGUNDA</t>
        </is>
      </c>
      <c r="F889" t="inlineStr">
        <is>
          <t>SCA</t>
        </is>
      </c>
      <c r="G889" t="n">
        <v>6</v>
      </c>
      <c r="H889" t="n">
        <v>0</v>
      </c>
      <c r="I889" t="n">
        <v>0</v>
      </c>
      <c r="J889" t="n">
        <v>0</v>
      </c>
      <c r="K889" t="n">
        <v>0</v>
      </c>
      <c r="L889" t="n">
        <v>0</v>
      </c>
      <c r="M889" t="n">
        <v>0</v>
      </c>
      <c r="N889" t="n">
        <v>0</v>
      </c>
      <c r="O889" t="n">
        <v>0</v>
      </c>
      <c r="P889" t="n">
        <v>0</v>
      </c>
      <c r="Q889" t="n">
        <v>0</v>
      </c>
      <c r="R889" s="2" t="inlineStr"/>
    </row>
    <row r="890" ht="15" customHeight="1">
      <c r="A890" t="inlineStr">
        <is>
          <t>A 18248-2023</t>
        </is>
      </c>
      <c r="B890" s="1" t="n">
        <v>45040</v>
      </c>
      <c r="C890" s="1" t="n">
        <v>45941</v>
      </c>
      <c r="D890" t="inlineStr">
        <is>
          <t>JÄMTLANDS LÄN</t>
        </is>
      </c>
      <c r="E890" t="inlineStr">
        <is>
          <t>RAGUNDA</t>
        </is>
      </c>
      <c r="G890" t="n">
        <v>4.3</v>
      </c>
      <c r="H890" t="n">
        <v>0</v>
      </c>
      <c r="I890" t="n">
        <v>0</v>
      </c>
      <c r="J890" t="n">
        <v>0</v>
      </c>
      <c r="K890" t="n">
        <v>0</v>
      </c>
      <c r="L890" t="n">
        <v>0</v>
      </c>
      <c r="M890" t="n">
        <v>0</v>
      </c>
      <c r="N890" t="n">
        <v>0</v>
      </c>
      <c r="O890" t="n">
        <v>0</v>
      </c>
      <c r="P890" t="n">
        <v>0</v>
      </c>
      <c r="Q890" t="n">
        <v>0</v>
      </c>
      <c r="R890" s="2" t="inlineStr"/>
    </row>
    <row r="891" ht="15" customHeight="1">
      <c r="A891" t="inlineStr">
        <is>
          <t>A 10641-2024</t>
        </is>
      </c>
      <c r="B891" s="1" t="n">
        <v>45367.69850694444</v>
      </c>
      <c r="C891" s="1" t="n">
        <v>45941</v>
      </c>
      <c r="D891" t="inlineStr">
        <is>
          <t>JÄMTLANDS LÄN</t>
        </is>
      </c>
      <c r="E891" t="inlineStr">
        <is>
          <t>RAGUNDA</t>
        </is>
      </c>
      <c r="G891" t="n">
        <v>0.9</v>
      </c>
      <c r="H891" t="n">
        <v>0</v>
      </c>
      <c r="I891" t="n">
        <v>0</v>
      </c>
      <c r="J891" t="n">
        <v>0</v>
      </c>
      <c r="K891" t="n">
        <v>0</v>
      </c>
      <c r="L891" t="n">
        <v>0</v>
      </c>
      <c r="M891" t="n">
        <v>0</v>
      </c>
      <c r="N891" t="n">
        <v>0</v>
      </c>
      <c r="O891" t="n">
        <v>0</v>
      </c>
      <c r="P891" t="n">
        <v>0</v>
      </c>
      <c r="Q891" t="n">
        <v>0</v>
      </c>
      <c r="R891" s="2" t="inlineStr"/>
    </row>
    <row r="892" ht="15" customHeight="1">
      <c r="A892" t="inlineStr">
        <is>
          <t>A 10644-2024</t>
        </is>
      </c>
      <c r="B892" s="1" t="n">
        <v>45367.71348379629</v>
      </c>
      <c r="C892" s="1" t="n">
        <v>45941</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45438-2022</t>
        </is>
      </c>
      <c r="B893" s="1" t="n">
        <v>44844.95368055555</v>
      </c>
      <c r="C893" s="1" t="n">
        <v>45941</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17559-2023</t>
        </is>
      </c>
      <c r="B894" s="1" t="n">
        <v>45034</v>
      </c>
      <c r="C894" s="1" t="n">
        <v>45941</v>
      </c>
      <c r="D894" t="inlineStr">
        <is>
          <t>JÄMTLANDS LÄN</t>
        </is>
      </c>
      <c r="E894" t="inlineStr">
        <is>
          <t>RAGUNDA</t>
        </is>
      </c>
      <c r="G894" t="n">
        <v>7.5</v>
      </c>
      <c r="H894" t="n">
        <v>0</v>
      </c>
      <c r="I894" t="n">
        <v>0</v>
      </c>
      <c r="J894" t="n">
        <v>0</v>
      </c>
      <c r="K894" t="n">
        <v>0</v>
      </c>
      <c r="L894" t="n">
        <v>0</v>
      </c>
      <c r="M894" t="n">
        <v>0</v>
      </c>
      <c r="N894" t="n">
        <v>0</v>
      </c>
      <c r="O894" t="n">
        <v>0</v>
      </c>
      <c r="P894" t="n">
        <v>0</v>
      </c>
      <c r="Q894" t="n">
        <v>0</v>
      </c>
      <c r="R894" s="2" t="inlineStr"/>
    </row>
    <row r="895" ht="15" customHeight="1">
      <c r="A895" t="inlineStr">
        <is>
          <t>A 30459-2021</t>
        </is>
      </c>
      <c r="B895" s="1" t="n">
        <v>44362</v>
      </c>
      <c r="C895" s="1" t="n">
        <v>45941</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29263-2024</t>
        </is>
      </c>
      <c r="B896" s="1" t="n">
        <v>45482.94891203703</v>
      </c>
      <c r="C896" s="1" t="n">
        <v>45941</v>
      </c>
      <c r="D896" t="inlineStr">
        <is>
          <t>JÄMTLANDS LÄN</t>
        </is>
      </c>
      <c r="E896" t="inlineStr">
        <is>
          <t>RAGUNDA</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29265-2024</t>
        </is>
      </c>
      <c r="B897" s="1" t="n">
        <v>45482.9491087963</v>
      </c>
      <c r="C897" s="1" t="n">
        <v>45941</v>
      </c>
      <c r="D897" t="inlineStr">
        <is>
          <t>JÄMTLANDS LÄN</t>
        </is>
      </c>
      <c r="E897" t="inlineStr">
        <is>
          <t>RAGUNDA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13898-2023</t>
        </is>
      </c>
      <c r="B898" s="1" t="n">
        <v>45008.01408564814</v>
      </c>
      <c r="C898" s="1" t="n">
        <v>45941</v>
      </c>
      <c r="D898" t="inlineStr">
        <is>
          <t>JÄMTLANDS LÄN</t>
        </is>
      </c>
      <c r="E898" t="inlineStr">
        <is>
          <t>RAGUNDA</t>
        </is>
      </c>
      <c r="F898" t="inlineStr">
        <is>
          <t>SCA</t>
        </is>
      </c>
      <c r="G898" t="n">
        <v>5</v>
      </c>
      <c r="H898" t="n">
        <v>0</v>
      </c>
      <c r="I898" t="n">
        <v>0</v>
      </c>
      <c r="J898" t="n">
        <v>0</v>
      </c>
      <c r="K898" t="n">
        <v>0</v>
      </c>
      <c r="L898" t="n">
        <v>0</v>
      </c>
      <c r="M898" t="n">
        <v>0</v>
      </c>
      <c r="N898" t="n">
        <v>0</v>
      </c>
      <c r="O898" t="n">
        <v>0</v>
      </c>
      <c r="P898" t="n">
        <v>0</v>
      </c>
      <c r="Q898" t="n">
        <v>0</v>
      </c>
      <c r="R898" s="2" t="inlineStr"/>
    </row>
    <row r="899" ht="15" customHeight="1">
      <c r="A899" t="inlineStr">
        <is>
          <t>A 41693-2023</t>
        </is>
      </c>
      <c r="B899" s="1" t="n">
        <v>45176</v>
      </c>
      <c r="C899" s="1" t="n">
        <v>45941</v>
      </c>
      <c r="D899" t="inlineStr">
        <is>
          <t>JÄMTLANDS LÄN</t>
        </is>
      </c>
      <c r="E899" t="inlineStr">
        <is>
          <t>RAGUNDA</t>
        </is>
      </c>
      <c r="G899" t="n">
        <v>5.5</v>
      </c>
      <c r="H899" t="n">
        <v>0</v>
      </c>
      <c r="I899" t="n">
        <v>0</v>
      </c>
      <c r="J899" t="n">
        <v>0</v>
      </c>
      <c r="K899" t="n">
        <v>0</v>
      </c>
      <c r="L899" t="n">
        <v>0</v>
      </c>
      <c r="M899" t="n">
        <v>0</v>
      </c>
      <c r="N899" t="n">
        <v>0</v>
      </c>
      <c r="O899" t="n">
        <v>0</v>
      </c>
      <c r="P899" t="n">
        <v>0</v>
      </c>
      <c r="Q899" t="n">
        <v>0</v>
      </c>
      <c r="R899" s="2" t="inlineStr"/>
    </row>
    <row r="900" ht="15" customHeight="1">
      <c r="A900" t="inlineStr">
        <is>
          <t>A 46275-2025</t>
        </is>
      </c>
      <c r="B900" s="1" t="n">
        <v>45925.3711574074</v>
      </c>
      <c r="C900" s="1" t="n">
        <v>45941</v>
      </c>
      <c r="D900" t="inlineStr">
        <is>
          <t>JÄMTLANDS LÄN</t>
        </is>
      </c>
      <c r="E900" t="inlineStr">
        <is>
          <t>RAGUNDA</t>
        </is>
      </c>
      <c r="G900" t="n">
        <v>2.7</v>
      </c>
      <c r="H900" t="n">
        <v>0</v>
      </c>
      <c r="I900" t="n">
        <v>0</v>
      </c>
      <c r="J900" t="n">
        <v>0</v>
      </c>
      <c r="K900" t="n">
        <v>0</v>
      </c>
      <c r="L900" t="n">
        <v>0</v>
      </c>
      <c r="M900" t="n">
        <v>0</v>
      </c>
      <c r="N900" t="n">
        <v>0</v>
      </c>
      <c r="O900" t="n">
        <v>0</v>
      </c>
      <c r="P900" t="n">
        <v>0</v>
      </c>
      <c r="Q900" t="n">
        <v>0</v>
      </c>
      <c r="R900" s="2" t="inlineStr"/>
    </row>
    <row r="901" ht="15" customHeight="1">
      <c r="A901" t="inlineStr">
        <is>
          <t>A 30826-2023</t>
        </is>
      </c>
      <c r="B901" s="1" t="n">
        <v>45112</v>
      </c>
      <c r="C901" s="1" t="n">
        <v>45941</v>
      </c>
      <c r="D901" t="inlineStr">
        <is>
          <t>JÄMTLANDS LÄN</t>
        </is>
      </c>
      <c r="E901" t="inlineStr">
        <is>
          <t>RAGUNDA</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3770-2025</t>
        </is>
      </c>
      <c r="B902" s="1" t="n">
        <v>45681.6050925926</v>
      </c>
      <c r="C902" s="1" t="n">
        <v>45941</v>
      </c>
      <c r="D902" t="inlineStr">
        <is>
          <t>JÄMTLANDS LÄN</t>
        </is>
      </c>
      <c r="E902" t="inlineStr">
        <is>
          <t>RAGUNDA</t>
        </is>
      </c>
      <c r="G902" t="n">
        <v>2.7</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44889.95015046297</v>
      </c>
      <c r="C903" s="1" t="n">
        <v>45941</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46753-2025</t>
        </is>
      </c>
      <c r="B904" s="1" t="n">
        <v>45926.61552083334</v>
      </c>
      <c r="C904" s="1" t="n">
        <v>45941</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33621-2023</t>
        </is>
      </c>
      <c r="B905" s="1" t="n">
        <v>45119</v>
      </c>
      <c r="C905" s="1" t="n">
        <v>45941</v>
      </c>
      <c r="D905" t="inlineStr">
        <is>
          <t>JÄMTLANDS LÄN</t>
        </is>
      </c>
      <c r="E905" t="inlineStr">
        <is>
          <t>RAGUNDA</t>
        </is>
      </c>
      <c r="G905" t="n">
        <v>0.5</v>
      </c>
      <c r="H905" t="n">
        <v>0</v>
      </c>
      <c r="I905" t="n">
        <v>0</v>
      </c>
      <c r="J905" t="n">
        <v>0</v>
      </c>
      <c r="K905" t="n">
        <v>0</v>
      </c>
      <c r="L905" t="n">
        <v>0</v>
      </c>
      <c r="M905" t="n">
        <v>0</v>
      </c>
      <c r="N905" t="n">
        <v>0</v>
      </c>
      <c r="O905" t="n">
        <v>0</v>
      </c>
      <c r="P905" t="n">
        <v>0</v>
      </c>
      <c r="Q905" t="n">
        <v>0</v>
      </c>
      <c r="R905" s="2" t="inlineStr"/>
    </row>
    <row r="906" ht="15" customHeight="1">
      <c r="A906" t="inlineStr">
        <is>
          <t>A 65216-2023</t>
        </is>
      </c>
      <c r="B906" s="1" t="n">
        <v>45289</v>
      </c>
      <c r="C906" s="1" t="n">
        <v>45941</v>
      </c>
      <c r="D906" t="inlineStr">
        <is>
          <t>JÄMTLANDS LÄN</t>
        </is>
      </c>
      <c r="E906" t="inlineStr">
        <is>
          <t>RAGUNDA</t>
        </is>
      </c>
      <c r="G906" t="n">
        <v>2.9</v>
      </c>
      <c r="H906" t="n">
        <v>0</v>
      </c>
      <c r="I906" t="n">
        <v>0</v>
      </c>
      <c r="J906" t="n">
        <v>0</v>
      </c>
      <c r="K906" t="n">
        <v>0</v>
      </c>
      <c r="L906" t="n">
        <v>0</v>
      </c>
      <c r="M906" t="n">
        <v>0</v>
      </c>
      <c r="N906" t="n">
        <v>0</v>
      </c>
      <c r="O906" t="n">
        <v>0</v>
      </c>
      <c r="P906" t="n">
        <v>0</v>
      </c>
      <c r="Q906" t="n">
        <v>0</v>
      </c>
      <c r="R906" s="2" t="inlineStr"/>
    </row>
    <row r="907" ht="15" customHeight="1">
      <c r="A907" t="inlineStr">
        <is>
          <t>A 11252-2025</t>
        </is>
      </c>
      <c r="B907" s="1" t="n">
        <v>45726.38615740741</v>
      </c>
      <c r="C907" s="1" t="n">
        <v>45941</v>
      </c>
      <c r="D907" t="inlineStr">
        <is>
          <t>JÄMTLANDS LÄN</t>
        </is>
      </c>
      <c r="E907" t="inlineStr">
        <is>
          <t>RAGUNDA</t>
        </is>
      </c>
      <c r="G907" t="n">
        <v>1.9</v>
      </c>
      <c r="H907" t="n">
        <v>0</v>
      </c>
      <c r="I907" t="n">
        <v>0</v>
      </c>
      <c r="J907" t="n">
        <v>0</v>
      </c>
      <c r="K907" t="n">
        <v>0</v>
      </c>
      <c r="L907" t="n">
        <v>0</v>
      </c>
      <c r="M907" t="n">
        <v>0</v>
      </c>
      <c r="N907" t="n">
        <v>0</v>
      </c>
      <c r="O907" t="n">
        <v>0</v>
      </c>
      <c r="P907" t="n">
        <v>0</v>
      </c>
      <c r="Q907" t="n">
        <v>0</v>
      </c>
      <c r="R907" s="2" t="inlineStr"/>
    </row>
    <row r="908" ht="15" customHeight="1">
      <c r="A908" t="inlineStr">
        <is>
          <t>A 7668-2025</t>
        </is>
      </c>
      <c r="B908" s="1" t="n">
        <v>45706.34450231482</v>
      </c>
      <c r="C908" s="1" t="n">
        <v>45941</v>
      </c>
      <c r="D908" t="inlineStr">
        <is>
          <t>JÄMTLANDS LÄN</t>
        </is>
      </c>
      <c r="E908" t="inlineStr">
        <is>
          <t>RAGUNDA</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60838-2023</t>
        </is>
      </c>
      <c r="B909" s="1" t="n">
        <v>45260.92561342593</v>
      </c>
      <c r="C909" s="1" t="n">
        <v>45941</v>
      </c>
      <c r="D909" t="inlineStr">
        <is>
          <t>JÄMTLANDS LÄN</t>
        </is>
      </c>
      <c r="E909" t="inlineStr">
        <is>
          <t>RAGUNDA</t>
        </is>
      </c>
      <c r="G909" t="n">
        <v>2.7</v>
      </c>
      <c r="H909" t="n">
        <v>0</v>
      </c>
      <c r="I909" t="n">
        <v>0</v>
      </c>
      <c r="J909" t="n">
        <v>0</v>
      </c>
      <c r="K909" t="n">
        <v>0</v>
      </c>
      <c r="L909" t="n">
        <v>0</v>
      </c>
      <c r="M909" t="n">
        <v>0</v>
      </c>
      <c r="N909" t="n">
        <v>0</v>
      </c>
      <c r="O909" t="n">
        <v>0</v>
      </c>
      <c r="P909" t="n">
        <v>0</v>
      </c>
      <c r="Q909" t="n">
        <v>0</v>
      </c>
      <c r="R909" s="2" t="inlineStr"/>
    </row>
    <row r="910" ht="15" customHeight="1">
      <c r="A910" t="inlineStr">
        <is>
          <t>A 2133-2023</t>
        </is>
      </c>
      <c r="B910" s="1" t="n">
        <v>44939</v>
      </c>
      <c r="C910" s="1" t="n">
        <v>45941</v>
      </c>
      <c r="D910" t="inlineStr">
        <is>
          <t>JÄMTLANDS LÄN</t>
        </is>
      </c>
      <c r="E910" t="inlineStr">
        <is>
          <t>RAGUNDA</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9548-2025</t>
        </is>
      </c>
      <c r="B911" s="1" t="n">
        <v>45715.59405092592</v>
      </c>
      <c r="C911" s="1" t="n">
        <v>45941</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49647-2024</t>
        </is>
      </c>
      <c r="B912" s="1" t="n">
        <v>45596.61533564814</v>
      </c>
      <c r="C912" s="1" t="n">
        <v>45941</v>
      </c>
      <c r="D912" t="inlineStr">
        <is>
          <t>JÄMTLANDS LÄN</t>
        </is>
      </c>
      <c r="E912" t="inlineStr">
        <is>
          <t>RAGUNDA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57237-2022</t>
        </is>
      </c>
      <c r="B913" s="1" t="n">
        <v>44889</v>
      </c>
      <c r="C913" s="1" t="n">
        <v>45941</v>
      </c>
      <c r="D913" t="inlineStr">
        <is>
          <t>JÄMTLANDS LÄN</t>
        </is>
      </c>
      <c r="E913" t="inlineStr">
        <is>
          <t>RAGUNDA</t>
        </is>
      </c>
      <c r="G913" t="n">
        <v>2.2</v>
      </c>
      <c r="H913" t="n">
        <v>0</v>
      </c>
      <c r="I913" t="n">
        <v>0</v>
      </c>
      <c r="J913" t="n">
        <v>0</v>
      </c>
      <c r="K913" t="n">
        <v>0</v>
      </c>
      <c r="L913" t="n">
        <v>0</v>
      </c>
      <c r="M913" t="n">
        <v>0</v>
      </c>
      <c r="N913" t="n">
        <v>0</v>
      </c>
      <c r="O913" t="n">
        <v>0</v>
      </c>
      <c r="P913" t="n">
        <v>0</v>
      </c>
      <c r="Q913" t="n">
        <v>0</v>
      </c>
      <c r="R913" s="2" t="inlineStr"/>
    </row>
    <row r="914" ht="15" customHeight="1">
      <c r="A914" t="inlineStr">
        <is>
          <t>A 6802-2021</t>
        </is>
      </c>
      <c r="B914" s="1" t="n">
        <v>44236</v>
      </c>
      <c r="C914" s="1" t="n">
        <v>45941</v>
      </c>
      <c r="D914" t="inlineStr">
        <is>
          <t>JÄMTLANDS LÄN</t>
        </is>
      </c>
      <c r="E914" t="inlineStr">
        <is>
          <t>RAGUNDA</t>
        </is>
      </c>
      <c r="G914" t="n">
        <v>11.2</v>
      </c>
      <c r="H914" t="n">
        <v>0</v>
      </c>
      <c r="I914" t="n">
        <v>0</v>
      </c>
      <c r="J914" t="n">
        <v>0</v>
      </c>
      <c r="K914" t="n">
        <v>0</v>
      </c>
      <c r="L914" t="n">
        <v>0</v>
      </c>
      <c r="M914" t="n">
        <v>0</v>
      </c>
      <c r="N914" t="n">
        <v>0</v>
      </c>
      <c r="O914" t="n">
        <v>0</v>
      </c>
      <c r="P914" t="n">
        <v>0</v>
      </c>
      <c r="Q914" t="n">
        <v>0</v>
      </c>
      <c r="R914" s="2" t="inlineStr"/>
    </row>
    <row r="915" ht="15" customHeight="1">
      <c r="A915" t="inlineStr">
        <is>
          <t>A 64415-2023</t>
        </is>
      </c>
      <c r="B915" s="1" t="n">
        <v>45280</v>
      </c>
      <c r="C915" s="1" t="n">
        <v>45941</v>
      </c>
      <c r="D915" t="inlineStr">
        <is>
          <t>JÄMTLANDS LÄN</t>
        </is>
      </c>
      <c r="E915" t="inlineStr">
        <is>
          <t>RAGUNDA</t>
        </is>
      </c>
      <c r="G915" t="n">
        <v>5.1</v>
      </c>
      <c r="H915" t="n">
        <v>0</v>
      </c>
      <c r="I915" t="n">
        <v>0</v>
      </c>
      <c r="J915" t="n">
        <v>0</v>
      </c>
      <c r="K915" t="n">
        <v>0</v>
      </c>
      <c r="L915" t="n">
        <v>0</v>
      </c>
      <c r="M915" t="n">
        <v>0</v>
      </c>
      <c r="N915" t="n">
        <v>0</v>
      </c>
      <c r="O915" t="n">
        <v>0</v>
      </c>
      <c r="P915" t="n">
        <v>0</v>
      </c>
      <c r="Q915" t="n">
        <v>0</v>
      </c>
      <c r="R915" s="2" t="inlineStr"/>
    </row>
    <row r="916" ht="15" customHeight="1">
      <c r="A916" t="inlineStr">
        <is>
          <t>A 13263-2025</t>
        </is>
      </c>
      <c r="B916" s="1" t="n">
        <v>45735.53177083333</v>
      </c>
      <c r="C916" s="1" t="n">
        <v>45941</v>
      </c>
      <c r="D916" t="inlineStr">
        <is>
          <t>JÄMTLANDS LÄN</t>
        </is>
      </c>
      <c r="E916" t="inlineStr">
        <is>
          <t>RAGUNDA</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13276-2025</t>
        </is>
      </c>
      <c r="B917" s="1" t="n">
        <v>45735.5517824074</v>
      </c>
      <c r="C917" s="1" t="n">
        <v>45941</v>
      </c>
      <c r="D917" t="inlineStr">
        <is>
          <t>JÄMTLANDS LÄN</t>
        </is>
      </c>
      <c r="E917" t="inlineStr">
        <is>
          <t>RAGUNDA</t>
        </is>
      </c>
      <c r="G917" t="n">
        <v>16.6</v>
      </c>
      <c r="H917" t="n">
        <v>0</v>
      </c>
      <c r="I917" t="n">
        <v>0</v>
      </c>
      <c r="J917" t="n">
        <v>0</v>
      </c>
      <c r="K917" t="n">
        <v>0</v>
      </c>
      <c r="L917" t="n">
        <v>0</v>
      </c>
      <c r="M917" t="n">
        <v>0</v>
      </c>
      <c r="N917" t="n">
        <v>0</v>
      </c>
      <c r="O917" t="n">
        <v>0</v>
      </c>
      <c r="P917" t="n">
        <v>0</v>
      </c>
      <c r="Q917" t="n">
        <v>0</v>
      </c>
      <c r="R917" s="2" t="inlineStr"/>
    </row>
    <row r="918" ht="15" customHeight="1">
      <c r="A918" t="inlineStr">
        <is>
          <t>A 38782-2021</t>
        </is>
      </c>
      <c r="B918" s="1" t="n">
        <v>44410</v>
      </c>
      <c r="C918" s="1" t="n">
        <v>45941</v>
      </c>
      <c r="D918" t="inlineStr">
        <is>
          <t>JÄMTLANDS LÄN</t>
        </is>
      </c>
      <c r="E918" t="inlineStr">
        <is>
          <t>RAGUNDA</t>
        </is>
      </c>
      <c r="G918" t="n">
        <v>3.2</v>
      </c>
      <c r="H918" t="n">
        <v>0</v>
      </c>
      <c r="I918" t="n">
        <v>0</v>
      </c>
      <c r="J918" t="n">
        <v>0</v>
      </c>
      <c r="K918" t="n">
        <v>0</v>
      </c>
      <c r="L918" t="n">
        <v>0</v>
      </c>
      <c r="M918" t="n">
        <v>0</v>
      </c>
      <c r="N918" t="n">
        <v>0</v>
      </c>
      <c r="O918" t="n">
        <v>0</v>
      </c>
      <c r="P918" t="n">
        <v>0</v>
      </c>
      <c r="Q918" t="n">
        <v>0</v>
      </c>
      <c r="R918" s="2" t="inlineStr"/>
    </row>
    <row r="919" ht="15" customHeight="1">
      <c r="A919" t="inlineStr">
        <is>
          <t>A 12405-2025</t>
        </is>
      </c>
      <c r="B919" s="1" t="n">
        <v>45730.42738425926</v>
      </c>
      <c r="C919" s="1" t="n">
        <v>45941</v>
      </c>
      <c r="D919" t="inlineStr">
        <is>
          <t>JÄMTLANDS LÄN</t>
        </is>
      </c>
      <c r="E919" t="inlineStr">
        <is>
          <t>RAGUNDA</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12808-2025</t>
        </is>
      </c>
      <c r="B920" s="1" t="n">
        <v>45733.61554398148</v>
      </c>
      <c r="C920" s="1" t="n">
        <v>45941</v>
      </c>
      <c r="D920" t="inlineStr">
        <is>
          <t>JÄMTLANDS LÄN</t>
        </is>
      </c>
      <c r="E920" t="inlineStr">
        <is>
          <t>RAGUNDA</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16250-2022</t>
        </is>
      </c>
      <c r="B921" s="1" t="n">
        <v>44670</v>
      </c>
      <c r="C921" s="1" t="n">
        <v>45941</v>
      </c>
      <c r="D921" t="inlineStr">
        <is>
          <t>JÄMTLANDS LÄN</t>
        </is>
      </c>
      <c r="E921" t="inlineStr">
        <is>
          <t>RAGUNDA</t>
        </is>
      </c>
      <c r="G921" t="n">
        <v>1</v>
      </c>
      <c r="H921" t="n">
        <v>0</v>
      </c>
      <c r="I921" t="n">
        <v>0</v>
      </c>
      <c r="J921" t="n">
        <v>0</v>
      </c>
      <c r="K921" t="n">
        <v>0</v>
      </c>
      <c r="L921" t="n">
        <v>0</v>
      </c>
      <c r="M921" t="n">
        <v>0</v>
      </c>
      <c r="N921" t="n">
        <v>0</v>
      </c>
      <c r="O921" t="n">
        <v>0</v>
      </c>
      <c r="P921" t="n">
        <v>0</v>
      </c>
      <c r="Q921" t="n">
        <v>0</v>
      </c>
      <c r="R921" s="2" t="inlineStr"/>
    </row>
    <row r="922" ht="15" customHeight="1">
      <c r="A922" t="inlineStr">
        <is>
          <t>A 46546-2023</t>
        </is>
      </c>
      <c r="B922" s="1" t="n">
        <v>45197.94152777778</v>
      </c>
      <c r="C922" s="1" t="n">
        <v>45941</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6716-2025</t>
        </is>
      </c>
      <c r="B923" s="1" t="n">
        <v>45700.57324074074</v>
      </c>
      <c r="C923" s="1" t="n">
        <v>45941</v>
      </c>
      <c r="D923" t="inlineStr">
        <is>
          <t>JÄMTLANDS LÄN</t>
        </is>
      </c>
      <c r="E923" t="inlineStr">
        <is>
          <t>RAGUNDA</t>
        </is>
      </c>
      <c r="F923" t="inlineStr">
        <is>
          <t>SCA</t>
        </is>
      </c>
      <c r="G923" t="n">
        <v>5.1</v>
      </c>
      <c r="H923" t="n">
        <v>0</v>
      </c>
      <c r="I923" t="n">
        <v>0</v>
      </c>
      <c r="J923" t="n">
        <v>0</v>
      </c>
      <c r="K923" t="n">
        <v>0</v>
      </c>
      <c r="L923" t="n">
        <v>0</v>
      </c>
      <c r="M923" t="n">
        <v>0</v>
      </c>
      <c r="N923" t="n">
        <v>0</v>
      </c>
      <c r="O923" t="n">
        <v>0</v>
      </c>
      <c r="P923" t="n">
        <v>0</v>
      </c>
      <c r="Q923" t="n">
        <v>0</v>
      </c>
      <c r="R923" s="2" t="inlineStr"/>
    </row>
    <row r="924" ht="15" customHeight="1">
      <c r="A924" t="inlineStr">
        <is>
          <t>A 13334-2024</t>
        </is>
      </c>
      <c r="B924" s="1" t="n">
        <v>45386</v>
      </c>
      <c r="C924" s="1" t="n">
        <v>45941</v>
      </c>
      <c r="D924" t="inlineStr">
        <is>
          <t>JÄMTLANDS LÄN</t>
        </is>
      </c>
      <c r="E924" t="inlineStr">
        <is>
          <t>RAGUNDA</t>
        </is>
      </c>
      <c r="G924" t="n">
        <v>8.6</v>
      </c>
      <c r="H924" t="n">
        <v>0</v>
      </c>
      <c r="I924" t="n">
        <v>0</v>
      </c>
      <c r="J924" t="n">
        <v>0</v>
      </c>
      <c r="K924" t="n">
        <v>0</v>
      </c>
      <c r="L924" t="n">
        <v>0</v>
      </c>
      <c r="M924" t="n">
        <v>0</v>
      </c>
      <c r="N924" t="n">
        <v>0</v>
      </c>
      <c r="O924" t="n">
        <v>0</v>
      </c>
      <c r="P924" t="n">
        <v>0</v>
      </c>
      <c r="Q924" t="n">
        <v>0</v>
      </c>
      <c r="R924" s="2" t="inlineStr"/>
    </row>
    <row r="925" ht="15" customHeight="1">
      <c r="A925" t="inlineStr">
        <is>
          <t>A 30823-2023</t>
        </is>
      </c>
      <c r="B925" s="1" t="n">
        <v>45112</v>
      </c>
      <c r="C925" s="1" t="n">
        <v>45941</v>
      </c>
      <c r="D925" t="inlineStr">
        <is>
          <t>JÄMTLANDS LÄN</t>
        </is>
      </c>
      <c r="E925" t="inlineStr">
        <is>
          <t>RAGUNDA</t>
        </is>
      </c>
      <c r="F925" t="inlineStr">
        <is>
          <t>SCA</t>
        </is>
      </c>
      <c r="G925" t="n">
        <v>9</v>
      </c>
      <c r="H925" t="n">
        <v>0</v>
      </c>
      <c r="I925" t="n">
        <v>0</v>
      </c>
      <c r="J925" t="n">
        <v>0</v>
      </c>
      <c r="K925" t="n">
        <v>0</v>
      </c>
      <c r="L925" t="n">
        <v>0</v>
      </c>
      <c r="M925" t="n">
        <v>0</v>
      </c>
      <c r="N925" t="n">
        <v>0</v>
      </c>
      <c r="O925" t="n">
        <v>0</v>
      </c>
      <c r="P925" t="n">
        <v>0</v>
      </c>
      <c r="Q925" t="n">
        <v>0</v>
      </c>
      <c r="R925" s="2" t="inlineStr"/>
    </row>
    <row r="926" ht="15" customHeight="1">
      <c r="A926" t="inlineStr">
        <is>
          <t>A 30484-2024</t>
        </is>
      </c>
      <c r="B926" s="1" t="n">
        <v>45491</v>
      </c>
      <c r="C926" s="1" t="n">
        <v>45941</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11288-2022</t>
        </is>
      </c>
      <c r="B927" s="1" t="n">
        <v>44629</v>
      </c>
      <c r="C927" s="1" t="n">
        <v>45941</v>
      </c>
      <c r="D927" t="inlineStr">
        <is>
          <t>JÄMTLANDS LÄN</t>
        </is>
      </c>
      <c r="E927" t="inlineStr">
        <is>
          <t>RAGUNDA</t>
        </is>
      </c>
      <c r="G927" t="n">
        <v>4.9</v>
      </c>
      <c r="H927" t="n">
        <v>0</v>
      </c>
      <c r="I927" t="n">
        <v>0</v>
      </c>
      <c r="J927" t="n">
        <v>0</v>
      </c>
      <c r="K927" t="n">
        <v>0</v>
      </c>
      <c r="L927" t="n">
        <v>0</v>
      </c>
      <c r="M927" t="n">
        <v>0</v>
      </c>
      <c r="N927" t="n">
        <v>0</v>
      </c>
      <c r="O927" t="n">
        <v>0</v>
      </c>
      <c r="P927" t="n">
        <v>0</v>
      </c>
      <c r="Q927" t="n">
        <v>0</v>
      </c>
      <c r="R927" s="2" t="inlineStr"/>
    </row>
    <row r="928" ht="15" customHeight="1">
      <c r="A928" t="inlineStr">
        <is>
          <t>A 55669-2023</t>
        </is>
      </c>
      <c r="B928" s="1" t="n">
        <v>45238.96797453704</v>
      </c>
      <c r="C928" s="1" t="n">
        <v>45941</v>
      </c>
      <c r="D928" t="inlineStr">
        <is>
          <t>JÄMTLANDS LÄN</t>
        </is>
      </c>
      <c r="E928" t="inlineStr">
        <is>
          <t>RAGUNDA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19865-2023</t>
        </is>
      </c>
      <c r="B929" s="1" t="n">
        <v>45053.94305555556</v>
      </c>
      <c r="C929" s="1" t="n">
        <v>45941</v>
      </c>
      <c r="D929" t="inlineStr">
        <is>
          <t>JÄMTLANDS LÄN</t>
        </is>
      </c>
      <c r="E929" t="inlineStr">
        <is>
          <t>RAGUNDA</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1554-2024</t>
        </is>
      </c>
      <c r="B930" s="1" t="n">
        <v>45306</v>
      </c>
      <c r="C930" s="1" t="n">
        <v>45941</v>
      </c>
      <c r="D930" t="inlineStr">
        <is>
          <t>JÄMTLANDS LÄN</t>
        </is>
      </c>
      <c r="E930" t="inlineStr">
        <is>
          <t>RAGUNDA</t>
        </is>
      </c>
      <c r="G930" t="n">
        <v>4.3</v>
      </c>
      <c r="H930" t="n">
        <v>0</v>
      </c>
      <c r="I930" t="n">
        <v>0</v>
      </c>
      <c r="J930" t="n">
        <v>0</v>
      </c>
      <c r="K930" t="n">
        <v>0</v>
      </c>
      <c r="L930" t="n">
        <v>0</v>
      </c>
      <c r="M930" t="n">
        <v>0</v>
      </c>
      <c r="N930" t="n">
        <v>0</v>
      </c>
      <c r="O930" t="n">
        <v>0</v>
      </c>
      <c r="P930" t="n">
        <v>0</v>
      </c>
      <c r="Q930" t="n">
        <v>0</v>
      </c>
      <c r="R930" s="2" t="inlineStr"/>
    </row>
    <row r="931" ht="15" customHeight="1">
      <c r="A931" t="inlineStr">
        <is>
          <t>A 51389-2024</t>
        </is>
      </c>
      <c r="B931" s="1" t="n">
        <v>45604.40540509259</v>
      </c>
      <c r="C931" s="1" t="n">
        <v>45941</v>
      </c>
      <c r="D931" t="inlineStr">
        <is>
          <t>JÄMTLANDS LÄN</t>
        </is>
      </c>
      <c r="E931" t="inlineStr">
        <is>
          <t>RAGUNDA</t>
        </is>
      </c>
      <c r="G931" t="n">
        <v>1.7</v>
      </c>
      <c r="H931" t="n">
        <v>0</v>
      </c>
      <c r="I931" t="n">
        <v>0</v>
      </c>
      <c r="J931" t="n">
        <v>0</v>
      </c>
      <c r="K931" t="n">
        <v>0</v>
      </c>
      <c r="L931" t="n">
        <v>0</v>
      </c>
      <c r="M931" t="n">
        <v>0</v>
      </c>
      <c r="N931" t="n">
        <v>0</v>
      </c>
      <c r="O931" t="n">
        <v>0</v>
      </c>
      <c r="P931" t="n">
        <v>0</v>
      </c>
      <c r="Q931" t="n">
        <v>0</v>
      </c>
      <c r="R931" s="2" t="inlineStr"/>
    </row>
    <row r="932" ht="15" customHeight="1">
      <c r="A932" t="inlineStr">
        <is>
          <t>A 51393-2024</t>
        </is>
      </c>
      <c r="B932" s="1" t="n">
        <v>45604.41625</v>
      </c>
      <c r="C932" s="1" t="n">
        <v>45941</v>
      </c>
      <c r="D932" t="inlineStr">
        <is>
          <t>JÄMTLANDS LÄN</t>
        </is>
      </c>
      <c r="E932" t="inlineStr">
        <is>
          <t>RAGUNDA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43339-2024</t>
        </is>
      </c>
      <c r="B933" s="1" t="n">
        <v>45568.51075231482</v>
      </c>
      <c r="C933" s="1" t="n">
        <v>45941</v>
      </c>
      <c r="D933" t="inlineStr">
        <is>
          <t>JÄMTLANDS LÄN</t>
        </is>
      </c>
      <c r="E933" t="inlineStr">
        <is>
          <t>RAGUNDA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38548-2024</t>
        </is>
      </c>
      <c r="B934" s="1" t="n">
        <v>45546</v>
      </c>
      <c r="C934" s="1" t="n">
        <v>45941</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25304-2023</t>
        </is>
      </c>
      <c r="B935" s="1" t="n">
        <v>45086</v>
      </c>
      <c r="C935" s="1" t="n">
        <v>45941</v>
      </c>
      <c r="D935" t="inlineStr">
        <is>
          <t>JÄMTLANDS LÄN</t>
        </is>
      </c>
      <c r="E935" t="inlineStr">
        <is>
          <t>RAGUNDA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22011-2023</t>
        </is>
      </c>
      <c r="B936" s="1" t="n">
        <v>45068</v>
      </c>
      <c r="C936" s="1" t="n">
        <v>45941</v>
      </c>
      <c r="D936" t="inlineStr">
        <is>
          <t>JÄMTLANDS LÄN</t>
        </is>
      </c>
      <c r="E936" t="inlineStr">
        <is>
          <t>RAGUNDA</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26026-2024</t>
        </is>
      </c>
      <c r="B937" s="1" t="n">
        <v>45467.96207175926</v>
      </c>
      <c r="C937" s="1" t="n">
        <v>45941</v>
      </c>
      <c r="D937" t="inlineStr">
        <is>
          <t>JÄMTLANDS LÄN</t>
        </is>
      </c>
      <c r="E937" t="inlineStr">
        <is>
          <t>RAGUNDA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13389-2025</t>
        </is>
      </c>
      <c r="B938" s="1" t="n">
        <v>45735.69842592593</v>
      </c>
      <c r="C938" s="1" t="n">
        <v>45941</v>
      </c>
      <c r="D938" t="inlineStr">
        <is>
          <t>JÄMTLANDS LÄN</t>
        </is>
      </c>
      <c r="E938" t="inlineStr">
        <is>
          <t>RAGUNDA</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5971-2025</t>
        </is>
      </c>
      <c r="B939" s="1" t="n">
        <v>45695.51070601852</v>
      </c>
      <c r="C939" s="1" t="n">
        <v>45941</v>
      </c>
      <c r="D939" t="inlineStr">
        <is>
          <t>JÄMTLANDS LÄN</t>
        </is>
      </c>
      <c r="E939" t="inlineStr">
        <is>
          <t>RAGUNDA</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2831-2024</t>
        </is>
      </c>
      <c r="B940" s="1" t="n">
        <v>45314.92758101852</v>
      </c>
      <c r="C940" s="1" t="n">
        <v>45941</v>
      </c>
      <c r="D940" t="inlineStr">
        <is>
          <t>JÄMTLANDS LÄN</t>
        </is>
      </c>
      <c r="E940" t="inlineStr">
        <is>
          <t>RAGUNDA</t>
        </is>
      </c>
      <c r="G940" t="n">
        <v>0.6</v>
      </c>
      <c r="H940" t="n">
        <v>0</v>
      </c>
      <c r="I940" t="n">
        <v>0</v>
      </c>
      <c r="J940" t="n">
        <v>0</v>
      </c>
      <c r="K940" t="n">
        <v>0</v>
      </c>
      <c r="L940" t="n">
        <v>0</v>
      </c>
      <c r="M940" t="n">
        <v>0</v>
      </c>
      <c r="N940" t="n">
        <v>0</v>
      </c>
      <c r="O940" t="n">
        <v>0</v>
      </c>
      <c r="P940" t="n">
        <v>0</v>
      </c>
      <c r="Q940" t="n">
        <v>0</v>
      </c>
      <c r="R940" s="2" t="inlineStr"/>
    </row>
    <row r="941" ht="15" customHeight="1">
      <c r="A941" t="inlineStr">
        <is>
          <t>A 51537-2022</t>
        </is>
      </c>
      <c r="B941" s="1" t="n">
        <v>44869</v>
      </c>
      <c r="C941" s="1" t="n">
        <v>45941</v>
      </c>
      <c r="D941" t="inlineStr">
        <is>
          <t>JÄMTLANDS LÄN</t>
        </is>
      </c>
      <c r="E941" t="inlineStr">
        <is>
          <t>RAGUNDA</t>
        </is>
      </c>
      <c r="G941" t="n">
        <v>1.8</v>
      </c>
      <c r="H941" t="n">
        <v>0</v>
      </c>
      <c r="I941" t="n">
        <v>0</v>
      </c>
      <c r="J941" t="n">
        <v>0</v>
      </c>
      <c r="K941" t="n">
        <v>0</v>
      </c>
      <c r="L941" t="n">
        <v>0</v>
      </c>
      <c r="M941" t="n">
        <v>0</v>
      </c>
      <c r="N941" t="n">
        <v>0</v>
      </c>
      <c r="O941" t="n">
        <v>0</v>
      </c>
      <c r="P941" t="n">
        <v>0</v>
      </c>
      <c r="Q941" t="n">
        <v>0</v>
      </c>
      <c r="R941" s="2" t="inlineStr"/>
    </row>
    <row r="942" ht="15" customHeight="1">
      <c r="A942" t="inlineStr">
        <is>
          <t>A 13264-2025</t>
        </is>
      </c>
      <c r="B942" s="1" t="n">
        <v>45735</v>
      </c>
      <c r="C942" s="1" t="n">
        <v>45941</v>
      </c>
      <c r="D942" t="inlineStr">
        <is>
          <t>JÄMTLANDS LÄN</t>
        </is>
      </c>
      <c r="E942" t="inlineStr">
        <is>
          <t>RAGUNDA</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12995-2023</t>
        </is>
      </c>
      <c r="B943" s="1" t="n">
        <v>45002.0328125</v>
      </c>
      <c r="C943" s="1" t="n">
        <v>45941</v>
      </c>
      <c r="D943" t="inlineStr">
        <is>
          <t>JÄMTLANDS LÄN</t>
        </is>
      </c>
      <c r="E943" t="inlineStr">
        <is>
          <t>RAGUNDA</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37268-2024</t>
        </is>
      </c>
      <c r="B944" s="1" t="n">
        <v>45540.38586805556</v>
      </c>
      <c r="C944" s="1" t="n">
        <v>45941</v>
      </c>
      <c r="D944" t="inlineStr">
        <is>
          <t>JÄMTLANDS LÄN</t>
        </is>
      </c>
      <c r="E944" t="inlineStr">
        <is>
          <t>RAGUNDA</t>
        </is>
      </c>
      <c r="F944" t="inlineStr">
        <is>
          <t>SCA</t>
        </is>
      </c>
      <c r="G944" t="n">
        <v>6.3</v>
      </c>
      <c r="H944" t="n">
        <v>0</v>
      </c>
      <c r="I944" t="n">
        <v>0</v>
      </c>
      <c r="J944" t="n">
        <v>0</v>
      </c>
      <c r="K944" t="n">
        <v>0</v>
      </c>
      <c r="L944" t="n">
        <v>0</v>
      </c>
      <c r="M944" t="n">
        <v>0</v>
      </c>
      <c r="N944" t="n">
        <v>0</v>
      </c>
      <c r="O944" t="n">
        <v>0</v>
      </c>
      <c r="P944" t="n">
        <v>0</v>
      </c>
      <c r="Q944" t="n">
        <v>0</v>
      </c>
      <c r="R944" s="2" t="inlineStr"/>
    </row>
    <row r="945" ht="15" customHeight="1">
      <c r="A945" t="inlineStr">
        <is>
          <t>A 41179-2022</t>
        </is>
      </c>
      <c r="B945" s="1" t="n">
        <v>44825</v>
      </c>
      <c r="C945" s="1" t="n">
        <v>45941</v>
      </c>
      <c r="D945" t="inlineStr">
        <is>
          <t>JÄMTLANDS LÄN</t>
        </is>
      </c>
      <c r="E945" t="inlineStr">
        <is>
          <t>RAGUNDA</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17598-2021</t>
        </is>
      </c>
      <c r="B946" s="1" t="n">
        <v>44299</v>
      </c>
      <c r="C946" s="1" t="n">
        <v>45941</v>
      </c>
      <c r="D946" t="inlineStr">
        <is>
          <t>JÄMTLANDS LÄN</t>
        </is>
      </c>
      <c r="E946" t="inlineStr">
        <is>
          <t>RAGUNDA</t>
        </is>
      </c>
      <c r="G946" t="n">
        <v>4.6</v>
      </c>
      <c r="H946" t="n">
        <v>0</v>
      </c>
      <c r="I946" t="n">
        <v>0</v>
      </c>
      <c r="J946" t="n">
        <v>0</v>
      </c>
      <c r="K946" t="n">
        <v>0</v>
      </c>
      <c r="L946" t="n">
        <v>0</v>
      </c>
      <c r="M946" t="n">
        <v>0</v>
      </c>
      <c r="N946" t="n">
        <v>0</v>
      </c>
      <c r="O946" t="n">
        <v>0</v>
      </c>
      <c r="P946" t="n">
        <v>0</v>
      </c>
      <c r="Q946" t="n">
        <v>0</v>
      </c>
      <c r="R946" s="2" t="inlineStr"/>
    </row>
    <row r="947" ht="15" customHeight="1">
      <c r="A947" t="inlineStr">
        <is>
          <t>A 62541-2022</t>
        </is>
      </c>
      <c r="B947" s="1" t="n">
        <v>44917</v>
      </c>
      <c r="C947" s="1" t="n">
        <v>45941</v>
      </c>
      <c r="D947" t="inlineStr">
        <is>
          <t>JÄMTLANDS LÄN</t>
        </is>
      </c>
      <c r="E947" t="inlineStr">
        <is>
          <t>RAGUNDA</t>
        </is>
      </c>
      <c r="G947" t="n">
        <v>2.6</v>
      </c>
      <c r="H947" t="n">
        <v>0</v>
      </c>
      <c r="I947" t="n">
        <v>0</v>
      </c>
      <c r="J947" t="n">
        <v>0</v>
      </c>
      <c r="K947" t="n">
        <v>0</v>
      </c>
      <c r="L947" t="n">
        <v>0</v>
      </c>
      <c r="M947" t="n">
        <v>0</v>
      </c>
      <c r="N947" t="n">
        <v>0</v>
      </c>
      <c r="O947" t="n">
        <v>0</v>
      </c>
      <c r="P947" t="n">
        <v>0</v>
      </c>
      <c r="Q947" t="n">
        <v>0</v>
      </c>
      <c r="R947" s="2" t="inlineStr"/>
    </row>
    <row r="948" ht="15" customHeight="1">
      <c r="A948" t="inlineStr">
        <is>
          <t>A 8800-2025</t>
        </is>
      </c>
      <c r="B948" s="1" t="n">
        <v>45712.65671296296</v>
      </c>
      <c r="C948" s="1" t="n">
        <v>45941</v>
      </c>
      <c r="D948" t="inlineStr">
        <is>
          <t>JÄMTLANDS LÄN</t>
        </is>
      </c>
      <c r="E948" t="inlineStr">
        <is>
          <t>RAGUNDA</t>
        </is>
      </c>
      <c r="G948" t="n">
        <v>2.6</v>
      </c>
      <c r="H948" t="n">
        <v>0</v>
      </c>
      <c r="I948" t="n">
        <v>0</v>
      </c>
      <c r="J948" t="n">
        <v>0</v>
      </c>
      <c r="K948" t="n">
        <v>0</v>
      </c>
      <c r="L948" t="n">
        <v>0</v>
      </c>
      <c r="M948" t="n">
        <v>0</v>
      </c>
      <c r="N948" t="n">
        <v>0</v>
      </c>
      <c r="O948" t="n">
        <v>0</v>
      </c>
      <c r="P948" t="n">
        <v>0</v>
      </c>
      <c r="Q948" t="n">
        <v>0</v>
      </c>
      <c r="R948" s="2" t="inlineStr"/>
    </row>
    <row r="949" ht="15" customHeight="1">
      <c r="A949" t="inlineStr">
        <is>
          <t>A 61400-2022</t>
        </is>
      </c>
      <c r="B949" s="1" t="n">
        <v>44915</v>
      </c>
      <c r="C949" s="1" t="n">
        <v>45941</v>
      </c>
      <c r="D949" t="inlineStr">
        <is>
          <t>JÄMTLANDS LÄN</t>
        </is>
      </c>
      <c r="E949" t="inlineStr">
        <is>
          <t>RAGUNDA</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24861-2023</t>
        </is>
      </c>
      <c r="B950" s="1" t="n">
        <v>45078</v>
      </c>
      <c r="C950" s="1" t="n">
        <v>45941</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56284-2023</t>
        </is>
      </c>
      <c r="B951" s="1" t="n">
        <v>45241.95724537037</v>
      </c>
      <c r="C951" s="1" t="n">
        <v>45941</v>
      </c>
      <c r="D951" t="inlineStr">
        <is>
          <t>JÄMTLANDS LÄN</t>
        </is>
      </c>
      <c r="E951" t="inlineStr">
        <is>
          <t>RAGUNDA</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18610-2024</t>
        </is>
      </c>
      <c r="B952" s="1" t="n">
        <v>45425.96230324074</v>
      </c>
      <c r="C952" s="1" t="n">
        <v>45941</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38270-2021</t>
        </is>
      </c>
      <c r="B953" s="1" t="n">
        <v>44405.92065972222</v>
      </c>
      <c r="C953" s="1" t="n">
        <v>45941</v>
      </c>
      <c r="D953" t="inlineStr">
        <is>
          <t>JÄMTLANDS LÄN</t>
        </is>
      </c>
      <c r="E953" t="inlineStr">
        <is>
          <t>RAGUNDA</t>
        </is>
      </c>
      <c r="G953" t="n">
        <v>1.3</v>
      </c>
      <c r="H953" t="n">
        <v>0</v>
      </c>
      <c r="I953" t="n">
        <v>0</v>
      </c>
      <c r="J953" t="n">
        <v>0</v>
      </c>
      <c r="K953" t="n">
        <v>0</v>
      </c>
      <c r="L953" t="n">
        <v>0</v>
      </c>
      <c r="M953" t="n">
        <v>0</v>
      </c>
      <c r="N953" t="n">
        <v>0</v>
      </c>
      <c r="O953" t="n">
        <v>0</v>
      </c>
      <c r="P953" t="n">
        <v>0</v>
      </c>
      <c r="Q953" t="n">
        <v>0</v>
      </c>
      <c r="R953" s="2" t="inlineStr"/>
    </row>
    <row r="954" ht="15" customHeight="1">
      <c r="A954" t="inlineStr">
        <is>
          <t>A 4866-2025</t>
        </is>
      </c>
      <c r="B954" s="1" t="n">
        <v>45688.67542824074</v>
      </c>
      <c r="C954" s="1" t="n">
        <v>45941</v>
      </c>
      <c r="D954" t="inlineStr">
        <is>
          <t>JÄMTLANDS LÄN</t>
        </is>
      </c>
      <c r="E954" t="inlineStr">
        <is>
          <t>RAGUNDA</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30563-2023</t>
        </is>
      </c>
      <c r="B955" s="1" t="n">
        <v>45111.92793981481</v>
      </c>
      <c r="C955" s="1" t="n">
        <v>45941</v>
      </c>
      <c r="D955" t="inlineStr">
        <is>
          <t>JÄMTLANDS LÄN</t>
        </is>
      </c>
      <c r="E955" t="inlineStr">
        <is>
          <t>RAGUNDA</t>
        </is>
      </c>
      <c r="F955" t="inlineStr">
        <is>
          <t>Övriga Aktiebolag</t>
        </is>
      </c>
      <c r="G955" t="n">
        <v>2.3</v>
      </c>
      <c r="H955" t="n">
        <v>0</v>
      </c>
      <c r="I955" t="n">
        <v>0</v>
      </c>
      <c r="J955" t="n">
        <v>0</v>
      </c>
      <c r="K955" t="n">
        <v>0</v>
      </c>
      <c r="L955" t="n">
        <v>0</v>
      </c>
      <c r="M955" t="n">
        <v>0</v>
      </c>
      <c r="N955" t="n">
        <v>0</v>
      </c>
      <c r="O955" t="n">
        <v>0</v>
      </c>
      <c r="P955" t="n">
        <v>0</v>
      </c>
      <c r="Q955" t="n">
        <v>0</v>
      </c>
      <c r="R955" s="2" t="inlineStr"/>
    </row>
    <row r="956" ht="15" customHeight="1">
      <c r="A956" t="inlineStr">
        <is>
          <t>A 179-2025</t>
        </is>
      </c>
      <c r="B956" s="1" t="n">
        <v>45659.69822916666</v>
      </c>
      <c r="C956" s="1" t="n">
        <v>45941</v>
      </c>
      <c r="D956" t="inlineStr">
        <is>
          <t>JÄMTLANDS LÄN</t>
        </is>
      </c>
      <c r="E956" t="inlineStr">
        <is>
          <t>RAGUNDA</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8886-2024</t>
        </is>
      </c>
      <c r="B957" s="1" t="n">
        <v>45357.05300925926</v>
      </c>
      <c r="C957" s="1" t="n">
        <v>45941</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20088-2023</t>
        </is>
      </c>
      <c r="B958" s="1" t="n">
        <v>45054</v>
      </c>
      <c r="C958" s="1" t="n">
        <v>45941</v>
      </c>
      <c r="D958" t="inlineStr">
        <is>
          <t>JÄMTLANDS LÄN</t>
        </is>
      </c>
      <c r="E958" t="inlineStr">
        <is>
          <t>RAGUNDA</t>
        </is>
      </c>
      <c r="F958" t="inlineStr">
        <is>
          <t>SCA</t>
        </is>
      </c>
      <c r="G958" t="n">
        <v>23.4</v>
      </c>
      <c r="H958" t="n">
        <v>0</v>
      </c>
      <c r="I958" t="n">
        <v>0</v>
      </c>
      <c r="J958" t="n">
        <v>0</v>
      </c>
      <c r="K958" t="n">
        <v>0</v>
      </c>
      <c r="L958" t="n">
        <v>0</v>
      </c>
      <c r="M958" t="n">
        <v>0</v>
      </c>
      <c r="N958" t="n">
        <v>0</v>
      </c>
      <c r="O958" t="n">
        <v>0</v>
      </c>
      <c r="P958" t="n">
        <v>0</v>
      </c>
      <c r="Q958" t="n">
        <v>0</v>
      </c>
      <c r="R958" s="2" t="inlineStr"/>
    </row>
    <row r="959" ht="15" customHeight="1">
      <c r="A959" t="inlineStr">
        <is>
          <t>A 18615-2024</t>
        </is>
      </c>
      <c r="B959" s="1" t="n">
        <v>45425.96275462963</v>
      </c>
      <c r="C959" s="1" t="n">
        <v>45941</v>
      </c>
      <c r="D959" t="inlineStr">
        <is>
          <t>JÄMTLANDS LÄN</t>
        </is>
      </c>
      <c r="E959" t="inlineStr">
        <is>
          <t>RAGUNDA</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59136-2023</t>
        </is>
      </c>
      <c r="B960" s="1" t="n">
        <v>45251</v>
      </c>
      <c r="C960" s="1" t="n">
        <v>45941</v>
      </c>
      <c r="D960" t="inlineStr">
        <is>
          <t>JÄMTLANDS LÄN</t>
        </is>
      </c>
      <c r="E960" t="inlineStr">
        <is>
          <t>RAGUNDA</t>
        </is>
      </c>
      <c r="G960" t="n">
        <v>1.7</v>
      </c>
      <c r="H960" t="n">
        <v>0</v>
      </c>
      <c r="I960" t="n">
        <v>0</v>
      </c>
      <c r="J960" t="n">
        <v>0</v>
      </c>
      <c r="K960" t="n">
        <v>0</v>
      </c>
      <c r="L960" t="n">
        <v>0</v>
      </c>
      <c r="M960" t="n">
        <v>0</v>
      </c>
      <c r="N960" t="n">
        <v>0</v>
      </c>
      <c r="O960" t="n">
        <v>0</v>
      </c>
      <c r="P960" t="n">
        <v>0</v>
      </c>
      <c r="Q960" t="n">
        <v>0</v>
      </c>
      <c r="R960" s="2" t="inlineStr"/>
    </row>
    <row r="961" ht="15" customHeight="1">
      <c r="A961" t="inlineStr">
        <is>
          <t>A 35274-2023</t>
        </is>
      </c>
      <c r="B961" s="1" t="n">
        <v>45145</v>
      </c>
      <c r="C961" s="1" t="n">
        <v>45941</v>
      </c>
      <c r="D961" t="inlineStr">
        <is>
          <t>JÄMTLANDS LÄN</t>
        </is>
      </c>
      <c r="E961" t="inlineStr">
        <is>
          <t>RAGUNDA</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64264-2023</t>
        </is>
      </c>
      <c r="B962" s="1" t="n">
        <v>45279.94564814815</v>
      </c>
      <c r="C962" s="1" t="n">
        <v>45941</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26347-2023</t>
        </is>
      </c>
      <c r="B963" s="1" t="n">
        <v>45091</v>
      </c>
      <c r="C963" s="1" t="n">
        <v>45941</v>
      </c>
      <c r="D963" t="inlineStr">
        <is>
          <t>JÄMTLANDS LÄN</t>
        </is>
      </c>
      <c r="E963" t="inlineStr">
        <is>
          <t>RAGUNDA</t>
        </is>
      </c>
      <c r="F963" t="inlineStr">
        <is>
          <t>SCA</t>
        </is>
      </c>
      <c r="G963" t="n">
        <v>6.6</v>
      </c>
      <c r="H963" t="n">
        <v>0</v>
      </c>
      <c r="I963" t="n">
        <v>0</v>
      </c>
      <c r="J963" t="n">
        <v>0</v>
      </c>
      <c r="K963" t="n">
        <v>0</v>
      </c>
      <c r="L963" t="n">
        <v>0</v>
      </c>
      <c r="M963" t="n">
        <v>0</v>
      </c>
      <c r="N963" t="n">
        <v>0</v>
      </c>
      <c r="O963" t="n">
        <v>0</v>
      </c>
      <c r="P963" t="n">
        <v>0</v>
      </c>
      <c r="Q963" t="n">
        <v>0</v>
      </c>
      <c r="R963" s="2" t="inlineStr"/>
    </row>
    <row r="964" ht="15" customHeight="1">
      <c r="A964" t="inlineStr">
        <is>
          <t>A 51538-2022</t>
        </is>
      </c>
      <c r="B964" s="1" t="n">
        <v>44869</v>
      </c>
      <c r="C964" s="1" t="n">
        <v>45941</v>
      </c>
      <c r="D964" t="inlineStr">
        <is>
          <t>JÄMTLANDS LÄN</t>
        </is>
      </c>
      <c r="E964" t="inlineStr">
        <is>
          <t>RAGUNDA</t>
        </is>
      </c>
      <c r="G964" t="n">
        <v>6.8</v>
      </c>
      <c r="H964" t="n">
        <v>0</v>
      </c>
      <c r="I964" t="n">
        <v>0</v>
      </c>
      <c r="J964" t="n">
        <v>0</v>
      </c>
      <c r="K964" t="n">
        <v>0</v>
      </c>
      <c r="L964" t="n">
        <v>0</v>
      </c>
      <c r="M964" t="n">
        <v>0</v>
      </c>
      <c r="N964" t="n">
        <v>0</v>
      </c>
      <c r="O964" t="n">
        <v>0</v>
      </c>
      <c r="P964" t="n">
        <v>0</v>
      </c>
      <c r="Q964" t="n">
        <v>0</v>
      </c>
      <c r="R964" s="2" t="inlineStr"/>
    </row>
    <row r="965" ht="15" customHeight="1">
      <c r="A965" t="inlineStr">
        <is>
          <t>A 59492-2024</t>
        </is>
      </c>
      <c r="B965" s="1" t="n">
        <v>45638</v>
      </c>
      <c r="C965" s="1" t="n">
        <v>45941</v>
      </c>
      <c r="D965" t="inlineStr">
        <is>
          <t>JÄMTLANDS LÄN</t>
        </is>
      </c>
      <c r="E965" t="inlineStr">
        <is>
          <t>RAGUNDA</t>
        </is>
      </c>
      <c r="G965" t="n">
        <v>1.2</v>
      </c>
      <c r="H965" t="n">
        <v>0</v>
      </c>
      <c r="I965" t="n">
        <v>0</v>
      </c>
      <c r="J965" t="n">
        <v>0</v>
      </c>
      <c r="K965" t="n">
        <v>0</v>
      </c>
      <c r="L965" t="n">
        <v>0</v>
      </c>
      <c r="M965" t="n">
        <v>0</v>
      </c>
      <c r="N965" t="n">
        <v>0</v>
      </c>
      <c r="O965" t="n">
        <v>0</v>
      </c>
      <c r="P965" t="n">
        <v>0</v>
      </c>
      <c r="Q965" t="n">
        <v>0</v>
      </c>
      <c r="R965" s="2" t="inlineStr"/>
    </row>
    <row r="966" ht="15" customHeight="1">
      <c r="A966" t="inlineStr">
        <is>
          <t>A 61109-2024</t>
        </is>
      </c>
      <c r="B966" s="1" t="n">
        <v>45645.55672453704</v>
      </c>
      <c r="C966" s="1" t="n">
        <v>45941</v>
      </c>
      <c r="D966" t="inlineStr">
        <is>
          <t>JÄMTLANDS LÄN</t>
        </is>
      </c>
      <c r="E966" t="inlineStr">
        <is>
          <t>RAGUNDA</t>
        </is>
      </c>
      <c r="G966" t="n">
        <v>4</v>
      </c>
      <c r="H966" t="n">
        <v>0</v>
      </c>
      <c r="I966" t="n">
        <v>0</v>
      </c>
      <c r="J966" t="n">
        <v>0</v>
      </c>
      <c r="K966" t="n">
        <v>0</v>
      </c>
      <c r="L966" t="n">
        <v>0</v>
      </c>
      <c r="M966" t="n">
        <v>0</v>
      </c>
      <c r="N966" t="n">
        <v>0</v>
      </c>
      <c r="O966" t="n">
        <v>0</v>
      </c>
      <c r="P966" t="n">
        <v>0</v>
      </c>
      <c r="Q966" t="n">
        <v>0</v>
      </c>
      <c r="R966" s="2" t="inlineStr"/>
    </row>
    <row r="967" ht="15" customHeight="1">
      <c r="A967" t="inlineStr">
        <is>
          <t>A 23303-2024</t>
        </is>
      </c>
      <c r="B967" s="1" t="n">
        <v>45453.4444212963</v>
      </c>
      <c r="C967" s="1" t="n">
        <v>45941</v>
      </c>
      <c r="D967" t="inlineStr">
        <is>
          <t>JÄMTLANDS LÄN</t>
        </is>
      </c>
      <c r="E967" t="inlineStr">
        <is>
          <t>RAGUNDA</t>
        </is>
      </c>
      <c r="G967" t="n">
        <v>0.7</v>
      </c>
      <c r="H967" t="n">
        <v>0</v>
      </c>
      <c r="I967" t="n">
        <v>0</v>
      </c>
      <c r="J967" t="n">
        <v>0</v>
      </c>
      <c r="K967" t="n">
        <v>0</v>
      </c>
      <c r="L967" t="n">
        <v>0</v>
      </c>
      <c r="M967" t="n">
        <v>0</v>
      </c>
      <c r="N967" t="n">
        <v>0</v>
      </c>
      <c r="O967" t="n">
        <v>0</v>
      </c>
      <c r="P967" t="n">
        <v>0</v>
      </c>
      <c r="Q967" t="n">
        <v>0</v>
      </c>
      <c r="R967" s="2" t="inlineStr"/>
    </row>
    <row r="968" ht="15" customHeight="1">
      <c r="A968" t="inlineStr">
        <is>
          <t>A 465-2023</t>
        </is>
      </c>
      <c r="B968" s="1" t="n">
        <v>44929</v>
      </c>
      <c r="C968" s="1" t="n">
        <v>45941</v>
      </c>
      <c r="D968" t="inlineStr">
        <is>
          <t>JÄMTLANDS LÄN</t>
        </is>
      </c>
      <c r="E968" t="inlineStr">
        <is>
          <t>RAGUNDA</t>
        </is>
      </c>
      <c r="G968" t="n">
        <v>0.8</v>
      </c>
      <c r="H968" t="n">
        <v>0</v>
      </c>
      <c r="I968" t="n">
        <v>0</v>
      </c>
      <c r="J968" t="n">
        <v>0</v>
      </c>
      <c r="K968" t="n">
        <v>0</v>
      </c>
      <c r="L968" t="n">
        <v>0</v>
      </c>
      <c r="M968" t="n">
        <v>0</v>
      </c>
      <c r="N968" t="n">
        <v>0</v>
      </c>
      <c r="O968" t="n">
        <v>0</v>
      </c>
      <c r="P968" t="n">
        <v>0</v>
      </c>
      <c r="Q968" t="n">
        <v>0</v>
      </c>
      <c r="R968" s="2" t="inlineStr"/>
    </row>
    <row r="969" ht="15" customHeight="1">
      <c r="A969" t="inlineStr">
        <is>
          <t>A 27373-2023</t>
        </is>
      </c>
      <c r="B969" s="1" t="n">
        <v>45096.93866898148</v>
      </c>
      <c r="C969" s="1" t="n">
        <v>45941</v>
      </c>
      <c r="D969" t="inlineStr">
        <is>
          <t>JÄMTLANDS LÄN</t>
        </is>
      </c>
      <c r="E969" t="inlineStr">
        <is>
          <t>RAGUNDA</t>
        </is>
      </c>
      <c r="F969" t="inlineStr">
        <is>
          <t>SCA</t>
        </is>
      </c>
      <c r="G969" t="n">
        <v>6.9</v>
      </c>
      <c r="H969" t="n">
        <v>0</v>
      </c>
      <c r="I969" t="n">
        <v>0</v>
      </c>
      <c r="J969" t="n">
        <v>0</v>
      </c>
      <c r="K969" t="n">
        <v>0</v>
      </c>
      <c r="L969" t="n">
        <v>0</v>
      </c>
      <c r="M969" t="n">
        <v>0</v>
      </c>
      <c r="N969" t="n">
        <v>0</v>
      </c>
      <c r="O969" t="n">
        <v>0</v>
      </c>
      <c r="P969" t="n">
        <v>0</v>
      </c>
      <c r="Q969" t="n">
        <v>0</v>
      </c>
      <c r="R969" s="2" t="inlineStr"/>
    </row>
    <row r="970" ht="15" customHeight="1">
      <c r="A970" t="inlineStr">
        <is>
          <t>A 32832-2021</t>
        </is>
      </c>
      <c r="B970" s="1" t="n">
        <v>44375</v>
      </c>
      <c r="C970" s="1" t="n">
        <v>45941</v>
      </c>
      <c r="D970" t="inlineStr">
        <is>
          <t>JÄMTLANDS LÄN</t>
        </is>
      </c>
      <c r="E970" t="inlineStr">
        <is>
          <t>RAGUNDA</t>
        </is>
      </c>
      <c r="G970" t="n">
        <v>3</v>
      </c>
      <c r="H970" t="n">
        <v>0</v>
      </c>
      <c r="I970" t="n">
        <v>0</v>
      </c>
      <c r="J970" t="n">
        <v>0</v>
      </c>
      <c r="K970" t="n">
        <v>0</v>
      </c>
      <c r="L970" t="n">
        <v>0</v>
      </c>
      <c r="M970" t="n">
        <v>0</v>
      </c>
      <c r="N970" t="n">
        <v>0</v>
      </c>
      <c r="O970" t="n">
        <v>0</v>
      </c>
      <c r="P970" t="n">
        <v>0</v>
      </c>
      <c r="Q970" t="n">
        <v>0</v>
      </c>
      <c r="R970" s="2" t="inlineStr"/>
    </row>
    <row r="971" ht="15" customHeight="1">
      <c r="A971" t="inlineStr">
        <is>
          <t>A 3938-2024</t>
        </is>
      </c>
      <c r="B971" s="1" t="n">
        <v>45322</v>
      </c>
      <c r="C971" s="1" t="n">
        <v>45941</v>
      </c>
      <c r="D971" t="inlineStr">
        <is>
          <t>JÄMTLANDS LÄN</t>
        </is>
      </c>
      <c r="E971" t="inlineStr">
        <is>
          <t>RAGUNDA</t>
        </is>
      </c>
      <c r="G971" t="n">
        <v>3.2</v>
      </c>
      <c r="H971" t="n">
        <v>0</v>
      </c>
      <c r="I971" t="n">
        <v>0</v>
      </c>
      <c r="J971" t="n">
        <v>0</v>
      </c>
      <c r="K971" t="n">
        <v>0</v>
      </c>
      <c r="L971" t="n">
        <v>0</v>
      </c>
      <c r="M971" t="n">
        <v>0</v>
      </c>
      <c r="N971" t="n">
        <v>0</v>
      </c>
      <c r="O971" t="n">
        <v>0</v>
      </c>
      <c r="P971" t="n">
        <v>0</v>
      </c>
      <c r="Q971" t="n">
        <v>0</v>
      </c>
      <c r="R971" s="2" t="inlineStr"/>
    </row>
    <row r="972" ht="15" customHeight="1">
      <c r="A972" t="inlineStr">
        <is>
          <t>A 62081-2022</t>
        </is>
      </c>
      <c r="B972" s="1" t="n">
        <v>44918</v>
      </c>
      <c r="C972" s="1" t="n">
        <v>45941</v>
      </c>
      <c r="D972" t="inlineStr">
        <is>
          <t>JÄMTLANDS LÄN</t>
        </is>
      </c>
      <c r="E972" t="inlineStr">
        <is>
          <t>RAGUNDA</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65341-2020</t>
        </is>
      </c>
      <c r="B973" s="1" t="n">
        <v>44173</v>
      </c>
      <c r="C973" s="1" t="n">
        <v>45941</v>
      </c>
      <c r="D973" t="inlineStr">
        <is>
          <t>JÄMTLANDS LÄN</t>
        </is>
      </c>
      <c r="E973" t="inlineStr">
        <is>
          <t>RAGUNDA</t>
        </is>
      </c>
      <c r="G973" t="n">
        <v>2.6</v>
      </c>
      <c r="H973" t="n">
        <v>0</v>
      </c>
      <c r="I973" t="n">
        <v>0</v>
      </c>
      <c r="J973" t="n">
        <v>0</v>
      </c>
      <c r="K973" t="n">
        <v>0</v>
      </c>
      <c r="L973" t="n">
        <v>0</v>
      </c>
      <c r="M973" t="n">
        <v>0</v>
      </c>
      <c r="N973" t="n">
        <v>0</v>
      </c>
      <c r="O973" t="n">
        <v>0</v>
      </c>
      <c r="P973" t="n">
        <v>0</v>
      </c>
      <c r="Q973" t="n">
        <v>0</v>
      </c>
      <c r="R973" s="2" t="inlineStr"/>
    </row>
    <row r="974" ht="15" customHeight="1">
      <c r="A974" t="inlineStr">
        <is>
          <t>A 16321-2025</t>
        </is>
      </c>
      <c r="B974" s="1" t="n">
        <v>45751.34873842593</v>
      </c>
      <c r="C974" s="1" t="n">
        <v>45941</v>
      </c>
      <c r="D974" t="inlineStr">
        <is>
          <t>JÄMTLANDS LÄN</t>
        </is>
      </c>
      <c r="E974" t="inlineStr">
        <is>
          <t>RAGUNDA</t>
        </is>
      </c>
      <c r="F974" t="inlineStr">
        <is>
          <t>SCA</t>
        </is>
      </c>
      <c r="G974" t="n">
        <v>63.3</v>
      </c>
      <c r="H974" t="n">
        <v>0</v>
      </c>
      <c r="I974" t="n">
        <v>0</v>
      </c>
      <c r="J974" t="n">
        <v>0</v>
      </c>
      <c r="K974" t="n">
        <v>0</v>
      </c>
      <c r="L974" t="n">
        <v>0</v>
      </c>
      <c r="M974" t="n">
        <v>0</v>
      </c>
      <c r="N974" t="n">
        <v>0</v>
      </c>
      <c r="O974" t="n">
        <v>0</v>
      </c>
      <c r="P974" t="n">
        <v>0</v>
      </c>
      <c r="Q974" t="n">
        <v>0</v>
      </c>
      <c r="R974" s="2" t="inlineStr"/>
    </row>
    <row r="975" ht="15" customHeight="1">
      <c r="A975" t="inlineStr">
        <is>
          <t>A 55904-2022</t>
        </is>
      </c>
      <c r="B975" s="1" t="n">
        <v>44888</v>
      </c>
      <c r="C975" s="1" t="n">
        <v>45941</v>
      </c>
      <c r="D975" t="inlineStr">
        <is>
          <t>JÄMTLANDS LÄN</t>
        </is>
      </c>
      <c r="E975" t="inlineStr">
        <is>
          <t>RAGUNDA</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65898-2020</t>
        </is>
      </c>
      <c r="B976" s="1" t="n">
        <v>44174</v>
      </c>
      <c r="C976" s="1" t="n">
        <v>45941</v>
      </c>
      <c r="D976" t="inlineStr">
        <is>
          <t>JÄMTLANDS LÄN</t>
        </is>
      </c>
      <c r="E976" t="inlineStr">
        <is>
          <t>RAGUNDA</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19854-2025</t>
        </is>
      </c>
      <c r="B977" s="1" t="n">
        <v>45771.51074074074</v>
      </c>
      <c r="C977" s="1" t="n">
        <v>45941</v>
      </c>
      <c r="D977" t="inlineStr">
        <is>
          <t>JÄMTLANDS LÄN</t>
        </is>
      </c>
      <c r="E977" t="inlineStr">
        <is>
          <t>RAGUNDA</t>
        </is>
      </c>
      <c r="F977" t="inlineStr">
        <is>
          <t>SCA</t>
        </is>
      </c>
      <c r="G977" t="n">
        <v>8.4</v>
      </c>
      <c r="H977" t="n">
        <v>0</v>
      </c>
      <c r="I977" t="n">
        <v>0</v>
      </c>
      <c r="J977" t="n">
        <v>0</v>
      </c>
      <c r="K977" t="n">
        <v>0</v>
      </c>
      <c r="L977" t="n">
        <v>0</v>
      </c>
      <c r="M977" t="n">
        <v>0</v>
      </c>
      <c r="N977" t="n">
        <v>0</v>
      </c>
      <c r="O977" t="n">
        <v>0</v>
      </c>
      <c r="P977" t="n">
        <v>0</v>
      </c>
      <c r="Q977" t="n">
        <v>0</v>
      </c>
      <c r="R977" s="2" t="inlineStr"/>
    </row>
    <row r="978" ht="15" customHeight="1">
      <c r="A978" t="inlineStr">
        <is>
          <t>A 6688-2024</t>
        </is>
      </c>
      <c r="B978" s="1" t="n">
        <v>45341</v>
      </c>
      <c r="C978" s="1" t="n">
        <v>45941</v>
      </c>
      <c r="D978" t="inlineStr">
        <is>
          <t>JÄMTLANDS LÄN</t>
        </is>
      </c>
      <c r="E978" t="inlineStr">
        <is>
          <t>RAGUNDA</t>
        </is>
      </c>
      <c r="G978" t="n">
        <v>2</v>
      </c>
      <c r="H978" t="n">
        <v>0</v>
      </c>
      <c r="I978" t="n">
        <v>0</v>
      </c>
      <c r="J978" t="n">
        <v>0</v>
      </c>
      <c r="K978" t="n">
        <v>0</v>
      </c>
      <c r="L978" t="n">
        <v>0</v>
      </c>
      <c r="M978" t="n">
        <v>0</v>
      </c>
      <c r="N978" t="n">
        <v>0</v>
      </c>
      <c r="O978" t="n">
        <v>0</v>
      </c>
      <c r="P978" t="n">
        <v>0</v>
      </c>
      <c r="Q978" t="n">
        <v>0</v>
      </c>
      <c r="R978" s="2" t="inlineStr"/>
    </row>
    <row r="979" ht="15" customHeight="1">
      <c r="A979" t="inlineStr">
        <is>
          <t>A 30642-2024</t>
        </is>
      </c>
      <c r="B979" s="1" t="n">
        <v>45495.57677083334</v>
      </c>
      <c r="C979" s="1" t="n">
        <v>45941</v>
      </c>
      <c r="D979" t="inlineStr">
        <is>
          <t>JÄMTLANDS LÄN</t>
        </is>
      </c>
      <c r="E979" t="inlineStr">
        <is>
          <t>RAGUNDA</t>
        </is>
      </c>
      <c r="G979" t="n">
        <v>2.7</v>
      </c>
      <c r="H979" t="n">
        <v>0</v>
      </c>
      <c r="I979" t="n">
        <v>0</v>
      </c>
      <c r="J979" t="n">
        <v>0</v>
      </c>
      <c r="K979" t="n">
        <v>0</v>
      </c>
      <c r="L979" t="n">
        <v>0</v>
      </c>
      <c r="M979" t="n">
        <v>0</v>
      </c>
      <c r="N979" t="n">
        <v>0</v>
      </c>
      <c r="O979" t="n">
        <v>0</v>
      </c>
      <c r="P979" t="n">
        <v>0</v>
      </c>
      <c r="Q979" t="n">
        <v>0</v>
      </c>
      <c r="R979" s="2" t="inlineStr"/>
    </row>
    <row r="980" ht="15" customHeight="1">
      <c r="A980" t="inlineStr">
        <is>
          <t>A 55508-2024</t>
        </is>
      </c>
      <c r="B980" s="1" t="n">
        <v>45622.46200231482</v>
      </c>
      <c r="C980" s="1" t="n">
        <v>45941</v>
      </c>
      <c r="D980" t="inlineStr">
        <is>
          <t>JÄMTLANDS LÄN</t>
        </is>
      </c>
      <c r="E980" t="inlineStr">
        <is>
          <t>RAGUNDA</t>
        </is>
      </c>
      <c r="G980" t="n">
        <v>1.8</v>
      </c>
      <c r="H980" t="n">
        <v>0</v>
      </c>
      <c r="I980" t="n">
        <v>0</v>
      </c>
      <c r="J980" t="n">
        <v>0</v>
      </c>
      <c r="K980" t="n">
        <v>0</v>
      </c>
      <c r="L980" t="n">
        <v>0</v>
      </c>
      <c r="M980" t="n">
        <v>0</v>
      </c>
      <c r="N980" t="n">
        <v>0</v>
      </c>
      <c r="O980" t="n">
        <v>0</v>
      </c>
      <c r="P980" t="n">
        <v>0</v>
      </c>
      <c r="Q980" t="n">
        <v>0</v>
      </c>
      <c r="R980" s="2" t="inlineStr"/>
    </row>
    <row r="981" ht="15" customHeight="1">
      <c r="A981" t="inlineStr">
        <is>
          <t>A 16635-2025</t>
        </is>
      </c>
      <c r="B981" s="1" t="n">
        <v>45754</v>
      </c>
      <c r="C981" s="1" t="n">
        <v>45941</v>
      </c>
      <c r="D981" t="inlineStr">
        <is>
          <t>JÄMTLANDS LÄN</t>
        </is>
      </c>
      <c r="E981" t="inlineStr">
        <is>
          <t>RAGUNDA</t>
        </is>
      </c>
      <c r="F981" t="inlineStr">
        <is>
          <t>SCA</t>
        </is>
      </c>
      <c r="G981" t="n">
        <v>55.4</v>
      </c>
      <c r="H981" t="n">
        <v>0</v>
      </c>
      <c r="I981" t="n">
        <v>0</v>
      </c>
      <c r="J981" t="n">
        <v>0</v>
      </c>
      <c r="K981" t="n">
        <v>0</v>
      </c>
      <c r="L981" t="n">
        <v>0</v>
      </c>
      <c r="M981" t="n">
        <v>0</v>
      </c>
      <c r="N981" t="n">
        <v>0</v>
      </c>
      <c r="O981" t="n">
        <v>0</v>
      </c>
      <c r="P981" t="n">
        <v>0</v>
      </c>
      <c r="Q981" t="n">
        <v>0</v>
      </c>
      <c r="R981" s="2" t="inlineStr"/>
    </row>
    <row r="982" ht="15" customHeight="1">
      <c r="A982" t="inlineStr">
        <is>
          <t>A 12521-2023</t>
        </is>
      </c>
      <c r="B982" s="1" t="n">
        <v>45000</v>
      </c>
      <c r="C982" s="1" t="n">
        <v>45941</v>
      </c>
      <c r="D982" t="inlineStr">
        <is>
          <t>JÄMTLANDS LÄN</t>
        </is>
      </c>
      <c r="E982" t="inlineStr">
        <is>
          <t>RAGUNDA</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37479-2023</t>
        </is>
      </c>
      <c r="B983" s="1" t="n">
        <v>45156</v>
      </c>
      <c r="C983" s="1" t="n">
        <v>45941</v>
      </c>
      <c r="D983" t="inlineStr">
        <is>
          <t>JÄMTLANDS LÄN</t>
        </is>
      </c>
      <c r="E983" t="inlineStr">
        <is>
          <t>RAGUNDA</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3720-2025</t>
        </is>
      </c>
      <c r="B984" s="1" t="n">
        <v>45681.5315625</v>
      </c>
      <c r="C984" s="1" t="n">
        <v>45941</v>
      </c>
      <c r="D984" t="inlineStr">
        <is>
          <t>JÄMTLANDS LÄN</t>
        </is>
      </c>
      <c r="E984" t="inlineStr">
        <is>
          <t>RAGUNDA</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2339-2025</t>
        </is>
      </c>
      <c r="B985" s="1" t="n">
        <v>45673.66358796296</v>
      </c>
      <c r="C985" s="1" t="n">
        <v>45941</v>
      </c>
      <c r="D985" t="inlineStr">
        <is>
          <t>JÄMTLANDS LÄN</t>
        </is>
      </c>
      <c r="E985" t="inlineStr">
        <is>
          <t>RAGUNDA</t>
        </is>
      </c>
      <c r="G985" t="n">
        <v>5</v>
      </c>
      <c r="H985" t="n">
        <v>0</v>
      </c>
      <c r="I985" t="n">
        <v>0</v>
      </c>
      <c r="J985" t="n">
        <v>0</v>
      </c>
      <c r="K985" t="n">
        <v>0</v>
      </c>
      <c r="L985" t="n">
        <v>0</v>
      </c>
      <c r="M985" t="n">
        <v>0</v>
      </c>
      <c r="N985" t="n">
        <v>0</v>
      </c>
      <c r="O985" t="n">
        <v>0</v>
      </c>
      <c r="P985" t="n">
        <v>0</v>
      </c>
      <c r="Q985" t="n">
        <v>0</v>
      </c>
      <c r="R985" s="2" t="inlineStr"/>
    </row>
    <row r="986" ht="15" customHeight="1">
      <c r="A986" t="inlineStr">
        <is>
          <t>A 17742-2022</t>
        </is>
      </c>
      <c r="B986" s="1" t="n">
        <v>44680.95246527778</v>
      </c>
      <c r="C986" s="1" t="n">
        <v>45941</v>
      </c>
      <c r="D986" t="inlineStr">
        <is>
          <t>JÄMTLANDS LÄN</t>
        </is>
      </c>
      <c r="E986" t="inlineStr">
        <is>
          <t>RAGUNDA</t>
        </is>
      </c>
      <c r="F986" t="inlineStr">
        <is>
          <t>SCA</t>
        </is>
      </c>
      <c r="G986" t="n">
        <v>7.2</v>
      </c>
      <c r="H986" t="n">
        <v>0</v>
      </c>
      <c r="I986" t="n">
        <v>0</v>
      </c>
      <c r="J986" t="n">
        <v>0</v>
      </c>
      <c r="K986" t="n">
        <v>0</v>
      </c>
      <c r="L986" t="n">
        <v>0</v>
      </c>
      <c r="M986" t="n">
        <v>0</v>
      </c>
      <c r="N986" t="n">
        <v>0</v>
      </c>
      <c r="O986" t="n">
        <v>0</v>
      </c>
      <c r="P986" t="n">
        <v>0</v>
      </c>
      <c r="Q986" t="n">
        <v>0</v>
      </c>
      <c r="R986" s="2" t="inlineStr"/>
    </row>
    <row r="987" ht="15" customHeight="1">
      <c r="A987" t="inlineStr">
        <is>
          <t>A 41772-2024</t>
        </is>
      </c>
      <c r="B987" s="1" t="n">
        <v>45561.34663194444</v>
      </c>
      <c r="C987" s="1" t="n">
        <v>45941</v>
      </c>
      <c r="D987" t="inlineStr">
        <is>
          <t>JÄMTLANDS LÄN</t>
        </is>
      </c>
      <c r="E987" t="inlineStr">
        <is>
          <t>RAGUNDA</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12660-2024</t>
        </is>
      </c>
      <c r="B988" s="1" t="n">
        <v>45384</v>
      </c>
      <c r="C988" s="1" t="n">
        <v>45941</v>
      </c>
      <c r="D988" t="inlineStr">
        <is>
          <t>JÄMTLANDS LÄN</t>
        </is>
      </c>
      <c r="E988" t="inlineStr">
        <is>
          <t>RAGUNDA</t>
        </is>
      </c>
      <c r="G988" t="n">
        <v>1.3</v>
      </c>
      <c r="H988" t="n">
        <v>0</v>
      </c>
      <c r="I988" t="n">
        <v>0</v>
      </c>
      <c r="J988" t="n">
        <v>0</v>
      </c>
      <c r="K988" t="n">
        <v>0</v>
      </c>
      <c r="L988" t="n">
        <v>0</v>
      </c>
      <c r="M988" t="n">
        <v>0</v>
      </c>
      <c r="N988" t="n">
        <v>0</v>
      </c>
      <c r="O988" t="n">
        <v>0</v>
      </c>
      <c r="P988" t="n">
        <v>0</v>
      </c>
      <c r="Q988" t="n">
        <v>0</v>
      </c>
      <c r="R988" s="2" t="inlineStr"/>
    </row>
    <row r="989" ht="15" customHeight="1">
      <c r="A989" t="inlineStr">
        <is>
          <t>A 50555-2024</t>
        </is>
      </c>
      <c r="B989" s="1" t="n">
        <v>45601.59518518519</v>
      </c>
      <c r="C989" s="1" t="n">
        <v>45941</v>
      </c>
      <c r="D989" t="inlineStr">
        <is>
          <t>JÄMTLANDS LÄN</t>
        </is>
      </c>
      <c r="E989" t="inlineStr">
        <is>
          <t>RAGUNDA</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25332-2023</t>
        </is>
      </c>
      <c r="B990" s="1" t="n">
        <v>45086.94010416666</v>
      </c>
      <c r="C990" s="1" t="n">
        <v>45941</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33615-2023</t>
        </is>
      </c>
      <c r="B991" s="1" t="n">
        <v>45119</v>
      </c>
      <c r="C991" s="1" t="n">
        <v>45941</v>
      </c>
      <c r="D991" t="inlineStr">
        <is>
          <t>JÄMTLANDS LÄN</t>
        </is>
      </c>
      <c r="E991" t="inlineStr">
        <is>
          <t>RAGUNDA</t>
        </is>
      </c>
      <c r="G991" t="n">
        <v>0.9</v>
      </c>
      <c r="H991" t="n">
        <v>0</v>
      </c>
      <c r="I991" t="n">
        <v>0</v>
      </c>
      <c r="J991" t="n">
        <v>0</v>
      </c>
      <c r="K991" t="n">
        <v>0</v>
      </c>
      <c r="L991" t="n">
        <v>0</v>
      </c>
      <c r="M991" t="n">
        <v>0</v>
      </c>
      <c r="N991" t="n">
        <v>0</v>
      </c>
      <c r="O991" t="n">
        <v>0</v>
      </c>
      <c r="P991" t="n">
        <v>0</v>
      </c>
      <c r="Q991" t="n">
        <v>0</v>
      </c>
      <c r="R991" s="2" t="inlineStr"/>
    </row>
    <row r="992" ht="15" customHeight="1">
      <c r="A992" t="inlineStr">
        <is>
          <t>A 43132-2023</t>
        </is>
      </c>
      <c r="B992" s="1" t="n">
        <v>45182</v>
      </c>
      <c r="C992" s="1" t="n">
        <v>45941</v>
      </c>
      <c r="D992" t="inlineStr">
        <is>
          <t>JÄMTLANDS LÄN</t>
        </is>
      </c>
      <c r="E992" t="inlineStr">
        <is>
          <t>RAGUNDA</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53676-2022</t>
        </is>
      </c>
      <c r="B993" s="1" t="n">
        <v>44879</v>
      </c>
      <c r="C993" s="1" t="n">
        <v>45941</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8654-2024</t>
        </is>
      </c>
      <c r="B994" s="1" t="n">
        <v>45356.03784722222</v>
      </c>
      <c r="C994" s="1" t="n">
        <v>45941</v>
      </c>
      <c r="D994" t="inlineStr">
        <is>
          <t>JÄMTLANDS LÄN</t>
        </is>
      </c>
      <c r="E994" t="inlineStr">
        <is>
          <t>RAGUNDA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9325-2024</t>
        </is>
      </c>
      <c r="B995" s="1" t="n">
        <v>45358.95813657407</v>
      </c>
      <c r="C995" s="1" t="n">
        <v>45941</v>
      </c>
      <c r="D995" t="inlineStr">
        <is>
          <t>JÄMTLANDS LÄN</t>
        </is>
      </c>
      <c r="E995" t="inlineStr">
        <is>
          <t>RAGUNDA</t>
        </is>
      </c>
      <c r="G995" t="n">
        <v>3.1</v>
      </c>
      <c r="H995" t="n">
        <v>0</v>
      </c>
      <c r="I995" t="n">
        <v>0</v>
      </c>
      <c r="J995" t="n">
        <v>0</v>
      </c>
      <c r="K995" t="n">
        <v>0</v>
      </c>
      <c r="L995" t="n">
        <v>0</v>
      </c>
      <c r="M995" t="n">
        <v>0</v>
      </c>
      <c r="N995" t="n">
        <v>0</v>
      </c>
      <c r="O995" t="n">
        <v>0</v>
      </c>
      <c r="P995" t="n">
        <v>0</v>
      </c>
      <c r="Q995" t="n">
        <v>0</v>
      </c>
      <c r="R995" s="2" t="inlineStr"/>
    </row>
    <row r="996" ht="15" customHeight="1">
      <c r="A996" t="inlineStr">
        <is>
          <t>A 14212-2023</t>
        </is>
      </c>
      <c r="B996" s="1" t="n">
        <v>45009</v>
      </c>
      <c r="C996" s="1" t="n">
        <v>45941</v>
      </c>
      <c r="D996" t="inlineStr">
        <is>
          <t>JÄMTLANDS LÄN</t>
        </is>
      </c>
      <c r="E996" t="inlineStr">
        <is>
          <t>RAGUNDA</t>
        </is>
      </c>
      <c r="G996" t="n">
        <v>0.8</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45941</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44977.98660879629</v>
      </c>
      <c r="C998" s="1" t="n">
        <v>45941</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20772-2024</t>
        </is>
      </c>
      <c r="B999" s="1" t="n">
        <v>45436.94628472222</v>
      </c>
      <c r="C999" s="1" t="n">
        <v>45941</v>
      </c>
      <c r="D999" t="inlineStr">
        <is>
          <t>JÄMTLANDS LÄN</t>
        </is>
      </c>
      <c r="E999" t="inlineStr">
        <is>
          <t>RAGUNDA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18614-2024</t>
        </is>
      </c>
      <c r="B1000" s="1" t="n">
        <v>45425.96263888889</v>
      </c>
      <c r="C1000" s="1" t="n">
        <v>45941</v>
      </c>
      <c r="D1000" t="inlineStr">
        <is>
          <t>JÄMTLANDS LÄN</t>
        </is>
      </c>
      <c r="E1000" t="inlineStr">
        <is>
          <t>RAGUNDA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29766-2023</t>
        </is>
      </c>
      <c r="B1001" s="1" t="n">
        <v>45098</v>
      </c>
      <c r="C1001" s="1" t="n">
        <v>45941</v>
      </c>
      <c r="D1001" t="inlineStr">
        <is>
          <t>JÄMTLANDS LÄN</t>
        </is>
      </c>
      <c r="E1001" t="inlineStr">
        <is>
          <t>RAGUNDA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53757-2024</t>
        </is>
      </c>
      <c r="B1002" s="1" t="n">
        <v>45615.50034722222</v>
      </c>
      <c r="C1002" s="1" t="n">
        <v>45941</v>
      </c>
      <c r="D1002" t="inlineStr">
        <is>
          <t>JÄMTLANDS LÄN</t>
        </is>
      </c>
      <c r="E1002" t="inlineStr">
        <is>
          <t>RAGUNDA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19246-2023</t>
        </is>
      </c>
      <c r="B1003" s="1" t="n">
        <v>45048.94340277778</v>
      </c>
      <c r="C1003" s="1" t="n">
        <v>45941</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464-2023</t>
        </is>
      </c>
      <c r="B1004" s="1" t="n">
        <v>44929.92489583333</v>
      </c>
      <c r="C1004" s="1" t="n">
        <v>45941</v>
      </c>
      <c r="D1004" t="inlineStr">
        <is>
          <t>JÄMTLANDS LÄN</t>
        </is>
      </c>
      <c r="E1004" t="inlineStr">
        <is>
          <t>RAGUNDA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49649-2024</t>
        </is>
      </c>
      <c r="B1005" s="1" t="n">
        <v>45596.61553240741</v>
      </c>
      <c r="C1005" s="1" t="n">
        <v>45941</v>
      </c>
      <c r="D1005" t="inlineStr">
        <is>
          <t>JÄMTLANDS LÄN</t>
        </is>
      </c>
      <c r="E1005" t="inlineStr">
        <is>
          <t>RAGUNDA</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20426-2024</t>
        </is>
      </c>
      <c r="B1006" s="1" t="n">
        <v>45435</v>
      </c>
      <c r="C1006" s="1" t="n">
        <v>45941</v>
      </c>
      <c r="D1006" t="inlineStr">
        <is>
          <t>JÄMTLANDS LÄN</t>
        </is>
      </c>
      <c r="E1006" t="inlineStr">
        <is>
          <t>RAGUNDA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41344-2024</t>
        </is>
      </c>
      <c r="B1007" s="1" t="n">
        <v>45559.67759259259</v>
      </c>
      <c r="C1007" s="1" t="n">
        <v>45941</v>
      </c>
      <c r="D1007" t="inlineStr">
        <is>
          <t>JÄMTLANDS LÄN</t>
        </is>
      </c>
      <c r="E1007" t="inlineStr">
        <is>
          <t>RAGUNDA</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58955-2024</t>
        </is>
      </c>
      <c r="B1008" s="1" t="n">
        <v>45636.57329861111</v>
      </c>
      <c r="C1008" s="1" t="n">
        <v>45941</v>
      </c>
      <c r="D1008" t="inlineStr">
        <is>
          <t>JÄMTLANDS LÄN</t>
        </is>
      </c>
      <c r="E1008" t="inlineStr">
        <is>
          <t>RAGUNDA</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4878-2022</t>
        </is>
      </c>
      <c r="B1009" s="1" t="n">
        <v>44593</v>
      </c>
      <c r="C1009" s="1" t="n">
        <v>45941</v>
      </c>
      <c r="D1009" t="inlineStr">
        <is>
          <t>JÄMTLANDS LÄN</t>
        </is>
      </c>
      <c r="E1009" t="inlineStr">
        <is>
          <t>RAGUNDA</t>
        </is>
      </c>
      <c r="G1009" t="n">
        <v>21.7</v>
      </c>
      <c r="H1009" t="n">
        <v>0</v>
      </c>
      <c r="I1009" t="n">
        <v>0</v>
      </c>
      <c r="J1009" t="n">
        <v>0</v>
      </c>
      <c r="K1009" t="n">
        <v>0</v>
      </c>
      <c r="L1009" t="n">
        <v>0</v>
      </c>
      <c r="M1009" t="n">
        <v>0</v>
      </c>
      <c r="N1009" t="n">
        <v>0</v>
      </c>
      <c r="O1009" t="n">
        <v>0</v>
      </c>
      <c r="P1009" t="n">
        <v>0</v>
      </c>
      <c r="Q1009" t="n">
        <v>0</v>
      </c>
      <c r="R1009" s="2" t="inlineStr"/>
    </row>
    <row r="1010" ht="15" customHeight="1">
      <c r="A1010" t="inlineStr">
        <is>
          <t>A 60935-2024</t>
        </is>
      </c>
      <c r="B1010" s="1" t="n">
        <v>45645.36740740741</v>
      </c>
      <c r="C1010" s="1" t="n">
        <v>45941</v>
      </c>
      <c r="D1010" t="inlineStr">
        <is>
          <t>JÄMTLANDS LÄN</t>
        </is>
      </c>
      <c r="E1010" t="inlineStr">
        <is>
          <t>RAGUNDA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14156-2024</t>
        </is>
      </c>
      <c r="B1011" s="1" t="n">
        <v>45392</v>
      </c>
      <c r="C1011" s="1" t="n">
        <v>45941</v>
      </c>
      <c r="D1011" t="inlineStr">
        <is>
          <t>JÄMTLANDS LÄN</t>
        </is>
      </c>
      <c r="E1011" t="inlineStr">
        <is>
          <t>RAGUNDA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14157-2024</t>
        </is>
      </c>
      <c r="B1012" s="1" t="n">
        <v>45392.92903935185</v>
      </c>
      <c r="C1012" s="1" t="n">
        <v>45941</v>
      </c>
      <c r="D1012" t="inlineStr">
        <is>
          <t>JÄMTLANDS LÄN</t>
        </is>
      </c>
      <c r="E1012" t="inlineStr">
        <is>
          <t>RAGUNDA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39489-2023</t>
        </is>
      </c>
      <c r="B1013" s="1" t="n">
        <v>45166</v>
      </c>
      <c r="C1013" s="1" t="n">
        <v>45941</v>
      </c>
      <c r="D1013" t="inlineStr">
        <is>
          <t>JÄMTLANDS LÄN</t>
        </is>
      </c>
      <c r="E1013" t="inlineStr">
        <is>
          <t>RAGUNDA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44727-2024</t>
        </is>
      </c>
      <c r="B1014" s="1" t="n">
        <v>45574.57967592592</v>
      </c>
      <c r="C1014" s="1" t="n">
        <v>45941</v>
      </c>
      <c r="D1014" t="inlineStr">
        <is>
          <t>JÄMTLANDS LÄN</t>
        </is>
      </c>
      <c r="E1014" t="inlineStr">
        <is>
          <t>RAGUNDA</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21661-2023</t>
        </is>
      </c>
      <c r="B1015" s="1" t="n">
        <v>45063</v>
      </c>
      <c r="C1015" s="1" t="n">
        <v>45941</v>
      </c>
      <c r="D1015" t="inlineStr">
        <is>
          <t>JÄMTLANDS LÄN</t>
        </is>
      </c>
      <c r="E1015" t="inlineStr">
        <is>
          <t>RAGUNDA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11058-2025</t>
        </is>
      </c>
      <c r="B1016" s="1" t="n">
        <v>45723.51079861111</v>
      </c>
      <c r="C1016" s="1" t="n">
        <v>45941</v>
      </c>
      <c r="D1016" t="inlineStr">
        <is>
          <t>JÄMTLANDS LÄN</t>
        </is>
      </c>
      <c r="E1016" t="inlineStr">
        <is>
          <t>RAGUNDA</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7281-2024</t>
        </is>
      </c>
      <c r="B1017" s="1" t="n">
        <v>45344</v>
      </c>
      <c r="C1017" s="1" t="n">
        <v>45941</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19382-2025</t>
        </is>
      </c>
      <c r="B1018" s="1" t="n">
        <v>45769.65659722222</v>
      </c>
      <c r="C1018" s="1" t="n">
        <v>45941</v>
      </c>
      <c r="D1018" t="inlineStr">
        <is>
          <t>JÄMTLANDS LÄN</t>
        </is>
      </c>
      <c r="E1018" t="inlineStr">
        <is>
          <t>RAGUNDA</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19403-2025</t>
        </is>
      </c>
      <c r="B1019" s="1" t="n">
        <v>45769.67790509259</v>
      </c>
      <c r="C1019" s="1" t="n">
        <v>45941</v>
      </c>
      <c r="D1019" t="inlineStr">
        <is>
          <t>JÄMTLANDS LÄN</t>
        </is>
      </c>
      <c r="E1019" t="inlineStr">
        <is>
          <t>RAGUNDA</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60225-2022</t>
        </is>
      </c>
      <c r="B1020" s="1" t="n">
        <v>44903</v>
      </c>
      <c r="C1020" s="1" t="n">
        <v>45941</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61045-2022</t>
        </is>
      </c>
      <c r="B1021" s="1" t="n">
        <v>44914</v>
      </c>
      <c r="C1021" s="1" t="n">
        <v>45941</v>
      </c>
      <c r="D1021" t="inlineStr">
        <is>
          <t>JÄMTLANDS LÄN</t>
        </is>
      </c>
      <c r="E1021" t="inlineStr">
        <is>
          <t>RAGUNDA</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15554-2025</t>
        </is>
      </c>
      <c r="B1022" s="1" t="n">
        <v>45747.67739583334</v>
      </c>
      <c r="C1022" s="1" t="n">
        <v>45941</v>
      </c>
      <c r="D1022" t="inlineStr">
        <is>
          <t>JÄMTLANDS LÄN</t>
        </is>
      </c>
      <c r="E1022" t="inlineStr">
        <is>
          <t>RAGUNDA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57170-2024</t>
        </is>
      </c>
      <c r="B1023" s="1" t="n">
        <v>45629.42759259259</v>
      </c>
      <c r="C1023" s="1" t="n">
        <v>45941</v>
      </c>
      <c r="D1023" t="inlineStr">
        <is>
          <t>JÄMTLANDS LÄN</t>
        </is>
      </c>
      <c r="E1023" t="inlineStr">
        <is>
          <t>RAGUNDA</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29940-2023</t>
        </is>
      </c>
      <c r="B1024" s="1" t="n">
        <v>45107</v>
      </c>
      <c r="C1024" s="1" t="n">
        <v>45941</v>
      </c>
      <c r="D1024" t="inlineStr">
        <is>
          <t>JÄMTLANDS LÄN</t>
        </is>
      </c>
      <c r="E1024" t="inlineStr">
        <is>
          <t>RAGUNDA</t>
        </is>
      </c>
      <c r="G1024" t="n">
        <v>13.5</v>
      </c>
      <c r="H1024" t="n">
        <v>0</v>
      </c>
      <c r="I1024" t="n">
        <v>0</v>
      </c>
      <c r="J1024" t="n">
        <v>0</v>
      </c>
      <c r="K1024" t="n">
        <v>0</v>
      </c>
      <c r="L1024" t="n">
        <v>0</v>
      </c>
      <c r="M1024" t="n">
        <v>0</v>
      </c>
      <c r="N1024" t="n">
        <v>0</v>
      </c>
      <c r="O1024" t="n">
        <v>0</v>
      </c>
      <c r="P1024" t="n">
        <v>0</v>
      </c>
      <c r="Q1024" t="n">
        <v>0</v>
      </c>
      <c r="R1024" s="2" t="inlineStr"/>
    </row>
    <row r="1025" ht="15" customHeight="1">
      <c r="A1025" t="inlineStr">
        <is>
          <t>A 16320-2025</t>
        </is>
      </c>
      <c r="B1025" s="1" t="n">
        <v>45751.34859953704</v>
      </c>
      <c r="C1025" s="1" t="n">
        <v>45941</v>
      </c>
      <c r="D1025" t="inlineStr">
        <is>
          <t>JÄMTLANDS LÄN</t>
        </is>
      </c>
      <c r="E1025" t="inlineStr">
        <is>
          <t>RAGUNDA</t>
        </is>
      </c>
      <c r="F1025" t="inlineStr">
        <is>
          <t>SCA</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66471-2021</t>
        </is>
      </c>
      <c r="B1026" s="1" t="n">
        <v>44518</v>
      </c>
      <c r="C1026" s="1" t="n">
        <v>45941</v>
      </c>
      <c r="D1026" t="inlineStr">
        <is>
          <t>JÄMTLANDS LÄN</t>
        </is>
      </c>
      <c r="E1026" t="inlineStr">
        <is>
          <t>RAGUNDA</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22731-2023</t>
        </is>
      </c>
      <c r="B1027" s="1" t="n">
        <v>45071</v>
      </c>
      <c r="C1027" s="1" t="n">
        <v>45941</v>
      </c>
      <c r="D1027" t="inlineStr">
        <is>
          <t>JÄMTLANDS LÄN</t>
        </is>
      </c>
      <c r="E1027" t="inlineStr">
        <is>
          <t>RAGUNDA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11557-2023</t>
        </is>
      </c>
      <c r="B1028" s="1" t="n">
        <v>44993.94950231481</v>
      </c>
      <c r="C1028" s="1" t="n">
        <v>45941</v>
      </c>
      <c r="D1028" t="inlineStr">
        <is>
          <t>JÄMTLANDS LÄN</t>
        </is>
      </c>
      <c r="E1028" t="inlineStr">
        <is>
          <t>RAGUNDA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11562-2023</t>
        </is>
      </c>
      <c r="B1029" s="1" t="n">
        <v>44993</v>
      </c>
      <c r="C1029" s="1" t="n">
        <v>45941</v>
      </c>
      <c r="D1029" t="inlineStr">
        <is>
          <t>JÄMTLANDS LÄN</t>
        </is>
      </c>
      <c r="E1029" t="inlineStr">
        <is>
          <t>RAGUNDA</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33877-2023</t>
        </is>
      </c>
      <c r="B1030" s="1" t="n">
        <v>45133</v>
      </c>
      <c r="C1030" s="1" t="n">
        <v>45941</v>
      </c>
      <c r="D1030" t="inlineStr">
        <is>
          <t>JÄMTLANDS LÄN</t>
        </is>
      </c>
      <c r="E1030" t="inlineStr">
        <is>
          <t>RAGUNDA</t>
        </is>
      </c>
      <c r="F1030" t="inlineStr">
        <is>
          <t>SCA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5175-2023</t>
        </is>
      </c>
      <c r="B1031" s="1" t="n">
        <v>44958.94298611111</v>
      </c>
      <c r="C1031" s="1" t="n">
        <v>45941</v>
      </c>
      <c r="D1031" t="inlineStr">
        <is>
          <t>JÄMTLANDS LÄN</t>
        </is>
      </c>
      <c r="E1031" t="inlineStr">
        <is>
          <t>RAGUNDA</t>
        </is>
      </c>
      <c r="F1031" t="inlineStr">
        <is>
          <t>SCA</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8775-2025</t>
        </is>
      </c>
      <c r="B1032" s="1" t="n">
        <v>45712.61502314815</v>
      </c>
      <c r="C1032" s="1" t="n">
        <v>45941</v>
      </c>
      <c r="D1032" t="inlineStr">
        <is>
          <t>JÄMTLANDS LÄN</t>
        </is>
      </c>
      <c r="E1032" t="inlineStr">
        <is>
          <t>RAGUNDA</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8776-2025</t>
        </is>
      </c>
      <c r="B1033" s="1" t="n">
        <v>45712.61510416667</v>
      </c>
      <c r="C1033" s="1" t="n">
        <v>45941</v>
      </c>
      <c r="D1033" t="inlineStr">
        <is>
          <t>JÄMTLANDS LÄN</t>
        </is>
      </c>
      <c r="E1033" t="inlineStr">
        <is>
          <t>RAGUNDA</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57749-2024</t>
        </is>
      </c>
      <c r="B1034" s="1" t="n">
        <v>45630.7862037037</v>
      </c>
      <c r="C1034" s="1" t="n">
        <v>45941</v>
      </c>
      <c r="D1034" t="inlineStr">
        <is>
          <t>JÄMTLANDS LÄN</t>
        </is>
      </c>
      <c r="E1034" t="inlineStr">
        <is>
          <t>RAGUNDA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5067-2024</t>
        </is>
      </c>
      <c r="B1035" s="1" t="n">
        <v>45329.95806712963</v>
      </c>
      <c r="C1035" s="1" t="n">
        <v>45941</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5429-2024</t>
        </is>
      </c>
      <c r="B1036" s="1" t="n">
        <v>45331.92746527777</v>
      </c>
      <c r="C1036" s="1" t="n">
        <v>45941</v>
      </c>
      <c r="D1036" t="inlineStr">
        <is>
          <t>JÄMTLANDS LÄN</t>
        </is>
      </c>
      <c r="E1036" t="inlineStr">
        <is>
          <t>RAGUNDA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28742-2023</t>
        </is>
      </c>
      <c r="B1037" s="1" t="n">
        <v>45103</v>
      </c>
      <c r="C1037" s="1" t="n">
        <v>45941</v>
      </c>
      <c r="D1037" t="inlineStr">
        <is>
          <t>JÄMTLANDS LÄN</t>
        </is>
      </c>
      <c r="E1037" t="inlineStr">
        <is>
          <t>RAGUNDA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22981-2023</t>
        </is>
      </c>
      <c r="B1038" s="1" t="n">
        <v>45072.92737268518</v>
      </c>
      <c r="C1038" s="1" t="n">
        <v>45941</v>
      </c>
      <c r="D1038" t="inlineStr">
        <is>
          <t>JÄMTLANDS LÄN</t>
        </is>
      </c>
      <c r="E1038" t="inlineStr">
        <is>
          <t>RAGUNDA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21726-2023</t>
        </is>
      </c>
      <c r="B1039" s="1" t="n">
        <v>45065.42894675926</v>
      </c>
      <c r="C1039" s="1" t="n">
        <v>45941</v>
      </c>
      <c r="D1039" t="inlineStr">
        <is>
          <t>JÄMTLANDS LÄN</t>
        </is>
      </c>
      <c r="E1039" t="inlineStr">
        <is>
          <t>RAGUNDA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55514-2024</t>
        </is>
      </c>
      <c r="B1040" s="1" t="n">
        <v>45622.46910879629</v>
      </c>
      <c r="C1040" s="1" t="n">
        <v>45941</v>
      </c>
      <c r="D1040" t="inlineStr">
        <is>
          <t>JÄMTLANDS LÄN</t>
        </is>
      </c>
      <c r="E1040" t="inlineStr">
        <is>
          <t>RAGUNDA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24441-2024</t>
        </is>
      </c>
      <c r="B1041" s="1" t="n">
        <v>45457.96372685185</v>
      </c>
      <c r="C1041" s="1" t="n">
        <v>45941</v>
      </c>
      <c r="D1041" t="inlineStr">
        <is>
          <t>JÄMTLANDS LÄN</t>
        </is>
      </c>
      <c r="E1041" t="inlineStr">
        <is>
          <t>RAGUNDA</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934-2023</t>
        </is>
      </c>
      <c r="B1042" s="1" t="n">
        <v>44932.93927083333</v>
      </c>
      <c r="C1042" s="1" t="n">
        <v>45941</v>
      </c>
      <c r="D1042" t="inlineStr">
        <is>
          <t>JÄMTLANDS LÄN</t>
        </is>
      </c>
      <c r="E1042" t="inlineStr">
        <is>
          <t>RAGUNDA</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37242-2024</t>
        </is>
      </c>
      <c r="B1043" s="1" t="n">
        <v>45540.34428240741</v>
      </c>
      <c r="C1043" s="1" t="n">
        <v>45941</v>
      </c>
      <c r="D1043" t="inlineStr">
        <is>
          <t>JÄMTLANDS LÄN</t>
        </is>
      </c>
      <c r="E1043" t="inlineStr">
        <is>
          <t>RAGUNDA</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9232-2025</t>
        </is>
      </c>
      <c r="B1044" s="1" t="n">
        <v>45714.55064814815</v>
      </c>
      <c r="C1044" s="1" t="n">
        <v>45941</v>
      </c>
      <c r="D1044" t="inlineStr">
        <is>
          <t>JÄMTLANDS LÄN</t>
        </is>
      </c>
      <c r="E1044" t="inlineStr">
        <is>
          <t>RAGUNDA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41656-2023</t>
        </is>
      </c>
      <c r="B1045" s="1" t="n">
        <v>45175</v>
      </c>
      <c r="C1045" s="1" t="n">
        <v>45941</v>
      </c>
      <c r="D1045" t="inlineStr">
        <is>
          <t>JÄMTLANDS LÄN</t>
        </is>
      </c>
      <c r="E1045" t="inlineStr">
        <is>
          <t>RAGUNDA</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36317-2024</t>
        </is>
      </c>
      <c r="B1046" s="1" t="n">
        <v>45534.63537037037</v>
      </c>
      <c r="C1046" s="1" t="n">
        <v>45941</v>
      </c>
      <c r="D1046" t="inlineStr">
        <is>
          <t>JÄMTLANDS LÄN</t>
        </is>
      </c>
      <c r="E1046" t="inlineStr">
        <is>
          <t>RAGUNDA</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36226-2023</t>
        </is>
      </c>
      <c r="B1047" s="1" t="n">
        <v>45149.95372685185</v>
      </c>
      <c r="C1047" s="1" t="n">
        <v>45941</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59368-2022</t>
        </is>
      </c>
      <c r="B1048" s="1" t="n">
        <v>44904.94824074074</v>
      </c>
      <c r="C1048" s="1" t="n">
        <v>45941</v>
      </c>
      <c r="D1048" t="inlineStr">
        <is>
          <t>JÄMTLANDS LÄN</t>
        </is>
      </c>
      <c r="E1048" t="inlineStr">
        <is>
          <t>RAGUNDA</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893-2025</t>
        </is>
      </c>
      <c r="B1049" s="1" t="n">
        <v>45665.65684027778</v>
      </c>
      <c r="C1049" s="1" t="n">
        <v>45941</v>
      </c>
      <c r="D1049" t="inlineStr">
        <is>
          <t>JÄMTLANDS LÄN</t>
        </is>
      </c>
      <c r="E1049" t="inlineStr">
        <is>
          <t>RAGUNDA</t>
        </is>
      </c>
      <c r="F1049" t="inlineStr">
        <is>
          <t>SCA</t>
        </is>
      </c>
      <c r="G1049" t="n">
        <v>45.1</v>
      </c>
      <c r="H1049" t="n">
        <v>0</v>
      </c>
      <c r="I1049" t="n">
        <v>0</v>
      </c>
      <c r="J1049" t="n">
        <v>0</v>
      </c>
      <c r="K1049" t="n">
        <v>0</v>
      </c>
      <c r="L1049" t="n">
        <v>0</v>
      </c>
      <c r="M1049" t="n">
        <v>0</v>
      </c>
      <c r="N1049" t="n">
        <v>0</v>
      </c>
      <c r="O1049" t="n">
        <v>0</v>
      </c>
      <c r="P1049" t="n">
        <v>0</v>
      </c>
      <c r="Q1049" t="n">
        <v>0</v>
      </c>
      <c r="R1049" s="2" t="inlineStr"/>
    </row>
    <row r="1050" ht="15" customHeight="1">
      <c r="A1050" t="inlineStr">
        <is>
          <t>A 7520-2023</t>
        </is>
      </c>
      <c r="B1050" s="1" t="n">
        <v>44971</v>
      </c>
      <c r="C1050" s="1" t="n">
        <v>45941</v>
      </c>
      <c r="D1050" t="inlineStr">
        <is>
          <t>JÄMTLANDS LÄN</t>
        </is>
      </c>
      <c r="E1050" t="inlineStr">
        <is>
          <t>RAGUNDA</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53549-2024</t>
        </is>
      </c>
      <c r="B1051" s="1" t="n">
        <v>45614.63869212963</v>
      </c>
      <c r="C1051" s="1" t="n">
        <v>45941</v>
      </c>
      <c r="D1051" t="inlineStr">
        <is>
          <t>JÄMTLANDS LÄN</t>
        </is>
      </c>
      <c r="E1051" t="inlineStr">
        <is>
          <t>RAGUNDA</t>
        </is>
      </c>
      <c r="F1051" t="inlineStr">
        <is>
          <t>Kyrkan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53955-2022</t>
        </is>
      </c>
      <c r="B1052" s="1" t="n">
        <v>44880.95741898148</v>
      </c>
      <c r="C1052" s="1" t="n">
        <v>45941</v>
      </c>
      <c r="D1052" t="inlineStr">
        <is>
          <t>JÄMTLANDS LÄN</t>
        </is>
      </c>
      <c r="E1052" t="inlineStr">
        <is>
          <t>RAGUNDA</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9567-2025</t>
        </is>
      </c>
      <c r="B1053" s="1" t="n">
        <v>45715.61523148148</v>
      </c>
      <c r="C1053" s="1" t="n">
        <v>45941</v>
      </c>
      <c r="D1053" t="inlineStr">
        <is>
          <t>JÄMTLANDS LÄN</t>
        </is>
      </c>
      <c r="E1053" t="inlineStr">
        <is>
          <t>RAGUNDA</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53287-2022</t>
        </is>
      </c>
      <c r="B1054" s="1" t="n">
        <v>44876</v>
      </c>
      <c r="C1054" s="1" t="n">
        <v>45941</v>
      </c>
      <c r="D1054" t="inlineStr">
        <is>
          <t>JÄMTLANDS LÄN</t>
        </is>
      </c>
      <c r="E1054" t="inlineStr">
        <is>
          <t>RAGUNDA</t>
        </is>
      </c>
      <c r="F1054" t="inlineStr">
        <is>
          <t>SCA</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51646-2023</t>
        </is>
      </c>
      <c r="B1055" s="1" t="n">
        <v>45215</v>
      </c>
      <c r="C1055" s="1" t="n">
        <v>45941</v>
      </c>
      <c r="D1055" t="inlineStr">
        <is>
          <t>JÄMTLANDS LÄN</t>
        </is>
      </c>
      <c r="E1055" t="inlineStr">
        <is>
          <t>RAGUNDA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29319-2023</t>
        </is>
      </c>
      <c r="B1056" s="1" t="n">
        <v>45105</v>
      </c>
      <c r="C1056" s="1" t="n">
        <v>45941</v>
      </c>
      <c r="D1056" t="inlineStr">
        <is>
          <t>JÄMTLANDS LÄN</t>
        </is>
      </c>
      <c r="E1056" t="inlineStr">
        <is>
          <t>RAGUNDA</t>
        </is>
      </c>
      <c r="F1056" t="inlineStr">
        <is>
          <t>SCA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17323-2025</t>
        </is>
      </c>
      <c r="B1057" s="1" t="n">
        <v>45756.63601851852</v>
      </c>
      <c r="C1057" s="1" t="n">
        <v>45941</v>
      </c>
      <c r="D1057" t="inlineStr">
        <is>
          <t>JÄMTLANDS LÄN</t>
        </is>
      </c>
      <c r="E1057" t="inlineStr">
        <is>
          <t>RAGUNDA</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19486-2024</t>
        </is>
      </c>
      <c r="B1058" s="1" t="n">
        <v>45429</v>
      </c>
      <c r="C1058" s="1" t="n">
        <v>45941</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13941-2025</t>
        </is>
      </c>
      <c r="B1059" s="1" t="n">
        <v>45737.69822916666</v>
      </c>
      <c r="C1059" s="1" t="n">
        <v>45941</v>
      </c>
      <c r="D1059" t="inlineStr">
        <is>
          <t>JÄMTLANDS LÄN</t>
        </is>
      </c>
      <c r="E1059" t="inlineStr">
        <is>
          <t>RAGUNDA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26646-2023</t>
        </is>
      </c>
      <c r="B1060" s="1" t="n">
        <v>45092</v>
      </c>
      <c r="C1060" s="1" t="n">
        <v>45941</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27291-2022</t>
        </is>
      </c>
      <c r="B1061" s="1" t="n">
        <v>44741.94070601852</v>
      </c>
      <c r="C1061" s="1" t="n">
        <v>45941</v>
      </c>
      <c r="D1061" t="inlineStr">
        <is>
          <t>JÄMTLANDS LÄN</t>
        </is>
      </c>
      <c r="E1061" t="inlineStr">
        <is>
          <t>RAGUNDA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49650-2024</t>
        </is>
      </c>
      <c r="B1062" s="1" t="n">
        <v>45596.61569444444</v>
      </c>
      <c r="C1062" s="1" t="n">
        <v>45941</v>
      </c>
      <c r="D1062" t="inlineStr">
        <is>
          <t>JÄMTLANDS LÄN</t>
        </is>
      </c>
      <c r="E1062" t="inlineStr">
        <is>
          <t>RAGUNDA</t>
        </is>
      </c>
      <c r="F1062" t="inlineStr">
        <is>
          <t>Naturvårdsverket</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49651-2024</t>
        </is>
      </c>
      <c r="B1063" s="1" t="n">
        <v>45596.61582175926</v>
      </c>
      <c r="C1063" s="1" t="n">
        <v>45941</v>
      </c>
      <c r="D1063" t="inlineStr">
        <is>
          <t>JÄMTLANDS LÄN</t>
        </is>
      </c>
      <c r="E1063" t="inlineStr">
        <is>
          <t>RAGUNDA</t>
        </is>
      </c>
      <c r="F1063" t="inlineStr">
        <is>
          <t>SCA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6477-2024</t>
        </is>
      </c>
      <c r="B1064" s="1" t="n">
        <v>45338.95405092592</v>
      </c>
      <c r="C1064" s="1" t="n">
        <v>45941</v>
      </c>
      <c r="D1064" t="inlineStr">
        <is>
          <t>JÄMTLANDS LÄN</t>
        </is>
      </c>
      <c r="E1064" t="inlineStr">
        <is>
          <t>RAGUNDA</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60443-2023</t>
        </is>
      </c>
      <c r="B1065" s="1" t="n">
        <v>45258</v>
      </c>
      <c r="C1065" s="1" t="n">
        <v>45941</v>
      </c>
      <c r="D1065" t="inlineStr">
        <is>
          <t>JÄMTLANDS LÄN</t>
        </is>
      </c>
      <c r="E1065" t="inlineStr">
        <is>
          <t>RAGUNDA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44759-2024</t>
        </is>
      </c>
      <c r="B1066" s="1" t="n">
        <v>45574.61634259259</v>
      </c>
      <c r="C1066" s="1" t="n">
        <v>45941</v>
      </c>
      <c r="D1066" t="inlineStr">
        <is>
          <t>JÄMTLANDS LÄN</t>
        </is>
      </c>
      <c r="E1066" t="inlineStr">
        <is>
          <t>RAGUNDA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993-2025</t>
        </is>
      </c>
      <c r="B1067" s="1" t="n">
        <v>45666.44943287037</v>
      </c>
      <c r="C1067" s="1" t="n">
        <v>45941</v>
      </c>
      <c r="D1067" t="inlineStr">
        <is>
          <t>JÄMTLANDS LÄN</t>
        </is>
      </c>
      <c r="E1067" t="inlineStr">
        <is>
          <t>RAGUNDA</t>
        </is>
      </c>
      <c r="G1067" t="n">
        <v>11.3</v>
      </c>
      <c r="H1067" t="n">
        <v>0</v>
      </c>
      <c r="I1067" t="n">
        <v>0</v>
      </c>
      <c r="J1067" t="n">
        <v>0</v>
      </c>
      <c r="K1067" t="n">
        <v>0</v>
      </c>
      <c r="L1067" t="n">
        <v>0</v>
      </c>
      <c r="M1067" t="n">
        <v>0</v>
      </c>
      <c r="N1067" t="n">
        <v>0</v>
      </c>
      <c r="O1067" t="n">
        <v>0</v>
      </c>
      <c r="P1067" t="n">
        <v>0</v>
      </c>
      <c r="Q1067" t="n">
        <v>0</v>
      </c>
      <c r="R1067" s="2" t="inlineStr"/>
    </row>
    <row r="1068" ht="15" customHeight="1">
      <c r="A1068" t="inlineStr">
        <is>
          <t>A 57064-2024</t>
        </is>
      </c>
      <c r="B1068" s="1" t="n">
        <v>45629.35326388889</v>
      </c>
      <c r="C1068" s="1" t="n">
        <v>45941</v>
      </c>
      <c r="D1068" t="inlineStr">
        <is>
          <t>JÄMTLANDS LÄN</t>
        </is>
      </c>
      <c r="E1068" t="inlineStr">
        <is>
          <t>RAGUNDA</t>
        </is>
      </c>
      <c r="F1068" t="inlineStr">
        <is>
          <t>Naturvårdsverket</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60936-2024</t>
        </is>
      </c>
      <c r="B1069" s="1" t="n">
        <v>45645.36743055555</v>
      </c>
      <c r="C1069" s="1" t="n">
        <v>45941</v>
      </c>
      <c r="D1069" t="inlineStr">
        <is>
          <t>JÄMTLANDS LÄN</t>
        </is>
      </c>
      <c r="E1069" t="inlineStr">
        <is>
          <t>RAGUNDA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5930-2025</t>
        </is>
      </c>
      <c r="B1070" s="1" t="n">
        <v>45695.44724537037</v>
      </c>
      <c r="C1070" s="1" t="n">
        <v>45941</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58847-2024</t>
        </is>
      </c>
      <c r="B1071" s="1" t="n">
        <v>45636.3864699074</v>
      </c>
      <c r="C1071" s="1" t="n">
        <v>45941</v>
      </c>
      <c r="D1071" t="inlineStr">
        <is>
          <t>JÄMTLANDS LÄN</t>
        </is>
      </c>
      <c r="E1071" t="inlineStr">
        <is>
          <t>RAGUNDA</t>
        </is>
      </c>
      <c r="F1071" t="inlineStr">
        <is>
          <t>SCA</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7722-2023</t>
        </is>
      </c>
      <c r="B1072" s="1" t="n">
        <v>44972.94140046297</v>
      </c>
      <c r="C1072" s="1" t="n">
        <v>45941</v>
      </c>
      <c r="D1072" t="inlineStr">
        <is>
          <t>JÄMTLANDS LÄN</t>
        </is>
      </c>
      <c r="E1072" t="inlineStr">
        <is>
          <t>RAGUNDA</t>
        </is>
      </c>
      <c r="F1072" t="inlineStr">
        <is>
          <t>SCA</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20653-2025</t>
        </is>
      </c>
      <c r="B1073" s="1" t="n">
        <v>45776.40311342593</v>
      </c>
      <c r="C1073" s="1" t="n">
        <v>45941</v>
      </c>
      <c r="D1073" t="inlineStr">
        <is>
          <t>JÄMTLANDS LÄN</t>
        </is>
      </c>
      <c r="E1073" t="inlineStr">
        <is>
          <t>RAGUNDA</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20777-2025</t>
        </is>
      </c>
      <c r="B1074" s="1" t="n">
        <v>45776.59422453704</v>
      </c>
      <c r="C1074" s="1" t="n">
        <v>45941</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20722-2025</t>
        </is>
      </c>
      <c r="B1075" s="1" t="n">
        <v>45776.50651620371</v>
      </c>
      <c r="C1075" s="1" t="n">
        <v>45941</v>
      </c>
      <c r="D1075" t="inlineStr">
        <is>
          <t>JÄMTLANDS LÄN</t>
        </is>
      </c>
      <c r="E1075" t="inlineStr">
        <is>
          <t>RAGUNDA</t>
        </is>
      </c>
      <c r="F1075" t="inlineStr">
        <is>
          <t>Kommuner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20728-2025</t>
        </is>
      </c>
      <c r="B1076" s="1" t="n">
        <v>45776.51130787037</v>
      </c>
      <c r="C1076" s="1" t="n">
        <v>45941</v>
      </c>
      <c r="D1076" t="inlineStr">
        <is>
          <t>JÄMTLANDS LÄN</t>
        </is>
      </c>
      <c r="E1076" t="inlineStr">
        <is>
          <t>RAGUNDA</t>
        </is>
      </c>
      <c r="F1076" t="inlineStr">
        <is>
          <t>Kommuner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21332-2025</t>
        </is>
      </c>
      <c r="B1077" s="1" t="n">
        <v>45782.36506944444</v>
      </c>
      <c r="C1077" s="1" t="n">
        <v>45941</v>
      </c>
      <c r="D1077" t="inlineStr">
        <is>
          <t>JÄMTLANDS LÄN</t>
        </is>
      </c>
      <c r="E1077" t="inlineStr">
        <is>
          <t>RAGUNDA</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21430-2025</t>
        </is>
      </c>
      <c r="B1078" s="1" t="n">
        <v>45782.51099537037</v>
      </c>
      <c r="C1078" s="1" t="n">
        <v>45941</v>
      </c>
      <c r="D1078" t="inlineStr">
        <is>
          <t>JÄMTLANDS LÄN</t>
        </is>
      </c>
      <c r="E1078" t="inlineStr">
        <is>
          <t>RAGUNDA</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21432-2025</t>
        </is>
      </c>
      <c r="B1079" s="1" t="n">
        <v>45782.51109953703</v>
      </c>
      <c r="C1079" s="1" t="n">
        <v>45941</v>
      </c>
      <c r="D1079" t="inlineStr">
        <is>
          <t>JÄMTLANDS LÄN</t>
        </is>
      </c>
      <c r="E1079" t="inlineStr">
        <is>
          <t>RAGUNDA</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21550-2025</t>
        </is>
      </c>
      <c r="B1080" s="1" t="n">
        <v>45782.67758101852</v>
      </c>
      <c r="C1080" s="1" t="n">
        <v>45941</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21451-2025</t>
        </is>
      </c>
      <c r="B1081" s="1" t="n">
        <v>45782.55287037037</v>
      </c>
      <c r="C1081" s="1" t="n">
        <v>45941</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21150-2025</t>
        </is>
      </c>
      <c r="B1082" s="1" t="n">
        <v>45779.34417824074</v>
      </c>
      <c r="C1082" s="1" t="n">
        <v>45941</v>
      </c>
      <c r="D1082" t="inlineStr">
        <is>
          <t>JÄMTLANDS LÄN</t>
        </is>
      </c>
      <c r="E1082" t="inlineStr">
        <is>
          <t>RAGUNDA</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21331-2025</t>
        </is>
      </c>
      <c r="B1083" s="1" t="n">
        <v>45782.36494212963</v>
      </c>
      <c r="C1083" s="1" t="n">
        <v>45941</v>
      </c>
      <c r="D1083" t="inlineStr">
        <is>
          <t>JÄMTLANDS LÄN</t>
        </is>
      </c>
      <c r="E1083" t="inlineStr">
        <is>
          <t>RAGUNDA</t>
        </is>
      </c>
      <c r="F1083" t="inlineStr">
        <is>
          <t>SCA</t>
        </is>
      </c>
      <c r="G1083" t="n">
        <v>23.1</v>
      </c>
      <c r="H1083" t="n">
        <v>0</v>
      </c>
      <c r="I1083" t="n">
        <v>0</v>
      </c>
      <c r="J1083" t="n">
        <v>0</v>
      </c>
      <c r="K1083" t="n">
        <v>0</v>
      </c>
      <c r="L1083" t="n">
        <v>0</v>
      </c>
      <c r="M1083" t="n">
        <v>0</v>
      </c>
      <c r="N1083" t="n">
        <v>0</v>
      </c>
      <c r="O1083" t="n">
        <v>0</v>
      </c>
      <c r="P1083" t="n">
        <v>0</v>
      </c>
      <c r="Q1083" t="n">
        <v>0</v>
      </c>
      <c r="R1083" s="2" t="inlineStr"/>
      <c r="U1083">
        <f>HYPERLINK("https://klasma.github.io/Logging_2303/knärot/A 21331-2025 karta knärot.png", "A 21331-2025")</f>
        <v/>
      </c>
      <c r="V1083">
        <f>HYPERLINK("https://klasma.github.io/Logging_2303/klagomål/A 21331-2025 FSC-klagomål.docx", "A 21331-2025")</f>
        <v/>
      </c>
      <c r="W1083">
        <f>HYPERLINK("https://klasma.github.io/Logging_2303/klagomålsmail/A 21331-2025 FSC-klagomål mail.docx", "A 21331-2025")</f>
        <v/>
      </c>
      <c r="X1083">
        <f>HYPERLINK("https://klasma.github.io/Logging_2303/tillsyn/A 21331-2025 tillsynsbegäran.docx", "A 21331-2025")</f>
        <v/>
      </c>
      <c r="Y1083">
        <f>HYPERLINK("https://klasma.github.io/Logging_2303/tillsynsmail/A 21331-2025 tillsynsbegäran mail.docx", "A 21331-2025")</f>
        <v/>
      </c>
    </row>
    <row r="1084" ht="15" customHeight="1">
      <c r="A1084" t="inlineStr">
        <is>
          <t>A 21214-2025</t>
        </is>
      </c>
      <c r="B1084" s="1" t="n">
        <v>45779.49025462963</v>
      </c>
      <c r="C1084" s="1" t="n">
        <v>45941</v>
      </c>
      <c r="D1084" t="inlineStr">
        <is>
          <t>JÄMTLANDS LÄN</t>
        </is>
      </c>
      <c r="E1084" t="inlineStr">
        <is>
          <t>RAGUNDA</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22941-2024</t>
        </is>
      </c>
      <c r="B1085" s="1" t="n">
        <v>45448.94520833333</v>
      </c>
      <c r="C1085" s="1" t="n">
        <v>45941</v>
      </c>
      <c r="D1085" t="inlineStr">
        <is>
          <t>JÄMTLANDS LÄN</t>
        </is>
      </c>
      <c r="E1085" t="inlineStr">
        <is>
          <t>RAGUNDA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44881-2023</t>
        </is>
      </c>
      <c r="B1086" s="1" t="n">
        <v>45187</v>
      </c>
      <c r="C1086" s="1" t="n">
        <v>45941</v>
      </c>
      <c r="D1086" t="inlineStr">
        <is>
          <t>JÄMTLANDS LÄN</t>
        </is>
      </c>
      <c r="E1086" t="inlineStr">
        <is>
          <t>RAGUNDA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60629-2023</t>
        </is>
      </c>
      <c r="B1087" s="1" t="n">
        <v>45259</v>
      </c>
      <c r="C1087" s="1" t="n">
        <v>45941</v>
      </c>
      <c r="D1087" t="inlineStr">
        <is>
          <t>JÄMTLANDS LÄN</t>
        </is>
      </c>
      <c r="E1087" t="inlineStr">
        <is>
          <t>RAGUNDA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44066-2024</t>
        </is>
      </c>
      <c r="B1088" s="1" t="n">
        <v>45572.60363425926</v>
      </c>
      <c r="C1088" s="1" t="n">
        <v>45941</v>
      </c>
      <c r="D1088" t="inlineStr">
        <is>
          <t>JÄMTLANDS LÄN</t>
        </is>
      </c>
      <c r="E1088" t="inlineStr">
        <is>
          <t>RAGUNDA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57889-2024</t>
        </is>
      </c>
      <c r="B1089" s="1" t="n">
        <v>45631.46665509259</v>
      </c>
      <c r="C1089" s="1" t="n">
        <v>45941</v>
      </c>
      <c r="D1089" t="inlineStr">
        <is>
          <t>JÄMTLANDS LÄN</t>
        </is>
      </c>
      <c r="E1089" t="inlineStr">
        <is>
          <t>RAGUNDA</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22388-2025</t>
        </is>
      </c>
      <c r="B1090" s="1" t="n">
        <v>45786.51077546296</v>
      </c>
      <c r="C1090" s="1" t="n">
        <v>45941</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22898-2025</t>
        </is>
      </c>
      <c r="B1091" s="1" t="n">
        <v>45790.40670138889</v>
      </c>
      <c r="C1091" s="1" t="n">
        <v>45941</v>
      </c>
      <c r="D1091" t="inlineStr">
        <is>
          <t>JÄMTLANDS LÄN</t>
        </is>
      </c>
      <c r="E1091" t="inlineStr">
        <is>
          <t>RAGUNDA</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23405-2025</t>
        </is>
      </c>
      <c r="B1092" s="1" t="n">
        <v>45792.34527777778</v>
      </c>
      <c r="C1092" s="1" t="n">
        <v>45941</v>
      </c>
      <c r="D1092" t="inlineStr">
        <is>
          <t>JÄMTLANDS LÄN</t>
        </is>
      </c>
      <c r="E1092" t="inlineStr">
        <is>
          <t>RAGUNDA</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23654-2025</t>
        </is>
      </c>
      <c r="B1093" s="1" t="n">
        <v>45792.71905092592</v>
      </c>
      <c r="C1093" s="1" t="n">
        <v>45941</v>
      </c>
      <c r="D1093" t="inlineStr">
        <is>
          <t>JÄMTLANDS LÄN</t>
        </is>
      </c>
      <c r="E1093" t="inlineStr">
        <is>
          <t>RAGUNDA</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23507-2025</t>
        </is>
      </c>
      <c r="B1094" s="1" t="n">
        <v>45792.49023148148</v>
      </c>
      <c r="C1094" s="1" t="n">
        <v>45941</v>
      </c>
      <c r="D1094" t="inlineStr">
        <is>
          <t>JÄMTLANDS LÄN</t>
        </is>
      </c>
      <c r="E1094" t="inlineStr">
        <is>
          <t>RAGUNDA</t>
        </is>
      </c>
      <c r="F1094" t="inlineStr">
        <is>
          <t>SCA</t>
        </is>
      </c>
      <c r="G1094" t="n">
        <v>16.4</v>
      </c>
      <c r="H1094" t="n">
        <v>0</v>
      </c>
      <c r="I1094" t="n">
        <v>0</v>
      </c>
      <c r="J1094" t="n">
        <v>0</v>
      </c>
      <c r="K1094" t="n">
        <v>0</v>
      </c>
      <c r="L1094" t="n">
        <v>0</v>
      </c>
      <c r="M1094" t="n">
        <v>0</v>
      </c>
      <c r="N1094" t="n">
        <v>0</v>
      </c>
      <c r="O1094" t="n">
        <v>0</v>
      </c>
      <c r="P1094" t="n">
        <v>0</v>
      </c>
      <c r="Q1094" t="n">
        <v>0</v>
      </c>
      <c r="R1094" s="2" t="inlineStr"/>
    </row>
    <row r="1095" ht="15" customHeight="1">
      <c r="A1095" t="inlineStr">
        <is>
          <t>A 23586-2025</t>
        </is>
      </c>
      <c r="B1095" s="1" t="n">
        <v>45792.63584490741</v>
      </c>
      <c r="C1095" s="1" t="n">
        <v>45941</v>
      </c>
      <c r="D1095" t="inlineStr">
        <is>
          <t>JÄMTLANDS LÄN</t>
        </is>
      </c>
      <c r="E1095" t="inlineStr">
        <is>
          <t>RAGUNDA</t>
        </is>
      </c>
      <c r="F1095" t="inlineStr">
        <is>
          <t>SCA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23413-2025</t>
        </is>
      </c>
      <c r="B1096" s="1" t="n">
        <v>45792.34606481482</v>
      </c>
      <c r="C1096" s="1" t="n">
        <v>45941</v>
      </c>
      <c r="D1096" t="inlineStr">
        <is>
          <t>JÄMTLANDS LÄN</t>
        </is>
      </c>
      <c r="E1096" t="inlineStr">
        <is>
          <t>RAGUNDA</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23253-2025</t>
        </is>
      </c>
      <c r="B1097" s="1" t="n">
        <v>45791.53238425926</v>
      </c>
      <c r="C1097" s="1" t="n">
        <v>45941</v>
      </c>
      <c r="D1097" t="inlineStr">
        <is>
          <t>JÄMTLANDS LÄN</t>
        </is>
      </c>
      <c r="E1097" t="inlineStr">
        <is>
          <t>RAGUNDA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18284-2025</t>
        </is>
      </c>
      <c r="B1098" s="1" t="n">
        <v>45762.39876157408</v>
      </c>
      <c r="C1098" s="1" t="n">
        <v>45941</v>
      </c>
      <c r="D1098" t="inlineStr">
        <is>
          <t>JÄMTLANDS LÄN</t>
        </is>
      </c>
      <c r="E1098" t="inlineStr">
        <is>
          <t>RAGUNDA</t>
        </is>
      </c>
      <c r="G1098" t="n">
        <v>0.2</v>
      </c>
      <c r="H1098" t="n">
        <v>0</v>
      </c>
      <c r="I1098" t="n">
        <v>0</v>
      </c>
      <c r="J1098" t="n">
        <v>0</v>
      </c>
      <c r="K1098" t="n">
        <v>0</v>
      </c>
      <c r="L1098" t="n">
        <v>0</v>
      </c>
      <c r="M1098" t="n">
        <v>0</v>
      </c>
      <c r="N1098" t="n">
        <v>0</v>
      </c>
      <c r="O1098" t="n">
        <v>0</v>
      </c>
      <c r="P1098" t="n">
        <v>0</v>
      </c>
      <c r="Q1098" t="n">
        <v>0</v>
      </c>
      <c r="R1098" s="2" t="inlineStr"/>
      <c r="U1098">
        <f>HYPERLINK("https://klasma.github.io/Logging_2303/knärot/A 18284-2025 karta knärot.png", "A 18284-2025")</f>
        <v/>
      </c>
      <c r="V1098">
        <f>HYPERLINK("https://klasma.github.io/Logging_2303/klagomål/A 18284-2025 FSC-klagomål.docx", "A 18284-2025")</f>
        <v/>
      </c>
      <c r="W1098">
        <f>HYPERLINK("https://klasma.github.io/Logging_2303/klagomålsmail/A 18284-2025 FSC-klagomål mail.docx", "A 18284-2025")</f>
        <v/>
      </c>
      <c r="X1098">
        <f>HYPERLINK("https://klasma.github.io/Logging_2303/tillsyn/A 18284-2025 tillsynsbegäran.docx", "A 18284-2025")</f>
        <v/>
      </c>
      <c r="Y1098">
        <f>HYPERLINK("https://klasma.github.io/Logging_2303/tillsynsmail/A 18284-2025 tillsynsbegäran mail.docx", "A 18284-2025")</f>
        <v/>
      </c>
    </row>
    <row r="1099" ht="15" customHeight="1">
      <c r="A1099" t="inlineStr">
        <is>
          <t>A 19263-2025</t>
        </is>
      </c>
      <c r="B1099" s="1" t="n">
        <v>45769.51075231482</v>
      </c>
      <c r="C1099" s="1" t="n">
        <v>45941</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23840-2025</t>
        </is>
      </c>
      <c r="B1100" s="1" t="n">
        <v>45793</v>
      </c>
      <c r="C1100" s="1" t="n">
        <v>45941</v>
      </c>
      <c r="D1100" t="inlineStr">
        <is>
          <t>JÄMTLANDS LÄN</t>
        </is>
      </c>
      <c r="E1100" t="inlineStr">
        <is>
          <t>RAGUNDA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24158-2025</t>
        </is>
      </c>
      <c r="B1101" s="1" t="n">
        <v>45796</v>
      </c>
      <c r="C1101" s="1" t="n">
        <v>45941</v>
      </c>
      <c r="D1101" t="inlineStr">
        <is>
          <t>JÄMTLANDS LÄN</t>
        </is>
      </c>
      <c r="E1101" t="inlineStr">
        <is>
          <t>RAGUNDA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24161-2025</t>
        </is>
      </c>
      <c r="B1102" s="1" t="n">
        <v>45796</v>
      </c>
      <c r="C1102" s="1" t="n">
        <v>45941</v>
      </c>
      <c r="D1102" t="inlineStr">
        <is>
          <t>JÄMTLANDS LÄN</t>
        </is>
      </c>
      <c r="E1102" t="inlineStr">
        <is>
          <t>RAGUNDA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23841-2025</t>
        </is>
      </c>
      <c r="B1103" s="1" t="n">
        <v>45793.61523148148</v>
      </c>
      <c r="C1103" s="1" t="n">
        <v>45941</v>
      </c>
      <c r="D1103" t="inlineStr">
        <is>
          <t>JÄMTLANDS LÄN</t>
        </is>
      </c>
      <c r="E1103" t="inlineStr">
        <is>
          <t>RAGUNDA</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24159-2025</t>
        </is>
      </c>
      <c r="B1104" s="1" t="n">
        <v>45796</v>
      </c>
      <c r="C1104" s="1" t="n">
        <v>45941</v>
      </c>
      <c r="D1104" t="inlineStr">
        <is>
          <t>JÄMTLANDS LÄN</t>
        </is>
      </c>
      <c r="E1104" t="inlineStr">
        <is>
          <t>RAGUNDA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21524-2024</t>
        </is>
      </c>
      <c r="B1105" s="1" t="n">
        <v>45441</v>
      </c>
      <c r="C1105" s="1" t="n">
        <v>45941</v>
      </c>
      <c r="D1105" t="inlineStr">
        <is>
          <t>JÄMTLANDS LÄN</t>
        </is>
      </c>
      <c r="E1105" t="inlineStr">
        <is>
          <t>RAGUNDA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62407-2023</t>
        </is>
      </c>
      <c r="B1106" s="1" t="n">
        <v>45266</v>
      </c>
      <c r="C1106" s="1" t="n">
        <v>45941</v>
      </c>
      <c r="D1106" t="inlineStr">
        <is>
          <t>JÄMTLANDS LÄN</t>
        </is>
      </c>
      <c r="E1106" t="inlineStr">
        <is>
          <t>RAGUNDA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38191-2024</t>
        </is>
      </c>
      <c r="B1107" s="1" t="n">
        <v>45545.49078703704</v>
      </c>
      <c r="C1107" s="1" t="n">
        <v>45941</v>
      </c>
      <c r="D1107" t="inlineStr">
        <is>
          <t>JÄMTLANDS LÄN</t>
        </is>
      </c>
      <c r="E1107" t="inlineStr">
        <is>
          <t>RAGUNDA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24391-2025</t>
        </is>
      </c>
      <c r="B1108" s="1" t="n">
        <v>45797.63627314815</v>
      </c>
      <c r="C1108" s="1" t="n">
        <v>45941</v>
      </c>
      <c r="D1108" t="inlineStr">
        <is>
          <t>JÄMTLANDS LÄN</t>
        </is>
      </c>
      <c r="E1108" t="inlineStr">
        <is>
          <t>RAGUNDA</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25376-2025</t>
        </is>
      </c>
      <c r="B1109" s="1" t="n">
        <v>45800.63619212963</v>
      </c>
      <c r="C1109" s="1" t="n">
        <v>45941</v>
      </c>
      <c r="D1109" t="inlineStr">
        <is>
          <t>JÄMTLANDS LÄN</t>
        </is>
      </c>
      <c r="E1109" t="inlineStr">
        <is>
          <t>RAGUNDA</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25350-2025</t>
        </is>
      </c>
      <c r="B1110" s="1" t="n">
        <v>45800</v>
      </c>
      <c r="C1110" s="1" t="n">
        <v>45941</v>
      </c>
      <c r="D1110" t="inlineStr">
        <is>
          <t>JÄMTLANDS LÄN</t>
        </is>
      </c>
      <c r="E1110" t="inlineStr">
        <is>
          <t>RAGUNDA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25152-2025</t>
        </is>
      </c>
      <c r="B1111" s="1" t="n">
        <v>45800.42743055556</v>
      </c>
      <c r="C1111" s="1" t="n">
        <v>45941</v>
      </c>
      <c r="D1111" t="inlineStr">
        <is>
          <t>JÄMTLANDS LÄN</t>
        </is>
      </c>
      <c r="E1111" t="inlineStr">
        <is>
          <t>RAGUNDA</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25175-2025</t>
        </is>
      </c>
      <c r="B1112" s="1" t="n">
        <v>45800.44822916666</v>
      </c>
      <c r="C1112" s="1" t="n">
        <v>45941</v>
      </c>
      <c r="D1112" t="inlineStr">
        <is>
          <t>JÄMTLANDS LÄN</t>
        </is>
      </c>
      <c r="E1112" t="inlineStr">
        <is>
          <t>RAGUNDA</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25177-2025</t>
        </is>
      </c>
      <c r="B1113" s="1" t="n">
        <v>45800.44862268519</v>
      </c>
      <c r="C1113" s="1" t="n">
        <v>45941</v>
      </c>
      <c r="D1113" t="inlineStr">
        <is>
          <t>JÄMTLANDS LÄN</t>
        </is>
      </c>
      <c r="E1113" t="inlineStr">
        <is>
          <t>RAGUNDA</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25631-2025</t>
        </is>
      </c>
      <c r="B1114" s="1" t="n">
        <v>45803.5946875</v>
      </c>
      <c r="C1114" s="1" t="n">
        <v>45941</v>
      </c>
      <c r="D1114" t="inlineStr">
        <is>
          <t>JÄMTLANDS LÄN</t>
        </is>
      </c>
      <c r="E1114" t="inlineStr">
        <is>
          <t>RAGUNDA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25659-2025</t>
        </is>
      </c>
      <c r="B1115" s="1" t="n">
        <v>45803.61552083334</v>
      </c>
      <c r="C1115" s="1" t="n">
        <v>45941</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25661-2025</t>
        </is>
      </c>
      <c r="B1116" s="1" t="n">
        <v>45803.61557870371</v>
      </c>
      <c r="C1116" s="1" t="n">
        <v>45941</v>
      </c>
      <c r="D1116" t="inlineStr">
        <is>
          <t>JÄMTLANDS LÄN</t>
        </is>
      </c>
      <c r="E1116" t="inlineStr">
        <is>
          <t>RAGUNDA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25944-2025</t>
        </is>
      </c>
      <c r="B1117" s="1" t="n">
        <v>45804.59487268519</v>
      </c>
      <c r="C1117" s="1" t="n">
        <v>45941</v>
      </c>
      <c r="D1117" t="inlineStr">
        <is>
          <t>JÄMTLANDS LÄN</t>
        </is>
      </c>
      <c r="E1117" t="inlineStr">
        <is>
          <t>RAGUNDA</t>
        </is>
      </c>
      <c r="F1117" t="inlineStr">
        <is>
          <t>SCA</t>
        </is>
      </c>
      <c r="G1117" t="n">
        <v>1</v>
      </c>
      <c r="H1117" t="n">
        <v>0</v>
      </c>
      <c r="I1117" t="n">
        <v>0</v>
      </c>
      <c r="J1117" t="n">
        <v>0</v>
      </c>
      <c r="K1117" t="n">
        <v>0</v>
      </c>
      <c r="L1117" t="n">
        <v>0</v>
      </c>
      <c r="M1117" t="n">
        <v>0</v>
      </c>
      <c r="N1117" t="n">
        <v>0</v>
      </c>
      <c r="O1117" t="n">
        <v>0</v>
      </c>
      <c r="P1117" t="n">
        <v>0</v>
      </c>
      <c r="Q1117" t="n">
        <v>0</v>
      </c>
      <c r="R1117" s="2" t="inlineStr"/>
    </row>
    <row r="1118">
      <c r="A1118" t="inlineStr">
        <is>
          <t>A 25814-2025</t>
        </is>
      </c>
      <c r="B1118" s="1" t="n">
        <v>45804.42642361111</v>
      </c>
      <c r="C1118" s="1" t="n">
        <v>45941</v>
      </c>
      <c r="D1118" t="inlineStr">
        <is>
          <t>JÄMTLANDS LÄN</t>
        </is>
      </c>
      <c r="E1118" t="inlineStr">
        <is>
          <t>RAGUNDA</t>
        </is>
      </c>
      <c r="G1118" t="n">
        <v>0.8</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2025-10-11T12:37:46Z</dcterms:created>
  <dcterms:modified xmlns:dcterms="http://purl.org/dc/terms/" xmlns:xsi="http://www.w3.org/2001/XMLSchema-instance" xsi:type="dcterms:W3CDTF">2025-10-11T12:37:47Z</dcterms:modified>
</cp:coreProperties>
</file>