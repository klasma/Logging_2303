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45880</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45880</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32651-2025</t>
        </is>
      </c>
      <c r="B8" s="1" t="n">
        <v>45838.67753472222</v>
      </c>
      <c r="C8" s="1" t="n">
        <v>45880</v>
      </c>
      <c r="D8" t="inlineStr">
        <is>
          <t>JÄMTLANDS LÄN</t>
        </is>
      </c>
      <c r="E8" t="inlineStr">
        <is>
          <t>RAGUNDA</t>
        </is>
      </c>
      <c r="G8" t="n">
        <v>27.3</v>
      </c>
      <c r="H8" t="n">
        <v>9</v>
      </c>
      <c r="I8" t="n">
        <v>7</v>
      </c>
      <c r="J8" t="n">
        <v>10</v>
      </c>
      <c r="K8" t="n">
        <v>2</v>
      </c>
      <c r="L8" t="n">
        <v>0</v>
      </c>
      <c r="M8" t="n">
        <v>0</v>
      </c>
      <c r="N8" t="n">
        <v>0</v>
      </c>
      <c r="O8" t="n">
        <v>12</v>
      </c>
      <c r="P8" t="n">
        <v>2</v>
      </c>
      <c r="Q8" t="n">
        <v>20</v>
      </c>
      <c r="R8" s="2" t="inlineStr">
        <is>
          <t>Knärot
Rynkskinn
Garnlav
Granticka
Gultoppig fingersvamp
Harticka
Lunglav
Skogsfru
Spillkråka
Talltita
Tretåig hackspett
Ullticka
Bårdlav
Guckusko
Kransrams
Luddlav
Spindelblomster
Stuplav
Tvåblad
Fläcknycklar</t>
        </is>
      </c>
      <c r="S8">
        <f>HYPERLINK("https://klasma.github.io/Logging_2303/artfynd/A 32651-2025 artfynd.xlsx", "A 32651-2025")</f>
        <v/>
      </c>
      <c r="T8">
        <f>HYPERLINK("https://klasma.github.io/Logging_2303/kartor/A 32651-2025 karta.png", "A 32651-2025")</f>
        <v/>
      </c>
      <c r="U8">
        <f>HYPERLINK("https://klasma.github.io/Logging_2303/knärot/A 32651-2025 karta knärot.png", "A 32651-2025")</f>
        <v/>
      </c>
      <c r="V8">
        <f>HYPERLINK("https://klasma.github.io/Logging_2303/klagomål/A 32651-2025 FSC-klagomål.docx", "A 32651-2025")</f>
        <v/>
      </c>
      <c r="W8">
        <f>HYPERLINK("https://klasma.github.io/Logging_2303/klagomålsmail/A 32651-2025 FSC-klagomål mail.docx", "A 32651-2025")</f>
        <v/>
      </c>
      <c r="X8">
        <f>HYPERLINK("https://klasma.github.io/Logging_2303/tillsyn/A 32651-2025 tillsynsbegäran.docx", "A 32651-2025")</f>
        <v/>
      </c>
      <c r="Y8">
        <f>HYPERLINK("https://klasma.github.io/Logging_2303/tillsynsmail/A 32651-2025 tillsynsbegäran mail.docx", "A 32651-2025")</f>
        <v/>
      </c>
      <c r="Z8">
        <f>HYPERLINK("https://klasma.github.io/Logging_2303/fåglar/A 32651-2025 prioriterade fågelarter.docx", "A 32651-2025")</f>
        <v/>
      </c>
    </row>
    <row r="9" ht="15" customHeight="1">
      <c r="A9" t="inlineStr">
        <is>
          <t>A 26015-2025</t>
        </is>
      </c>
      <c r="B9" s="1" t="n">
        <v>45804.67787037037</v>
      </c>
      <c r="C9" s="1" t="n">
        <v>45880</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62949-2021</t>
        </is>
      </c>
      <c r="B10" s="1" t="n">
        <v>44504</v>
      </c>
      <c r="C10" s="1" t="n">
        <v>45880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45880</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45880</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45880</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45880</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45880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38683-2022</t>
        </is>
      </c>
      <c r="B17" s="1" t="n">
        <v>44813</v>
      </c>
      <c r="C17" s="1" t="n">
        <v>45880</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13308-2022</t>
        </is>
      </c>
      <c r="B18" s="1" t="n">
        <v>44644.93650462963</v>
      </c>
      <c r="C18" s="1" t="n">
        <v>45880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45880</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45880</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59762-2024</t>
        </is>
      </c>
      <c r="B21" s="1" t="n">
        <v>45639.55269675926</v>
      </c>
      <c r="C21" s="1" t="n">
        <v>45880</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55404-2024</t>
        </is>
      </c>
      <c r="B22" s="1" t="n">
        <v>45622</v>
      </c>
      <c r="C22" s="1" t="n">
        <v>45880</v>
      </c>
      <c r="D22" t="inlineStr">
        <is>
          <t>JÄMTLANDS LÄN</t>
        </is>
      </c>
      <c r="E22" t="inlineStr">
        <is>
          <t>RAGUNDA</t>
        </is>
      </c>
      <c r="G22" t="n">
        <v>3.5</v>
      </c>
      <c r="H22" t="n">
        <v>1</v>
      </c>
      <c r="I22" t="n">
        <v>4</v>
      </c>
      <c r="J22" t="n">
        <v>9</v>
      </c>
      <c r="K22" t="n">
        <v>0</v>
      </c>
      <c r="L22" t="n">
        <v>0</v>
      </c>
      <c r="M22" t="n">
        <v>0</v>
      </c>
      <c r="N22" t="n">
        <v>0</v>
      </c>
      <c r="O22" t="n">
        <v>9</v>
      </c>
      <c r="P22" t="n">
        <v>0</v>
      </c>
      <c r="Q22" t="n">
        <v>13</v>
      </c>
      <c r="R22" s="2" t="inlineStr">
        <is>
          <t>Blek lundlav
Garnlav
Kolflarnlav
Lunglav
Mörk kolflarnlav
Tretåig hackspett
Ullticka
Vedtrappmossa
Vitgrynig nållav
Gulnål
Norrlandslav
Skinnlav
Stuplav</t>
        </is>
      </c>
      <c r="S22">
        <f>HYPERLINK("https://klasma.github.io/Logging_2303/artfynd/A 55404-2024 artfynd.xlsx", "A 55404-2024")</f>
        <v/>
      </c>
      <c r="T22">
        <f>HYPERLINK("https://klasma.github.io/Logging_2303/kartor/A 55404-2024 karta.png", "A 55404-2024")</f>
        <v/>
      </c>
      <c r="V22">
        <f>HYPERLINK("https://klasma.github.io/Logging_2303/klagomål/A 55404-2024 FSC-klagomål.docx", "A 55404-2024")</f>
        <v/>
      </c>
      <c r="W22">
        <f>HYPERLINK("https://klasma.github.io/Logging_2303/klagomålsmail/A 55404-2024 FSC-klagomål mail.docx", "A 55404-2024")</f>
        <v/>
      </c>
      <c r="X22">
        <f>HYPERLINK("https://klasma.github.io/Logging_2303/tillsyn/A 55404-2024 tillsynsbegäran.docx", "A 55404-2024")</f>
        <v/>
      </c>
      <c r="Y22">
        <f>HYPERLINK("https://klasma.github.io/Logging_2303/tillsynsmail/A 55404-2024 tillsynsbegäran mail.docx", "A 55404-2024")</f>
        <v/>
      </c>
      <c r="Z22">
        <f>HYPERLINK("https://klasma.github.io/Logging_2303/fåglar/A 55404-2024 prioriterade fågelarter.docx", "A 55404-2024")</f>
        <v/>
      </c>
    </row>
    <row r="23" ht="15" customHeight="1">
      <c r="A23" t="inlineStr">
        <is>
          <t>A 45248-2020</t>
        </is>
      </c>
      <c r="B23" s="1" t="n">
        <v>44088</v>
      </c>
      <c r="C23" s="1" t="n">
        <v>45880</v>
      </c>
      <c r="D23" t="inlineStr">
        <is>
          <t>JÄMTLANDS LÄN</t>
        </is>
      </c>
      <c r="E23" t="inlineStr">
        <is>
          <t>RAGUNDA</t>
        </is>
      </c>
      <c r="F23" t="inlineStr">
        <is>
          <t>SCA</t>
        </is>
      </c>
      <c r="G23" t="n">
        <v>51.7</v>
      </c>
      <c r="H23" t="n">
        <v>5</v>
      </c>
      <c r="I23" t="n">
        <v>5</v>
      </c>
      <c r="J23" t="n">
        <v>5</v>
      </c>
      <c r="K23" t="n">
        <v>1</v>
      </c>
      <c r="L23" t="n">
        <v>0</v>
      </c>
      <c r="M23" t="n">
        <v>0</v>
      </c>
      <c r="N23" t="n">
        <v>0</v>
      </c>
      <c r="O23" t="n">
        <v>6</v>
      </c>
      <c r="P23" t="n">
        <v>1</v>
      </c>
      <c r="Q23" t="n">
        <v>13</v>
      </c>
      <c r="R23" s="2" t="inlineStr">
        <is>
          <t>Knärot
Dvärgbägarlav
Kolflarnlav
Lunglav
Rosenticka
Ullticka
Dropptaggsvamp
Grönkulla
Svart trolldruva
Tvåblad
Vårärt
Nattviol
Blåsippa</t>
        </is>
      </c>
      <c r="S23">
        <f>HYPERLINK("https://klasma.github.io/Logging_2303/artfynd/A 45248-2020 artfynd.xlsx", "A 45248-2020")</f>
        <v/>
      </c>
      <c r="T23">
        <f>HYPERLINK("https://klasma.github.io/Logging_2303/kartor/A 45248-2020 karta.png", "A 45248-2020")</f>
        <v/>
      </c>
      <c r="U23">
        <f>HYPERLINK("https://klasma.github.io/Logging_2303/knärot/A 45248-2020 karta knärot.png", "A 45248-2020")</f>
        <v/>
      </c>
      <c r="V23">
        <f>HYPERLINK("https://klasma.github.io/Logging_2303/klagomål/A 45248-2020 FSC-klagomål.docx", "A 45248-2020")</f>
        <v/>
      </c>
      <c r="W23">
        <f>HYPERLINK("https://klasma.github.io/Logging_2303/klagomålsmail/A 45248-2020 FSC-klagomål mail.docx", "A 45248-2020")</f>
        <v/>
      </c>
      <c r="X23">
        <f>HYPERLINK("https://klasma.github.io/Logging_2303/tillsyn/A 45248-2020 tillsynsbegäran.docx", "A 45248-2020")</f>
        <v/>
      </c>
      <c r="Y23">
        <f>HYPERLINK("https://klasma.github.io/Logging_2303/tillsynsmail/A 45248-2020 tillsynsbegäran mail.docx", "A 45248-2020")</f>
        <v/>
      </c>
    </row>
    <row r="24" ht="15" customHeight="1">
      <c r="A24" t="inlineStr">
        <is>
          <t>A 39062-2020</t>
        </is>
      </c>
      <c r="B24" s="1" t="n">
        <v>44062</v>
      </c>
      <c r="C24" s="1" t="n">
        <v>45880</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29209-2024</t>
        </is>
      </c>
      <c r="B25" s="1" t="n">
        <v>45482.63819444444</v>
      </c>
      <c r="C25" s="1" t="n">
        <v>45880</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43107-2023</t>
        </is>
      </c>
      <c r="B26" s="1" t="n">
        <v>45182</v>
      </c>
      <c r="C26" s="1" t="n">
        <v>45880</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22985-2025</t>
        </is>
      </c>
      <c r="B27" s="1" t="n">
        <v>45790.57334490741</v>
      </c>
      <c r="C27" s="1" t="n">
        <v>45880</v>
      </c>
      <c r="D27" t="inlineStr">
        <is>
          <t>JÄMTLANDS LÄN</t>
        </is>
      </c>
      <c r="E27" t="inlineStr">
        <is>
          <t>RAGUNDA</t>
        </is>
      </c>
      <c r="F27" t="inlineStr">
        <is>
          <t>SCA</t>
        </is>
      </c>
      <c r="G27" t="n">
        <v>2.6</v>
      </c>
      <c r="H27" t="n">
        <v>5</v>
      </c>
      <c r="I27" t="n">
        <v>4</v>
      </c>
      <c r="J27" t="n">
        <v>6</v>
      </c>
      <c r="K27" t="n">
        <v>0</v>
      </c>
      <c r="L27" t="n">
        <v>0</v>
      </c>
      <c r="M27" t="n">
        <v>0</v>
      </c>
      <c r="N27" t="n">
        <v>0</v>
      </c>
      <c r="O27" t="n">
        <v>6</v>
      </c>
      <c r="P27" t="n">
        <v>0</v>
      </c>
      <c r="Q27" t="n">
        <v>12</v>
      </c>
      <c r="R27" s="2" t="inlineStr">
        <is>
          <t>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32741-2025</t>
        </is>
      </c>
      <c r="B28" s="1" t="n">
        <v>45839.42482638889</v>
      </c>
      <c r="C28" s="1" t="n">
        <v>45880</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45880</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9347-2024</t>
        </is>
      </c>
      <c r="B30" s="1" t="n">
        <v>45358.99375</v>
      </c>
      <c r="C30" s="1" t="n">
        <v>45880</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45880</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36943-2022</t>
        </is>
      </c>
      <c r="B32" s="1" t="n">
        <v>44805</v>
      </c>
      <c r="C32" s="1" t="n">
        <v>45880</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41412-2024</t>
        </is>
      </c>
      <c r="B33" s="1" t="n">
        <v>45560.34484953704</v>
      </c>
      <c r="C33" s="1" t="n">
        <v>45880</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45880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45880</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55894-2022</t>
        </is>
      </c>
      <c r="B36" s="1" t="n">
        <v>44888</v>
      </c>
      <c r="C36" s="1" t="n">
        <v>45880</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22986-2025</t>
        </is>
      </c>
      <c r="B37" s="1" t="n">
        <v>45790.57349537037</v>
      </c>
      <c r="C37" s="1" t="n">
        <v>45880</v>
      </c>
      <c r="D37" t="inlineStr">
        <is>
          <t>JÄMTLANDS LÄN</t>
        </is>
      </c>
      <c r="E37" t="inlineStr">
        <is>
          <t>RAGUNDA</t>
        </is>
      </c>
      <c r="F37" t="inlineStr">
        <is>
          <t>SCA</t>
        </is>
      </c>
      <c r="G37" t="n">
        <v>3.3</v>
      </c>
      <c r="H37" t="n">
        <v>5</v>
      </c>
      <c r="I37" t="n">
        <v>1</v>
      </c>
      <c r="J37" t="n">
        <v>6</v>
      </c>
      <c r="K37" t="n">
        <v>1</v>
      </c>
      <c r="L37" t="n">
        <v>0</v>
      </c>
      <c r="M37" t="n">
        <v>0</v>
      </c>
      <c r="N37" t="n">
        <v>0</v>
      </c>
      <c r="O37" t="n">
        <v>7</v>
      </c>
      <c r="P37" t="n">
        <v>1</v>
      </c>
      <c r="Q37" t="n">
        <v>10</v>
      </c>
      <c r="R37" s="2" t="inlineStr">
        <is>
          <t>Knärot
Doftskinn
Garnlav
Lunglav
Talltita
Tretåig hackspett
Ullticka
Stuplav
Fläcknycklar
Mattlummer</t>
        </is>
      </c>
      <c r="S37">
        <f>HYPERLINK("https://klasma.github.io/Logging_2303/artfynd/A 22986-2025 artfynd.xlsx", "A 22986-2025")</f>
        <v/>
      </c>
      <c r="T37">
        <f>HYPERLINK("https://klasma.github.io/Logging_2303/kartor/A 22986-2025 karta.png", "A 22986-2025")</f>
        <v/>
      </c>
      <c r="U37">
        <f>HYPERLINK("https://klasma.github.io/Logging_2303/knärot/A 22986-2025 karta knärot.png", "A 22986-2025")</f>
        <v/>
      </c>
      <c r="V37">
        <f>HYPERLINK("https://klasma.github.io/Logging_2303/klagomål/A 22986-2025 FSC-klagomål.docx", "A 22986-2025")</f>
        <v/>
      </c>
      <c r="W37">
        <f>HYPERLINK("https://klasma.github.io/Logging_2303/klagomålsmail/A 22986-2025 FSC-klagomål mail.docx", "A 22986-2025")</f>
        <v/>
      </c>
      <c r="X37">
        <f>HYPERLINK("https://klasma.github.io/Logging_2303/tillsyn/A 22986-2025 tillsynsbegäran.docx", "A 22986-2025")</f>
        <v/>
      </c>
      <c r="Y37">
        <f>HYPERLINK("https://klasma.github.io/Logging_2303/tillsynsmail/A 22986-2025 tillsynsbegäran mail.docx", "A 22986-2025")</f>
        <v/>
      </c>
      <c r="Z37">
        <f>HYPERLINK("https://klasma.github.io/Logging_2303/fåglar/A 22986-2025 prioriterade fågelarter.docx", "A 22986-2025")</f>
        <v/>
      </c>
    </row>
    <row r="38" ht="15" customHeight="1">
      <c r="A38" t="inlineStr">
        <is>
          <t>A 21244-2025</t>
        </is>
      </c>
      <c r="B38" s="1" t="n">
        <v>45779.57335648148</v>
      </c>
      <c r="C38" s="1" t="n">
        <v>45880</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62948-2021</t>
        </is>
      </c>
      <c r="B39" s="1" t="n">
        <v>44504</v>
      </c>
      <c r="C39" s="1" t="n">
        <v>45880</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45880</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45008-2023</t>
        </is>
      </c>
      <c r="B41" s="1" t="n">
        <v>45190.96092592592</v>
      </c>
      <c r="C41" s="1" t="n">
        <v>45880</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45880</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45880</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45880</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45880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45880</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45880</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30876-2025</t>
        </is>
      </c>
      <c r="B48" s="1" t="n">
        <v>45832.34461805555</v>
      </c>
      <c r="C48" s="1" t="n">
        <v>45880</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33822-2023</t>
        </is>
      </c>
      <c r="B49" s="1" t="n">
        <v>45121</v>
      </c>
      <c r="C49" s="1" t="n">
        <v>45880</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56215-2020</t>
        </is>
      </c>
      <c r="B50" s="1" t="n">
        <v>44133</v>
      </c>
      <c r="C50" s="1" t="n">
        <v>45880</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10982-2025</t>
        </is>
      </c>
      <c r="B51" s="1" t="n">
        <v>45723.40688657408</v>
      </c>
      <c r="C51" s="1" t="n">
        <v>45880</v>
      </c>
      <c r="D51" t="inlineStr">
        <is>
          <t>JÄMTLANDS LÄN</t>
        </is>
      </c>
      <c r="E51" t="inlineStr">
        <is>
          <t>RAGUNDA</t>
        </is>
      </c>
      <c r="F51" t="inlineStr">
        <is>
          <t>SCA</t>
        </is>
      </c>
      <c r="G51" t="n">
        <v>6.4</v>
      </c>
      <c r="H51" t="n">
        <v>0</v>
      </c>
      <c r="I51" t="n">
        <v>6</v>
      </c>
      <c r="J51" t="n">
        <v>2</v>
      </c>
      <c r="K51" t="n">
        <v>0</v>
      </c>
      <c r="L51" t="n">
        <v>0</v>
      </c>
      <c r="M51" t="n">
        <v>0</v>
      </c>
      <c r="N51" t="n">
        <v>0</v>
      </c>
      <c r="O51" t="n">
        <v>2</v>
      </c>
      <c r="P51" t="n">
        <v>0</v>
      </c>
      <c r="Q51" t="n">
        <v>8</v>
      </c>
      <c r="R51" s="2" t="inlineStr">
        <is>
          <t>Orange taggsvamp
Skrovlig taggsvamp
Barrfagerspindling
Bårdlav
Dropptaggsvamp
Skarp dropptaggsvamp
Stuplav
Svart trolldruva</t>
        </is>
      </c>
      <c r="S51">
        <f>HYPERLINK("https://klasma.github.io/Logging_2303/artfynd/A 10982-2025 artfynd.xlsx", "A 10982-2025")</f>
        <v/>
      </c>
      <c r="T51">
        <f>HYPERLINK("https://klasma.github.io/Logging_2303/kartor/A 10982-2025 karta.png", "A 10982-2025")</f>
        <v/>
      </c>
      <c r="V51">
        <f>HYPERLINK("https://klasma.github.io/Logging_2303/klagomål/A 10982-2025 FSC-klagomål.docx", "A 10982-2025")</f>
        <v/>
      </c>
      <c r="W51">
        <f>HYPERLINK("https://klasma.github.io/Logging_2303/klagomålsmail/A 10982-2025 FSC-klagomål mail.docx", "A 10982-2025")</f>
        <v/>
      </c>
      <c r="X51">
        <f>HYPERLINK("https://klasma.github.io/Logging_2303/tillsyn/A 10982-2025 tillsynsbegäran.docx", "A 10982-2025")</f>
        <v/>
      </c>
      <c r="Y51">
        <f>HYPERLINK("https://klasma.github.io/Logging_2303/tillsynsmail/A 10982-2025 tillsynsbegäran mail.docx", "A 10982-2025")</f>
        <v/>
      </c>
    </row>
    <row r="52" ht="15" customHeight="1">
      <c r="A52" t="inlineStr">
        <is>
          <t>A 3634-2024</t>
        </is>
      </c>
      <c r="B52" s="1" t="n">
        <v>45320</v>
      </c>
      <c r="C52" s="1" t="n">
        <v>45880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45880</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45880</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32475-2023</t>
        </is>
      </c>
      <c r="B55" s="1" t="n">
        <v>45120</v>
      </c>
      <c r="C55" s="1" t="n">
        <v>45880</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45880</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56211-2020</t>
        </is>
      </c>
      <c r="B57" s="1" t="n">
        <v>44133</v>
      </c>
      <c r="C57" s="1" t="n">
        <v>45880</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45880</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45880</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24169-2021</t>
        </is>
      </c>
      <c r="B60" s="1" t="n">
        <v>44336</v>
      </c>
      <c r="C60" s="1" t="n">
        <v>45880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45880</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37237-2023</t>
        </is>
      </c>
      <c r="B62" s="1" t="n">
        <v>45155</v>
      </c>
      <c r="C62" s="1" t="n">
        <v>45880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11829-2023</t>
        </is>
      </c>
      <c r="B63" s="1" t="n">
        <v>44994</v>
      </c>
      <c r="C63" s="1" t="n">
        <v>45880</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41929-2023</t>
        </is>
      </c>
      <c r="B64" s="1" t="n">
        <v>45176</v>
      </c>
      <c r="C64" s="1" t="n">
        <v>45880</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26750-2025</t>
        </is>
      </c>
      <c r="B65" s="1" t="n">
        <v>45810.55061342593</v>
      </c>
      <c r="C65" s="1" t="n">
        <v>45880</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33806-2023</t>
        </is>
      </c>
      <c r="B66" s="1" t="n">
        <v>45121</v>
      </c>
      <c r="C66" s="1" t="n">
        <v>45880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19399-2025</t>
        </is>
      </c>
      <c r="B67" s="1" t="n">
        <v>45769.67740740741</v>
      </c>
      <c r="C67" s="1" t="n">
        <v>45880</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61386-2022</t>
        </is>
      </c>
      <c r="B68" s="1" t="n">
        <v>44915</v>
      </c>
      <c r="C68" s="1" t="n">
        <v>45880</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45880</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20397-2024</t>
        </is>
      </c>
      <c r="B70" s="1" t="n">
        <v>45435.54734953704</v>
      </c>
      <c r="C70" s="1" t="n">
        <v>45880</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41719-2023</t>
        </is>
      </c>
      <c r="B71" s="1" t="n">
        <v>45176</v>
      </c>
      <c r="C71" s="1" t="n">
        <v>45880</v>
      </c>
      <c r="D71" t="inlineStr">
        <is>
          <t>JÄMTLANDS LÄN</t>
        </is>
      </c>
      <c r="E71" t="inlineStr">
        <is>
          <t>RAGUNDA</t>
        </is>
      </c>
      <c r="G71" t="n">
        <v>14.5</v>
      </c>
      <c r="H71" t="n">
        <v>1</v>
      </c>
      <c r="I71" t="n">
        <v>1</v>
      </c>
      <c r="J71" t="n">
        <v>5</v>
      </c>
      <c r="K71" t="n">
        <v>0</v>
      </c>
      <c r="L71" t="n">
        <v>0</v>
      </c>
      <c r="M71" t="n">
        <v>0</v>
      </c>
      <c r="N71" t="n">
        <v>0</v>
      </c>
      <c r="O71" t="n">
        <v>5</v>
      </c>
      <c r="P71" t="n">
        <v>0</v>
      </c>
      <c r="Q71" t="n">
        <v>7</v>
      </c>
      <c r="R71" s="2" t="inlineStr">
        <is>
          <t>Dvärgbägarlav
Garnlav
Lunglav
Rosenticka
Vedflikmossa
Skinnlav
Tjäder</t>
        </is>
      </c>
      <c r="S71">
        <f>HYPERLINK("https://klasma.github.io/Logging_2303/artfynd/A 41719-2023 artfynd.xlsx", "A 41719-2023")</f>
        <v/>
      </c>
      <c r="T71">
        <f>HYPERLINK("https://klasma.github.io/Logging_2303/kartor/A 41719-2023 karta.png", "A 41719-2023")</f>
        <v/>
      </c>
      <c r="V71">
        <f>HYPERLINK("https://klasma.github.io/Logging_2303/klagomål/A 41719-2023 FSC-klagomål.docx", "A 41719-2023")</f>
        <v/>
      </c>
      <c r="W71">
        <f>HYPERLINK("https://klasma.github.io/Logging_2303/klagomålsmail/A 41719-2023 FSC-klagomål mail.docx", "A 41719-2023")</f>
        <v/>
      </c>
      <c r="X71">
        <f>HYPERLINK("https://klasma.github.io/Logging_2303/tillsyn/A 41719-2023 tillsynsbegäran.docx", "A 41719-2023")</f>
        <v/>
      </c>
      <c r="Y71">
        <f>HYPERLINK("https://klasma.github.io/Logging_2303/tillsynsmail/A 41719-2023 tillsynsbegäran mail.docx", "A 41719-2023")</f>
        <v/>
      </c>
      <c r="Z71">
        <f>HYPERLINK("https://klasma.github.io/Logging_2303/fåglar/A 41719-2023 prioriterade fågelarter.docx", "A 41719-2023")</f>
        <v/>
      </c>
    </row>
    <row r="72" ht="15" customHeight="1">
      <c r="A72" t="inlineStr">
        <is>
          <t>A 50987-2020</t>
        </is>
      </c>
      <c r="B72" s="1" t="n">
        <v>44111</v>
      </c>
      <c r="C72" s="1" t="n">
        <v>45880</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45880</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12040-2025</t>
        </is>
      </c>
      <c r="B74" s="1" t="n">
        <v>45728.65684027778</v>
      </c>
      <c r="C74" s="1" t="n">
        <v>45880</v>
      </c>
      <c r="D74" t="inlineStr">
        <is>
          <t>JÄMTLANDS LÄN</t>
        </is>
      </c>
      <c r="E74" t="inlineStr">
        <is>
          <t>RAGUNDA</t>
        </is>
      </c>
      <c r="F74" t="inlineStr">
        <is>
          <t>SCA</t>
        </is>
      </c>
      <c r="G74" t="n">
        <v>28.5</v>
      </c>
      <c r="H74" t="n">
        <v>0</v>
      </c>
      <c r="I74" t="n">
        <v>2</v>
      </c>
      <c r="J74" t="n">
        <v>4</v>
      </c>
      <c r="K74" t="n">
        <v>0</v>
      </c>
      <c r="L74" t="n">
        <v>0</v>
      </c>
      <c r="M74" t="n">
        <v>0</v>
      </c>
      <c r="N74" t="n">
        <v>0</v>
      </c>
      <c r="O74" t="n">
        <v>4</v>
      </c>
      <c r="P74" t="n">
        <v>0</v>
      </c>
      <c r="Q74" t="n">
        <v>6</v>
      </c>
      <c r="R74" s="2" t="inlineStr">
        <is>
          <t>Blå taggsvamp
Skrovlig taggsvamp
Tallriska
Äggvaxskivling
Dropptaggsvamp
Skarp dropptaggsvamp</t>
        </is>
      </c>
      <c r="S74">
        <f>HYPERLINK("https://klasma.github.io/Logging_2303/artfynd/A 12040-2025 artfynd.xlsx", "A 12040-2025")</f>
        <v/>
      </c>
      <c r="T74">
        <f>HYPERLINK("https://klasma.github.io/Logging_2303/kartor/A 12040-2025 karta.png", "A 12040-2025")</f>
        <v/>
      </c>
      <c r="V74">
        <f>HYPERLINK("https://klasma.github.io/Logging_2303/klagomål/A 12040-2025 FSC-klagomål.docx", "A 12040-2025")</f>
        <v/>
      </c>
      <c r="W74">
        <f>HYPERLINK("https://klasma.github.io/Logging_2303/klagomålsmail/A 12040-2025 FSC-klagomål mail.docx", "A 12040-2025")</f>
        <v/>
      </c>
      <c r="X74">
        <f>HYPERLINK("https://klasma.github.io/Logging_2303/tillsyn/A 12040-2025 tillsynsbegäran.docx", "A 12040-2025")</f>
        <v/>
      </c>
      <c r="Y74">
        <f>HYPERLINK("https://klasma.github.io/Logging_2303/tillsynsmail/A 12040-2025 tillsynsbegäran mail.docx", "A 12040-2025")</f>
        <v/>
      </c>
    </row>
    <row r="75" ht="15" customHeight="1">
      <c r="A75" t="inlineStr">
        <is>
          <t>A 55646-2023</t>
        </is>
      </c>
      <c r="B75" s="1" t="n">
        <v>45238</v>
      </c>
      <c r="C75" s="1" t="n">
        <v>45880</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27322-2024</t>
        </is>
      </c>
      <c r="B76" s="1" t="n">
        <v>45471.94783564815</v>
      </c>
      <c r="C76" s="1" t="n">
        <v>45880</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45880</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45880</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11828-2023</t>
        </is>
      </c>
      <c r="B79" s="1" t="n">
        <v>44994</v>
      </c>
      <c r="C79" s="1" t="n">
        <v>45880</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34317-2025</t>
        </is>
      </c>
      <c r="B80" s="1" t="n">
        <v>45846.41361111111</v>
      </c>
      <c r="C80" s="1" t="n">
        <v>45880</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26326-2024</t>
        </is>
      </c>
      <c r="B81" s="1" t="n">
        <v>45468.97528935185</v>
      </c>
      <c r="C81" s="1" t="n">
        <v>45880</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45880</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36276-2025</t>
        </is>
      </c>
      <c r="B83" s="1" t="n">
        <v>45867.63619212963</v>
      </c>
      <c r="C83" s="1" t="n">
        <v>45880</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30884-2025</t>
        </is>
      </c>
      <c r="B84" s="1" t="n">
        <v>45832.34564814815</v>
      </c>
      <c r="C84" s="1" t="n">
        <v>45880</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22466-2025</t>
        </is>
      </c>
      <c r="B85" s="1" t="n">
        <v>45786.61517361111</v>
      </c>
      <c r="C85" s="1" t="n">
        <v>45880</v>
      </c>
      <c r="D85" t="inlineStr">
        <is>
          <t>JÄMTLANDS LÄN</t>
        </is>
      </c>
      <c r="E85" t="inlineStr">
        <is>
          <t>RAGUNDA</t>
        </is>
      </c>
      <c r="F85" t="inlineStr">
        <is>
          <t>SCA</t>
        </is>
      </c>
      <c r="G85" t="n">
        <v>3.2</v>
      </c>
      <c r="H85" t="n">
        <v>3</v>
      </c>
      <c r="I85" t="n">
        <v>1</v>
      </c>
      <c r="J85" t="n">
        <v>3</v>
      </c>
      <c r="K85" t="n">
        <v>0</v>
      </c>
      <c r="L85" t="n">
        <v>0</v>
      </c>
      <c r="M85" t="n">
        <v>0</v>
      </c>
      <c r="N85" t="n">
        <v>0</v>
      </c>
      <c r="O85" t="n">
        <v>3</v>
      </c>
      <c r="P85" t="n">
        <v>0</v>
      </c>
      <c r="Q85" t="n">
        <v>6</v>
      </c>
      <c r="R85" s="2" t="inlineStr">
        <is>
          <t>Garnlav
Lunglav
Tretåig hackspett
Stuplav
Kungsfågel
Revlummer</t>
        </is>
      </c>
      <c r="S85">
        <f>HYPERLINK("https://klasma.github.io/Logging_2303/artfynd/A 22466-2025 artfynd.xlsx", "A 22466-2025")</f>
        <v/>
      </c>
      <c r="T85">
        <f>HYPERLINK("https://klasma.github.io/Logging_2303/kartor/A 22466-2025 karta.png", "A 22466-2025")</f>
        <v/>
      </c>
      <c r="V85">
        <f>HYPERLINK("https://klasma.github.io/Logging_2303/klagomål/A 22466-2025 FSC-klagomål.docx", "A 22466-2025")</f>
        <v/>
      </c>
      <c r="W85">
        <f>HYPERLINK("https://klasma.github.io/Logging_2303/klagomålsmail/A 22466-2025 FSC-klagomål mail.docx", "A 22466-2025")</f>
        <v/>
      </c>
      <c r="X85">
        <f>HYPERLINK("https://klasma.github.io/Logging_2303/tillsyn/A 22466-2025 tillsynsbegäran.docx", "A 22466-2025")</f>
        <v/>
      </c>
      <c r="Y85">
        <f>HYPERLINK("https://klasma.github.io/Logging_2303/tillsynsmail/A 22466-2025 tillsynsbegäran mail.docx", "A 22466-2025")</f>
        <v/>
      </c>
      <c r="Z85">
        <f>HYPERLINK("https://klasma.github.io/Logging_2303/fåglar/A 22466-2025 prioriterade fågelarter.docx", "A 22466-2025")</f>
        <v/>
      </c>
    </row>
    <row r="86" ht="15" customHeight="1">
      <c r="A86" t="inlineStr">
        <is>
          <t>A 19402-2025</t>
        </is>
      </c>
      <c r="B86" s="1" t="n">
        <v>45769.67778935185</v>
      </c>
      <c r="C86" s="1" t="n">
        <v>45880</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933-2023</t>
        </is>
      </c>
      <c r="B87" s="1" t="n">
        <v>44932</v>
      </c>
      <c r="C87" s="1" t="n">
        <v>45880</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14908-2022</t>
        </is>
      </c>
      <c r="B88" s="1" t="n">
        <v>44656</v>
      </c>
      <c r="C88" s="1" t="n">
        <v>45880</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60683-2022</t>
        </is>
      </c>
      <c r="B89" s="1" t="n">
        <v>44911</v>
      </c>
      <c r="C89" s="1" t="n">
        <v>45880</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45880</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38169-2024</t>
        </is>
      </c>
      <c r="B91" s="1" t="n">
        <v>45545.45748842593</v>
      </c>
      <c r="C91" s="1" t="n">
        <v>45880</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2579-2025</t>
        </is>
      </c>
      <c r="B92" s="1" t="n">
        <v>45674.67744212963</v>
      </c>
      <c r="C92" s="1" t="n">
        <v>45880</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15244-2025</t>
        </is>
      </c>
      <c r="B93" s="1" t="n">
        <v>45744.61550925926</v>
      </c>
      <c r="C93" s="1" t="n">
        <v>45880</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39365-2024</t>
        </is>
      </c>
      <c r="B94" s="1" t="n">
        <v>45551.46912037037</v>
      </c>
      <c r="C94" s="1" t="n">
        <v>45880</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30637-2024</t>
        </is>
      </c>
      <c r="B95" s="1" t="n">
        <v>45495.56244212963</v>
      </c>
      <c r="C95" s="1" t="n">
        <v>45880</v>
      </c>
      <c r="D95" t="inlineStr">
        <is>
          <t>JÄMTLANDS LÄN</t>
        </is>
      </c>
      <c r="E95" t="inlineStr">
        <is>
          <t>RAGUNDA</t>
        </is>
      </c>
      <c r="G95" t="n">
        <v>4.1</v>
      </c>
      <c r="H95" t="n">
        <v>4</v>
      </c>
      <c r="I95" t="n">
        <v>0</v>
      </c>
      <c r="J95" t="n">
        <v>4</v>
      </c>
      <c r="K95" t="n">
        <v>0</v>
      </c>
      <c r="L95" t="n">
        <v>0</v>
      </c>
      <c r="M95" t="n">
        <v>0</v>
      </c>
      <c r="N95" t="n">
        <v>0</v>
      </c>
      <c r="O95" t="n">
        <v>4</v>
      </c>
      <c r="P95" t="n">
        <v>0</v>
      </c>
      <c r="Q95" t="n">
        <v>5</v>
      </c>
      <c r="R95" s="2" t="inlineStr">
        <is>
          <t>Lunglav
Spillkråka
Talltita
Tretåig hackspett
Vanlig groda</t>
        </is>
      </c>
      <c r="S95">
        <f>HYPERLINK("https://klasma.github.io/Logging_2303/artfynd/A 30637-2024 artfynd.xlsx", "A 30637-2024")</f>
        <v/>
      </c>
      <c r="T95">
        <f>HYPERLINK("https://klasma.github.io/Logging_2303/kartor/A 30637-2024 karta.png", "A 30637-2024")</f>
        <v/>
      </c>
      <c r="V95">
        <f>HYPERLINK("https://klasma.github.io/Logging_2303/klagomål/A 30637-2024 FSC-klagomål.docx", "A 30637-2024")</f>
        <v/>
      </c>
      <c r="W95">
        <f>HYPERLINK("https://klasma.github.io/Logging_2303/klagomålsmail/A 30637-2024 FSC-klagomål mail.docx", "A 30637-2024")</f>
        <v/>
      </c>
      <c r="X95">
        <f>HYPERLINK("https://klasma.github.io/Logging_2303/tillsyn/A 30637-2024 tillsynsbegäran.docx", "A 30637-2024")</f>
        <v/>
      </c>
      <c r="Y95">
        <f>HYPERLINK("https://klasma.github.io/Logging_2303/tillsynsmail/A 30637-2024 tillsynsbegäran mail.docx", "A 30637-2024")</f>
        <v/>
      </c>
      <c r="Z95">
        <f>HYPERLINK("https://klasma.github.io/Logging_2303/fåglar/A 30637-2024 prioriterade fågelarter.docx", "A 30637-2024")</f>
        <v/>
      </c>
    </row>
    <row r="96" ht="15" customHeight="1">
      <c r="A96" t="inlineStr">
        <is>
          <t>A 13266-2023</t>
        </is>
      </c>
      <c r="B96" s="1" t="n">
        <v>45002.94356481481</v>
      </c>
      <c r="C96" s="1" t="n">
        <v>45880</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45880</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45687-2024</t>
        </is>
      </c>
      <c r="B98" s="1" t="n">
        <v>45579.53179398148</v>
      </c>
      <c r="C98" s="1" t="n">
        <v>45880</v>
      </c>
      <c r="D98" t="inlineStr">
        <is>
          <t>JÄMTLANDS LÄN</t>
        </is>
      </c>
      <c r="E98" t="inlineStr">
        <is>
          <t>RAGUNDA</t>
        </is>
      </c>
      <c r="F98" t="inlineStr">
        <is>
          <t>SCA</t>
        </is>
      </c>
      <c r="G98" t="n">
        <v>8</v>
      </c>
      <c r="H98" t="n">
        <v>0</v>
      </c>
      <c r="I98" t="n">
        <v>0</v>
      </c>
      <c r="J98" t="n">
        <v>5</v>
      </c>
      <c r="K98" t="n">
        <v>0</v>
      </c>
      <c r="L98" t="n">
        <v>0</v>
      </c>
      <c r="M98" t="n">
        <v>0</v>
      </c>
      <c r="N98" t="n">
        <v>0</v>
      </c>
      <c r="O98" t="n">
        <v>5</v>
      </c>
      <c r="P98" t="n">
        <v>0</v>
      </c>
      <c r="Q98" t="n">
        <v>5</v>
      </c>
      <c r="R98" s="2" t="inlineStr">
        <is>
          <t>Garnlav
Kolflarnlav
Mörk kolflarnlav
Vedflamlav
Vedskivlav</t>
        </is>
      </c>
      <c r="S98">
        <f>HYPERLINK("https://klasma.github.io/Logging_2303/artfynd/A 45687-2024 artfynd.xlsx", "A 45687-2024")</f>
        <v/>
      </c>
      <c r="T98">
        <f>HYPERLINK("https://klasma.github.io/Logging_2303/kartor/A 45687-2024 karta.png", "A 45687-2024")</f>
        <v/>
      </c>
      <c r="V98">
        <f>HYPERLINK("https://klasma.github.io/Logging_2303/klagomål/A 45687-2024 FSC-klagomål.docx", "A 45687-2024")</f>
        <v/>
      </c>
      <c r="W98">
        <f>HYPERLINK("https://klasma.github.io/Logging_2303/klagomålsmail/A 45687-2024 FSC-klagomål mail.docx", "A 45687-2024")</f>
        <v/>
      </c>
      <c r="X98">
        <f>HYPERLINK("https://klasma.github.io/Logging_2303/tillsyn/A 45687-2024 tillsynsbegäran.docx", "A 45687-2024")</f>
        <v/>
      </c>
      <c r="Y98">
        <f>HYPERLINK("https://klasma.github.io/Logging_2303/tillsynsmail/A 45687-2024 tillsynsbegäran mail.docx", "A 45687-2024")</f>
        <v/>
      </c>
    </row>
    <row r="99" ht="15" customHeight="1">
      <c r="A99" t="inlineStr">
        <is>
          <t>A 18629-2024</t>
        </is>
      </c>
      <c r="B99" s="1" t="n">
        <v>45425.96472222222</v>
      </c>
      <c r="C99" s="1" t="n">
        <v>45880</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43106-2023</t>
        </is>
      </c>
      <c r="B100" s="1" t="n">
        <v>45182</v>
      </c>
      <c r="C100" s="1" t="n">
        <v>45880</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45969-2023</t>
        </is>
      </c>
      <c r="B101" s="1" t="n">
        <v>45195</v>
      </c>
      <c r="C101" s="1" t="n">
        <v>45880</v>
      </c>
      <c r="D101" t="inlineStr">
        <is>
          <t>JÄMTLANDS LÄN</t>
        </is>
      </c>
      <c r="E101" t="inlineStr">
        <is>
          <t>RAGUNDA</t>
        </is>
      </c>
      <c r="F101" t="inlineStr">
        <is>
          <t>SCA</t>
        </is>
      </c>
      <c r="G101" t="n">
        <v>9.300000000000001</v>
      </c>
      <c r="H101" t="n">
        <v>1</v>
      </c>
      <c r="I101" t="n">
        <v>4</v>
      </c>
      <c r="J101" t="n">
        <v>1</v>
      </c>
      <c r="K101" t="n">
        <v>0</v>
      </c>
      <c r="L101" t="n">
        <v>0</v>
      </c>
      <c r="M101" t="n">
        <v>0</v>
      </c>
      <c r="N101" t="n">
        <v>0</v>
      </c>
      <c r="O101" t="n">
        <v>1</v>
      </c>
      <c r="P101" t="n">
        <v>0</v>
      </c>
      <c r="Q101" t="n">
        <v>5</v>
      </c>
      <c r="R101" s="2" t="inlineStr">
        <is>
          <t>Lunglav
Dropptaggsvamp
Grönpyrola
Plattlummer
Skarp dropptaggsvamp</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27313-2024</t>
        </is>
      </c>
      <c r="B102" s="1" t="n">
        <v>45471.94623842592</v>
      </c>
      <c r="C102" s="1" t="n">
        <v>45880</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57073-2023</t>
        </is>
      </c>
      <c r="B103" s="1" t="n">
        <v>45244</v>
      </c>
      <c r="C103" s="1" t="n">
        <v>45880</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21213-2025</t>
        </is>
      </c>
      <c r="B104" s="1" t="n">
        <v>45779.49012731481</v>
      </c>
      <c r="C104" s="1" t="n">
        <v>45880</v>
      </c>
      <c r="D104" t="inlineStr">
        <is>
          <t>JÄMTLANDS LÄN</t>
        </is>
      </c>
      <c r="E104" t="inlineStr">
        <is>
          <t>RAGUNDA</t>
        </is>
      </c>
      <c r="F104" t="inlineStr">
        <is>
          <t>SCA</t>
        </is>
      </c>
      <c r="G104" t="n">
        <v>3.1</v>
      </c>
      <c r="H104" t="n">
        <v>2</v>
      </c>
      <c r="I104" t="n">
        <v>1</v>
      </c>
      <c r="J104" t="n">
        <v>3</v>
      </c>
      <c r="K104" t="n">
        <v>0</v>
      </c>
      <c r="L104" t="n">
        <v>0</v>
      </c>
      <c r="M104" t="n">
        <v>0</v>
      </c>
      <c r="N104" t="n">
        <v>0</v>
      </c>
      <c r="O104" t="n">
        <v>3</v>
      </c>
      <c r="P104" t="n">
        <v>0</v>
      </c>
      <c r="Q104" t="n">
        <v>5</v>
      </c>
      <c r="R104" s="2" t="inlineStr">
        <is>
          <t>Garnlav
Lunglav
Tretåig hackspett
Stuplav
Fläcknycklar</t>
        </is>
      </c>
      <c r="S104">
        <f>HYPERLINK("https://klasma.github.io/Logging_2303/artfynd/A 21213-2025 artfynd.xlsx", "A 21213-2025")</f>
        <v/>
      </c>
      <c r="T104">
        <f>HYPERLINK("https://klasma.github.io/Logging_2303/kartor/A 21213-2025 karta.png", "A 21213-2025")</f>
        <v/>
      </c>
      <c r="V104">
        <f>HYPERLINK("https://klasma.github.io/Logging_2303/klagomål/A 21213-2025 FSC-klagomål.docx", "A 21213-2025")</f>
        <v/>
      </c>
      <c r="W104">
        <f>HYPERLINK("https://klasma.github.io/Logging_2303/klagomålsmail/A 21213-2025 FSC-klagomål mail.docx", "A 21213-2025")</f>
        <v/>
      </c>
      <c r="X104">
        <f>HYPERLINK("https://klasma.github.io/Logging_2303/tillsyn/A 21213-2025 tillsynsbegäran.docx", "A 21213-2025")</f>
        <v/>
      </c>
      <c r="Y104">
        <f>HYPERLINK("https://klasma.github.io/Logging_2303/tillsynsmail/A 21213-2025 tillsynsbegäran mail.docx", "A 21213-2025")</f>
        <v/>
      </c>
      <c r="Z104">
        <f>HYPERLINK("https://klasma.github.io/Logging_2303/fåglar/A 21213-2025 prioriterade fågelarter.docx", "A 21213-2025")</f>
        <v/>
      </c>
    </row>
    <row r="105" ht="15" customHeight="1">
      <c r="A105" t="inlineStr">
        <is>
          <t>A 30886-2025</t>
        </is>
      </c>
      <c r="B105" s="1" t="n">
        <v>45832.34578703704</v>
      </c>
      <c r="C105" s="1" t="n">
        <v>45880</v>
      </c>
      <c r="D105" t="inlineStr">
        <is>
          <t>JÄMTLANDS LÄN</t>
        </is>
      </c>
      <c r="E105" t="inlineStr">
        <is>
          <t>RAGUNDA</t>
        </is>
      </c>
      <c r="F105" t="inlineStr">
        <is>
          <t>SCA</t>
        </is>
      </c>
      <c r="G105" t="n">
        <v>4.4</v>
      </c>
      <c r="H105" t="n">
        <v>3</v>
      </c>
      <c r="I105" t="n">
        <v>1</v>
      </c>
      <c r="J105" t="n">
        <v>2</v>
      </c>
      <c r="K105" t="n">
        <v>1</v>
      </c>
      <c r="L105" t="n">
        <v>0</v>
      </c>
      <c r="M105" t="n">
        <v>0</v>
      </c>
      <c r="N105" t="n">
        <v>0</v>
      </c>
      <c r="O105" t="n">
        <v>3</v>
      </c>
      <c r="P105" t="n">
        <v>1</v>
      </c>
      <c r="Q105" t="n">
        <v>5</v>
      </c>
      <c r="R105" s="2" t="inlineStr">
        <is>
          <t>Knärot
Järpe
Lunglav
Ögonpyrola
Nattviol</t>
        </is>
      </c>
      <c r="S105">
        <f>HYPERLINK("https://klasma.github.io/Logging_2303/artfynd/A 30886-2025 artfynd.xlsx", "A 30886-2025")</f>
        <v/>
      </c>
      <c r="T105">
        <f>HYPERLINK("https://klasma.github.io/Logging_2303/kartor/A 30886-2025 karta.png", "A 30886-2025")</f>
        <v/>
      </c>
      <c r="U105">
        <f>HYPERLINK("https://klasma.github.io/Logging_2303/knärot/A 30886-2025 karta knärot.png", "A 30886-2025")</f>
        <v/>
      </c>
      <c r="V105">
        <f>HYPERLINK("https://klasma.github.io/Logging_2303/klagomål/A 30886-2025 FSC-klagomål.docx", "A 30886-2025")</f>
        <v/>
      </c>
      <c r="W105">
        <f>HYPERLINK("https://klasma.github.io/Logging_2303/klagomålsmail/A 30886-2025 FSC-klagomål mail.docx", "A 30886-2025")</f>
        <v/>
      </c>
      <c r="X105">
        <f>HYPERLINK("https://klasma.github.io/Logging_2303/tillsyn/A 30886-2025 tillsynsbegäran.docx", "A 30886-2025")</f>
        <v/>
      </c>
      <c r="Y105">
        <f>HYPERLINK("https://klasma.github.io/Logging_2303/tillsynsmail/A 30886-2025 tillsynsbegäran mail.docx", "A 30886-2025")</f>
        <v/>
      </c>
      <c r="Z105">
        <f>HYPERLINK("https://klasma.github.io/Logging_2303/fåglar/A 30886-2025 prioriterade fågelarter.docx", "A 30886-2025")</f>
        <v/>
      </c>
    </row>
    <row r="106" ht="15" customHeight="1">
      <c r="A106" t="inlineStr">
        <is>
          <t>A 8636-2021</t>
        </is>
      </c>
      <c r="B106" s="1" t="n">
        <v>44245</v>
      </c>
      <c r="C106" s="1" t="n">
        <v>45880</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45880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45880</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45880</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45880</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45880</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45880</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60670-2022</t>
        </is>
      </c>
      <c r="B113" s="1" t="n">
        <v>44911</v>
      </c>
      <c r="C113" s="1" t="n">
        <v>45880</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23931-2024</t>
        </is>
      </c>
      <c r="B114" s="1" t="n">
        <v>45455.96195601852</v>
      </c>
      <c r="C114" s="1" t="n">
        <v>45880</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30465-2024</t>
        </is>
      </c>
      <c r="B115" s="1" t="n">
        <v>45491</v>
      </c>
      <c r="C115" s="1" t="n">
        <v>45880</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12640-2024</t>
        </is>
      </c>
      <c r="B116" s="1" t="n">
        <v>45384</v>
      </c>
      <c r="C116" s="1" t="n">
        <v>45880</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45880</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32067-2024</t>
        </is>
      </c>
      <c r="B118" s="1" t="n">
        <v>45510</v>
      </c>
      <c r="C118" s="1" t="n">
        <v>45880</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15836-2024</t>
        </is>
      </c>
      <c r="B119" s="1" t="n">
        <v>45404</v>
      </c>
      <c r="C119" s="1" t="n">
        <v>45880</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52644-2024</t>
        </is>
      </c>
      <c r="B120" s="1" t="n">
        <v>45610.34415509259</v>
      </c>
      <c r="C120" s="1" t="n">
        <v>45880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26082-2025</t>
        </is>
      </c>
      <c r="B121" s="1" t="n">
        <v>45805.34415509259</v>
      </c>
      <c r="C121" s="1" t="n">
        <v>45880</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45880</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17092-2022</t>
        </is>
      </c>
      <c r="B123" s="1" t="n">
        <v>44677</v>
      </c>
      <c r="C123" s="1" t="n">
        <v>45880</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22467-2025</t>
        </is>
      </c>
      <c r="B124" s="1" t="n">
        <v>45786.61534722222</v>
      </c>
      <c r="C124" s="1" t="n">
        <v>45880</v>
      </c>
      <c r="D124" t="inlineStr">
        <is>
          <t>JÄMTLANDS LÄN</t>
        </is>
      </c>
      <c r="E124" t="inlineStr">
        <is>
          <t>RAGUNDA</t>
        </is>
      </c>
      <c r="F124" t="inlineStr">
        <is>
          <t>SCA</t>
        </is>
      </c>
      <c r="G124" t="n">
        <v>1.7</v>
      </c>
      <c r="H124" t="n">
        <v>1</v>
      </c>
      <c r="I124" t="n">
        <v>1</v>
      </c>
      <c r="J124" t="n">
        <v>3</v>
      </c>
      <c r="K124" t="n">
        <v>0</v>
      </c>
      <c r="L124" t="n">
        <v>0</v>
      </c>
      <c r="M124" t="n">
        <v>0</v>
      </c>
      <c r="N124" t="n">
        <v>0</v>
      </c>
      <c r="O124" t="n">
        <v>3</v>
      </c>
      <c r="P124" t="n">
        <v>0</v>
      </c>
      <c r="Q124" t="n">
        <v>4</v>
      </c>
      <c r="R124" s="2" t="inlineStr">
        <is>
          <t>Garnlav
Järpe
Lunglav
Bårdlav</t>
        </is>
      </c>
      <c r="S124">
        <f>HYPERLINK("https://klasma.github.io/Logging_2303/artfynd/A 22467-2025 artfynd.xlsx", "A 22467-2025")</f>
        <v/>
      </c>
      <c r="T124">
        <f>HYPERLINK("https://klasma.github.io/Logging_2303/kartor/A 22467-2025 karta.png", "A 22467-2025")</f>
        <v/>
      </c>
      <c r="V124">
        <f>HYPERLINK("https://klasma.github.io/Logging_2303/klagomål/A 22467-2025 FSC-klagomål.docx", "A 22467-2025")</f>
        <v/>
      </c>
      <c r="W124">
        <f>HYPERLINK("https://klasma.github.io/Logging_2303/klagomålsmail/A 22467-2025 FSC-klagomål mail.docx", "A 22467-2025")</f>
        <v/>
      </c>
      <c r="X124">
        <f>HYPERLINK("https://klasma.github.io/Logging_2303/tillsyn/A 22467-2025 tillsynsbegäran.docx", "A 22467-2025")</f>
        <v/>
      </c>
      <c r="Y124">
        <f>HYPERLINK("https://klasma.github.io/Logging_2303/tillsynsmail/A 22467-2025 tillsynsbegäran mail.docx", "A 22467-2025")</f>
        <v/>
      </c>
      <c r="Z124">
        <f>HYPERLINK("https://klasma.github.io/Logging_2303/fåglar/A 22467-2025 prioriterade fågelarter.docx", "A 22467-2025")</f>
        <v/>
      </c>
    </row>
    <row r="125" ht="15" customHeight="1">
      <c r="A125" t="inlineStr">
        <is>
          <t>A 49239-2024</t>
        </is>
      </c>
      <c r="B125" s="1" t="n">
        <v>45595.44886574074</v>
      </c>
      <c r="C125" s="1" t="n">
        <v>45880</v>
      </c>
      <c r="D125" t="inlineStr">
        <is>
          <t>JÄMTLANDS LÄN</t>
        </is>
      </c>
      <c r="E125" t="inlineStr">
        <is>
          <t>RAGUNDA</t>
        </is>
      </c>
      <c r="F125" t="inlineStr">
        <is>
          <t>SCA</t>
        </is>
      </c>
      <c r="G125" t="n">
        <v>2.7</v>
      </c>
      <c r="H125" t="n">
        <v>2</v>
      </c>
      <c r="I125" t="n">
        <v>0</v>
      </c>
      <c r="J125" t="n">
        <v>3</v>
      </c>
      <c r="K125" t="n">
        <v>0</v>
      </c>
      <c r="L125" t="n">
        <v>0</v>
      </c>
      <c r="M125" t="n">
        <v>0</v>
      </c>
      <c r="N125" t="n">
        <v>0</v>
      </c>
      <c r="O125" t="n">
        <v>3</v>
      </c>
      <c r="P125" t="n">
        <v>0</v>
      </c>
      <c r="Q125" t="n">
        <v>4</v>
      </c>
      <c r="R125" s="2" t="inlineStr">
        <is>
          <t>Garnlav
Lunglav
Tretåig hackspett
Revlummer</t>
        </is>
      </c>
      <c r="S125">
        <f>HYPERLINK("https://klasma.github.io/Logging_2303/artfynd/A 49239-2024 artfynd.xlsx", "A 49239-2024")</f>
        <v/>
      </c>
      <c r="T125">
        <f>HYPERLINK("https://klasma.github.io/Logging_2303/kartor/A 49239-2024 karta.png", "A 49239-2024")</f>
        <v/>
      </c>
      <c r="V125">
        <f>HYPERLINK("https://klasma.github.io/Logging_2303/klagomål/A 49239-2024 FSC-klagomål.docx", "A 49239-2024")</f>
        <v/>
      </c>
      <c r="W125">
        <f>HYPERLINK("https://klasma.github.io/Logging_2303/klagomålsmail/A 49239-2024 FSC-klagomål mail.docx", "A 49239-2024")</f>
        <v/>
      </c>
      <c r="X125">
        <f>HYPERLINK("https://klasma.github.io/Logging_2303/tillsyn/A 49239-2024 tillsynsbegäran.docx", "A 49239-2024")</f>
        <v/>
      </c>
      <c r="Y125">
        <f>HYPERLINK("https://klasma.github.io/Logging_2303/tillsynsmail/A 49239-2024 tillsynsbegäran mail.docx", "A 49239-2024")</f>
        <v/>
      </c>
      <c r="Z125">
        <f>HYPERLINK("https://klasma.github.io/Logging_2303/fåglar/A 49239-2024 prioriterade fågelarter.docx", "A 49239-2024")</f>
        <v/>
      </c>
    </row>
    <row r="126" ht="15" customHeight="1">
      <c r="A126" t="inlineStr">
        <is>
          <t>A 30483-2024</t>
        </is>
      </c>
      <c r="B126" s="1" t="n">
        <v>45491</v>
      </c>
      <c r="C126" s="1" t="n">
        <v>45880</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48052-2022</t>
        </is>
      </c>
      <c r="B127" s="1" t="n">
        <v>44855</v>
      </c>
      <c r="C127" s="1" t="n">
        <v>45880</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45880</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45880</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45880</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45880</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45880</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45880</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45880</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58737-2022</t>
        </is>
      </c>
      <c r="B135" s="1" t="n">
        <v>44902</v>
      </c>
      <c r="C135" s="1" t="n">
        <v>45880</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5048-2025</t>
        </is>
      </c>
      <c r="B136" s="1" t="n">
        <v>45691.44769675926</v>
      </c>
      <c r="C136" s="1" t="n">
        <v>45880</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16305-2025</t>
        </is>
      </c>
      <c r="B137" s="1" t="n">
        <v>45751.34650462963</v>
      </c>
      <c r="C137" s="1" t="n">
        <v>45880</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20776-2024</t>
        </is>
      </c>
      <c r="B138" s="1" t="n">
        <v>45436.94686342592</v>
      </c>
      <c r="C138" s="1" t="n">
        <v>45880</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28178-2023</t>
        </is>
      </c>
      <c r="B139" s="1" t="n">
        <v>45093</v>
      </c>
      <c r="C139" s="1" t="n">
        <v>45880</v>
      </c>
      <c r="D139" t="inlineStr">
        <is>
          <t>JÄMTLANDS LÄN</t>
        </is>
      </c>
      <c r="E139" t="inlineStr">
        <is>
          <t>RAGUNDA</t>
        </is>
      </c>
      <c r="G139" t="n">
        <v>5.6</v>
      </c>
      <c r="H139" t="n">
        <v>0</v>
      </c>
      <c r="I139" t="n">
        <v>0</v>
      </c>
      <c r="J139" t="n">
        <v>3</v>
      </c>
      <c r="K139" t="n">
        <v>0</v>
      </c>
      <c r="L139" t="n">
        <v>0</v>
      </c>
      <c r="M139" t="n">
        <v>0</v>
      </c>
      <c r="N139" t="n">
        <v>0</v>
      </c>
      <c r="O139" t="n">
        <v>3</v>
      </c>
      <c r="P139" t="n">
        <v>0</v>
      </c>
      <c r="Q139" t="n">
        <v>3</v>
      </c>
      <c r="R139" s="2" t="inlineStr">
        <is>
          <t>Garnlav
Gultoppig fingersvamp
Violettgrå tagellav</t>
        </is>
      </c>
      <c r="S139">
        <f>HYPERLINK("https://klasma.github.io/Logging_2303/artfynd/A 28178-2023 artfynd.xlsx", "A 28178-2023")</f>
        <v/>
      </c>
      <c r="T139">
        <f>HYPERLINK("https://klasma.github.io/Logging_2303/kartor/A 28178-2023 karta.png", "A 28178-2023")</f>
        <v/>
      </c>
      <c r="V139">
        <f>HYPERLINK("https://klasma.github.io/Logging_2303/klagomål/A 28178-2023 FSC-klagomål.docx", "A 28178-2023")</f>
        <v/>
      </c>
      <c r="W139">
        <f>HYPERLINK("https://klasma.github.io/Logging_2303/klagomålsmail/A 28178-2023 FSC-klagomål mail.docx", "A 28178-2023")</f>
        <v/>
      </c>
      <c r="X139">
        <f>HYPERLINK("https://klasma.github.io/Logging_2303/tillsyn/A 28178-2023 tillsynsbegäran.docx", "A 28178-2023")</f>
        <v/>
      </c>
      <c r="Y139">
        <f>HYPERLINK("https://klasma.github.io/Logging_2303/tillsynsmail/A 28178-2023 tillsynsbegäran mail.docx", "A 28178-2023")</f>
        <v/>
      </c>
    </row>
    <row r="140" ht="15" customHeight="1">
      <c r="A140" t="inlineStr">
        <is>
          <t>A 30470-2024</t>
        </is>
      </c>
      <c r="B140" s="1" t="n">
        <v>45491.94715277778</v>
      </c>
      <c r="C140" s="1" t="n">
        <v>45880</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51010-2020</t>
        </is>
      </c>
      <c r="B141" s="1" t="n">
        <v>44111</v>
      </c>
      <c r="C141" s="1" t="n">
        <v>45880</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7519-2023</t>
        </is>
      </c>
      <c r="B142" s="1" t="n">
        <v>44971</v>
      </c>
      <c r="C142" s="1" t="n">
        <v>45880</v>
      </c>
      <c r="D142" t="inlineStr">
        <is>
          <t>JÄMTLANDS LÄN</t>
        </is>
      </c>
      <c r="E142" t="inlineStr">
        <is>
          <t>RAGUNDA</t>
        </is>
      </c>
      <c r="F142" t="inlineStr">
        <is>
          <t>SCA</t>
        </is>
      </c>
      <c r="G142" t="n">
        <v>3.2</v>
      </c>
      <c r="H142" t="n">
        <v>0</v>
      </c>
      <c r="I142" t="n">
        <v>1</v>
      </c>
      <c r="J142" t="n">
        <v>2</v>
      </c>
      <c r="K142" t="n">
        <v>0</v>
      </c>
      <c r="L142" t="n">
        <v>0</v>
      </c>
      <c r="M142" t="n">
        <v>0</v>
      </c>
      <c r="N142" t="n">
        <v>0</v>
      </c>
      <c r="O142" t="n">
        <v>2</v>
      </c>
      <c r="P142" t="n">
        <v>0</v>
      </c>
      <c r="Q142" t="n">
        <v>3</v>
      </c>
      <c r="R142" s="2" t="inlineStr">
        <is>
          <t>Granticka
Lunglav
Stor aspticka</t>
        </is>
      </c>
      <c r="S142">
        <f>HYPERLINK("https://klasma.github.io/Logging_2303/artfynd/A 7519-2023 artfynd.xlsx", "A 7519-2023")</f>
        <v/>
      </c>
      <c r="T142">
        <f>HYPERLINK("https://klasma.github.io/Logging_2303/kartor/A 7519-2023 karta.png", "A 7519-2023")</f>
        <v/>
      </c>
      <c r="V142">
        <f>HYPERLINK("https://klasma.github.io/Logging_2303/klagomål/A 7519-2023 FSC-klagomål.docx", "A 7519-2023")</f>
        <v/>
      </c>
      <c r="W142">
        <f>HYPERLINK("https://klasma.github.io/Logging_2303/klagomålsmail/A 7519-2023 FSC-klagomål mail.docx", "A 7519-2023")</f>
        <v/>
      </c>
      <c r="X142">
        <f>HYPERLINK("https://klasma.github.io/Logging_2303/tillsyn/A 7519-2023 tillsynsbegäran.docx", "A 7519-2023")</f>
        <v/>
      </c>
      <c r="Y142">
        <f>HYPERLINK("https://klasma.github.io/Logging_2303/tillsynsmail/A 7519-2023 tillsynsbegäran mail.docx", "A 7519-2023")</f>
        <v/>
      </c>
    </row>
    <row r="143" ht="15" customHeight="1">
      <c r="A143" t="inlineStr">
        <is>
          <t>A 58368-2024</t>
        </is>
      </c>
      <c r="B143" s="1" t="n">
        <v>45632.69822916666</v>
      </c>
      <c r="C143" s="1" t="n">
        <v>45880</v>
      </c>
      <c r="D143" t="inlineStr">
        <is>
          <t>JÄMTLANDS LÄN</t>
        </is>
      </c>
      <c r="E143" t="inlineStr">
        <is>
          <t>RAGUNDA</t>
        </is>
      </c>
      <c r="F143" t="inlineStr">
        <is>
          <t>SCA</t>
        </is>
      </c>
      <c r="G143" t="n">
        <v>4.1</v>
      </c>
      <c r="H143" t="n">
        <v>2</v>
      </c>
      <c r="I143" t="n">
        <v>0</v>
      </c>
      <c r="J143" t="n">
        <v>3</v>
      </c>
      <c r="K143" t="n">
        <v>0</v>
      </c>
      <c r="L143" t="n">
        <v>0</v>
      </c>
      <c r="M143" t="n">
        <v>0</v>
      </c>
      <c r="N143" t="n">
        <v>0</v>
      </c>
      <c r="O143" t="n">
        <v>3</v>
      </c>
      <c r="P143" t="n">
        <v>0</v>
      </c>
      <c r="Q143" t="n">
        <v>3</v>
      </c>
      <c r="R143" s="2" t="inlineStr">
        <is>
          <t>Järpe
Lunglav
Tretåig hackspett</t>
        </is>
      </c>
      <c r="S143">
        <f>HYPERLINK("https://klasma.github.io/Logging_2303/artfynd/A 58368-2024 artfynd.xlsx", "A 58368-2024")</f>
        <v/>
      </c>
      <c r="T143">
        <f>HYPERLINK("https://klasma.github.io/Logging_2303/kartor/A 58368-2024 karta.png", "A 58368-2024")</f>
        <v/>
      </c>
      <c r="V143">
        <f>HYPERLINK("https://klasma.github.io/Logging_2303/klagomål/A 58368-2024 FSC-klagomål.docx", "A 58368-2024")</f>
        <v/>
      </c>
      <c r="W143">
        <f>HYPERLINK("https://klasma.github.io/Logging_2303/klagomålsmail/A 58368-2024 FSC-klagomål mail.docx", "A 58368-2024")</f>
        <v/>
      </c>
      <c r="X143">
        <f>HYPERLINK("https://klasma.github.io/Logging_2303/tillsyn/A 58368-2024 tillsynsbegäran.docx", "A 58368-2024")</f>
        <v/>
      </c>
      <c r="Y143">
        <f>HYPERLINK("https://klasma.github.io/Logging_2303/tillsynsmail/A 58368-2024 tillsynsbegäran mail.docx", "A 58368-2024")</f>
        <v/>
      </c>
      <c r="Z143">
        <f>HYPERLINK("https://klasma.github.io/Logging_2303/fåglar/A 58368-2024 prioriterade fågelarter.docx", "A 58368-2024")</f>
        <v/>
      </c>
    </row>
    <row r="144" ht="15" customHeight="1">
      <c r="A144" t="inlineStr">
        <is>
          <t>A 57941-2024</t>
        </is>
      </c>
      <c r="B144" s="1" t="n">
        <v>45631</v>
      </c>
      <c r="C144" s="1" t="n">
        <v>45880</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49047-2023</t>
        </is>
      </c>
      <c r="B145" s="1" t="n">
        <v>45209</v>
      </c>
      <c r="C145" s="1" t="n">
        <v>45880</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45880</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25769-2025</t>
        </is>
      </c>
      <c r="B147" s="1" t="n">
        <v>45804.34474537037</v>
      </c>
      <c r="C147" s="1" t="n">
        <v>45880</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34585-2025</t>
        </is>
      </c>
      <c r="B148" s="1" t="n">
        <v>45847.61498842593</v>
      </c>
      <c r="C148" s="1" t="n">
        <v>45880</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44302-2023</t>
        </is>
      </c>
      <c r="B149" s="1" t="n">
        <v>45188</v>
      </c>
      <c r="C149" s="1" t="n">
        <v>45880</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32416-2025</t>
        </is>
      </c>
      <c r="B150" s="1" t="n">
        <v>45838</v>
      </c>
      <c r="C150" s="1" t="n">
        <v>45880</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33278-2022</t>
        </is>
      </c>
      <c r="B151" s="1" t="n">
        <v>44788</v>
      </c>
      <c r="C151" s="1" t="n">
        <v>45880</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22571-2025</t>
        </is>
      </c>
      <c r="B152" s="1" t="n">
        <v>45789.36503472222</v>
      </c>
      <c r="C152" s="1" t="n">
        <v>45880</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53022-2022</t>
        </is>
      </c>
      <c r="B153" s="1" t="n">
        <v>44875</v>
      </c>
      <c r="C153" s="1" t="n">
        <v>45880</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45880</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17043-2022</t>
        </is>
      </c>
      <c r="B155" s="1" t="n">
        <v>44676</v>
      </c>
      <c r="C155" s="1" t="n">
        <v>45880</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45880</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36756-2023</t>
        </is>
      </c>
      <c r="B157" s="1" t="n">
        <v>45153</v>
      </c>
      <c r="C157" s="1" t="n">
        <v>45880</v>
      </c>
      <c r="D157" t="inlineStr">
        <is>
          <t>JÄMTLANDS LÄN</t>
        </is>
      </c>
      <c r="E157" t="inlineStr">
        <is>
          <t>RAGUNDA</t>
        </is>
      </c>
      <c r="G157" t="n">
        <v>3.5</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HYPERLINK("https://klasma.github.io/Logging_2303/artfynd/A 36756-2023 artfynd.xlsx", "A 36756-2023")</f>
        <v/>
      </c>
      <c r="T157">
        <f>HYPERLINK("https://klasma.github.io/Logging_2303/kartor/A 36756-2023 karta.png", "A 36756-2023")</f>
        <v/>
      </c>
      <c r="V157">
        <f>HYPERLINK("https://klasma.github.io/Logging_2303/klagomål/A 36756-2023 FSC-klagomål.docx", "A 36756-2023")</f>
        <v/>
      </c>
      <c r="W157">
        <f>HYPERLINK("https://klasma.github.io/Logging_2303/klagomålsmail/A 36756-2023 FSC-klagomål mail.docx", "A 36756-2023")</f>
        <v/>
      </c>
      <c r="X157">
        <f>HYPERLINK("https://klasma.github.io/Logging_2303/tillsyn/A 36756-2023 tillsynsbegäran.docx", "A 36756-2023")</f>
        <v/>
      </c>
      <c r="Y157">
        <f>HYPERLINK("https://klasma.github.io/Logging_2303/tillsynsmail/A 36756-2023 tillsynsbegäran mail.docx", "A 36756-2023")</f>
        <v/>
      </c>
      <c r="Z157">
        <f>HYPERLINK("https://klasma.github.io/Logging_2303/fåglar/A 36756-2023 prioriterade fågelarter.docx", "A 36756-2023")</f>
        <v/>
      </c>
    </row>
    <row r="158" ht="15" customHeight="1">
      <c r="A158" t="inlineStr">
        <is>
          <t>A 19384-2025</t>
        </is>
      </c>
      <c r="B158" s="1" t="n">
        <v>45769.65692129629</v>
      </c>
      <c r="C158" s="1" t="n">
        <v>45880</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3838-2024</t>
        </is>
      </c>
      <c r="B159" s="1" t="n">
        <v>45321</v>
      </c>
      <c r="C159" s="1" t="n">
        <v>45880</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55647-2023</t>
        </is>
      </c>
      <c r="B160" s="1" t="n">
        <v>45238</v>
      </c>
      <c r="C160" s="1" t="n">
        <v>45880</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11086-2025</t>
        </is>
      </c>
      <c r="B161" s="1" t="n">
        <v>45723.57329861111</v>
      </c>
      <c r="C161" s="1" t="n">
        <v>45880</v>
      </c>
      <c r="D161" t="inlineStr">
        <is>
          <t>JÄMTLANDS LÄN</t>
        </is>
      </c>
      <c r="E161" t="inlineStr">
        <is>
          <t>RAGUNDA</t>
        </is>
      </c>
      <c r="F161" t="inlineStr">
        <is>
          <t>SCA</t>
        </is>
      </c>
      <c r="G161" t="n">
        <v>10.8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HYPERLINK("https://klasma.github.io/Logging_2303/artfynd/A 11086-2025 artfynd.xlsx", "A 11086-2025")</f>
        <v/>
      </c>
      <c r="T161">
        <f>HYPERLINK("https://klasma.github.io/Logging_2303/kartor/A 11086-2025 karta.png", "A 11086-2025")</f>
        <v/>
      </c>
      <c r="V161">
        <f>HYPERLINK("https://klasma.github.io/Logging_2303/klagomål/A 11086-2025 FSC-klagomål.docx", "A 11086-2025")</f>
        <v/>
      </c>
      <c r="W161">
        <f>HYPERLINK("https://klasma.github.io/Logging_2303/klagomålsmail/A 11086-2025 FSC-klagomål mail.docx", "A 11086-2025")</f>
        <v/>
      </c>
      <c r="X161">
        <f>HYPERLINK("https://klasma.github.io/Logging_2303/tillsyn/A 11086-2025 tillsynsbegäran.docx", "A 11086-2025")</f>
        <v/>
      </c>
      <c r="Y161">
        <f>HYPERLINK("https://klasma.github.io/Logging_2303/tillsynsmail/A 11086-2025 tillsynsbegäran mail.docx", "A 11086-2025")</f>
        <v/>
      </c>
    </row>
    <row r="162" ht="15" customHeight="1">
      <c r="A162" t="inlineStr">
        <is>
          <t>A 12271-2024</t>
        </is>
      </c>
      <c r="B162" s="1" t="n">
        <v>45378</v>
      </c>
      <c r="C162" s="1" t="n">
        <v>45880</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41490-2022</t>
        </is>
      </c>
      <c r="B163" s="1" t="n">
        <v>44826.94976851852</v>
      </c>
      <c r="C163" s="1" t="n">
        <v>45880</v>
      </c>
      <c r="D163" t="inlineStr">
        <is>
          <t>JÄMTLANDS LÄN</t>
        </is>
      </c>
      <c r="E163" t="inlineStr">
        <is>
          <t>RAGUNDA</t>
        </is>
      </c>
      <c r="F163" t="inlineStr">
        <is>
          <t>SCA</t>
        </is>
      </c>
      <c r="G163" t="n">
        <v>2.7</v>
      </c>
      <c r="H163" t="n">
        <v>0</v>
      </c>
      <c r="I163" t="n">
        <v>1</v>
      </c>
      <c r="J163" t="n">
        <v>1</v>
      </c>
      <c r="K163" t="n">
        <v>0</v>
      </c>
      <c r="L163" t="n">
        <v>0</v>
      </c>
      <c r="M163" t="n">
        <v>0</v>
      </c>
      <c r="N163" t="n">
        <v>0</v>
      </c>
      <c r="O163" t="n">
        <v>1</v>
      </c>
      <c r="P163" t="n">
        <v>0</v>
      </c>
      <c r="Q163" t="n">
        <v>2</v>
      </c>
      <c r="R163" s="2" t="inlineStr">
        <is>
          <t>Lunglav
Skinnlav</t>
        </is>
      </c>
      <c r="S163">
        <f>HYPERLINK("https://klasma.github.io/Logging_2303/artfynd/A 41490-2022 artfynd.xlsx", "A 41490-2022")</f>
        <v/>
      </c>
      <c r="T163">
        <f>HYPERLINK("https://klasma.github.io/Logging_2303/kartor/A 41490-2022 karta.png", "A 41490-2022")</f>
        <v/>
      </c>
      <c r="V163">
        <f>HYPERLINK("https://klasma.github.io/Logging_2303/klagomål/A 41490-2022 FSC-klagomål.docx", "A 41490-2022")</f>
        <v/>
      </c>
      <c r="W163">
        <f>HYPERLINK("https://klasma.github.io/Logging_2303/klagomålsmail/A 41490-2022 FSC-klagomål mail.docx", "A 41490-2022")</f>
        <v/>
      </c>
      <c r="X163">
        <f>HYPERLINK("https://klasma.github.io/Logging_2303/tillsyn/A 41490-2022 tillsynsbegäran.docx", "A 41490-2022")</f>
        <v/>
      </c>
      <c r="Y163">
        <f>HYPERLINK("https://klasma.github.io/Logging_2303/tillsynsmail/A 41490-2022 tillsynsbegäran mail.docx", "A 41490-2022")</f>
        <v/>
      </c>
    </row>
    <row r="164" ht="15" customHeight="1">
      <c r="A164" t="inlineStr">
        <is>
          <t>A 39495-2024</t>
        </is>
      </c>
      <c r="B164" s="1" t="n">
        <v>45551.65726851852</v>
      </c>
      <c r="C164" s="1" t="n">
        <v>45880</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45880</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50089-2022</t>
        </is>
      </c>
      <c r="B166" s="1" t="n">
        <v>44865</v>
      </c>
      <c r="C166" s="1" t="n">
        <v>45880</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11544-2024</t>
        </is>
      </c>
      <c r="B167" s="1" t="n">
        <v>45372.95680555556</v>
      </c>
      <c r="C167" s="1" t="n">
        <v>45880</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32736-2023</t>
        </is>
      </c>
      <c r="B168" s="1" t="n">
        <v>45121</v>
      </c>
      <c r="C168" s="1" t="n">
        <v>45880</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45021-2023</t>
        </is>
      </c>
      <c r="B169" s="1" t="n">
        <v>45190</v>
      </c>
      <c r="C169" s="1" t="n">
        <v>45880</v>
      </c>
      <c r="D169" t="inlineStr">
        <is>
          <t>JÄMTLANDS LÄN</t>
        </is>
      </c>
      <c r="E169" t="inlineStr">
        <is>
          <t>RAGUNDA</t>
        </is>
      </c>
      <c r="F169" t="inlineStr">
        <is>
          <t>SCA</t>
        </is>
      </c>
      <c r="G169" t="n">
        <v>1.6</v>
      </c>
      <c r="H169" t="n">
        <v>1</v>
      </c>
      <c r="I169" t="n">
        <v>0</v>
      </c>
      <c r="J169" t="n">
        <v>1</v>
      </c>
      <c r="K169" t="n">
        <v>0</v>
      </c>
      <c r="L169" t="n">
        <v>0</v>
      </c>
      <c r="M169" t="n">
        <v>0</v>
      </c>
      <c r="N169" t="n">
        <v>0</v>
      </c>
      <c r="O169" t="n">
        <v>1</v>
      </c>
      <c r="P169" t="n">
        <v>0</v>
      </c>
      <c r="Q169" t="n">
        <v>2</v>
      </c>
      <c r="R169" s="2" t="inlineStr">
        <is>
          <t>Lunglav
Fläcknycklar</t>
        </is>
      </c>
      <c r="S169">
        <f>HYPERLINK("https://klasma.github.io/Logging_2303/artfynd/A 45021-2023 artfynd.xlsx", "A 45021-2023")</f>
        <v/>
      </c>
      <c r="T169">
        <f>HYPERLINK("https://klasma.github.io/Logging_2303/kartor/A 45021-2023 karta.png", "A 45021-2023")</f>
        <v/>
      </c>
      <c r="V169">
        <f>HYPERLINK("https://klasma.github.io/Logging_2303/klagomål/A 45021-2023 FSC-klagomål.docx", "A 45021-2023")</f>
        <v/>
      </c>
      <c r="W169">
        <f>HYPERLINK("https://klasma.github.io/Logging_2303/klagomålsmail/A 45021-2023 FSC-klagomål mail.docx", "A 45021-2023")</f>
        <v/>
      </c>
      <c r="X169">
        <f>HYPERLINK("https://klasma.github.io/Logging_2303/tillsyn/A 45021-2023 tillsynsbegäran.docx", "A 45021-2023")</f>
        <v/>
      </c>
      <c r="Y169">
        <f>HYPERLINK("https://klasma.github.io/Logging_2303/tillsynsmail/A 45021-2023 tillsynsbegäran mail.docx", "A 45021-2023")</f>
        <v/>
      </c>
    </row>
    <row r="170" ht="15" customHeight="1">
      <c r="A170" t="inlineStr">
        <is>
          <t>A 14502-2024</t>
        </is>
      </c>
      <c r="B170" s="1" t="n">
        <v>45394</v>
      </c>
      <c r="C170" s="1" t="n">
        <v>45880</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44409-2023</t>
        </is>
      </c>
      <c r="B171" s="1" t="n">
        <v>45188</v>
      </c>
      <c r="C171" s="1" t="n">
        <v>45880</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17733-2022</t>
        </is>
      </c>
      <c r="B172" s="1" t="n">
        <v>44680</v>
      </c>
      <c r="C172" s="1" t="n">
        <v>45880</v>
      </c>
      <c r="D172" t="inlineStr">
        <is>
          <t>JÄMTLANDS LÄN</t>
        </is>
      </c>
      <c r="E172" t="inlineStr">
        <is>
          <t>RAGUNDA</t>
        </is>
      </c>
      <c r="G172" t="n">
        <v>2.2</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17733-2022 artfynd.xlsx", "A 17733-2022")</f>
        <v/>
      </c>
      <c r="T172">
        <f>HYPERLINK("https://klasma.github.io/Logging_2303/kartor/A 17733-2022 karta.png", "A 17733-2022")</f>
        <v/>
      </c>
      <c r="V172">
        <f>HYPERLINK("https://klasma.github.io/Logging_2303/klagomål/A 17733-2022 FSC-klagomål.docx", "A 17733-2022")</f>
        <v/>
      </c>
      <c r="W172">
        <f>HYPERLINK("https://klasma.github.io/Logging_2303/klagomålsmail/A 17733-2022 FSC-klagomål mail.docx", "A 17733-2022")</f>
        <v/>
      </c>
      <c r="X172">
        <f>HYPERLINK("https://klasma.github.io/Logging_2303/tillsyn/A 17733-2022 tillsynsbegäran.docx", "A 17733-2022")</f>
        <v/>
      </c>
      <c r="Y172">
        <f>HYPERLINK("https://klasma.github.io/Logging_2303/tillsynsmail/A 17733-2022 tillsynsbegäran mail.docx", "A 17733-2022")</f>
        <v/>
      </c>
    </row>
    <row r="173" ht="15" customHeight="1">
      <c r="A173" t="inlineStr">
        <is>
          <t>A 40826-2023</t>
        </is>
      </c>
      <c r="B173" s="1" t="n">
        <v>45171</v>
      </c>
      <c r="C173" s="1" t="n">
        <v>45880</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26482-2023</t>
        </is>
      </c>
      <c r="B174" s="1" t="n">
        <v>45089</v>
      </c>
      <c r="C174" s="1" t="n">
        <v>45880</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46771-2024</t>
        </is>
      </c>
      <c r="B175" s="1" t="n">
        <v>45583.49642361111</v>
      </c>
      <c r="C175" s="1" t="n">
        <v>45880</v>
      </c>
      <c r="D175" t="inlineStr">
        <is>
          <t>JÄMTLANDS LÄN</t>
        </is>
      </c>
      <c r="E175" t="inlineStr">
        <is>
          <t>RAGUNDA</t>
        </is>
      </c>
      <c r="F175" t="inlineStr">
        <is>
          <t>SCA</t>
        </is>
      </c>
      <c r="G175" t="n">
        <v>3.1</v>
      </c>
      <c r="H175" t="n">
        <v>0</v>
      </c>
      <c r="I175" t="n">
        <v>0</v>
      </c>
      <c r="J175" t="n">
        <v>2</v>
      </c>
      <c r="K175" t="n">
        <v>0</v>
      </c>
      <c r="L175" t="n">
        <v>0</v>
      </c>
      <c r="M175" t="n">
        <v>0</v>
      </c>
      <c r="N175" t="n">
        <v>0</v>
      </c>
      <c r="O175" t="n">
        <v>2</v>
      </c>
      <c r="P175" t="n">
        <v>0</v>
      </c>
      <c r="Q175" t="n">
        <v>2</v>
      </c>
      <c r="R175" s="2" t="inlineStr">
        <is>
          <t>Doftskinn
Gammelgransskål</t>
        </is>
      </c>
      <c r="S175">
        <f>HYPERLINK("https://klasma.github.io/Logging_2303/artfynd/A 46771-2024 artfynd.xlsx", "A 46771-2024")</f>
        <v/>
      </c>
      <c r="T175">
        <f>HYPERLINK("https://klasma.github.io/Logging_2303/kartor/A 46771-2024 karta.png", "A 46771-2024")</f>
        <v/>
      </c>
      <c r="V175">
        <f>HYPERLINK("https://klasma.github.io/Logging_2303/klagomål/A 46771-2024 FSC-klagomål.docx", "A 46771-2024")</f>
        <v/>
      </c>
      <c r="W175">
        <f>HYPERLINK("https://klasma.github.io/Logging_2303/klagomålsmail/A 46771-2024 FSC-klagomål mail.docx", "A 46771-2024")</f>
        <v/>
      </c>
      <c r="X175">
        <f>HYPERLINK("https://klasma.github.io/Logging_2303/tillsyn/A 46771-2024 tillsynsbegäran.docx", "A 46771-2024")</f>
        <v/>
      </c>
      <c r="Y175">
        <f>HYPERLINK("https://klasma.github.io/Logging_2303/tillsynsmail/A 46771-2024 tillsynsbegäran mail.docx", "A 46771-2024")</f>
        <v/>
      </c>
    </row>
    <row r="176" ht="15" customHeight="1">
      <c r="A176" t="inlineStr">
        <is>
          <t>A 35131-2025</t>
        </is>
      </c>
      <c r="B176" s="1" t="n">
        <v>45852.63597222222</v>
      </c>
      <c r="C176" s="1" t="n">
        <v>45880</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35344-2025</t>
        </is>
      </c>
      <c r="B177" s="1" t="n">
        <v>45854.61494212963</v>
      </c>
      <c r="C177" s="1" t="n">
        <v>45880</v>
      </c>
      <c r="D177" t="inlineStr">
        <is>
          <t>JÄMTLANDS LÄN</t>
        </is>
      </c>
      <c r="E177" t="inlineStr">
        <is>
          <t>RAGUNDA</t>
        </is>
      </c>
      <c r="F177" t="inlineStr">
        <is>
          <t>SCA</t>
        </is>
      </c>
      <c r="G177" t="n">
        <v>6.1</v>
      </c>
      <c r="H177" t="n">
        <v>0</v>
      </c>
      <c r="I177" t="n">
        <v>0</v>
      </c>
      <c r="J177" t="n">
        <v>2</v>
      </c>
      <c r="K177" t="n">
        <v>0</v>
      </c>
      <c r="L177" t="n">
        <v>0</v>
      </c>
      <c r="M177" t="n">
        <v>0</v>
      </c>
      <c r="N177" t="n">
        <v>0</v>
      </c>
      <c r="O177" t="n">
        <v>2</v>
      </c>
      <c r="P177" t="n">
        <v>0</v>
      </c>
      <c r="Q177" t="n">
        <v>2</v>
      </c>
      <c r="R177" s="2" t="inlineStr">
        <is>
          <t>Svart taggsvamp
Vedtrappmossa</t>
        </is>
      </c>
      <c r="S177">
        <f>HYPERLINK("https://klasma.github.io/Logging_2303/artfynd/A 35344-2025 artfynd.xlsx", "A 35344-2025")</f>
        <v/>
      </c>
      <c r="T177">
        <f>HYPERLINK("https://klasma.github.io/Logging_2303/kartor/A 35344-2025 karta.png", "A 35344-2025")</f>
        <v/>
      </c>
      <c r="V177">
        <f>HYPERLINK("https://klasma.github.io/Logging_2303/klagomål/A 35344-2025 FSC-klagomål.docx", "A 35344-2025")</f>
        <v/>
      </c>
      <c r="W177">
        <f>HYPERLINK("https://klasma.github.io/Logging_2303/klagomålsmail/A 35344-2025 FSC-klagomål mail.docx", "A 35344-2025")</f>
        <v/>
      </c>
      <c r="X177">
        <f>HYPERLINK("https://klasma.github.io/Logging_2303/tillsyn/A 35344-2025 tillsynsbegäran.docx", "A 35344-2025")</f>
        <v/>
      </c>
      <c r="Y177">
        <f>HYPERLINK("https://klasma.github.io/Logging_2303/tillsynsmail/A 35344-2025 tillsynsbegäran mail.docx", "A 35344-2025")</f>
        <v/>
      </c>
    </row>
    <row r="178" ht="15" customHeight="1">
      <c r="A178" t="inlineStr">
        <is>
          <t>A 10866-2025</t>
        </is>
      </c>
      <c r="B178" s="1" t="n">
        <v>45722.61543981481</v>
      </c>
      <c r="C178" s="1" t="n">
        <v>45880</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45035-2023</t>
        </is>
      </c>
      <c r="B179" s="1" t="n">
        <v>45191</v>
      </c>
      <c r="C179" s="1" t="n">
        <v>45880</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56285-2023</t>
        </is>
      </c>
      <c r="B180" s="1" t="n">
        <v>45241</v>
      </c>
      <c r="C180" s="1" t="n">
        <v>45880</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48084-2022</t>
        </is>
      </c>
      <c r="B181" s="1" t="n">
        <v>44855</v>
      </c>
      <c r="C181" s="1" t="n">
        <v>45880</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48427-2023</t>
        </is>
      </c>
      <c r="B182" s="1" t="n">
        <v>45205</v>
      </c>
      <c r="C182" s="1" t="n">
        <v>45880</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34715-2024</t>
        </is>
      </c>
      <c r="B183" s="1" t="n">
        <v>45526.56393518519</v>
      </c>
      <c r="C183" s="1" t="n">
        <v>45880</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57940-2024</t>
        </is>
      </c>
      <c r="B184" s="1" t="n">
        <v>45631</v>
      </c>
      <c r="C184" s="1" t="n">
        <v>45880</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26324-2024</t>
        </is>
      </c>
      <c r="B185" s="1" t="n">
        <v>45468.97495370371</v>
      </c>
      <c r="C185" s="1" t="n">
        <v>45880</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Knärot
Vedtrappmossa</t>
        </is>
      </c>
      <c r="S185">
        <f>HYPERLINK("https://klasma.github.io/Logging_2303/artfynd/A 26324-2024 artfynd.xlsx", "A 26324-2024")</f>
        <v/>
      </c>
      <c r="T185">
        <f>HYPERLINK("https://klasma.github.io/Logging_2303/kartor/A 26324-2024 karta.png", "A 26324-2024")</f>
        <v/>
      </c>
      <c r="U185">
        <f>HYPERLINK("https://klasma.github.io/Logging_2303/knärot/A 26324-2024 karta knärot.png", "A 26324-2024")</f>
        <v/>
      </c>
      <c r="V185">
        <f>HYPERLINK("https://klasma.github.io/Logging_2303/klagomål/A 26324-2024 FSC-klagomål.docx", "A 26324-2024")</f>
        <v/>
      </c>
      <c r="W185">
        <f>HYPERLINK("https://klasma.github.io/Logging_2303/klagomålsmail/A 26324-2024 FSC-klagomål mail.docx", "A 26324-2024")</f>
        <v/>
      </c>
      <c r="X185">
        <f>HYPERLINK("https://klasma.github.io/Logging_2303/tillsyn/A 26324-2024 tillsynsbegäran.docx", "A 26324-2024")</f>
        <v/>
      </c>
      <c r="Y185">
        <f>HYPERLINK("https://klasma.github.io/Logging_2303/tillsynsmail/A 26324-2024 tillsynsbegäran mail.docx", "A 26324-2024")</f>
        <v/>
      </c>
    </row>
    <row r="186" ht="15" customHeight="1">
      <c r="A186" t="inlineStr">
        <is>
          <t>A 11843-2023</t>
        </is>
      </c>
      <c r="B186" s="1" t="n">
        <v>44993</v>
      </c>
      <c r="C186" s="1" t="n">
        <v>45880</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51916-2021</t>
        </is>
      </c>
      <c r="B187" s="1" t="n">
        <v>44462</v>
      </c>
      <c r="C187" s="1" t="n">
        <v>45880</v>
      </c>
      <c r="D187" t="inlineStr">
        <is>
          <t>JÄMTLANDS LÄN</t>
        </is>
      </c>
      <c r="E187" t="inlineStr">
        <is>
          <t>RAGUNDA</t>
        </is>
      </c>
      <c r="F187" t="inlineStr">
        <is>
          <t>SCA</t>
        </is>
      </c>
      <c r="G187" t="n">
        <v>3</v>
      </c>
      <c r="H187" t="n">
        <v>1</v>
      </c>
      <c r="I187" t="n">
        <v>0</v>
      </c>
      <c r="J187" t="n">
        <v>1</v>
      </c>
      <c r="K187" t="n">
        <v>0</v>
      </c>
      <c r="L187" t="n">
        <v>0</v>
      </c>
      <c r="M187" t="n">
        <v>0</v>
      </c>
      <c r="N187" t="n">
        <v>0</v>
      </c>
      <c r="O187" t="n">
        <v>1</v>
      </c>
      <c r="P187" t="n">
        <v>0</v>
      </c>
      <c r="Q187" t="n">
        <v>1</v>
      </c>
      <c r="R187" s="2" t="inlineStr">
        <is>
          <t>Varglav</t>
        </is>
      </c>
      <c r="S187">
        <f>HYPERLINK("https://klasma.github.io/Logging_2303/artfynd/A 51916-2021 artfynd.xlsx", "A 51916-2021")</f>
        <v/>
      </c>
      <c r="T187">
        <f>HYPERLINK("https://klasma.github.io/Logging_2303/kartor/A 51916-2021 karta.png", "A 51916-2021")</f>
        <v/>
      </c>
      <c r="V187">
        <f>HYPERLINK("https://klasma.github.io/Logging_2303/klagomål/A 51916-2021 FSC-klagomål.docx", "A 51916-2021")</f>
        <v/>
      </c>
      <c r="W187">
        <f>HYPERLINK("https://klasma.github.io/Logging_2303/klagomålsmail/A 51916-2021 FSC-klagomål mail.docx", "A 51916-2021")</f>
        <v/>
      </c>
      <c r="X187">
        <f>HYPERLINK("https://klasma.github.io/Logging_2303/tillsyn/A 51916-2021 tillsynsbegäran.docx", "A 51916-2021")</f>
        <v/>
      </c>
      <c r="Y187">
        <f>HYPERLINK("https://klasma.github.io/Logging_2303/tillsynsmail/A 51916-2021 tillsynsbegäran mail.docx", "A 51916-2021")</f>
        <v/>
      </c>
    </row>
    <row r="188" ht="15" customHeight="1">
      <c r="A188" t="inlineStr">
        <is>
          <t>A 64363-2020</t>
        </is>
      </c>
      <c r="B188" s="1" t="n">
        <v>44166</v>
      </c>
      <c r="C188" s="1" t="n">
        <v>45880</v>
      </c>
      <c r="D188" t="inlineStr">
        <is>
          <t>JÄMTLANDS LÄN</t>
        </is>
      </c>
      <c r="E188" t="inlineStr">
        <is>
          <t>RAGUNDA</t>
        </is>
      </c>
      <c r="G188" t="n">
        <v>4.5</v>
      </c>
      <c r="H188" t="n">
        <v>1</v>
      </c>
      <c r="I188" t="n">
        <v>0</v>
      </c>
      <c r="J188" t="n">
        <v>0</v>
      </c>
      <c r="K188" t="n">
        <v>1</v>
      </c>
      <c r="L188" t="n">
        <v>0</v>
      </c>
      <c r="M188" t="n">
        <v>0</v>
      </c>
      <c r="N188" t="n">
        <v>0</v>
      </c>
      <c r="O188" t="n">
        <v>1</v>
      </c>
      <c r="P188" t="n">
        <v>1</v>
      </c>
      <c r="Q188" t="n">
        <v>1</v>
      </c>
      <c r="R188" s="2" t="inlineStr">
        <is>
          <t>Bombmurkla</t>
        </is>
      </c>
      <c r="S188">
        <f>HYPERLINK("https://klasma.github.io/Logging_2303/artfynd/A 64363-2020 artfynd.xlsx", "A 64363-2020")</f>
        <v/>
      </c>
      <c r="T188">
        <f>HYPERLINK("https://klasma.github.io/Logging_2303/kartor/A 64363-2020 karta.png", "A 64363-2020")</f>
        <v/>
      </c>
      <c r="V188">
        <f>HYPERLINK("https://klasma.github.io/Logging_2303/klagomål/A 64363-2020 FSC-klagomål.docx", "A 64363-2020")</f>
        <v/>
      </c>
      <c r="W188">
        <f>HYPERLINK("https://klasma.github.io/Logging_2303/klagomålsmail/A 64363-2020 FSC-klagomål mail.docx", "A 64363-2020")</f>
        <v/>
      </c>
      <c r="X188">
        <f>HYPERLINK("https://klasma.github.io/Logging_2303/tillsyn/A 64363-2020 tillsynsbegäran.docx", "A 64363-2020")</f>
        <v/>
      </c>
      <c r="Y188">
        <f>HYPERLINK("https://klasma.github.io/Logging_2303/tillsynsmail/A 64363-2020 tillsynsbegäran mail.docx", "A 64363-2020")</f>
        <v/>
      </c>
    </row>
    <row r="189" ht="15" customHeight="1">
      <c r="A189" t="inlineStr">
        <is>
          <t>A 21037-2021</t>
        </is>
      </c>
      <c r="B189" s="1" t="n">
        <v>44319</v>
      </c>
      <c r="C189" s="1" t="n">
        <v>45880</v>
      </c>
      <c r="D189" t="inlineStr">
        <is>
          <t>JÄMTLANDS LÄN</t>
        </is>
      </c>
      <c r="E189" t="inlineStr">
        <is>
          <t>RAGUNDA</t>
        </is>
      </c>
      <c r="F189" t="inlineStr">
        <is>
          <t>Kyrkan</t>
        </is>
      </c>
      <c r="G189" t="n">
        <v>0.8</v>
      </c>
      <c r="H189" t="n">
        <v>0</v>
      </c>
      <c r="I189" t="n">
        <v>0</v>
      </c>
      <c r="J189" t="n">
        <v>1</v>
      </c>
      <c r="K189" t="n">
        <v>0</v>
      </c>
      <c r="L189" t="n">
        <v>0</v>
      </c>
      <c r="M189" t="n">
        <v>0</v>
      </c>
      <c r="N189" t="n">
        <v>0</v>
      </c>
      <c r="O189" t="n">
        <v>1</v>
      </c>
      <c r="P189" t="n">
        <v>0</v>
      </c>
      <c r="Q189" t="n">
        <v>1</v>
      </c>
      <c r="R189" s="2" t="inlineStr">
        <is>
          <t>Olivbrun gytterlav</t>
        </is>
      </c>
      <c r="S189">
        <f>HYPERLINK("https://klasma.github.io/Logging_2303/artfynd/A 21037-2021 artfynd.xlsx", "A 21037-2021")</f>
        <v/>
      </c>
      <c r="T189">
        <f>HYPERLINK("https://klasma.github.io/Logging_2303/kartor/A 21037-2021 karta.png", "A 21037-2021")</f>
        <v/>
      </c>
      <c r="V189">
        <f>HYPERLINK("https://klasma.github.io/Logging_2303/klagomål/A 21037-2021 FSC-klagomål.docx", "A 21037-2021")</f>
        <v/>
      </c>
      <c r="W189">
        <f>HYPERLINK("https://klasma.github.io/Logging_2303/klagomålsmail/A 21037-2021 FSC-klagomål mail.docx", "A 21037-2021")</f>
        <v/>
      </c>
      <c r="X189">
        <f>HYPERLINK("https://klasma.github.io/Logging_2303/tillsyn/A 21037-2021 tillsynsbegäran.docx", "A 21037-2021")</f>
        <v/>
      </c>
      <c r="Y189">
        <f>HYPERLINK("https://klasma.github.io/Logging_2303/tillsynsmail/A 21037-2021 tillsynsbegäran mail.docx", "A 21037-2021")</f>
        <v/>
      </c>
    </row>
    <row r="190" ht="15" customHeight="1">
      <c r="A190" t="inlineStr">
        <is>
          <t>A 21275-2022</t>
        </is>
      </c>
      <c r="B190" s="1" t="n">
        <v>44705</v>
      </c>
      <c r="C190" s="1" t="n">
        <v>45880</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Kransrams</t>
        </is>
      </c>
      <c r="S190">
        <f>HYPERLINK("https://klasma.github.io/Logging_2303/artfynd/A 21275-2022 artfynd.xlsx", "A 21275-2022")</f>
        <v/>
      </c>
      <c r="T190">
        <f>HYPERLINK("https://klasma.github.io/Logging_2303/kartor/A 21275-2022 karta.png", "A 21275-2022")</f>
        <v/>
      </c>
      <c r="V190">
        <f>HYPERLINK("https://klasma.github.io/Logging_2303/klagomål/A 21275-2022 FSC-klagomål.docx", "A 21275-2022")</f>
        <v/>
      </c>
      <c r="W190">
        <f>HYPERLINK("https://klasma.github.io/Logging_2303/klagomålsmail/A 21275-2022 FSC-klagomål mail.docx", "A 21275-2022")</f>
        <v/>
      </c>
      <c r="X190">
        <f>HYPERLINK("https://klasma.github.io/Logging_2303/tillsyn/A 21275-2022 tillsynsbegäran.docx", "A 21275-2022")</f>
        <v/>
      </c>
      <c r="Y190">
        <f>HYPERLINK("https://klasma.github.io/Logging_2303/tillsynsmail/A 21275-2022 tillsynsbegäran mail.docx", "A 21275-2022")</f>
        <v/>
      </c>
    </row>
    <row r="191" ht="15" customHeight="1">
      <c r="A191" t="inlineStr">
        <is>
          <t>A 27273-2022</t>
        </is>
      </c>
      <c r="B191" s="1" t="n">
        <v>44741</v>
      </c>
      <c r="C191" s="1" t="n">
        <v>45880</v>
      </c>
      <c r="D191" t="inlineStr">
        <is>
          <t>JÄMTLANDS LÄN</t>
        </is>
      </c>
      <c r="E191" t="inlineStr">
        <is>
          <t>RAGUNDA</t>
        </is>
      </c>
      <c r="G191" t="n">
        <v>1.2</v>
      </c>
      <c r="H191" t="n">
        <v>0</v>
      </c>
      <c r="I191" t="n">
        <v>1</v>
      </c>
      <c r="J191" t="n">
        <v>0</v>
      </c>
      <c r="K191" t="n">
        <v>0</v>
      </c>
      <c r="L191" t="n">
        <v>0</v>
      </c>
      <c r="M191" t="n">
        <v>0</v>
      </c>
      <c r="N191" t="n">
        <v>0</v>
      </c>
      <c r="O191" t="n">
        <v>0</v>
      </c>
      <c r="P191" t="n">
        <v>0</v>
      </c>
      <c r="Q191" t="n">
        <v>1</v>
      </c>
      <c r="R191" s="2" t="inlineStr">
        <is>
          <t>Svart trolldruva</t>
        </is>
      </c>
      <c r="S191">
        <f>HYPERLINK("https://klasma.github.io/Logging_2303/artfynd/A 27273-2022 artfynd.xlsx", "A 27273-2022")</f>
        <v/>
      </c>
      <c r="T191">
        <f>HYPERLINK("https://klasma.github.io/Logging_2303/kartor/A 27273-2022 karta.png", "A 27273-2022")</f>
        <v/>
      </c>
      <c r="V191">
        <f>HYPERLINK("https://klasma.github.io/Logging_2303/klagomål/A 27273-2022 FSC-klagomål.docx", "A 27273-2022")</f>
        <v/>
      </c>
      <c r="W191">
        <f>HYPERLINK("https://klasma.github.io/Logging_2303/klagomålsmail/A 27273-2022 FSC-klagomål mail.docx", "A 27273-2022")</f>
        <v/>
      </c>
      <c r="X191">
        <f>HYPERLINK("https://klasma.github.io/Logging_2303/tillsyn/A 27273-2022 tillsynsbegäran.docx", "A 27273-2022")</f>
        <v/>
      </c>
      <c r="Y191">
        <f>HYPERLINK("https://klasma.github.io/Logging_2303/tillsynsmail/A 27273-2022 tillsynsbegäran mail.docx", "A 27273-2022")</f>
        <v/>
      </c>
    </row>
    <row r="192" ht="15" customHeight="1">
      <c r="A192" t="inlineStr">
        <is>
          <t>A 39060-2020</t>
        </is>
      </c>
      <c r="B192" s="1" t="n">
        <v>44062</v>
      </c>
      <c r="C192" s="1" t="n">
        <v>45880</v>
      </c>
      <c r="D192" t="inlineStr">
        <is>
          <t>JÄMTLANDS LÄN</t>
        </is>
      </c>
      <c r="E192" t="inlineStr">
        <is>
          <t>RAGUNDA</t>
        </is>
      </c>
      <c r="F192" t="inlineStr">
        <is>
          <t>SCA</t>
        </is>
      </c>
      <c r="G192" t="n">
        <v>6.5</v>
      </c>
      <c r="H192" t="n">
        <v>0</v>
      </c>
      <c r="I192" t="n">
        <v>1</v>
      </c>
      <c r="J192" t="n">
        <v>0</v>
      </c>
      <c r="K192" t="n">
        <v>0</v>
      </c>
      <c r="L192" t="n">
        <v>0</v>
      </c>
      <c r="M192" t="n">
        <v>0</v>
      </c>
      <c r="N192" t="n">
        <v>0</v>
      </c>
      <c r="O192" t="n">
        <v>0</v>
      </c>
      <c r="P192" t="n">
        <v>0</v>
      </c>
      <c r="Q192" t="n">
        <v>1</v>
      </c>
      <c r="R192" s="2" t="inlineStr">
        <is>
          <t>Stuplav</t>
        </is>
      </c>
      <c r="S192">
        <f>HYPERLINK("https://klasma.github.io/Logging_2303/artfynd/A 39060-2020 artfynd.xlsx", "A 39060-2020")</f>
        <v/>
      </c>
      <c r="T192">
        <f>HYPERLINK("https://klasma.github.io/Logging_2303/kartor/A 39060-2020 karta.png", "A 39060-2020")</f>
        <v/>
      </c>
      <c r="V192">
        <f>HYPERLINK("https://klasma.github.io/Logging_2303/klagomål/A 39060-2020 FSC-klagomål.docx", "A 39060-2020")</f>
        <v/>
      </c>
      <c r="W192">
        <f>HYPERLINK("https://klasma.github.io/Logging_2303/klagomålsmail/A 39060-2020 FSC-klagomål mail.docx", "A 39060-2020")</f>
        <v/>
      </c>
      <c r="X192">
        <f>HYPERLINK("https://klasma.github.io/Logging_2303/tillsyn/A 39060-2020 tillsynsbegäran.docx", "A 39060-2020")</f>
        <v/>
      </c>
      <c r="Y192">
        <f>HYPERLINK("https://klasma.github.io/Logging_2303/tillsynsmail/A 39060-2020 tillsynsbegäran mail.docx", "A 39060-2020")</f>
        <v/>
      </c>
    </row>
    <row r="193" ht="15" customHeight="1">
      <c r="A193" t="inlineStr">
        <is>
          <t>A 42899-2022</t>
        </is>
      </c>
      <c r="B193" s="1" t="n">
        <v>44832</v>
      </c>
      <c r="C193" s="1" t="n">
        <v>45880</v>
      </c>
      <c r="D193" t="inlineStr">
        <is>
          <t>JÄMTLANDS LÄN</t>
        </is>
      </c>
      <c r="E193" t="inlineStr">
        <is>
          <t>RAGUNDA</t>
        </is>
      </c>
      <c r="F193" t="inlineStr">
        <is>
          <t>SCA</t>
        </is>
      </c>
      <c r="G193" t="n">
        <v>2.3</v>
      </c>
      <c r="H193" t="n">
        <v>0</v>
      </c>
      <c r="I193" t="n">
        <v>0</v>
      </c>
      <c r="J193" t="n">
        <v>1</v>
      </c>
      <c r="K193" t="n">
        <v>0</v>
      </c>
      <c r="L193" t="n">
        <v>0</v>
      </c>
      <c r="M193" t="n">
        <v>0</v>
      </c>
      <c r="N193" t="n">
        <v>0</v>
      </c>
      <c r="O193" t="n">
        <v>1</v>
      </c>
      <c r="P193" t="n">
        <v>0</v>
      </c>
      <c r="Q193" t="n">
        <v>1</v>
      </c>
      <c r="R193" s="2" t="inlineStr">
        <is>
          <t>Ullticka</t>
        </is>
      </c>
      <c r="S193">
        <f>HYPERLINK("https://klasma.github.io/Logging_2303/artfynd/A 42899-2022 artfynd.xlsx", "A 42899-2022")</f>
        <v/>
      </c>
      <c r="T193">
        <f>HYPERLINK("https://klasma.github.io/Logging_2303/kartor/A 42899-2022 karta.png", "A 42899-2022")</f>
        <v/>
      </c>
      <c r="V193">
        <f>HYPERLINK("https://klasma.github.io/Logging_2303/klagomål/A 42899-2022 FSC-klagomål.docx", "A 42899-2022")</f>
        <v/>
      </c>
      <c r="W193">
        <f>HYPERLINK("https://klasma.github.io/Logging_2303/klagomålsmail/A 42899-2022 FSC-klagomål mail.docx", "A 42899-2022")</f>
        <v/>
      </c>
      <c r="X193">
        <f>HYPERLINK("https://klasma.github.io/Logging_2303/tillsyn/A 42899-2022 tillsynsbegäran.docx", "A 42899-2022")</f>
        <v/>
      </c>
      <c r="Y193">
        <f>HYPERLINK("https://klasma.github.io/Logging_2303/tillsynsmail/A 42899-2022 tillsynsbegäran mail.docx", "A 42899-2022")</f>
        <v/>
      </c>
    </row>
    <row r="194" ht="15" customHeight="1">
      <c r="A194" t="inlineStr">
        <is>
          <t>A 31477-2022</t>
        </is>
      </c>
      <c r="B194" s="1" t="n">
        <v>44774.94347222222</v>
      </c>
      <c r="C194" s="1" t="n">
        <v>45880</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45880</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16316-2025</t>
        </is>
      </c>
      <c r="B196" s="1" t="n">
        <v>45751.34795138889</v>
      </c>
      <c r="C196" s="1" t="n">
        <v>45880</v>
      </c>
      <c r="D196" t="inlineStr">
        <is>
          <t>JÄMTLANDS LÄN</t>
        </is>
      </c>
      <c r="E196" t="inlineStr">
        <is>
          <t>RAGUNDA</t>
        </is>
      </c>
      <c r="F196" t="inlineStr">
        <is>
          <t>SCA</t>
        </is>
      </c>
      <c r="G196" t="n">
        <v>1.7</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HYPERLINK("https://klasma.github.io/Logging_2303/artfynd/A 16316-2025 artfynd.xlsx", "A 16316-2025")</f>
        <v/>
      </c>
      <c r="T196">
        <f>HYPERLINK("https://klasma.github.io/Logging_2303/kartor/A 16316-2025 karta.png", "A 16316-2025")</f>
        <v/>
      </c>
      <c r="V196">
        <f>HYPERLINK("https://klasma.github.io/Logging_2303/klagomål/A 16316-2025 FSC-klagomål.docx", "A 16316-2025")</f>
        <v/>
      </c>
      <c r="W196">
        <f>HYPERLINK("https://klasma.github.io/Logging_2303/klagomålsmail/A 16316-2025 FSC-klagomål mail.docx", "A 16316-2025")</f>
        <v/>
      </c>
      <c r="X196">
        <f>HYPERLINK("https://klasma.github.io/Logging_2303/tillsyn/A 16316-2025 tillsynsbegäran.docx", "A 16316-2025")</f>
        <v/>
      </c>
      <c r="Y196">
        <f>HYPERLINK("https://klasma.github.io/Logging_2303/tillsynsmail/A 16316-2025 tillsynsbegäran mail.docx", "A 16316-2025")</f>
        <v/>
      </c>
    </row>
    <row r="197" ht="15" customHeight="1">
      <c r="A197" t="inlineStr">
        <is>
          <t>A 50164-2023</t>
        </is>
      </c>
      <c r="B197" s="1" t="n">
        <v>45208</v>
      </c>
      <c r="C197" s="1" t="n">
        <v>45880</v>
      </c>
      <c r="D197" t="inlineStr">
        <is>
          <t>JÄMTLANDS LÄN</t>
        </is>
      </c>
      <c r="E197" t="inlineStr">
        <is>
          <t>RAGUNDA</t>
        </is>
      </c>
      <c r="G197" t="n">
        <v>2.9</v>
      </c>
      <c r="H197" t="n">
        <v>0</v>
      </c>
      <c r="I197" t="n">
        <v>0</v>
      </c>
      <c r="J197" t="n">
        <v>0</v>
      </c>
      <c r="K197" t="n">
        <v>1</v>
      </c>
      <c r="L197" t="n">
        <v>0</v>
      </c>
      <c r="M197" t="n">
        <v>0</v>
      </c>
      <c r="N197" t="n">
        <v>0</v>
      </c>
      <c r="O197" t="n">
        <v>1</v>
      </c>
      <c r="P197" t="n">
        <v>1</v>
      </c>
      <c r="Q197" t="n">
        <v>1</v>
      </c>
      <c r="R197" s="2" t="inlineStr">
        <is>
          <t>Mindre barkplattbagge</t>
        </is>
      </c>
      <c r="S197">
        <f>HYPERLINK("https://klasma.github.io/Logging_2303/artfynd/A 50164-2023 artfynd.xlsx", "A 50164-2023")</f>
        <v/>
      </c>
      <c r="T197">
        <f>HYPERLINK("https://klasma.github.io/Logging_2303/kartor/A 50164-2023 karta.png", "A 50164-2023")</f>
        <v/>
      </c>
      <c r="V197">
        <f>HYPERLINK("https://klasma.github.io/Logging_2303/klagomål/A 50164-2023 FSC-klagomål.docx", "A 50164-2023")</f>
        <v/>
      </c>
      <c r="W197">
        <f>HYPERLINK("https://klasma.github.io/Logging_2303/klagomålsmail/A 50164-2023 FSC-klagomål mail.docx", "A 50164-2023")</f>
        <v/>
      </c>
      <c r="X197">
        <f>HYPERLINK("https://klasma.github.io/Logging_2303/tillsyn/A 50164-2023 tillsynsbegäran.docx", "A 50164-2023")</f>
        <v/>
      </c>
      <c r="Y197">
        <f>HYPERLINK("https://klasma.github.io/Logging_2303/tillsynsmail/A 50164-2023 tillsynsbegäran mail.docx", "A 50164-2023")</f>
        <v/>
      </c>
    </row>
    <row r="198" ht="15" customHeight="1">
      <c r="A198" t="inlineStr">
        <is>
          <t>A 1057-2024</t>
        </is>
      </c>
      <c r="B198" s="1" t="n">
        <v>45301</v>
      </c>
      <c r="C198" s="1" t="n">
        <v>45880</v>
      </c>
      <c r="D198" t="inlineStr">
        <is>
          <t>JÄMTLANDS LÄN</t>
        </is>
      </c>
      <c r="E198" t="inlineStr">
        <is>
          <t>RAGUNDA</t>
        </is>
      </c>
      <c r="F198" t="inlineStr">
        <is>
          <t>SCA</t>
        </is>
      </c>
      <c r="G198" t="n">
        <v>6.8</v>
      </c>
      <c r="H198" t="n">
        <v>0</v>
      </c>
      <c r="I198" t="n">
        <v>1</v>
      </c>
      <c r="J198" t="n">
        <v>0</v>
      </c>
      <c r="K198" t="n">
        <v>0</v>
      </c>
      <c r="L198" t="n">
        <v>0</v>
      </c>
      <c r="M198" t="n">
        <v>0</v>
      </c>
      <c r="N198" t="n">
        <v>0</v>
      </c>
      <c r="O198" t="n">
        <v>0</v>
      </c>
      <c r="P198" t="n">
        <v>0</v>
      </c>
      <c r="Q198" t="n">
        <v>1</v>
      </c>
      <c r="R198" s="2" t="inlineStr">
        <is>
          <t>Stor aspticka</t>
        </is>
      </c>
      <c r="S198">
        <f>HYPERLINK("https://klasma.github.io/Logging_2303/artfynd/A 1057-2024 artfynd.xlsx", "A 1057-2024")</f>
        <v/>
      </c>
      <c r="T198">
        <f>HYPERLINK("https://klasma.github.io/Logging_2303/kartor/A 1057-2024 karta.png", "A 1057-2024")</f>
        <v/>
      </c>
      <c r="V198">
        <f>HYPERLINK("https://klasma.github.io/Logging_2303/klagomål/A 1057-2024 FSC-klagomål.docx", "A 1057-2024")</f>
        <v/>
      </c>
      <c r="W198">
        <f>HYPERLINK("https://klasma.github.io/Logging_2303/klagomålsmail/A 1057-2024 FSC-klagomål mail.docx", "A 1057-2024")</f>
        <v/>
      </c>
      <c r="X198">
        <f>HYPERLINK("https://klasma.github.io/Logging_2303/tillsyn/A 1057-2024 tillsynsbegäran.docx", "A 1057-2024")</f>
        <v/>
      </c>
      <c r="Y198">
        <f>HYPERLINK("https://klasma.github.io/Logging_2303/tillsynsmail/A 1057-2024 tillsynsbegäran mail.docx", "A 1057-2024")</f>
        <v/>
      </c>
    </row>
    <row r="199" ht="15" customHeight="1">
      <c r="A199" t="inlineStr">
        <is>
          <t>A 978-2024</t>
        </is>
      </c>
      <c r="B199" s="1" t="n">
        <v>45301</v>
      </c>
      <c r="C199" s="1" t="n">
        <v>45880</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2929-2024</t>
        </is>
      </c>
      <c r="B200" s="1" t="n">
        <v>45315</v>
      </c>
      <c r="C200" s="1" t="n">
        <v>45880</v>
      </c>
      <c r="D200" t="inlineStr">
        <is>
          <t>JÄMTLANDS LÄN</t>
        </is>
      </c>
      <c r="E200" t="inlineStr">
        <is>
          <t>RAGUNDA</t>
        </is>
      </c>
      <c r="G200" t="n">
        <v>1</v>
      </c>
      <c r="H200" t="n">
        <v>0</v>
      </c>
      <c r="I200" t="n">
        <v>0</v>
      </c>
      <c r="J200" t="n">
        <v>1</v>
      </c>
      <c r="K200" t="n">
        <v>0</v>
      </c>
      <c r="L200" t="n">
        <v>0</v>
      </c>
      <c r="M200" t="n">
        <v>0</v>
      </c>
      <c r="N200" t="n">
        <v>0</v>
      </c>
      <c r="O200" t="n">
        <v>1</v>
      </c>
      <c r="P200" t="n">
        <v>0</v>
      </c>
      <c r="Q200" t="n">
        <v>1</v>
      </c>
      <c r="R200" s="2" t="inlineStr">
        <is>
          <t>Klådris</t>
        </is>
      </c>
      <c r="S200">
        <f>HYPERLINK("https://klasma.github.io/Logging_2303/artfynd/A 2929-2024 artfynd.xlsx", "A 2929-2024")</f>
        <v/>
      </c>
      <c r="T200">
        <f>HYPERLINK("https://klasma.github.io/Logging_2303/kartor/A 2929-2024 karta.png", "A 2929-2024")</f>
        <v/>
      </c>
      <c r="V200">
        <f>HYPERLINK("https://klasma.github.io/Logging_2303/klagomål/A 2929-2024 FSC-klagomål.docx", "A 2929-2024")</f>
        <v/>
      </c>
      <c r="W200">
        <f>HYPERLINK("https://klasma.github.io/Logging_2303/klagomålsmail/A 2929-2024 FSC-klagomål mail.docx", "A 2929-2024")</f>
        <v/>
      </c>
      <c r="X200">
        <f>HYPERLINK("https://klasma.github.io/Logging_2303/tillsyn/A 2929-2024 tillsynsbegäran.docx", "A 2929-2024")</f>
        <v/>
      </c>
      <c r="Y200">
        <f>HYPERLINK("https://klasma.github.io/Logging_2303/tillsynsmail/A 2929-2024 tillsynsbegäran mail.docx", "A 2929-2024")</f>
        <v/>
      </c>
    </row>
    <row r="201" ht="15" customHeight="1">
      <c r="A201" t="inlineStr">
        <is>
          <t>A 50233-2024</t>
        </is>
      </c>
      <c r="B201" s="1" t="n">
        <v>45600.55265046296</v>
      </c>
      <c r="C201" s="1" t="n">
        <v>45880</v>
      </c>
      <c r="D201" t="inlineStr">
        <is>
          <t>JÄMTLANDS LÄN</t>
        </is>
      </c>
      <c r="E201" t="inlineStr">
        <is>
          <t>RAGUNDA</t>
        </is>
      </c>
      <c r="F201" t="inlineStr">
        <is>
          <t>SCA</t>
        </is>
      </c>
      <c r="G201" t="n">
        <v>5.6</v>
      </c>
      <c r="H201" t="n">
        <v>0</v>
      </c>
      <c r="I201" t="n">
        <v>0</v>
      </c>
      <c r="J201" t="n">
        <v>1</v>
      </c>
      <c r="K201" t="n">
        <v>0</v>
      </c>
      <c r="L201" t="n">
        <v>0</v>
      </c>
      <c r="M201" t="n">
        <v>0</v>
      </c>
      <c r="N201" t="n">
        <v>0</v>
      </c>
      <c r="O201" t="n">
        <v>1</v>
      </c>
      <c r="P201" t="n">
        <v>0</v>
      </c>
      <c r="Q201" t="n">
        <v>1</v>
      </c>
      <c r="R201" s="2" t="inlineStr">
        <is>
          <t>Granticka</t>
        </is>
      </c>
      <c r="S201">
        <f>HYPERLINK("https://klasma.github.io/Logging_2303/artfynd/A 50233-2024 artfynd.xlsx", "A 50233-2024")</f>
        <v/>
      </c>
      <c r="T201">
        <f>HYPERLINK("https://klasma.github.io/Logging_2303/kartor/A 50233-2024 karta.png", "A 50233-2024")</f>
        <v/>
      </c>
      <c r="V201">
        <f>HYPERLINK("https://klasma.github.io/Logging_2303/klagomål/A 50233-2024 FSC-klagomål.docx", "A 50233-2024")</f>
        <v/>
      </c>
      <c r="W201">
        <f>HYPERLINK("https://klasma.github.io/Logging_2303/klagomålsmail/A 50233-2024 FSC-klagomål mail.docx", "A 50233-2024")</f>
        <v/>
      </c>
      <c r="X201">
        <f>HYPERLINK("https://klasma.github.io/Logging_2303/tillsyn/A 50233-2024 tillsynsbegäran.docx", "A 50233-2024")</f>
        <v/>
      </c>
      <c r="Y201">
        <f>HYPERLINK("https://klasma.github.io/Logging_2303/tillsynsmail/A 50233-2024 tillsynsbegäran mail.docx", "A 50233-2024")</f>
        <v/>
      </c>
    </row>
    <row r="202" ht="15" customHeight="1">
      <c r="A202" t="inlineStr">
        <is>
          <t>A 59104-2023</t>
        </is>
      </c>
      <c r="B202" s="1" t="n">
        <v>45252</v>
      </c>
      <c r="C202" s="1" t="n">
        <v>45880</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23930-2024</t>
        </is>
      </c>
      <c r="B203" s="1" t="n">
        <v>45455.96184027778</v>
      </c>
      <c r="C203" s="1" t="n">
        <v>45880</v>
      </c>
      <c r="D203" t="inlineStr">
        <is>
          <t>JÄMTLANDS LÄN</t>
        </is>
      </c>
      <c r="E203" t="inlineStr">
        <is>
          <t>RAGUNDA</t>
        </is>
      </c>
      <c r="F203" t="inlineStr">
        <is>
          <t>SCA</t>
        </is>
      </c>
      <c r="G203" t="n">
        <v>4.2</v>
      </c>
      <c r="H203" t="n">
        <v>1</v>
      </c>
      <c r="I203" t="n">
        <v>1</v>
      </c>
      <c r="J203" t="n">
        <v>0</v>
      </c>
      <c r="K203" t="n">
        <v>0</v>
      </c>
      <c r="L203" t="n">
        <v>0</v>
      </c>
      <c r="M203" t="n">
        <v>0</v>
      </c>
      <c r="N203" t="n">
        <v>0</v>
      </c>
      <c r="O203" t="n">
        <v>0</v>
      </c>
      <c r="P203" t="n">
        <v>0</v>
      </c>
      <c r="Q203" t="n">
        <v>1</v>
      </c>
      <c r="R203" s="2" t="inlineStr">
        <is>
          <t>Guckusko</t>
        </is>
      </c>
      <c r="S203">
        <f>HYPERLINK("https://klasma.github.io/Logging_2303/artfynd/A 23930-2024 artfynd.xlsx", "A 23930-2024")</f>
        <v/>
      </c>
      <c r="T203">
        <f>HYPERLINK("https://klasma.github.io/Logging_2303/kartor/A 23930-2024 karta.png", "A 23930-2024")</f>
        <v/>
      </c>
      <c r="V203">
        <f>HYPERLINK("https://klasma.github.io/Logging_2303/klagomål/A 23930-2024 FSC-klagomål.docx", "A 23930-2024")</f>
        <v/>
      </c>
      <c r="W203">
        <f>HYPERLINK("https://klasma.github.io/Logging_2303/klagomålsmail/A 23930-2024 FSC-klagomål mail.docx", "A 23930-2024")</f>
        <v/>
      </c>
      <c r="X203">
        <f>HYPERLINK("https://klasma.github.io/Logging_2303/tillsyn/A 23930-2024 tillsynsbegäran.docx", "A 23930-2024")</f>
        <v/>
      </c>
      <c r="Y203">
        <f>HYPERLINK("https://klasma.github.io/Logging_2303/tillsynsmail/A 23930-2024 tillsynsbegäran mail.docx", "A 23930-2024")</f>
        <v/>
      </c>
    </row>
    <row r="204" ht="15" customHeight="1">
      <c r="A204" t="inlineStr">
        <is>
          <t>A 19751-2025</t>
        </is>
      </c>
      <c r="B204" s="1" t="n">
        <v>45771.3859837963</v>
      </c>
      <c r="C204" s="1" t="n">
        <v>45880</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58846-2024</t>
        </is>
      </c>
      <c r="B205" s="1" t="n">
        <v>45636.3863425926</v>
      </c>
      <c r="C205" s="1" t="n">
        <v>45880</v>
      </c>
      <c r="D205" t="inlineStr">
        <is>
          <t>JÄMTLANDS LÄN</t>
        </is>
      </c>
      <c r="E205" t="inlineStr">
        <is>
          <t>RAGUNDA</t>
        </is>
      </c>
      <c r="F205" t="inlineStr">
        <is>
          <t>SCA</t>
        </is>
      </c>
      <c r="G205" t="n">
        <v>1.5</v>
      </c>
      <c r="H205" t="n">
        <v>0</v>
      </c>
      <c r="I205" t="n">
        <v>0</v>
      </c>
      <c r="J205" t="n">
        <v>0</v>
      </c>
      <c r="K205" t="n">
        <v>1</v>
      </c>
      <c r="L205" t="n">
        <v>0</v>
      </c>
      <c r="M205" t="n">
        <v>0</v>
      </c>
      <c r="N205" t="n">
        <v>0</v>
      </c>
      <c r="O205" t="n">
        <v>1</v>
      </c>
      <c r="P205" t="n">
        <v>1</v>
      </c>
      <c r="Q205" t="n">
        <v>1</v>
      </c>
      <c r="R205" s="2" t="inlineStr">
        <is>
          <t>Rynkskinn</t>
        </is>
      </c>
      <c r="S205">
        <f>HYPERLINK("https://klasma.github.io/Logging_2303/artfynd/A 58846-2024 artfynd.xlsx", "A 58846-2024")</f>
        <v/>
      </c>
      <c r="T205">
        <f>HYPERLINK("https://klasma.github.io/Logging_2303/kartor/A 58846-2024 karta.png", "A 58846-2024")</f>
        <v/>
      </c>
      <c r="V205">
        <f>HYPERLINK("https://klasma.github.io/Logging_2303/klagomål/A 58846-2024 FSC-klagomål.docx", "A 58846-2024")</f>
        <v/>
      </c>
      <c r="W205">
        <f>HYPERLINK("https://klasma.github.io/Logging_2303/klagomålsmail/A 58846-2024 FSC-klagomål mail.docx", "A 58846-2024")</f>
        <v/>
      </c>
      <c r="X205">
        <f>HYPERLINK("https://klasma.github.io/Logging_2303/tillsyn/A 58846-2024 tillsynsbegäran.docx", "A 58846-2024")</f>
        <v/>
      </c>
      <c r="Y205">
        <f>HYPERLINK("https://klasma.github.io/Logging_2303/tillsynsmail/A 58846-2024 tillsynsbegäran mail.docx", "A 58846-2024")</f>
        <v/>
      </c>
    </row>
    <row r="206" ht="15" customHeight="1">
      <c r="A206" t="inlineStr">
        <is>
          <t>A 26322-2024</t>
        </is>
      </c>
      <c r="B206" s="1" t="n">
        <v>45468.97461805555</v>
      </c>
      <c r="C206" s="1" t="n">
        <v>45880</v>
      </c>
      <c r="D206" t="inlineStr">
        <is>
          <t>JÄMTLANDS LÄN</t>
        </is>
      </c>
      <c r="E206" t="inlineStr">
        <is>
          <t>RAGUNDA</t>
        </is>
      </c>
      <c r="F206" t="inlineStr">
        <is>
          <t>SCA</t>
        </is>
      </c>
      <c r="G206" t="n">
        <v>9.6</v>
      </c>
      <c r="H206" t="n">
        <v>0</v>
      </c>
      <c r="I206" t="n">
        <v>0</v>
      </c>
      <c r="J206" t="n">
        <v>1</v>
      </c>
      <c r="K206" t="n">
        <v>0</v>
      </c>
      <c r="L206" t="n">
        <v>0</v>
      </c>
      <c r="M206" t="n">
        <v>0</v>
      </c>
      <c r="N206" t="n">
        <v>0</v>
      </c>
      <c r="O206" t="n">
        <v>1</v>
      </c>
      <c r="P206" t="n">
        <v>0</v>
      </c>
      <c r="Q206" t="n">
        <v>1</v>
      </c>
      <c r="R206" s="2" t="inlineStr">
        <is>
          <t>Rosenticka</t>
        </is>
      </c>
      <c r="S206">
        <f>HYPERLINK("https://klasma.github.io/Logging_2303/artfynd/A 26322-2024 artfynd.xlsx", "A 26322-2024")</f>
        <v/>
      </c>
      <c r="T206">
        <f>HYPERLINK("https://klasma.github.io/Logging_2303/kartor/A 26322-2024 karta.png", "A 26322-2024")</f>
        <v/>
      </c>
      <c r="U206">
        <f>HYPERLINK("https://klasma.github.io/Logging_2303/knärot/A 26322-2024 karta knärot.png", "A 26322-2024")</f>
        <v/>
      </c>
      <c r="V206">
        <f>HYPERLINK("https://klasma.github.io/Logging_2303/klagomål/A 26322-2024 FSC-klagomål.docx", "A 26322-2024")</f>
        <v/>
      </c>
      <c r="W206">
        <f>HYPERLINK("https://klasma.github.io/Logging_2303/klagomålsmail/A 26322-2024 FSC-klagomål mail.docx", "A 26322-2024")</f>
        <v/>
      </c>
      <c r="X206">
        <f>HYPERLINK("https://klasma.github.io/Logging_2303/tillsyn/A 26322-2024 tillsynsbegäran.docx", "A 26322-2024")</f>
        <v/>
      </c>
      <c r="Y206">
        <f>HYPERLINK("https://klasma.github.io/Logging_2303/tillsynsmail/A 26322-2024 tillsynsbegäran mail.docx", "A 26322-2024")</f>
        <v/>
      </c>
    </row>
    <row r="207" ht="15" customHeight="1">
      <c r="A207" t="inlineStr">
        <is>
          <t>A 6703-2024</t>
        </is>
      </c>
      <c r="B207" s="1" t="n">
        <v>45341</v>
      </c>
      <c r="C207" s="1" t="n">
        <v>45880</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24443-2024</t>
        </is>
      </c>
      <c r="B208" s="1" t="n">
        <v>45457.9640625</v>
      </c>
      <c r="C208" s="1" t="n">
        <v>45880</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36224-2023</t>
        </is>
      </c>
      <c r="B209" s="1" t="n">
        <v>45149</v>
      </c>
      <c r="C209" s="1" t="n">
        <v>45880</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21212-2025</t>
        </is>
      </c>
      <c r="B210" s="1" t="n">
        <v>45779.48993055556</v>
      </c>
      <c r="C210" s="1" t="n">
        <v>45880</v>
      </c>
      <c r="D210" t="inlineStr">
        <is>
          <t>JÄMTLANDS LÄN</t>
        </is>
      </c>
      <c r="E210" t="inlineStr">
        <is>
          <t>RAGUNDA</t>
        </is>
      </c>
      <c r="F210" t="inlineStr">
        <is>
          <t>SCA</t>
        </is>
      </c>
      <c r="G210" t="n">
        <v>2.6</v>
      </c>
      <c r="H210" t="n">
        <v>0</v>
      </c>
      <c r="I210" t="n">
        <v>0</v>
      </c>
      <c r="J210" t="n">
        <v>1</v>
      </c>
      <c r="K210" t="n">
        <v>0</v>
      </c>
      <c r="L210" t="n">
        <v>0</v>
      </c>
      <c r="M210" t="n">
        <v>0</v>
      </c>
      <c r="N210" t="n">
        <v>0</v>
      </c>
      <c r="O210" t="n">
        <v>1</v>
      </c>
      <c r="P210" t="n">
        <v>0</v>
      </c>
      <c r="Q210" t="n">
        <v>1</v>
      </c>
      <c r="R210" s="2" t="inlineStr">
        <is>
          <t>Garnlav</t>
        </is>
      </c>
      <c r="S210">
        <f>HYPERLINK("https://klasma.github.io/Logging_2303/artfynd/A 21212-2025 artfynd.xlsx", "A 21212-2025")</f>
        <v/>
      </c>
      <c r="T210">
        <f>HYPERLINK("https://klasma.github.io/Logging_2303/kartor/A 21212-2025 karta.png", "A 21212-2025")</f>
        <v/>
      </c>
      <c r="V210">
        <f>HYPERLINK("https://klasma.github.io/Logging_2303/klagomål/A 21212-2025 FSC-klagomål.docx", "A 21212-2025")</f>
        <v/>
      </c>
      <c r="W210">
        <f>HYPERLINK("https://klasma.github.io/Logging_2303/klagomålsmail/A 21212-2025 FSC-klagomål mail.docx", "A 21212-2025")</f>
        <v/>
      </c>
      <c r="X210">
        <f>HYPERLINK("https://klasma.github.io/Logging_2303/tillsyn/A 21212-2025 tillsynsbegäran.docx", "A 21212-2025")</f>
        <v/>
      </c>
      <c r="Y210">
        <f>HYPERLINK("https://klasma.github.io/Logging_2303/tillsynsmail/A 21212-2025 tillsynsbegäran mail.docx", "A 21212-2025")</f>
        <v/>
      </c>
    </row>
    <row r="211" ht="15" customHeight="1">
      <c r="A211" t="inlineStr">
        <is>
          <t>A 48429-2023</t>
        </is>
      </c>
      <c r="B211" s="1" t="n">
        <v>45205</v>
      </c>
      <c r="C211" s="1" t="n">
        <v>45880</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17340-2023</t>
        </is>
      </c>
      <c r="B212" s="1" t="n">
        <v>45033</v>
      </c>
      <c r="C212" s="1" t="n">
        <v>45880</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11040-2023</t>
        </is>
      </c>
      <c r="B213" s="1" t="n">
        <v>44991</v>
      </c>
      <c r="C213" s="1" t="n">
        <v>45880</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22771-2025</t>
        </is>
      </c>
      <c r="B214" s="1" t="n">
        <v>45789.6360300926</v>
      </c>
      <c r="C214" s="1" t="n">
        <v>45880</v>
      </c>
      <c r="D214" t="inlineStr">
        <is>
          <t>JÄMTLANDS LÄN</t>
        </is>
      </c>
      <c r="E214" t="inlineStr">
        <is>
          <t>RAGUNDA</t>
        </is>
      </c>
      <c r="F214" t="inlineStr">
        <is>
          <t>SCA</t>
        </is>
      </c>
      <c r="G214" t="n">
        <v>15.2</v>
      </c>
      <c r="H214" t="n">
        <v>0</v>
      </c>
      <c r="I214" t="n">
        <v>0</v>
      </c>
      <c r="J214" t="n">
        <v>1</v>
      </c>
      <c r="K214" t="n">
        <v>0</v>
      </c>
      <c r="L214" t="n">
        <v>0</v>
      </c>
      <c r="M214" t="n">
        <v>0</v>
      </c>
      <c r="N214" t="n">
        <v>0</v>
      </c>
      <c r="O214" t="n">
        <v>1</v>
      </c>
      <c r="P214" t="n">
        <v>0</v>
      </c>
      <c r="Q214" t="n">
        <v>1</v>
      </c>
      <c r="R214" s="2" t="inlineStr">
        <is>
          <t>Blanksvart spiklav</t>
        </is>
      </c>
      <c r="S214">
        <f>HYPERLINK("https://klasma.github.io/Logging_2303/artfynd/A 22771-2025 artfynd.xlsx", "A 22771-2025")</f>
        <v/>
      </c>
      <c r="T214">
        <f>HYPERLINK("https://klasma.github.io/Logging_2303/kartor/A 22771-2025 karta.png", "A 22771-2025")</f>
        <v/>
      </c>
      <c r="V214">
        <f>HYPERLINK("https://klasma.github.io/Logging_2303/klagomål/A 22771-2025 FSC-klagomål.docx", "A 22771-2025")</f>
        <v/>
      </c>
      <c r="W214">
        <f>HYPERLINK("https://klasma.github.io/Logging_2303/klagomålsmail/A 22771-2025 FSC-klagomål mail.docx", "A 22771-2025")</f>
        <v/>
      </c>
      <c r="X214">
        <f>HYPERLINK("https://klasma.github.io/Logging_2303/tillsyn/A 22771-2025 tillsynsbegäran.docx", "A 22771-2025")</f>
        <v/>
      </c>
      <c r="Y214">
        <f>HYPERLINK("https://klasma.github.io/Logging_2303/tillsynsmail/A 22771-2025 tillsynsbegäran mail.docx", "A 22771-2025")</f>
        <v/>
      </c>
    </row>
    <row r="215" ht="15" customHeight="1">
      <c r="A215" t="inlineStr">
        <is>
          <t>A 49091-2022</t>
        </is>
      </c>
      <c r="B215" s="1" t="n">
        <v>44860</v>
      </c>
      <c r="C215" s="1" t="n">
        <v>45880</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16724-2025</t>
        </is>
      </c>
      <c r="B216" s="1" t="n">
        <v>45754.51064814815</v>
      </c>
      <c r="C216" s="1" t="n">
        <v>45880</v>
      </c>
      <c r="D216" t="inlineStr">
        <is>
          <t>JÄMTLANDS LÄN</t>
        </is>
      </c>
      <c r="E216" t="inlineStr">
        <is>
          <t>RAGUNDA</t>
        </is>
      </c>
      <c r="G216" t="n">
        <v>3.5</v>
      </c>
      <c r="H216" t="n">
        <v>0</v>
      </c>
      <c r="I216" t="n">
        <v>0</v>
      </c>
      <c r="J216" t="n">
        <v>1</v>
      </c>
      <c r="K216" t="n">
        <v>0</v>
      </c>
      <c r="L216" t="n">
        <v>0</v>
      </c>
      <c r="M216" t="n">
        <v>0</v>
      </c>
      <c r="N216" t="n">
        <v>0</v>
      </c>
      <c r="O216" t="n">
        <v>1</v>
      </c>
      <c r="P216" t="n">
        <v>0</v>
      </c>
      <c r="Q216" t="n">
        <v>1</v>
      </c>
      <c r="R216" s="2" t="inlineStr">
        <is>
          <t>Kolflarnlav</t>
        </is>
      </c>
      <c r="S216">
        <f>HYPERLINK("https://klasma.github.io/Logging_2303/artfynd/A 16724-2025 artfynd.xlsx", "A 16724-2025")</f>
        <v/>
      </c>
      <c r="T216">
        <f>HYPERLINK("https://klasma.github.io/Logging_2303/kartor/A 16724-2025 karta.png", "A 16724-2025")</f>
        <v/>
      </c>
      <c r="V216">
        <f>HYPERLINK("https://klasma.github.io/Logging_2303/klagomål/A 16724-2025 FSC-klagomål.docx", "A 16724-2025")</f>
        <v/>
      </c>
      <c r="W216">
        <f>HYPERLINK("https://klasma.github.io/Logging_2303/klagomålsmail/A 16724-2025 FSC-klagomål mail.docx", "A 16724-2025")</f>
        <v/>
      </c>
      <c r="X216">
        <f>HYPERLINK("https://klasma.github.io/Logging_2303/tillsyn/A 16724-2025 tillsynsbegäran.docx", "A 16724-2025")</f>
        <v/>
      </c>
      <c r="Y216">
        <f>HYPERLINK("https://klasma.github.io/Logging_2303/tillsynsmail/A 16724-2025 tillsynsbegäran mail.docx", "A 16724-2025")</f>
        <v/>
      </c>
    </row>
    <row r="217" ht="15" customHeight="1">
      <c r="A217" t="inlineStr">
        <is>
          <t>A 62072-2023</t>
        </is>
      </c>
      <c r="B217" s="1" t="n">
        <v>45266</v>
      </c>
      <c r="C217" s="1" t="n">
        <v>45880</v>
      </c>
      <c r="D217" t="inlineStr">
        <is>
          <t>JÄMTLANDS LÄN</t>
        </is>
      </c>
      <c r="E217" t="inlineStr">
        <is>
          <t>RAGUNDA</t>
        </is>
      </c>
      <c r="G217" t="n">
        <v>4.5</v>
      </c>
      <c r="H217" t="n">
        <v>1</v>
      </c>
      <c r="I217" t="n">
        <v>0</v>
      </c>
      <c r="J217" t="n">
        <v>0</v>
      </c>
      <c r="K217" t="n">
        <v>1</v>
      </c>
      <c r="L217" t="n">
        <v>0</v>
      </c>
      <c r="M217" t="n">
        <v>0</v>
      </c>
      <c r="N217" t="n">
        <v>0</v>
      </c>
      <c r="O217" t="n">
        <v>1</v>
      </c>
      <c r="P217" t="n">
        <v>1</v>
      </c>
      <c r="Q217" t="n">
        <v>1</v>
      </c>
      <c r="R217" s="2" t="inlineStr">
        <is>
          <t>Lappuggla</t>
        </is>
      </c>
      <c r="S217">
        <f>HYPERLINK("https://klasma.github.io/Logging_2303/artfynd/A 62072-2023 artfynd.xlsx", "A 62072-2023")</f>
        <v/>
      </c>
      <c r="T217">
        <f>HYPERLINK("https://klasma.github.io/Logging_2303/kartor/A 62072-2023 karta.png", "A 62072-2023")</f>
        <v/>
      </c>
      <c r="V217">
        <f>HYPERLINK("https://klasma.github.io/Logging_2303/klagomål/A 62072-2023 FSC-klagomål.docx", "A 62072-2023")</f>
        <v/>
      </c>
      <c r="W217">
        <f>HYPERLINK("https://klasma.github.io/Logging_2303/klagomålsmail/A 62072-2023 FSC-klagomål mail.docx", "A 62072-2023")</f>
        <v/>
      </c>
      <c r="X217">
        <f>HYPERLINK("https://klasma.github.io/Logging_2303/tillsyn/A 62072-2023 tillsynsbegäran.docx", "A 62072-2023")</f>
        <v/>
      </c>
      <c r="Y217">
        <f>HYPERLINK("https://klasma.github.io/Logging_2303/tillsynsmail/A 62072-2023 tillsynsbegäran mail.docx", "A 62072-2023")</f>
        <v/>
      </c>
      <c r="Z217">
        <f>HYPERLINK("https://klasma.github.io/Logging_2303/fåglar/A 62072-2023 prioriterade fågelarter.docx", "A 62072-2023")</f>
        <v/>
      </c>
    </row>
    <row r="218" ht="15" customHeight="1">
      <c r="A218" t="inlineStr">
        <is>
          <t>A 25694-2023</t>
        </is>
      </c>
      <c r="B218" s="1" t="n">
        <v>45089</v>
      </c>
      <c r="C218" s="1" t="n">
        <v>45880</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32445-2025</t>
        </is>
      </c>
      <c r="B219" s="1" t="n">
        <v>45838.38627314815</v>
      </c>
      <c r="C219" s="1" t="n">
        <v>45880</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32445-2025 artfynd.xlsx", "A 32445-2025")</f>
        <v/>
      </c>
      <c r="T219">
        <f>HYPERLINK("https://klasma.github.io/Logging_2303/kartor/A 32445-2025 karta.png", "A 32445-2025")</f>
        <v/>
      </c>
      <c r="V219">
        <f>HYPERLINK("https://klasma.github.io/Logging_2303/klagomål/A 32445-2025 FSC-klagomål.docx", "A 32445-2025")</f>
        <v/>
      </c>
      <c r="W219">
        <f>HYPERLINK("https://klasma.github.io/Logging_2303/klagomålsmail/A 32445-2025 FSC-klagomål mail.docx", "A 32445-2025")</f>
        <v/>
      </c>
      <c r="X219">
        <f>HYPERLINK("https://klasma.github.io/Logging_2303/tillsyn/A 32445-2025 tillsynsbegäran.docx", "A 32445-2025")</f>
        <v/>
      </c>
      <c r="Y219">
        <f>HYPERLINK("https://klasma.github.io/Logging_2303/tillsynsmail/A 32445-2025 tillsynsbegäran mail.docx", "A 32445-2025")</f>
        <v/>
      </c>
      <c r="Z219">
        <f>HYPERLINK("https://klasma.github.io/Logging_2303/fåglar/A 32445-2025 prioriterade fågelarter.docx", "A 32445-2025")</f>
        <v/>
      </c>
    </row>
    <row r="220" ht="15" customHeight="1">
      <c r="A220" t="inlineStr">
        <is>
          <t>A 49770-2024</t>
        </is>
      </c>
      <c r="B220" s="1" t="n">
        <v>45597.34461805555</v>
      </c>
      <c r="C220" s="1" t="n">
        <v>45880</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31960-2025</t>
        </is>
      </c>
      <c r="B221" s="1" t="n">
        <v>45835.344375</v>
      </c>
      <c r="C221" s="1" t="n">
        <v>45880</v>
      </c>
      <c r="D221" t="inlineStr">
        <is>
          <t>JÄMTLANDS LÄN</t>
        </is>
      </c>
      <c r="E221" t="inlineStr">
        <is>
          <t>RAGUNDA</t>
        </is>
      </c>
      <c r="F221" t="inlineStr">
        <is>
          <t>SCA</t>
        </is>
      </c>
      <c r="G221" t="n">
        <v>1.6</v>
      </c>
      <c r="H221" t="n">
        <v>0</v>
      </c>
      <c r="I221" t="n">
        <v>0</v>
      </c>
      <c r="J221" t="n">
        <v>1</v>
      </c>
      <c r="K221" t="n">
        <v>0</v>
      </c>
      <c r="L221" t="n">
        <v>0</v>
      </c>
      <c r="M221" t="n">
        <v>0</v>
      </c>
      <c r="N221" t="n">
        <v>0</v>
      </c>
      <c r="O221" t="n">
        <v>1</v>
      </c>
      <c r="P221" t="n">
        <v>0</v>
      </c>
      <c r="Q221" t="n">
        <v>1</v>
      </c>
      <c r="R221" s="2" t="inlineStr">
        <is>
          <t>Gammelgransskål</t>
        </is>
      </c>
      <c r="S221">
        <f>HYPERLINK("https://klasma.github.io/Logging_2303/artfynd/A 31960-2025 artfynd.xlsx", "A 31960-2025")</f>
        <v/>
      </c>
      <c r="T221">
        <f>HYPERLINK("https://klasma.github.io/Logging_2303/kartor/A 31960-2025 karta.png", "A 31960-2025")</f>
        <v/>
      </c>
      <c r="V221">
        <f>HYPERLINK("https://klasma.github.io/Logging_2303/klagomål/A 31960-2025 FSC-klagomål.docx", "A 31960-2025")</f>
        <v/>
      </c>
      <c r="W221">
        <f>HYPERLINK("https://klasma.github.io/Logging_2303/klagomålsmail/A 31960-2025 FSC-klagomål mail.docx", "A 31960-2025")</f>
        <v/>
      </c>
      <c r="X221">
        <f>HYPERLINK("https://klasma.github.io/Logging_2303/tillsyn/A 31960-2025 tillsynsbegäran.docx", "A 31960-2025")</f>
        <v/>
      </c>
      <c r="Y221">
        <f>HYPERLINK("https://klasma.github.io/Logging_2303/tillsynsmail/A 31960-2025 tillsynsbegäran mail.docx", "A 31960-2025")</f>
        <v/>
      </c>
    </row>
    <row r="222" ht="15" customHeight="1">
      <c r="A222" t="inlineStr">
        <is>
          <t>A 36757-2023</t>
        </is>
      </c>
      <c r="B222" s="1" t="n">
        <v>45153</v>
      </c>
      <c r="C222" s="1" t="n">
        <v>45880</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43404-2023</t>
        </is>
      </c>
      <c r="B223" s="1" t="n">
        <v>45183</v>
      </c>
      <c r="C223" s="1" t="n">
        <v>45880</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34474-2025</t>
        </is>
      </c>
      <c r="B224" s="1" t="n">
        <v>45847.36528935185</v>
      </c>
      <c r="C224" s="1" t="n">
        <v>45880</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61324-2024</t>
        </is>
      </c>
      <c r="B225" s="1" t="n">
        <v>45646.34438657408</v>
      </c>
      <c r="C225" s="1" t="n">
        <v>45880</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19387-2025</t>
        </is>
      </c>
      <c r="B226" s="1" t="n">
        <v>45769.65736111111</v>
      </c>
      <c r="C226" s="1" t="n">
        <v>45880</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36854-2023</t>
        </is>
      </c>
      <c r="B227" s="1" t="n">
        <v>45153</v>
      </c>
      <c r="C227" s="1" t="n">
        <v>45880</v>
      </c>
      <c r="D227" t="inlineStr">
        <is>
          <t>JÄMTLANDS LÄN</t>
        </is>
      </c>
      <c r="E227" t="inlineStr">
        <is>
          <t>RAGUNDA</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HYPERLINK("https://klasma.github.io/Logging_2303/artfynd/A 36854-2023 artfynd.xlsx", "A 36854-2023")</f>
        <v/>
      </c>
      <c r="T227">
        <f>HYPERLINK("https://klasma.github.io/Logging_2303/kartor/A 36854-2023 karta.png", "A 36854-2023")</f>
        <v/>
      </c>
      <c r="V227">
        <f>HYPERLINK("https://klasma.github.io/Logging_2303/klagomål/A 36854-2023 FSC-klagomål.docx", "A 36854-2023")</f>
        <v/>
      </c>
      <c r="W227">
        <f>HYPERLINK("https://klasma.github.io/Logging_2303/klagomålsmail/A 36854-2023 FSC-klagomål mail.docx", "A 36854-2023")</f>
        <v/>
      </c>
      <c r="X227">
        <f>HYPERLINK("https://klasma.github.io/Logging_2303/tillsyn/A 36854-2023 tillsynsbegäran.docx", "A 36854-2023")</f>
        <v/>
      </c>
      <c r="Y227">
        <f>HYPERLINK("https://klasma.github.io/Logging_2303/tillsynsmail/A 36854-2023 tillsynsbegäran mail.docx", "A 36854-2023")</f>
        <v/>
      </c>
      <c r="Z227">
        <f>HYPERLINK("https://klasma.github.io/Logging_2303/fåglar/A 36854-2023 prioriterade fågelarter.docx", "A 36854-2023")</f>
        <v/>
      </c>
    </row>
    <row r="228" ht="15" customHeight="1">
      <c r="A228" t="inlineStr">
        <is>
          <t>A 36975-2023</t>
        </is>
      </c>
      <c r="B228" s="1" t="n">
        <v>45154</v>
      </c>
      <c r="C228" s="1" t="n">
        <v>45880</v>
      </c>
      <c r="D228" t="inlineStr">
        <is>
          <t>JÄMTLANDS LÄN</t>
        </is>
      </c>
      <c r="E228" t="inlineStr">
        <is>
          <t>RAGUNDA</t>
        </is>
      </c>
      <c r="F228" t="inlineStr">
        <is>
          <t>SCA</t>
        </is>
      </c>
      <c r="G228" t="n">
        <v>3.8</v>
      </c>
      <c r="H228" t="n">
        <v>0</v>
      </c>
      <c r="I228" t="n">
        <v>0</v>
      </c>
      <c r="J228" t="n">
        <v>0</v>
      </c>
      <c r="K228" t="n">
        <v>1</v>
      </c>
      <c r="L228" t="n">
        <v>0</v>
      </c>
      <c r="M228" t="n">
        <v>0</v>
      </c>
      <c r="N228" t="n">
        <v>0</v>
      </c>
      <c r="O228" t="n">
        <v>1</v>
      </c>
      <c r="P228" t="n">
        <v>1</v>
      </c>
      <c r="Q228" t="n">
        <v>1</v>
      </c>
      <c r="R228" s="2" t="inlineStr">
        <is>
          <t>Gräddporing</t>
        </is>
      </c>
      <c r="S228">
        <f>HYPERLINK("https://klasma.github.io/Logging_2303/artfynd/A 36975-2023 artfynd.xlsx", "A 36975-2023")</f>
        <v/>
      </c>
      <c r="T228">
        <f>HYPERLINK("https://klasma.github.io/Logging_2303/kartor/A 36975-2023 karta.png", "A 36975-2023")</f>
        <v/>
      </c>
      <c r="V228">
        <f>HYPERLINK("https://klasma.github.io/Logging_2303/klagomål/A 36975-2023 FSC-klagomål.docx", "A 36975-2023")</f>
        <v/>
      </c>
      <c r="W228">
        <f>HYPERLINK("https://klasma.github.io/Logging_2303/klagomålsmail/A 36975-2023 FSC-klagomål mail.docx", "A 36975-2023")</f>
        <v/>
      </c>
      <c r="X228">
        <f>HYPERLINK("https://klasma.github.io/Logging_2303/tillsyn/A 36975-2023 tillsynsbegäran.docx", "A 36975-2023")</f>
        <v/>
      </c>
      <c r="Y228">
        <f>HYPERLINK("https://klasma.github.io/Logging_2303/tillsynsmail/A 36975-2023 tillsynsbegäran mail.docx", "A 36975-2023")</f>
        <v/>
      </c>
    </row>
    <row r="229" ht="15" customHeight="1">
      <c r="A229" t="inlineStr">
        <is>
          <t>A 35750-2023</t>
        </is>
      </c>
      <c r="B229" s="1" t="n">
        <v>45147</v>
      </c>
      <c r="C229" s="1" t="n">
        <v>45880</v>
      </c>
      <c r="D229" t="inlineStr">
        <is>
          <t>JÄMTLANDS LÄN</t>
        </is>
      </c>
      <c r="E229" t="inlineStr">
        <is>
          <t>RAGUNDA</t>
        </is>
      </c>
      <c r="F229" t="inlineStr">
        <is>
          <t>SCA</t>
        </is>
      </c>
      <c r="G229" t="n">
        <v>4.8</v>
      </c>
      <c r="H229" t="n">
        <v>0</v>
      </c>
      <c r="I229" t="n">
        <v>0</v>
      </c>
      <c r="J229" t="n">
        <v>1</v>
      </c>
      <c r="K229" t="n">
        <v>0</v>
      </c>
      <c r="L229" t="n">
        <v>0</v>
      </c>
      <c r="M229" t="n">
        <v>0</v>
      </c>
      <c r="N229" t="n">
        <v>0</v>
      </c>
      <c r="O229" t="n">
        <v>1</v>
      </c>
      <c r="P229" t="n">
        <v>0</v>
      </c>
      <c r="Q229" t="n">
        <v>1</v>
      </c>
      <c r="R229" s="2" t="inlineStr">
        <is>
          <t>Grantaggsvamp</t>
        </is>
      </c>
      <c r="S229">
        <f>HYPERLINK("https://klasma.github.io/Logging_2303/artfynd/A 35750-2023 artfynd.xlsx", "A 35750-2023")</f>
        <v/>
      </c>
      <c r="T229">
        <f>HYPERLINK("https://klasma.github.io/Logging_2303/kartor/A 35750-2023 karta.png", "A 35750-2023")</f>
        <v/>
      </c>
      <c r="V229">
        <f>HYPERLINK("https://klasma.github.io/Logging_2303/klagomål/A 35750-2023 FSC-klagomål.docx", "A 35750-2023")</f>
        <v/>
      </c>
      <c r="W229">
        <f>HYPERLINK("https://klasma.github.io/Logging_2303/klagomålsmail/A 35750-2023 FSC-klagomål mail.docx", "A 35750-2023")</f>
        <v/>
      </c>
      <c r="X229">
        <f>HYPERLINK("https://klasma.github.io/Logging_2303/tillsyn/A 35750-2023 tillsynsbegäran.docx", "A 35750-2023")</f>
        <v/>
      </c>
      <c r="Y229">
        <f>HYPERLINK("https://klasma.github.io/Logging_2303/tillsynsmail/A 35750-2023 tillsynsbegäran mail.docx", "A 35750-2023")</f>
        <v/>
      </c>
    </row>
    <row r="230" ht="15" customHeight="1">
      <c r="A230" t="inlineStr">
        <is>
          <t>A 20575-2025</t>
        </is>
      </c>
      <c r="B230" s="1" t="n">
        <v>45775.67769675926</v>
      </c>
      <c r="C230" s="1" t="n">
        <v>45880</v>
      </c>
      <c r="D230" t="inlineStr">
        <is>
          <t>JÄMTLANDS LÄN</t>
        </is>
      </c>
      <c r="E230" t="inlineStr">
        <is>
          <t>RAGUNDA</t>
        </is>
      </c>
      <c r="F230" t="inlineStr">
        <is>
          <t>SCA</t>
        </is>
      </c>
      <c r="G230" t="n">
        <v>8.1</v>
      </c>
      <c r="H230" t="n">
        <v>1</v>
      </c>
      <c r="I230" t="n">
        <v>0</v>
      </c>
      <c r="J230" t="n">
        <v>1</v>
      </c>
      <c r="K230" t="n">
        <v>0</v>
      </c>
      <c r="L230" t="n">
        <v>0</v>
      </c>
      <c r="M230" t="n">
        <v>0</v>
      </c>
      <c r="N230" t="n">
        <v>0</v>
      </c>
      <c r="O230" t="n">
        <v>1</v>
      </c>
      <c r="P230" t="n">
        <v>0</v>
      </c>
      <c r="Q230" t="n">
        <v>1</v>
      </c>
      <c r="R230" s="2" t="inlineStr">
        <is>
          <t>Skogsfru</t>
        </is>
      </c>
      <c r="S230">
        <f>HYPERLINK("https://klasma.github.io/Logging_2303/artfynd/A 20575-2025 artfynd.xlsx", "A 20575-2025")</f>
        <v/>
      </c>
      <c r="T230">
        <f>HYPERLINK("https://klasma.github.io/Logging_2303/kartor/A 20575-2025 karta.png", "A 20575-2025")</f>
        <v/>
      </c>
      <c r="V230">
        <f>HYPERLINK("https://klasma.github.io/Logging_2303/klagomål/A 20575-2025 FSC-klagomål.docx", "A 20575-2025")</f>
        <v/>
      </c>
      <c r="W230">
        <f>HYPERLINK("https://klasma.github.io/Logging_2303/klagomålsmail/A 20575-2025 FSC-klagomål mail.docx", "A 20575-2025")</f>
        <v/>
      </c>
      <c r="X230">
        <f>HYPERLINK("https://klasma.github.io/Logging_2303/tillsyn/A 20575-2025 tillsynsbegäran.docx", "A 20575-2025")</f>
        <v/>
      </c>
      <c r="Y230">
        <f>HYPERLINK("https://klasma.github.io/Logging_2303/tillsynsmail/A 20575-2025 tillsynsbegäran mail.docx", "A 20575-2025")</f>
        <v/>
      </c>
    </row>
    <row r="231" ht="15" customHeight="1">
      <c r="A231" t="inlineStr">
        <is>
          <t>A 27573-2025</t>
        </is>
      </c>
      <c r="B231" s="1" t="n">
        <v>45813.49061342593</v>
      </c>
      <c r="C231" s="1" t="n">
        <v>45880</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10884-2025</t>
        </is>
      </c>
      <c r="B232" s="1" t="n">
        <v>45722.65670138889</v>
      </c>
      <c r="C232" s="1" t="n">
        <v>45880</v>
      </c>
      <c r="D232" t="inlineStr">
        <is>
          <t>JÄMTLANDS LÄN</t>
        </is>
      </c>
      <c r="E232" t="inlineStr">
        <is>
          <t>RAGUNDA</t>
        </is>
      </c>
      <c r="F232" t="inlineStr">
        <is>
          <t>SCA</t>
        </is>
      </c>
      <c r="G232" t="n">
        <v>5.4</v>
      </c>
      <c r="H232" t="n">
        <v>0</v>
      </c>
      <c r="I232" t="n">
        <v>1</v>
      </c>
      <c r="J232" t="n">
        <v>0</v>
      </c>
      <c r="K232" t="n">
        <v>0</v>
      </c>
      <c r="L232" t="n">
        <v>0</v>
      </c>
      <c r="M232" t="n">
        <v>0</v>
      </c>
      <c r="N232" t="n">
        <v>0</v>
      </c>
      <c r="O232" t="n">
        <v>0</v>
      </c>
      <c r="P232" t="n">
        <v>0</v>
      </c>
      <c r="Q232" t="n">
        <v>1</v>
      </c>
      <c r="R232" s="2" t="inlineStr">
        <is>
          <t>Dropptaggsvamp</t>
        </is>
      </c>
      <c r="S232">
        <f>HYPERLINK("https://klasma.github.io/Logging_2303/artfynd/A 10884-2025 artfynd.xlsx", "A 10884-2025")</f>
        <v/>
      </c>
      <c r="T232">
        <f>HYPERLINK("https://klasma.github.io/Logging_2303/kartor/A 10884-2025 karta.png", "A 10884-2025")</f>
        <v/>
      </c>
      <c r="V232">
        <f>HYPERLINK("https://klasma.github.io/Logging_2303/klagomål/A 10884-2025 FSC-klagomål.docx", "A 10884-2025")</f>
        <v/>
      </c>
      <c r="W232">
        <f>HYPERLINK("https://klasma.github.io/Logging_2303/klagomålsmail/A 10884-2025 FSC-klagomål mail.docx", "A 10884-2025")</f>
        <v/>
      </c>
      <c r="X232">
        <f>HYPERLINK("https://klasma.github.io/Logging_2303/tillsyn/A 10884-2025 tillsynsbegäran.docx", "A 10884-2025")</f>
        <v/>
      </c>
      <c r="Y232">
        <f>HYPERLINK("https://klasma.github.io/Logging_2303/tillsynsmail/A 10884-2025 tillsynsbegäran mail.docx", "A 10884-2025")</f>
        <v/>
      </c>
    </row>
    <row r="233" ht="15" customHeight="1">
      <c r="A233" t="inlineStr">
        <is>
          <t>A 19728-2025</t>
        </is>
      </c>
      <c r="B233" s="1" t="n">
        <v>45771.36548611111</v>
      </c>
      <c r="C233" s="1" t="n">
        <v>45880</v>
      </c>
      <c r="D233" t="inlineStr">
        <is>
          <t>JÄMTLANDS LÄN</t>
        </is>
      </c>
      <c r="E233" t="inlineStr">
        <is>
          <t>RAGUNDA</t>
        </is>
      </c>
      <c r="F233" t="inlineStr">
        <is>
          <t>SCA</t>
        </is>
      </c>
      <c r="G233" t="n">
        <v>6.2</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19728-2025 artfynd.xlsx", "A 19728-2025")</f>
        <v/>
      </c>
      <c r="T233">
        <f>HYPERLINK("https://klasma.github.io/Logging_2303/kartor/A 19728-2025 karta.png", "A 19728-2025")</f>
        <v/>
      </c>
      <c r="V233">
        <f>HYPERLINK("https://klasma.github.io/Logging_2303/klagomål/A 19728-2025 FSC-klagomål.docx", "A 19728-2025")</f>
        <v/>
      </c>
      <c r="W233">
        <f>HYPERLINK("https://klasma.github.io/Logging_2303/klagomålsmail/A 19728-2025 FSC-klagomål mail.docx", "A 19728-2025")</f>
        <v/>
      </c>
      <c r="X233">
        <f>HYPERLINK("https://klasma.github.io/Logging_2303/tillsyn/A 19728-2025 tillsynsbegäran.docx", "A 19728-2025")</f>
        <v/>
      </c>
      <c r="Y233">
        <f>HYPERLINK("https://klasma.github.io/Logging_2303/tillsynsmail/A 19728-2025 tillsynsbegäran mail.docx", "A 19728-2025")</f>
        <v/>
      </c>
      <c r="Z233">
        <f>HYPERLINK("https://klasma.github.io/Logging_2303/fåglar/A 19728-2025 prioriterade fågelarter.docx", "A 19728-2025")</f>
        <v/>
      </c>
    </row>
    <row r="234" ht="15" customHeight="1">
      <c r="A234" t="inlineStr">
        <is>
          <t>A 32069-2024</t>
        </is>
      </c>
      <c r="B234" s="1" t="n">
        <v>45510</v>
      </c>
      <c r="C234" s="1" t="n">
        <v>45880</v>
      </c>
      <c r="D234" t="inlineStr">
        <is>
          <t>JÄMTLANDS LÄN</t>
        </is>
      </c>
      <c r="E234" t="inlineStr">
        <is>
          <t>RAGUNDA</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HYPERLINK("https://klasma.github.io/Logging_2303/artfynd/A 32069-2024 artfynd.xlsx", "A 32069-2024")</f>
        <v/>
      </c>
      <c r="T234">
        <f>HYPERLINK("https://klasma.github.io/Logging_2303/kartor/A 32069-2024 karta.png", "A 32069-2024")</f>
        <v/>
      </c>
      <c r="V234">
        <f>HYPERLINK("https://klasma.github.io/Logging_2303/klagomål/A 32069-2024 FSC-klagomål.docx", "A 32069-2024")</f>
        <v/>
      </c>
      <c r="W234">
        <f>HYPERLINK("https://klasma.github.io/Logging_2303/klagomålsmail/A 32069-2024 FSC-klagomål mail.docx", "A 32069-2024")</f>
        <v/>
      </c>
      <c r="X234">
        <f>HYPERLINK("https://klasma.github.io/Logging_2303/tillsyn/A 32069-2024 tillsynsbegäran.docx", "A 32069-2024")</f>
        <v/>
      </c>
      <c r="Y234">
        <f>HYPERLINK("https://klasma.github.io/Logging_2303/tillsynsmail/A 32069-2024 tillsynsbegäran mail.docx", "A 32069-2024")</f>
        <v/>
      </c>
    </row>
    <row r="235" ht="15" customHeight="1">
      <c r="A235" t="inlineStr">
        <is>
          <t>A 20774-2024</t>
        </is>
      </c>
      <c r="B235" s="1" t="n">
        <v>45436.94644675926</v>
      </c>
      <c r="C235" s="1" t="n">
        <v>45880</v>
      </c>
      <c r="D235" t="inlineStr">
        <is>
          <t>JÄMTLANDS LÄN</t>
        </is>
      </c>
      <c r="E235" t="inlineStr">
        <is>
          <t>RAGUNDA</t>
        </is>
      </c>
      <c r="F235" t="inlineStr">
        <is>
          <t>SCA</t>
        </is>
      </c>
      <c r="G235" t="n">
        <v>2.3</v>
      </c>
      <c r="H235" t="n">
        <v>0</v>
      </c>
      <c r="I235" t="n">
        <v>1</v>
      </c>
      <c r="J235" t="n">
        <v>0</v>
      </c>
      <c r="K235" t="n">
        <v>0</v>
      </c>
      <c r="L235" t="n">
        <v>0</v>
      </c>
      <c r="M235" t="n">
        <v>0</v>
      </c>
      <c r="N235" t="n">
        <v>0</v>
      </c>
      <c r="O235" t="n">
        <v>0</v>
      </c>
      <c r="P235" t="n">
        <v>0</v>
      </c>
      <c r="Q235" t="n">
        <v>1</v>
      </c>
      <c r="R235" s="2" t="inlineStr">
        <is>
          <t>Fjällig taggsvamp s.str.</t>
        </is>
      </c>
      <c r="S235">
        <f>HYPERLINK("https://klasma.github.io/Logging_2303/artfynd/A 20774-2024 artfynd.xlsx", "A 20774-2024")</f>
        <v/>
      </c>
      <c r="T235">
        <f>HYPERLINK("https://klasma.github.io/Logging_2303/kartor/A 20774-2024 karta.png", "A 20774-2024")</f>
        <v/>
      </c>
      <c r="V235">
        <f>HYPERLINK("https://klasma.github.io/Logging_2303/klagomål/A 20774-2024 FSC-klagomål.docx", "A 20774-2024")</f>
        <v/>
      </c>
      <c r="W235">
        <f>HYPERLINK("https://klasma.github.io/Logging_2303/klagomålsmail/A 20774-2024 FSC-klagomål mail.docx", "A 20774-2024")</f>
        <v/>
      </c>
      <c r="X235">
        <f>HYPERLINK("https://klasma.github.io/Logging_2303/tillsyn/A 20774-2024 tillsynsbegäran.docx", "A 20774-2024")</f>
        <v/>
      </c>
      <c r="Y235">
        <f>HYPERLINK("https://klasma.github.io/Logging_2303/tillsynsmail/A 20774-2024 tillsynsbegäran mail.docx", "A 20774-2024")</f>
        <v/>
      </c>
    </row>
    <row r="236" ht="15" customHeight="1">
      <c r="A236" t="inlineStr">
        <is>
          <t>A 30390-2025</t>
        </is>
      </c>
      <c r="B236" s="1" t="n">
        <v>45827.57371527778</v>
      </c>
      <c r="C236" s="1" t="n">
        <v>45880</v>
      </c>
      <c r="D236" t="inlineStr">
        <is>
          <t>JÄMTLANDS LÄN</t>
        </is>
      </c>
      <c r="E236" t="inlineStr">
        <is>
          <t>RAGUNDA</t>
        </is>
      </c>
      <c r="F236" t="inlineStr">
        <is>
          <t>SCA</t>
        </is>
      </c>
      <c r="G236" t="n">
        <v>11.2</v>
      </c>
      <c r="H236" t="n">
        <v>0</v>
      </c>
      <c r="I236" t="n">
        <v>0</v>
      </c>
      <c r="J236" t="n">
        <v>1</v>
      </c>
      <c r="K236" t="n">
        <v>0</v>
      </c>
      <c r="L236" t="n">
        <v>0</v>
      </c>
      <c r="M236" t="n">
        <v>0</v>
      </c>
      <c r="N236" t="n">
        <v>0</v>
      </c>
      <c r="O236" t="n">
        <v>1</v>
      </c>
      <c r="P236" t="n">
        <v>0</v>
      </c>
      <c r="Q236" t="n">
        <v>1</v>
      </c>
      <c r="R236" s="2" t="inlineStr">
        <is>
          <t>Lunglav</t>
        </is>
      </c>
      <c r="S236">
        <f>HYPERLINK("https://klasma.github.io/Logging_2303/artfynd/A 30390-2025 artfynd.xlsx", "A 30390-2025")</f>
        <v/>
      </c>
      <c r="T236">
        <f>HYPERLINK("https://klasma.github.io/Logging_2303/kartor/A 30390-2025 karta.png", "A 30390-2025")</f>
        <v/>
      </c>
      <c r="U236">
        <f>HYPERLINK("https://klasma.github.io/Logging_2303/knärot/A 30390-2025 karta knärot.png", "A 30390-2025")</f>
        <v/>
      </c>
      <c r="V236">
        <f>HYPERLINK("https://klasma.github.io/Logging_2303/klagomål/A 30390-2025 FSC-klagomål.docx", "A 30390-2025")</f>
        <v/>
      </c>
      <c r="W236">
        <f>HYPERLINK("https://klasma.github.io/Logging_2303/klagomålsmail/A 30390-2025 FSC-klagomål mail.docx", "A 30390-2025")</f>
        <v/>
      </c>
      <c r="X236">
        <f>HYPERLINK("https://klasma.github.io/Logging_2303/tillsyn/A 30390-2025 tillsynsbegäran.docx", "A 30390-2025")</f>
        <v/>
      </c>
      <c r="Y236">
        <f>HYPERLINK("https://klasma.github.io/Logging_2303/tillsynsmail/A 30390-2025 tillsynsbegäran mail.docx", "A 30390-2025")</f>
        <v/>
      </c>
    </row>
    <row r="237" ht="15" customHeight="1">
      <c r="A237" t="inlineStr">
        <is>
          <t>A 52898-2020</t>
        </is>
      </c>
      <c r="B237" s="1" t="n">
        <v>44119</v>
      </c>
      <c r="C237" s="1" t="n">
        <v>45880</v>
      </c>
      <c r="D237" t="inlineStr">
        <is>
          <t>JÄMTLANDS LÄN</t>
        </is>
      </c>
      <c r="E237" t="inlineStr">
        <is>
          <t>RAGUNDA</t>
        </is>
      </c>
      <c r="G237" t="n">
        <v>1.4</v>
      </c>
      <c r="H237" t="n">
        <v>1</v>
      </c>
      <c r="I237" t="n">
        <v>0</v>
      </c>
      <c r="J237" t="n">
        <v>0</v>
      </c>
      <c r="K237" t="n">
        <v>0</v>
      </c>
      <c r="L237" t="n">
        <v>0</v>
      </c>
      <c r="M237" t="n">
        <v>0</v>
      </c>
      <c r="N237" t="n">
        <v>0</v>
      </c>
      <c r="O237" t="n">
        <v>0</v>
      </c>
      <c r="P237" t="n">
        <v>0</v>
      </c>
      <c r="Q237" t="n">
        <v>1</v>
      </c>
      <c r="R237" s="2" t="inlineStr">
        <is>
          <t>Revlummer</t>
        </is>
      </c>
      <c r="S237">
        <f>HYPERLINK("https://klasma.github.io/Logging_2303/artfynd/A 52898-2020 artfynd.xlsx", "A 52898-2020")</f>
        <v/>
      </c>
      <c r="T237">
        <f>HYPERLINK("https://klasma.github.io/Logging_2303/kartor/A 52898-2020 karta.png", "A 52898-2020")</f>
        <v/>
      </c>
      <c r="V237">
        <f>HYPERLINK("https://klasma.github.io/Logging_2303/klagomål/A 52898-2020 FSC-klagomål.docx", "A 52898-2020")</f>
        <v/>
      </c>
      <c r="W237">
        <f>HYPERLINK("https://klasma.github.io/Logging_2303/klagomålsmail/A 52898-2020 FSC-klagomål mail.docx", "A 52898-2020")</f>
        <v/>
      </c>
      <c r="X237">
        <f>HYPERLINK("https://klasma.github.io/Logging_2303/tillsyn/A 52898-2020 tillsynsbegäran.docx", "A 52898-2020")</f>
        <v/>
      </c>
      <c r="Y237">
        <f>HYPERLINK("https://klasma.github.io/Logging_2303/tillsynsmail/A 52898-2020 tillsynsbegäran mail.docx", "A 52898-2020")</f>
        <v/>
      </c>
    </row>
    <row r="238" ht="15" customHeight="1">
      <c r="A238" t="inlineStr">
        <is>
          <t>A 26317-2024</t>
        </is>
      </c>
      <c r="B238" s="1" t="n">
        <v>45468</v>
      </c>
      <c r="C238" s="1" t="n">
        <v>45880</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29921-2024</t>
        </is>
      </c>
      <c r="B239" s="1" t="n">
        <v>45487.92863425926</v>
      </c>
      <c r="C239" s="1" t="n">
        <v>45880</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22054-2025</t>
        </is>
      </c>
      <c r="B240" s="1" t="n">
        <v>45785.36525462963</v>
      </c>
      <c r="C240" s="1" t="n">
        <v>45880</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30485-2024</t>
        </is>
      </c>
      <c r="B241" s="1" t="n">
        <v>45491.95008101852</v>
      </c>
      <c r="C241" s="1" t="n">
        <v>45880</v>
      </c>
      <c r="D241" t="inlineStr">
        <is>
          <t>JÄMTLANDS LÄN</t>
        </is>
      </c>
      <c r="E241" t="inlineStr">
        <is>
          <t>RAGUNDA</t>
        </is>
      </c>
      <c r="F241" t="inlineStr">
        <is>
          <t>SCA</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HYPERLINK("https://klasma.github.io/Logging_2303/artfynd/A 30485-2024 artfynd.xlsx", "A 30485-2024")</f>
        <v/>
      </c>
      <c r="T241">
        <f>HYPERLINK("https://klasma.github.io/Logging_2303/kartor/A 30485-2024 karta.png", "A 30485-2024")</f>
        <v/>
      </c>
      <c r="V241">
        <f>HYPERLINK("https://klasma.github.io/Logging_2303/klagomål/A 30485-2024 FSC-klagomål.docx", "A 30485-2024")</f>
        <v/>
      </c>
      <c r="W241">
        <f>HYPERLINK("https://klasma.github.io/Logging_2303/klagomålsmail/A 30485-2024 FSC-klagomål mail.docx", "A 30485-2024")</f>
        <v/>
      </c>
      <c r="X241">
        <f>HYPERLINK("https://klasma.github.io/Logging_2303/tillsyn/A 30485-2024 tillsynsbegäran.docx", "A 30485-2024")</f>
        <v/>
      </c>
      <c r="Y241">
        <f>HYPERLINK("https://klasma.github.io/Logging_2303/tillsynsmail/A 30485-2024 tillsynsbegäran mail.docx", "A 30485-2024")</f>
        <v/>
      </c>
    </row>
    <row r="242" ht="15" customHeight="1">
      <c r="A242" t="inlineStr">
        <is>
          <t>A 31773-2021</t>
        </is>
      </c>
      <c r="B242" s="1" t="n">
        <v>44369</v>
      </c>
      <c r="C242" s="1" t="n">
        <v>45880</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48477-2023</t>
        </is>
      </c>
      <c r="B243" s="1" t="n">
        <v>45206</v>
      </c>
      <c r="C243" s="1" t="n">
        <v>45880</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56090-2024</t>
        </is>
      </c>
      <c r="B244" s="1" t="n">
        <v>45624.40665509259</v>
      </c>
      <c r="C244" s="1" t="n">
        <v>45880</v>
      </c>
      <c r="D244" t="inlineStr">
        <is>
          <t>JÄMTLANDS LÄN</t>
        </is>
      </c>
      <c r="E244" t="inlineStr">
        <is>
          <t>RAGUNDA</t>
        </is>
      </c>
      <c r="F244" t="inlineStr">
        <is>
          <t>SCA</t>
        </is>
      </c>
      <c r="G244" t="n">
        <v>15.2</v>
      </c>
      <c r="H244" t="n">
        <v>0</v>
      </c>
      <c r="I244" t="n">
        <v>0</v>
      </c>
      <c r="J244" t="n">
        <v>1</v>
      </c>
      <c r="K244" t="n">
        <v>0</v>
      </c>
      <c r="L244" t="n">
        <v>0</v>
      </c>
      <c r="M244" t="n">
        <v>0</v>
      </c>
      <c r="N244" t="n">
        <v>0</v>
      </c>
      <c r="O244" t="n">
        <v>1</v>
      </c>
      <c r="P244" t="n">
        <v>0</v>
      </c>
      <c r="Q244" t="n">
        <v>1</v>
      </c>
      <c r="R244" s="2" t="inlineStr">
        <is>
          <t>Blanksvart spiklav</t>
        </is>
      </c>
      <c r="S244">
        <f>HYPERLINK("https://klasma.github.io/Logging_2303/artfynd/A 56090-2024 artfynd.xlsx", "A 56090-2024")</f>
        <v/>
      </c>
      <c r="T244">
        <f>HYPERLINK("https://klasma.github.io/Logging_2303/kartor/A 56090-2024 karta.png", "A 56090-2024")</f>
        <v/>
      </c>
      <c r="V244">
        <f>HYPERLINK("https://klasma.github.io/Logging_2303/klagomål/A 56090-2024 FSC-klagomål.docx", "A 56090-2024")</f>
        <v/>
      </c>
      <c r="W244">
        <f>HYPERLINK("https://klasma.github.io/Logging_2303/klagomålsmail/A 56090-2024 FSC-klagomål mail.docx", "A 56090-2024")</f>
        <v/>
      </c>
      <c r="X244">
        <f>HYPERLINK("https://klasma.github.io/Logging_2303/tillsyn/A 56090-2024 tillsynsbegäran.docx", "A 56090-2024")</f>
        <v/>
      </c>
      <c r="Y244">
        <f>HYPERLINK("https://klasma.github.io/Logging_2303/tillsynsmail/A 56090-2024 tillsynsbegäran mail.docx", "A 56090-2024")</f>
        <v/>
      </c>
    </row>
    <row r="245" ht="15" customHeight="1">
      <c r="A245" t="inlineStr">
        <is>
          <t>A 18985-2023</t>
        </is>
      </c>
      <c r="B245" s="1" t="n">
        <v>45044</v>
      </c>
      <c r="C245" s="1" t="n">
        <v>45880</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57941-2020</t>
        </is>
      </c>
      <c r="B246" s="1" t="n">
        <v>44141</v>
      </c>
      <c r="C246" s="1" t="n">
        <v>45880</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45880</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45880</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45880</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64386-2020</t>
        </is>
      </c>
      <c r="B250" s="1" t="n">
        <v>44168</v>
      </c>
      <c r="C250" s="1" t="n">
        <v>45880</v>
      </c>
      <c r="D250" t="inlineStr">
        <is>
          <t>JÄMTLANDS LÄN</t>
        </is>
      </c>
      <c r="E250" t="inlineStr">
        <is>
          <t>RAGUNDA</t>
        </is>
      </c>
      <c r="G250" t="n">
        <v>2.5</v>
      </c>
      <c r="H250" t="n">
        <v>0</v>
      </c>
      <c r="I250" t="n">
        <v>0</v>
      </c>
      <c r="J250" t="n">
        <v>0</v>
      </c>
      <c r="K250" t="n">
        <v>0</v>
      </c>
      <c r="L250" t="n">
        <v>0</v>
      </c>
      <c r="M250" t="n">
        <v>0</v>
      </c>
      <c r="N250" t="n">
        <v>0</v>
      </c>
      <c r="O250" t="n">
        <v>0</v>
      </c>
      <c r="P250" t="n">
        <v>0</v>
      </c>
      <c r="Q250" t="n">
        <v>0</v>
      </c>
      <c r="R250" s="2" t="inlineStr"/>
    </row>
    <row r="251" ht="15" customHeight="1">
      <c r="A251" t="inlineStr">
        <is>
          <t>A 66059-2021</t>
        </is>
      </c>
      <c r="B251" s="1" t="n">
        <v>44517</v>
      </c>
      <c r="C251" s="1" t="n">
        <v>45880</v>
      </c>
      <c r="D251" t="inlineStr">
        <is>
          <t>JÄMTLANDS LÄN</t>
        </is>
      </c>
      <c r="E251" t="inlineStr">
        <is>
          <t>RAGUNDA</t>
        </is>
      </c>
      <c r="G251" t="n">
        <v>0.6</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45880</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45880</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45880</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45880</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45880</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45880</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45880</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45880</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45880</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45880</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45880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45880</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45880</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45880</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45880</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36676-2020</t>
        </is>
      </c>
      <c r="B267" s="1" t="n">
        <v>44051</v>
      </c>
      <c r="C267" s="1" t="n">
        <v>45880</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45880</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45880</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45880</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45880</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45880</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45880</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45880</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45880</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45880</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45880</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45880</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45880</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45880</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45880</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45880</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45880</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45880</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45880</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45880</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45880</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45880</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45880</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42899-2020</t>
        </is>
      </c>
      <c r="B290" s="1" t="n">
        <v>44078</v>
      </c>
      <c r="C290" s="1" t="n">
        <v>45880</v>
      </c>
      <c r="D290" t="inlineStr">
        <is>
          <t>JÄMTLANDS LÄN</t>
        </is>
      </c>
      <c r="E290" t="inlineStr">
        <is>
          <t>RAGUNDA</t>
        </is>
      </c>
      <c r="G290" t="n">
        <v>0.6</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45880</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45880</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45880</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45880</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45880</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45880</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45880</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45880</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45880</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45880</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45880</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45880</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45880</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45880</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45880</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45880</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45880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39474-2020</t>
        </is>
      </c>
      <c r="B308" s="1" t="n">
        <v>44056</v>
      </c>
      <c r="C308" s="1" t="n">
        <v>45880</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45880</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45880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45880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45880</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45880</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45880</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45880</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45880</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45880</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43478-2022</t>
        </is>
      </c>
      <c r="B318" s="1" t="n">
        <v>44836.9491087963</v>
      </c>
      <c r="C318" s="1" t="n">
        <v>45880</v>
      </c>
      <c r="D318" t="inlineStr">
        <is>
          <t>JÄMTLANDS LÄN</t>
        </is>
      </c>
      <c r="E318" t="inlineStr">
        <is>
          <t>RAGUNDA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45880</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45880</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40742-2020</t>
        </is>
      </c>
      <c r="B321" s="1" t="n">
        <v>44069</v>
      </c>
      <c r="C321" s="1" t="n">
        <v>45880</v>
      </c>
      <c r="D321" t="inlineStr">
        <is>
          <t>JÄMTLANDS LÄN</t>
        </is>
      </c>
      <c r="E321" t="inlineStr">
        <is>
          <t>RAGUNDA</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36674-2020</t>
        </is>
      </c>
      <c r="B322" s="1" t="n">
        <v>44051</v>
      </c>
      <c r="C322" s="1" t="n">
        <v>45880</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45880</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45880</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45880</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45880</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45880</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45880</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51004-2020</t>
        </is>
      </c>
      <c r="B329" s="1" t="n">
        <v>44111</v>
      </c>
      <c r="C329" s="1" t="n">
        <v>45880</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45880</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45880</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45880</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45880</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45880</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45880</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45880</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45880</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65424-2021</t>
        </is>
      </c>
      <c r="B338" s="1" t="n">
        <v>44515.93767361111</v>
      </c>
      <c r="C338" s="1" t="n">
        <v>45880</v>
      </c>
      <c r="D338" t="inlineStr">
        <is>
          <t>JÄMTLANDS LÄN</t>
        </is>
      </c>
      <c r="E338" t="inlineStr">
        <is>
          <t>RAGUNDA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45880</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45880</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45880</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20548-2021</t>
        </is>
      </c>
      <c r="B342" s="1" t="n">
        <v>44315</v>
      </c>
      <c r="C342" s="1" t="n">
        <v>45880</v>
      </c>
      <c r="D342" t="inlineStr">
        <is>
          <t>JÄMTLANDS LÄN</t>
        </is>
      </c>
      <c r="E342" t="inlineStr">
        <is>
          <t>RAGUNDA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49530-2022</t>
        </is>
      </c>
      <c r="B343" s="1" t="n">
        <v>44861</v>
      </c>
      <c r="C343" s="1" t="n">
        <v>45880</v>
      </c>
      <c r="D343" t="inlineStr">
        <is>
          <t>JÄMTLANDS LÄN</t>
        </is>
      </c>
      <c r="E343" t="inlineStr">
        <is>
          <t>RAGUNDA</t>
        </is>
      </c>
      <c r="F343" t="inlineStr">
        <is>
          <t>SCA</t>
        </is>
      </c>
      <c r="G343" t="n">
        <v>13.4</v>
      </c>
      <c r="H343" t="n">
        <v>0</v>
      </c>
      <c r="I343" t="n">
        <v>0</v>
      </c>
      <c r="J343" t="n">
        <v>0</v>
      </c>
      <c r="K343" t="n">
        <v>0</v>
      </c>
      <c r="L343" t="n">
        <v>0</v>
      </c>
      <c r="M343" t="n">
        <v>0</v>
      </c>
      <c r="N343" t="n">
        <v>0</v>
      </c>
      <c r="O343" t="n">
        <v>0</v>
      </c>
      <c r="P343" t="n">
        <v>0</v>
      </c>
      <c r="Q343" t="n">
        <v>0</v>
      </c>
      <c r="R343" s="2" t="inlineStr"/>
    </row>
    <row r="344" ht="15" customHeight="1">
      <c r="A344" t="inlineStr">
        <is>
          <t>A 49904-2022</t>
        </is>
      </c>
      <c r="B344" s="1" t="n">
        <v>44864.94835648148</v>
      </c>
      <c r="C344" s="1" t="n">
        <v>45880</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19595-2021</t>
        </is>
      </c>
      <c r="B345" s="1" t="n">
        <v>44308</v>
      </c>
      <c r="C345" s="1" t="n">
        <v>45880</v>
      </c>
      <c r="D345" t="inlineStr">
        <is>
          <t>JÄMTLANDS LÄN</t>
        </is>
      </c>
      <c r="E345" t="inlineStr">
        <is>
          <t>RAGUNDA</t>
        </is>
      </c>
      <c r="G345" t="n">
        <v>5.4</v>
      </c>
      <c r="H345" t="n">
        <v>0</v>
      </c>
      <c r="I345" t="n">
        <v>0</v>
      </c>
      <c r="J345" t="n">
        <v>0</v>
      </c>
      <c r="K345" t="n">
        <v>0</v>
      </c>
      <c r="L345" t="n">
        <v>0</v>
      </c>
      <c r="M345" t="n">
        <v>0</v>
      </c>
      <c r="N345" t="n">
        <v>0</v>
      </c>
      <c r="O345" t="n">
        <v>0</v>
      </c>
      <c r="P345" t="n">
        <v>0</v>
      </c>
      <c r="Q345" t="n">
        <v>0</v>
      </c>
      <c r="R345" s="2" t="inlineStr"/>
    </row>
    <row r="346" ht="15" customHeight="1">
      <c r="A346" t="inlineStr">
        <is>
          <t>A 42882-2022</t>
        </is>
      </c>
      <c r="B346" s="1" t="n">
        <v>44832.95300925926</v>
      </c>
      <c r="C346" s="1" t="n">
        <v>45880</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42267-2022</t>
        </is>
      </c>
      <c r="B347" s="1" t="n">
        <v>44830</v>
      </c>
      <c r="C347" s="1" t="n">
        <v>45880</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31854-2022</t>
        </is>
      </c>
      <c r="B348" s="1" t="n">
        <v>44776</v>
      </c>
      <c r="C348" s="1" t="n">
        <v>45880</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57194-2021</t>
        </is>
      </c>
      <c r="B349" s="1" t="n">
        <v>44482.92271990741</v>
      </c>
      <c r="C349" s="1" t="n">
        <v>45880</v>
      </c>
      <c r="D349" t="inlineStr">
        <is>
          <t>JÄMTLANDS LÄN</t>
        </is>
      </c>
      <c r="E349" t="inlineStr">
        <is>
          <t>RAGUNDA</t>
        </is>
      </c>
      <c r="G349" t="n">
        <v>7.3</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45880</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65017-2021</t>
        </is>
      </c>
      <c r="B351" s="1" t="n">
        <v>44512</v>
      </c>
      <c r="C351" s="1" t="n">
        <v>45880</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26948-2021</t>
        </is>
      </c>
      <c r="B352" s="1" t="n">
        <v>44349.92013888889</v>
      </c>
      <c r="C352" s="1" t="n">
        <v>45880</v>
      </c>
      <c r="D352" t="inlineStr">
        <is>
          <t>JÄMTLANDS LÄN</t>
        </is>
      </c>
      <c r="E352" t="inlineStr">
        <is>
          <t>RAGUNDA</t>
        </is>
      </c>
      <c r="G352" t="n">
        <v>2.5</v>
      </c>
      <c r="H352" t="n">
        <v>0</v>
      </c>
      <c r="I352" t="n">
        <v>0</v>
      </c>
      <c r="J352" t="n">
        <v>0</v>
      </c>
      <c r="K352" t="n">
        <v>0</v>
      </c>
      <c r="L352" t="n">
        <v>0</v>
      </c>
      <c r="M352" t="n">
        <v>0</v>
      </c>
      <c r="N352" t="n">
        <v>0</v>
      </c>
      <c r="O352" t="n">
        <v>0</v>
      </c>
      <c r="P352" t="n">
        <v>0</v>
      </c>
      <c r="Q352" t="n">
        <v>0</v>
      </c>
      <c r="R352" s="2" t="inlineStr"/>
    </row>
    <row r="353" ht="15" customHeight="1">
      <c r="A353" t="inlineStr">
        <is>
          <t>A 26945-2021</t>
        </is>
      </c>
      <c r="B353" s="1" t="n">
        <v>44349.91995370371</v>
      </c>
      <c r="C353" s="1" t="n">
        <v>45880</v>
      </c>
      <c r="D353" t="inlineStr">
        <is>
          <t>JÄMTLANDS LÄN</t>
        </is>
      </c>
      <c r="E353" t="inlineStr">
        <is>
          <t>RAGUNDA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40829-2022</t>
        </is>
      </c>
      <c r="B354" s="1" t="n">
        <v>44824.94635416667</v>
      </c>
      <c r="C354" s="1" t="n">
        <v>45880</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45880</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19600-2021</t>
        </is>
      </c>
      <c r="B356" s="1" t="n">
        <v>44308</v>
      </c>
      <c r="C356" s="1" t="n">
        <v>45880</v>
      </c>
      <c r="D356" t="inlineStr">
        <is>
          <t>JÄMTLANDS LÄN</t>
        </is>
      </c>
      <c r="E356" t="inlineStr">
        <is>
          <t>RAGUNDA</t>
        </is>
      </c>
      <c r="G356" t="n">
        <v>4.3</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45880</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45880</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16460-2022</t>
        </is>
      </c>
      <c r="B359" s="1" t="n">
        <v>44671</v>
      </c>
      <c r="C359" s="1" t="n">
        <v>45880</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45880</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46992-2022</t>
        </is>
      </c>
      <c r="B361" s="1" t="n">
        <v>44851.95488425926</v>
      </c>
      <c r="C361" s="1" t="n">
        <v>45880</v>
      </c>
      <c r="D361" t="inlineStr">
        <is>
          <t>JÄMTLANDS LÄN</t>
        </is>
      </c>
      <c r="E361" t="inlineStr">
        <is>
          <t>RAGUNDA</t>
        </is>
      </c>
      <c r="F361" t="inlineStr">
        <is>
          <t>SCA</t>
        </is>
      </c>
      <c r="G361" t="n">
        <v>26.4</v>
      </c>
      <c r="H361" t="n">
        <v>0</v>
      </c>
      <c r="I361" t="n">
        <v>0</v>
      </c>
      <c r="J361" t="n">
        <v>0</v>
      </c>
      <c r="K361" t="n">
        <v>0</v>
      </c>
      <c r="L361" t="n">
        <v>0</v>
      </c>
      <c r="M361" t="n">
        <v>0</v>
      </c>
      <c r="N361" t="n">
        <v>0</v>
      </c>
      <c r="O361" t="n">
        <v>0</v>
      </c>
      <c r="P361" t="n">
        <v>0</v>
      </c>
      <c r="Q361" t="n">
        <v>0</v>
      </c>
      <c r="R361" s="2" t="inlineStr"/>
    </row>
    <row r="362" ht="15" customHeight="1">
      <c r="A362" t="inlineStr">
        <is>
          <t>A 34348-2021</t>
        </is>
      </c>
      <c r="B362" s="1" t="n">
        <v>44379</v>
      </c>
      <c r="C362" s="1" t="n">
        <v>45880</v>
      </c>
      <c r="D362" t="inlineStr">
        <is>
          <t>JÄMTLANDS LÄN</t>
        </is>
      </c>
      <c r="E362" t="inlineStr">
        <is>
          <t>RAGUNDA</t>
        </is>
      </c>
      <c r="G362" t="n">
        <v>8.1</v>
      </c>
      <c r="H362" t="n">
        <v>0</v>
      </c>
      <c r="I362" t="n">
        <v>0</v>
      </c>
      <c r="J362" t="n">
        <v>0</v>
      </c>
      <c r="K362" t="n">
        <v>0</v>
      </c>
      <c r="L362" t="n">
        <v>0</v>
      </c>
      <c r="M362" t="n">
        <v>0</v>
      </c>
      <c r="N362" t="n">
        <v>0</v>
      </c>
      <c r="O362" t="n">
        <v>0</v>
      </c>
      <c r="P362" t="n">
        <v>0</v>
      </c>
      <c r="Q362" t="n">
        <v>0</v>
      </c>
      <c r="R362" s="2" t="inlineStr"/>
    </row>
    <row r="363" ht="15" customHeight="1">
      <c r="A363" t="inlineStr">
        <is>
          <t>A 42208-2020</t>
        </is>
      </c>
      <c r="B363" s="1" t="n">
        <v>44075</v>
      </c>
      <c r="C363" s="1" t="n">
        <v>45880</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45880</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41346-2020</t>
        </is>
      </c>
      <c r="B365" s="1" t="n">
        <v>44071</v>
      </c>
      <c r="C365" s="1" t="n">
        <v>45880</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21195-2022</t>
        </is>
      </c>
      <c r="B366" s="1" t="n">
        <v>44704.94229166667</v>
      </c>
      <c r="C366" s="1" t="n">
        <v>45880</v>
      </c>
      <c r="D366" t="inlineStr">
        <is>
          <t>JÄMTLANDS LÄN</t>
        </is>
      </c>
      <c r="E366" t="inlineStr">
        <is>
          <t>RAGUNDA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49531-2022</t>
        </is>
      </c>
      <c r="B367" s="1" t="n">
        <v>44861</v>
      </c>
      <c r="C367" s="1" t="n">
        <v>45880</v>
      </c>
      <c r="D367" t="inlineStr">
        <is>
          <t>JÄMTLANDS LÄN</t>
        </is>
      </c>
      <c r="E367" t="inlineStr">
        <is>
          <t>RAGUNDA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25253-2022</t>
        </is>
      </c>
      <c r="B368" s="1" t="n">
        <v>44729.94136574074</v>
      </c>
      <c r="C368" s="1" t="n">
        <v>45880</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39698-2022</t>
        </is>
      </c>
      <c r="B369" s="1" t="n">
        <v>44818</v>
      </c>
      <c r="C369" s="1" t="n">
        <v>45880</v>
      </c>
      <c r="D369" t="inlineStr">
        <is>
          <t>JÄMTLANDS LÄN</t>
        </is>
      </c>
      <c r="E369" t="inlineStr">
        <is>
          <t>RAGUNDA</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43147-2022</t>
        </is>
      </c>
      <c r="B370" s="1" t="n">
        <v>44833.9519212963</v>
      </c>
      <c r="C370" s="1" t="n">
        <v>45880</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31972-2022</t>
        </is>
      </c>
      <c r="B371" s="1" t="n">
        <v>44777.95504629629</v>
      </c>
      <c r="C371" s="1" t="n">
        <v>45880</v>
      </c>
      <c r="D371" t="inlineStr">
        <is>
          <t>JÄMTLANDS LÄN</t>
        </is>
      </c>
      <c r="E371" t="inlineStr">
        <is>
          <t>RAGUNDA</t>
        </is>
      </c>
      <c r="F371" t="inlineStr">
        <is>
          <t>Naturvårdsverket</t>
        </is>
      </c>
      <c r="G371" t="n">
        <v>0.8</v>
      </c>
      <c r="H371" t="n">
        <v>0</v>
      </c>
      <c r="I371" t="n">
        <v>0</v>
      </c>
      <c r="J371" t="n">
        <v>0</v>
      </c>
      <c r="K371" t="n">
        <v>0</v>
      </c>
      <c r="L371" t="n">
        <v>0</v>
      </c>
      <c r="M371" t="n">
        <v>0</v>
      </c>
      <c r="N371" t="n">
        <v>0</v>
      </c>
      <c r="O371" t="n">
        <v>0</v>
      </c>
      <c r="P371" t="n">
        <v>0</v>
      </c>
      <c r="Q371" t="n">
        <v>0</v>
      </c>
      <c r="R371" s="2" t="inlineStr"/>
    </row>
    <row r="372" ht="15" customHeight="1">
      <c r="A372" t="inlineStr">
        <is>
          <t>A 48086-2022</t>
        </is>
      </c>
      <c r="B372" s="1" t="n">
        <v>44855.9471875</v>
      </c>
      <c r="C372" s="1" t="n">
        <v>45880</v>
      </c>
      <c r="D372" t="inlineStr">
        <is>
          <t>JÄMTLANDS LÄN</t>
        </is>
      </c>
      <c r="E372" t="inlineStr">
        <is>
          <t>RAGUNDA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48056-2020</t>
        </is>
      </c>
      <c r="B373" s="1" t="n">
        <v>44099</v>
      </c>
      <c r="C373" s="1" t="n">
        <v>45880</v>
      </c>
      <c r="D373" t="inlineStr">
        <is>
          <t>JÄMTLANDS LÄN</t>
        </is>
      </c>
      <c r="E373" t="inlineStr">
        <is>
          <t>RAGUNDA</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45880</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57246-2020</t>
        </is>
      </c>
      <c r="B375" s="1" t="n">
        <v>44138</v>
      </c>
      <c r="C375" s="1" t="n">
        <v>45880</v>
      </c>
      <c r="D375" t="inlineStr">
        <is>
          <t>JÄMTLANDS LÄN</t>
        </is>
      </c>
      <c r="E375" t="inlineStr">
        <is>
          <t>RAGUNDA</t>
        </is>
      </c>
      <c r="G375" t="n">
        <v>3.1</v>
      </c>
      <c r="H375" t="n">
        <v>0</v>
      </c>
      <c r="I375" t="n">
        <v>0</v>
      </c>
      <c r="J375" t="n">
        <v>0</v>
      </c>
      <c r="K375" t="n">
        <v>0</v>
      </c>
      <c r="L375" t="n">
        <v>0</v>
      </c>
      <c r="M375" t="n">
        <v>0</v>
      </c>
      <c r="N375" t="n">
        <v>0</v>
      </c>
      <c r="O375" t="n">
        <v>0</v>
      </c>
      <c r="P375" t="n">
        <v>0</v>
      </c>
      <c r="Q375" t="n">
        <v>0</v>
      </c>
      <c r="R375" s="2" t="inlineStr"/>
    </row>
    <row r="376" ht="15" customHeight="1">
      <c r="A376" t="inlineStr">
        <is>
          <t>A 40213-2021</t>
        </is>
      </c>
      <c r="B376" s="1" t="n">
        <v>44418.9369212963</v>
      </c>
      <c r="C376" s="1" t="n">
        <v>45880</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57730-2020</t>
        </is>
      </c>
      <c r="B377" s="1" t="n">
        <v>44140</v>
      </c>
      <c r="C377" s="1" t="n">
        <v>45880</v>
      </c>
      <c r="D377" t="inlineStr">
        <is>
          <t>JÄMTLANDS LÄN</t>
        </is>
      </c>
      <c r="E377" t="inlineStr">
        <is>
          <t>RAGUNDA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41875-2020</t>
        </is>
      </c>
      <c r="B378" s="1" t="n">
        <v>44074</v>
      </c>
      <c r="C378" s="1" t="n">
        <v>45880</v>
      </c>
      <c r="D378" t="inlineStr">
        <is>
          <t>JÄMTLANDS LÄN</t>
        </is>
      </c>
      <c r="E378" t="inlineStr">
        <is>
          <t>RAGUNDA</t>
        </is>
      </c>
      <c r="F378" t="inlineStr">
        <is>
          <t>Naturvårdsverket</t>
        </is>
      </c>
      <c r="G378" t="n">
        <v>3.3</v>
      </c>
      <c r="H378" t="n">
        <v>0</v>
      </c>
      <c r="I378" t="n">
        <v>0</v>
      </c>
      <c r="J378" t="n">
        <v>0</v>
      </c>
      <c r="K378" t="n">
        <v>0</v>
      </c>
      <c r="L378" t="n">
        <v>0</v>
      </c>
      <c r="M378" t="n">
        <v>0</v>
      </c>
      <c r="N378" t="n">
        <v>0</v>
      </c>
      <c r="O378" t="n">
        <v>0</v>
      </c>
      <c r="P378" t="n">
        <v>0</v>
      </c>
      <c r="Q378" t="n">
        <v>0</v>
      </c>
      <c r="R378" s="2" t="inlineStr"/>
    </row>
    <row r="379" ht="15" customHeight="1">
      <c r="A379" t="inlineStr">
        <is>
          <t>A 41887-2020</t>
        </is>
      </c>
      <c r="B379" s="1" t="n">
        <v>44074</v>
      </c>
      <c r="C379" s="1" t="n">
        <v>45880</v>
      </c>
      <c r="D379" t="inlineStr">
        <is>
          <t>JÄMTLANDS LÄN</t>
        </is>
      </c>
      <c r="E379" t="inlineStr">
        <is>
          <t>RAGUNDA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13964-2022</t>
        </is>
      </c>
      <c r="B380" s="1" t="n">
        <v>44650</v>
      </c>
      <c r="C380" s="1" t="n">
        <v>45880</v>
      </c>
      <c r="D380" t="inlineStr">
        <is>
          <t>JÄMTLANDS LÄN</t>
        </is>
      </c>
      <c r="E380" t="inlineStr">
        <is>
          <t>RAGUNDA</t>
        </is>
      </c>
      <c r="G380" t="n">
        <v>2.6</v>
      </c>
      <c r="H380" t="n">
        <v>0</v>
      </c>
      <c r="I380" t="n">
        <v>0</v>
      </c>
      <c r="J380" t="n">
        <v>0</v>
      </c>
      <c r="K380" t="n">
        <v>0</v>
      </c>
      <c r="L380" t="n">
        <v>0</v>
      </c>
      <c r="M380" t="n">
        <v>0</v>
      </c>
      <c r="N380" t="n">
        <v>0</v>
      </c>
      <c r="O380" t="n">
        <v>0</v>
      </c>
      <c r="P380" t="n">
        <v>0</v>
      </c>
      <c r="Q380" t="n">
        <v>0</v>
      </c>
      <c r="R380" s="2" t="inlineStr"/>
    </row>
    <row r="381" ht="15" customHeight="1">
      <c r="A381" t="inlineStr">
        <is>
          <t>A 33279-2022</t>
        </is>
      </c>
      <c r="B381" s="1" t="n">
        <v>44788</v>
      </c>
      <c r="C381" s="1" t="n">
        <v>45880</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47567-2022</t>
        </is>
      </c>
      <c r="B382" s="1" t="n">
        <v>44853</v>
      </c>
      <c r="C382" s="1" t="n">
        <v>45880</v>
      </c>
      <c r="D382" t="inlineStr">
        <is>
          <t>JÄMTLANDS LÄN</t>
        </is>
      </c>
      <c r="E382" t="inlineStr">
        <is>
          <t>RAGUNDA</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35749-2022</t>
        </is>
      </c>
      <c r="B383" s="1" t="n">
        <v>44799.94394675926</v>
      </c>
      <c r="C383" s="1" t="n">
        <v>45880</v>
      </c>
      <c r="D383" t="inlineStr">
        <is>
          <t>JÄMTLANDS LÄN</t>
        </is>
      </c>
      <c r="E383" t="inlineStr">
        <is>
          <t>RAGUNDA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45880</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1858-2022</t>
        </is>
      </c>
      <c r="B385" s="1" t="n">
        <v>44574</v>
      </c>
      <c r="C385" s="1" t="n">
        <v>45880</v>
      </c>
      <c r="D385" t="inlineStr">
        <is>
          <t>JÄMTLANDS LÄN</t>
        </is>
      </c>
      <c r="E385" t="inlineStr">
        <is>
          <t>RAGUNDA</t>
        </is>
      </c>
      <c r="G385" t="n">
        <v>5.7</v>
      </c>
      <c r="H385" t="n">
        <v>0</v>
      </c>
      <c r="I385" t="n">
        <v>0</v>
      </c>
      <c r="J385" t="n">
        <v>0</v>
      </c>
      <c r="K385" t="n">
        <v>0</v>
      </c>
      <c r="L385" t="n">
        <v>0</v>
      </c>
      <c r="M385" t="n">
        <v>0</v>
      </c>
      <c r="N385" t="n">
        <v>0</v>
      </c>
      <c r="O385" t="n">
        <v>0</v>
      </c>
      <c r="P385" t="n">
        <v>0</v>
      </c>
      <c r="Q385" t="n">
        <v>0</v>
      </c>
      <c r="R385" s="2" t="inlineStr"/>
    </row>
    <row r="386" ht="15" customHeight="1">
      <c r="A386" t="inlineStr">
        <is>
          <t>A 54836-2022</t>
        </is>
      </c>
      <c r="B386" s="1" t="n">
        <v>44883.94918981481</v>
      </c>
      <c r="C386" s="1" t="n">
        <v>45880</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43040-2021</t>
        </is>
      </c>
      <c r="B387" s="1" t="n">
        <v>44431</v>
      </c>
      <c r="C387" s="1" t="n">
        <v>45880</v>
      </c>
      <c r="D387" t="inlineStr">
        <is>
          <t>JÄMTLANDS LÄN</t>
        </is>
      </c>
      <c r="E387" t="inlineStr">
        <is>
          <t>RAGUNDA</t>
        </is>
      </c>
      <c r="G387" t="n">
        <v>4.9</v>
      </c>
      <c r="H387" t="n">
        <v>0</v>
      </c>
      <c r="I387" t="n">
        <v>0</v>
      </c>
      <c r="J387" t="n">
        <v>0</v>
      </c>
      <c r="K387" t="n">
        <v>0</v>
      </c>
      <c r="L387" t="n">
        <v>0</v>
      </c>
      <c r="M387" t="n">
        <v>0</v>
      </c>
      <c r="N387" t="n">
        <v>0</v>
      </c>
      <c r="O387" t="n">
        <v>0</v>
      </c>
      <c r="P387" t="n">
        <v>0</v>
      </c>
      <c r="Q387" t="n">
        <v>0</v>
      </c>
      <c r="R387" s="2" t="inlineStr"/>
    </row>
    <row r="388" ht="15" customHeight="1">
      <c r="A388" t="inlineStr">
        <is>
          <t>A 53522-2020</t>
        </is>
      </c>
      <c r="B388" s="1" t="n">
        <v>44124</v>
      </c>
      <c r="C388" s="1" t="n">
        <v>45880</v>
      </c>
      <c r="D388" t="inlineStr">
        <is>
          <t>JÄMTLANDS LÄN</t>
        </is>
      </c>
      <c r="E388" t="inlineStr">
        <is>
          <t>RAGUNDA</t>
        </is>
      </c>
      <c r="G388" t="n">
        <v>1.3</v>
      </c>
      <c r="H388" t="n">
        <v>0</v>
      </c>
      <c r="I388" t="n">
        <v>0</v>
      </c>
      <c r="J388" t="n">
        <v>0</v>
      </c>
      <c r="K388" t="n">
        <v>0</v>
      </c>
      <c r="L388" t="n">
        <v>0</v>
      </c>
      <c r="M388" t="n">
        <v>0</v>
      </c>
      <c r="N388" t="n">
        <v>0</v>
      </c>
      <c r="O388" t="n">
        <v>0</v>
      </c>
      <c r="P388" t="n">
        <v>0</v>
      </c>
      <c r="Q388" t="n">
        <v>0</v>
      </c>
      <c r="R388" s="2" t="inlineStr"/>
    </row>
    <row r="389" ht="15" customHeight="1">
      <c r="A389" t="inlineStr">
        <is>
          <t>A 9187-2022</t>
        </is>
      </c>
      <c r="B389" s="1" t="n">
        <v>44615</v>
      </c>
      <c r="C389" s="1" t="n">
        <v>45880</v>
      </c>
      <c r="D389" t="inlineStr">
        <is>
          <t>JÄMTLANDS LÄN</t>
        </is>
      </c>
      <c r="E389" t="inlineStr">
        <is>
          <t>RAGUNDA</t>
        </is>
      </c>
      <c r="G389" t="n">
        <v>2</v>
      </c>
      <c r="H389" t="n">
        <v>0</v>
      </c>
      <c r="I389" t="n">
        <v>0</v>
      </c>
      <c r="J389" t="n">
        <v>0</v>
      </c>
      <c r="K389" t="n">
        <v>0</v>
      </c>
      <c r="L389" t="n">
        <v>0</v>
      </c>
      <c r="M389" t="n">
        <v>0</v>
      </c>
      <c r="N389" t="n">
        <v>0</v>
      </c>
      <c r="O389" t="n">
        <v>0</v>
      </c>
      <c r="P389" t="n">
        <v>0</v>
      </c>
      <c r="Q389" t="n">
        <v>0</v>
      </c>
      <c r="R389" s="2" t="inlineStr"/>
    </row>
    <row r="390" ht="15" customHeight="1">
      <c r="A390" t="inlineStr">
        <is>
          <t>A 57713-2020</t>
        </is>
      </c>
      <c r="B390" s="1" t="n">
        <v>44140</v>
      </c>
      <c r="C390" s="1" t="n">
        <v>45880</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45880</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38733-2022</t>
        </is>
      </c>
      <c r="B392" s="1" t="n">
        <v>44815</v>
      </c>
      <c r="C392" s="1" t="n">
        <v>45880</v>
      </c>
      <c r="D392" t="inlineStr">
        <is>
          <t>JÄMTLANDS LÄN</t>
        </is>
      </c>
      <c r="E392" t="inlineStr">
        <is>
          <t>RAGUNDA</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2336-2022</t>
        </is>
      </c>
      <c r="B393" s="1" t="n">
        <v>44578.92284722222</v>
      </c>
      <c r="C393" s="1" t="n">
        <v>45880</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45880</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40978-2022</t>
        </is>
      </c>
      <c r="B395" s="1" t="n">
        <v>44823</v>
      </c>
      <c r="C395" s="1" t="n">
        <v>45880</v>
      </c>
      <c r="D395" t="inlineStr">
        <is>
          <t>JÄMTLANDS LÄN</t>
        </is>
      </c>
      <c r="E395" t="inlineStr">
        <is>
          <t>RAGUNDA</t>
        </is>
      </c>
      <c r="G395" t="n">
        <v>1.5</v>
      </c>
      <c r="H395" t="n">
        <v>0</v>
      </c>
      <c r="I395" t="n">
        <v>0</v>
      </c>
      <c r="J395" t="n">
        <v>0</v>
      </c>
      <c r="K395" t="n">
        <v>0</v>
      </c>
      <c r="L395" t="n">
        <v>0</v>
      </c>
      <c r="M395" t="n">
        <v>0</v>
      </c>
      <c r="N395" t="n">
        <v>0</v>
      </c>
      <c r="O395" t="n">
        <v>0</v>
      </c>
      <c r="P395" t="n">
        <v>0</v>
      </c>
      <c r="Q395" t="n">
        <v>0</v>
      </c>
      <c r="R395" s="2" t="inlineStr"/>
    </row>
    <row r="396" ht="15" customHeight="1">
      <c r="A396" t="inlineStr">
        <is>
          <t>A 24741-2022</t>
        </is>
      </c>
      <c r="B396" s="1" t="n">
        <v>44727</v>
      </c>
      <c r="C396" s="1" t="n">
        <v>45880</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59996-2021</t>
        </is>
      </c>
      <c r="B397" s="1" t="n">
        <v>44494.93930555556</v>
      </c>
      <c r="C397" s="1" t="n">
        <v>45880</v>
      </c>
      <c r="D397" t="inlineStr">
        <is>
          <t>JÄMTLANDS LÄN</t>
        </is>
      </c>
      <c r="E397" t="inlineStr">
        <is>
          <t>RAGUNDA</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48536-2022</t>
        </is>
      </c>
      <c r="B398" s="1" t="n">
        <v>44858</v>
      </c>
      <c r="C398" s="1" t="n">
        <v>45880</v>
      </c>
      <c r="D398" t="inlineStr">
        <is>
          <t>JÄMTLANDS LÄN</t>
        </is>
      </c>
      <c r="E398" t="inlineStr">
        <is>
          <t>RAGUNDA</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41613-2021</t>
        </is>
      </c>
      <c r="B399" s="1" t="n">
        <v>44425</v>
      </c>
      <c r="C399" s="1" t="n">
        <v>45880</v>
      </c>
      <c r="D399" t="inlineStr">
        <is>
          <t>JÄMTLANDS LÄN</t>
        </is>
      </c>
      <c r="E399" t="inlineStr">
        <is>
          <t>RAGUNDA</t>
        </is>
      </c>
      <c r="F399" t="inlineStr">
        <is>
          <t>Kommuner</t>
        </is>
      </c>
      <c r="G399" t="n">
        <v>1.5</v>
      </c>
      <c r="H399" t="n">
        <v>0</v>
      </c>
      <c r="I399" t="n">
        <v>0</v>
      </c>
      <c r="J399" t="n">
        <v>0</v>
      </c>
      <c r="K399" t="n">
        <v>0</v>
      </c>
      <c r="L399" t="n">
        <v>0</v>
      </c>
      <c r="M399" t="n">
        <v>0</v>
      </c>
      <c r="N399" t="n">
        <v>0</v>
      </c>
      <c r="O399" t="n">
        <v>0</v>
      </c>
      <c r="P399" t="n">
        <v>0</v>
      </c>
      <c r="Q399" t="n">
        <v>0</v>
      </c>
      <c r="R399" s="2" t="inlineStr"/>
    </row>
    <row r="400" ht="15" customHeight="1">
      <c r="A400" t="inlineStr">
        <is>
          <t>A 40316-2020</t>
        </is>
      </c>
      <c r="B400" s="1" t="n">
        <v>44068.62614583333</v>
      </c>
      <c r="C400" s="1" t="n">
        <v>45880</v>
      </c>
      <c r="D400" t="inlineStr">
        <is>
          <t>JÄMTLANDS LÄN</t>
        </is>
      </c>
      <c r="E400" t="inlineStr">
        <is>
          <t>RAGUNDA</t>
        </is>
      </c>
      <c r="G400" t="n">
        <v>2.4</v>
      </c>
      <c r="H400" t="n">
        <v>0</v>
      </c>
      <c r="I400" t="n">
        <v>0</v>
      </c>
      <c r="J400" t="n">
        <v>0</v>
      </c>
      <c r="K400" t="n">
        <v>0</v>
      </c>
      <c r="L400" t="n">
        <v>0</v>
      </c>
      <c r="M400" t="n">
        <v>0</v>
      </c>
      <c r="N400" t="n">
        <v>0</v>
      </c>
      <c r="O400" t="n">
        <v>0</v>
      </c>
      <c r="P400" t="n">
        <v>0</v>
      </c>
      <c r="Q400" t="n">
        <v>0</v>
      </c>
      <c r="R400" s="2" t="inlineStr"/>
    </row>
    <row r="401" ht="15" customHeight="1">
      <c r="A401" t="inlineStr">
        <is>
          <t>A 22655-2021</t>
        </is>
      </c>
      <c r="B401" s="1" t="n">
        <v>44322</v>
      </c>
      <c r="C401" s="1" t="n">
        <v>45880</v>
      </c>
      <c r="D401" t="inlineStr">
        <is>
          <t>JÄMTLANDS LÄN</t>
        </is>
      </c>
      <c r="E401" t="inlineStr">
        <is>
          <t>RAGUNDA</t>
        </is>
      </c>
      <c r="G401" t="n">
        <v>5.8</v>
      </c>
      <c r="H401" t="n">
        <v>0</v>
      </c>
      <c r="I401" t="n">
        <v>0</v>
      </c>
      <c r="J401" t="n">
        <v>0</v>
      </c>
      <c r="K401" t="n">
        <v>0</v>
      </c>
      <c r="L401" t="n">
        <v>0</v>
      </c>
      <c r="M401" t="n">
        <v>0</v>
      </c>
      <c r="N401" t="n">
        <v>0</v>
      </c>
      <c r="O401" t="n">
        <v>0</v>
      </c>
      <c r="P401" t="n">
        <v>0</v>
      </c>
      <c r="Q401" t="n">
        <v>0</v>
      </c>
      <c r="R401" s="2" t="inlineStr"/>
    </row>
    <row r="402" ht="15" customHeight="1">
      <c r="A402" t="inlineStr">
        <is>
          <t>A 46048-2022</t>
        </is>
      </c>
      <c r="B402" s="1" t="n">
        <v>44846</v>
      </c>
      <c r="C402" s="1" t="n">
        <v>45880</v>
      </c>
      <c r="D402" t="inlineStr">
        <is>
          <t>JÄMTLANDS LÄN</t>
        </is>
      </c>
      <c r="E402" t="inlineStr">
        <is>
          <t>RAGUNDA</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21194-2022</t>
        </is>
      </c>
      <c r="B403" s="1" t="n">
        <v>44704.9422337963</v>
      </c>
      <c r="C403" s="1" t="n">
        <v>45880</v>
      </c>
      <c r="D403" t="inlineStr">
        <is>
          <t>JÄMTLANDS LÄN</t>
        </is>
      </c>
      <c r="E403" t="inlineStr">
        <is>
          <t>RAGUNDA</t>
        </is>
      </c>
      <c r="F403" t="inlineStr">
        <is>
          <t>SCA</t>
        </is>
      </c>
      <c r="G403" t="n">
        <v>10.6</v>
      </c>
      <c r="H403" t="n">
        <v>0</v>
      </c>
      <c r="I403" t="n">
        <v>0</v>
      </c>
      <c r="J403" t="n">
        <v>0</v>
      </c>
      <c r="K403" t="n">
        <v>0</v>
      </c>
      <c r="L403" t="n">
        <v>0</v>
      </c>
      <c r="M403" t="n">
        <v>0</v>
      </c>
      <c r="N403" t="n">
        <v>0</v>
      </c>
      <c r="O403" t="n">
        <v>0</v>
      </c>
      <c r="P403" t="n">
        <v>0</v>
      </c>
      <c r="Q403" t="n">
        <v>0</v>
      </c>
      <c r="R403" s="2" t="inlineStr"/>
    </row>
    <row r="404" ht="15" customHeight="1">
      <c r="A404" t="inlineStr">
        <is>
          <t>A 60313-2021</t>
        </is>
      </c>
      <c r="B404" s="1" t="n">
        <v>44495</v>
      </c>
      <c r="C404" s="1" t="n">
        <v>45880</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32288-2022</t>
        </is>
      </c>
      <c r="B405" s="1" t="n">
        <v>44781</v>
      </c>
      <c r="C405" s="1" t="n">
        <v>45880</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29409-2021</t>
        </is>
      </c>
      <c r="B406" s="1" t="n">
        <v>44361.55445601852</v>
      </c>
      <c r="C406" s="1" t="n">
        <v>45880</v>
      </c>
      <c r="D406" t="inlineStr">
        <is>
          <t>JÄMTLANDS LÄN</t>
        </is>
      </c>
      <c r="E406" t="inlineStr">
        <is>
          <t>RAGUNDA</t>
        </is>
      </c>
      <c r="G406" t="n">
        <v>0.3</v>
      </c>
      <c r="H406" t="n">
        <v>0</v>
      </c>
      <c r="I406" t="n">
        <v>0</v>
      </c>
      <c r="J406" t="n">
        <v>0</v>
      </c>
      <c r="K406" t="n">
        <v>0</v>
      </c>
      <c r="L406" t="n">
        <v>0</v>
      </c>
      <c r="M406" t="n">
        <v>0</v>
      </c>
      <c r="N406" t="n">
        <v>0</v>
      </c>
      <c r="O406" t="n">
        <v>0</v>
      </c>
      <c r="P406" t="n">
        <v>0</v>
      </c>
      <c r="Q406" t="n">
        <v>0</v>
      </c>
      <c r="R406" s="2" t="inlineStr"/>
    </row>
    <row r="407" ht="15" customHeight="1">
      <c r="A407" t="inlineStr">
        <is>
          <t>A 56193-2022</t>
        </is>
      </c>
      <c r="B407" s="1" t="n">
        <v>44889</v>
      </c>
      <c r="C407" s="1" t="n">
        <v>45880</v>
      </c>
      <c r="D407" t="inlineStr">
        <is>
          <t>JÄMTLANDS LÄN</t>
        </is>
      </c>
      <c r="E407" t="inlineStr">
        <is>
          <t>RAGUNDA</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5515-2022</t>
        </is>
      </c>
      <c r="B408" s="1" t="n">
        <v>44595</v>
      </c>
      <c r="C408" s="1" t="n">
        <v>45880</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47803-2022</t>
        </is>
      </c>
      <c r="B409" s="1" t="n">
        <v>44854.95390046296</v>
      </c>
      <c r="C409" s="1" t="n">
        <v>45880</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42652-2022</t>
        </is>
      </c>
      <c r="B410" s="1" t="n">
        <v>44831.94846064815</v>
      </c>
      <c r="C410" s="1" t="n">
        <v>45880</v>
      </c>
      <c r="D410" t="inlineStr">
        <is>
          <t>JÄMTLANDS LÄN</t>
        </is>
      </c>
      <c r="E410" t="inlineStr">
        <is>
          <t>RAGUNDA</t>
        </is>
      </c>
      <c r="F410" t="inlineStr">
        <is>
          <t>SCA</t>
        </is>
      </c>
      <c r="G410" t="n">
        <v>5.6</v>
      </c>
      <c r="H410" t="n">
        <v>0</v>
      </c>
      <c r="I410" t="n">
        <v>0</v>
      </c>
      <c r="J410" t="n">
        <v>0</v>
      </c>
      <c r="K410" t="n">
        <v>0</v>
      </c>
      <c r="L410" t="n">
        <v>0</v>
      </c>
      <c r="M410" t="n">
        <v>0</v>
      </c>
      <c r="N410" t="n">
        <v>0</v>
      </c>
      <c r="O410" t="n">
        <v>0</v>
      </c>
      <c r="P410" t="n">
        <v>0</v>
      </c>
      <c r="Q410" t="n">
        <v>0</v>
      </c>
      <c r="R410" s="2" t="inlineStr"/>
    </row>
    <row r="411" ht="15" customHeight="1">
      <c r="A411" t="inlineStr">
        <is>
          <t>A 42653-2022</t>
        </is>
      </c>
      <c r="B411" s="1" t="n">
        <v>44831.9485300926</v>
      </c>
      <c r="C411" s="1" t="n">
        <v>45880</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25027-2022</t>
        </is>
      </c>
      <c r="B412" s="1" t="n">
        <v>44728.94392361111</v>
      </c>
      <c r="C412" s="1" t="n">
        <v>45880</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32986-2022</t>
        </is>
      </c>
      <c r="B413" s="1" t="n">
        <v>44784.94157407407</v>
      </c>
      <c r="C413" s="1" t="n">
        <v>45880</v>
      </c>
      <c r="D413" t="inlineStr">
        <is>
          <t>JÄMTLANDS LÄN</t>
        </is>
      </c>
      <c r="E413" t="inlineStr">
        <is>
          <t>RAGUNDA</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60957-2021</t>
        </is>
      </c>
      <c r="B414" s="1" t="n">
        <v>44496</v>
      </c>
      <c r="C414" s="1" t="n">
        <v>45880</v>
      </c>
      <c r="D414" t="inlineStr">
        <is>
          <t>JÄMTLANDS LÄN</t>
        </is>
      </c>
      <c r="E414" t="inlineStr">
        <is>
          <t>RAGUNDA</t>
        </is>
      </c>
      <c r="G414" t="n">
        <v>1.6</v>
      </c>
      <c r="H414" t="n">
        <v>0</v>
      </c>
      <c r="I414" t="n">
        <v>0</v>
      </c>
      <c r="J414" t="n">
        <v>0</v>
      </c>
      <c r="K414" t="n">
        <v>0</v>
      </c>
      <c r="L414" t="n">
        <v>0</v>
      </c>
      <c r="M414" t="n">
        <v>0</v>
      </c>
      <c r="N414" t="n">
        <v>0</v>
      </c>
      <c r="O414" t="n">
        <v>0</v>
      </c>
      <c r="P414" t="n">
        <v>0</v>
      </c>
      <c r="Q414" t="n">
        <v>0</v>
      </c>
      <c r="R414" s="2" t="inlineStr"/>
    </row>
    <row r="415" ht="15" customHeight="1">
      <c r="A415" t="inlineStr">
        <is>
          <t>A 26122-2022</t>
        </is>
      </c>
      <c r="B415" s="1" t="n">
        <v>44734.94193287037</v>
      </c>
      <c r="C415" s="1" t="n">
        <v>45880</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37806-2021</t>
        </is>
      </c>
      <c r="B416" s="1" t="n">
        <v>44402.42243055555</v>
      </c>
      <c r="C416" s="1" t="n">
        <v>45880</v>
      </c>
      <c r="D416" t="inlineStr">
        <is>
          <t>JÄMTLANDS LÄN</t>
        </is>
      </c>
      <c r="E416" t="inlineStr">
        <is>
          <t>RAGUNDA</t>
        </is>
      </c>
      <c r="G416" t="n">
        <v>0.3</v>
      </c>
      <c r="H416" t="n">
        <v>0</v>
      </c>
      <c r="I416" t="n">
        <v>0</v>
      </c>
      <c r="J416" t="n">
        <v>0</v>
      </c>
      <c r="K416" t="n">
        <v>0</v>
      </c>
      <c r="L416" t="n">
        <v>0</v>
      </c>
      <c r="M416" t="n">
        <v>0</v>
      </c>
      <c r="N416" t="n">
        <v>0</v>
      </c>
      <c r="O416" t="n">
        <v>0</v>
      </c>
      <c r="P416" t="n">
        <v>0</v>
      </c>
      <c r="Q416" t="n">
        <v>0</v>
      </c>
      <c r="R416" s="2" t="inlineStr"/>
    </row>
    <row r="417" ht="15" customHeight="1">
      <c r="A417" t="inlineStr">
        <is>
          <t>A 21193-2022</t>
        </is>
      </c>
      <c r="B417" s="1" t="n">
        <v>44704.94217592593</v>
      </c>
      <c r="C417" s="1" t="n">
        <v>45880</v>
      </c>
      <c r="D417" t="inlineStr">
        <is>
          <t>JÄMTLANDS LÄN</t>
        </is>
      </c>
      <c r="E417" t="inlineStr">
        <is>
          <t>RAGUNDA</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9548-2025</t>
        </is>
      </c>
      <c r="B418" s="1" t="n">
        <v>45715.59405092592</v>
      </c>
      <c r="C418" s="1" t="n">
        <v>45880</v>
      </c>
      <c r="D418" t="inlineStr">
        <is>
          <t>JÄMTLANDS LÄN</t>
        </is>
      </c>
      <c r="E418" t="inlineStr">
        <is>
          <t>RAGUNDA</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12521-2023</t>
        </is>
      </c>
      <c r="B419" s="1" t="n">
        <v>45000</v>
      </c>
      <c r="C419" s="1" t="n">
        <v>45880</v>
      </c>
      <c r="D419" t="inlineStr">
        <is>
          <t>JÄMTLANDS LÄN</t>
        </is>
      </c>
      <c r="E419" t="inlineStr">
        <is>
          <t>RAGUNDA</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3720-2025</t>
        </is>
      </c>
      <c r="B420" s="1" t="n">
        <v>45681.5315625</v>
      </c>
      <c r="C420" s="1" t="n">
        <v>45880</v>
      </c>
      <c r="D420" t="inlineStr">
        <is>
          <t>JÄMTLANDS LÄN</t>
        </is>
      </c>
      <c r="E420" t="inlineStr">
        <is>
          <t>RAGUNDA</t>
        </is>
      </c>
      <c r="F420" t="inlineStr">
        <is>
          <t>SCA</t>
        </is>
      </c>
      <c r="G420" t="n">
        <v>2.8</v>
      </c>
      <c r="H420" t="n">
        <v>0</v>
      </c>
      <c r="I420" t="n">
        <v>0</v>
      </c>
      <c r="J420" t="n">
        <v>0</v>
      </c>
      <c r="K420" t="n">
        <v>0</v>
      </c>
      <c r="L420" t="n">
        <v>0</v>
      </c>
      <c r="M420" t="n">
        <v>0</v>
      </c>
      <c r="N420" t="n">
        <v>0</v>
      </c>
      <c r="O420" t="n">
        <v>0</v>
      </c>
      <c r="P420" t="n">
        <v>0</v>
      </c>
      <c r="Q420" t="n">
        <v>0</v>
      </c>
      <c r="R420" s="2" t="inlineStr"/>
    </row>
    <row r="421" ht="15" customHeight="1">
      <c r="A421" t="inlineStr">
        <is>
          <t>A 28597-2021</t>
        </is>
      </c>
      <c r="B421" s="1" t="n">
        <v>44356.91935185185</v>
      </c>
      <c r="C421" s="1" t="n">
        <v>45880</v>
      </c>
      <c r="D421" t="inlineStr">
        <is>
          <t>JÄMTLANDS LÄN</t>
        </is>
      </c>
      <c r="E421" t="inlineStr">
        <is>
          <t>RAGUNDA</t>
        </is>
      </c>
      <c r="G421" t="n">
        <v>3.1</v>
      </c>
      <c r="H421" t="n">
        <v>0</v>
      </c>
      <c r="I421" t="n">
        <v>0</v>
      </c>
      <c r="J421" t="n">
        <v>0</v>
      </c>
      <c r="K421" t="n">
        <v>0</v>
      </c>
      <c r="L421" t="n">
        <v>0</v>
      </c>
      <c r="M421" t="n">
        <v>0</v>
      </c>
      <c r="N421" t="n">
        <v>0</v>
      </c>
      <c r="O421" t="n">
        <v>0</v>
      </c>
      <c r="P421" t="n">
        <v>0</v>
      </c>
      <c r="Q421" t="n">
        <v>0</v>
      </c>
      <c r="R421" s="2" t="inlineStr"/>
    </row>
    <row r="422" ht="15" customHeight="1">
      <c r="A422" t="inlineStr">
        <is>
          <t>A 2339-2025</t>
        </is>
      </c>
      <c r="B422" s="1" t="n">
        <v>45673.66358796296</v>
      </c>
      <c r="C422" s="1" t="n">
        <v>45880</v>
      </c>
      <c r="D422" t="inlineStr">
        <is>
          <t>JÄMTLANDS LÄN</t>
        </is>
      </c>
      <c r="E422" t="inlineStr">
        <is>
          <t>RAGUNDA</t>
        </is>
      </c>
      <c r="G422" t="n">
        <v>5</v>
      </c>
      <c r="H422" t="n">
        <v>0</v>
      </c>
      <c r="I422" t="n">
        <v>0</v>
      </c>
      <c r="J422" t="n">
        <v>0</v>
      </c>
      <c r="K422" t="n">
        <v>0</v>
      </c>
      <c r="L422" t="n">
        <v>0</v>
      </c>
      <c r="M422" t="n">
        <v>0</v>
      </c>
      <c r="N422" t="n">
        <v>0</v>
      </c>
      <c r="O422" t="n">
        <v>0</v>
      </c>
      <c r="P422" t="n">
        <v>0</v>
      </c>
      <c r="Q422" t="n">
        <v>0</v>
      </c>
      <c r="R422" s="2" t="inlineStr"/>
    </row>
    <row r="423" ht="15" customHeight="1">
      <c r="A423" t="inlineStr">
        <is>
          <t>A 17742-2022</t>
        </is>
      </c>
      <c r="B423" s="1" t="n">
        <v>44680.95246527778</v>
      </c>
      <c r="C423" s="1" t="n">
        <v>45880</v>
      </c>
      <c r="D423" t="inlineStr">
        <is>
          <t>JÄMTLANDS LÄN</t>
        </is>
      </c>
      <c r="E423" t="inlineStr">
        <is>
          <t>RAGUNDA</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13917-2023</t>
        </is>
      </c>
      <c r="B424" s="1" t="n">
        <v>45007</v>
      </c>
      <c r="C424" s="1" t="n">
        <v>45880</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18820-2023</t>
        </is>
      </c>
      <c r="B425" s="1" t="n">
        <v>45042</v>
      </c>
      <c r="C425" s="1" t="n">
        <v>45880</v>
      </c>
      <c r="D425" t="inlineStr">
        <is>
          <t>JÄMTLANDS LÄN</t>
        </is>
      </c>
      <c r="E425" t="inlineStr">
        <is>
          <t>RAGUNDA</t>
        </is>
      </c>
      <c r="G425" t="n">
        <v>18.8</v>
      </c>
      <c r="H425" t="n">
        <v>0</v>
      </c>
      <c r="I425" t="n">
        <v>0</v>
      </c>
      <c r="J425" t="n">
        <v>0</v>
      </c>
      <c r="K425" t="n">
        <v>0</v>
      </c>
      <c r="L425" t="n">
        <v>0</v>
      </c>
      <c r="M425" t="n">
        <v>0</v>
      </c>
      <c r="N425" t="n">
        <v>0</v>
      </c>
      <c r="O425" t="n">
        <v>0</v>
      </c>
      <c r="P425" t="n">
        <v>0</v>
      </c>
      <c r="Q425" t="n">
        <v>0</v>
      </c>
      <c r="R425" s="2" t="inlineStr"/>
    </row>
    <row r="426" ht="15" customHeight="1">
      <c r="A426" t="inlineStr">
        <is>
          <t>A 57237-2022</t>
        </is>
      </c>
      <c r="B426" s="1" t="n">
        <v>44889</v>
      </c>
      <c r="C426" s="1" t="n">
        <v>45880</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50555-2024</t>
        </is>
      </c>
      <c r="B427" s="1" t="n">
        <v>45601.59518518519</v>
      </c>
      <c r="C427" s="1" t="n">
        <v>45880</v>
      </c>
      <c r="D427" t="inlineStr">
        <is>
          <t>JÄMTLANDS LÄN</t>
        </is>
      </c>
      <c r="E427" t="inlineStr">
        <is>
          <t>RAGUNDA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11147-2025</t>
        </is>
      </c>
      <c r="B428" s="1" t="n">
        <v>45723.67777777778</v>
      </c>
      <c r="C428" s="1" t="n">
        <v>45880</v>
      </c>
      <c r="D428" t="inlineStr">
        <is>
          <t>JÄMTLANDS LÄN</t>
        </is>
      </c>
      <c r="E428" t="inlineStr">
        <is>
          <t>RAGUNDA</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24280-2021</t>
        </is>
      </c>
      <c r="B429" s="1" t="n">
        <v>44336</v>
      </c>
      <c r="C429" s="1" t="n">
        <v>45880</v>
      </c>
      <c r="D429" t="inlineStr">
        <is>
          <t>JÄMTLANDS LÄN</t>
        </is>
      </c>
      <c r="E429" t="inlineStr">
        <is>
          <t>RAGUNDA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53676-2022</t>
        </is>
      </c>
      <c r="B430" s="1" t="n">
        <v>44879</v>
      </c>
      <c r="C430" s="1" t="n">
        <v>45880</v>
      </c>
      <c r="D430" t="inlineStr">
        <is>
          <t>JÄMTLANDS LÄN</t>
        </is>
      </c>
      <c r="E430" t="inlineStr">
        <is>
          <t>RAGUNDA</t>
        </is>
      </c>
      <c r="F430" t="inlineStr">
        <is>
          <t>Sveaskog</t>
        </is>
      </c>
      <c r="G430" t="n">
        <v>2.5</v>
      </c>
      <c r="H430" t="n">
        <v>0</v>
      </c>
      <c r="I430" t="n">
        <v>0</v>
      </c>
      <c r="J430" t="n">
        <v>0</v>
      </c>
      <c r="K430" t="n">
        <v>0</v>
      </c>
      <c r="L430" t="n">
        <v>0</v>
      </c>
      <c r="M430" t="n">
        <v>0</v>
      </c>
      <c r="N430" t="n">
        <v>0</v>
      </c>
      <c r="O430" t="n">
        <v>0</v>
      </c>
      <c r="P430" t="n">
        <v>0</v>
      </c>
      <c r="Q430" t="n">
        <v>0</v>
      </c>
      <c r="R430" s="2" t="inlineStr"/>
    </row>
    <row r="431" ht="15" customHeight="1">
      <c r="A431" t="inlineStr">
        <is>
          <t>A 14821-2025</t>
        </is>
      </c>
      <c r="B431" s="1" t="n">
        <v>45743.36</v>
      </c>
      <c r="C431" s="1" t="n">
        <v>45880</v>
      </c>
      <c r="D431" t="inlineStr">
        <is>
          <t>JÄMTLANDS LÄN</t>
        </is>
      </c>
      <c r="E431" t="inlineStr">
        <is>
          <t>RAGUNDA</t>
        </is>
      </c>
      <c r="F431" t="inlineStr">
        <is>
          <t>Kyrkan</t>
        </is>
      </c>
      <c r="G431" t="n">
        <v>6.4</v>
      </c>
      <c r="H431" t="n">
        <v>0</v>
      </c>
      <c r="I431" t="n">
        <v>0</v>
      </c>
      <c r="J431" t="n">
        <v>0</v>
      </c>
      <c r="K431" t="n">
        <v>0</v>
      </c>
      <c r="L431" t="n">
        <v>0</v>
      </c>
      <c r="M431" t="n">
        <v>0</v>
      </c>
      <c r="N431" t="n">
        <v>0</v>
      </c>
      <c r="O431" t="n">
        <v>0</v>
      </c>
      <c r="P431" t="n">
        <v>0</v>
      </c>
      <c r="Q431" t="n">
        <v>0</v>
      </c>
      <c r="R431" s="2" t="inlineStr"/>
    </row>
    <row r="432" ht="15" customHeight="1">
      <c r="A432" t="inlineStr">
        <is>
          <t>A 13263-2025</t>
        </is>
      </c>
      <c r="B432" s="1" t="n">
        <v>45735.53177083333</v>
      </c>
      <c r="C432" s="1" t="n">
        <v>45880</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13276-2025</t>
        </is>
      </c>
      <c r="B433" s="1" t="n">
        <v>45735.5517824074</v>
      </c>
      <c r="C433" s="1" t="n">
        <v>45880</v>
      </c>
      <c r="D433" t="inlineStr">
        <is>
          <t>JÄMTLANDS LÄN</t>
        </is>
      </c>
      <c r="E433" t="inlineStr">
        <is>
          <t>RAGUNDA</t>
        </is>
      </c>
      <c r="G433" t="n">
        <v>16.6</v>
      </c>
      <c r="H433" t="n">
        <v>0</v>
      </c>
      <c r="I433" t="n">
        <v>0</v>
      </c>
      <c r="J433" t="n">
        <v>0</v>
      </c>
      <c r="K433" t="n">
        <v>0</v>
      </c>
      <c r="L433" t="n">
        <v>0</v>
      </c>
      <c r="M433" t="n">
        <v>0</v>
      </c>
      <c r="N433" t="n">
        <v>0</v>
      </c>
      <c r="O433" t="n">
        <v>0</v>
      </c>
      <c r="P433" t="n">
        <v>0</v>
      </c>
      <c r="Q433" t="n">
        <v>0</v>
      </c>
      <c r="R433" s="2" t="inlineStr"/>
    </row>
    <row r="434" ht="15" customHeight="1">
      <c r="A434" t="inlineStr">
        <is>
          <t>A 14212-2023</t>
        </is>
      </c>
      <c r="B434" s="1" t="n">
        <v>45009</v>
      </c>
      <c r="C434" s="1" t="n">
        <v>45880</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12405-2025</t>
        </is>
      </c>
      <c r="B435" s="1" t="n">
        <v>45730.42738425926</v>
      </c>
      <c r="C435" s="1" t="n">
        <v>45880</v>
      </c>
      <c r="D435" t="inlineStr">
        <is>
          <t>JÄMTLANDS LÄN</t>
        </is>
      </c>
      <c r="E435" t="inlineStr">
        <is>
          <t>RAGUNDA</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12808-2025</t>
        </is>
      </c>
      <c r="B436" s="1" t="n">
        <v>45733.61554398148</v>
      </c>
      <c r="C436" s="1" t="n">
        <v>45880</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20772-2024</t>
        </is>
      </c>
      <c r="B437" s="1" t="n">
        <v>45436.94628472222</v>
      </c>
      <c r="C437" s="1" t="n">
        <v>45880</v>
      </c>
      <c r="D437" t="inlineStr">
        <is>
          <t>JÄMTLANDS LÄN</t>
        </is>
      </c>
      <c r="E437" t="inlineStr">
        <is>
          <t>RAGUNDA</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18614-2024</t>
        </is>
      </c>
      <c r="B438" s="1" t="n">
        <v>45425.96263888889</v>
      </c>
      <c r="C438" s="1" t="n">
        <v>45880</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62358-2023</t>
        </is>
      </c>
      <c r="B439" s="1" t="n">
        <v>45267</v>
      </c>
      <c r="C439" s="1" t="n">
        <v>45880</v>
      </c>
      <c r="D439" t="inlineStr">
        <is>
          <t>JÄMTLANDS LÄN</t>
        </is>
      </c>
      <c r="E439" t="inlineStr">
        <is>
          <t>RAGUNDA</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19264-2025</t>
        </is>
      </c>
      <c r="B440" s="1" t="n">
        <v>45769.51087962963</v>
      </c>
      <c r="C440" s="1" t="n">
        <v>45880</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46546-2023</t>
        </is>
      </c>
      <c r="B441" s="1" t="n">
        <v>45197.94152777778</v>
      </c>
      <c r="C441" s="1" t="n">
        <v>45880</v>
      </c>
      <c r="D441" t="inlineStr">
        <is>
          <t>JÄMTLANDS LÄN</t>
        </is>
      </c>
      <c r="E441" t="inlineStr">
        <is>
          <t>RAGUNDA</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6716-2025</t>
        </is>
      </c>
      <c r="B442" s="1" t="n">
        <v>45700.57324074074</v>
      </c>
      <c r="C442" s="1" t="n">
        <v>45880</v>
      </c>
      <c r="D442" t="inlineStr">
        <is>
          <t>JÄMTLANDS LÄN</t>
        </is>
      </c>
      <c r="E442" t="inlineStr">
        <is>
          <t>RAGUNDA</t>
        </is>
      </c>
      <c r="F442" t="inlineStr">
        <is>
          <t>SCA</t>
        </is>
      </c>
      <c r="G442" t="n">
        <v>5.1</v>
      </c>
      <c r="H442" t="n">
        <v>0</v>
      </c>
      <c r="I442" t="n">
        <v>0</v>
      </c>
      <c r="J442" t="n">
        <v>0</v>
      </c>
      <c r="K442" t="n">
        <v>0</v>
      </c>
      <c r="L442" t="n">
        <v>0</v>
      </c>
      <c r="M442" t="n">
        <v>0</v>
      </c>
      <c r="N442" t="n">
        <v>0</v>
      </c>
      <c r="O442" t="n">
        <v>0</v>
      </c>
      <c r="P442" t="n">
        <v>0</v>
      </c>
      <c r="Q442" t="n">
        <v>0</v>
      </c>
      <c r="R442" s="2" t="inlineStr"/>
    </row>
    <row r="443" ht="15" customHeight="1">
      <c r="A443" t="inlineStr">
        <is>
          <t>A 53757-2024</t>
        </is>
      </c>
      <c r="B443" s="1" t="n">
        <v>45615.50034722222</v>
      </c>
      <c r="C443" s="1" t="n">
        <v>45880</v>
      </c>
      <c r="D443" t="inlineStr">
        <is>
          <t>JÄMTLANDS LÄN</t>
        </is>
      </c>
      <c r="E443" t="inlineStr">
        <is>
          <t>RAGUNDA</t>
        </is>
      </c>
      <c r="G443" t="n">
        <v>2</v>
      </c>
      <c r="H443" t="n">
        <v>0</v>
      </c>
      <c r="I443" t="n">
        <v>0</v>
      </c>
      <c r="J443" t="n">
        <v>0</v>
      </c>
      <c r="K443" t="n">
        <v>0</v>
      </c>
      <c r="L443" t="n">
        <v>0</v>
      </c>
      <c r="M443" t="n">
        <v>0</v>
      </c>
      <c r="N443" t="n">
        <v>0</v>
      </c>
      <c r="O443" t="n">
        <v>0</v>
      </c>
      <c r="P443" t="n">
        <v>0</v>
      </c>
      <c r="Q443" t="n">
        <v>0</v>
      </c>
      <c r="R443" s="2" t="inlineStr"/>
    </row>
    <row r="444" ht="15" customHeight="1">
      <c r="A444" t="inlineStr">
        <is>
          <t>A 30823-2023</t>
        </is>
      </c>
      <c r="B444" s="1" t="n">
        <v>45112</v>
      </c>
      <c r="C444" s="1" t="n">
        <v>45880</v>
      </c>
      <c r="D444" t="inlineStr">
        <is>
          <t>JÄMTLANDS LÄN</t>
        </is>
      </c>
      <c r="E444" t="inlineStr">
        <is>
          <t>RAGUNDA</t>
        </is>
      </c>
      <c r="F444" t="inlineStr">
        <is>
          <t>SCA</t>
        </is>
      </c>
      <c r="G444" t="n">
        <v>9</v>
      </c>
      <c r="H444" t="n">
        <v>0</v>
      </c>
      <c r="I444" t="n">
        <v>0</v>
      </c>
      <c r="J444" t="n">
        <v>0</v>
      </c>
      <c r="K444" t="n">
        <v>0</v>
      </c>
      <c r="L444" t="n">
        <v>0</v>
      </c>
      <c r="M444" t="n">
        <v>0</v>
      </c>
      <c r="N444" t="n">
        <v>0</v>
      </c>
      <c r="O444" t="n">
        <v>0</v>
      </c>
      <c r="P444" t="n">
        <v>0</v>
      </c>
      <c r="Q444" t="n">
        <v>0</v>
      </c>
      <c r="R444" s="2" t="inlineStr"/>
    </row>
    <row r="445" ht="15" customHeight="1">
      <c r="A445" t="inlineStr">
        <is>
          <t>A 19246-2023</t>
        </is>
      </c>
      <c r="B445" s="1" t="n">
        <v>45048.94340277778</v>
      </c>
      <c r="C445" s="1" t="n">
        <v>45880</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23304-2023</t>
        </is>
      </c>
      <c r="B446" s="1" t="n">
        <v>45075.945</v>
      </c>
      <c r="C446" s="1" t="n">
        <v>45880</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464-2023</t>
        </is>
      </c>
      <c r="B447" s="1" t="n">
        <v>44929.92489583333</v>
      </c>
      <c r="C447" s="1" t="n">
        <v>45880</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49649-2024</t>
        </is>
      </c>
      <c r="B448" s="1" t="n">
        <v>45596.61553240741</v>
      </c>
      <c r="C448" s="1" t="n">
        <v>45880</v>
      </c>
      <c r="D448" t="inlineStr">
        <is>
          <t>JÄMTLANDS LÄN</t>
        </is>
      </c>
      <c r="E448" t="inlineStr">
        <is>
          <t>RAGUNDA</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20426-2024</t>
        </is>
      </c>
      <c r="B449" s="1" t="n">
        <v>45435</v>
      </c>
      <c r="C449" s="1" t="n">
        <v>45880</v>
      </c>
      <c r="D449" t="inlineStr">
        <is>
          <t>JÄMTLANDS LÄN</t>
        </is>
      </c>
      <c r="E449" t="inlineStr">
        <is>
          <t>RAGUNDA</t>
        </is>
      </c>
      <c r="G449" t="n">
        <v>2.1</v>
      </c>
      <c r="H449" t="n">
        <v>0</v>
      </c>
      <c r="I449" t="n">
        <v>0</v>
      </c>
      <c r="J449" t="n">
        <v>0</v>
      </c>
      <c r="K449" t="n">
        <v>0</v>
      </c>
      <c r="L449" t="n">
        <v>0</v>
      </c>
      <c r="M449" t="n">
        <v>0</v>
      </c>
      <c r="N449" t="n">
        <v>0</v>
      </c>
      <c r="O449" t="n">
        <v>0</v>
      </c>
      <c r="P449" t="n">
        <v>0</v>
      </c>
      <c r="Q449" t="n">
        <v>0</v>
      </c>
      <c r="R449" s="2" t="inlineStr"/>
    </row>
    <row r="450" ht="15" customHeight="1">
      <c r="A450" t="inlineStr">
        <is>
          <t>A 30484-2024</t>
        </is>
      </c>
      <c r="B450" s="1" t="n">
        <v>45491</v>
      </c>
      <c r="C450" s="1" t="n">
        <v>45880</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64492-2023</t>
        </is>
      </c>
      <c r="B451" s="1" t="n">
        <v>45280.92645833334</v>
      </c>
      <c r="C451" s="1" t="n">
        <v>45880</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41344-2024</t>
        </is>
      </c>
      <c r="B452" s="1" t="n">
        <v>45559.67759259259</v>
      </c>
      <c r="C452" s="1" t="n">
        <v>45880</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58955-2024</t>
        </is>
      </c>
      <c r="B453" s="1" t="n">
        <v>45636.57329861111</v>
      </c>
      <c r="C453" s="1" t="n">
        <v>45880</v>
      </c>
      <c r="D453" t="inlineStr">
        <is>
          <t>JÄMTLANDS LÄN</t>
        </is>
      </c>
      <c r="E453" t="inlineStr">
        <is>
          <t>RAGUNDA</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28596-2021</t>
        </is>
      </c>
      <c r="B454" s="1" t="n">
        <v>44356</v>
      </c>
      <c r="C454" s="1" t="n">
        <v>45880</v>
      </c>
      <c r="D454" t="inlineStr">
        <is>
          <t>JÄMTLANDS LÄN</t>
        </is>
      </c>
      <c r="E454" t="inlineStr">
        <is>
          <t>RAGUNDA</t>
        </is>
      </c>
      <c r="G454" t="n">
        <v>5.4</v>
      </c>
      <c r="H454" t="n">
        <v>0</v>
      </c>
      <c r="I454" t="n">
        <v>0</v>
      </c>
      <c r="J454" t="n">
        <v>0</v>
      </c>
      <c r="K454" t="n">
        <v>0</v>
      </c>
      <c r="L454" t="n">
        <v>0</v>
      </c>
      <c r="M454" t="n">
        <v>0</v>
      </c>
      <c r="N454" t="n">
        <v>0</v>
      </c>
      <c r="O454" t="n">
        <v>0</v>
      </c>
      <c r="P454" t="n">
        <v>0</v>
      </c>
      <c r="Q454" t="n">
        <v>0</v>
      </c>
      <c r="R454" s="2" t="inlineStr"/>
    </row>
    <row r="455" ht="15" customHeight="1">
      <c r="A455" t="inlineStr">
        <is>
          <t>A 4878-2022</t>
        </is>
      </c>
      <c r="B455" s="1" t="n">
        <v>44593</v>
      </c>
      <c r="C455" s="1" t="n">
        <v>45880</v>
      </c>
      <c r="D455" t="inlineStr">
        <is>
          <t>JÄMTLANDS LÄN</t>
        </is>
      </c>
      <c r="E455" t="inlineStr">
        <is>
          <t>RAGUNDA</t>
        </is>
      </c>
      <c r="G455" t="n">
        <v>21.7</v>
      </c>
      <c r="H455" t="n">
        <v>0</v>
      </c>
      <c r="I455" t="n">
        <v>0</v>
      </c>
      <c r="J455" t="n">
        <v>0</v>
      </c>
      <c r="K455" t="n">
        <v>0</v>
      </c>
      <c r="L455" t="n">
        <v>0</v>
      </c>
      <c r="M455" t="n">
        <v>0</v>
      </c>
      <c r="N455" t="n">
        <v>0</v>
      </c>
      <c r="O455" t="n">
        <v>0</v>
      </c>
      <c r="P455" t="n">
        <v>0</v>
      </c>
      <c r="Q455" t="n">
        <v>0</v>
      </c>
      <c r="R455" s="2" t="inlineStr"/>
    </row>
    <row r="456" ht="15" customHeight="1">
      <c r="A456" t="inlineStr">
        <is>
          <t>A 11288-2022</t>
        </is>
      </c>
      <c r="B456" s="1" t="n">
        <v>44629</v>
      </c>
      <c r="C456" s="1" t="n">
        <v>45880</v>
      </c>
      <c r="D456" t="inlineStr">
        <is>
          <t>JÄMTLANDS LÄN</t>
        </is>
      </c>
      <c r="E456" t="inlineStr">
        <is>
          <t>RAGUNDA</t>
        </is>
      </c>
      <c r="G456" t="n">
        <v>4.9</v>
      </c>
      <c r="H456" t="n">
        <v>0</v>
      </c>
      <c r="I456" t="n">
        <v>0</v>
      </c>
      <c r="J456" t="n">
        <v>0</v>
      </c>
      <c r="K456" t="n">
        <v>0</v>
      </c>
      <c r="L456" t="n">
        <v>0</v>
      </c>
      <c r="M456" t="n">
        <v>0</v>
      </c>
      <c r="N456" t="n">
        <v>0</v>
      </c>
      <c r="O456" t="n">
        <v>0</v>
      </c>
      <c r="P456" t="n">
        <v>0</v>
      </c>
      <c r="Q456" t="n">
        <v>0</v>
      </c>
      <c r="R456" s="2" t="inlineStr"/>
    </row>
    <row r="457" ht="15" customHeight="1">
      <c r="A457" t="inlineStr">
        <is>
          <t>A 19865-2023</t>
        </is>
      </c>
      <c r="B457" s="1" t="n">
        <v>45053.94305555556</v>
      </c>
      <c r="C457" s="1" t="n">
        <v>45880</v>
      </c>
      <c r="D457" t="inlineStr">
        <is>
          <t>JÄMTLANDS LÄN</t>
        </is>
      </c>
      <c r="E457" t="inlineStr">
        <is>
          <t>RAGUNDA</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1554-2024</t>
        </is>
      </c>
      <c r="B458" s="1" t="n">
        <v>45306</v>
      </c>
      <c r="C458" s="1" t="n">
        <v>45880</v>
      </c>
      <c r="D458" t="inlineStr">
        <is>
          <t>JÄMTLANDS LÄN</t>
        </is>
      </c>
      <c r="E458" t="inlineStr">
        <is>
          <t>RAGUNDA</t>
        </is>
      </c>
      <c r="G458" t="n">
        <v>4.3</v>
      </c>
      <c r="H458" t="n">
        <v>0</v>
      </c>
      <c r="I458" t="n">
        <v>0</v>
      </c>
      <c r="J458" t="n">
        <v>0</v>
      </c>
      <c r="K458" t="n">
        <v>0</v>
      </c>
      <c r="L458" t="n">
        <v>0</v>
      </c>
      <c r="M458" t="n">
        <v>0</v>
      </c>
      <c r="N458" t="n">
        <v>0</v>
      </c>
      <c r="O458" t="n">
        <v>0</v>
      </c>
      <c r="P458" t="n">
        <v>0</v>
      </c>
      <c r="Q458" t="n">
        <v>0</v>
      </c>
      <c r="R458" s="2" t="inlineStr"/>
    </row>
    <row r="459" ht="15" customHeight="1">
      <c r="A459" t="inlineStr">
        <is>
          <t>A 36106-2022</t>
        </is>
      </c>
      <c r="B459" s="1" t="n">
        <v>44802.94811342593</v>
      </c>
      <c r="C459" s="1" t="n">
        <v>45880</v>
      </c>
      <c r="D459" t="inlineStr">
        <is>
          <t>JÄMTLANDS LÄN</t>
        </is>
      </c>
      <c r="E459" t="inlineStr">
        <is>
          <t>RAGUNDA</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22011-2023</t>
        </is>
      </c>
      <c r="B460" s="1" t="n">
        <v>45068</v>
      </c>
      <c r="C460" s="1" t="n">
        <v>45880</v>
      </c>
      <c r="D460" t="inlineStr">
        <is>
          <t>JÄMTLANDS LÄN</t>
        </is>
      </c>
      <c r="E460" t="inlineStr">
        <is>
          <t>RAGUNDA</t>
        </is>
      </c>
      <c r="F460" t="inlineStr">
        <is>
          <t>SCA</t>
        </is>
      </c>
      <c r="G460" t="n">
        <v>12.2</v>
      </c>
      <c r="H460" t="n">
        <v>0</v>
      </c>
      <c r="I460" t="n">
        <v>0</v>
      </c>
      <c r="J460" t="n">
        <v>0</v>
      </c>
      <c r="K460" t="n">
        <v>0</v>
      </c>
      <c r="L460" t="n">
        <v>0</v>
      </c>
      <c r="M460" t="n">
        <v>0</v>
      </c>
      <c r="N460" t="n">
        <v>0</v>
      </c>
      <c r="O460" t="n">
        <v>0</v>
      </c>
      <c r="P460" t="n">
        <v>0</v>
      </c>
      <c r="Q460" t="n">
        <v>0</v>
      </c>
      <c r="R460" s="2" t="inlineStr"/>
    </row>
    <row r="461" ht="15" customHeight="1">
      <c r="A461" t="inlineStr">
        <is>
          <t>A 13389-2025</t>
        </is>
      </c>
      <c r="B461" s="1" t="n">
        <v>45735.69842592593</v>
      </c>
      <c r="C461" s="1" t="n">
        <v>45880</v>
      </c>
      <c r="D461" t="inlineStr">
        <is>
          <t>JÄMTLANDS LÄN</t>
        </is>
      </c>
      <c r="E461" t="inlineStr">
        <is>
          <t>RAGUNDA</t>
        </is>
      </c>
      <c r="F461" t="inlineStr">
        <is>
          <t>SCA</t>
        </is>
      </c>
      <c r="G461" t="n">
        <v>0.5</v>
      </c>
      <c r="H461" t="n">
        <v>0</v>
      </c>
      <c r="I461" t="n">
        <v>0</v>
      </c>
      <c r="J461" t="n">
        <v>0</v>
      </c>
      <c r="K461" t="n">
        <v>0</v>
      </c>
      <c r="L461" t="n">
        <v>0</v>
      </c>
      <c r="M461" t="n">
        <v>0</v>
      </c>
      <c r="N461" t="n">
        <v>0</v>
      </c>
      <c r="O461" t="n">
        <v>0</v>
      </c>
      <c r="P461" t="n">
        <v>0</v>
      </c>
      <c r="Q461" t="n">
        <v>0</v>
      </c>
      <c r="R461" s="2" t="inlineStr"/>
    </row>
    <row r="462" ht="15" customHeight="1">
      <c r="A462" t="inlineStr">
        <is>
          <t>A 2831-2024</t>
        </is>
      </c>
      <c r="B462" s="1" t="n">
        <v>45314.92758101852</v>
      </c>
      <c r="C462" s="1" t="n">
        <v>45880</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12585-2024</t>
        </is>
      </c>
      <c r="B463" s="1" t="n">
        <v>45379.93637731481</v>
      </c>
      <c r="C463" s="1" t="n">
        <v>45880</v>
      </c>
      <c r="D463" t="inlineStr">
        <is>
          <t>JÄMTLANDS LÄN</t>
        </is>
      </c>
      <c r="E463" t="inlineStr">
        <is>
          <t>RAGUNDA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15581-2024</t>
        </is>
      </c>
      <c r="B464" s="1" t="n">
        <v>45401</v>
      </c>
      <c r="C464" s="1" t="n">
        <v>45880</v>
      </c>
      <c r="D464" t="inlineStr">
        <is>
          <t>JÄMTLANDS LÄN</t>
        </is>
      </c>
      <c r="E464" t="inlineStr">
        <is>
          <t>RAGUNDA</t>
        </is>
      </c>
      <c r="F464" t="inlineStr">
        <is>
          <t>Kommuner</t>
        </is>
      </c>
      <c r="G464" t="n">
        <v>2.2</v>
      </c>
      <c r="H464" t="n">
        <v>0</v>
      </c>
      <c r="I464" t="n">
        <v>0</v>
      </c>
      <c r="J464" t="n">
        <v>0</v>
      </c>
      <c r="K464" t="n">
        <v>0</v>
      </c>
      <c r="L464" t="n">
        <v>0</v>
      </c>
      <c r="M464" t="n">
        <v>0</v>
      </c>
      <c r="N464" t="n">
        <v>0</v>
      </c>
      <c r="O464" t="n">
        <v>0</v>
      </c>
      <c r="P464" t="n">
        <v>0</v>
      </c>
      <c r="Q464" t="n">
        <v>0</v>
      </c>
      <c r="R464" s="2" t="inlineStr"/>
    </row>
    <row r="465" ht="15" customHeight="1">
      <c r="A465" t="inlineStr">
        <is>
          <t>A 15611-2024</t>
        </is>
      </c>
      <c r="B465" s="1" t="n">
        <v>45401</v>
      </c>
      <c r="C465" s="1" t="n">
        <v>45880</v>
      </c>
      <c r="D465" t="inlineStr">
        <is>
          <t>JÄMTLANDS LÄN</t>
        </is>
      </c>
      <c r="E465" t="inlineStr">
        <is>
          <t>RAGUNDA</t>
        </is>
      </c>
      <c r="F465" t="inlineStr">
        <is>
          <t>SCA</t>
        </is>
      </c>
      <c r="G465" t="n">
        <v>10.3</v>
      </c>
      <c r="H465" t="n">
        <v>0</v>
      </c>
      <c r="I465" t="n">
        <v>0</v>
      </c>
      <c r="J465" t="n">
        <v>0</v>
      </c>
      <c r="K465" t="n">
        <v>0</v>
      </c>
      <c r="L465" t="n">
        <v>0</v>
      </c>
      <c r="M465" t="n">
        <v>0</v>
      </c>
      <c r="N465" t="n">
        <v>0</v>
      </c>
      <c r="O465" t="n">
        <v>0</v>
      </c>
      <c r="P465" t="n">
        <v>0</v>
      </c>
      <c r="Q465" t="n">
        <v>0</v>
      </c>
      <c r="R465" s="2" t="inlineStr"/>
    </row>
    <row r="466" ht="15" customHeight="1">
      <c r="A466" t="inlineStr">
        <is>
          <t>A 39489-2023</t>
        </is>
      </c>
      <c r="B466" s="1" t="n">
        <v>45166</v>
      </c>
      <c r="C466" s="1" t="n">
        <v>45880</v>
      </c>
      <c r="D466" t="inlineStr">
        <is>
          <t>JÄMTLANDS LÄN</t>
        </is>
      </c>
      <c r="E466" t="inlineStr">
        <is>
          <t>RAGUNDA</t>
        </is>
      </c>
      <c r="G466" t="n">
        <v>5</v>
      </c>
      <c r="H466" t="n">
        <v>0</v>
      </c>
      <c r="I466" t="n">
        <v>0</v>
      </c>
      <c r="J466" t="n">
        <v>0</v>
      </c>
      <c r="K466" t="n">
        <v>0</v>
      </c>
      <c r="L466" t="n">
        <v>0</v>
      </c>
      <c r="M466" t="n">
        <v>0</v>
      </c>
      <c r="N466" t="n">
        <v>0</v>
      </c>
      <c r="O466" t="n">
        <v>0</v>
      </c>
      <c r="P466" t="n">
        <v>0</v>
      </c>
      <c r="Q466" t="n">
        <v>0</v>
      </c>
      <c r="R466" s="2" t="inlineStr"/>
    </row>
    <row r="467" ht="15" customHeight="1">
      <c r="A467" t="inlineStr">
        <is>
          <t>A 11780-2024</t>
        </is>
      </c>
      <c r="B467" s="1" t="n">
        <v>45374</v>
      </c>
      <c r="C467" s="1" t="n">
        <v>45880</v>
      </c>
      <c r="D467" t="inlineStr">
        <is>
          <t>JÄMTLANDS LÄN</t>
        </is>
      </c>
      <c r="E467" t="inlineStr">
        <is>
          <t>RAGUNDA</t>
        </is>
      </c>
      <c r="G467" t="n">
        <v>14.6</v>
      </c>
      <c r="H467" t="n">
        <v>0</v>
      </c>
      <c r="I467" t="n">
        <v>0</v>
      </c>
      <c r="J467" t="n">
        <v>0</v>
      </c>
      <c r="K467" t="n">
        <v>0</v>
      </c>
      <c r="L467" t="n">
        <v>0</v>
      </c>
      <c r="M467" t="n">
        <v>0</v>
      </c>
      <c r="N467" t="n">
        <v>0</v>
      </c>
      <c r="O467" t="n">
        <v>0</v>
      </c>
      <c r="P467" t="n">
        <v>0</v>
      </c>
      <c r="Q467" t="n">
        <v>0</v>
      </c>
      <c r="R467" s="2" t="inlineStr"/>
    </row>
    <row r="468" ht="15" customHeight="1">
      <c r="A468" t="inlineStr">
        <is>
          <t>A 11058-2025</t>
        </is>
      </c>
      <c r="B468" s="1" t="n">
        <v>45723.51079861111</v>
      </c>
      <c r="C468" s="1" t="n">
        <v>45880</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13264-2025</t>
        </is>
      </c>
      <c r="B469" s="1" t="n">
        <v>45735</v>
      </c>
      <c r="C469" s="1" t="n">
        <v>45880</v>
      </c>
      <c r="D469" t="inlineStr">
        <is>
          <t>JÄMTLANDS LÄN</t>
        </is>
      </c>
      <c r="E469" t="inlineStr">
        <is>
          <t>RAGUNDA</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22131-2021</t>
        </is>
      </c>
      <c r="B470" s="1" t="n">
        <v>44323</v>
      </c>
      <c r="C470" s="1" t="n">
        <v>45880</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59557-2023</t>
        </is>
      </c>
      <c r="B471" s="1" t="n">
        <v>45253</v>
      </c>
      <c r="C471" s="1" t="n">
        <v>45880</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50157-2023</t>
        </is>
      </c>
      <c r="B472" s="1" t="n">
        <v>45208</v>
      </c>
      <c r="C472" s="1" t="n">
        <v>45880</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37268-2024</t>
        </is>
      </c>
      <c r="B473" s="1" t="n">
        <v>45540.38586805556</v>
      </c>
      <c r="C473" s="1" t="n">
        <v>45880</v>
      </c>
      <c r="D473" t="inlineStr">
        <is>
          <t>JÄMTLANDS LÄN</t>
        </is>
      </c>
      <c r="E473" t="inlineStr">
        <is>
          <t>RAGUNDA</t>
        </is>
      </c>
      <c r="F473" t="inlineStr">
        <is>
          <t>SCA</t>
        </is>
      </c>
      <c r="G473" t="n">
        <v>6.3</v>
      </c>
      <c r="H473" t="n">
        <v>0</v>
      </c>
      <c r="I473" t="n">
        <v>0</v>
      </c>
      <c r="J473" t="n">
        <v>0</v>
      </c>
      <c r="K473" t="n">
        <v>0</v>
      </c>
      <c r="L473" t="n">
        <v>0</v>
      </c>
      <c r="M473" t="n">
        <v>0</v>
      </c>
      <c r="N473" t="n">
        <v>0</v>
      </c>
      <c r="O473" t="n">
        <v>0</v>
      </c>
      <c r="P473" t="n">
        <v>0</v>
      </c>
      <c r="Q473" t="n">
        <v>0</v>
      </c>
      <c r="R473" s="2" t="inlineStr"/>
    </row>
    <row r="474" ht="15" customHeight="1">
      <c r="A474" t="inlineStr">
        <is>
          <t>A 38664-2022</t>
        </is>
      </c>
      <c r="B474" s="1" t="n">
        <v>44813</v>
      </c>
      <c r="C474" s="1" t="n">
        <v>45880</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41885-2020</t>
        </is>
      </c>
      <c r="B475" s="1" t="n">
        <v>44074</v>
      </c>
      <c r="C475" s="1" t="n">
        <v>45880</v>
      </c>
      <c r="D475" t="inlineStr">
        <is>
          <t>JÄMTLANDS LÄN</t>
        </is>
      </c>
      <c r="E475" t="inlineStr">
        <is>
          <t>RAGUNDA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42893-2022</t>
        </is>
      </c>
      <c r="B476" s="1" t="n">
        <v>44832</v>
      </c>
      <c r="C476" s="1" t="n">
        <v>45880</v>
      </c>
      <c r="D476" t="inlineStr">
        <is>
          <t>JÄMTLANDS LÄN</t>
        </is>
      </c>
      <c r="E476" t="inlineStr">
        <is>
          <t>RAGUNDA</t>
        </is>
      </c>
      <c r="F476" t="inlineStr">
        <is>
          <t>SCA</t>
        </is>
      </c>
      <c r="G476" t="n">
        <v>28.4</v>
      </c>
      <c r="H476" t="n">
        <v>0</v>
      </c>
      <c r="I476" t="n">
        <v>0</v>
      </c>
      <c r="J476" t="n">
        <v>0</v>
      </c>
      <c r="K476" t="n">
        <v>0</v>
      </c>
      <c r="L476" t="n">
        <v>0</v>
      </c>
      <c r="M476" t="n">
        <v>0</v>
      </c>
      <c r="N476" t="n">
        <v>0</v>
      </c>
      <c r="O476" t="n">
        <v>0</v>
      </c>
      <c r="P476" t="n">
        <v>0</v>
      </c>
      <c r="Q476" t="n">
        <v>0</v>
      </c>
      <c r="R476" s="2" t="inlineStr"/>
    </row>
    <row r="477" ht="15" customHeight="1">
      <c r="A477" t="inlineStr">
        <is>
          <t>A 41179-2022</t>
        </is>
      </c>
      <c r="B477" s="1" t="n">
        <v>44825</v>
      </c>
      <c r="C477" s="1" t="n">
        <v>45880</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38425-2022</t>
        </is>
      </c>
      <c r="B478" s="1" t="n">
        <v>44812.94709490741</v>
      </c>
      <c r="C478" s="1" t="n">
        <v>45880</v>
      </c>
      <c r="D478" t="inlineStr">
        <is>
          <t>JÄMTLANDS LÄN</t>
        </is>
      </c>
      <c r="E478" t="inlineStr">
        <is>
          <t>RAGUNDA</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45880</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36922-2022</t>
        </is>
      </c>
      <c r="B480" s="1" t="n">
        <v>44805.94592592592</v>
      </c>
      <c r="C480" s="1" t="n">
        <v>45880</v>
      </c>
      <c r="D480" t="inlineStr">
        <is>
          <t>JÄMTLANDS LÄN</t>
        </is>
      </c>
      <c r="E480" t="inlineStr">
        <is>
          <t>RAGUNDA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62541-2022</t>
        </is>
      </c>
      <c r="B481" s="1" t="n">
        <v>44917</v>
      </c>
      <c r="C481" s="1" t="n">
        <v>45880</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15554-2025</t>
        </is>
      </c>
      <c r="B482" s="1" t="n">
        <v>45747.67739583334</v>
      </c>
      <c r="C482" s="1" t="n">
        <v>45880</v>
      </c>
      <c r="D482" t="inlineStr">
        <is>
          <t>JÄMTLANDS LÄN</t>
        </is>
      </c>
      <c r="E482" t="inlineStr">
        <is>
          <t>RAGUNDA</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14513-2025</t>
        </is>
      </c>
      <c r="B483" s="1" t="n">
        <v>45741.63675925926</v>
      </c>
      <c r="C483" s="1" t="n">
        <v>45880</v>
      </c>
      <c r="D483" t="inlineStr">
        <is>
          <t>JÄMTLANDS LÄN</t>
        </is>
      </c>
      <c r="E483" t="inlineStr">
        <is>
          <t>RAGUNDA</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57170-2024</t>
        </is>
      </c>
      <c r="B484" s="1" t="n">
        <v>45629.42759259259</v>
      </c>
      <c r="C484" s="1" t="n">
        <v>45880</v>
      </c>
      <c r="D484" t="inlineStr">
        <is>
          <t>JÄMTLANDS LÄN</t>
        </is>
      </c>
      <c r="E484" t="inlineStr">
        <is>
          <t>RAGUNDA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61400-2022</t>
        </is>
      </c>
      <c r="B485" s="1" t="n">
        <v>44915</v>
      </c>
      <c r="C485" s="1" t="n">
        <v>45880</v>
      </c>
      <c r="D485" t="inlineStr">
        <is>
          <t>JÄMTLANDS LÄN</t>
        </is>
      </c>
      <c r="E485" t="inlineStr">
        <is>
          <t>RAGUNDA</t>
        </is>
      </c>
      <c r="F485" t="inlineStr">
        <is>
          <t>SCA</t>
        </is>
      </c>
      <c r="G485" t="n">
        <v>3.9</v>
      </c>
      <c r="H485" t="n">
        <v>0</v>
      </c>
      <c r="I485" t="n">
        <v>0</v>
      </c>
      <c r="J485" t="n">
        <v>0</v>
      </c>
      <c r="K485" t="n">
        <v>0</v>
      </c>
      <c r="L485" t="n">
        <v>0</v>
      </c>
      <c r="M485" t="n">
        <v>0</v>
      </c>
      <c r="N485" t="n">
        <v>0</v>
      </c>
      <c r="O485" t="n">
        <v>0</v>
      </c>
      <c r="P485" t="n">
        <v>0</v>
      </c>
      <c r="Q485" t="n">
        <v>0</v>
      </c>
      <c r="R485" s="2" t="inlineStr"/>
    </row>
    <row r="486" ht="15" customHeight="1">
      <c r="A486" t="inlineStr">
        <is>
          <t>A 9326-2024</t>
        </is>
      </c>
      <c r="B486" s="1" t="n">
        <v>45358.95818287037</v>
      </c>
      <c r="C486" s="1" t="n">
        <v>45880</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29940-2023</t>
        </is>
      </c>
      <c r="B487" s="1" t="n">
        <v>45107</v>
      </c>
      <c r="C487" s="1" t="n">
        <v>45880</v>
      </c>
      <c r="D487" t="inlineStr">
        <is>
          <t>JÄMTLANDS LÄN</t>
        </is>
      </c>
      <c r="E487" t="inlineStr">
        <is>
          <t>RAGUNDA</t>
        </is>
      </c>
      <c r="G487" t="n">
        <v>13.5</v>
      </c>
      <c r="H487" t="n">
        <v>0</v>
      </c>
      <c r="I487" t="n">
        <v>0</v>
      </c>
      <c r="J487" t="n">
        <v>0</v>
      </c>
      <c r="K487" t="n">
        <v>0</v>
      </c>
      <c r="L487" t="n">
        <v>0</v>
      </c>
      <c r="M487" t="n">
        <v>0</v>
      </c>
      <c r="N487" t="n">
        <v>0</v>
      </c>
      <c r="O487" t="n">
        <v>0</v>
      </c>
      <c r="P487" t="n">
        <v>0</v>
      </c>
      <c r="Q487" t="n">
        <v>0</v>
      </c>
      <c r="R487" s="2" t="inlineStr"/>
    </row>
    <row r="488" ht="15" customHeight="1">
      <c r="A488" t="inlineStr">
        <is>
          <t>A 24861-2023</t>
        </is>
      </c>
      <c r="B488" s="1" t="n">
        <v>45078</v>
      </c>
      <c r="C488" s="1" t="n">
        <v>45880</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21401-2024</t>
        </is>
      </c>
      <c r="B489" s="1" t="n">
        <v>45441.33313657407</v>
      </c>
      <c r="C489" s="1" t="n">
        <v>45880</v>
      </c>
      <c r="D489" t="inlineStr">
        <is>
          <t>JÄMTLANDS LÄN</t>
        </is>
      </c>
      <c r="E489" t="inlineStr">
        <is>
          <t>RAGUNDA</t>
        </is>
      </c>
      <c r="G489" t="n">
        <v>3.7</v>
      </c>
      <c r="H489" t="n">
        <v>0</v>
      </c>
      <c r="I489" t="n">
        <v>0</v>
      </c>
      <c r="J489" t="n">
        <v>0</v>
      </c>
      <c r="K489" t="n">
        <v>0</v>
      </c>
      <c r="L489" t="n">
        <v>0</v>
      </c>
      <c r="M489" t="n">
        <v>0</v>
      </c>
      <c r="N489" t="n">
        <v>0</v>
      </c>
      <c r="O489" t="n">
        <v>0</v>
      </c>
      <c r="P489" t="n">
        <v>0</v>
      </c>
      <c r="Q489" t="n">
        <v>0</v>
      </c>
      <c r="R489" s="2" t="inlineStr"/>
    </row>
    <row r="490" ht="15" customHeight="1">
      <c r="A490" t="inlineStr">
        <is>
          <t>A 66471-2021</t>
        </is>
      </c>
      <c r="B490" s="1" t="n">
        <v>44518</v>
      </c>
      <c r="C490" s="1" t="n">
        <v>45880</v>
      </c>
      <c r="D490" t="inlineStr">
        <is>
          <t>JÄMTLANDS LÄN</t>
        </is>
      </c>
      <c r="E490" t="inlineStr">
        <is>
          <t>RAGUNDA</t>
        </is>
      </c>
      <c r="G490" t="n">
        <v>13.4</v>
      </c>
      <c r="H490" t="n">
        <v>0</v>
      </c>
      <c r="I490" t="n">
        <v>0</v>
      </c>
      <c r="J490" t="n">
        <v>0</v>
      </c>
      <c r="K490" t="n">
        <v>0</v>
      </c>
      <c r="L490" t="n">
        <v>0</v>
      </c>
      <c r="M490" t="n">
        <v>0</v>
      </c>
      <c r="N490" t="n">
        <v>0</v>
      </c>
      <c r="O490" t="n">
        <v>0</v>
      </c>
      <c r="P490" t="n">
        <v>0</v>
      </c>
      <c r="Q490" t="n">
        <v>0</v>
      </c>
      <c r="R490" s="2" t="inlineStr"/>
    </row>
    <row r="491" ht="15" customHeight="1">
      <c r="A491" t="inlineStr">
        <is>
          <t>A 7281-2025</t>
        </is>
      </c>
      <c r="B491" s="1" t="n">
        <v>45702.63572916666</v>
      </c>
      <c r="C491" s="1" t="n">
        <v>45880</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22731-2023</t>
        </is>
      </c>
      <c r="B492" s="1" t="n">
        <v>45071</v>
      </c>
      <c r="C492" s="1" t="n">
        <v>45880</v>
      </c>
      <c r="D492" t="inlineStr">
        <is>
          <t>JÄMTLANDS LÄN</t>
        </is>
      </c>
      <c r="E492" t="inlineStr">
        <is>
          <t>RAGUNDA</t>
        </is>
      </c>
      <c r="G492" t="n">
        <v>1.5</v>
      </c>
      <c r="H492" t="n">
        <v>0</v>
      </c>
      <c r="I492" t="n">
        <v>0</v>
      </c>
      <c r="J492" t="n">
        <v>0</v>
      </c>
      <c r="K492" t="n">
        <v>0</v>
      </c>
      <c r="L492" t="n">
        <v>0</v>
      </c>
      <c r="M492" t="n">
        <v>0</v>
      </c>
      <c r="N492" t="n">
        <v>0</v>
      </c>
      <c r="O492" t="n">
        <v>0</v>
      </c>
      <c r="P492" t="n">
        <v>0</v>
      </c>
      <c r="Q492" t="n">
        <v>0</v>
      </c>
      <c r="R492" s="2" t="inlineStr"/>
    </row>
    <row r="493" ht="15" customHeight="1">
      <c r="A493" t="inlineStr">
        <is>
          <t>A 18952-2025</t>
        </is>
      </c>
      <c r="B493" s="1" t="n">
        <v>45764.51113425926</v>
      </c>
      <c r="C493" s="1" t="n">
        <v>45880</v>
      </c>
      <c r="D493" t="inlineStr">
        <is>
          <t>JÄMTLANDS LÄN</t>
        </is>
      </c>
      <c r="E493" t="inlineStr">
        <is>
          <t>RAGUNDA</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33877-2023</t>
        </is>
      </c>
      <c r="B494" s="1" t="n">
        <v>45133</v>
      </c>
      <c r="C494" s="1" t="n">
        <v>45880</v>
      </c>
      <c r="D494" t="inlineStr">
        <is>
          <t>JÄMTLANDS LÄN</t>
        </is>
      </c>
      <c r="E494" t="inlineStr">
        <is>
          <t>RAGUNDA</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38270-2021</t>
        </is>
      </c>
      <c r="B495" s="1" t="n">
        <v>44405.92065972222</v>
      </c>
      <c r="C495" s="1" t="n">
        <v>45880</v>
      </c>
      <c r="D495" t="inlineStr">
        <is>
          <t>JÄMTLANDS LÄN</t>
        </is>
      </c>
      <c r="E495" t="inlineStr">
        <is>
          <t>RAGUNDA</t>
        </is>
      </c>
      <c r="G495" t="n">
        <v>1.3</v>
      </c>
      <c r="H495" t="n">
        <v>0</v>
      </c>
      <c r="I495" t="n">
        <v>0</v>
      </c>
      <c r="J495" t="n">
        <v>0</v>
      </c>
      <c r="K495" t="n">
        <v>0</v>
      </c>
      <c r="L495" t="n">
        <v>0</v>
      </c>
      <c r="M495" t="n">
        <v>0</v>
      </c>
      <c r="N495" t="n">
        <v>0</v>
      </c>
      <c r="O495" t="n">
        <v>0</v>
      </c>
      <c r="P495" t="n">
        <v>0</v>
      </c>
      <c r="Q495" t="n">
        <v>0</v>
      </c>
      <c r="R495" s="2" t="inlineStr"/>
    </row>
    <row r="496" ht="15" customHeight="1">
      <c r="A496" t="inlineStr">
        <is>
          <t>A 4866-2025</t>
        </is>
      </c>
      <c r="B496" s="1" t="n">
        <v>45688.67542824074</v>
      </c>
      <c r="C496" s="1" t="n">
        <v>45880</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13935-2024</t>
        </is>
      </c>
      <c r="B497" s="1" t="n">
        <v>45391.95329861111</v>
      </c>
      <c r="C497" s="1" t="n">
        <v>45880</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179-2025</t>
        </is>
      </c>
      <c r="B498" s="1" t="n">
        <v>45659.69822916666</v>
      </c>
      <c r="C498" s="1" t="n">
        <v>45880</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8775-2025</t>
        </is>
      </c>
      <c r="B499" s="1" t="n">
        <v>45712.61502314815</v>
      </c>
      <c r="C499" s="1" t="n">
        <v>45880</v>
      </c>
      <c r="D499" t="inlineStr">
        <is>
          <t>JÄMTLANDS LÄN</t>
        </is>
      </c>
      <c r="E499" t="inlineStr">
        <is>
          <t>RAGUNDA</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20088-2023</t>
        </is>
      </c>
      <c r="B500" s="1" t="n">
        <v>45054</v>
      </c>
      <c r="C500" s="1" t="n">
        <v>45880</v>
      </c>
      <c r="D500" t="inlineStr">
        <is>
          <t>JÄMTLANDS LÄN</t>
        </is>
      </c>
      <c r="E500" t="inlineStr">
        <is>
          <t>RAGUNDA</t>
        </is>
      </c>
      <c r="F500" t="inlineStr">
        <is>
          <t>SCA</t>
        </is>
      </c>
      <c r="G500" t="n">
        <v>23.4</v>
      </c>
      <c r="H500" t="n">
        <v>0</v>
      </c>
      <c r="I500" t="n">
        <v>0</v>
      </c>
      <c r="J500" t="n">
        <v>0</v>
      </c>
      <c r="K500" t="n">
        <v>0</v>
      </c>
      <c r="L500" t="n">
        <v>0</v>
      </c>
      <c r="M500" t="n">
        <v>0</v>
      </c>
      <c r="N500" t="n">
        <v>0</v>
      </c>
      <c r="O500" t="n">
        <v>0</v>
      </c>
      <c r="P500" t="n">
        <v>0</v>
      </c>
      <c r="Q500" t="n">
        <v>0</v>
      </c>
      <c r="R500" s="2" t="inlineStr"/>
    </row>
    <row r="501" ht="15" customHeight="1">
      <c r="A501" t="inlineStr">
        <is>
          <t>A 8776-2025</t>
        </is>
      </c>
      <c r="B501" s="1" t="n">
        <v>45712.61510416667</v>
      </c>
      <c r="C501" s="1" t="n">
        <v>45880</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57749-2024</t>
        </is>
      </c>
      <c r="B502" s="1" t="n">
        <v>45630.7862037037</v>
      </c>
      <c r="C502" s="1" t="n">
        <v>45880</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5067-2024</t>
        </is>
      </c>
      <c r="B503" s="1" t="n">
        <v>45329.95806712963</v>
      </c>
      <c r="C503" s="1" t="n">
        <v>45880</v>
      </c>
      <c r="D503" t="inlineStr">
        <is>
          <t>JÄMTLANDS LÄN</t>
        </is>
      </c>
      <c r="E503" t="inlineStr">
        <is>
          <t>RAGUNDA</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18777-2024</t>
        </is>
      </c>
      <c r="B504" s="1" t="n">
        <v>45426</v>
      </c>
      <c r="C504" s="1" t="n">
        <v>45880</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59136-2023</t>
        </is>
      </c>
      <c r="B505" s="1" t="n">
        <v>45251</v>
      </c>
      <c r="C505" s="1" t="n">
        <v>45880</v>
      </c>
      <c r="D505" t="inlineStr">
        <is>
          <t>JÄMTLANDS LÄN</t>
        </is>
      </c>
      <c r="E505" t="inlineStr">
        <is>
          <t>RAGUNDA</t>
        </is>
      </c>
      <c r="G505" t="n">
        <v>1.7</v>
      </c>
      <c r="H505" t="n">
        <v>0</v>
      </c>
      <c r="I505" t="n">
        <v>0</v>
      </c>
      <c r="J505" t="n">
        <v>0</v>
      </c>
      <c r="K505" t="n">
        <v>0</v>
      </c>
      <c r="L505" t="n">
        <v>0</v>
      </c>
      <c r="M505" t="n">
        <v>0</v>
      </c>
      <c r="N505" t="n">
        <v>0</v>
      </c>
      <c r="O505" t="n">
        <v>0</v>
      </c>
      <c r="P505" t="n">
        <v>0</v>
      </c>
      <c r="Q505" t="n">
        <v>0</v>
      </c>
      <c r="R505" s="2" t="inlineStr"/>
    </row>
    <row r="506" ht="15" customHeight="1">
      <c r="A506" t="inlineStr">
        <is>
          <t>A 35274-2023</t>
        </is>
      </c>
      <c r="B506" s="1" t="n">
        <v>45145</v>
      </c>
      <c r="C506" s="1" t="n">
        <v>45880</v>
      </c>
      <c r="D506" t="inlineStr">
        <is>
          <t>JÄMTLANDS LÄN</t>
        </is>
      </c>
      <c r="E506" t="inlineStr">
        <is>
          <t>RAGUNDA</t>
        </is>
      </c>
      <c r="F506" t="inlineStr">
        <is>
          <t>SCA</t>
        </is>
      </c>
      <c r="G506" t="n">
        <v>6.1</v>
      </c>
      <c r="H506" t="n">
        <v>0</v>
      </c>
      <c r="I506" t="n">
        <v>0</v>
      </c>
      <c r="J506" t="n">
        <v>0</v>
      </c>
      <c r="K506" t="n">
        <v>0</v>
      </c>
      <c r="L506" t="n">
        <v>0</v>
      </c>
      <c r="M506" t="n">
        <v>0</v>
      </c>
      <c r="N506" t="n">
        <v>0</v>
      </c>
      <c r="O506" t="n">
        <v>0</v>
      </c>
      <c r="P506" t="n">
        <v>0</v>
      </c>
      <c r="Q506" t="n">
        <v>0</v>
      </c>
      <c r="R506" s="2" t="inlineStr"/>
    </row>
    <row r="507" ht="15" customHeight="1">
      <c r="A507" t="inlineStr">
        <is>
          <t>A 5429-2024</t>
        </is>
      </c>
      <c r="B507" s="1" t="n">
        <v>45331.92746527777</v>
      </c>
      <c r="C507" s="1" t="n">
        <v>45880</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59670-2023</t>
        </is>
      </c>
      <c r="B508" s="1" t="n">
        <v>45254.96516203704</v>
      </c>
      <c r="C508" s="1" t="n">
        <v>45880</v>
      </c>
      <c r="D508" t="inlineStr">
        <is>
          <t>JÄMTLANDS LÄN</t>
        </is>
      </c>
      <c r="E508" t="inlineStr">
        <is>
          <t>RAGUNDA</t>
        </is>
      </c>
      <c r="F508" t="inlineStr">
        <is>
          <t>SCA</t>
        </is>
      </c>
      <c r="G508" t="n">
        <v>7.6</v>
      </c>
      <c r="H508" t="n">
        <v>0</v>
      </c>
      <c r="I508" t="n">
        <v>0</v>
      </c>
      <c r="J508" t="n">
        <v>0</v>
      </c>
      <c r="K508" t="n">
        <v>0</v>
      </c>
      <c r="L508" t="n">
        <v>0</v>
      </c>
      <c r="M508" t="n">
        <v>0</v>
      </c>
      <c r="N508" t="n">
        <v>0</v>
      </c>
      <c r="O508" t="n">
        <v>0</v>
      </c>
      <c r="P508" t="n">
        <v>0</v>
      </c>
      <c r="Q508" t="n">
        <v>0</v>
      </c>
      <c r="R508" s="2" t="inlineStr"/>
    </row>
    <row r="509" ht="15" customHeight="1">
      <c r="A509" t="inlineStr">
        <is>
          <t>A 64264-2023</t>
        </is>
      </c>
      <c r="B509" s="1" t="n">
        <v>45279.94564814815</v>
      </c>
      <c r="C509" s="1" t="n">
        <v>45880</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58193-2022</t>
        </is>
      </c>
      <c r="B510" s="1" t="n">
        <v>44900.95700231481</v>
      </c>
      <c r="C510" s="1" t="n">
        <v>45880</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26347-2023</t>
        </is>
      </c>
      <c r="B511" s="1" t="n">
        <v>45091</v>
      </c>
      <c r="C511" s="1" t="n">
        <v>45880</v>
      </c>
      <c r="D511" t="inlineStr">
        <is>
          <t>JÄMTLANDS LÄN</t>
        </is>
      </c>
      <c r="E511" t="inlineStr">
        <is>
          <t>RAGUNDA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18194-2025</t>
        </is>
      </c>
      <c r="B512" s="1" t="n">
        <v>45761.67744212963</v>
      </c>
      <c r="C512" s="1" t="n">
        <v>45880</v>
      </c>
      <c r="D512" t="inlineStr">
        <is>
          <t>JÄMTLANDS LÄN</t>
        </is>
      </c>
      <c r="E512" t="inlineStr">
        <is>
          <t>RAGUNDA</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51538-2022</t>
        </is>
      </c>
      <c r="B513" s="1" t="n">
        <v>44869</v>
      </c>
      <c r="C513" s="1" t="n">
        <v>45880</v>
      </c>
      <c r="D513" t="inlineStr">
        <is>
          <t>JÄMTLANDS LÄN</t>
        </is>
      </c>
      <c r="E513" t="inlineStr">
        <is>
          <t>RAGUNDA</t>
        </is>
      </c>
      <c r="G513" t="n">
        <v>6.8</v>
      </c>
      <c r="H513" t="n">
        <v>0</v>
      </c>
      <c r="I513" t="n">
        <v>0</v>
      </c>
      <c r="J513" t="n">
        <v>0</v>
      </c>
      <c r="K513" t="n">
        <v>0</v>
      </c>
      <c r="L513" t="n">
        <v>0</v>
      </c>
      <c r="M513" t="n">
        <v>0</v>
      </c>
      <c r="N513" t="n">
        <v>0</v>
      </c>
      <c r="O513" t="n">
        <v>0</v>
      </c>
      <c r="P513" t="n">
        <v>0</v>
      </c>
      <c r="Q513" t="n">
        <v>0</v>
      </c>
      <c r="R513" s="2" t="inlineStr"/>
    </row>
    <row r="514" ht="15" customHeight="1">
      <c r="A514" t="inlineStr">
        <is>
          <t>A 59492-2024</t>
        </is>
      </c>
      <c r="B514" s="1" t="n">
        <v>45638</v>
      </c>
      <c r="C514" s="1" t="n">
        <v>45880</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26991-2023</t>
        </is>
      </c>
      <c r="B515" s="1" t="n">
        <v>45093.92207175926</v>
      </c>
      <c r="C515" s="1" t="n">
        <v>45880</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13299-2024</t>
        </is>
      </c>
      <c r="B516" s="1" t="n">
        <v>45386.68003472222</v>
      </c>
      <c r="C516" s="1" t="n">
        <v>45880</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61109-2024</t>
        </is>
      </c>
      <c r="B517" s="1" t="n">
        <v>45645.55672453704</v>
      </c>
      <c r="C517" s="1" t="n">
        <v>45880</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58537-2022</t>
        </is>
      </c>
      <c r="B518" s="1" t="n">
        <v>44894</v>
      </c>
      <c r="C518" s="1" t="n">
        <v>45880</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53347-2023</t>
        </is>
      </c>
      <c r="B519" s="1" t="n">
        <v>45223</v>
      </c>
      <c r="C519" s="1" t="n">
        <v>45880</v>
      </c>
      <c r="D519" t="inlineStr">
        <is>
          <t>JÄMTLANDS LÄN</t>
        </is>
      </c>
      <c r="E519" t="inlineStr">
        <is>
          <t>RAGUNDA</t>
        </is>
      </c>
      <c r="G519" t="n">
        <v>1.6</v>
      </c>
      <c r="H519" t="n">
        <v>0</v>
      </c>
      <c r="I519" t="n">
        <v>0</v>
      </c>
      <c r="J519" t="n">
        <v>0</v>
      </c>
      <c r="K519" t="n">
        <v>0</v>
      </c>
      <c r="L519" t="n">
        <v>0</v>
      </c>
      <c r="M519" t="n">
        <v>0</v>
      </c>
      <c r="N519" t="n">
        <v>0</v>
      </c>
      <c r="O519" t="n">
        <v>0</v>
      </c>
      <c r="P519" t="n">
        <v>0</v>
      </c>
      <c r="Q519" t="n">
        <v>0</v>
      </c>
      <c r="R519" s="2" t="inlineStr"/>
    </row>
    <row r="520" ht="15" customHeight="1">
      <c r="A520" t="inlineStr">
        <is>
          <t>A 28742-2023</t>
        </is>
      </c>
      <c r="B520" s="1" t="n">
        <v>45103</v>
      </c>
      <c r="C520" s="1" t="n">
        <v>45880</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22948-2024</t>
        </is>
      </c>
      <c r="B521" s="1" t="n">
        <v>45448.94600694445</v>
      </c>
      <c r="C521" s="1" t="n">
        <v>45880</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27373-2023</t>
        </is>
      </c>
      <c r="B522" s="1" t="n">
        <v>45096.93866898148</v>
      </c>
      <c r="C522" s="1" t="n">
        <v>45880</v>
      </c>
      <c r="D522" t="inlineStr">
        <is>
          <t>JÄMTLANDS LÄN</t>
        </is>
      </c>
      <c r="E522" t="inlineStr">
        <is>
          <t>RAGUNDA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53678-2022</t>
        </is>
      </c>
      <c r="B523" s="1" t="n">
        <v>44879.95768518518</v>
      </c>
      <c r="C523" s="1" t="n">
        <v>45880</v>
      </c>
      <c r="D523" t="inlineStr">
        <is>
          <t>JÄMTLANDS LÄN</t>
        </is>
      </c>
      <c r="E523" t="inlineStr">
        <is>
          <t>RAGUNDA</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45880</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14369-2024</t>
        </is>
      </c>
      <c r="B525" s="1" t="n">
        <v>45393.94459490741</v>
      </c>
      <c r="C525" s="1" t="n">
        <v>45880</v>
      </c>
      <c r="D525" t="inlineStr">
        <is>
          <t>JÄMTLANDS LÄN</t>
        </is>
      </c>
      <c r="E525" t="inlineStr">
        <is>
          <t>RAGUNDA</t>
        </is>
      </c>
      <c r="F525" t="inlineStr">
        <is>
          <t>Naturvårdsverket</t>
        </is>
      </c>
      <c r="G525" t="n">
        <v>1.8</v>
      </c>
      <c r="H525" t="n">
        <v>0</v>
      </c>
      <c r="I525" t="n">
        <v>0</v>
      </c>
      <c r="J525" t="n">
        <v>0</v>
      </c>
      <c r="K525" t="n">
        <v>0</v>
      </c>
      <c r="L525" t="n">
        <v>0</v>
      </c>
      <c r="M525" t="n">
        <v>0</v>
      </c>
      <c r="N525" t="n">
        <v>0</v>
      </c>
      <c r="O525" t="n">
        <v>0</v>
      </c>
      <c r="P525" t="n">
        <v>0</v>
      </c>
      <c r="Q525" t="n">
        <v>0</v>
      </c>
      <c r="R525" s="2" t="inlineStr"/>
    </row>
    <row r="526" ht="15" customHeight="1">
      <c r="A526" t="inlineStr">
        <is>
          <t>A 16321-2025</t>
        </is>
      </c>
      <c r="B526" s="1" t="n">
        <v>45751.34873842593</v>
      </c>
      <c r="C526" s="1" t="n">
        <v>45880</v>
      </c>
      <c r="D526" t="inlineStr">
        <is>
          <t>JÄMTLANDS LÄN</t>
        </is>
      </c>
      <c r="E526" t="inlineStr">
        <is>
          <t>RAGUNDA</t>
        </is>
      </c>
      <c r="F526" t="inlineStr">
        <is>
          <t>SCA</t>
        </is>
      </c>
      <c r="G526" t="n">
        <v>63.3</v>
      </c>
      <c r="H526" t="n">
        <v>0</v>
      </c>
      <c r="I526" t="n">
        <v>0</v>
      </c>
      <c r="J526" t="n">
        <v>0</v>
      </c>
      <c r="K526" t="n">
        <v>0</v>
      </c>
      <c r="L526" t="n">
        <v>0</v>
      </c>
      <c r="M526" t="n">
        <v>0</v>
      </c>
      <c r="N526" t="n">
        <v>0</v>
      </c>
      <c r="O526" t="n">
        <v>0</v>
      </c>
      <c r="P526" t="n">
        <v>0</v>
      </c>
      <c r="Q526" t="n">
        <v>0</v>
      </c>
      <c r="R526" s="2" t="inlineStr"/>
    </row>
    <row r="527" ht="15" customHeight="1">
      <c r="A527" t="inlineStr">
        <is>
          <t>A 10639-2024</t>
        </is>
      </c>
      <c r="B527" s="1" t="n">
        <v>45367.67256944445</v>
      </c>
      <c r="C527" s="1" t="n">
        <v>45880</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55904-2022</t>
        </is>
      </c>
      <c r="B528" s="1" t="n">
        <v>44888</v>
      </c>
      <c r="C528" s="1" t="n">
        <v>45880</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65898-2020</t>
        </is>
      </c>
      <c r="B529" s="1" t="n">
        <v>44174</v>
      </c>
      <c r="C529" s="1" t="n">
        <v>45880</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22981-2023</t>
        </is>
      </c>
      <c r="B530" s="1" t="n">
        <v>45072.92737268518</v>
      </c>
      <c r="C530" s="1" t="n">
        <v>45880</v>
      </c>
      <c r="D530" t="inlineStr">
        <is>
          <t>JÄMTLANDS LÄN</t>
        </is>
      </c>
      <c r="E530" t="inlineStr">
        <is>
          <t>RAGUNDA</t>
        </is>
      </c>
      <c r="G530" t="n">
        <v>3.8</v>
      </c>
      <c r="H530" t="n">
        <v>0</v>
      </c>
      <c r="I530" t="n">
        <v>0</v>
      </c>
      <c r="J530" t="n">
        <v>0</v>
      </c>
      <c r="K530" t="n">
        <v>0</v>
      </c>
      <c r="L530" t="n">
        <v>0</v>
      </c>
      <c r="M530" t="n">
        <v>0</v>
      </c>
      <c r="N530" t="n">
        <v>0</v>
      </c>
      <c r="O530" t="n">
        <v>0</v>
      </c>
      <c r="P530" t="n">
        <v>0</v>
      </c>
      <c r="Q530" t="n">
        <v>0</v>
      </c>
      <c r="R530" s="2" t="inlineStr"/>
    </row>
    <row r="531" ht="15" customHeight="1">
      <c r="A531" t="inlineStr">
        <is>
          <t>A 19854-2025</t>
        </is>
      </c>
      <c r="B531" s="1" t="n">
        <v>45771.51074074074</v>
      </c>
      <c r="C531" s="1" t="n">
        <v>45880</v>
      </c>
      <c r="D531" t="inlineStr">
        <is>
          <t>JÄMTLANDS LÄN</t>
        </is>
      </c>
      <c r="E531" t="inlineStr">
        <is>
          <t>RAGUNDA</t>
        </is>
      </c>
      <c r="F531" t="inlineStr">
        <is>
          <t>SCA</t>
        </is>
      </c>
      <c r="G531" t="n">
        <v>8.4</v>
      </c>
      <c r="H531" t="n">
        <v>0</v>
      </c>
      <c r="I531" t="n">
        <v>0</v>
      </c>
      <c r="J531" t="n">
        <v>0</v>
      </c>
      <c r="K531" t="n">
        <v>0</v>
      </c>
      <c r="L531" t="n">
        <v>0</v>
      </c>
      <c r="M531" t="n">
        <v>0</v>
      </c>
      <c r="N531" t="n">
        <v>0</v>
      </c>
      <c r="O531" t="n">
        <v>0</v>
      </c>
      <c r="P531" t="n">
        <v>0</v>
      </c>
      <c r="Q531" t="n">
        <v>0</v>
      </c>
      <c r="R531" s="2" t="inlineStr"/>
    </row>
    <row r="532" ht="15" customHeight="1">
      <c r="A532" t="inlineStr">
        <is>
          <t>A 6688-2024</t>
        </is>
      </c>
      <c r="B532" s="1" t="n">
        <v>45341</v>
      </c>
      <c r="C532" s="1" t="n">
        <v>45880</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30642-2024</t>
        </is>
      </c>
      <c r="B533" s="1" t="n">
        <v>45495.57677083334</v>
      </c>
      <c r="C533" s="1" t="n">
        <v>45880</v>
      </c>
      <c r="D533" t="inlineStr">
        <is>
          <t>JÄMTLANDS LÄN</t>
        </is>
      </c>
      <c r="E533" t="inlineStr">
        <is>
          <t>RAGUNDA</t>
        </is>
      </c>
      <c r="G533" t="n">
        <v>2.7</v>
      </c>
      <c r="H533" t="n">
        <v>0</v>
      </c>
      <c r="I533" t="n">
        <v>0</v>
      </c>
      <c r="J533" t="n">
        <v>0</v>
      </c>
      <c r="K533" t="n">
        <v>0</v>
      </c>
      <c r="L533" t="n">
        <v>0</v>
      </c>
      <c r="M533" t="n">
        <v>0</v>
      </c>
      <c r="N533" t="n">
        <v>0</v>
      </c>
      <c r="O533" t="n">
        <v>0</v>
      </c>
      <c r="P533" t="n">
        <v>0</v>
      </c>
      <c r="Q533" t="n">
        <v>0</v>
      </c>
      <c r="R533" s="2" t="inlineStr"/>
    </row>
    <row r="534" ht="15" customHeight="1">
      <c r="A534" t="inlineStr">
        <is>
          <t>A 21726-2023</t>
        </is>
      </c>
      <c r="B534" s="1" t="n">
        <v>45065.42894675926</v>
      </c>
      <c r="C534" s="1" t="n">
        <v>45880</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55514-2024</t>
        </is>
      </c>
      <c r="B535" s="1" t="n">
        <v>45622.46910879629</v>
      </c>
      <c r="C535" s="1" t="n">
        <v>45880</v>
      </c>
      <c r="D535" t="inlineStr">
        <is>
          <t>JÄMTLANDS LÄN</t>
        </is>
      </c>
      <c r="E535" t="inlineStr">
        <is>
          <t>RAGUNDA</t>
        </is>
      </c>
      <c r="G535" t="n">
        <v>0.9</v>
      </c>
      <c r="H535" t="n">
        <v>0</v>
      </c>
      <c r="I535" t="n">
        <v>0</v>
      </c>
      <c r="J535" t="n">
        <v>0</v>
      </c>
      <c r="K535" t="n">
        <v>0</v>
      </c>
      <c r="L535" t="n">
        <v>0</v>
      </c>
      <c r="M535" t="n">
        <v>0</v>
      </c>
      <c r="N535" t="n">
        <v>0</v>
      </c>
      <c r="O535" t="n">
        <v>0</v>
      </c>
      <c r="P535" t="n">
        <v>0</v>
      </c>
      <c r="Q535" t="n">
        <v>0</v>
      </c>
      <c r="R535" s="2" t="inlineStr"/>
    </row>
    <row r="536" ht="15" customHeight="1">
      <c r="A536" t="inlineStr">
        <is>
          <t>A 24441-2024</t>
        </is>
      </c>
      <c r="B536" s="1" t="n">
        <v>45457.96372685185</v>
      </c>
      <c r="C536" s="1" t="n">
        <v>45880</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934-2023</t>
        </is>
      </c>
      <c r="B537" s="1" t="n">
        <v>44932.93927083333</v>
      </c>
      <c r="C537" s="1" t="n">
        <v>45880</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37242-2024</t>
        </is>
      </c>
      <c r="B538" s="1" t="n">
        <v>45540.34428240741</v>
      </c>
      <c r="C538" s="1" t="n">
        <v>45880</v>
      </c>
      <c r="D538" t="inlineStr">
        <is>
          <t>JÄMTLANDS LÄN</t>
        </is>
      </c>
      <c r="E538" t="inlineStr">
        <is>
          <t>RAGUNDA</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9232-2025</t>
        </is>
      </c>
      <c r="B539" s="1" t="n">
        <v>45714.55064814815</v>
      </c>
      <c r="C539" s="1" t="n">
        <v>45880</v>
      </c>
      <c r="D539" t="inlineStr">
        <is>
          <t>JÄMTLANDS LÄN</t>
        </is>
      </c>
      <c r="E539" t="inlineStr">
        <is>
          <t>RAGUNDA</t>
        </is>
      </c>
      <c r="G539" t="n">
        <v>1.9</v>
      </c>
      <c r="H539" t="n">
        <v>0</v>
      </c>
      <c r="I539" t="n">
        <v>0</v>
      </c>
      <c r="J539" t="n">
        <v>0</v>
      </c>
      <c r="K539" t="n">
        <v>0</v>
      </c>
      <c r="L539" t="n">
        <v>0</v>
      </c>
      <c r="M539" t="n">
        <v>0</v>
      </c>
      <c r="N539" t="n">
        <v>0</v>
      </c>
      <c r="O539" t="n">
        <v>0</v>
      </c>
      <c r="P539" t="n">
        <v>0</v>
      </c>
      <c r="Q539" t="n">
        <v>0</v>
      </c>
      <c r="R539" s="2" t="inlineStr"/>
    </row>
    <row r="540" ht="15" customHeight="1">
      <c r="A540" t="inlineStr">
        <is>
          <t>A 50649-2022</t>
        </is>
      </c>
      <c r="B540" s="1" t="n">
        <v>44866</v>
      </c>
      <c r="C540" s="1" t="n">
        <v>45880</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41656-2023</t>
        </is>
      </c>
      <c r="B541" s="1" t="n">
        <v>45175</v>
      </c>
      <c r="C541" s="1" t="n">
        <v>45880</v>
      </c>
      <c r="D541" t="inlineStr">
        <is>
          <t>JÄMTLANDS LÄN</t>
        </is>
      </c>
      <c r="E541" t="inlineStr">
        <is>
          <t>RAGUNDA</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36317-2024</t>
        </is>
      </c>
      <c r="B542" s="1" t="n">
        <v>45534.63537037037</v>
      </c>
      <c r="C542" s="1" t="n">
        <v>45880</v>
      </c>
      <c r="D542" t="inlineStr">
        <is>
          <t>JÄMTLANDS LÄN</t>
        </is>
      </c>
      <c r="E542" t="inlineStr">
        <is>
          <t>RAGUNDA</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16635-2025</t>
        </is>
      </c>
      <c r="B543" s="1" t="n">
        <v>45754</v>
      </c>
      <c r="C543" s="1" t="n">
        <v>45880</v>
      </c>
      <c r="D543" t="inlineStr">
        <is>
          <t>JÄMTLANDS LÄN</t>
        </is>
      </c>
      <c r="E543" t="inlineStr">
        <is>
          <t>RAGUNDA</t>
        </is>
      </c>
      <c r="F543" t="inlineStr">
        <is>
          <t>SCA</t>
        </is>
      </c>
      <c r="G543" t="n">
        <v>55.4</v>
      </c>
      <c r="H543" t="n">
        <v>0</v>
      </c>
      <c r="I543" t="n">
        <v>0</v>
      </c>
      <c r="J543" t="n">
        <v>0</v>
      </c>
      <c r="K543" t="n">
        <v>0</v>
      </c>
      <c r="L543" t="n">
        <v>0</v>
      </c>
      <c r="M543" t="n">
        <v>0</v>
      </c>
      <c r="N543" t="n">
        <v>0</v>
      </c>
      <c r="O543" t="n">
        <v>0</v>
      </c>
      <c r="P543" t="n">
        <v>0</v>
      </c>
      <c r="Q543" t="n">
        <v>0</v>
      </c>
      <c r="R543" s="2" t="inlineStr"/>
    </row>
    <row r="544" ht="15" customHeight="1">
      <c r="A544" t="inlineStr">
        <is>
          <t>A 60195-2023</t>
        </is>
      </c>
      <c r="B544" s="1" t="n">
        <v>45257</v>
      </c>
      <c r="C544" s="1" t="n">
        <v>45880</v>
      </c>
      <c r="D544" t="inlineStr">
        <is>
          <t>JÄMTLANDS LÄN</t>
        </is>
      </c>
      <c r="E544" t="inlineStr">
        <is>
          <t>RAGUNDA</t>
        </is>
      </c>
      <c r="G544" t="n">
        <v>1.7</v>
      </c>
      <c r="H544" t="n">
        <v>0</v>
      </c>
      <c r="I544" t="n">
        <v>0</v>
      </c>
      <c r="J544" t="n">
        <v>0</v>
      </c>
      <c r="K544" t="n">
        <v>0</v>
      </c>
      <c r="L544" t="n">
        <v>0</v>
      </c>
      <c r="M544" t="n">
        <v>0</v>
      </c>
      <c r="N544" t="n">
        <v>0</v>
      </c>
      <c r="O544" t="n">
        <v>0</v>
      </c>
      <c r="P544" t="n">
        <v>0</v>
      </c>
      <c r="Q544" t="n">
        <v>0</v>
      </c>
      <c r="R544" s="2" t="inlineStr"/>
    </row>
    <row r="545" ht="15" customHeight="1">
      <c r="A545" t="inlineStr">
        <is>
          <t>A 36226-2023</t>
        </is>
      </c>
      <c r="B545" s="1" t="n">
        <v>45149.95372685185</v>
      </c>
      <c r="C545" s="1" t="n">
        <v>45880</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2819-2023</t>
        </is>
      </c>
      <c r="B546" s="1" t="n">
        <v>44944</v>
      </c>
      <c r="C546" s="1" t="n">
        <v>45880</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37479-2023</t>
        </is>
      </c>
      <c r="B547" s="1" t="n">
        <v>45156</v>
      </c>
      <c r="C547" s="1" t="n">
        <v>45880</v>
      </c>
      <c r="D547" t="inlineStr">
        <is>
          <t>JÄMTLANDS LÄN</t>
        </is>
      </c>
      <c r="E547" t="inlineStr">
        <is>
          <t>RAGUNDA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182-2023</t>
        </is>
      </c>
      <c r="B548" s="1" t="n">
        <v>44922</v>
      </c>
      <c r="C548" s="1" t="n">
        <v>45880</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66011-2021</t>
        </is>
      </c>
      <c r="B549" s="1" t="n">
        <v>44517.58137731482</v>
      </c>
      <c r="C549" s="1" t="n">
        <v>45880</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32904-2024</t>
        </is>
      </c>
      <c r="B550" s="1" t="n">
        <v>45516.94732638889</v>
      </c>
      <c r="C550" s="1" t="n">
        <v>45880</v>
      </c>
      <c r="D550" t="inlineStr">
        <is>
          <t>JÄMTLANDS LÄN</t>
        </is>
      </c>
      <c r="E550" t="inlineStr">
        <is>
          <t>RAGUNDA</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59368-2022</t>
        </is>
      </c>
      <c r="B551" s="1" t="n">
        <v>44904.94824074074</v>
      </c>
      <c r="C551" s="1" t="n">
        <v>45880</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893-2025</t>
        </is>
      </c>
      <c r="B552" s="1" t="n">
        <v>45665.65684027778</v>
      </c>
      <c r="C552" s="1" t="n">
        <v>45880</v>
      </c>
      <c r="D552" t="inlineStr">
        <is>
          <t>JÄMTLANDS LÄN</t>
        </is>
      </c>
      <c r="E552" t="inlineStr">
        <is>
          <t>RAGUNDA</t>
        </is>
      </c>
      <c r="F552" t="inlineStr">
        <is>
          <t>SCA</t>
        </is>
      </c>
      <c r="G552" t="n">
        <v>45.1</v>
      </c>
      <c r="H552" t="n">
        <v>0</v>
      </c>
      <c r="I552" t="n">
        <v>0</v>
      </c>
      <c r="J552" t="n">
        <v>0</v>
      </c>
      <c r="K552" t="n">
        <v>0</v>
      </c>
      <c r="L552" t="n">
        <v>0</v>
      </c>
      <c r="M552" t="n">
        <v>0</v>
      </c>
      <c r="N552" t="n">
        <v>0</v>
      </c>
      <c r="O552" t="n">
        <v>0</v>
      </c>
      <c r="P552" t="n">
        <v>0</v>
      </c>
      <c r="Q552" t="n">
        <v>0</v>
      </c>
      <c r="R552" s="2" t="inlineStr"/>
    </row>
    <row r="553" ht="15" customHeight="1">
      <c r="A553" t="inlineStr">
        <is>
          <t>A 7520-2023</t>
        </is>
      </c>
      <c r="B553" s="1" t="n">
        <v>44971</v>
      </c>
      <c r="C553" s="1" t="n">
        <v>45880</v>
      </c>
      <c r="D553" t="inlineStr">
        <is>
          <t>JÄMTLANDS LÄN</t>
        </is>
      </c>
      <c r="E553" t="inlineStr">
        <is>
          <t>RAGUNDA</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53549-2024</t>
        </is>
      </c>
      <c r="B554" s="1" t="n">
        <v>45614.63869212963</v>
      </c>
      <c r="C554" s="1" t="n">
        <v>45880</v>
      </c>
      <c r="D554" t="inlineStr">
        <is>
          <t>JÄMTLANDS LÄN</t>
        </is>
      </c>
      <c r="E554" t="inlineStr">
        <is>
          <t>RAGUNDA</t>
        </is>
      </c>
      <c r="F554" t="inlineStr">
        <is>
          <t>Kyrkan</t>
        </is>
      </c>
      <c r="G554" t="n">
        <v>1.7</v>
      </c>
      <c r="H554" t="n">
        <v>0</v>
      </c>
      <c r="I554" t="n">
        <v>0</v>
      </c>
      <c r="J554" t="n">
        <v>0</v>
      </c>
      <c r="K554" t="n">
        <v>0</v>
      </c>
      <c r="L554" t="n">
        <v>0</v>
      </c>
      <c r="M554" t="n">
        <v>0</v>
      </c>
      <c r="N554" t="n">
        <v>0</v>
      </c>
      <c r="O554" t="n">
        <v>0</v>
      </c>
      <c r="P554" t="n">
        <v>0</v>
      </c>
      <c r="Q554" t="n">
        <v>0</v>
      </c>
      <c r="R554" s="2" t="inlineStr"/>
    </row>
    <row r="555" ht="15" customHeight="1">
      <c r="A555" t="inlineStr">
        <is>
          <t>A 53955-2022</t>
        </is>
      </c>
      <c r="B555" s="1" t="n">
        <v>44880.95741898148</v>
      </c>
      <c r="C555" s="1" t="n">
        <v>45880</v>
      </c>
      <c r="D555" t="inlineStr">
        <is>
          <t>JÄMTLANDS LÄN</t>
        </is>
      </c>
      <c r="E555" t="inlineStr">
        <is>
          <t>RAGUNDA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9567-2025</t>
        </is>
      </c>
      <c r="B556" s="1" t="n">
        <v>45715.61523148148</v>
      </c>
      <c r="C556" s="1" t="n">
        <v>45880</v>
      </c>
      <c r="D556" t="inlineStr">
        <is>
          <t>JÄMTLANDS LÄN</t>
        </is>
      </c>
      <c r="E556" t="inlineStr">
        <is>
          <t>RAGUNDA</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53287-2022</t>
        </is>
      </c>
      <c r="B557" s="1" t="n">
        <v>44876</v>
      </c>
      <c r="C557" s="1" t="n">
        <v>45880</v>
      </c>
      <c r="D557" t="inlineStr">
        <is>
          <t>JÄMTLANDS LÄN</t>
        </is>
      </c>
      <c r="E557" t="inlineStr">
        <is>
          <t>RAGUNDA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51646-2023</t>
        </is>
      </c>
      <c r="B558" s="1" t="n">
        <v>45215</v>
      </c>
      <c r="C558" s="1" t="n">
        <v>45880</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29319-2023</t>
        </is>
      </c>
      <c r="B559" s="1" t="n">
        <v>45105</v>
      </c>
      <c r="C559" s="1" t="n">
        <v>45880</v>
      </c>
      <c r="D559" t="inlineStr">
        <is>
          <t>JÄMTLANDS LÄN</t>
        </is>
      </c>
      <c r="E559" t="inlineStr">
        <is>
          <t>RAGUNDA</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17323-2025</t>
        </is>
      </c>
      <c r="B560" s="1" t="n">
        <v>45756.63601851852</v>
      </c>
      <c r="C560" s="1" t="n">
        <v>45880</v>
      </c>
      <c r="D560" t="inlineStr">
        <is>
          <t>JÄMTLANDS LÄN</t>
        </is>
      </c>
      <c r="E560" t="inlineStr">
        <is>
          <t>RAGUNDA</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23528-2024</t>
        </is>
      </c>
      <c r="B561" s="1" t="n">
        <v>45453.95016203704</v>
      </c>
      <c r="C561" s="1" t="n">
        <v>45880</v>
      </c>
      <c r="D561" t="inlineStr">
        <is>
          <t>JÄMTLANDS LÄN</t>
        </is>
      </c>
      <c r="E561" t="inlineStr">
        <is>
          <t>RAGUNDA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22412-2024</t>
        </is>
      </c>
      <c r="B562" s="1" t="n">
        <v>45446.68947916666</v>
      </c>
      <c r="C562" s="1" t="n">
        <v>45880</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24196-2024</t>
        </is>
      </c>
      <c r="B563" s="1" t="n">
        <v>45456.96569444444</v>
      </c>
      <c r="C563" s="1" t="n">
        <v>45880</v>
      </c>
      <c r="D563" t="inlineStr">
        <is>
          <t>JÄMTLANDS LÄN</t>
        </is>
      </c>
      <c r="E563" t="inlineStr">
        <is>
          <t>RAGUNDA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19486-2024</t>
        </is>
      </c>
      <c r="B564" s="1" t="n">
        <v>45429</v>
      </c>
      <c r="C564" s="1" t="n">
        <v>45880</v>
      </c>
      <c r="D564" t="inlineStr">
        <is>
          <t>JÄMTLANDS LÄN</t>
        </is>
      </c>
      <c r="E564" t="inlineStr">
        <is>
          <t>RAGUNDA</t>
        </is>
      </c>
      <c r="G564" t="n">
        <v>2.3</v>
      </c>
      <c r="H564" t="n">
        <v>0</v>
      </c>
      <c r="I564" t="n">
        <v>0</v>
      </c>
      <c r="J564" t="n">
        <v>0</v>
      </c>
      <c r="K564" t="n">
        <v>0</v>
      </c>
      <c r="L564" t="n">
        <v>0</v>
      </c>
      <c r="M564" t="n">
        <v>0</v>
      </c>
      <c r="N564" t="n">
        <v>0</v>
      </c>
      <c r="O564" t="n">
        <v>0</v>
      </c>
      <c r="P564" t="n">
        <v>0</v>
      </c>
      <c r="Q564" t="n">
        <v>0</v>
      </c>
      <c r="R564" s="2" t="inlineStr"/>
    </row>
    <row r="565" ht="15" customHeight="1">
      <c r="A565" t="inlineStr">
        <is>
          <t>A 13941-2025</t>
        </is>
      </c>
      <c r="B565" s="1" t="n">
        <v>45737.69822916666</v>
      </c>
      <c r="C565" s="1" t="n">
        <v>45880</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45880</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41772-2024</t>
        </is>
      </c>
      <c r="B567" s="1" t="n">
        <v>45561.34663194444</v>
      </c>
      <c r="C567" s="1" t="n">
        <v>45880</v>
      </c>
      <c r="D567" t="inlineStr">
        <is>
          <t>JÄMTLANDS LÄN</t>
        </is>
      </c>
      <c r="E567" t="inlineStr">
        <is>
          <t>RAGUNDA</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26646-2023</t>
        </is>
      </c>
      <c r="B568" s="1" t="n">
        <v>45092</v>
      </c>
      <c r="C568" s="1" t="n">
        <v>45880</v>
      </c>
      <c r="D568" t="inlineStr">
        <is>
          <t>JÄMTLANDS LÄN</t>
        </is>
      </c>
      <c r="E568" t="inlineStr">
        <is>
          <t>RAGUNDA</t>
        </is>
      </c>
      <c r="G568" t="n">
        <v>1.4</v>
      </c>
      <c r="H568" t="n">
        <v>0</v>
      </c>
      <c r="I568" t="n">
        <v>0</v>
      </c>
      <c r="J568" t="n">
        <v>0</v>
      </c>
      <c r="K568" t="n">
        <v>0</v>
      </c>
      <c r="L568" t="n">
        <v>0</v>
      </c>
      <c r="M568" t="n">
        <v>0</v>
      </c>
      <c r="N568" t="n">
        <v>0</v>
      </c>
      <c r="O568" t="n">
        <v>0</v>
      </c>
      <c r="P568" t="n">
        <v>0</v>
      </c>
      <c r="Q568" t="n">
        <v>0</v>
      </c>
      <c r="R568" s="2" t="inlineStr"/>
    </row>
    <row r="569" ht="15" customHeight="1">
      <c r="A569" t="inlineStr">
        <is>
          <t>A 12660-2024</t>
        </is>
      </c>
      <c r="B569" s="1" t="n">
        <v>45384</v>
      </c>
      <c r="C569" s="1" t="n">
        <v>45880</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25332-2023</t>
        </is>
      </c>
      <c r="B570" s="1" t="n">
        <v>45086.94010416666</v>
      </c>
      <c r="C570" s="1" t="n">
        <v>45880</v>
      </c>
      <c r="D570" t="inlineStr">
        <is>
          <t>JÄMTLANDS LÄN</t>
        </is>
      </c>
      <c r="E570" t="inlineStr">
        <is>
          <t>RAGUNDA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11249-2025</t>
        </is>
      </c>
      <c r="B571" s="1" t="n">
        <v>45726.3860300926</v>
      </c>
      <c r="C571" s="1" t="n">
        <v>45880</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27291-2022</t>
        </is>
      </c>
      <c r="B572" s="1" t="n">
        <v>44741.94070601852</v>
      </c>
      <c r="C572" s="1" t="n">
        <v>45880</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33615-2023</t>
        </is>
      </c>
      <c r="B573" s="1" t="n">
        <v>45119</v>
      </c>
      <c r="C573" s="1" t="n">
        <v>45880</v>
      </c>
      <c r="D573" t="inlineStr">
        <is>
          <t>JÄMTLANDS LÄN</t>
        </is>
      </c>
      <c r="E573" t="inlineStr">
        <is>
          <t>RAGUNDA</t>
        </is>
      </c>
      <c r="G573" t="n">
        <v>0.9</v>
      </c>
      <c r="H573" t="n">
        <v>0</v>
      </c>
      <c r="I573" t="n">
        <v>0</v>
      </c>
      <c r="J573" t="n">
        <v>0</v>
      </c>
      <c r="K573" t="n">
        <v>0</v>
      </c>
      <c r="L573" t="n">
        <v>0</v>
      </c>
      <c r="M573" t="n">
        <v>0</v>
      </c>
      <c r="N573" t="n">
        <v>0</v>
      </c>
      <c r="O573" t="n">
        <v>0</v>
      </c>
      <c r="P573" t="n">
        <v>0</v>
      </c>
      <c r="Q573" t="n">
        <v>0</v>
      </c>
      <c r="R573" s="2" t="inlineStr"/>
    </row>
    <row r="574" ht="15" customHeight="1">
      <c r="A574" t="inlineStr">
        <is>
          <t>A 43132-2023</t>
        </is>
      </c>
      <c r="B574" s="1" t="n">
        <v>45182</v>
      </c>
      <c r="C574" s="1" t="n">
        <v>45880</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24171-2021</t>
        </is>
      </c>
      <c r="B575" s="1" t="n">
        <v>44336</v>
      </c>
      <c r="C575" s="1" t="n">
        <v>45880</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49650-2024</t>
        </is>
      </c>
      <c r="B576" s="1" t="n">
        <v>45596.61569444444</v>
      </c>
      <c r="C576" s="1" t="n">
        <v>45880</v>
      </c>
      <c r="D576" t="inlineStr">
        <is>
          <t>JÄMTLANDS LÄN</t>
        </is>
      </c>
      <c r="E576" t="inlineStr">
        <is>
          <t>RAGUNDA</t>
        </is>
      </c>
      <c r="F576" t="inlineStr">
        <is>
          <t>Naturvårdsverket</t>
        </is>
      </c>
      <c r="G576" t="n">
        <v>3</v>
      </c>
      <c r="H576" t="n">
        <v>0</v>
      </c>
      <c r="I576" t="n">
        <v>0</v>
      </c>
      <c r="J576" t="n">
        <v>0</v>
      </c>
      <c r="K576" t="n">
        <v>0</v>
      </c>
      <c r="L576" t="n">
        <v>0</v>
      </c>
      <c r="M576" t="n">
        <v>0</v>
      </c>
      <c r="N576" t="n">
        <v>0</v>
      </c>
      <c r="O576" t="n">
        <v>0</v>
      </c>
      <c r="P576" t="n">
        <v>0</v>
      </c>
      <c r="Q576" t="n">
        <v>0</v>
      </c>
      <c r="R576" s="2" t="inlineStr"/>
    </row>
    <row r="577" ht="15" customHeight="1">
      <c r="A577" t="inlineStr">
        <is>
          <t>A 49651-2024</t>
        </is>
      </c>
      <c r="B577" s="1" t="n">
        <v>45596.61582175926</v>
      </c>
      <c r="C577" s="1" t="n">
        <v>45880</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6477-2024</t>
        </is>
      </c>
      <c r="B578" s="1" t="n">
        <v>45338.95405092592</v>
      </c>
      <c r="C578" s="1" t="n">
        <v>45880</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8654-2024</t>
        </is>
      </c>
      <c r="B579" s="1" t="n">
        <v>45356.03784722222</v>
      </c>
      <c r="C579" s="1" t="n">
        <v>45880</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9325-2024</t>
        </is>
      </c>
      <c r="B580" s="1" t="n">
        <v>45358.95813657407</v>
      </c>
      <c r="C580" s="1" t="n">
        <v>45880</v>
      </c>
      <c r="D580" t="inlineStr">
        <is>
          <t>JÄMTLANDS LÄN</t>
        </is>
      </c>
      <c r="E580" t="inlineStr">
        <is>
          <t>RAGUNDA</t>
        </is>
      </c>
      <c r="G580" t="n">
        <v>3.1</v>
      </c>
      <c r="H580" t="n">
        <v>0</v>
      </c>
      <c r="I580" t="n">
        <v>0</v>
      </c>
      <c r="J580" t="n">
        <v>0</v>
      </c>
      <c r="K580" t="n">
        <v>0</v>
      </c>
      <c r="L580" t="n">
        <v>0</v>
      </c>
      <c r="M580" t="n">
        <v>0</v>
      </c>
      <c r="N580" t="n">
        <v>0</v>
      </c>
      <c r="O580" t="n">
        <v>0</v>
      </c>
      <c r="P580" t="n">
        <v>0</v>
      </c>
      <c r="Q580" t="n">
        <v>0</v>
      </c>
      <c r="R580" s="2" t="inlineStr"/>
    </row>
    <row r="581" ht="15" customHeight="1">
      <c r="A581" t="inlineStr">
        <is>
          <t>A 4348-2023</t>
        </is>
      </c>
      <c r="B581" s="1" t="n">
        <v>44953</v>
      </c>
      <c r="C581" s="1" t="n">
        <v>45880</v>
      </c>
      <c r="D581" t="inlineStr">
        <is>
          <t>JÄMTLANDS LÄN</t>
        </is>
      </c>
      <c r="E581" t="inlineStr">
        <is>
          <t>RAGUNDA</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8678-2023</t>
        </is>
      </c>
      <c r="B582" s="1" t="n">
        <v>44977.98660879629</v>
      </c>
      <c r="C582" s="1" t="n">
        <v>45880</v>
      </c>
      <c r="D582" t="inlineStr">
        <is>
          <t>JÄMTLANDS LÄN</t>
        </is>
      </c>
      <c r="E582" t="inlineStr">
        <is>
          <t>RAGUNDA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29766-2023</t>
        </is>
      </c>
      <c r="B583" s="1" t="n">
        <v>45098</v>
      </c>
      <c r="C583" s="1" t="n">
        <v>45880</v>
      </c>
      <c r="D583" t="inlineStr">
        <is>
          <t>JÄMTLANDS LÄN</t>
        </is>
      </c>
      <c r="E583" t="inlineStr">
        <is>
          <t>RAGUNDA</t>
        </is>
      </c>
      <c r="G583" t="n">
        <v>2.7</v>
      </c>
      <c r="H583" t="n">
        <v>0</v>
      </c>
      <c r="I583" t="n">
        <v>0</v>
      </c>
      <c r="J583" t="n">
        <v>0</v>
      </c>
      <c r="K583" t="n">
        <v>0</v>
      </c>
      <c r="L583" t="n">
        <v>0</v>
      </c>
      <c r="M583" t="n">
        <v>0</v>
      </c>
      <c r="N583" t="n">
        <v>0</v>
      </c>
      <c r="O583" t="n">
        <v>0</v>
      </c>
      <c r="P583" t="n">
        <v>0</v>
      </c>
      <c r="Q583" t="n">
        <v>0</v>
      </c>
      <c r="R583" s="2" t="inlineStr"/>
    </row>
    <row r="584" ht="15" customHeight="1">
      <c r="A584" t="inlineStr">
        <is>
          <t>A 2224-2024</t>
        </is>
      </c>
      <c r="B584" s="1" t="n">
        <v>45309.92524305556</v>
      </c>
      <c r="C584" s="1" t="n">
        <v>45880</v>
      </c>
      <c r="D584" t="inlineStr">
        <is>
          <t>JÄMTLANDS LÄN</t>
        </is>
      </c>
      <c r="E584" t="inlineStr">
        <is>
          <t>RAGUNDA</t>
        </is>
      </c>
      <c r="G584" t="n">
        <v>0.9</v>
      </c>
      <c r="H584" t="n">
        <v>0</v>
      </c>
      <c r="I584" t="n">
        <v>0</v>
      </c>
      <c r="J584" t="n">
        <v>0</v>
      </c>
      <c r="K584" t="n">
        <v>0</v>
      </c>
      <c r="L584" t="n">
        <v>0</v>
      </c>
      <c r="M584" t="n">
        <v>0</v>
      </c>
      <c r="N584" t="n">
        <v>0</v>
      </c>
      <c r="O584" t="n">
        <v>0</v>
      </c>
      <c r="P584" t="n">
        <v>0</v>
      </c>
      <c r="Q584" t="n">
        <v>0</v>
      </c>
      <c r="R584" s="2" t="inlineStr"/>
    </row>
    <row r="585" ht="15" customHeight="1">
      <c r="A585" t="inlineStr">
        <is>
          <t>A 60443-2023</t>
        </is>
      </c>
      <c r="B585" s="1" t="n">
        <v>45258</v>
      </c>
      <c r="C585" s="1" t="n">
        <v>45880</v>
      </c>
      <c r="D585" t="inlineStr">
        <is>
          <t>JÄMTLANDS LÄN</t>
        </is>
      </c>
      <c r="E585" t="inlineStr">
        <is>
          <t>RAGUNDA</t>
        </is>
      </c>
      <c r="G585" t="n">
        <v>2.9</v>
      </c>
      <c r="H585" t="n">
        <v>0</v>
      </c>
      <c r="I585" t="n">
        <v>0</v>
      </c>
      <c r="J585" t="n">
        <v>0</v>
      </c>
      <c r="K585" t="n">
        <v>0</v>
      </c>
      <c r="L585" t="n">
        <v>0</v>
      </c>
      <c r="M585" t="n">
        <v>0</v>
      </c>
      <c r="N585" t="n">
        <v>0</v>
      </c>
      <c r="O585" t="n">
        <v>0</v>
      </c>
      <c r="P585" t="n">
        <v>0</v>
      </c>
      <c r="Q585" t="n">
        <v>0</v>
      </c>
      <c r="R585" s="2" t="inlineStr"/>
    </row>
    <row r="586" ht="15" customHeight="1">
      <c r="A586" t="inlineStr">
        <is>
          <t>A 44759-2024</t>
        </is>
      </c>
      <c r="B586" s="1" t="n">
        <v>45574.61634259259</v>
      </c>
      <c r="C586" s="1" t="n">
        <v>45880</v>
      </c>
      <c r="D586" t="inlineStr">
        <is>
          <t>JÄMTLANDS LÄN</t>
        </is>
      </c>
      <c r="E586" t="inlineStr">
        <is>
          <t>RAGUNDA</t>
        </is>
      </c>
      <c r="G586" t="n">
        <v>1.9</v>
      </c>
      <c r="H586" t="n">
        <v>0</v>
      </c>
      <c r="I586" t="n">
        <v>0</v>
      </c>
      <c r="J586" t="n">
        <v>0</v>
      </c>
      <c r="K586" t="n">
        <v>0</v>
      </c>
      <c r="L586" t="n">
        <v>0</v>
      </c>
      <c r="M586" t="n">
        <v>0</v>
      </c>
      <c r="N586" t="n">
        <v>0</v>
      </c>
      <c r="O586" t="n">
        <v>0</v>
      </c>
      <c r="P586" t="n">
        <v>0</v>
      </c>
      <c r="Q586" t="n">
        <v>0</v>
      </c>
      <c r="R586" s="2" t="inlineStr"/>
    </row>
    <row r="587" ht="15" customHeight="1">
      <c r="A587" t="inlineStr">
        <is>
          <t>A 993-2025</t>
        </is>
      </c>
      <c r="B587" s="1" t="n">
        <v>45666.44943287037</v>
      </c>
      <c r="C587" s="1" t="n">
        <v>45880</v>
      </c>
      <c r="D587" t="inlineStr">
        <is>
          <t>JÄMTLANDS LÄN</t>
        </is>
      </c>
      <c r="E587" t="inlineStr">
        <is>
          <t>RAGUNDA</t>
        </is>
      </c>
      <c r="G587" t="n">
        <v>11.3</v>
      </c>
      <c r="H587" t="n">
        <v>0</v>
      </c>
      <c r="I587" t="n">
        <v>0</v>
      </c>
      <c r="J587" t="n">
        <v>0</v>
      </c>
      <c r="K587" t="n">
        <v>0</v>
      </c>
      <c r="L587" t="n">
        <v>0</v>
      </c>
      <c r="M587" t="n">
        <v>0</v>
      </c>
      <c r="N587" t="n">
        <v>0</v>
      </c>
      <c r="O587" t="n">
        <v>0</v>
      </c>
      <c r="P587" t="n">
        <v>0</v>
      </c>
      <c r="Q587" t="n">
        <v>0</v>
      </c>
      <c r="R587" s="2" t="inlineStr"/>
    </row>
    <row r="588" ht="15" customHeight="1">
      <c r="A588" t="inlineStr">
        <is>
          <t>A 57064-2024</t>
        </is>
      </c>
      <c r="B588" s="1" t="n">
        <v>45629.35326388889</v>
      </c>
      <c r="C588" s="1" t="n">
        <v>45880</v>
      </c>
      <c r="D588" t="inlineStr">
        <is>
          <t>JÄMTLANDS LÄN</t>
        </is>
      </c>
      <c r="E588" t="inlineStr">
        <is>
          <t>RAGUNDA</t>
        </is>
      </c>
      <c r="F588" t="inlineStr">
        <is>
          <t>Naturvårdsverket</t>
        </is>
      </c>
      <c r="G588" t="n">
        <v>0.5</v>
      </c>
      <c r="H588" t="n">
        <v>0</v>
      </c>
      <c r="I588" t="n">
        <v>0</v>
      </c>
      <c r="J588" t="n">
        <v>0</v>
      </c>
      <c r="K588" t="n">
        <v>0</v>
      </c>
      <c r="L588" t="n">
        <v>0</v>
      </c>
      <c r="M588" t="n">
        <v>0</v>
      </c>
      <c r="N588" t="n">
        <v>0</v>
      </c>
      <c r="O588" t="n">
        <v>0</v>
      </c>
      <c r="P588" t="n">
        <v>0</v>
      </c>
      <c r="Q588" t="n">
        <v>0</v>
      </c>
      <c r="R588" s="2" t="inlineStr"/>
    </row>
    <row r="589" ht="15" customHeight="1">
      <c r="A589" t="inlineStr">
        <is>
          <t>A 60935-2024</t>
        </is>
      </c>
      <c r="B589" s="1" t="n">
        <v>45645.36740740741</v>
      </c>
      <c r="C589" s="1" t="n">
        <v>45880</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56702-2023</t>
        </is>
      </c>
      <c r="B590" s="1" t="n">
        <v>45243</v>
      </c>
      <c r="C590" s="1" t="n">
        <v>45880</v>
      </c>
      <c r="D590" t="inlineStr">
        <is>
          <t>JÄMTLANDS LÄN</t>
        </is>
      </c>
      <c r="E590" t="inlineStr">
        <is>
          <t>RAGUNDA</t>
        </is>
      </c>
      <c r="F590" t="inlineStr">
        <is>
          <t>SCA</t>
        </is>
      </c>
      <c r="G590" t="n">
        <v>10.3</v>
      </c>
      <c r="H590" t="n">
        <v>0</v>
      </c>
      <c r="I590" t="n">
        <v>0</v>
      </c>
      <c r="J590" t="n">
        <v>0</v>
      </c>
      <c r="K590" t="n">
        <v>0</v>
      </c>
      <c r="L590" t="n">
        <v>0</v>
      </c>
      <c r="M590" t="n">
        <v>0</v>
      </c>
      <c r="N590" t="n">
        <v>0</v>
      </c>
      <c r="O590" t="n">
        <v>0</v>
      </c>
      <c r="P590" t="n">
        <v>0</v>
      </c>
      <c r="Q590" t="n">
        <v>0</v>
      </c>
      <c r="R590" s="2" t="inlineStr"/>
    </row>
    <row r="591" ht="15" customHeight="1">
      <c r="A591" t="inlineStr">
        <is>
          <t>A 63708-2023</t>
        </is>
      </c>
      <c r="B591" s="1" t="n">
        <v>45275.95060185185</v>
      </c>
      <c r="C591" s="1" t="n">
        <v>45880</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60936-2024</t>
        </is>
      </c>
      <c r="B592" s="1" t="n">
        <v>45645.36743055555</v>
      </c>
      <c r="C592" s="1" t="n">
        <v>45880</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26651-2024</t>
        </is>
      </c>
      <c r="B593" s="1" t="n">
        <v>45469.94876157407</v>
      </c>
      <c r="C593" s="1" t="n">
        <v>45880</v>
      </c>
      <c r="D593" t="inlineStr">
        <is>
          <t>JÄMTLANDS LÄN</t>
        </is>
      </c>
      <c r="E593" t="inlineStr">
        <is>
          <t>RAGUNDA</t>
        </is>
      </c>
      <c r="F593" t="inlineStr">
        <is>
          <t>SCA</t>
        </is>
      </c>
      <c r="G593" t="n">
        <v>10.4</v>
      </c>
      <c r="H593" t="n">
        <v>0</v>
      </c>
      <c r="I593" t="n">
        <v>0</v>
      </c>
      <c r="J593" t="n">
        <v>0</v>
      </c>
      <c r="K593" t="n">
        <v>0</v>
      </c>
      <c r="L593" t="n">
        <v>0</v>
      </c>
      <c r="M593" t="n">
        <v>0</v>
      </c>
      <c r="N593" t="n">
        <v>0</v>
      </c>
      <c r="O593" t="n">
        <v>0</v>
      </c>
      <c r="P593" t="n">
        <v>0</v>
      </c>
      <c r="Q593" t="n">
        <v>0</v>
      </c>
      <c r="R593" s="2" t="inlineStr"/>
    </row>
    <row r="594" ht="15" customHeight="1">
      <c r="A594" t="inlineStr">
        <is>
          <t>A 19401-2025</t>
        </is>
      </c>
      <c r="B594" s="1" t="n">
        <v>45769.67767361111</v>
      </c>
      <c r="C594" s="1" t="n">
        <v>45880</v>
      </c>
      <c r="D594" t="inlineStr">
        <is>
          <t>JÄMTLANDS LÄN</t>
        </is>
      </c>
      <c r="E594" t="inlineStr">
        <is>
          <t>RAGUNDA</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36340-2024</t>
        </is>
      </c>
      <c r="B595" s="1" t="n">
        <v>45534.64285879629</v>
      </c>
      <c r="C595" s="1" t="n">
        <v>45880</v>
      </c>
      <c r="D595" t="inlineStr">
        <is>
          <t>JÄMTLANDS LÄN</t>
        </is>
      </c>
      <c r="E595" t="inlineStr">
        <is>
          <t>RAGUNDA</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14156-2024</t>
        </is>
      </c>
      <c r="B596" s="1" t="n">
        <v>45392</v>
      </c>
      <c r="C596" s="1" t="n">
        <v>45880</v>
      </c>
      <c r="D596" t="inlineStr">
        <is>
          <t>JÄMTLANDS LÄN</t>
        </is>
      </c>
      <c r="E596" t="inlineStr">
        <is>
          <t>RAGUNDA</t>
        </is>
      </c>
      <c r="G596" t="n">
        <v>0.6</v>
      </c>
      <c r="H596" t="n">
        <v>0</v>
      </c>
      <c r="I596" t="n">
        <v>0</v>
      </c>
      <c r="J596" t="n">
        <v>0</v>
      </c>
      <c r="K596" t="n">
        <v>0</v>
      </c>
      <c r="L596" t="n">
        <v>0</v>
      </c>
      <c r="M596" t="n">
        <v>0</v>
      </c>
      <c r="N596" t="n">
        <v>0</v>
      </c>
      <c r="O596" t="n">
        <v>0</v>
      </c>
      <c r="P596" t="n">
        <v>0</v>
      </c>
      <c r="Q596" t="n">
        <v>0</v>
      </c>
      <c r="R596" s="2" t="inlineStr"/>
    </row>
    <row r="597" ht="15" customHeight="1">
      <c r="A597" t="inlineStr">
        <is>
          <t>A 14157-2024</t>
        </is>
      </c>
      <c r="B597" s="1" t="n">
        <v>45392.92903935185</v>
      </c>
      <c r="C597" s="1" t="n">
        <v>45880</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5930-2025</t>
        </is>
      </c>
      <c r="B598" s="1" t="n">
        <v>45695.44724537037</v>
      </c>
      <c r="C598" s="1" t="n">
        <v>45880</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44727-2024</t>
        </is>
      </c>
      <c r="B599" s="1" t="n">
        <v>45574.57967592592</v>
      </c>
      <c r="C599" s="1" t="n">
        <v>45880</v>
      </c>
      <c r="D599" t="inlineStr">
        <is>
          <t>JÄMTLANDS LÄN</t>
        </is>
      </c>
      <c r="E599" t="inlineStr">
        <is>
          <t>RAGUNDA</t>
        </is>
      </c>
      <c r="G599" t="n">
        <v>4.7</v>
      </c>
      <c r="H599" t="n">
        <v>0</v>
      </c>
      <c r="I599" t="n">
        <v>0</v>
      </c>
      <c r="J599" t="n">
        <v>0</v>
      </c>
      <c r="K599" t="n">
        <v>0</v>
      </c>
      <c r="L599" t="n">
        <v>0</v>
      </c>
      <c r="M599" t="n">
        <v>0</v>
      </c>
      <c r="N599" t="n">
        <v>0</v>
      </c>
      <c r="O599" t="n">
        <v>0</v>
      </c>
      <c r="P599" t="n">
        <v>0</v>
      </c>
      <c r="Q599" t="n">
        <v>0</v>
      </c>
      <c r="R599" s="2" t="inlineStr"/>
    </row>
    <row r="600" ht="15" customHeight="1">
      <c r="A600" t="inlineStr">
        <is>
          <t>A 21661-2023</t>
        </is>
      </c>
      <c r="B600" s="1" t="n">
        <v>45063</v>
      </c>
      <c r="C600" s="1" t="n">
        <v>45880</v>
      </c>
      <c r="D600" t="inlineStr">
        <is>
          <t>JÄMTLANDS LÄN</t>
        </is>
      </c>
      <c r="E600" t="inlineStr">
        <is>
          <t>RAGUNDA</t>
        </is>
      </c>
      <c r="G600" t="n">
        <v>1.5</v>
      </c>
      <c r="H600" t="n">
        <v>0</v>
      </c>
      <c r="I600" t="n">
        <v>0</v>
      </c>
      <c r="J600" t="n">
        <v>0</v>
      </c>
      <c r="K600" t="n">
        <v>0</v>
      </c>
      <c r="L600" t="n">
        <v>0</v>
      </c>
      <c r="M600" t="n">
        <v>0</v>
      </c>
      <c r="N600" t="n">
        <v>0</v>
      </c>
      <c r="O600" t="n">
        <v>0</v>
      </c>
      <c r="P600" t="n">
        <v>0</v>
      </c>
      <c r="Q600" t="n">
        <v>0</v>
      </c>
      <c r="R600" s="2" t="inlineStr"/>
    </row>
    <row r="601" ht="15" customHeight="1">
      <c r="A601" t="inlineStr">
        <is>
          <t>A 50486-2023</t>
        </is>
      </c>
      <c r="B601" s="1" t="n">
        <v>45216.92424768519</v>
      </c>
      <c r="C601" s="1" t="n">
        <v>45880</v>
      </c>
      <c r="D601" t="inlineStr">
        <is>
          <t>JÄMTLANDS LÄN</t>
        </is>
      </c>
      <c r="E601" t="inlineStr">
        <is>
          <t>RAGUNDA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7281-2024</t>
        </is>
      </c>
      <c r="B602" s="1" t="n">
        <v>45344</v>
      </c>
      <c r="C602" s="1" t="n">
        <v>45880</v>
      </c>
      <c r="D602" t="inlineStr">
        <is>
          <t>JÄMTLANDS LÄN</t>
        </is>
      </c>
      <c r="E602" t="inlineStr">
        <is>
          <t>RAGUNDA</t>
        </is>
      </c>
      <c r="G602" t="n">
        <v>1.2</v>
      </c>
      <c r="H602" t="n">
        <v>0</v>
      </c>
      <c r="I602" t="n">
        <v>0</v>
      </c>
      <c r="J602" t="n">
        <v>0</v>
      </c>
      <c r="K602" t="n">
        <v>0</v>
      </c>
      <c r="L602" t="n">
        <v>0</v>
      </c>
      <c r="M602" t="n">
        <v>0</v>
      </c>
      <c r="N602" t="n">
        <v>0</v>
      </c>
      <c r="O602" t="n">
        <v>0</v>
      </c>
      <c r="P602" t="n">
        <v>0</v>
      </c>
      <c r="Q602" t="n">
        <v>0</v>
      </c>
      <c r="R602" s="2" t="inlineStr"/>
    </row>
    <row r="603" ht="15" customHeight="1">
      <c r="A603" t="inlineStr">
        <is>
          <t>A 58847-2024</t>
        </is>
      </c>
      <c r="B603" s="1" t="n">
        <v>45636.3864699074</v>
      </c>
      <c r="C603" s="1" t="n">
        <v>45880</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19382-2025</t>
        </is>
      </c>
      <c r="B604" s="1" t="n">
        <v>45769.65659722222</v>
      </c>
      <c r="C604" s="1" t="n">
        <v>45880</v>
      </c>
      <c r="D604" t="inlineStr">
        <is>
          <t>JÄMTLANDS LÄN</t>
        </is>
      </c>
      <c r="E604" t="inlineStr">
        <is>
          <t>RAGUNDA</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19403-2025</t>
        </is>
      </c>
      <c r="B605" s="1" t="n">
        <v>45769.67790509259</v>
      </c>
      <c r="C605" s="1" t="n">
        <v>45880</v>
      </c>
      <c r="D605" t="inlineStr">
        <is>
          <t>JÄMTLANDS LÄN</t>
        </is>
      </c>
      <c r="E605" t="inlineStr">
        <is>
          <t>RAGUNDA</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9084-2023</t>
        </is>
      </c>
      <c r="B606" s="1" t="n">
        <v>44979</v>
      </c>
      <c r="C606" s="1" t="n">
        <v>45880</v>
      </c>
      <c r="D606" t="inlineStr">
        <is>
          <t>JÄMTLANDS LÄN</t>
        </is>
      </c>
      <c r="E606" t="inlineStr">
        <is>
          <t>RAGUNDA</t>
        </is>
      </c>
      <c r="G606" t="n">
        <v>1.9</v>
      </c>
      <c r="H606" t="n">
        <v>0</v>
      </c>
      <c r="I606" t="n">
        <v>0</v>
      </c>
      <c r="J606" t="n">
        <v>0</v>
      </c>
      <c r="K606" t="n">
        <v>0</v>
      </c>
      <c r="L606" t="n">
        <v>0</v>
      </c>
      <c r="M606" t="n">
        <v>0</v>
      </c>
      <c r="N606" t="n">
        <v>0</v>
      </c>
      <c r="O606" t="n">
        <v>0</v>
      </c>
      <c r="P606" t="n">
        <v>0</v>
      </c>
      <c r="Q606" t="n">
        <v>0</v>
      </c>
      <c r="R606" s="2" t="inlineStr"/>
    </row>
    <row r="607" ht="15" customHeight="1">
      <c r="A607" t="inlineStr">
        <is>
          <t>A 60225-2022</t>
        </is>
      </c>
      <c r="B607" s="1" t="n">
        <v>44903</v>
      </c>
      <c r="C607" s="1" t="n">
        <v>45880</v>
      </c>
      <c r="D607" t="inlineStr">
        <is>
          <t>JÄMTLANDS LÄN</t>
        </is>
      </c>
      <c r="E607" t="inlineStr">
        <is>
          <t>RAGUNDA</t>
        </is>
      </c>
      <c r="G607" t="n">
        <v>1</v>
      </c>
      <c r="H607" t="n">
        <v>0</v>
      </c>
      <c r="I607" t="n">
        <v>0</v>
      </c>
      <c r="J607" t="n">
        <v>0</v>
      </c>
      <c r="K607" t="n">
        <v>0</v>
      </c>
      <c r="L607" t="n">
        <v>0</v>
      </c>
      <c r="M607" t="n">
        <v>0</v>
      </c>
      <c r="N607" t="n">
        <v>0</v>
      </c>
      <c r="O607" t="n">
        <v>0</v>
      </c>
      <c r="P607" t="n">
        <v>0</v>
      </c>
      <c r="Q607" t="n">
        <v>0</v>
      </c>
      <c r="R607" s="2" t="inlineStr"/>
    </row>
    <row r="608" ht="15" customHeight="1">
      <c r="A608" t="inlineStr">
        <is>
          <t>A 9360-2023</t>
        </is>
      </c>
      <c r="B608" s="1" t="n">
        <v>44980.93865740741</v>
      </c>
      <c r="C608" s="1" t="n">
        <v>45880</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61045-2022</t>
        </is>
      </c>
      <c r="B609" s="1" t="n">
        <v>44914</v>
      </c>
      <c r="C609" s="1" t="n">
        <v>45880</v>
      </c>
      <c r="D609" t="inlineStr">
        <is>
          <t>JÄMTLANDS LÄN</t>
        </is>
      </c>
      <c r="E609" t="inlineStr">
        <is>
          <t>RAGUNDA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66706-2021</t>
        </is>
      </c>
      <c r="B610" s="1" t="n">
        <v>44519.94440972222</v>
      </c>
      <c r="C610" s="1" t="n">
        <v>45880</v>
      </c>
      <c r="D610" t="inlineStr">
        <is>
          <t>JÄMTLANDS LÄN</t>
        </is>
      </c>
      <c r="E610" t="inlineStr">
        <is>
          <t>RAGUNDA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32259-2024</t>
        </is>
      </c>
      <c r="B611" s="1" t="n">
        <v>45511</v>
      </c>
      <c r="C611" s="1" t="n">
        <v>45880</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7722-2023</t>
        </is>
      </c>
      <c r="B612" s="1" t="n">
        <v>44972.94140046297</v>
      </c>
      <c r="C612" s="1" t="n">
        <v>45880</v>
      </c>
      <c r="D612" t="inlineStr">
        <is>
          <t>JÄMTLANDS LÄN</t>
        </is>
      </c>
      <c r="E612" t="inlineStr">
        <is>
          <t>RAGUNDA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20653-2025</t>
        </is>
      </c>
      <c r="B613" s="1" t="n">
        <v>45776.40311342593</v>
      </c>
      <c r="C613" s="1" t="n">
        <v>45880</v>
      </c>
      <c r="D613" t="inlineStr">
        <is>
          <t>JÄMTLANDS LÄN</t>
        </is>
      </c>
      <c r="E613" t="inlineStr">
        <is>
          <t>RAGUNDA</t>
        </is>
      </c>
      <c r="G613" t="n">
        <v>10.8</v>
      </c>
      <c r="H613" t="n">
        <v>0</v>
      </c>
      <c r="I613" t="n">
        <v>0</v>
      </c>
      <c r="J613" t="n">
        <v>0</v>
      </c>
      <c r="K613" t="n">
        <v>0</v>
      </c>
      <c r="L613" t="n">
        <v>0</v>
      </c>
      <c r="M613" t="n">
        <v>0</v>
      </c>
      <c r="N613" t="n">
        <v>0</v>
      </c>
      <c r="O613" t="n">
        <v>0</v>
      </c>
      <c r="P613" t="n">
        <v>0</v>
      </c>
      <c r="Q613" t="n">
        <v>0</v>
      </c>
      <c r="R613" s="2" t="inlineStr"/>
    </row>
    <row r="614" ht="15" customHeight="1">
      <c r="A614" t="inlineStr">
        <is>
          <t>A 20777-2025</t>
        </is>
      </c>
      <c r="B614" s="1" t="n">
        <v>45776.59422453704</v>
      </c>
      <c r="C614" s="1" t="n">
        <v>45880</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18778-2024</t>
        </is>
      </c>
      <c r="B615" s="1" t="n">
        <v>45426</v>
      </c>
      <c r="C615" s="1" t="n">
        <v>45880</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18781-2024</t>
        </is>
      </c>
      <c r="B616" s="1" t="n">
        <v>45426</v>
      </c>
      <c r="C616" s="1" t="n">
        <v>45880</v>
      </c>
      <c r="D616" t="inlineStr">
        <is>
          <t>JÄMTLANDS LÄN</t>
        </is>
      </c>
      <c r="E616" t="inlineStr">
        <is>
          <t>RAGUNDA</t>
        </is>
      </c>
      <c r="G616" t="n">
        <v>0.9</v>
      </c>
      <c r="H616" t="n">
        <v>0</v>
      </c>
      <c r="I616" t="n">
        <v>0</v>
      </c>
      <c r="J616" t="n">
        <v>0</v>
      </c>
      <c r="K616" t="n">
        <v>0</v>
      </c>
      <c r="L616" t="n">
        <v>0</v>
      </c>
      <c r="M616" t="n">
        <v>0</v>
      </c>
      <c r="N616" t="n">
        <v>0</v>
      </c>
      <c r="O616" t="n">
        <v>0</v>
      </c>
      <c r="P616" t="n">
        <v>0</v>
      </c>
      <c r="Q616" t="n">
        <v>0</v>
      </c>
      <c r="R616" s="2" t="inlineStr"/>
    </row>
    <row r="617" ht="15" customHeight="1">
      <c r="A617" t="inlineStr">
        <is>
          <t>A 17248-2023</t>
        </is>
      </c>
      <c r="B617" s="1" t="n">
        <v>45033</v>
      </c>
      <c r="C617" s="1" t="n">
        <v>45880</v>
      </c>
      <c r="D617" t="inlineStr">
        <is>
          <t>JÄMTLANDS LÄN</t>
        </is>
      </c>
      <c r="E617" t="inlineStr">
        <is>
          <t>RAGUNDA</t>
        </is>
      </c>
      <c r="G617" t="n">
        <v>3</v>
      </c>
      <c r="H617" t="n">
        <v>0</v>
      </c>
      <c r="I617" t="n">
        <v>0</v>
      </c>
      <c r="J617" t="n">
        <v>0</v>
      </c>
      <c r="K617" t="n">
        <v>0</v>
      </c>
      <c r="L617" t="n">
        <v>0</v>
      </c>
      <c r="M617" t="n">
        <v>0</v>
      </c>
      <c r="N617" t="n">
        <v>0</v>
      </c>
      <c r="O617" t="n">
        <v>0</v>
      </c>
      <c r="P617" t="n">
        <v>0</v>
      </c>
      <c r="Q617" t="n">
        <v>0</v>
      </c>
      <c r="R617" s="2" t="inlineStr"/>
    </row>
    <row r="618" ht="15" customHeight="1">
      <c r="A618" t="inlineStr">
        <is>
          <t>A 16320-2025</t>
        </is>
      </c>
      <c r="B618" s="1" t="n">
        <v>45751.34859953704</v>
      </c>
      <c r="C618" s="1" t="n">
        <v>45880</v>
      </c>
      <c r="D618" t="inlineStr">
        <is>
          <t>JÄMTLANDS LÄN</t>
        </is>
      </c>
      <c r="E618" t="inlineStr">
        <is>
          <t>RAGUNDA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20722-2025</t>
        </is>
      </c>
      <c r="B619" s="1" t="n">
        <v>45776.50651620371</v>
      </c>
      <c r="C619" s="1" t="n">
        <v>45880</v>
      </c>
      <c r="D619" t="inlineStr">
        <is>
          <t>JÄMTLANDS LÄN</t>
        </is>
      </c>
      <c r="E619" t="inlineStr">
        <is>
          <t>RAGUNDA</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20728-2025</t>
        </is>
      </c>
      <c r="B620" s="1" t="n">
        <v>45776.51130787037</v>
      </c>
      <c r="C620" s="1" t="n">
        <v>45880</v>
      </c>
      <c r="D620" t="inlineStr">
        <is>
          <t>JÄMTLANDS LÄN</t>
        </is>
      </c>
      <c r="E620" t="inlineStr">
        <is>
          <t>RAGUNDA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53263-2024</t>
        </is>
      </c>
      <c r="B621" s="1" t="n">
        <v>45614.34541666666</v>
      </c>
      <c r="C621" s="1" t="n">
        <v>45880</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58630-2024</t>
        </is>
      </c>
      <c r="B622" s="1" t="n">
        <v>45635.57331018519</v>
      </c>
      <c r="C622" s="1" t="n">
        <v>45880</v>
      </c>
      <c r="D622" t="inlineStr">
        <is>
          <t>JÄMTLANDS LÄN</t>
        </is>
      </c>
      <c r="E622" t="inlineStr">
        <is>
          <t>RAGUNDA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14896-2022</t>
        </is>
      </c>
      <c r="B623" s="1" t="n">
        <v>44656</v>
      </c>
      <c r="C623" s="1" t="n">
        <v>45880</v>
      </c>
      <c r="D623" t="inlineStr">
        <is>
          <t>JÄMTLANDS LÄN</t>
        </is>
      </c>
      <c r="E623" t="inlineStr">
        <is>
          <t>RAGUNDA</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11551-2024</t>
        </is>
      </c>
      <c r="B624" s="1" t="n">
        <v>45372.95762731481</v>
      </c>
      <c r="C624" s="1" t="n">
        <v>45880</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11557-2023</t>
        </is>
      </c>
      <c r="B625" s="1" t="n">
        <v>44993.94950231481</v>
      </c>
      <c r="C625" s="1" t="n">
        <v>45880</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11562-2023</t>
        </is>
      </c>
      <c r="B626" s="1" t="n">
        <v>44993</v>
      </c>
      <c r="C626" s="1" t="n">
        <v>45880</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21332-2025</t>
        </is>
      </c>
      <c r="B627" s="1" t="n">
        <v>45782.36506944444</v>
      </c>
      <c r="C627" s="1" t="n">
        <v>45880</v>
      </c>
      <c r="D627" t="inlineStr">
        <is>
          <t>JÄMTLANDS LÄN</t>
        </is>
      </c>
      <c r="E627" t="inlineStr">
        <is>
          <t>RAGUNDA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21430-2025</t>
        </is>
      </c>
      <c r="B628" s="1" t="n">
        <v>45782.51099537037</v>
      </c>
      <c r="C628" s="1" t="n">
        <v>45880</v>
      </c>
      <c r="D628" t="inlineStr">
        <is>
          <t>JÄMTLANDS LÄN</t>
        </is>
      </c>
      <c r="E628" t="inlineStr">
        <is>
          <t>RAGUNDA</t>
        </is>
      </c>
      <c r="F628" t="inlineStr">
        <is>
          <t>SCA</t>
        </is>
      </c>
      <c r="G628" t="n">
        <v>7.1</v>
      </c>
      <c r="H628" t="n">
        <v>0</v>
      </c>
      <c r="I628" t="n">
        <v>0</v>
      </c>
      <c r="J628" t="n">
        <v>0</v>
      </c>
      <c r="K628" t="n">
        <v>0</v>
      </c>
      <c r="L628" t="n">
        <v>0</v>
      </c>
      <c r="M628" t="n">
        <v>0</v>
      </c>
      <c r="N628" t="n">
        <v>0</v>
      </c>
      <c r="O628" t="n">
        <v>0</v>
      </c>
      <c r="P628" t="n">
        <v>0</v>
      </c>
      <c r="Q628" t="n">
        <v>0</v>
      </c>
      <c r="R628" s="2" t="inlineStr"/>
    </row>
    <row r="629" ht="15" customHeight="1">
      <c r="A629" t="inlineStr">
        <is>
          <t>A 57839-2022</t>
        </is>
      </c>
      <c r="B629" s="1" t="n">
        <v>44897</v>
      </c>
      <c r="C629" s="1" t="n">
        <v>45880</v>
      </c>
      <c r="D629" t="inlineStr">
        <is>
          <t>JÄMTLANDS LÄN</t>
        </is>
      </c>
      <c r="E629" t="inlineStr">
        <is>
          <t>RAGUNDA</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21372-2025</t>
        </is>
      </c>
      <c r="B630" s="1" t="n">
        <v>45782.44871527778</v>
      </c>
      <c r="C630" s="1" t="n">
        <v>45880</v>
      </c>
      <c r="D630" t="inlineStr">
        <is>
          <t>JÄMTLANDS LÄN</t>
        </is>
      </c>
      <c r="E630" t="inlineStr">
        <is>
          <t>RAGUNDA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21245-2025</t>
        </is>
      </c>
      <c r="B631" s="1" t="n">
        <v>45779.57350694444</v>
      </c>
      <c r="C631" s="1" t="n">
        <v>45880</v>
      </c>
      <c r="D631" t="inlineStr">
        <is>
          <t>JÄMTLANDS LÄN</t>
        </is>
      </c>
      <c r="E631" t="inlineStr">
        <is>
          <t>RAGUNDA</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21248-2025</t>
        </is>
      </c>
      <c r="B632" s="1" t="n">
        <v>45779.57392361111</v>
      </c>
      <c r="C632" s="1" t="n">
        <v>45880</v>
      </c>
      <c r="D632" t="inlineStr">
        <is>
          <t>JÄMTLANDS LÄN</t>
        </is>
      </c>
      <c r="E632" t="inlineStr">
        <is>
          <t>RAGUNDA</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60663-2022</t>
        </is>
      </c>
      <c r="B633" s="1" t="n">
        <v>44911.93846064815</v>
      </c>
      <c r="C633" s="1" t="n">
        <v>45880</v>
      </c>
      <c r="D633" t="inlineStr">
        <is>
          <t>JÄMTLANDS LÄN</t>
        </is>
      </c>
      <c r="E633" t="inlineStr">
        <is>
          <t>RAGUNDA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21405-2025</t>
        </is>
      </c>
      <c r="B634" s="1" t="n">
        <v>45782.49032407408</v>
      </c>
      <c r="C634" s="1" t="n">
        <v>45880</v>
      </c>
      <c r="D634" t="inlineStr">
        <is>
          <t>JÄMTLANDS LÄN</t>
        </is>
      </c>
      <c r="E634" t="inlineStr">
        <is>
          <t>RAGUNDA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21406-2025</t>
        </is>
      </c>
      <c r="B635" s="1" t="n">
        <v>45782.49046296296</v>
      </c>
      <c r="C635" s="1" t="n">
        <v>45880</v>
      </c>
      <c r="D635" t="inlineStr">
        <is>
          <t>JÄMTLANDS LÄN</t>
        </is>
      </c>
      <c r="E635" t="inlineStr">
        <is>
          <t>RAGUNDA</t>
        </is>
      </c>
      <c r="F635" t="inlineStr">
        <is>
          <t>SCA</t>
        </is>
      </c>
      <c r="G635" t="n">
        <v>8.6</v>
      </c>
      <c r="H635" t="n">
        <v>0</v>
      </c>
      <c r="I635" t="n">
        <v>0</v>
      </c>
      <c r="J635" t="n">
        <v>0</v>
      </c>
      <c r="K635" t="n">
        <v>0</v>
      </c>
      <c r="L635" t="n">
        <v>0</v>
      </c>
      <c r="M635" t="n">
        <v>0</v>
      </c>
      <c r="N635" t="n">
        <v>0</v>
      </c>
      <c r="O635" t="n">
        <v>0</v>
      </c>
      <c r="P635" t="n">
        <v>0</v>
      </c>
      <c r="Q635" t="n">
        <v>0</v>
      </c>
      <c r="R635" s="2" t="inlineStr"/>
    </row>
    <row r="636" ht="15" customHeight="1">
      <c r="A636" t="inlineStr">
        <is>
          <t>A 21432-2025</t>
        </is>
      </c>
      <c r="B636" s="1" t="n">
        <v>45782.51109953703</v>
      </c>
      <c r="C636" s="1" t="n">
        <v>45880</v>
      </c>
      <c r="D636" t="inlineStr">
        <is>
          <t>JÄMTLANDS LÄN</t>
        </is>
      </c>
      <c r="E636" t="inlineStr">
        <is>
          <t>RAGUNDA</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45782.67758101852</v>
      </c>
      <c r="C637" s="1" t="n">
        <v>45880</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45782.55287037037</v>
      </c>
      <c r="C638" s="1" t="n">
        <v>45880</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21150-2025</t>
        </is>
      </c>
      <c r="B639" s="1" t="n">
        <v>45779.34417824074</v>
      </c>
      <c r="C639" s="1" t="n">
        <v>45880</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21177-2025</t>
        </is>
      </c>
      <c r="B640" s="1" t="n">
        <v>45779.4281712963</v>
      </c>
      <c r="C640" s="1" t="n">
        <v>45880</v>
      </c>
      <c r="D640" t="inlineStr">
        <is>
          <t>JÄMTLANDS LÄN</t>
        </is>
      </c>
      <c r="E640" t="inlineStr">
        <is>
          <t>RAGUNDA</t>
        </is>
      </c>
      <c r="F640" t="inlineStr">
        <is>
          <t>SCA</t>
        </is>
      </c>
      <c r="G640" t="n">
        <v>16.1</v>
      </c>
      <c r="H640" t="n">
        <v>0</v>
      </c>
      <c r="I640" t="n">
        <v>0</v>
      </c>
      <c r="J640" t="n">
        <v>0</v>
      </c>
      <c r="K640" t="n">
        <v>0</v>
      </c>
      <c r="L640" t="n">
        <v>0</v>
      </c>
      <c r="M640" t="n">
        <v>0</v>
      </c>
      <c r="N640" t="n">
        <v>0</v>
      </c>
      <c r="O640" t="n">
        <v>0</v>
      </c>
      <c r="P640" t="n">
        <v>0</v>
      </c>
      <c r="Q640" t="n">
        <v>0</v>
      </c>
      <c r="R640" s="2" t="inlineStr"/>
    </row>
    <row r="641" ht="15" customHeight="1">
      <c r="A641" t="inlineStr">
        <is>
          <t>A 21331-2025</t>
        </is>
      </c>
      <c r="B641" s="1" t="n">
        <v>45782.36494212963</v>
      </c>
      <c r="C641" s="1" t="n">
        <v>45880</v>
      </c>
      <c r="D641" t="inlineStr">
        <is>
          <t>JÄMTLANDS LÄN</t>
        </is>
      </c>
      <c r="E641" t="inlineStr">
        <is>
          <t>RAGUNDA</t>
        </is>
      </c>
      <c r="F641" t="inlineStr">
        <is>
          <t>SCA</t>
        </is>
      </c>
      <c r="G641" t="n">
        <v>23.1</v>
      </c>
      <c r="H641" t="n">
        <v>0</v>
      </c>
      <c r="I641" t="n">
        <v>0</v>
      </c>
      <c r="J641" t="n">
        <v>0</v>
      </c>
      <c r="K641" t="n">
        <v>0</v>
      </c>
      <c r="L641" t="n">
        <v>0</v>
      </c>
      <c r="M641" t="n">
        <v>0</v>
      </c>
      <c r="N641" t="n">
        <v>0</v>
      </c>
      <c r="O641" t="n">
        <v>0</v>
      </c>
      <c r="P641" t="n">
        <v>0</v>
      </c>
      <c r="Q641" t="n">
        <v>0</v>
      </c>
      <c r="R641" s="2" t="inlineStr"/>
    </row>
    <row r="642" ht="15" customHeight="1">
      <c r="A642" t="inlineStr">
        <is>
          <t>A 21214-2025</t>
        </is>
      </c>
      <c r="B642" s="1" t="n">
        <v>45779.49025462963</v>
      </c>
      <c r="C642" s="1" t="n">
        <v>45880</v>
      </c>
      <c r="D642" t="inlineStr">
        <is>
          <t>JÄMTLANDS LÄN</t>
        </is>
      </c>
      <c r="E642" t="inlineStr">
        <is>
          <t>RAGUNDA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22941-2024</t>
        </is>
      </c>
      <c r="B643" s="1" t="n">
        <v>45448.94520833333</v>
      </c>
      <c r="C643" s="1" t="n">
        <v>45880</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5175-2023</t>
        </is>
      </c>
      <c r="B644" s="1" t="n">
        <v>44958.94298611111</v>
      </c>
      <c r="C644" s="1" t="n">
        <v>45880</v>
      </c>
      <c r="D644" t="inlineStr">
        <is>
          <t>JÄMTLANDS LÄN</t>
        </is>
      </c>
      <c r="E644" t="inlineStr">
        <is>
          <t>RAGUNDA</t>
        </is>
      </c>
      <c r="F644" t="inlineStr">
        <is>
          <t>SCA</t>
        </is>
      </c>
      <c r="G644" t="n">
        <v>17.9</v>
      </c>
      <c r="H644" t="n">
        <v>0</v>
      </c>
      <c r="I644" t="n">
        <v>0</v>
      </c>
      <c r="J644" t="n">
        <v>0</v>
      </c>
      <c r="K644" t="n">
        <v>0</v>
      </c>
      <c r="L644" t="n">
        <v>0</v>
      </c>
      <c r="M644" t="n">
        <v>0</v>
      </c>
      <c r="N644" t="n">
        <v>0</v>
      </c>
      <c r="O644" t="n">
        <v>0</v>
      </c>
      <c r="P644" t="n">
        <v>0</v>
      </c>
      <c r="Q644" t="n">
        <v>0</v>
      </c>
      <c r="R644" s="2" t="inlineStr"/>
    </row>
    <row r="645" ht="15" customHeight="1">
      <c r="A645" t="inlineStr">
        <is>
          <t>A 30053-2024</t>
        </is>
      </c>
      <c r="B645" s="1" t="n">
        <v>45488.94747685185</v>
      </c>
      <c r="C645" s="1" t="n">
        <v>45880</v>
      </c>
      <c r="D645" t="inlineStr">
        <is>
          <t>JÄMTLANDS LÄN</t>
        </is>
      </c>
      <c r="E645" t="inlineStr">
        <is>
          <t>RAGUNDA</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52345-2024</t>
        </is>
      </c>
      <c r="B646" s="1" t="n">
        <v>45609.34412037037</v>
      </c>
      <c r="C646" s="1" t="n">
        <v>45880</v>
      </c>
      <c r="D646" t="inlineStr">
        <is>
          <t>JÄMTLANDS LÄN</t>
        </is>
      </c>
      <c r="E646" t="inlineStr">
        <is>
          <t>RAGUNDA</t>
        </is>
      </c>
      <c r="F646" t="inlineStr">
        <is>
          <t>SCA</t>
        </is>
      </c>
      <c r="G646" t="n">
        <v>10.3</v>
      </c>
      <c r="H646" t="n">
        <v>0</v>
      </c>
      <c r="I646" t="n">
        <v>0</v>
      </c>
      <c r="J646" t="n">
        <v>0</v>
      </c>
      <c r="K646" t="n">
        <v>0</v>
      </c>
      <c r="L646" t="n">
        <v>0</v>
      </c>
      <c r="M646" t="n">
        <v>0</v>
      </c>
      <c r="N646" t="n">
        <v>0</v>
      </c>
      <c r="O646" t="n">
        <v>0</v>
      </c>
      <c r="P646" t="n">
        <v>0</v>
      </c>
      <c r="Q646" t="n">
        <v>0</v>
      </c>
      <c r="R646" s="2" t="inlineStr"/>
    </row>
    <row r="647" ht="15" customHeight="1">
      <c r="A647" t="inlineStr">
        <is>
          <t>A 59496-2024</t>
        </is>
      </c>
      <c r="B647" s="1" t="n">
        <v>45638</v>
      </c>
      <c r="C647" s="1" t="n">
        <v>45880</v>
      </c>
      <c r="D647" t="inlineStr">
        <is>
          <t>JÄMTLANDS LÄN</t>
        </is>
      </c>
      <c r="E647" t="inlineStr">
        <is>
          <t>RAGUNDA</t>
        </is>
      </c>
      <c r="G647" t="n">
        <v>13.1</v>
      </c>
      <c r="H647" t="n">
        <v>0</v>
      </c>
      <c r="I647" t="n">
        <v>0</v>
      </c>
      <c r="J647" t="n">
        <v>0</v>
      </c>
      <c r="K647" t="n">
        <v>0</v>
      </c>
      <c r="L647" t="n">
        <v>0</v>
      </c>
      <c r="M647" t="n">
        <v>0</v>
      </c>
      <c r="N647" t="n">
        <v>0</v>
      </c>
      <c r="O647" t="n">
        <v>0</v>
      </c>
      <c r="P647" t="n">
        <v>0</v>
      </c>
      <c r="Q647" t="n">
        <v>0</v>
      </c>
      <c r="R647" s="2" t="inlineStr"/>
    </row>
    <row r="648" ht="15" customHeight="1">
      <c r="A648" t="inlineStr">
        <is>
          <t>A 44881-2023</t>
        </is>
      </c>
      <c r="B648" s="1" t="n">
        <v>45187</v>
      </c>
      <c r="C648" s="1" t="n">
        <v>45880</v>
      </c>
      <c r="D648" t="inlineStr">
        <is>
          <t>JÄMTLANDS LÄN</t>
        </is>
      </c>
      <c r="E648" t="inlineStr">
        <is>
          <t>RAGUNDA</t>
        </is>
      </c>
      <c r="G648" t="n">
        <v>2.4</v>
      </c>
      <c r="H648" t="n">
        <v>0</v>
      </c>
      <c r="I648" t="n">
        <v>0</v>
      </c>
      <c r="J648" t="n">
        <v>0</v>
      </c>
      <c r="K648" t="n">
        <v>0</v>
      </c>
      <c r="L648" t="n">
        <v>0</v>
      </c>
      <c r="M648" t="n">
        <v>0</v>
      </c>
      <c r="N648" t="n">
        <v>0</v>
      </c>
      <c r="O648" t="n">
        <v>0</v>
      </c>
      <c r="P648" t="n">
        <v>0</v>
      </c>
      <c r="Q648" t="n">
        <v>0</v>
      </c>
      <c r="R648" s="2" t="inlineStr"/>
    </row>
    <row r="649" ht="15" customHeight="1">
      <c r="A649" t="inlineStr">
        <is>
          <t>A 37265-2024</t>
        </is>
      </c>
      <c r="B649" s="1" t="n">
        <v>45540.38564814815</v>
      </c>
      <c r="C649" s="1" t="n">
        <v>45880</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41343-2024</t>
        </is>
      </c>
      <c r="B650" s="1" t="n">
        <v>45559.67745370371</v>
      </c>
      <c r="C650" s="1" t="n">
        <v>45880</v>
      </c>
      <c r="D650" t="inlineStr">
        <is>
          <t>JÄMTLANDS LÄN</t>
        </is>
      </c>
      <c r="E650" t="inlineStr">
        <is>
          <t>RAGUNDA</t>
        </is>
      </c>
      <c r="F650" t="inlineStr">
        <is>
          <t>SCA</t>
        </is>
      </c>
      <c r="G650" t="n">
        <v>25.1</v>
      </c>
      <c r="H650" t="n">
        <v>0</v>
      </c>
      <c r="I650" t="n">
        <v>0</v>
      </c>
      <c r="J650" t="n">
        <v>0</v>
      </c>
      <c r="K650" t="n">
        <v>0</v>
      </c>
      <c r="L650" t="n">
        <v>0</v>
      </c>
      <c r="M650" t="n">
        <v>0</v>
      </c>
      <c r="N650" t="n">
        <v>0</v>
      </c>
      <c r="O650" t="n">
        <v>0</v>
      </c>
      <c r="P650" t="n">
        <v>0</v>
      </c>
      <c r="Q650" t="n">
        <v>0</v>
      </c>
      <c r="R650" s="2" t="inlineStr"/>
    </row>
    <row r="651" ht="15" customHeight="1">
      <c r="A651" t="inlineStr">
        <is>
          <t>A 18612-2024</t>
        </is>
      </c>
      <c r="B651" s="1" t="n">
        <v>45425.96239583333</v>
      </c>
      <c r="C651" s="1" t="n">
        <v>45880</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48249-2024</t>
        </is>
      </c>
      <c r="B652" s="1" t="n">
        <v>45590.40675925926</v>
      </c>
      <c r="C652" s="1" t="n">
        <v>45880</v>
      </c>
      <c r="D652" t="inlineStr">
        <is>
          <t>JÄMTLANDS LÄN</t>
        </is>
      </c>
      <c r="E652" t="inlineStr">
        <is>
          <t>RAGUNDA</t>
        </is>
      </c>
      <c r="F652" t="inlineStr">
        <is>
          <t>SCA</t>
        </is>
      </c>
      <c r="G652" t="n">
        <v>14.4</v>
      </c>
      <c r="H652" t="n">
        <v>0</v>
      </c>
      <c r="I652" t="n">
        <v>0</v>
      </c>
      <c r="J652" t="n">
        <v>0</v>
      </c>
      <c r="K652" t="n">
        <v>0</v>
      </c>
      <c r="L652" t="n">
        <v>0</v>
      </c>
      <c r="M652" t="n">
        <v>0</v>
      </c>
      <c r="N652" t="n">
        <v>0</v>
      </c>
      <c r="O652" t="n">
        <v>0</v>
      </c>
      <c r="P652" t="n">
        <v>0</v>
      </c>
      <c r="Q652" t="n">
        <v>0</v>
      </c>
      <c r="R652" s="2" t="inlineStr"/>
    </row>
    <row r="653" ht="15" customHeight="1">
      <c r="A653" t="inlineStr">
        <is>
          <t>A 12039-2023</t>
        </is>
      </c>
      <c r="B653" s="1" t="n">
        <v>44995.98341435185</v>
      </c>
      <c r="C653" s="1" t="n">
        <v>45880</v>
      </c>
      <c r="D653" t="inlineStr">
        <is>
          <t>JÄMTLANDS LÄN</t>
        </is>
      </c>
      <c r="E653" t="inlineStr">
        <is>
          <t>RAGUNDA</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12050-2023</t>
        </is>
      </c>
      <c r="B654" s="1" t="n">
        <v>44995.98644675926</v>
      </c>
      <c r="C654" s="1" t="n">
        <v>45880</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2751-2024</t>
        </is>
      </c>
      <c r="B655" s="1" t="n">
        <v>45314</v>
      </c>
      <c r="C655" s="1" t="n">
        <v>45880</v>
      </c>
      <c r="D655" t="inlineStr">
        <is>
          <t>JÄMTLANDS LÄN</t>
        </is>
      </c>
      <c r="E655" t="inlineStr">
        <is>
          <t>RAGUNDA</t>
        </is>
      </c>
      <c r="G655" t="n">
        <v>1.8</v>
      </c>
      <c r="H655" t="n">
        <v>0</v>
      </c>
      <c r="I655" t="n">
        <v>0</v>
      </c>
      <c r="J655" t="n">
        <v>0</v>
      </c>
      <c r="K655" t="n">
        <v>0</v>
      </c>
      <c r="L655" t="n">
        <v>0</v>
      </c>
      <c r="M655" t="n">
        <v>0</v>
      </c>
      <c r="N655" t="n">
        <v>0</v>
      </c>
      <c r="O655" t="n">
        <v>0</v>
      </c>
      <c r="P655" t="n">
        <v>0</v>
      </c>
      <c r="Q655" t="n">
        <v>0</v>
      </c>
      <c r="R655" s="2" t="inlineStr"/>
    </row>
    <row r="656" ht="15" customHeight="1">
      <c r="A656" t="inlineStr">
        <is>
          <t>A 36986-2023</t>
        </is>
      </c>
      <c r="B656" s="1" t="n">
        <v>45154.95525462963</v>
      </c>
      <c r="C656" s="1" t="n">
        <v>45880</v>
      </c>
      <c r="D656" t="inlineStr">
        <is>
          <t>JÄMTLANDS LÄN</t>
        </is>
      </c>
      <c r="E656" t="inlineStr">
        <is>
          <t>RAGUNDA</t>
        </is>
      </c>
      <c r="F656" t="inlineStr">
        <is>
          <t>SCA</t>
        </is>
      </c>
      <c r="G656" t="n">
        <v>0.2</v>
      </c>
      <c r="H656" t="n">
        <v>0</v>
      </c>
      <c r="I656" t="n">
        <v>0</v>
      </c>
      <c r="J656" t="n">
        <v>0</v>
      </c>
      <c r="K656" t="n">
        <v>0</v>
      </c>
      <c r="L656" t="n">
        <v>0</v>
      </c>
      <c r="M656" t="n">
        <v>0</v>
      </c>
      <c r="N656" t="n">
        <v>0</v>
      </c>
      <c r="O656" t="n">
        <v>0</v>
      </c>
      <c r="P656" t="n">
        <v>0</v>
      </c>
      <c r="Q656" t="n">
        <v>0</v>
      </c>
      <c r="R656" s="2" t="inlineStr"/>
    </row>
    <row r="657" ht="15" customHeight="1">
      <c r="A657" t="inlineStr">
        <is>
          <t>A 14368-2024</t>
        </is>
      </c>
      <c r="B657" s="1" t="n">
        <v>45393.94431712963</v>
      </c>
      <c r="C657" s="1" t="n">
        <v>45880</v>
      </c>
      <c r="D657" t="inlineStr">
        <is>
          <t>JÄMTLANDS LÄN</t>
        </is>
      </c>
      <c r="E657" t="inlineStr">
        <is>
          <t>RAGUNDA</t>
        </is>
      </c>
      <c r="F657" t="inlineStr">
        <is>
          <t>Naturvårdsverket</t>
        </is>
      </c>
      <c r="G657" t="n">
        <v>1.6</v>
      </c>
      <c r="H657" t="n">
        <v>0</v>
      </c>
      <c r="I657" t="n">
        <v>0</v>
      </c>
      <c r="J657" t="n">
        <v>0</v>
      </c>
      <c r="K657" t="n">
        <v>0</v>
      </c>
      <c r="L657" t="n">
        <v>0</v>
      </c>
      <c r="M657" t="n">
        <v>0</v>
      </c>
      <c r="N657" t="n">
        <v>0</v>
      </c>
      <c r="O657" t="n">
        <v>0</v>
      </c>
      <c r="P657" t="n">
        <v>0</v>
      </c>
      <c r="Q657" t="n">
        <v>0</v>
      </c>
      <c r="R657" s="2" t="inlineStr"/>
    </row>
    <row r="658" ht="15" customHeight="1">
      <c r="A658" t="inlineStr">
        <is>
          <t>A 61934-2022</t>
        </is>
      </c>
      <c r="B658" s="1" t="n">
        <v>44917</v>
      </c>
      <c r="C658" s="1" t="n">
        <v>45880</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11558-2023</t>
        </is>
      </c>
      <c r="B659" s="1" t="n">
        <v>44993.94958333333</v>
      </c>
      <c r="C659" s="1" t="n">
        <v>45880</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18159-2023</t>
        </is>
      </c>
      <c r="B660" s="1" t="n">
        <v>45040.94277777777</v>
      </c>
      <c r="C660" s="1" t="n">
        <v>45880</v>
      </c>
      <c r="D660" t="inlineStr">
        <is>
          <t>JÄMTLANDS LÄN</t>
        </is>
      </c>
      <c r="E660" t="inlineStr">
        <is>
          <t>RAGUNDA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49648-2023</t>
        </is>
      </c>
      <c r="B661" s="1" t="n">
        <v>45211.95061342593</v>
      </c>
      <c r="C661" s="1" t="n">
        <v>45880</v>
      </c>
      <c r="D661" t="inlineStr">
        <is>
          <t>JÄMTLANDS LÄN</t>
        </is>
      </c>
      <c r="E661" t="inlineStr">
        <is>
          <t>RAGUNDA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58194-2022</t>
        </is>
      </c>
      <c r="B662" s="1" t="n">
        <v>44900</v>
      </c>
      <c r="C662" s="1" t="n">
        <v>45880</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42875-2024</t>
        </is>
      </c>
      <c r="B663" s="1" t="n">
        <v>45566.68125</v>
      </c>
      <c r="C663" s="1" t="n">
        <v>45880</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13700-2023</t>
        </is>
      </c>
      <c r="B664" s="1" t="n">
        <v>45006</v>
      </c>
      <c r="C664" s="1" t="n">
        <v>45880</v>
      </c>
      <c r="D664" t="inlineStr">
        <is>
          <t>JÄMTLANDS LÄN</t>
        </is>
      </c>
      <c r="E664" t="inlineStr">
        <is>
          <t>RAGUNDA</t>
        </is>
      </c>
      <c r="F664" t="inlineStr">
        <is>
          <t>SCA</t>
        </is>
      </c>
      <c r="G664" t="n">
        <v>50.3</v>
      </c>
      <c r="H664" t="n">
        <v>0</v>
      </c>
      <c r="I664" t="n">
        <v>0</v>
      </c>
      <c r="J664" t="n">
        <v>0</v>
      </c>
      <c r="K664" t="n">
        <v>0</v>
      </c>
      <c r="L664" t="n">
        <v>0</v>
      </c>
      <c r="M664" t="n">
        <v>0</v>
      </c>
      <c r="N664" t="n">
        <v>0</v>
      </c>
      <c r="O664" t="n">
        <v>0</v>
      </c>
      <c r="P664" t="n">
        <v>0</v>
      </c>
      <c r="Q664" t="n">
        <v>0</v>
      </c>
      <c r="R664" s="2" t="inlineStr"/>
    </row>
    <row r="665" ht="15" customHeight="1">
      <c r="A665" t="inlineStr">
        <is>
          <t>A 60629-2023</t>
        </is>
      </c>
      <c r="B665" s="1" t="n">
        <v>45259</v>
      </c>
      <c r="C665" s="1" t="n">
        <v>45880</v>
      </c>
      <c r="D665" t="inlineStr">
        <is>
          <t>JÄMTLANDS LÄN</t>
        </is>
      </c>
      <c r="E665" t="inlineStr">
        <is>
          <t>RAGUNDA</t>
        </is>
      </c>
      <c r="G665" t="n">
        <v>3.4</v>
      </c>
      <c r="H665" t="n">
        <v>0</v>
      </c>
      <c r="I665" t="n">
        <v>0</v>
      </c>
      <c r="J665" t="n">
        <v>0</v>
      </c>
      <c r="K665" t="n">
        <v>0</v>
      </c>
      <c r="L665" t="n">
        <v>0</v>
      </c>
      <c r="M665" t="n">
        <v>0</v>
      </c>
      <c r="N665" t="n">
        <v>0</v>
      </c>
      <c r="O665" t="n">
        <v>0</v>
      </c>
      <c r="P665" t="n">
        <v>0</v>
      </c>
      <c r="Q665" t="n">
        <v>0</v>
      </c>
      <c r="R665" s="2" t="inlineStr"/>
    </row>
    <row r="666" ht="15" customHeight="1">
      <c r="A666" t="inlineStr">
        <is>
          <t>A 44066-2024</t>
        </is>
      </c>
      <c r="B666" s="1" t="n">
        <v>45572.60363425926</v>
      </c>
      <c r="C666" s="1" t="n">
        <v>45880</v>
      </c>
      <c r="D666" t="inlineStr">
        <is>
          <t>JÄMTLANDS LÄN</t>
        </is>
      </c>
      <c r="E666" t="inlineStr">
        <is>
          <t>RAGUNDA</t>
        </is>
      </c>
      <c r="G666" t="n">
        <v>6.4</v>
      </c>
      <c r="H666" t="n">
        <v>0</v>
      </c>
      <c r="I666" t="n">
        <v>0</v>
      </c>
      <c r="J666" t="n">
        <v>0</v>
      </c>
      <c r="K666" t="n">
        <v>0</v>
      </c>
      <c r="L666" t="n">
        <v>0</v>
      </c>
      <c r="M666" t="n">
        <v>0</v>
      </c>
      <c r="N666" t="n">
        <v>0</v>
      </c>
      <c r="O666" t="n">
        <v>0</v>
      </c>
      <c r="P666" t="n">
        <v>0</v>
      </c>
      <c r="Q666" t="n">
        <v>0</v>
      </c>
      <c r="R666" s="2" t="inlineStr"/>
    </row>
    <row r="667" ht="15" customHeight="1">
      <c r="A667" t="inlineStr">
        <is>
          <t>A 15864-2024</t>
        </is>
      </c>
      <c r="B667" s="1" t="n">
        <v>45404.99792824074</v>
      </c>
      <c r="C667" s="1" t="n">
        <v>45880</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c r="U667">
        <f>HYPERLINK("https://klasma.github.io/Logging_2303/knärot/A 15864-2024 karta knärot.png", "A 15864-2024")</f>
        <v/>
      </c>
      <c r="V667">
        <f>HYPERLINK("https://klasma.github.io/Logging_2303/klagomål/A 15864-2024 FSC-klagomål.docx", "A 15864-2024")</f>
        <v/>
      </c>
      <c r="W667">
        <f>HYPERLINK("https://klasma.github.io/Logging_2303/klagomålsmail/A 15864-2024 FSC-klagomål mail.docx", "A 15864-2024")</f>
        <v/>
      </c>
      <c r="X667">
        <f>HYPERLINK("https://klasma.github.io/Logging_2303/tillsyn/A 15864-2024 tillsynsbegäran.docx", "A 15864-2024")</f>
        <v/>
      </c>
      <c r="Y667">
        <f>HYPERLINK("https://klasma.github.io/Logging_2303/tillsynsmail/A 15864-2024 tillsynsbegäran mail.docx", "A 15864-2024")</f>
        <v/>
      </c>
    </row>
    <row r="668" ht="15" customHeight="1">
      <c r="A668" t="inlineStr">
        <is>
          <t>A 57889-2024</t>
        </is>
      </c>
      <c r="B668" s="1" t="n">
        <v>45631.46665509259</v>
      </c>
      <c r="C668" s="1" t="n">
        <v>45880</v>
      </c>
      <c r="D668" t="inlineStr">
        <is>
          <t>JÄMTLANDS LÄN</t>
        </is>
      </c>
      <c r="E668" t="inlineStr">
        <is>
          <t>RAGUNDA</t>
        </is>
      </c>
      <c r="G668" t="n">
        <v>11.1</v>
      </c>
      <c r="H668" t="n">
        <v>0</v>
      </c>
      <c r="I668" t="n">
        <v>0</v>
      </c>
      <c r="J668" t="n">
        <v>0</v>
      </c>
      <c r="K668" t="n">
        <v>0</v>
      </c>
      <c r="L668" t="n">
        <v>0</v>
      </c>
      <c r="M668" t="n">
        <v>0</v>
      </c>
      <c r="N668" t="n">
        <v>0</v>
      </c>
      <c r="O668" t="n">
        <v>0</v>
      </c>
      <c r="P668" t="n">
        <v>0</v>
      </c>
      <c r="Q668" t="n">
        <v>0</v>
      </c>
      <c r="R668" s="2" t="inlineStr"/>
    </row>
    <row r="669" ht="15" customHeight="1">
      <c r="A669" t="inlineStr">
        <is>
          <t>A 37543-2023</t>
        </is>
      </c>
      <c r="B669" s="1" t="n">
        <v>45158.94231481481</v>
      </c>
      <c r="C669" s="1" t="n">
        <v>45880</v>
      </c>
      <c r="D669" t="inlineStr">
        <is>
          <t>JÄMTLANDS LÄN</t>
        </is>
      </c>
      <c r="E669" t="inlineStr">
        <is>
          <t>RAGUNDA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4015-2022</t>
        </is>
      </c>
      <c r="B670" s="1" t="n">
        <v>44587.92149305555</v>
      </c>
      <c r="C670" s="1" t="n">
        <v>45880</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2599-2023</t>
        </is>
      </c>
      <c r="B671" s="1" t="n">
        <v>44943.94802083333</v>
      </c>
      <c r="C671" s="1" t="n">
        <v>45880</v>
      </c>
      <c r="D671" t="inlineStr">
        <is>
          <t>JÄMTLANDS LÄN</t>
        </is>
      </c>
      <c r="E671" t="inlineStr">
        <is>
          <t>RAGUNDA</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59044-2022</t>
        </is>
      </c>
      <c r="B672" s="1" t="n">
        <v>44903</v>
      </c>
      <c r="C672" s="1" t="n">
        <v>45880</v>
      </c>
      <c r="D672" t="inlineStr">
        <is>
          <t>JÄMTLANDS LÄN</t>
        </is>
      </c>
      <c r="E672" t="inlineStr">
        <is>
          <t>RAGUNDA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22388-2025</t>
        </is>
      </c>
      <c r="B673" s="1" t="n">
        <v>45786.51077546296</v>
      </c>
      <c r="C673" s="1" t="n">
        <v>45880</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53171-2024</t>
        </is>
      </c>
      <c r="B674" s="1" t="n">
        <v>45611.65679398148</v>
      </c>
      <c r="C674" s="1" t="n">
        <v>45880</v>
      </c>
      <c r="D674" t="inlineStr">
        <is>
          <t>JÄMTLANDS LÄN</t>
        </is>
      </c>
      <c r="E674" t="inlineStr">
        <is>
          <t>RAGUNDA</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4014-2022</t>
        </is>
      </c>
      <c r="B675" s="1" t="n">
        <v>44587.92144675926</v>
      </c>
      <c r="C675" s="1" t="n">
        <v>45880</v>
      </c>
      <c r="D675" t="inlineStr">
        <is>
          <t>JÄMTLANDS LÄN</t>
        </is>
      </c>
      <c r="E675" t="inlineStr">
        <is>
          <t>RAGUNDA</t>
        </is>
      </c>
      <c r="G675" t="n">
        <v>3.6</v>
      </c>
      <c r="H675" t="n">
        <v>0</v>
      </c>
      <c r="I675" t="n">
        <v>0</v>
      </c>
      <c r="J675" t="n">
        <v>0</v>
      </c>
      <c r="K675" t="n">
        <v>0</v>
      </c>
      <c r="L675" t="n">
        <v>0</v>
      </c>
      <c r="M675" t="n">
        <v>0</v>
      </c>
      <c r="N675" t="n">
        <v>0</v>
      </c>
      <c r="O675" t="n">
        <v>0</v>
      </c>
      <c r="P675" t="n">
        <v>0</v>
      </c>
      <c r="Q675" t="n">
        <v>0</v>
      </c>
      <c r="R675" s="2" t="inlineStr"/>
    </row>
    <row r="676" ht="15" customHeight="1">
      <c r="A676" t="inlineStr">
        <is>
          <t>A 8243-2024</t>
        </is>
      </c>
      <c r="B676" s="1" t="n">
        <v>45351.98532407408</v>
      </c>
      <c r="C676" s="1" t="n">
        <v>45880</v>
      </c>
      <c r="D676" t="inlineStr">
        <is>
          <t>JÄMTLANDS LÄN</t>
        </is>
      </c>
      <c r="E676" t="inlineStr">
        <is>
          <t>RAGUNDA</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1523-2024</t>
        </is>
      </c>
      <c r="B677" s="1" t="n">
        <v>45306</v>
      </c>
      <c r="C677" s="1" t="n">
        <v>45880</v>
      </c>
      <c r="D677" t="inlineStr">
        <is>
          <t>JÄMTLANDS LÄN</t>
        </is>
      </c>
      <c r="E677" t="inlineStr">
        <is>
          <t>RAGUNDA</t>
        </is>
      </c>
      <c r="G677" t="n">
        <v>4.1</v>
      </c>
      <c r="H677" t="n">
        <v>0</v>
      </c>
      <c r="I677" t="n">
        <v>0</v>
      </c>
      <c r="J677" t="n">
        <v>0</v>
      </c>
      <c r="K677" t="n">
        <v>0</v>
      </c>
      <c r="L677" t="n">
        <v>0</v>
      </c>
      <c r="M677" t="n">
        <v>0</v>
      </c>
      <c r="N677" t="n">
        <v>0</v>
      </c>
      <c r="O677" t="n">
        <v>0</v>
      </c>
      <c r="P677" t="n">
        <v>0</v>
      </c>
      <c r="Q677" t="n">
        <v>0</v>
      </c>
      <c r="R677" s="2" t="inlineStr"/>
    </row>
    <row r="678" ht="15" customHeight="1">
      <c r="A678" t="inlineStr">
        <is>
          <t>A 6902-2024</t>
        </is>
      </c>
      <c r="B678" s="1" t="n">
        <v>45342</v>
      </c>
      <c r="C678" s="1" t="n">
        <v>45880</v>
      </c>
      <c r="D678" t="inlineStr">
        <is>
          <t>JÄMTLANDS LÄN</t>
        </is>
      </c>
      <c r="E678" t="inlineStr">
        <is>
          <t>RAGUNDA</t>
        </is>
      </c>
      <c r="F678" t="inlineStr">
        <is>
          <t>SCA</t>
        </is>
      </c>
      <c r="G678" t="n">
        <v>18.7</v>
      </c>
      <c r="H678" t="n">
        <v>0</v>
      </c>
      <c r="I678" t="n">
        <v>0</v>
      </c>
      <c r="J678" t="n">
        <v>0</v>
      </c>
      <c r="K678" t="n">
        <v>0</v>
      </c>
      <c r="L678" t="n">
        <v>0</v>
      </c>
      <c r="M678" t="n">
        <v>0</v>
      </c>
      <c r="N678" t="n">
        <v>0</v>
      </c>
      <c r="O678" t="n">
        <v>0</v>
      </c>
      <c r="P678" t="n">
        <v>0</v>
      </c>
      <c r="Q678" t="n">
        <v>0</v>
      </c>
      <c r="R678" s="2" t="inlineStr"/>
    </row>
    <row r="679" ht="15" customHeight="1">
      <c r="A679" t="inlineStr">
        <is>
          <t>A 64265-2023</t>
        </is>
      </c>
      <c r="B679" s="1" t="n">
        <v>45279.94572916667</v>
      </c>
      <c r="C679" s="1" t="n">
        <v>45880</v>
      </c>
      <c r="D679" t="inlineStr">
        <is>
          <t>JÄMTLANDS LÄN</t>
        </is>
      </c>
      <c r="E679" t="inlineStr">
        <is>
          <t>RAGUNDA</t>
        </is>
      </c>
      <c r="F679" t="inlineStr">
        <is>
          <t>SCA</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6905-2024</t>
        </is>
      </c>
      <c r="B680" s="1" t="n">
        <v>45342.9462037037</v>
      </c>
      <c r="C680" s="1" t="n">
        <v>45880</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44605-2024</t>
        </is>
      </c>
      <c r="B681" s="1" t="n">
        <v>45574.51185185185</v>
      </c>
      <c r="C681" s="1" t="n">
        <v>45880</v>
      </c>
      <c r="D681" t="inlineStr">
        <is>
          <t>JÄMTLANDS LÄN</t>
        </is>
      </c>
      <c r="E681" t="inlineStr">
        <is>
          <t>RAGUNDA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19438-2023</t>
        </is>
      </c>
      <c r="B682" s="1" t="n">
        <v>45049</v>
      </c>
      <c r="C682" s="1" t="n">
        <v>45880</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53989-2024</t>
        </is>
      </c>
      <c r="B683" s="1" t="n">
        <v>45616.34479166667</v>
      </c>
      <c r="C683" s="1" t="n">
        <v>45880</v>
      </c>
      <c r="D683" t="inlineStr">
        <is>
          <t>JÄMTLANDS LÄN</t>
        </is>
      </c>
      <c r="E683" t="inlineStr">
        <is>
          <t>RAGUNDA</t>
        </is>
      </c>
      <c r="F683" t="inlineStr">
        <is>
          <t>SCA</t>
        </is>
      </c>
      <c r="G683" t="n">
        <v>7.2</v>
      </c>
      <c r="H683" t="n">
        <v>0</v>
      </c>
      <c r="I683" t="n">
        <v>0</v>
      </c>
      <c r="J683" t="n">
        <v>0</v>
      </c>
      <c r="K683" t="n">
        <v>0</v>
      </c>
      <c r="L683" t="n">
        <v>0</v>
      </c>
      <c r="M683" t="n">
        <v>0</v>
      </c>
      <c r="N683" t="n">
        <v>0</v>
      </c>
      <c r="O683" t="n">
        <v>0</v>
      </c>
      <c r="P683" t="n">
        <v>0</v>
      </c>
      <c r="Q683" t="n">
        <v>0</v>
      </c>
      <c r="R683" s="2" t="inlineStr"/>
    </row>
    <row r="684" ht="15" customHeight="1">
      <c r="A684" t="inlineStr">
        <is>
          <t>A 42509-2023</t>
        </is>
      </c>
      <c r="B684" s="1" t="n">
        <v>45180</v>
      </c>
      <c r="C684" s="1" t="n">
        <v>45880</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42510-2023</t>
        </is>
      </c>
      <c r="B685" s="1" t="n">
        <v>45180.95927083334</v>
      </c>
      <c r="C685" s="1" t="n">
        <v>45880</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11048-2023</t>
        </is>
      </c>
      <c r="B686" s="1" t="n">
        <v>44991</v>
      </c>
      <c r="C686" s="1" t="n">
        <v>45880</v>
      </c>
      <c r="D686" t="inlineStr">
        <is>
          <t>JÄMTLANDS LÄN</t>
        </is>
      </c>
      <c r="E686" t="inlineStr">
        <is>
          <t>RAGUNDA</t>
        </is>
      </c>
      <c r="F686" t="inlineStr">
        <is>
          <t>SCA</t>
        </is>
      </c>
      <c r="G686" t="n">
        <v>13.5</v>
      </c>
      <c r="H686" t="n">
        <v>0</v>
      </c>
      <c r="I686" t="n">
        <v>0</v>
      </c>
      <c r="J686" t="n">
        <v>0</v>
      </c>
      <c r="K686" t="n">
        <v>0</v>
      </c>
      <c r="L686" t="n">
        <v>0</v>
      </c>
      <c r="M686" t="n">
        <v>0</v>
      </c>
      <c r="N686" t="n">
        <v>0</v>
      </c>
      <c r="O686" t="n">
        <v>0</v>
      </c>
      <c r="P686" t="n">
        <v>0</v>
      </c>
      <c r="Q686" t="n">
        <v>0</v>
      </c>
      <c r="R686" s="2" t="inlineStr"/>
    </row>
    <row r="687" ht="15" customHeight="1">
      <c r="A687" t="inlineStr">
        <is>
          <t>A 61088-2020</t>
        </is>
      </c>
      <c r="B687" s="1" t="n">
        <v>44153</v>
      </c>
      <c r="C687" s="1" t="n">
        <v>45880</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16364-2023</t>
        </is>
      </c>
      <c r="B688" s="1" t="n">
        <v>45028</v>
      </c>
      <c r="C688" s="1" t="n">
        <v>45880</v>
      </c>
      <c r="D688" t="inlineStr">
        <is>
          <t>JÄMTLANDS LÄN</t>
        </is>
      </c>
      <c r="E688" t="inlineStr">
        <is>
          <t>RAGUNDA</t>
        </is>
      </c>
      <c r="G688" t="n">
        <v>0.5</v>
      </c>
      <c r="H688" t="n">
        <v>0</v>
      </c>
      <c r="I688" t="n">
        <v>0</v>
      </c>
      <c r="J688" t="n">
        <v>0</v>
      </c>
      <c r="K688" t="n">
        <v>0</v>
      </c>
      <c r="L688" t="n">
        <v>0</v>
      </c>
      <c r="M688" t="n">
        <v>0</v>
      </c>
      <c r="N688" t="n">
        <v>0</v>
      </c>
      <c r="O688" t="n">
        <v>0</v>
      </c>
      <c r="P688" t="n">
        <v>0</v>
      </c>
      <c r="Q688" t="n">
        <v>0</v>
      </c>
      <c r="R688" s="2" t="inlineStr"/>
    </row>
    <row r="689" ht="15" customHeight="1">
      <c r="A689" t="inlineStr">
        <is>
          <t>A 53136-2024</t>
        </is>
      </c>
      <c r="B689" s="1" t="n">
        <v>45611.5953125</v>
      </c>
      <c r="C689" s="1" t="n">
        <v>45880</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52228-2024</t>
        </is>
      </c>
      <c r="B690" s="1" t="n">
        <v>45608.6078587963</v>
      </c>
      <c r="C690" s="1" t="n">
        <v>45880</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59372-2024</t>
        </is>
      </c>
      <c r="B691" s="1" t="n">
        <v>45638.34431712963</v>
      </c>
      <c r="C691" s="1" t="n">
        <v>45880</v>
      </c>
      <c r="D691" t="inlineStr">
        <is>
          <t>JÄMTLANDS LÄN</t>
        </is>
      </c>
      <c r="E691" t="inlineStr">
        <is>
          <t>RAGUNDA</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62115-2024</t>
        </is>
      </c>
      <c r="B692" s="1" t="n">
        <v>45656</v>
      </c>
      <c r="C692" s="1" t="n">
        <v>45880</v>
      </c>
      <c r="D692" t="inlineStr">
        <is>
          <t>JÄMTLANDS LÄN</t>
        </is>
      </c>
      <c r="E692" t="inlineStr">
        <is>
          <t>RAGUNDA</t>
        </is>
      </c>
      <c r="G692" t="n">
        <v>3.3</v>
      </c>
      <c r="H692" t="n">
        <v>0</v>
      </c>
      <c r="I692" t="n">
        <v>0</v>
      </c>
      <c r="J692" t="n">
        <v>0</v>
      </c>
      <c r="K692" t="n">
        <v>0</v>
      </c>
      <c r="L692" t="n">
        <v>0</v>
      </c>
      <c r="M692" t="n">
        <v>0</v>
      </c>
      <c r="N692" t="n">
        <v>0</v>
      </c>
      <c r="O692" t="n">
        <v>0</v>
      </c>
      <c r="P692" t="n">
        <v>0</v>
      </c>
      <c r="Q692" t="n">
        <v>0</v>
      </c>
      <c r="R692" s="2" t="inlineStr"/>
    </row>
    <row r="693" ht="15" customHeight="1">
      <c r="A693" t="inlineStr">
        <is>
          <t>A 4594-2024</t>
        </is>
      </c>
      <c r="B693" s="1" t="n">
        <v>45327.94459490741</v>
      </c>
      <c r="C693" s="1" t="n">
        <v>45880</v>
      </c>
      <c r="D693" t="inlineStr">
        <is>
          <t>JÄMTLANDS LÄN</t>
        </is>
      </c>
      <c r="E693" t="inlineStr">
        <is>
          <t>RAGUNDA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22898-2025</t>
        </is>
      </c>
      <c r="B694" s="1" t="n">
        <v>45790.40670138889</v>
      </c>
      <c r="C694" s="1" t="n">
        <v>45880</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3018-2024</t>
        </is>
      </c>
      <c r="B695" s="1" t="n">
        <v>45315.9492824074</v>
      </c>
      <c r="C695" s="1" t="n">
        <v>45880</v>
      </c>
      <c r="D695" t="inlineStr">
        <is>
          <t>JÄMTLANDS LÄN</t>
        </is>
      </c>
      <c r="E695" t="inlineStr">
        <is>
          <t>RAGUNDA</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46549-2023</t>
        </is>
      </c>
      <c r="B696" s="1" t="n">
        <v>45197.94171296297</v>
      </c>
      <c r="C696" s="1" t="n">
        <v>45880</v>
      </c>
      <c r="D696" t="inlineStr">
        <is>
          <t>JÄMTLANDS LÄN</t>
        </is>
      </c>
      <c r="E696" t="inlineStr">
        <is>
          <t>RAGUNDA</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48065-2023</t>
        </is>
      </c>
      <c r="B697" s="1" t="n">
        <v>45204.94399305555</v>
      </c>
      <c r="C697" s="1" t="n">
        <v>45880</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44597-2024</t>
        </is>
      </c>
      <c r="B698" s="1" t="n">
        <v>45574.51087962963</v>
      </c>
      <c r="C698" s="1" t="n">
        <v>45880</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44598-2024</t>
        </is>
      </c>
      <c r="B699" s="1" t="n">
        <v>45574.51090277778</v>
      </c>
      <c r="C699" s="1" t="n">
        <v>45880</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49659-2023</t>
        </is>
      </c>
      <c r="B700" s="1" t="n">
        <v>45211.95134259259</v>
      </c>
      <c r="C700" s="1" t="n">
        <v>45880</v>
      </c>
      <c r="D700" t="inlineStr">
        <is>
          <t>JÄMTLANDS LÄN</t>
        </is>
      </c>
      <c r="E700" t="inlineStr">
        <is>
          <t>RAGUNDA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23734-2024</t>
        </is>
      </c>
      <c r="B701" s="1" t="n">
        <v>45454.95960648148</v>
      </c>
      <c r="C701" s="1" t="n">
        <v>45880</v>
      </c>
      <c r="D701" t="inlineStr">
        <is>
          <t>JÄMTLANDS LÄN</t>
        </is>
      </c>
      <c r="E701" t="inlineStr">
        <is>
          <t>RAGUNDA</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12653-2024</t>
        </is>
      </c>
      <c r="B702" s="1" t="n">
        <v>45384</v>
      </c>
      <c r="C702" s="1" t="n">
        <v>45880</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34483-2023</t>
        </is>
      </c>
      <c r="B703" s="1" t="n">
        <v>45139.94681712963</v>
      </c>
      <c r="C703" s="1" t="n">
        <v>45880</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23567-2024</t>
        </is>
      </c>
      <c r="B704" s="1" t="n">
        <v>45453.95538194444</v>
      </c>
      <c r="C704" s="1" t="n">
        <v>45880</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55214-2022</t>
        </is>
      </c>
      <c r="B705" s="1" t="n">
        <v>44886</v>
      </c>
      <c r="C705" s="1" t="n">
        <v>45880</v>
      </c>
      <c r="D705" t="inlineStr">
        <is>
          <t>JÄMTLANDS LÄN</t>
        </is>
      </c>
      <c r="E705" t="inlineStr">
        <is>
          <t>RAGUNDA</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57116-2024</t>
        </is>
      </c>
      <c r="B706" s="1" t="n">
        <v>45629.36513888889</v>
      </c>
      <c r="C706" s="1" t="n">
        <v>45880</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38312-2024</t>
        </is>
      </c>
      <c r="B707" s="1" t="n">
        <v>45545.64957175926</v>
      </c>
      <c r="C707" s="1" t="n">
        <v>45880</v>
      </c>
      <c r="D707" t="inlineStr">
        <is>
          <t>JÄMTLANDS LÄN</t>
        </is>
      </c>
      <c r="E707" t="inlineStr">
        <is>
          <t>RAGUNDA</t>
        </is>
      </c>
      <c r="G707" t="n">
        <v>1.2</v>
      </c>
      <c r="H707" t="n">
        <v>0</v>
      </c>
      <c r="I707" t="n">
        <v>0</v>
      </c>
      <c r="J707" t="n">
        <v>0</v>
      </c>
      <c r="K707" t="n">
        <v>0</v>
      </c>
      <c r="L707" t="n">
        <v>0</v>
      </c>
      <c r="M707" t="n">
        <v>0</v>
      </c>
      <c r="N707" t="n">
        <v>0</v>
      </c>
      <c r="O707" t="n">
        <v>0</v>
      </c>
      <c r="P707" t="n">
        <v>0</v>
      </c>
      <c r="Q707" t="n">
        <v>0</v>
      </c>
      <c r="R707" s="2" t="inlineStr"/>
    </row>
    <row r="708" ht="15" customHeight="1">
      <c r="A708" t="inlineStr">
        <is>
          <t>A 9262-2025</t>
        </is>
      </c>
      <c r="B708" s="1" t="n">
        <v>45714.60649305556</v>
      </c>
      <c r="C708" s="1" t="n">
        <v>45880</v>
      </c>
      <c r="D708" t="inlineStr">
        <is>
          <t>JÄMTLANDS LÄN</t>
        </is>
      </c>
      <c r="E708" t="inlineStr">
        <is>
          <t>RAGUNDA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16982-2024</t>
        </is>
      </c>
      <c r="B709" s="1" t="n">
        <v>45412.02506944445</v>
      </c>
      <c r="C709" s="1" t="n">
        <v>45880</v>
      </c>
      <c r="D709" t="inlineStr">
        <is>
          <t>JÄMTLANDS LÄN</t>
        </is>
      </c>
      <c r="E709" t="inlineStr">
        <is>
          <t>RAGUNDA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40246-2024</t>
        </is>
      </c>
      <c r="B710" s="1" t="n">
        <v>45554.61583333334</v>
      </c>
      <c r="C710" s="1" t="n">
        <v>45880</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58564-2024</t>
        </is>
      </c>
      <c r="B711" s="1" t="n">
        <v>45635.47243055556</v>
      </c>
      <c r="C711" s="1" t="n">
        <v>45880</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53144-2024</t>
        </is>
      </c>
      <c r="B712" s="1" t="n">
        <v>45611</v>
      </c>
      <c r="C712" s="1" t="n">
        <v>45880</v>
      </c>
      <c r="D712" t="inlineStr">
        <is>
          <t>JÄMTLANDS LÄN</t>
        </is>
      </c>
      <c r="E712" t="inlineStr">
        <is>
          <t>RAGUNDA</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5806-2025</t>
        </is>
      </c>
      <c r="B713" s="1" t="n">
        <v>45694.69826388889</v>
      </c>
      <c r="C713" s="1" t="n">
        <v>45880</v>
      </c>
      <c r="D713" t="inlineStr">
        <is>
          <t>JÄMTLANDS LÄN</t>
        </is>
      </c>
      <c r="E713" t="inlineStr">
        <is>
          <t>RAGUNDA</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32910-2024</t>
        </is>
      </c>
      <c r="B714" s="1" t="n">
        <v>45516.94934027778</v>
      </c>
      <c r="C714" s="1" t="n">
        <v>45880</v>
      </c>
      <c r="D714" t="inlineStr">
        <is>
          <t>JÄMTLANDS LÄN</t>
        </is>
      </c>
      <c r="E714" t="inlineStr">
        <is>
          <t>RAGUNDA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20773-2024</t>
        </is>
      </c>
      <c r="B715" s="1" t="n">
        <v>45436.94636574074</v>
      </c>
      <c r="C715" s="1" t="n">
        <v>45880</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21853-2024</t>
        </is>
      </c>
      <c r="B716" s="1" t="n">
        <v>45442.96296296296</v>
      </c>
      <c r="C716" s="1" t="n">
        <v>45880</v>
      </c>
      <c r="D716" t="inlineStr">
        <is>
          <t>JÄMTLANDS LÄN</t>
        </is>
      </c>
      <c r="E716" t="inlineStr">
        <is>
          <t>RAGUNDA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50160-2023</t>
        </is>
      </c>
      <c r="B717" s="1" t="n">
        <v>45208</v>
      </c>
      <c r="C717" s="1" t="n">
        <v>45880</v>
      </c>
      <c r="D717" t="inlineStr">
        <is>
          <t>JÄMTLANDS LÄN</t>
        </is>
      </c>
      <c r="E717" t="inlineStr">
        <is>
          <t>RAGUNDA</t>
        </is>
      </c>
      <c r="G717" t="n">
        <v>4.6</v>
      </c>
      <c r="H717" t="n">
        <v>0</v>
      </c>
      <c r="I717" t="n">
        <v>0</v>
      </c>
      <c r="J717" t="n">
        <v>0</v>
      </c>
      <c r="K717" t="n">
        <v>0</v>
      </c>
      <c r="L717" t="n">
        <v>0</v>
      </c>
      <c r="M717" t="n">
        <v>0</v>
      </c>
      <c r="N717" t="n">
        <v>0</v>
      </c>
      <c r="O717" t="n">
        <v>0</v>
      </c>
      <c r="P717" t="n">
        <v>0</v>
      </c>
      <c r="Q717" t="n">
        <v>0</v>
      </c>
      <c r="R717" s="2" t="inlineStr"/>
    </row>
    <row r="718" ht="15" customHeight="1">
      <c r="A718" t="inlineStr">
        <is>
          <t>A 29775-2023</t>
        </is>
      </c>
      <c r="B718" s="1" t="n">
        <v>45098</v>
      </c>
      <c r="C718" s="1" t="n">
        <v>45880</v>
      </c>
      <c r="D718" t="inlineStr">
        <is>
          <t>JÄMTLANDS LÄN</t>
        </is>
      </c>
      <c r="E718" t="inlineStr">
        <is>
          <t>RAGUNDA</t>
        </is>
      </c>
      <c r="G718" t="n">
        <v>3.6</v>
      </c>
      <c r="H718" t="n">
        <v>0</v>
      </c>
      <c r="I718" t="n">
        <v>0</v>
      </c>
      <c r="J718" t="n">
        <v>0</v>
      </c>
      <c r="K718" t="n">
        <v>0</v>
      </c>
      <c r="L718" t="n">
        <v>0</v>
      </c>
      <c r="M718" t="n">
        <v>0</v>
      </c>
      <c r="N718" t="n">
        <v>0</v>
      </c>
      <c r="O718" t="n">
        <v>0</v>
      </c>
      <c r="P718" t="n">
        <v>0</v>
      </c>
      <c r="Q718" t="n">
        <v>0</v>
      </c>
      <c r="R718" s="2" t="inlineStr"/>
    </row>
    <row r="719" ht="15" customHeight="1">
      <c r="A719" t="inlineStr">
        <is>
          <t>A 23405-2025</t>
        </is>
      </c>
      <c r="B719" s="1" t="n">
        <v>45792.34527777778</v>
      </c>
      <c r="C719" s="1" t="n">
        <v>45880</v>
      </c>
      <c r="D719" t="inlineStr">
        <is>
          <t>JÄMTLANDS LÄN</t>
        </is>
      </c>
      <c r="E719" t="inlineStr">
        <is>
          <t>RAGUNDA</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40365-2024</t>
        </is>
      </c>
      <c r="B720" s="1" t="n">
        <v>45555.38509259259</v>
      </c>
      <c r="C720" s="1" t="n">
        <v>45880</v>
      </c>
      <c r="D720" t="inlineStr">
        <is>
          <t>JÄMTLANDS LÄN</t>
        </is>
      </c>
      <c r="E720" t="inlineStr">
        <is>
          <t>RAGUNDA</t>
        </is>
      </c>
      <c r="G720" t="n">
        <v>7.8</v>
      </c>
      <c r="H720" t="n">
        <v>0</v>
      </c>
      <c r="I720" t="n">
        <v>0</v>
      </c>
      <c r="J720" t="n">
        <v>0</v>
      </c>
      <c r="K720" t="n">
        <v>0</v>
      </c>
      <c r="L720" t="n">
        <v>0</v>
      </c>
      <c r="M720" t="n">
        <v>0</v>
      </c>
      <c r="N720" t="n">
        <v>0</v>
      </c>
      <c r="O720" t="n">
        <v>0</v>
      </c>
      <c r="P720" t="n">
        <v>0</v>
      </c>
      <c r="Q720" t="n">
        <v>0</v>
      </c>
      <c r="R720" s="2" t="inlineStr"/>
    </row>
    <row r="721" ht="15" customHeight="1">
      <c r="A721" t="inlineStr">
        <is>
          <t>A 23654-2025</t>
        </is>
      </c>
      <c r="B721" s="1" t="n">
        <v>45792.71905092592</v>
      </c>
      <c r="C721" s="1" t="n">
        <v>45880</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23507-2025</t>
        </is>
      </c>
      <c r="B722" s="1" t="n">
        <v>45792.49023148148</v>
      </c>
      <c r="C722" s="1" t="n">
        <v>45880</v>
      </c>
      <c r="D722" t="inlineStr">
        <is>
          <t>JÄMTLANDS LÄN</t>
        </is>
      </c>
      <c r="E722" t="inlineStr">
        <is>
          <t>RAGUNDA</t>
        </is>
      </c>
      <c r="F722" t="inlineStr">
        <is>
          <t>SCA</t>
        </is>
      </c>
      <c r="G722" t="n">
        <v>16.4</v>
      </c>
      <c r="H722" t="n">
        <v>0</v>
      </c>
      <c r="I722" t="n">
        <v>0</v>
      </c>
      <c r="J722" t="n">
        <v>0</v>
      </c>
      <c r="K722" t="n">
        <v>0</v>
      </c>
      <c r="L722" t="n">
        <v>0</v>
      </c>
      <c r="M722" t="n">
        <v>0</v>
      </c>
      <c r="N722" t="n">
        <v>0</v>
      </c>
      <c r="O722" t="n">
        <v>0</v>
      </c>
      <c r="P722" t="n">
        <v>0</v>
      </c>
      <c r="Q722" t="n">
        <v>0</v>
      </c>
      <c r="R722" s="2" t="inlineStr"/>
    </row>
    <row r="723" ht="15" customHeight="1">
      <c r="A723" t="inlineStr">
        <is>
          <t>A 23586-2025</t>
        </is>
      </c>
      <c r="B723" s="1" t="n">
        <v>45792.63584490741</v>
      </c>
      <c r="C723" s="1" t="n">
        <v>45880</v>
      </c>
      <c r="D723" t="inlineStr">
        <is>
          <t>JÄMTLANDS LÄN</t>
        </is>
      </c>
      <c r="E723" t="inlineStr">
        <is>
          <t>RAGUNDA</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23413-2025</t>
        </is>
      </c>
      <c r="B724" s="1" t="n">
        <v>45792.34606481482</v>
      </c>
      <c r="C724" s="1" t="n">
        <v>45880</v>
      </c>
      <c r="D724" t="inlineStr">
        <is>
          <t>JÄMTLANDS LÄN</t>
        </is>
      </c>
      <c r="E724" t="inlineStr">
        <is>
          <t>RAGUNDA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14076-2023</t>
        </is>
      </c>
      <c r="B725" s="1" t="n">
        <v>45009.0897337963</v>
      </c>
      <c r="C725" s="1" t="n">
        <v>45880</v>
      </c>
      <c r="D725" t="inlineStr">
        <is>
          <t>JÄMTLANDS LÄN</t>
        </is>
      </c>
      <c r="E725" t="inlineStr">
        <is>
          <t>RAGUNDA</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60456-2023</t>
        </is>
      </c>
      <c r="B726" s="1" t="n">
        <v>45258</v>
      </c>
      <c r="C726" s="1" t="n">
        <v>45880</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45335-2023</t>
        </is>
      </c>
      <c r="B727" s="1" t="n">
        <v>45191</v>
      </c>
      <c r="C727" s="1" t="n">
        <v>45880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23253-2025</t>
        </is>
      </c>
      <c r="B728" s="1" t="n">
        <v>45791.53238425926</v>
      </c>
      <c r="C728" s="1" t="n">
        <v>45880</v>
      </c>
      <c r="D728" t="inlineStr">
        <is>
          <t>JÄMTLANDS LÄN</t>
        </is>
      </c>
      <c r="E728" t="inlineStr">
        <is>
          <t>RAGUNDA</t>
        </is>
      </c>
      <c r="G728" t="n">
        <v>0.7</v>
      </c>
      <c r="H728" t="n">
        <v>0</v>
      </c>
      <c r="I728" t="n">
        <v>0</v>
      </c>
      <c r="J728" t="n">
        <v>0</v>
      </c>
      <c r="K728" t="n">
        <v>0</v>
      </c>
      <c r="L728" t="n">
        <v>0</v>
      </c>
      <c r="M728" t="n">
        <v>0</v>
      </c>
      <c r="N728" t="n">
        <v>0</v>
      </c>
      <c r="O728" t="n">
        <v>0</v>
      </c>
      <c r="P728" t="n">
        <v>0</v>
      </c>
      <c r="Q728" t="n">
        <v>0</v>
      </c>
      <c r="R728" s="2" t="inlineStr"/>
    </row>
    <row r="729" ht="15" customHeight="1">
      <c r="A729" t="inlineStr">
        <is>
          <t>A 10972-2022</t>
        </is>
      </c>
      <c r="B729" s="1" t="n">
        <v>44628</v>
      </c>
      <c r="C729" s="1" t="n">
        <v>45880</v>
      </c>
      <c r="D729" t="inlineStr">
        <is>
          <t>JÄMTLANDS LÄN</t>
        </is>
      </c>
      <c r="E729" t="inlineStr">
        <is>
          <t>RAGUNDA</t>
        </is>
      </c>
      <c r="G729" t="n">
        <v>9.5</v>
      </c>
      <c r="H729" t="n">
        <v>0</v>
      </c>
      <c r="I729" t="n">
        <v>0</v>
      </c>
      <c r="J729" t="n">
        <v>0</v>
      </c>
      <c r="K729" t="n">
        <v>0</v>
      </c>
      <c r="L729" t="n">
        <v>0</v>
      </c>
      <c r="M729" t="n">
        <v>0</v>
      </c>
      <c r="N729" t="n">
        <v>0</v>
      </c>
      <c r="O729" t="n">
        <v>0</v>
      </c>
      <c r="P729" t="n">
        <v>0</v>
      </c>
      <c r="Q729" t="n">
        <v>0</v>
      </c>
      <c r="R729" s="2" t="inlineStr"/>
    </row>
    <row r="730" ht="15" customHeight="1">
      <c r="A730" t="inlineStr">
        <is>
          <t>A 58438-2022</t>
        </is>
      </c>
      <c r="B730" s="1" t="n">
        <v>44901</v>
      </c>
      <c r="C730" s="1" t="n">
        <v>45880</v>
      </c>
      <c r="D730" t="inlineStr">
        <is>
          <t>JÄMTLANDS LÄN</t>
        </is>
      </c>
      <c r="E730" t="inlineStr">
        <is>
          <t>RAGUNDA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58442-2022</t>
        </is>
      </c>
      <c r="B731" s="1" t="n">
        <v>44901</v>
      </c>
      <c r="C731" s="1" t="n">
        <v>45880</v>
      </c>
      <c r="D731" t="inlineStr">
        <is>
          <t>JÄMTLANDS LÄN</t>
        </is>
      </c>
      <c r="E731" t="inlineStr">
        <is>
          <t>RAGUNDA</t>
        </is>
      </c>
      <c r="F731" t="inlineStr">
        <is>
          <t>SCA</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43102-2023</t>
        </is>
      </c>
      <c r="B732" s="1" t="n">
        <v>45182</v>
      </c>
      <c r="C732" s="1" t="n">
        <v>45880</v>
      </c>
      <c r="D732" t="inlineStr">
        <is>
          <t>JÄMTLANDS LÄN</t>
        </is>
      </c>
      <c r="E732" t="inlineStr">
        <is>
          <t>RAGUNDA</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32430-2025</t>
        </is>
      </c>
      <c r="B733" s="1" t="n">
        <v>45838.36532407408</v>
      </c>
      <c r="C733" s="1" t="n">
        <v>45880</v>
      </c>
      <c r="D733" t="inlineStr">
        <is>
          <t>JÄMTLANDS LÄN</t>
        </is>
      </c>
      <c r="E733" t="inlineStr">
        <is>
          <t>RAGUNDA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18284-2025</t>
        </is>
      </c>
      <c r="B734" s="1" t="n">
        <v>45762.39876157408</v>
      </c>
      <c r="C734" s="1" t="n">
        <v>45880</v>
      </c>
      <c r="D734" t="inlineStr">
        <is>
          <t>JÄMTLANDS LÄN</t>
        </is>
      </c>
      <c r="E734" t="inlineStr">
        <is>
          <t>RAGUNDA</t>
        </is>
      </c>
      <c r="G734" t="n">
        <v>0.2</v>
      </c>
      <c r="H734" t="n">
        <v>0</v>
      </c>
      <c r="I734" t="n">
        <v>0</v>
      </c>
      <c r="J734" t="n">
        <v>0</v>
      </c>
      <c r="K734" t="n">
        <v>0</v>
      </c>
      <c r="L734" t="n">
        <v>0</v>
      </c>
      <c r="M734" t="n">
        <v>0</v>
      </c>
      <c r="N734" t="n">
        <v>0</v>
      </c>
      <c r="O734" t="n">
        <v>0</v>
      </c>
      <c r="P734" t="n">
        <v>0</v>
      </c>
      <c r="Q734" t="n">
        <v>0</v>
      </c>
      <c r="R734" s="2" t="inlineStr"/>
      <c r="U734">
        <f>HYPERLINK("https://klasma.github.io/Logging_2303/knärot/A 18284-2025 karta knärot.png", "A 18284-2025")</f>
        <v/>
      </c>
      <c r="V734">
        <f>HYPERLINK("https://klasma.github.io/Logging_2303/klagomål/A 18284-2025 FSC-klagomål.docx", "A 18284-2025")</f>
        <v/>
      </c>
      <c r="W734">
        <f>HYPERLINK("https://klasma.github.io/Logging_2303/klagomålsmail/A 18284-2025 FSC-klagomål mail.docx", "A 18284-2025")</f>
        <v/>
      </c>
      <c r="X734">
        <f>HYPERLINK("https://klasma.github.io/Logging_2303/tillsyn/A 18284-2025 tillsynsbegäran.docx", "A 18284-2025")</f>
        <v/>
      </c>
      <c r="Y734">
        <f>HYPERLINK("https://klasma.github.io/Logging_2303/tillsynsmail/A 18284-2025 tillsynsbegäran mail.docx", "A 18284-2025")</f>
        <v/>
      </c>
    </row>
    <row r="735" ht="15" customHeight="1">
      <c r="A735" t="inlineStr">
        <is>
          <t>A 49229-2024</t>
        </is>
      </c>
      <c r="B735" s="1" t="n">
        <v>45595.42738425926</v>
      </c>
      <c r="C735" s="1" t="n">
        <v>45880</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6694-2024</t>
        </is>
      </c>
      <c r="B736" s="1" t="n">
        <v>45341.95381944445</v>
      </c>
      <c r="C736" s="1" t="n">
        <v>45880</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32151-2025</t>
        </is>
      </c>
      <c r="B737" s="1" t="n">
        <v>45835.53166666667</v>
      </c>
      <c r="C737" s="1" t="n">
        <v>45880</v>
      </c>
      <c r="D737" t="inlineStr">
        <is>
          <t>JÄMTLANDS LÄN</t>
        </is>
      </c>
      <c r="E737" t="inlineStr">
        <is>
          <t>RAGUNDA</t>
        </is>
      </c>
      <c r="F737" t="inlineStr">
        <is>
          <t>SCA</t>
        </is>
      </c>
      <c r="G737" t="n">
        <v>12.3</v>
      </c>
      <c r="H737" t="n">
        <v>0</v>
      </c>
      <c r="I737" t="n">
        <v>0</v>
      </c>
      <c r="J737" t="n">
        <v>0</v>
      </c>
      <c r="K737" t="n">
        <v>0</v>
      </c>
      <c r="L737" t="n">
        <v>0</v>
      </c>
      <c r="M737" t="n">
        <v>0</v>
      </c>
      <c r="N737" t="n">
        <v>0</v>
      </c>
      <c r="O737" t="n">
        <v>0</v>
      </c>
      <c r="P737" t="n">
        <v>0</v>
      </c>
      <c r="Q737" t="n">
        <v>0</v>
      </c>
      <c r="R737" s="2" t="inlineStr"/>
    </row>
    <row r="738" ht="15" customHeight="1">
      <c r="A738" t="inlineStr">
        <is>
          <t>A 32021-2025</t>
        </is>
      </c>
      <c r="B738" s="1" t="n">
        <v>45835.40668981482</v>
      </c>
      <c r="C738" s="1" t="n">
        <v>45880</v>
      </c>
      <c r="D738" t="inlineStr">
        <is>
          <t>JÄMTLANDS LÄN</t>
        </is>
      </c>
      <c r="E738" t="inlineStr">
        <is>
          <t>RAGUNDA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55524-2024</t>
        </is>
      </c>
      <c r="B739" s="1" t="n">
        <v>45622.47435185185</v>
      </c>
      <c r="C739" s="1" t="n">
        <v>45880</v>
      </c>
      <c r="D739" t="inlineStr">
        <is>
          <t>JÄMTLANDS LÄN</t>
        </is>
      </c>
      <c r="E739" t="inlineStr">
        <is>
          <t>RAGUNDA</t>
        </is>
      </c>
      <c r="G739" t="n">
        <v>1.4</v>
      </c>
      <c r="H739" t="n">
        <v>0</v>
      </c>
      <c r="I739" t="n">
        <v>0</v>
      </c>
      <c r="J739" t="n">
        <v>0</v>
      </c>
      <c r="K739" t="n">
        <v>0</v>
      </c>
      <c r="L739" t="n">
        <v>0</v>
      </c>
      <c r="M739" t="n">
        <v>0</v>
      </c>
      <c r="N739" t="n">
        <v>0</v>
      </c>
      <c r="O739" t="n">
        <v>0</v>
      </c>
      <c r="P739" t="n">
        <v>0</v>
      </c>
      <c r="Q739" t="n">
        <v>0</v>
      </c>
      <c r="R739" s="2" t="inlineStr"/>
    </row>
    <row r="740" ht="15" customHeight="1">
      <c r="A740" t="inlineStr">
        <is>
          <t>A 19419-2024</t>
        </is>
      </c>
      <c r="B740" s="1" t="n">
        <v>45429</v>
      </c>
      <c r="C740" s="1" t="n">
        <v>45880</v>
      </c>
      <c r="D740" t="inlineStr">
        <is>
          <t>JÄMTLANDS LÄN</t>
        </is>
      </c>
      <c r="E740" t="inlineStr">
        <is>
          <t>RAGUNDA</t>
        </is>
      </c>
      <c r="G740" t="n">
        <v>3.5</v>
      </c>
      <c r="H740" t="n">
        <v>0</v>
      </c>
      <c r="I740" t="n">
        <v>0</v>
      </c>
      <c r="J740" t="n">
        <v>0</v>
      </c>
      <c r="K740" t="n">
        <v>0</v>
      </c>
      <c r="L740" t="n">
        <v>0</v>
      </c>
      <c r="M740" t="n">
        <v>0</v>
      </c>
      <c r="N740" t="n">
        <v>0</v>
      </c>
      <c r="O740" t="n">
        <v>0</v>
      </c>
      <c r="P740" t="n">
        <v>0</v>
      </c>
      <c r="Q740" t="n">
        <v>0</v>
      </c>
      <c r="R740" s="2" t="inlineStr"/>
    </row>
    <row r="741" ht="15" customHeight="1">
      <c r="A741" t="inlineStr">
        <is>
          <t>A 21083-2024</t>
        </is>
      </c>
      <c r="B741" s="1" t="n">
        <v>45439.92752314815</v>
      </c>
      <c r="C741" s="1" t="n">
        <v>45880</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59759-2024</t>
        </is>
      </c>
      <c r="B742" s="1" t="n">
        <v>45639.55240740741</v>
      </c>
      <c r="C742" s="1" t="n">
        <v>45880</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12204-2025</t>
        </is>
      </c>
      <c r="B743" s="1" t="n">
        <v>45729.51074074074</v>
      </c>
      <c r="C743" s="1" t="n">
        <v>45880</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11245-2025</t>
        </is>
      </c>
      <c r="B744" s="1" t="n">
        <v>45726.38575231482</v>
      </c>
      <c r="C744" s="1" t="n">
        <v>45880</v>
      </c>
      <c r="D744" t="inlineStr">
        <is>
          <t>JÄMTLANDS LÄN</t>
        </is>
      </c>
      <c r="E744" t="inlineStr">
        <is>
          <t>RAGUNDA</t>
        </is>
      </c>
      <c r="G744" t="n">
        <v>2.3</v>
      </c>
      <c r="H744" t="n">
        <v>0</v>
      </c>
      <c r="I744" t="n">
        <v>0</v>
      </c>
      <c r="J744" t="n">
        <v>0</v>
      </c>
      <c r="K744" t="n">
        <v>0</v>
      </c>
      <c r="L744" t="n">
        <v>0</v>
      </c>
      <c r="M744" t="n">
        <v>0</v>
      </c>
      <c r="N744" t="n">
        <v>0</v>
      </c>
      <c r="O744" t="n">
        <v>0</v>
      </c>
      <c r="P744" t="n">
        <v>0</v>
      </c>
      <c r="Q744" t="n">
        <v>0</v>
      </c>
      <c r="R744" s="2" t="inlineStr"/>
    </row>
    <row r="745" ht="15" customHeight="1">
      <c r="A745" t="inlineStr">
        <is>
          <t>A 13905-2025</t>
        </is>
      </c>
      <c r="B745" s="1" t="n">
        <v>45737.63574074074</v>
      </c>
      <c r="C745" s="1" t="n">
        <v>45880</v>
      </c>
      <c r="D745" t="inlineStr">
        <is>
          <t>JÄMTLANDS LÄN</t>
        </is>
      </c>
      <c r="E745" t="inlineStr">
        <is>
          <t>RAGUNDA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32075-2025</t>
        </is>
      </c>
      <c r="B746" s="1" t="n">
        <v>45835.4506712963</v>
      </c>
      <c r="C746" s="1" t="n">
        <v>45880</v>
      </c>
      <c r="D746" t="inlineStr">
        <is>
          <t>JÄMTLANDS LÄN</t>
        </is>
      </c>
      <c r="E746" t="inlineStr">
        <is>
          <t>RAGUNDA</t>
        </is>
      </c>
      <c r="G746" t="n">
        <v>1.1</v>
      </c>
      <c r="H746" t="n">
        <v>0</v>
      </c>
      <c r="I746" t="n">
        <v>0</v>
      </c>
      <c r="J746" t="n">
        <v>0</v>
      </c>
      <c r="K746" t="n">
        <v>0</v>
      </c>
      <c r="L746" t="n">
        <v>0</v>
      </c>
      <c r="M746" t="n">
        <v>0</v>
      </c>
      <c r="N746" t="n">
        <v>0</v>
      </c>
      <c r="O746" t="n">
        <v>0</v>
      </c>
      <c r="P746" t="n">
        <v>0</v>
      </c>
      <c r="Q746" t="n">
        <v>0</v>
      </c>
      <c r="R746" s="2" t="inlineStr"/>
    </row>
    <row r="747" ht="15" customHeight="1">
      <c r="A747" t="inlineStr">
        <is>
          <t>A 19263-2025</t>
        </is>
      </c>
      <c r="B747" s="1" t="n">
        <v>45769.51075231482</v>
      </c>
      <c r="C747" s="1" t="n">
        <v>45880</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23840-2025</t>
        </is>
      </c>
      <c r="B748" s="1" t="n">
        <v>45793</v>
      </c>
      <c r="C748" s="1" t="n">
        <v>45880</v>
      </c>
      <c r="D748" t="inlineStr">
        <is>
          <t>JÄMTLANDS LÄN</t>
        </is>
      </c>
      <c r="E748" t="inlineStr">
        <is>
          <t>RAGUNDA</t>
        </is>
      </c>
      <c r="G748" t="n">
        <v>0.8</v>
      </c>
      <c r="H748" t="n">
        <v>0</v>
      </c>
      <c r="I748" t="n">
        <v>0</v>
      </c>
      <c r="J748" t="n">
        <v>0</v>
      </c>
      <c r="K748" t="n">
        <v>0</v>
      </c>
      <c r="L748" t="n">
        <v>0</v>
      </c>
      <c r="M748" t="n">
        <v>0</v>
      </c>
      <c r="N748" t="n">
        <v>0</v>
      </c>
      <c r="O748" t="n">
        <v>0</v>
      </c>
      <c r="P748" t="n">
        <v>0</v>
      </c>
      <c r="Q748" t="n">
        <v>0</v>
      </c>
      <c r="R748" s="2" t="inlineStr"/>
    </row>
    <row r="749" ht="15" customHeight="1">
      <c r="A749" t="inlineStr">
        <is>
          <t>A 32655-2025</t>
        </is>
      </c>
      <c r="B749" s="1" t="n">
        <v>45838.67800925926</v>
      </c>
      <c r="C749" s="1" t="n">
        <v>45880</v>
      </c>
      <c r="D749" t="inlineStr">
        <is>
          <t>JÄMTLANDS LÄN</t>
        </is>
      </c>
      <c r="E749" t="inlineStr">
        <is>
          <t>RAGUNDA</t>
        </is>
      </c>
      <c r="G749" t="n">
        <v>2.8</v>
      </c>
      <c r="H749" t="n">
        <v>0</v>
      </c>
      <c r="I749" t="n">
        <v>0</v>
      </c>
      <c r="J749" t="n">
        <v>0</v>
      </c>
      <c r="K749" t="n">
        <v>0</v>
      </c>
      <c r="L749" t="n">
        <v>0</v>
      </c>
      <c r="M749" t="n">
        <v>0</v>
      </c>
      <c r="N749" t="n">
        <v>0</v>
      </c>
      <c r="O749" t="n">
        <v>0</v>
      </c>
      <c r="P749" t="n">
        <v>0</v>
      </c>
      <c r="Q749" t="n">
        <v>0</v>
      </c>
      <c r="R749" s="2" t="inlineStr"/>
    </row>
    <row r="750" ht="15" customHeight="1">
      <c r="A750" t="inlineStr">
        <is>
          <t>A 32660-2025</t>
        </is>
      </c>
      <c r="B750" s="1" t="n">
        <v>45838.67887731481</v>
      </c>
      <c r="C750" s="1" t="n">
        <v>45880</v>
      </c>
      <c r="D750" t="inlineStr">
        <is>
          <t>JÄMTLANDS LÄN</t>
        </is>
      </c>
      <c r="E750" t="inlineStr">
        <is>
          <t>RAGUNDA</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24158-2025</t>
        </is>
      </c>
      <c r="B751" s="1" t="n">
        <v>45796</v>
      </c>
      <c r="C751" s="1" t="n">
        <v>45880</v>
      </c>
      <c r="D751" t="inlineStr">
        <is>
          <t>JÄMTLANDS LÄN</t>
        </is>
      </c>
      <c r="E751" t="inlineStr">
        <is>
          <t>RAGUNDA</t>
        </is>
      </c>
      <c r="G751" t="n">
        <v>2.9</v>
      </c>
      <c r="H751" t="n">
        <v>0</v>
      </c>
      <c r="I751" t="n">
        <v>0</v>
      </c>
      <c r="J751" t="n">
        <v>0</v>
      </c>
      <c r="K751" t="n">
        <v>0</v>
      </c>
      <c r="L751" t="n">
        <v>0</v>
      </c>
      <c r="M751" t="n">
        <v>0</v>
      </c>
      <c r="N751" t="n">
        <v>0</v>
      </c>
      <c r="O751" t="n">
        <v>0</v>
      </c>
      <c r="P751" t="n">
        <v>0</v>
      </c>
      <c r="Q751" t="n">
        <v>0</v>
      </c>
      <c r="R751" s="2" t="inlineStr"/>
    </row>
    <row r="752" ht="15" customHeight="1">
      <c r="A752" t="inlineStr">
        <is>
          <t>A 24161-2025</t>
        </is>
      </c>
      <c r="B752" s="1" t="n">
        <v>45796</v>
      </c>
      <c r="C752" s="1" t="n">
        <v>45880</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45880</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4125-2024</t>
        </is>
      </c>
      <c r="B754" s="1" t="n">
        <v>45323</v>
      </c>
      <c r="C754" s="1" t="n">
        <v>45880</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32088-2025</t>
        </is>
      </c>
      <c r="B755" s="1" t="n">
        <v>45835.45686342593</v>
      </c>
      <c r="C755" s="1" t="n">
        <v>45880</v>
      </c>
      <c r="D755" t="inlineStr">
        <is>
          <t>JÄMTLANDS LÄN</t>
        </is>
      </c>
      <c r="E755" t="inlineStr">
        <is>
          <t>RAGUNDA</t>
        </is>
      </c>
      <c r="G755" t="n">
        <v>0.8</v>
      </c>
      <c r="H755" t="n">
        <v>0</v>
      </c>
      <c r="I755" t="n">
        <v>0</v>
      </c>
      <c r="J755" t="n">
        <v>0</v>
      </c>
      <c r="K755" t="n">
        <v>0</v>
      </c>
      <c r="L755" t="n">
        <v>0</v>
      </c>
      <c r="M755" t="n">
        <v>0</v>
      </c>
      <c r="N755" t="n">
        <v>0</v>
      </c>
      <c r="O755" t="n">
        <v>0</v>
      </c>
      <c r="P755" t="n">
        <v>0</v>
      </c>
      <c r="Q755" t="n">
        <v>0</v>
      </c>
      <c r="R755" s="2" t="inlineStr"/>
    </row>
    <row r="756" ht="15" customHeight="1">
      <c r="A756" t="inlineStr">
        <is>
          <t>A 44980-2023</t>
        </is>
      </c>
      <c r="B756" s="1" t="n">
        <v>45190</v>
      </c>
      <c r="C756" s="1" t="n">
        <v>45880</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32096-2025</t>
        </is>
      </c>
      <c r="B757" s="1" t="n">
        <v>45835.46334490741</v>
      </c>
      <c r="C757" s="1" t="n">
        <v>45880</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46211-2024</t>
        </is>
      </c>
      <c r="B758" s="1" t="n">
        <v>45581.55260416667</v>
      </c>
      <c r="C758" s="1" t="n">
        <v>45880</v>
      </c>
      <c r="D758" t="inlineStr">
        <is>
          <t>JÄMTLANDS LÄN</t>
        </is>
      </c>
      <c r="E758" t="inlineStr">
        <is>
          <t>RAGUNDA</t>
        </is>
      </c>
      <c r="G758" t="n">
        <v>7.3</v>
      </c>
      <c r="H758" t="n">
        <v>0</v>
      </c>
      <c r="I758" t="n">
        <v>0</v>
      </c>
      <c r="J758" t="n">
        <v>0</v>
      </c>
      <c r="K758" t="n">
        <v>0</v>
      </c>
      <c r="L758" t="n">
        <v>0</v>
      </c>
      <c r="M758" t="n">
        <v>0</v>
      </c>
      <c r="N758" t="n">
        <v>0</v>
      </c>
      <c r="O758" t="n">
        <v>0</v>
      </c>
      <c r="P758" t="n">
        <v>0</v>
      </c>
      <c r="Q758" t="n">
        <v>0</v>
      </c>
      <c r="R758" s="2" t="inlineStr"/>
    </row>
    <row r="759" ht="15" customHeight="1">
      <c r="A759" t="inlineStr">
        <is>
          <t>A 32527-2025</t>
        </is>
      </c>
      <c r="B759" s="1" t="n">
        <v>45838.48996527777</v>
      </c>
      <c r="C759" s="1" t="n">
        <v>45880</v>
      </c>
      <c r="D759" t="inlineStr">
        <is>
          <t>JÄMTLANDS LÄN</t>
        </is>
      </c>
      <c r="E759" t="inlineStr">
        <is>
          <t>RAGUNDA</t>
        </is>
      </c>
      <c r="G759" t="n">
        <v>5</v>
      </c>
      <c r="H759" t="n">
        <v>0</v>
      </c>
      <c r="I759" t="n">
        <v>0</v>
      </c>
      <c r="J759" t="n">
        <v>0</v>
      </c>
      <c r="K759" t="n">
        <v>0</v>
      </c>
      <c r="L759" t="n">
        <v>0</v>
      </c>
      <c r="M759" t="n">
        <v>0</v>
      </c>
      <c r="N759" t="n">
        <v>0</v>
      </c>
      <c r="O759" t="n">
        <v>0</v>
      </c>
      <c r="P759" t="n">
        <v>0</v>
      </c>
      <c r="Q759" t="n">
        <v>0</v>
      </c>
      <c r="R759" s="2" t="inlineStr"/>
    </row>
    <row r="760" ht="15" customHeight="1">
      <c r="A760" t="inlineStr">
        <is>
          <t>A 8679-2023</t>
        </is>
      </c>
      <c r="B760" s="1" t="n">
        <v>44977.98670138889</v>
      </c>
      <c r="C760" s="1" t="n">
        <v>45880</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24157-2025</t>
        </is>
      </c>
      <c r="B761" s="1" t="n">
        <v>45796</v>
      </c>
      <c r="C761" s="1" t="n">
        <v>45880</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23841-2025</t>
        </is>
      </c>
      <c r="B762" s="1" t="n">
        <v>45793.61523148148</v>
      </c>
      <c r="C762" s="1" t="n">
        <v>45880</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14158-2024</t>
        </is>
      </c>
      <c r="B763" s="1" t="n">
        <v>45392</v>
      </c>
      <c r="C763" s="1" t="n">
        <v>45880</v>
      </c>
      <c r="D763" t="inlineStr">
        <is>
          <t>JÄMTLANDS LÄN</t>
        </is>
      </c>
      <c r="E763" t="inlineStr">
        <is>
          <t>RAGUNDA</t>
        </is>
      </c>
      <c r="G763" t="n">
        <v>0.7</v>
      </c>
      <c r="H763" t="n">
        <v>0</v>
      </c>
      <c r="I763" t="n">
        <v>0</v>
      </c>
      <c r="J763" t="n">
        <v>0</v>
      </c>
      <c r="K763" t="n">
        <v>0</v>
      </c>
      <c r="L763" t="n">
        <v>0</v>
      </c>
      <c r="M763" t="n">
        <v>0</v>
      </c>
      <c r="N763" t="n">
        <v>0</v>
      </c>
      <c r="O763" t="n">
        <v>0</v>
      </c>
      <c r="P763" t="n">
        <v>0</v>
      </c>
      <c r="Q763" t="n">
        <v>0</v>
      </c>
      <c r="R763" s="2" t="inlineStr"/>
    </row>
    <row r="764" ht="15" customHeight="1">
      <c r="A764" t="inlineStr">
        <is>
          <t>A 27777-2022</t>
        </is>
      </c>
      <c r="B764" s="1" t="n">
        <v>44743</v>
      </c>
      <c r="C764" s="1" t="n">
        <v>45880</v>
      </c>
      <c r="D764" t="inlineStr">
        <is>
          <t>JÄMTLANDS LÄN</t>
        </is>
      </c>
      <c r="E764" t="inlineStr">
        <is>
          <t>RAGUNDA</t>
        </is>
      </c>
      <c r="G764" t="n">
        <v>1.5</v>
      </c>
      <c r="H764" t="n">
        <v>0</v>
      </c>
      <c r="I764" t="n">
        <v>0</v>
      </c>
      <c r="J764" t="n">
        <v>0</v>
      </c>
      <c r="K764" t="n">
        <v>0</v>
      </c>
      <c r="L764" t="n">
        <v>0</v>
      </c>
      <c r="M764" t="n">
        <v>0</v>
      </c>
      <c r="N764" t="n">
        <v>0</v>
      </c>
      <c r="O764" t="n">
        <v>0</v>
      </c>
      <c r="P764" t="n">
        <v>0</v>
      </c>
      <c r="Q764" t="n">
        <v>0</v>
      </c>
      <c r="R764" s="2" t="inlineStr"/>
    </row>
    <row r="765" ht="15" customHeight="1">
      <c r="A765" t="inlineStr">
        <is>
          <t>A 55649-2023</t>
        </is>
      </c>
      <c r="B765" s="1" t="n">
        <v>45238</v>
      </c>
      <c r="C765" s="1" t="n">
        <v>45880</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51245-2024</t>
        </is>
      </c>
      <c r="B766" s="1" t="n">
        <v>45603.67850694444</v>
      </c>
      <c r="C766" s="1" t="n">
        <v>45880</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61923-2024</t>
        </is>
      </c>
      <c r="B767" s="1" t="n">
        <v>45653.44836805556</v>
      </c>
      <c r="C767" s="1" t="n">
        <v>45880</v>
      </c>
      <c r="D767" t="inlineStr">
        <is>
          <t>JÄMTLANDS LÄN</t>
        </is>
      </c>
      <c r="E767" t="inlineStr">
        <is>
          <t>RAGUNDA</t>
        </is>
      </c>
      <c r="F767" t="inlineStr">
        <is>
          <t>SCA</t>
        </is>
      </c>
      <c r="G767" t="n">
        <v>11.1</v>
      </c>
      <c r="H767" t="n">
        <v>0</v>
      </c>
      <c r="I767" t="n">
        <v>0</v>
      </c>
      <c r="J767" t="n">
        <v>0</v>
      </c>
      <c r="K767" t="n">
        <v>0</v>
      </c>
      <c r="L767" t="n">
        <v>0</v>
      </c>
      <c r="M767" t="n">
        <v>0</v>
      </c>
      <c r="N767" t="n">
        <v>0</v>
      </c>
      <c r="O767" t="n">
        <v>0</v>
      </c>
      <c r="P767" t="n">
        <v>0</v>
      </c>
      <c r="Q767" t="n">
        <v>0</v>
      </c>
      <c r="R767" s="2" t="inlineStr"/>
    </row>
    <row r="768" ht="15" customHeight="1">
      <c r="A768" t="inlineStr">
        <is>
          <t>A 50503-2024</t>
        </is>
      </c>
      <c r="B768" s="1" t="n">
        <v>45601.5315625</v>
      </c>
      <c r="C768" s="1" t="n">
        <v>45880</v>
      </c>
      <c r="D768" t="inlineStr">
        <is>
          <t>JÄMTLANDS LÄN</t>
        </is>
      </c>
      <c r="E768" t="inlineStr">
        <is>
          <t>RAGUNDA</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53769-2023</t>
        </is>
      </c>
      <c r="B769" s="1" t="n">
        <v>45230</v>
      </c>
      <c r="C769" s="1" t="n">
        <v>45880</v>
      </c>
      <c r="D769" t="inlineStr">
        <is>
          <t>JÄMTLANDS LÄN</t>
        </is>
      </c>
      <c r="E769" t="inlineStr">
        <is>
          <t>RAGUNDA</t>
        </is>
      </c>
      <c r="F769" t="inlineStr">
        <is>
          <t>SCA</t>
        </is>
      </c>
      <c r="G769" t="n">
        <v>11.6</v>
      </c>
      <c r="H769" t="n">
        <v>0</v>
      </c>
      <c r="I769" t="n">
        <v>0</v>
      </c>
      <c r="J769" t="n">
        <v>0</v>
      </c>
      <c r="K769" t="n">
        <v>0</v>
      </c>
      <c r="L769" t="n">
        <v>0</v>
      </c>
      <c r="M769" t="n">
        <v>0</v>
      </c>
      <c r="N769" t="n">
        <v>0</v>
      </c>
      <c r="O769" t="n">
        <v>0</v>
      </c>
      <c r="P769" t="n">
        <v>0</v>
      </c>
      <c r="Q769" t="n">
        <v>0</v>
      </c>
      <c r="R769" s="2" t="inlineStr"/>
    </row>
    <row r="770" ht="15" customHeight="1">
      <c r="A770" t="inlineStr">
        <is>
          <t>A 24149-2025</t>
        </is>
      </c>
      <c r="B770" s="1" t="n">
        <v>45796</v>
      </c>
      <c r="C770" s="1" t="n">
        <v>45880</v>
      </c>
      <c r="D770" t="inlineStr">
        <is>
          <t>JÄMTLANDS LÄN</t>
        </is>
      </c>
      <c r="E770" t="inlineStr">
        <is>
          <t>RAGUNDA</t>
        </is>
      </c>
      <c r="G770" t="n">
        <v>2.4</v>
      </c>
      <c r="H770" t="n">
        <v>0</v>
      </c>
      <c r="I770" t="n">
        <v>0</v>
      </c>
      <c r="J770" t="n">
        <v>0</v>
      </c>
      <c r="K770" t="n">
        <v>0</v>
      </c>
      <c r="L770" t="n">
        <v>0</v>
      </c>
      <c r="M770" t="n">
        <v>0</v>
      </c>
      <c r="N770" t="n">
        <v>0</v>
      </c>
      <c r="O770" t="n">
        <v>0</v>
      </c>
      <c r="P770" t="n">
        <v>0</v>
      </c>
      <c r="Q770" t="n">
        <v>0</v>
      </c>
      <c r="R770" s="2" t="inlineStr"/>
    </row>
    <row r="771" ht="15" customHeight="1">
      <c r="A771" t="inlineStr">
        <is>
          <t>A 59556-2024</t>
        </is>
      </c>
      <c r="B771" s="1" t="n">
        <v>45638.63600694444</v>
      </c>
      <c r="C771" s="1" t="n">
        <v>45880</v>
      </c>
      <c r="D771" t="inlineStr">
        <is>
          <t>JÄMTLANDS LÄN</t>
        </is>
      </c>
      <c r="E771" t="inlineStr">
        <is>
          <t>RAGUNDA</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54092-2024</t>
        </is>
      </c>
      <c r="B772" s="1" t="n">
        <v>45616.5108912037</v>
      </c>
      <c r="C772" s="1" t="n">
        <v>45880</v>
      </c>
      <c r="D772" t="inlineStr">
        <is>
          <t>JÄMTLANDS LÄN</t>
        </is>
      </c>
      <c r="E772" t="inlineStr">
        <is>
          <t>RAGUNDA</t>
        </is>
      </c>
      <c r="F772" t="inlineStr">
        <is>
          <t>Naturvårdsverket</t>
        </is>
      </c>
      <c r="G772" t="n">
        <v>1.3</v>
      </c>
      <c r="H772" t="n">
        <v>0</v>
      </c>
      <c r="I772" t="n">
        <v>0</v>
      </c>
      <c r="J772" t="n">
        <v>0</v>
      </c>
      <c r="K772" t="n">
        <v>0</v>
      </c>
      <c r="L772" t="n">
        <v>0</v>
      </c>
      <c r="M772" t="n">
        <v>0</v>
      </c>
      <c r="N772" t="n">
        <v>0</v>
      </c>
      <c r="O772" t="n">
        <v>0</v>
      </c>
      <c r="P772" t="n">
        <v>0</v>
      </c>
      <c r="Q772" t="n">
        <v>0</v>
      </c>
      <c r="R772" s="2" t="inlineStr"/>
    </row>
    <row r="773" ht="15" customHeight="1">
      <c r="A773" t="inlineStr">
        <is>
          <t>A 13302-2022</t>
        </is>
      </c>
      <c r="B773" s="1" t="n">
        <v>44644</v>
      </c>
      <c r="C773" s="1" t="n">
        <v>45880</v>
      </c>
      <c r="D773" t="inlineStr">
        <is>
          <t>JÄMTLANDS LÄN</t>
        </is>
      </c>
      <c r="E773" t="inlineStr">
        <is>
          <t>RAGUNDA</t>
        </is>
      </c>
      <c r="F773" t="inlineStr">
        <is>
          <t>SCA</t>
        </is>
      </c>
      <c r="G773" t="n">
        <v>35.6</v>
      </c>
      <c r="H773" t="n">
        <v>0</v>
      </c>
      <c r="I773" t="n">
        <v>0</v>
      </c>
      <c r="J773" t="n">
        <v>0</v>
      </c>
      <c r="K773" t="n">
        <v>0</v>
      </c>
      <c r="L773" t="n">
        <v>0</v>
      </c>
      <c r="M773" t="n">
        <v>0</v>
      </c>
      <c r="N773" t="n">
        <v>0</v>
      </c>
      <c r="O773" t="n">
        <v>0</v>
      </c>
      <c r="P773" t="n">
        <v>0</v>
      </c>
      <c r="Q773" t="n">
        <v>0</v>
      </c>
      <c r="R773" s="2" t="inlineStr"/>
    </row>
    <row r="774" ht="15" customHeight="1">
      <c r="A774" t="inlineStr">
        <is>
          <t>A 24159-2025</t>
        </is>
      </c>
      <c r="B774" s="1" t="n">
        <v>45796</v>
      </c>
      <c r="C774" s="1" t="n">
        <v>45880</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21524-2024</t>
        </is>
      </c>
      <c r="B775" s="1" t="n">
        <v>45441</v>
      </c>
      <c r="C775" s="1" t="n">
        <v>45880</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40919-2024</t>
        </is>
      </c>
      <c r="B776" s="1" t="n">
        <v>45558.63575231482</v>
      </c>
      <c r="C776" s="1" t="n">
        <v>45880</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18225-2024</t>
        </is>
      </c>
      <c r="B777" s="1" t="n">
        <v>45420</v>
      </c>
      <c r="C777" s="1" t="n">
        <v>45880</v>
      </c>
      <c r="D777" t="inlineStr">
        <is>
          <t>JÄMTLANDS LÄN</t>
        </is>
      </c>
      <c r="E777" t="inlineStr">
        <is>
          <t>RAGUNDA</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32748-2025</t>
        </is>
      </c>
      <c r="B778" s="1" t="n">
        <v>45839.42822916667</v>
      </c>
      <c r="C778" s="1" t="n">
        <v>45880</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15024-2022</t>
        </is>
      </c>
      <c r="B779" s="1" t="n">
        <v>44657</v>
      </c>
      <c r="C779" s="1" t="n">
        <v>45880</v>
      </c>
      <c r="D779" t="inlineStr">
        <is>
          <t>JÄMTLANDS LÄN</t>
        </is>
      </c>
      <c r="E779" t="inlineStr">
        <is>
          <t>RAGUNDA</t>
        </is>
      </c>
      <c r="G779" t="n">
        <v>1.8</v>
      </c>
      <c r="H779" t="n">
        <v>0</v>
      </c>
      <c r="I779" t="n">
        <v>0</v>
      </c>
      <c r="J779" t="n">
        <v>0</v>
      </c>
      <c r="K779" t="n">
        <v>0</v>
      </c>
      <c r="L779" t="n">
        <v>0</v>
      </c>
      <c r="M779" t="n">
        <v>0</v>
      </c>
      <c r="N779" t="n">
        <v>0</v>
      </c>
      <c r="O779" t="n">
        <v>0</v>
      </c>
      <c r="P779" t="n">
        <v>0</v>
      </c>
      <c r="Q779" t="n">
        <v>0</v>
      </c>
      <c r="R779" s="2" t="inlineStr"/>
    </row>
    <row r="780" ht="15" customHeight="1">
      <c r="A780" t="inlineStr">
        <is>
          <t>A 32747-2025</t>
        </is>
      </c>
      <c r="B780" s="1" t="n">
        <v>45839.42810185185</v>
      </c>
      <c r="C780" s="1" t="n">
        <v>45880</v>
      </c>
      <c r="D780" t="inlineStr">
        <is>
          <t>JÄMTLANDS LÄN</t>
        </is>
      </c>
      <c r="E780" t="inlineStr">
        <is>
          <t>RAGUNDA</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32762-2025</t>
        </is>
      </c>
      <c r="B781" s="1" t="n">
        <v>45838</v>
      </c>
      <c r="C781" s="1" t="n">
        <v>45880</v>
      </c>
      <c r="D781" t="inlineStr">
        <is>
          <t>JÄMTLANDS LÄN</t>
        </is>
      </c>
      <c r="E781" t="inlineStr">
        <is>
          <t>RAGUNDA</t>
        </is>
      </c>
      <c r="G781" t="n">
        <v>0.6</v>
      </c>
      <c r="H781" t="n">
        <v>0</v>
      </c>
      <c r="I781" t="n">
        <v>0</v>
      </c>
      <c r="J781" t="n">
        <v>0</v>
      </c>
      <c r="K781" t="n">
        <v>0</v>
      </c>
      <c r="L781" t="n">
        <v>0</v>
      </c>
      <c r="M781" t="n">
        <v>0</v>
      </c>
      <c r="N781" t="n">
        <v>0</v>
      </c>
      <c r="O781" t="n">
        <v>0</v>
      </c>
      <c r="P781" t="n">
        <v>0</v>
      </c>
      <c r="Q781" t="n">
        <v>0</v>
      </c>
      <c r="R781" s="2" t="inlineStr"/>
    </row>
    <row r="782" ht="15" customHeight="1">
      <c r="A782" t="inlineStr">
        <is>
          <t>A 32796-2025</t>
        </is>
      </c>
      <c r="B782" s="1" t="n">
        <v>45839.49082175926</v>
      </c>
      <c r="C782" s="1" t="n">
        <v>45880</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48192-2024</t>
        </is>
      </c>
      <c r="B783" s="1" t="n">
        <v>45590</v>
      </c>
      <c r="C783" s="1" t="n">
        <v>45880</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12768-2022</t>
        </is>
      </c>
      <c r="B784" s="1" t="n">
        <v>44641</v>
      </c>
      <c r="C784" s="1" t="n">
        <v>45880</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12773-2022</t>
        </is>
      </c>
      <c r="B785" s="1" t="n">
        <v>44641</v>
      </c>
      <c r="C785" s="1" t="n">
        <v>45880</v>
      </c>
      <c r="D785" t="inlineStr">
        <is>
          <t>JÄMTLANDS LÄN</t>
        </is>
      </c>
      <c r="E785" t="inlineStr">
        <is>
          <t>RAGUNDA</t>
        </is>
      </c>
      <c r="F785" t="inlineStr">
        <is>
          <t>SCA</t>
        </is>
      </c>
      <c r="G785" t="n">
        <v>14.7</v>
      </c>
      <c r="H785" t="n">
        <v>0</v>
      </c>
      <c r="I785" t="n">
        <v>0</v>
      </c>
      <c r="J785" t="n">
        <v>0</v>
      </c>
      <c r="K785" t="n">
        <v>0</v>
      </c>
      <c r="L785" t="n">
        <v>0</v>
      </c>
      <c r="M785" t="n">
        <v>0</v>
      </c>
      <c r="N785" t="n">
        <v>0</v>
      </c>
      <c r="O785" t="n">
        <v>0</v>
      </c>
      <c r="P785" t="n">
        <v>0</v>
      </c>
      <c r="Q785" t="n">
        <v>0</v>
      </c>
      <c r="R785" s="2" t="inlineStr"/>
    </row>
    <row r="786" ht="15" customHeight="1">
      <c r="A786" t="inlineStr">
        <is>
          <t>A 61598-2024</t>
        </is>
      </c>
      <c r="B786" s="1" t="n">
        <v>45646.63605324074</v>
      </c>
      <c r="C786" s="1" t="n">
        <v>45880</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7280-2024</t>
        </is>
      </c>
      <c r="B787" s="1" t="n">
        <v>45344</v>
      </c>
      <c r="C787" s="1" t="n">
        <v>45880</v>
      </c>
      <c r="D787" t="inlineStr">
        <is>
          <t>JÄMTLANDS LÄN</t>
        </is>
      </c>
      <c r="E787" t="inlineStr">
        <is>
          <t>RAGUNDA</t>
        </is>
      </c>
      <c r="G787" t="n">
        <v>1.6</v>
      </c>
      <c r="H787" t="n">
        <v>0</v>
      </c>
      <c r="I787" t="n">
        <v>0</v>
      </c>
      <c r="J787" t="n">
        <v>0</v>
      </c>
      <c r="K787" t="n">
        <v>0</v>
      </c>
      <c r="L787" t="n">
        <v>0</v>
      </c>
      <c r="M787" t="n">
        <v>0</v>
      </c>
      <c r="N787" t="n">
        <v>0</v>
      </c>
      <c r="O787" t="n">
        <v>0</v>
      </c>
      <c r="P787" t="n">
        <v>0</v>
      </c>
      <c r="Q787" t="n">
        <v>0</v>
      </c>
      <c r="R787" s="2" t="inlineStr"/>
    </row>
    <row r="788" ht="15" customHeight="1">
      <c r="A788" t="inlineStr">
        <is>
          <t>A 33140-2025</t>
        </is>
      </c>
      <c r="B788" s="1" t="n">
        <v>45840.52225694444</v>
      </c>
      <c r="C788" s="1" t="n">
        <v>45880</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21662-2023</t>
        </is>
      </c>
      <c r="B789" s="1" t="n">
        <v>45063</v>
      </c>
      <c r="C789" s="1" t="n">
        <v>45880</v>
      </c>
      <c r="D789" t="inlineStr">
        <is>
          <t>JÄMTLANDS LÄN</t>
        </is>
      </c>
      <c r="E789" t="inlineStr">
        <is>
          <t>RAGUNDA</t>
        </is>
      </c>
      <c r="G789" t="n">
        <v>1.8</v>
      </c>
      <c r="H789" t="n">
        <v>0</v>
      </c>
      <c r="I789" t="n">
        <v>0</v>
      </c>
      <c r="J789" t="n">
        <v>0</v>
      </c>
      <c r="K789" t="n">
        <v>0</v>
      </c>
      <c r="L789" t="n">
        <v>0</v>
      </c>
      <c r="M789" t="n">
        <v>0</v>
      </c>
      <c r="N789" t="n">
        <v>0</v>
      </c>
      <c r="O789" t="n">
        <v>0</v>
      </c>
      <c r="P789" t="n">
        <v>0</v>
      </c>
      <c r="Q789" t="n">
        <v>0</v>
      </c>
      <c r="R789" s="2" t="inlineStr"/>
    </row>
    <row r="790" ht="15" customHeight="1">
      <c r="A790" t="inlineStr">
        <is>
          <t>A 61107-2024</t>
        </is>
      </c>
      <c r="B790" s="1" t="n">
        <v>45645.55665509259</v>
      </c>
      <c r="C790" s="1" t="n">
        <v>45880</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5313-2025</t>
        </is>
      </c>
      <c r="B791" s="1" t="n">
        <v>45692.51069444444</v>
      </c>
      <c r="C791" s="1" t="n">
        <v>45880</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5357-2025</t>
        </is>
      </c>
      <c r="B792" s="1" t="n">
        <v>45692.57326388889</v>
      </c>
      <c r="C792" s="1" t="n">
        <v>45880</v>
      </c>
      <c r="D792" t="inlineStr">
        <is>
          <t>JÄMTLANDS LÄN</t>
        </is>
      </c>
      <c r="E792" t="inlineStr">
        <is>
          <t>RAGUNDA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62407-2023</t>
        </is>
      </c>
      <c r="B793" s="1" t="n">
        <v>45266</v>
      </c>
      <c r="C793" s="1" t="n">
        <v>45880</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32846-2025</t>
        </is>
      </c>
      <c r="B794" s="1" t="n">
        <v>45839.57331018519</v>
      </c>
      <c r="C794" s="1" t="n">
        <v>45880</v>
      </c>
      <c r="D794" t="inlineStr">
        <is>
          <t>JÄMTLANDS LÄN</t>
        </is>
      </c>
      <c r="E794" t="inlineStr">
        <is>
          <t>RAGUNDA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44494-2024</t>
        </is>
      </c>
      <c r="B795" s="1" t="n">
        <v>45574.39081018518</v>
      </c>
      <c r="C795" s="1" t="n">
        <v>45880</v>
      </c>
      <c r="D795" t="inlineStr">
        <is>
          <t>JÄMTLANDS LÄN</t>
        </is>
      </c>
      <c r="E795" t="inlineStr">
        <is>
          <t>RAGUNDA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12983-2025</t>
        </is>
      </c>
      <c r="B796" s="1" t="n">
        <v>45734.4633912037</v>
      </c>
      <c r="C796" s="1" t="n">
        <v>45880</v>
      </c>
      <c r="D796" t="inlineStr">
        <is>
          <t>JÄMTLANDS LÄN</t>
        </is>
      </c>
      <c r="E796" t="inlineStr">
        <is>
          <t>RAGUNDA</t>
        </is>
      </c>
      <c r="G796" t="n">
        <v>5.2</v>
      </c>
      <c r="H796" t="n">
        <v>0</v>
      </c>
      <c r="I796" t="n">
        <v>0</v>
      </c>
      <c r="J796" t="n">
        <v>0</v>
      </c>
      <c r="K796" t="n">
        <v>0</v>
      </c>
      <c r="L796" t="n">
        <v>0</v>
      </c>
      <c r="M796" t="n">
        <v>0</v>
      </c>
      <c r="N796" t="n">
        <v>0</v>
      </c>
      <c r="O796" t="n">
        <v>0</v>
      </c>
      <c r="P796" t="n">
        <v>0</v>
      </c>
      <c r="Q796" t="n">
        <v>0</v>
      </c>
      <c r="R796" s="2" t="inlineStr"/>
    </row>
    <row r="797" ht="15" customHeight="1">
      <c r="A797" t="inlineStr">
        <is>
          <t>A 38191-2024</t>
        </is>
      </c>
      <c r="B797" s="1" t="n">
        <v>45545.49078703704</v>
      </c>
      <c r="C797" s="1" t="n">
        <v>45880</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32751-2025</t>
        </is>
      </c>
      <c r="B798" s="1" t="n">
        <v>45839.42864583333</v>
      </c>
      <c r="C798" s="1" t="n">
        <v>45880</v>
      </c>
      <c r="D798" t="inlineStr">
        <is>
          <t>JÄMTLANDS LÄN</t>
        </is>
      </c>
      <c r="E798" t="inlineStr">
        <is>
          <t>RAGUNDA</t>
        </is>
      </c>
      <c r="F798" t="inlineStr">
        <is>
          <t>SCA</t>
        </is>
      </c>
      <c r="G798" t="n">
        <v>10</v>
      </c>
      <c r="H798" t="n">
        <v>0</v>
      </c>
      <c r="I798" t="n">
        <v>0</v>
      </c>
      <c r="J798" t="n">
        <v>0</v>
      </c>
      <c r="K798" t="n">
        <v>0</v>
      </c>
      <c r="L798" t="n">
        <v>0</v>
      </c>
      <c r="M798" t="n">
        <v>0</v>
      </c>
      <c r="N798" t="n">
        <v>0</v>
      </c>
      <c r="O798" t="n">
        <v>0</v>
      </c>
      <c r="P798" t="n">
        <v>0</v>
      </c>
      <c r="Q798" t="n">
        <v>0</v>
      </c>
      <c r="R798" s="2" t="inlineStr"/>
    </row>
    <row r="799" ht="15" customHeight="1">
      <c r="A799" t="inlineStr">
        <is>
          <t>A 32757-2025</t>
        </is>
      </c>
      <c r="B799" s="1" t="n">
        <v>45838</v>
      </c>
      <c r="C799" s="1" t="n">
        <v>45880</v>
      </c>
      <c r="D799" t="inlineStr">
        <is>
          <t>JÄMTLANDS LÄN</t>
        </is>
      </c>
      <c r="E799" t="inlineStr">
        <is>
          <t>RAGUNDA</t>
        </is>
      </c>
      <c r="G799" t="n">
        <v>4.5</v>
      </c>
      <c r="H799" t="n">
        <v>0</v>
      </c>
      <c r="I799" t="n">
        <v>0</v>
      </c>
      <c r="J799" t="n">
        <v>0</v>
      </c>
      <c r="K799" t="n">
        <v>0</v>
      </c>
      <c r="L799" t="n">
        <v>0</v>
      </c>
      <c r="M799" t="n">
        <v>0</v>
      </c>
      <c r="N799" t="n">
        <v>0</v>
      </c>
      <c r="O799" t="n">
        <v>0</v>
      </c>
      <c r="P799" t="n">
        <v>0</v>
      </c>
      <c r="Q799" t="n">
        <v>0</v>
      </c>
      <c r="R799" s="2" t="inlineStr"/>
    </row>
    <row r="800" ht="15" customHeight="1">
      <c r="A800" t="inlineStr">
        <is>
          <t>A 32777-2025</t>
        </is>
      </c>
      <c r="B800" s="1" t="n">
        <v>45839.46915509259</v>
      </c>
      <c r="C800" s="1" t="n">
        <v>45880</v>
      </c>
      <c r="D800" t="inlineStr">
        <is>
          <t>JÄMTLANDS LÄN</t>
        </is>
      </c>
      <c r="E800" t="inlineStr">
        <is>
          <t>RAGUNDA</t>
        </is>
      </c>
      <c r="F800" t="inlineStr">
        <is>
          <t>SCA</t>
        </is>
      </c>
      <c r="G800" t="n">
        <v>21.7</v>
      </c>
      <c r="H800" t="n">
        <v>0</v>
      </c>
      <c r="I800" t="n">
        <v>0</v>
      </c>
      <c r="J800" t="n">
        <v>0</v>
      </c>
      <c r="K800" t="n">
        <v>0</v>
      </c>
      <c r="L800" t="n">
        <v>0</v>
      </c>
      <c r="M800" t="n">
        <v>0</v>
      </c>
      <c r="N800" t="n">
        <v>0</v>
      </c>
      <c r="O800" t="n">
        <v>0</v>
      </c>
      <c r="P800" t="n">
        <v>0</v>
      </c>
      <c r="Q800" t="n">
        <v>0</v>
      </c>
      <c r="R800" s="2" t="inlineStr"/>
    </row>
    <row r="801" ht="15" customHeight="1">
      <c r="A801" t="inlineStr">
        <is>
          <t>A 39626-2024</t>
        </is>
      </c>
      <c r="B801" s="1" t="n">
        <v>45552.44096064815</v>
      </c>
      <c r="C801" s="1" t="n">
        <v>45880</v>
      </c>
      <c r="D801" t="inlineStr">
        <is>
          <t>JÄMTLANDS LÄN</t>
        </is>
      </c>
      <c r="E801" t="inlineStr">
        <is>
          <t>RAGUNDA</t>
        </is>
      </c>
      <c r="G801" t="n">
        <v>23.5</v>
      </c>
      <c r="H801" t="n">
        <v>0</v>
      </c>
      <c r="I801" t="n">
        <v>0</v>
      </c>
      <c r="J801" t="n">
        <v>0</v>
      </c>
      <c r="K801" t="n">
        <v>0</v>
      </c>
      <c r="L801" t="n">
        <v>0</v>
      </c>
      <c r="M801" t="n">
        <v>0</v>
      </c>
      <c r="N801" t="n">
        <v>0</v>
      </c>
      <c r="O801" t="n">
        <v>0</v>
      </c>
      <c r="P801" t="n">
        <v>0</v>
      </c>
      <c r="Q801" t="n">
        <v>0</v>
      </c>
      <c r="R801" s="2" t="inlineStr"/>
    </row>
    <row r="802" ht="15" customHeight="1">
      <c r="A802" t="inlineStr">
        <is>
          <t>A 18375-2022</t>
        </is>
      </c>
      <c r="B802" s="1" t="n">
        <v>44685</v>
      </c>
      <c r="C802" s="1" t="n">
        <v>45880</v>
      </c>
      <c r="D802" t="inlineStr">
        <is>
          <t>JÄMTLANDS LÄN</t>
        </is>
      </c>
      <c r="E802" t="inlineStr">
        <is>
          <t>RAGUNDA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45631-2024</t>
        </is>
      </c>
      <c r="B803" s="1" t="n">
        <v>45579.47052083333</v>
      </c>
      <c r="C803" s="1" t="n">
        <v>45880</v>
      </c>
      <c r="D803" t="inlineStr">
        <is>
          <t>JÄMTLANDS LÄN</t>
        </is>
      </c>
      <c r="E803" t="inlineStr">
        <is>
          <t>RAGUNDA</t>
        </is>
      </c>
      <c r="G803" t="n">
        <v>15.1</v>
      </c>
      <c r="H803" t="n">
        <v>0</v>
      </c>
      <c r="I803" t="n">
        <v>0</v>
      </c>
      <c r="J803" t="n">
        <v>0</v>
      </c>
      <c r="K803" t="n">
        <v>0</v>
      </c>
      <c r="L803" t="n">
        <v>0</v>
      </c>
      <c r="M803" t="n">
        <v>0</v>
      </c>
      <c r="N803" t="n">
        <v>0</v>
      </c>
      <c r="O803" t="n">
        <v>0</v>
      </c>
      <c r="P803" t="n">
        <v>0</v>
      </c>
      <c r="Q803" t="n">
        <v>0</v>
      </c>
      <c r="R803" s="2" t="inlineStr"/>
    </row>
    <row r="804" ht="15" customHeight="1">
      <c r="A804" t="inlineStr">
        <is>
          <t>A 55536-2024</t>
        </is>
      </c>
      <c r="B804" s="1" t="n">
        <v>45622</v>
      </c>
      <c r="C804" s="1" t="n">
        <v>45880</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62135-2024</t>
        </is>
      </c>
      <c r="B805" s="1" t="n">
        <v>45656.64223379629</v>
      </c>
      <c r="C805" s="1" t="n">
        <v>45880</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8802-2022</t>
        </is>
      </c>
      <c r="B806" s="1" t="n">
        <v>44614</v>
      </c>
      <c r="C806" s="1" t="n">
        <v>45880</v>
      </c>
      <c r="D806" t="inlineStr">
        <is>
          <t>JÄMTLANDS LÄN</t>
        </is>
      </c>
      <c r="E806" t="inlineStr">
        <is>
          <t>RAGUNDA</t>
        </is>
      </c>
      <c r="G806" t="n">
        <v>2.8</v>
      </c>
      <c r="H806" t="n">
        <v>0</v>
      </c>
      <c r="I806" t="n">
        <v>0</v>
      </c>
      <c r="J806" t="n">
        <v>0</v>
      </c>
      <c r="K806" t="n">
        <v>0</v>
      </c>
      <c r="L806" t="n">
        <v>0</v>
      </c>
      <c r="M806" t="n">
        <v>0</v>
      </c>
      <c r="N806" t="n">
        <v>0</v>
      </c>
      <c r="O806" t="n">
        <v>0</v>
      </c>
      <c r="P806" t="n">
        <v>0</v>
      </c>
      <c r="Q806" t="n">
        <v>0</v>
      </c>
      <c r="R806" s="2" t="inlineStr"/>
    </row>
    <row r="807" ht="15" customHeight="1">
      <c r="A807" t="inlineStr">
        <is>
          <t>A 2411-2023</t>
        </is>
      </c>
      <c r="B807" s="1" t="n">
        <v>44942</v>
      </c>
      <c r="C807" s="1" t="n">
        <v>45880</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11834-2023</t>
        </is>
      </c>
      <c r="B808" s="1" t="n">
        <v>44994.94296296296</v>
      </c>
      <c r="C808" s="1" t="n">
        <v>45880</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9823-2025</t>
        </is>
      </c>
      <c r="B809" s="1" t="n">
        <v>45716</v>
      </c>
      <c r="C809" s="1" t="n">
        <v>45880</v>
      </c>
      <c r="D809" t="inlineStr">
        <is>
          <t>JÄMTLANDS LÄN</t>
        </is>
      </c>
      <c r="E809" t="inlineStr">
        <is>
          <t>RAGUNDA</t>
        </is>
      </c>
      <c r="F809" t="inlineStr">
        <is>
          <t>SCA</t>
        </is>
      </c>
      <c r="G809" t="n">
        <v>6.2</v>
      </c>
      <c r="H809" t="n">
        <v>0</v>
      </c>
      <c r="I809" t="n">
        <v>0</v>
      </c>
      <c r="J809" t="n">
        <v>0</v>
      </c>
      <c r="K809" t="n">
        <v>0</v>
      </c>
      <c r="L809" t="n">
        <v>0</v>
      </c>
      <c r="M809" t="n">
        <v>0</v>
      </c>
      <c r="N809" t="n">
        <v>0</v>
      </c>
      <c r="O809" t="n">
        <v>0</v>
      </c>
      <c r="P809" t="n">
        <v>0</v>
      </c>
      <c r="Q809" t="n">
        <v>0</v>
      </c>
      <c r="R809" s="2" t="inlineStr"/>
    </row>
    <row r="810" ht="15" customHeight="1">
      <c r="A810" t="inlineStr">
        <is>
          <t>A 9847-2025</t>
        </is>
      </c>
      <c r="B810" s="1" t="n">
        <v>45716.61487268518</v>
      </c>
      <c r="C810" s="1" t="n">
        <v>45880</v>
      </c>
      <c r="D810" t="inlineStr">
        <is>
          <t>JÄMTLANDS LÄN</t>
        </is>
      </c>
      <c r="E810" t="inlineStr">
        <is>
          <t>RAGUNDA</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53264-2024</t>
        </is>
      </c>
      <c r="B811" s="1" t="n">
        <v>45614.34545138889</v>
      </c>
      <c r="C811" s="1" t="n">
        <v>45880</v>
      </c>
      <c r="D811" t="inlineStr">
        <is>
          <t>JÄMTLANDS LÄN</t>
        </is>
      </c>
      <c r="E811" t="inlineStr">
        <is>
          <t>RAGUNDA</t>
        </is>
      </c>
      <c r="G811" t="n">
        <v>1.4</v>
      </c>
      <c r="H811" t="n">
        <v>0</v>
      </c>
      <c r="I811" t="n">
        <v>0</v>
      </c>
      <c r="J811" t="n">
        <v>0</v>
      </c>
      <c r="K811" t="n">
        <v>0</v>
      </c>
      <c r="L811" t="n">
        <v>0</v>
      </c>
      <c r="M811" t="n">
        <v>0</v>
      </c>
      <c r="N811" t="n">
        <v>0</v>
      </c>
      <c r="O811" t="n">
        <v>0</v>
      </c>
      <c r="P811" t="n">
        <v>0</v>
      </c>
      <c r="Q811" t="n">
        <v>0</v>
      </c>
      <c r="R811" s="2" t="inlineStr"/>
    </row>
    <row r="812" ht="15" customHeight="1">
      <c r="A812" t="inlineStr">
        <is>
          <t>A 50431-2024</t>
        </is>
      </c>
      <c r="B812" s="1" t="n">
        <v>45601.40686342592</v>
      </c>
      <c r="C812" s="1" t="n">
        <v>45880</v>
      </c>
      <c r="D812" t="inlineStr">
        <is>
          <t>JÄMTLANDS LÄN</t>
        </is>
      </c>
      <c r="E812" t="inlineStr">
        <is>
          <t>RAGUNDA</t>
        </is>
      </c>
      <c r="F812" t="inlineStr">
        <is>
          <t>SCA</t>
        </is>
      </c>
      <c r="G812" t="n">
        <v>8.5</v>
      </c>
      <c r="H812" t="n">
        <v>0</v>
      </c>
      <c r="I812" t="n">
        <v>0</v>
      </c>
      <c r="J812" t="n">
        <v>0</v>
      </c>
      <c r="K812" t="n">
        <v>0</v>
      </c>
      <c r="L812" t="n">
        <v>0</v>
      </c>
      <c r="M812" t="n">
        <v>0</v>
      </c>
      <c r="N812" t="n">
        <v>0</v>
      </c>
      <c r="O812" t="n">
        <v>0</v>
      </c>
      <c r="P812" t="n">
        <v>0</v>
      </c>
      <c r="Q812" t="n">
        <v>0</v>
      </c>
      <c r="R812" s="2" t="inlineStr"/>
    </row>
    <row r="813" ht="15" customHeight="1">
      <c r="A813" t="inlineStr">
        <is>
          <t>A 20987-2023</t>
        </is>
      </c>
      <c r="B813" s="1" t="n">
        <v>45056</v>
      </c>
      <c r="C813" s="1" t="n">
        <v>45880</v>
      </c>
      <c r="D813" t="inlineStr">
        <is>
          <t>JÄMTLANDS LÄN</t>
        </is>
      </c>
      <c r="E813" t="inlineStr">
        <is>
          <t>RAGUNDA</t>
        </is>
      </c>
      <c r="G813" t="n">
        <v>1.1</v>
      </c>
      <c r="H813" t="n">
        <v>0</v>
      </c>
      <c r="I813" t="n">
        <v>0</v>
      </c>
      <c r="J813" t="n">
        <v>0</v>
      </c>
      <c r="K813" t="n">
        <v>0</v>
      </c>
      <c r="L813" t="n">
        <v>0</v>
      </c>
      <c r="M813" t="n">
        <v>0</v>
      </c>
      <c r="N813" t="n">
        <v>0</v>
      </c>
      <c r="O813" t="n">
        <v>0</v>
      </c>
      <c r="P813" t="n">
        <v>0</v>
      </c>
      <c r="Q813" t="n">
        <v>0</v>
      </c>
      <c r="R813" s="2" t="inlineStr"/>
    </row>
    <row r="814" ht="15" customHeight="1">
      <c r="A814" t="inlineStr">
        <is>
          <t>A 20994-2023</t>
        </is>
      </c>
      <c r="B814" s="1" t="n">
        <v>45056</v>
      </c>
      <c r="C814" s="1" t="n">
        <v>45880</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24391-2025</t>
        </is>
      </c>
      <c r="B815" s="1" t="n">
        <v>45797.63627314815</v>
      </c>
      <c r="C815" s="1" t="n">
        <v>45880</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25376-2025</t>
        </is>
      </c>
      <c r="B816" s="1" t="n">
        <v>45800.63619212963</v>
      </c>
      <c r="C816" s="1" t="n">
        <v>45880</v>
      </c>
      <c r="D816" t="inlineStr">
        <is>
          <t>JÄMTLANDS LÄN</t>
        </is>
      </c>
      <c r="E816" t="inlineStr">
        <is>
          <t>RAGUNDA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16334-2025</t>
        </is>
      </c>
      <c r="B817" s="1" t="n">
        <v>45751.36490740741</v>
      </c>
      <c r="C817" s="1" t="n">
        <v>45880</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6490-2022</t>
        </is>
      </c>
      <c r="B818" s="1" t="n">
        <v>44601</v>
      </c>
      <c r="C818" s="1" t="n">
        <v>45880</v>
      </c>
      <c r="D818" t="inlineStr">
        <is>
          <t>JÄMTLANDS LÄN</t>
        </is>
      </c>
      <c r="E818" t="inlineStr">
        <is>
          <t>RAGUNDA</t>
        </is>
      </c>
      <c r="G818" t="n">
        <v>3.8</v>
      </c>
      <c r="H818" t="n">
        <v>0</v>
      </c>
      <c r="I818" t="n">
        <v>0</v>
      </c>
      <c r="J818" t="n">
        <v>0</v>
      </c>
      <c r="K818" t="n">
        <v>0</v>
      </c>
      <c r="L818" t="n">
        <v>0</v>
      </c>
      <c r="M818" t="n">
        <v>0</v>
      </c>
      <c r="N818" t="n">
        <v>0</v>
      </c>
      <c r="O818" t="n">
        <v>0</v>
      </c>
      <c r="P818" t="n">
        <v>0</v>
      </c>
      <c r="Q818" t="n">
        <v>0</v>
      </c>
      <c r="R818" s="2" t="inlineStr"/>
    </row>
    <row r="819" ht="15" customHeight="1">
      <c r="A819" t="inlineStr">
        <is>
          <t>A 23287-2024</t>
        </is>
      </c>
      <c r="B819" s="1" t="n">
        <v>45453.42041666667</v>
      </c>
      <c r="C819" s="1" t="n">
        <v>45880</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53740-2024</t>
        </is>
      </c>
      <c r="B820" s="1" t="n">
        <v>45615.47091435185</v>
      </c>
      <c r="C820" s="1" t="n">
        <v>45880</v>
      </c>
      <c r="D820" t="inlineStr">
        <is>
          <t>JÄMTLANDS LÄN</t>
        </is>
      </c>
      <c r="E820" t="inlineStr">
        <is>
          <t>RAGUNDA</t>
        </is>
      </c>
      <c r="G820" t="n">
        <v>2.7</v>
      </c>
      <c r="H820" t="n">
        <v>0</v>
      </c>
      <c r="I820" t="n">
        <v>0</v>
      </c>
      <c r="J820" t="n">
        <v>0</v>
      </c>
      <c r="K820" t="n">
        <v>0</v>
      </c>
      <c r="L820" t="n">
        <v>0</v>
      </c>
      <c r="M820" t="n">
        <v>0</v>
      </c>
      <c r="N820" t="n">
        <v>0</v>
      </c>
      <c r="O820" t="n">
        <v>0</v>
      </c>
      <c r="P820" t="n">
        <v>0</v>
      </c>
      <c r="Q820" t="n">
        <v>0</v>
      </c>
      <c r="R820" s="2" t="inlineStr"/>
    </row>
    <row r="821" ht="15" customHeight="1">
      <c r="A821" t="inlineStr">
        <is>
          <t>A 1325-2025</t>
        </is>
      </c>
      <c r="B821" s="1" t="n">
        <v>45667.57342592593</v>
      </c>
      <c r="C821" s="1" t="n">
        <v>45880</v>
      </c>
      <c r="D821" t="inlineStr">
        <is>
          <t>JÄMTLANDS LÄN</t>
        </is>
      </c>
      <c r="E821" t="inlineStr">
        <is>
          <t>RAGUNDA</t>
        </is>
      </c>
      <c r="F821" t="inlineStr">
        <is>
          <t>SCA</t>
        </is>
      </c>
      <c r="G821" t="n">
        <v>20.2</v>
      </c>
      <c r="H821" t="n">
        <v>0</v>
      </c>
      <c r="I821" t="n">
        <v>0</v>
      </c>
      <c r="J821" t="n">
        <v>0</v>
      </c>
      <c r="K821" t="n">
        <v>0</v>
      </c>
      <c r="L821" t="n">
        <v>0</v>
      </c>
      <c r="M821" t="n">
        <v>0</v>
      </c>
      <c r="N821" t="n">
        <v>0</v>
      </c>
      <c r="O821" t="n">
        <v>0</v>
      </c>
      <c r="P821" t="n">
        <v>0</v>
      </c>
      <c r="Q821" t="n">
        <v>0</v>
      </c>
      <c r="R821" s="2" t="inlineStr"/>
    </row>
    <row r="822" ht="15" customHeight="1">
      <c r="A822" t="inlineStr">
        <is>
          <t>A 1326-2025</t>
        </is>
      </c>
      <c r="B822" s="1" t="n">
        <v>45667.57347222222</v>
      </c>
      <c r="C822" s="1" t="n">
        <v>45880</v>
      </c>
      <c r="D822" t="inlineStr">
        <is>
          <t>JÄMTLANDS LÄN</t>
        </is>
      </c>
      <c r="E822" t="inlineStr">
        <is>
          <t>RAGUNDA</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24732-2025</t>
        </is>
      </c>
      <c r="B823" s="1" t="n">
        <v>45799.34421296296</v>
      </c>
      <c r="C823" s="1" t="n">
        <v>45880</v>
      </c>
      <c r="D823" t="inlineStr">
        <is>
          <t>JÄMTLANDS LÄN</t>
        </is>
      </c>
      <c r="E823" t="inlineStr">
        <is>
          <t>RAGUNDA</t>
        </is>
      </c>
      <c r="F823" t="inlineStr">
        <is>
          <t>SCA</t>
        </is>
      </c>
      <c r="G823" t="n">
        <v>16.2</v>
      </c>
      <c r="H823" t="n">
        <v>0</v>
      </c>
      <c r="I823" t="n">
        <v>0</v>
      </c>
      <c r="J823" t="n">
        <v>0</v>
      </c>
      <c r="K823" t="n">
        <v>0</v>
      </c>
      <c r="L823" t="n">
        <v>0</v>
      </c>
      <c r="M823" t="n">
        <v>0</v>
      </c>
      <c r="N823" t="n">
        <v>0</v>
      </c>
      <c r="O823" t="n">
        <v>0</v>
      </c>
      <c r="P823" t="n">
        <v>0</v>
      </c>
      <c r="Q823" t="n">
        <v>0</v>
      </c>
      <c r="R823" s="2" t="inlineStr"/>
    </row>
    <row r="824" ht="15" customHeight="1">
      <c r="A824" t="inlineStr">
        <is>
          <t>A 7284-2024</t>
        </is>
      </c>
      <c r="B824" s="1" t="n">
        <v>45344.92865740741</v>
      </c>
      <c r="C824" s="1" t="n">
        <v>45880</v>
      </c>
      <c r="D824" t="inlineStr">
        <is>
          <t>JÄMTLANDS LÄN</t>
        </is>
      </c>
      <c r="E824" t="inlineStr">
        <is>
          <t>RAGUNDA</t>
        </is>
      </c>
      <c r="G824" t="n">
        <v>2.1</v>
      </c>
      <c r="H824" t="n">
        <v>0</v>
      </c>
      <c r="I824" t="n">
        <v>0</v>
      </c>
      <c r="J824" t="n">
        <v>0</v>
      </c>
      <c r="K824" t="n">
        <v>0</v>
      </c>
      <c r="L824" t="n">
        <v>0</v>
      </c>
      <c r="M824" t="n">
        <v>0</v>
      </c>
      <c r="N824" t="n">
        <v>0</v>
      </c>
      <c r="O824" t="n">
        <v>0</v>
      </c>
      <c r="P824" t="n">
        <v>0</v>
      </c>
      <c r="Q824" t="n">
        <v>0</v>
      </c>
      <c r="R824" s="2" t="inlineStr"/>
    </row>
    <row r="825" ht="15" customHeight="1">
      <c r="A825" t="inlineStr">
        <is>
          <t>A 7285-2024</t>
        </is>
      </c>
      <c r="B825" s="1" t="n">
        <v>45344.92873842592</v>
      </c>
      <c r="C825" s="1" t="n">
        <v>45880</v>
      </c>
      <c r="D825" t="inlineStr">
        <is>
          <t>JÄMTLANDS LÄN</t>
        </is>
      </c>
      <c r="E825" t="inlineStr">
        <is>
          <t>RAGUNDA</t>
        </is>
      </c>
      <c r="G825" t="n">
        <v>0.5</v>
      </c>
      <c r="H825" t="n">
        <v>0</v>
      </c>
      <c r="I825" t="n">
        <v>0</v>
      </c>
      <c r="J825" t="n">
        <v>0</v>
      </c>
      <c r="K825" t="n">
        <v>0</v>
      </c>
      <c r="L825" t="n">
        <v>0</v>
      </c>
      <c r="M825" t="n">
        <v>0</v>
      </c>
      <c r="N825" t="n">
        <v>0</v>
      </c>
      <c r="O825" t="n">
        <v>0</v>
      </c>
      <c r="P825" t="n">
        <v>0</v>
      </c>
      <c r="Q825" t="n">
        <v>0</v>
      </c>
      <c r="R825" s="2" t="inlineStr"/>
    </row>
    <row r="826" ht="15" customHeight="1">
      <c r="A826" t="inlineStr">
        <is>
          <t>A 2242-2024</t>
        </is>
      </c>
      <c r="B826" s="1" t="n">
        <v>45309</v>
      </c>
      <c r="C826" s="1" t="n">
        <v>45880</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2248-2024</t>
        </is>
      </c>
      <c r="B827" s="1" t="n">
        <v>45309</v>
      </c>
      <c r="C827" s="1" t="n">
        <v>45880</v>
      </c>
      <c r="D827" t="inlineStr">
        <is>
          <t>JÄMTLANDS LÄN</t>
        </is>
      </c>
      <c r="E827" t="inlineStr">
        <is>
          <t>RAGUNDA</t>
        </is>
      </c>
      <c r="G827" t="n">
        <v>4.2</v>
      </c>
      <c r="H827" t="n">
        <v>0</v>
      </c>
      <c r="I827" t="n">
        <v>0</v>
      </c>
      <c r="J827" t="n">
        <v>0</v>
      </c>
      <c r="K827" t="n">
        <v>0</v>
      </c>
      <c r="L827" t="n">
        <v>0</v>
      </c>
      <c r="M827" t="n">
        <v>0</v>
      </c>
      <c r="N827" t="n">
        <v>0</v>
      </c>
      <c r="O827" t="n">
        <v>0</v>
      </c>
      <c r="P827" t="n">
        <v>0</v>
      </c>
      <c r="Q827" t="n">
        <v>0</v>
      </c>
      <c r="R827" s="2" t="inlineStr"/>
    </row>
    <row r="828" ht="15" customHeight="1">
      <c r="A828" t="inlineStr">
        <is>
          <t>A 5958-2021</t>
        </is>
      </c>
      <c r="B828" s="1" t="n">
        <v>44231</v>
      </c>
      <c r="C828" s="1" t="n">
        <v>45880</v>
      </c>
      <c r="D828" t="inlineStr">
        <is>
          <t>JÄMTLANDS LÄN</t>
        </is>
      </c>
      <c r="E828" t="inlineStr">
        <is>
          <t>RAGUNDA</t>
        </is>
      </c>
      <c r="G828" t="n">
        <v>3.1</v>
      </c>
      <c r="H828" t="n">
        <v>0</v>
      </c>
      <c r="I828" t="n">
        <v>0</v>
      </c>
      <c r="J828" t="n">
        <v>0</v>
      </c>
      <c r="K828" t="n">
        <v>0</v>
      </c>
      <c r="L828" t="n">
        <v>0</v>
      </c>
      <c r="M828" t="n">
        <v>0</v>
      </c>
      <c r="N828" t="n">
        <v>0</v>
      </c>
      <c r="O828" t="n">
        <v>0</v>
      </c>
      <c r="P828" t="n">
        <v>0</v>
      </c>
      <c r="Q828" t="n">
        <v>0</v>
      </c>
      <c r="R828" s="2" t="inlineStr"/>
    </row>
    <row r="829" ht="15" customHeight="1">
      <c r="A829" t="inlineStr">
        <is>
          <t>A 14696-2022</t>
        </is>
      </c>
      <c r="B829" s="1" t="n">
        <v>44655</v>
      </c>
      <c r="C829" s="1" t="n">
        <v>45880</v>
      </c>
      <c r="D829" t="inlineStr">
        <is>
          <t>JÄMTLANDS LÄN</t>
        </is>
      </c>
      <c r="E829" t="inlineStr">
        <is>
          <t>RAGUNDA</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24197-2024</t>
        </is>
      </c>
      <c r="B830" s="1" t="n">
        <v>45456.96601851852</v>
      </c>
      <c r="C830" s="1" t="n">
        <v>45880</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4916-2025</t>
        </is>
      </c>
      <c r="B831" s="1" t="n">
        <v>45688.68196759259</v>
      </c>
      <c r="C831" s="1" t="n">
        <v>45880</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33556-2025</t>
        </is>
      </c>
      <c r="B832" s="1" t="n">
        <v>45841.57427083333</v>
      </c>
      <c r="C832" s="1" t="n">
        <v>45880</v>
      </c>
      <c r="D832" t="inlineStr">
        <is>
          <t>JÄMTLANDS LÄN</t>
        </is>
      </c>
      <c r="E832" t="inlineStr">
        <is>
          <t>RAGUNDA</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33790-2025</t>
        </is>
      </c>
      <c r="B833" s="1" t="n">
        <v>45842.42608796297</v>
      </c>
      <c r="C833" s="1" t="n">
        <v>45880</v>
      </c>
      <c r="D833" t="inlineStr">
        <is>
          <t>JÄMTLANDS LÄN</t>
        </is>
      </c>
      <c r="E833" t="inlineStr">
        <is>
          <t>RAGUNDA</t>
        </is>
      </c>
      <c r="G833" t="n">
        <v>0.3</v>
      </c>
      <c r="H833" t="n">
        <v>0</v>
      </c>
      <c r="I833" t="n">
        <v>0</v>
      </c>
      <c r="J833" t="n">
        <v>0</v>
      </c>
      <c r="K833" t="n">
        <v>0</v>
      </c>
      <c r="L833" t="n">
        <v>0</v>
      </c>
      <c r="M833" t="n">
        <v>0</v>
      </c>
      <c r="N833" t="n">
        <v>0</v>
      </c>
      <c r="O833" t="n">
        <v>0</v>
      </c>
      <c r="P833" t="n">
        <v>0</v>
      </c>
      <c r="Q833" t="n">
        <v>0</v>
      </c>
      <c r="R833" s="2" t="inlineStr"/>
    </row>
    <row r="834" ht="15" customHeight="1">
      <c r="A834" t="inlineStr">
        <is>
          <t>A 45952-2023</t>
        </is>
      </c>
      <c r="B834" s="1" t="n">
        <v>45195</v>
      </c>
      <c r="C834" s="1" t="n">
        <v>45880</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45954-2023</t>
        </is>
      </c>
      <c r="B835" s="1" t="n">
        <v>45195.94679398148</v>
      </c>
      <c r="C835" s="1" t="n">
        <v>45880</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45955-2023</t>
        </is>
      </c>
      <c r="B836" s="1" t="n">
        <v>45195.94685185186</v>
      </c>
      <c r="C836" s="1" t="n">
        <v>45880</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25350-2025</t>
        </is>
      </c>
      <c r="B837" s="1" t="n">
        <v>45800</v>
      </c>
      <c r="C837" s="1" t="n">
        <v>45880</v>
      </c>
      <c r="D837" t="inlineStr">
        <is>
          <t>JÄMTLANDS LÄN</t>
        </is>
      </c>
      <c r="E837" t="inlineStr">
        <is>
          <t>RAGUNDA</t>
        </is>
      </c>
      <c r="G837" t="n">
        <v>2.4</v>
      </c>
      <c r="H837" t="n">
        <v>0</v>
      </c>
      <c r="I837" t="n">
        <v>0</v>
      </c>
      <c r="J837" t="n">
        <v>0</v>
      </c>
      <c r="K837" t="n">
        <v>0</v>
      </c>
      <c r="L837" t="n">
        <v>0</v>
      </c>
      <c r="M837" t="n">
        <v>0</v>
      </c>
      <c r="N837" t="n">
        <v>0</v>
      </c>
      <c r="O837" t="n">
        <v>0</v>
      </c>
      <c r="P837" t="n">
        <v>0</v>
      </c>
      <c r="Q837" t="n">
        <v>0</v>
      </c>
      <c r="R837" s="2" t="inlineStr"/>
    </row>
    <row r="838" ht="15" customHeight="1">
      <c r="A838" t="inlineStr">
        <is>
          <t>A 12475-2025</t>
        </is>
      </c>
      <c r="B838" s="1" t="n">
        <v>45730.56346064815</v>
      </c>
      <c r="C838" s="1" t="n">
        <v>45880</v>
      </c>
      <c r="D838" t="inlineStr">
        <is>
          <t>JÄMTLANDS LÄN</t>
        </is>
      </c>
      <c r="E838" t="inlineStr">
        <is>
          <t>RAGUNDA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8787-2022</t>
        </is>
      </c>
      <c r="B839" s="1" t="n">
        <v>44614</v>
      </c>
      <c r="C839" s="1" t="n">
        <v>45880</v>
      </c>
      <c r="D839" t="inlineStr">
        <is>
          <t>JÄMTLANDS LÄN</t>
        </is>
      </c>
      <c r="E839" t="inlineStr">
        <is>
          <t>RAGUNDA</t>
        </is>
      </c>
      <c r="G839" t="n">
        <v>6.4</v>
      </c>
      <c r="H839" t="n">
        <v>0</v>
      </c>
      <c r="I839" t="n">
        <v>0</v>
      </c>
      <c r="J839" t="n">
        <v>0</v>
      </c>
      <c r="K839" t="n">
        <v>0</v>
      </c>
      <c r="L839" t="n">
        <v>0</v>
      </c>
      <c r="M839" t="n">
        <v>0</v>
      </c>
      <c r="N839" t="n">
        <v>0</v>
      </c>
      <c r="O839" t="n">
        <v>0</v>
      </c>
      <c r="P839" t="n">
        <v>0</v>
      </c>
      <c r="Q839" t="n">
        <v>0</v>
      </c>
      <c r="R839" s="2" t="inlineStr"/>
    </row>
    <row r="840" ht="15" customHeight="1">
      <c r="A840" t="inlineStr">
        <is>
          <t>A 5308-2025</t>
        </is>
      </c>
      <c r="B840" s="1" t="n">
        <v>45692.49008101852</v>
      </c>
      <c r="C840" s="1" t="n">
        <v>45880</v>
      </c>
      <c r="D840" t="inlineStr">
        <is>
          <t>JÄMTLANDS LÄN</t>
        </is>
      </c>
      <c r="E840" t="inlineStr">
        <is>
          <t>RAGUNDA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25152-2025</t>
        </is>
      </c>
      <c r="B841" s="1" t="n">
        <v>45800.42743055556</v>
      </c>
      <c r="C841" s="1" t="n">
        <v>45880</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25175-2025</t>
        </is>
      </c>
      <c r="B842" s="1" t="n">
        <v>45800.44822916666</v>
      </c>
      <c r="C842" s="1" t="n">
        <v>45880</v>
      </c>
      <c r="D842" t="inlineStr">
        <is>
          <t>JÄMTLANDS LÄN</t>
        </is>
      </c>
      <c r="E842" t="inlineStr">
        <is>
          <t>RAGUNDA</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25177-2025</t>
        </is>
      </c>
      <c r="B843" s="1" t="n">
        <v>45800.44862268519</v>
      </c>
      <c r="C843" s="1" t="n">
        <v>45880</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33763-2025</t>
        </is>
      </c>
      <c r="B844" s="1" t="n">
        <v>45842.38579861111</v>
      </c>
      <c r="C844" s="1" t="n">
        <v>45880</v>
      </c>
      <c r="D844" t="inlineStr">
        <is>
          <t>JÄMTLANDS LÄN</t>
        </is>
      </c>
      <c r="E844" t="inlineStr">
        <is>
          <t>RAGUNDA</t>
        </is>
      </c>
      <c r="F844" t="inlineStr">
        <is>
          <t>SCA</t>
        </is>
      </c>
      <c r="G844" t="n">
        <v>13.4</v>
      </c>
      <c r="H844" t="n">
        <v>0</v>
      </c>
      <c r="I844" t="n">
        <v>0</v>
      </c>
      <c r="J844" t="n">
        <v>0</v>
      </c>
      <c r="K844" t="n">
        <v>0</v>
      </c>
      <c r="L844" t="n">
        <v>0</v>
      </c>
      <c r="M844" t="n">
        <v>0</v>
      </c>
      <c r="N844" t="n">
        <v>0</v>
      </c>
      <c r="O844" t="n">
        <v>0</v>
      </c>
      <c r="P844" t="n">
        <v>0</v>
      </c>
      <c r="Q844" t="n">
        <v>0</v>
      </c>
      <c r="R844" s="2" t="inlineStr"/>
    </row>
    <row r="845" ht="15" customHeight="1">
      <c r="A845" t="inlineStr">
        <is>
          <t>A 45253-2023</t>
        </is>
      </c>
      <c r="B845" s="1" t="n">
        <v>45187</v>
      </c>
      <c r="C845" s="1" t="n">
        <v>45880</v>
      </c>
      <c r="D845" t="inlineStr">
        <is>
          <t>JÄMTLANDS LÄN</t>
        </is>
      </c>
      <c r="E845" t="inlineStr">
        <is>
          <t>RAGUNDA</t>
        </is>
      </c>
      <c r="G845" t="n">
        <v>3.3</v>
      </c>
      <c r="H845" t="n">
        <v>0</v>
      </c>
      <c r="I845" t="n">
        <v>0</v>
      </c>
      <c r="J845" t="n">
        <v>0</v>
      </c>
      <c r="K845" t="n">
        <v>0</v>
      </c>
      <c r="L845" t="n">
        <v>0</v>
      </c>
      <c r="M845" t="n">
        <v>0</v>
      </c>
      <c r="N845" t="n">
        <v>0</v>
      </c>
      <c r="O845" t="n">
        <v>0</v>
      </c>
      <c r="P845" t="n">
        <v>0</v>
      </c>
      <c r="Q845" t="n">
        <v>0</v>
      </c>
      <c r="R845" s="2" t="inlineStr"/>
    </row>
    <row r="846" ht="15" customHeight="1">
      <c r="A846" t="inlineStr">
        <is>
          <t>A 23305-2023</t>
        </is>
      </c>
      <c r="B846" s="1" t="n">
        <v>45075.94506944445</v>
      </c>
      <c r="C846" s="1" t="n">
        <v>45880</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25155-2025</t>
        </is>
      </c>
      <c r="B847" s="1" t="n">
        <v>45800.42782407408</v>
      </c>
      <c r="C847" s="1" t="n">
        <v>45880</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33650-2025</t>
        </is>
      </c>
      <c r="B848" s="1" t="n">
        <v>45841.6571412037</v>
      </c>
      <c r="C848" s="1" t="n">
        <v>45880</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3104-2025</t>
        </is>
      </c>
      <c r="B849" s="1" t="n">
        <v>45678.67761574074</v>
      </c>
      <c r="C849" s="1" t="n">
        <v>45880</v>
      </c>
      <c r="D849" t="inlineStr">
        <is>
          <t>JÄMTLANDS LÄN</t>
        </is>
      </c>
      <c r="E849" t="inlineStr">
        <is>
          <t>RAGUNDA</t>
        </is>
      </c>
      <c r="F849" t="inlineStr">
        <is>
          <t>SCA</t>
        </is>
      </c>
      <c r="G849" t="n">
        <v>46.2</v>
      </c>
      <c r="H849" t="n">
        <v>0</v>
      </c>
      <c r="I849" t="n">
        <v>0</v>
      </c>
      <c r="J849" t="n">
        <v>0</v>
      </c>
      <c r="K849" t="n">
        <v>0</v>
      </c>
      <c r="L849" t="n">
        <v>0</v>
      </c>
      <c r="M849" t="n">
        <v>0</v>
      </c>
      <c r="N849" t="n">
        <v>0</v>
      </c>
      <c r="O849" t="n">
        <v>0</v>
      </c>
      <c r="P849" t="n">
        <v>0</v>
      </c>
      <c r="Q849" t="n">
        <v>0</v>
      </c>
      <c r="R849" s="2" t="inlineStr"/>
    </row>
    <row r="850" ht="15" customHeight="1">
      <c r="A850" t="inlineStr">
        <is>
          <t>A 4615-2023</t>
        </is>
      </c>
      <c r="B850" s="1" t="n">
        <v>44956.93924768519</v>
      </c>
      <c r="C850" s="1" t="n">
        <v>45880</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2673-2024</t>
        </is>
      </c>
      <c r="B851" s="1" t="n">
        <v>45314</v>
      </c>
      <c r="C851" s="1" t="n">
        <v>45880</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57112-2024</t>
        </is>
      </c>
      <c r="B852" s="1" t="n">
        <v>45629.36486111111</v>
      </c>
      <c r="C852" s="1" t="n">
        <v>45880</v>
      </c>
      <c r="D852" t="inlineStr">
        <is>
          <t>JÄMTLANDS LÄN</t>
        </is>
      </c>
      <c r="E852" t="inlineStr">
        <is>
          <t>RAGUNDA</t>
        </is>
      </c>
      <c r="G852" t="n">
        <v>0.7</v>
      </c>
      <c r="H852" t="n">
        <v>0</v>
      </c>
      <c r="I852" t="n">
        <v>0</v>
      </c>
      <c r="J852" t="n">
        <v>0</v>
      </c>
      <c r="K852" t="n">
        <v>0</v>
      </c>
      <c r="L852" t="n">
        <v>0</v>
      </c>
      <c r="M852" t="n">
        <v>0</v>
      </c>
      <c r="N852" t="n">
        <v>0</v>
      </c>
      <c r="O852" t="n">
        <v>0</v>
      </c>
      <c r="P852" t="n">
        <v>0</v>
      </c>
      <c r="Q852" t="n">
        <v>0</v>
      </c>
      <c r="R852" s="2" t="inlineStr"/>
    </row>
    <row r="853" ht="15" customHeight="1">
      <c r="A853" t="inlineStr">
        <is>
          <t>A 36375-2022</t>
        </is>
      </c>
      <c r="B853" s="1" t="n">
        <v>44803.94351851852</v>
      </c>
      <c r="C853" s="1" t="n">
        <v>45880</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25631-2025</t>
        </is>
      </c>
      <c r="B854" s="1" t="n">
        <v>45803.5946875</v>
      </c>
      <c r="C854" s="1" t="n">
        <v>45880</v>
      </c>
      <c r="D854" t="inlineStr">
        <is>
          <t>JÄMTLANDS LÄN</t>
        </is>
      </c>
      <c r="E854" t="inlineStr">
        <is>
          <t>RAGUNDA</t>
        </is>
      </c>
      <c r="G854" t="n">
        <v>1.1</v>
      </c>
      <c r="H854" t="n">
        <v>0</v>
      </c>
      <c r="I854" t="n">
        <v>0</v>
      </c>
      <c r="J854" t="n">
        <v>0</v>
      </c>
      <c r="K854" t="n">
        <v>0</v>
      </c>
      <c r="L854" t="n">
        <v>0</v>
      </c>
      <c r="M854" t="n">
        <v>0</v>
      </c>
      <c r="N854" t="n">
        <v>0</v>
      </c>
      <c r="O854" t="n">
        <v>0</v>
      </c>
      <c r="P854" t="n">
        <v>0</v>
      </c>
      <c r="Q854" t="n">
        <v>0</v>
      </c>
      <c r="R854" s="2" t="inlineStr"/>
    </row>
    <row r="855" ht="15" customHeight="1">
      <c r="A855" t="inlineStr">
        <is>
          <t>A 25659-2025</t>
        </is>
      </c>
      <c r="B855" s="1" t="n">
        <v>45803.61552083334</v>
      </c>
      <c r="C855" s="1" t="n">
        <v>45880</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25661-2025</t>
        </is>
      </c>
      <c r="B856" s="1" t="n">
        <v>45803.61557870371</v>
      </c>
      <c r="C856" s="1" t="n">
        <v>45880</v>
      </c>
      <c r="D856" t="inlineStr">
        <is>
          <t>JÄMTLANDS LÄN</t>
        </is>
      </c>
      <c r="E856" t="inlineStr">
        <is>
          <t>RAGUNDA</t>
        </is>
      </c>
      <c r="G856" t="n">
        <v>1.4</v>
      </c>
      <c r="H856" t="n">
        <v>0</v>
      </c>
      <c r="I856" t="n">
        <v>0</v>
      </c>
      <c r="J856" t="n">
        <v>0</v>
      </c>
      <c r="K856" t="n">
        <v>0</v>
      </c>
      <c r="L856" t="n">
        <v>0</v>
      </c>
      <c r="M856" t="n">
        <v>0</v>
      </c>
      <c r="N856" t="n">
        <v>0</v>
      </c>
      <c r="O856" t="n">
        <v>0</v>
      </c>
      <c r="P856" t="n">
        <v>0</v>
      </c>
      <c r="Q856" t="n">
        <v>0</v>
      </c>
      <c r="R856" s="2" t="inlineStr"/>
    </row>
    <row r="857" ht="15" customHeight="1">
      <c r="A857" t="inlineStr">
        <is>
          <t>A 17667-2025</t>
        </is>
      </c>
      <c r="B857" s="1" t="n">
        <v>45758.36487268518</v>
      </c>
      <c r="C857" s="1" t="n">
        <v>45880</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25944-2025</t>
        </is>
      </c>
      <c r="B858" s="1" t="n">
        <v>45804.59487268519</v>
      </c>
      <c r="C858" s="1" t="n">
        <v>45880</v>
      </c>
      <c r="D858" t="inlineStr">
        <is>
          <t>JÄMTLANDS LÄN</t>
        </is>
      </c>
      <c r="E858" t="inlineStr">
        <is>
          <t>RAGUNDA</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5148-2023</t>
        </is>
      </c>
      <c r="B859" s="1" t="n">
        <v>44958</v>
      </c>
      <c r="C859" s="1" t="n">
        <v>45880</v>
      </c>
      <c r="D859" t="inlineStr">
        <is>
          <t>JÄMTLANDS LÄN</t>
        </is>
      </c>
      <c r="E859" t="inlineStr">
        <is>
          <t>RAGUNDA</t>
        </is>
      </c>
      <c r="G859" t="n">
        <v>2.9</v>
      </c>
      <c r="H859" t="n">
        <v>0</v>
      </c>
      <c r="I859" t="n">
        <v>0</v>
      </c>
      <c r="J859" t="n">
        <v>0</v>
      </c>
      <c r="K859" t="n">
        <v>0</v>
      </c>
      <c r="L859" t="n">
        <v>0</v>
      </c>
      <c r="M859" t="n">
        <v>0</v>
      </c>
      <c r="N859" t="n">
        <v>0</v>
      </c>
      <c r="O859" t="n">
        <v>0</v>
      </c>
      <c r="P859" t="n">
        <v>0</v>
      </c>
      <c r="Q859" t="n">
        <v>0</v>
      </c>
      <c r="R859" s="2" t="inlineStr"/>
    </row>
    <row r="860" ht="15" customHeight="1">
      <c r="A860" t="inlineStr">
        <is>
          <t>A 25814-2025</t>
        </is>
      </c>
      <c r="B860" s="1" t="n">
        <v>45804.42642361111</v>
      </c>
      <c r="C860" s="1" t="n">
        <v>45880</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51049-2024</t>
        </is>
      </c>
      <c r="B861" s="1" t="n">
        <v>45603.44644675926</v>
      </c>
      <c r="C861" s="1" t="n">
        <v>45880</v>
      </c>
      <c r="D861" t="inlineStr">
        <is>
          <t>JÄMTLANDS LÄN</t>
        </is>
      </c>
      <c r="E861" t="inlineStr">
        <is>
          <t>RAGUNDA</t>
        </is>
      </c>
      <c r="F861" t="inlineStr">
        <is>
          <t>SCA</t>
        </is>
      </c>
      <c r="G861" t="n">
        <v>6.9</v>
      </c>
      <c r="H861" t="n">
        <v>0</v>
      </c>
      <c r="I861" t="n">
        <v>0</v>
      </c>
      <c r="J861" t="n">
        <v>0</v>
      </c>
      <c r="K861" t="n">
        <v>0</v>
      </c>
      <c r="L861" t="n">
        <v>0</v>
      </c>
      <c r="M861" t="n">
        <v>0</v>
      </c>
      <c r="N861" t="n">
        <v>0</v>
      </c>
      <c r="O861" t="n">
        <v>0</v>
      </c>
      <c r="P861" t="n">
        <v>0</v>
      </c>
      <c r="Q861" t="n">
        <v>0</v>
      </c>
      <c r="R861" s="2" t="inlineStr"/>
    </row>
    <row r="862" ht="15" customHeight="1">
      <c r="A862" t="inlineStr">
        <is>
          <t>A 36046-2023</t>
        </is>
      </c>
      <c r="B862" s="1" t="n">
        <v>45148</v>
      </c>
      <c r="C862" s="1" t="n">
        <v>45880</v>
      </c>
      <c r="D862" t="inlineStr">
        <is>
          <t>JÄMTLANDS LÄN</t>
        </is>
      </c>
      <c r="E862" t="inlineStr">
        <is>
          <t>RAGUNDA</t>
        </is>
      </c>
      <c r="G862" t="n">
        <v>1.9</v>
      </c>
      <c r="H862" t="n">
        <v>0</v>
      </c>
      <c r="I862" t="n">
        <v>0</v>
      </c>
      <c r="J862" t="n">
        <v>0</v>
      </c>
      <c r="K862" t="n">
        <v>0</v>
      </c>
      <c r="L862" t="n">
        <v>0</v>
      </c>
      <c r="M862" t="n">
        <v>0</v>
      </c>
      <c r="N862" t="n">
        <v>0</v>
      </c>
      <c r="O862" t="n">
        <v>0</v>
      </c>
      <c r="P862" t="n">
        <v>0</v>
      </c>
      <c r="Q862" t="n">
        <v>0</v>
      </c>
      <c r="R862" s="2" t="inlineStr"/>
    </row>
    <row r="863" ht="15" customHeight="1">
      <c r="A863" t="inlineStr">
        <is>
          <t>A 18193-2022</t>
        </is>
      </c>
      <c r="B863" s="1" t="n">
        <v>44684.94032407407</v>
      </c>
      <c r="C863" s="1" t="n">
        <v>45880</v>
      </c>
      <c r="D863" t="inlineStr">
        <is>
          <t>JÄMTLANDS LÄN</t>
        </is>
      </c>
      <c r="E863" t="inlineStr">
        <is>
          <t>RAGUNDA</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55489-2024</t>
        </is>
      </c>
      <c r="B864" s="1" t="n">
        <v>45622.44774305556</v>
      </c>
      <c r="C864" s="1" t="n">
        <v>45880</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34323-2023</t>
        </is>
      </c>
      <c r="B865" s="1" t="n">
        <v>45138.94925925926</v>
      </c>
      <c r="C865" s="1" t="n">
        <v>45880</v>
      </c>
      <c r="D865" t="inlineStr">
        <is>
          <t>JÄMTLANDS LÄN</t>
        </is>
      </c>
      <c r="E865" t="inlineStr">
        <is>
          <t>RAGUNDA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14074-2023</t>
        </is>
      </c>
      <c r="B866" s="1" t="n">
        <v>45009.089375</v>
      </c>
      <c r="C866" s="1" t="n">
        <v>45880</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58843-2024</t>
        </is>
      </c>
      <c r="B867" s="1" t="n">
        <v>45636.38599537037</v>
      </c>
      <c r="C867" s="1" t="n">
        <v>45880</v>
      </c>
      <c r="D867" t="inlineStr">
        <is>
          <t>JÄMTLANDS LÄN</t>
        </is>
      </c>
      <c r="E867" t="inlineStr">
        <is>
          <t>RAGUNDA</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54764-2024</t>
        </is>
      </c>
      <c r="B868" s="1" t="n">
        <v>45618.46921296296</v>
      </c>
      <c r="C868" s="1" t="n">
        <v>45880</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45953-2023</t>
        </is>
      </c>
      <c r="B869" s="1" t="n">
        <v>45195.94672453704</v>
      </c>
      <c r="C869" s="1" t="n">
        <v>45880</v>
      </c>
      <c r="D869" t="inlineStr">
        <is>
          <t>JÄMTLANDS LÄN</t>
        </is>
      </c>
      <c r="E869" t="inlineStr">
        <is>
          <t>RAGUNDA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25597-2025</t>
        </is>
      </c>
      <c r="B870" s="1" t="n">
        <v>45803.53157407408</v>
      </c>
      <c r="C870" s="1" t="n">
        <v>45880</v>
      </c>
      <c r="D870" t="inlineStr">
        <is>
          <t>JÄMTLANDS LÄN</t>
        </is>
      </c>
      <c r="E870" t="inlineStr">
        <is>
          <t>RAGUNDA</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25630-2025</t>
        </is>
      </c>
      <c r="B871" s="1" t="n">
        <v>45803.59417824074</v>
      </c>
      <c r="C871" s="1" t="n">
        <v>45880</v>
      </c>
      <c r="D871" t="inlineStr">
        <is>
          <t>JÄMTLANDS LÄN</t>
        </is>
      </c>
      <c r="E871" t="inlineStr">
        <is>
          <t>RAGUNDA</t>
        </is>
      </c>
      <c r="G871" t="n">
        <v>6.9</v>
      </c>
      <c r="H871" t="n">
        <v>0</v>
      </c>
      <c r="I871" t="n">
        <v>0</v>
      </c>
      <c r="J871" t="n">
        <v>0</v>
      </c>
      <c r="K871" t="n">
        <v>0</v>
      </c>
      <c r="L871" t="n">
        <v>0</v>
      </c>
      <c r="M871" t="n">
        <v>0</v>
      </c>
      <c r="N871" t="n">
        <v>0</v>
      </c>
      <c r="O871" t="n">
        <v>0</v>
      </c>
      <c r="P871" t="n">
        <v>0</v>
      </c>
      <c r="Q871" t="n">
        <v>0</v>
      </c>
      <c r="R871" s="2" t="inlineStr"/>
    </row>
    <row r="872" ht="15" customHeight="1">
      <c r="A872" t="inlineStr">
        <is>
          <t>A 30824-2023</t>
        </is>
      </c>
      <c r="B872" s="1" t="n">
        <v>45112.94303240741</v>
      </c>
      <c r="C872" s="1" t="n">
        <v>45880</v>
      </c>
      <c r="D872" t="inlineStr">
        <is>
          <t>JÄMTLANDS LÄN</t>
        </is>
      </c>
      <c r="E872" t="inlineStr">
        <is>
          <t>RAGUNDA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30825-2023</t>
        </is>
      </c>
      <c r="B873" s="1" t="n">
        <v>45112.94310185185</v>
      </c>
      <c r="C873" s="1" t="n">
        <v>45880</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19613-2023</t>
        </is>
      </c>
      <c r="B874" s="1" t="n">
        <v>45050.94020833333</v>
      </c>
      <c r="C874" s="1" t="n">
        <v>45880</v>
      </c>
      <c r="D874" t="inlineStr">
        <is>
          <t>JÄMTLANDS LÄN</t>
        </is>
      </c>
      <c r="E874" t="inlineStr">
        <is>
          <t>RAGUNDA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25994-2025</t>
        </is>
      </c>
      <c r="B875" s="1" t="n">
        <v>45804.65672453704</v>
      </c>
      <c r="C875" s="1" t="n">
        <v>45880</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12464-2025</t>
        </is>
      </c>
      <c r="B876" s="1" t="n">
        <v>45730.53208333333</v>
      </c>
      <c r="C876" s="1" t="n">
        <v>45880</v>
      </c>
      <c r="D876" t="inlineStr">
        <is>
          <t>JÄMTLANDS LÄN</t>
        </is>
      </c>
      <c r="E876" t="inlineStr">
        <is>
          <t>RAGUNDA</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34296-2025</t>
        </is>
      </c>
      <c r="B877" s="1" t="n">
        <v>45846.34454861111</v>
      </c>
      <c r="C877" s="1" t="n">
        <v>45880</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34461-2025</t>
        </is>
      </c>
      <c r="B878" s="1" t="n">
        <v>45847.34474537037</v>
      </c>
      <c r="C878" s="1" t="n">
        <v>45880</v>
      </c>
      <c r="D878" t="inlineStr">
        <is>
          <t>JÄMTLANDS LÄN</t>
        </is>
      </c>
      <c r="E878" t="inlineStr">
        <is>
          <t>RAGUNDA</t>
        </is>
      </c>
      <c r="F878" t="inlineStr">
        <is>
          <t>SCA</t>
        </is>
      </c>
      <c r="G878" t="n">
        <v>44.8</v>
      </c>
      <c r="H878" t="n">
        <v>0</v>
      </c>
      <c r="I878" t="n">
        <v>0</v>
      </c>
      <c r="J878" t="n">
        <v>0</v>
      </c>
      <c r="K878" t="n">
        <v>0</v>
      </c>
      <c r="L878" t="n">
        <v>0</v>
      </c>
      <c r="M878" t="n">
        <v>0</v>
      </c>
      <c r="N878" t="n">
        <v>0</v>
      </c>
      <c r="O878" t="n">
        <v>0</v>
      </c>
      <c r="P878" t="n">
        <v>0</v>
      </c>
      <c r="Q878" t="n">
        <v>0</v>
      </c>
      <c r="R878" s="2" t="inlineStr"/>
    </row>
    <row r="879" ht="15" customHeight="1">
      <c r="A879" t="inlineStr">
        <is>
          <t>A 34588-2025</t>
        </is>
      </c>
      <c r="B879" s="1" t="n">
        <v>45847.61548611111</v>
      </c>
      <c r="C879" s="1" t="n">
        <v>45880</v>
      </c>
      <c r="D879" t="inlineStr">
        <is>
          <t>JÄMTLANDS LÄN</t>
        </is>
      </c>
      <c r="E879" t="inlineStr">
        <is>
          <t>RAGUNDA</t>
        </is>
      </c>
      <c r="G879" t="n">
        <v>32.3</v>
      </c>
      <c r="H879" t="n">
        <v>0</v>
      </c>
      <c r="I879" t="n">
        <v>0</v>
      </c>
      <c r="J879" t="n">
        <v>0</v>
      </c>
      <c r="K879" t="n">
        <v>0</v>
      </c>
      <c r="L879" t="n">
        <v>0</v>
      </c>
      <c r="M879" t="n">
        <v>0</v>
      </c>
      <c r="N879" t="n">
        <v>0</v>
      </c>
      <c r="O879" t="n">
        <v>0</v>
      </c>
      <c r="P879" t="n">
        <v>0</v>
      </c>
      <c r="Q879" t="n">
        <v>0</v>
      </c>
      <c r="R879" s="2" t="inlineStr"/>
    </row>
    <row r="880" ht="15" customHeight="1">
      <c r="A880" t="inlineStr">
        <is>
          <t>A 31506-2024</t>
        </is>
      </c>
      <c r="B880" s="1" t="n">
        <v>45505</v>
      </c>
      <c r="C880" s="1" t="n">
        <v>45880</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34586-2025</t>
        </is>
      </c>
      <c r="B881" s="1" t="n">
        <v>45847.61513888889</v>
      </c>
      <c r="C881" s="1" t="n">
        <v>45880</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26283-2025</t>
        </is>
      </c>
      <c r="B882" s="1" t="n">
        <v>45805.61495370371</v>
      </c>
      <c r="C882" s="1" t="n">
        <v>45880</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55222-2024</t>
        </is>
      </c>
      <c r="B883" s="1" t="n">
        <v>45621.57395833333</v>
      </c>
      <c r="C883" s="1" t="n">
        <v>45880</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34607-2025</t>
        </is>
      </c>
      <c r="B884" s="1" t="n">
        <v>45847.65703703704</v>
      </c>
      <c r="C884" s="1" t="n">
        <v>45880</v>
      </c>
      <c r="D884" t="inlineStr">
        <is>
          <t>JÄMTLANDS LÄN</t>
        </is>
      </c>
      <c r="E884" t="inlineStr">
        <is>
          <t>RAGUNDA</t>
        </is>
      </c>
      <c r="F884" t="inlineStr">
        <is>
          <t>SCA</t>
        </is>
      </c>
      <c r="G884" t="n">
        <v>31.4</v>
      </c>
      <c r="H884" t="n">
        <v>0</v>
      </c>
      <c r="I884" t="n">
        <v>0</v>
      </c>
      <c r="J884" t="n">
        <v>0</v>
      </c>
      <c r="K884" t="n">
        <v>0</v>
      </c>
      <c r="L884" t="n">
        <v>0</v>
      </c>
      <c r="M884" t="n">
        <v>0</v>
      </c>
      <c r="N884" t="n">
        <v>0</v>
      </c>
      <c r="O884" t="n">
        <v>0</v>
      </c>
      <c r="P884" t="n">
        <v>0</v>
      </c>
      <c r="Q884" t="n">
        <v>0</v>
      </c>
      <c r="R884" s="2" t="inlineStr"/>
    </row>
    <row r="885" ht="15" customHeight="1">
      <c r="A885" t="inlineStr">
        <is>
          <t>A 34466-2025</t>
        </is>
      </c>
      <c r="B885" s="1" t="n">
        <v>45847.34565972222</v>
      </c>
      <c r="C885" s="1" t="n">
        <v>45880</v>
      </c>
      <c r="D885" t="inlineStr">
        <is>
          <t>JÄMTLANDS LÄN</t>
        </is>
      </c>
      <c r="E885" t="inlineStr">
        <is>
          <t>RAGUNDA</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34772-2025</t>
        </is>
      </c>
      <c r="B886" s="1" t="n">
        <v>45848.65658564815</v>
      </c>
      <c r="C886" s="1" t="n">
        <v>45880</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44755-2024</t>
        </is>
      </c>
      <c r="B887" s="1" t="n">
        <v>45574.61184027778</v>
      </c>
      <c r="C887" s="1" t="n">
        <v>45880</v>
      </c>
      <c r="D887" t="inlineStr">
        <is>
          <t>JÄMTLANDS LÄN</t>
        </is>
      </c>
      <c r="E887" t="inlineStr">
        <is>
          <t>RAGUNDA</t>
        </is>
      </c>
      <c r="G887" t="n">
        <v>4.4</v>
      </c>
      <c r="H887" t="n">
        <v>0</v>
      </c>
      <c r="I887" t="n">
        <v>0</v>
      </c>
      <c r="J887" t="n">
        <v>0</v>
      </c>
      <c r="K887" t="n">
        <v>0</v>
      </c>
      <c r="L887" t="n">
        <v>0</v>
      </c>
      <c r="M887" t="n">
        <v>0</v>
      </c>
      <c r="N887" t="n">
        <v>0</v>
      </c>
      <c r="O887" t="n">
        <v>0</v>
      </c>
      <c r="P887" t="n">
        <v>0</v>
      </c>
      <c r="Q887" t="n">
        <v>0</v>
      </c>
      <c r="R887" s="2" t="inlineStr"/>
    </row>
    <row r="888" ht="15" customHeight="1">
      <c r="A888" t="inlineStr">
        <is>
          <t>A 44766-2024</t>
        </is>
      </c>
      <c r="B888" s="1" t="n">
        <v>45574.62297453704</v>
      </c>
      <c r="C888" s="1" t="n">
        <v>45880</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44778-2024</t>
        </is>
      </c>
      <c r="B889" s="1" t="n">
        <v>45574.63355324074</v>
      </c>
      <c r="C889" s="1" t="n">
        <v>45880</v>
      </c>
      <c r="D889" t="inlineStr">
        <is>
          <t>JÄMTLANDS LÄN</t>
        </is>
      </c>
      <c r="E889" t="inlineStr">
        <is>
          <t>RAGUNDA</t>
        </is>
      </c>
      <c r="G889" t="n">
        <v>5.5</v>
      </c>
      <c r="H889" t="n">
        <v>0</v>
      </c>
      <c r="I889" t="n">
        <v>0</v>
      </c>
      <c r="J889" t="n">
        <v>0</v>
      </c>
      <c r="K889" t="n">
        <v>0</v>
      </c>
      <c r="L889" t="n">
        <v>0</v>
      </c>
      <c r="M889" t="n">
        <v>0</v>
      </c>
      <c r="N889" t="n">
        <v>0</v>
      </c>
      <c r="O889" t="n">
        <v>0</v>
      </c>
      <c r="P889" t="n">
        <v>0</v>
      </c>
      <c r="Q889" t="n">
        <v>0</v>
      </c>
      <c r="R889" s="2" t="inlineStr"/>
    </row>
    <row r="890" ht="15" customHeight="1">
      <c r="A890" t="inlineStr">
        <is>
          <t>A 7279-2024</t>
        </is>
      </c>
      <c r="B890" s="1" t="n">
        <v>45344.92822916667</v>
      </c>
      <c r="C890" s="1" t="n">
        <v>45880</v>
      </c>
      <c r="D890" t="inlineStr">
        <is>
          <t>JÄMTLANDS LÄN</t>
        </is>
      </c>
      <c r="E890" t="inlineStr">
        <is>
          <t>RAGUNDA</t>
        </is>
      </c>
      <c r="G890" t="n">
        <v>2.1</v>
      </c>
      <c r="H890" t="n">
        <v>0</v>
      </c>
      <c r="I890" t="n">
        <v>0</v>
      </c>
      <c r="J890" t="n">
        <v>0</v>
      </c>
      <c r="K890" t="n">
        <v>0</v>
      </c>
      <c r="L890" t="n">
        <v>0</v>
      </c>
      <c r="M890" t="n">
        <v>0</v>
      </c>
      <c r="N890" t="n">
        <v>0</v>
      </c>
      <c r="O890" t="n">
        <v>0</v>
      </c>
      <c r="P890" t="n">
        <v>0</v>
      </c>
      <c r="Q890" t="n">
        <v>0</v>
      </c>
      <c r="R890" s="2" t="inlineStr"/>
    </row>
    <row r="891" ht="15" customHeight="1">
      <c r="A891" t="inlineStr">
        <is>
          <t>A 8795-2022</t>
        </is>
      </c>
      <c r="B891" s="1" t="n">
        <v>44614</v>
      </c>
      <c r="C891" s="1" t="n">
        <v>45880</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14905-2022</t>
        </is>
      </c>
      <c r="B892" s="1" t="n">
        <v>44656.94708333333</v>
      </c>
      <c r="C892" s="1" t="n">
        <v>45880</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1809-2025</t>
        </is>
      </c>
      <c r="B893" s="1" t="n">
        <v>45671.48989583334</v>
      </c>
      <c r="C893" s="1" t="n">
        <v>45880</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33432-2023</t>
        </is>
      </c>
      <c r="B894" s="1" t="n">
        <v>45128</v>
      </c>
      <c r="C894" s="1" t="n">
        <v>45880</v>
      </c>
      <c r="D894" t="inlineStr">
        <is>
          <t>JÄMTLANDS LÄN</t>
        </is>
      </c>
      <c r="E894" t="inlineStr">
        <is>
          <t>RAGUNDA</t>
        </is>
      </c>
      <c r="F894" t="inlineStr">
        <is>
          <t>SCA</t>
        </is>
      </c>
      <c r="G894" t="n">
        <v>10</v>
      </c>
      <c r="H894" t="n">
        <v>0</v>
      </c>
      <c r="I894" t="n">
        <v>0</v>
      </c>
      <c r="J894" t="n">
        <v>0</v>
      </c>
      <c r="K894" t="n">
        <v>0</v>
      </c>
      <c r="L894" t="n">
        <v>0</v>
      </c>
      <c r="M894" t="n">
        <v>0</v>
      </c>
      <c r="N894" t="n">
        <v>0</v>
      </c>
      <c r="O894" t="n">
        <v>0</v>
      </c>
      <c r="P894" t="n">
        <v>0</v>
      </c>
      <c r="Q894" t="n">
        <v>0</v>
      </c>
      <c r="R894" s="2" t="inlineStr"/>
    </row>
    <row r="895" ht="15" customHeight="1">
      <c r="A895" t="inlineStr">
        <is>
          <t>A 24258-2025</t>
        </is>
      </c>
      <c r="B895" s="1" t="n">
        <v>45797.40800925926</v>
      </c>
      <c r="C895" s="1" t="n">
        <v>45880</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26172-2025</t>
        </is>
      </c>
      <c r="B896" s="1" t="n">
        <v>45805.46613425926</v>
      </c>
      <c r="C896" s="1" t="n">
        <v>45880</v>
      </c>
      <c r="D896" t="inlineStr">
        <is>
          <t>JÄMTLANDS LÄN</t>
        </is>
      </c>
      <c r="E896" t="inlineStr">
        <is>
          <t>RAGUNDA</t>
        </is>
      </c>
      <c r="G896" t="n">
        <v>2.1</v>
      </c>
      <c r="H896" t="n">
        <v>0</v>
      </c>
      <c r="I896" t="n">
        <v>0</v>
      </c>
      <c r="J896" t="n">
        <v>0</v>
      </c>
      <c r="K896" t="n">
        <v>0</v>
      </c>
      <c r="L896" t="n">
        <v>0</v>
      </c>
      <c r="M896" t="n">
        <v>0</v>
      </c>
      <c r="N896" t="n">
        <v>0</v>
      </c>
      <c r="O896" t="n">
        <v>0</v>
      </c>
      <c r="P896" t="n">
        <v>0</v>
      </c>
      <c r="Q896" t="n">
        <v>0</v>
      </c>
      <c r="R896" s="2" t="inlineStr"/>
    </row>
    <row r="897" ht="15" customHeight="1">
      <c r="A897" t="inlineStr">
        <is>
          <t>A 34463-2025</t>
        </is>
      </c>
      <c r="B897" s="1" t="n">
        <v>45847.34515046296</v>
      </c>
      <c r="C897" s="1" t="n">
        <v>45880</v>
      </c>
      <c r="D897" t="inlineStr">
        <is>
          <t>JÄMTLANDS LÄN</t>
        </is>
      </c>
      <c r="E897" t="inlineStr">
        <is>
          <t>RAGUNDA</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34468-2025</t>
        </is>
      </c>
      <c r="B898" s="1" t="n">
        <v>45847.34597222223</v>
      </c>
      <c r="C898" s="1" t="n">
        <v>45880</v>
      </c>
      <c r="D898" t="inlineStr">
        <is>
          <t>JÄMTLANDS LÄN</t>
        </is>
      </c>
      <c r="E898" t="inlineStr">
        <is>
          <t>RAGUNDA</t>
        </is>
      </c>
      <c r="F898" t="inlineStr">
        <is>
          <t>SCA</t>
        </is>
      </c>
      <c r="G898" t="n">
        <v>10</v>
      </c>
      <c r="H898" t="n">
        <v>0</v>
      </c>
      <c r="I898" t="n">
        <v>0</v>
      </c>
      <c r="J898" t="n">
        <v>0</v>
      </c>
      <c r="K898" t="n">
        <v>0</v>
      </c>
      <c r="L898" t="n">
        <v>0</v>
      </c>
      <c r="M898" t="n">
        <v>0</v>
      </c>
      <c r="N898" t="n">
        <v>0</v>
      </c>
      <c r="O898" t="n">
        <v>0</v>
      </c>
      <c r="P898" t="n">
        <v>0</v>
      </c>
      <c r="Q898" t="n">
        <v>0</v>
      </c>
      <c r="R898" s="2" t="inlineStr"/>
    </row>
    <row r="899" ht="15" customHeight="1">
      <c r="A899" t="inlineStr">
        <is>
          <t>A 10706-2023</t>
        </is>
      </c>
      <c r="B899" s="1" t="n">
        <v>44984</v>
      </c>
      <c r="C899" s="1" t="n">
        <v>45880</v>
      </c>
      <c r="D899" t="inlineStr">
        <is>
          <t>JÄMTLANDS LÄN</t>
        </is>
      </c>
      <c r="E899" t="inlineStr">
        <is>
          <t>RAGUNDA</t>
        </is>
      </c>
      <c r="G899" t="n">
        <v>7.7</v>
      </c>
      <c r="H899" t="n">
        <v>0</v>
      </c>
      <c r="I899" t="n">
        <v>0</v>
      </c>
      <c r="J899" t="n">
        <v>0</v>
      </c>
      <c r="K899" t="n">
        <v>0</v>
      </c>
      <c r="L899" t="n">
        <v>0</v>
      </c>
      <c r="M899" t="n">
        <v>0</v>
      </c>
      <c r="N899" t="n">
        <v>0</v>
      </c>
      <c r="O899" t="n">
        <v>0</v>
      </c>
      <c r="P899" t="n">
        <v>0</v>
      </c>
      <c r="Q899" t="n">
        <v>0</v>
      </c>
      <c r="R899" s="2" t="inlineStr"/>
    </row>
    <row r="900" ht="15" customHeight="1">
      <c r="A900" t="inlineStr">
        <is>
          <t>A 34464-2025</t>
        </is>
      </c>
      <c r="B900" s="1" t="n">
        <v>45847.34528935186</v>
      </c>
      <c r="C900" s="1" t="n">
        <v>45880</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55309-2020</t>
        </is>
      </c>
      <c r="B901" s="1" t="n">
        <v>44130.9416550926</v>
      </c>
      <c r="C901" s="1" t="n">
        <v>45880</v>
      </c>
      <c r="D901" t="inlineStr">
        <is>
          <t>JÄMTLANDS LÄN</t>
        </is>
      </c>
      <c r="E901" t="inlineStr">
        <is>
          <t>RAGUNDA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10788-2025</t>
        </is>
      </c>
      <c r="B902" s="1" t="n">
        <v>45722.48982638889</v>
      </c>
      <c r="C902" s="1" t="n">
        <v>45880</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891-2022</t>
        </is>
      </c>
      <c r="B903" s="1" t="n">
        <v>44571</v>
      </c>
      <c r="C903" s="1" t="n">
        <v>45880</v>
      </c>
      <c r="D903" t="inlineStr">
        <is>
          <t>JÄMTLANDS LÄN</t>
        </is>
      </c>
      <c r="E903" t="inlineStr">
        <is>
          <t>RAGUNDA</t>
        </is>
      </c>
      <c r="G903" t="n">
        <v>1.7</v>
      </c>
      <c r="H903" t="n">
        <v>0</v>
      </c>
      <c r="I903" t="n">
        <v>0</v>
      </c>
      <c r="J903" t="n">
        <v>0</v>
      </c>
      <c r="K903" t="n">
        <v>0</v>
      </c>
      <c r="L903" t="n">
        <v>0</v>
      </c>
      <c r="M903" t="n">
        <v>0</v>
      </c>
      <c r="N903" t="n">
        <v>0</v>
      </c>
      <c r="O903" t="n">
        <v>0</v>
      </c>
      <c r="P903" t="n">
        <v>0</v>
      </c>
      <c r="Q903" t="n">
        <v>0</v>
      </c>
      <c r="R903" s="2" t="inlineStr"/>
    </row>
    <row r="904" ht="15" customHeight="1">
      <c r="A904" t="inlineStr">
        <is>
          <t>A 6257-2025</t>
        </is>
      </c>
      <c r="B904" s="1" t="n">
        <v>45698.59409722222</v>
      </c>
      <c r="C904" s="1" t="n">
        <v>45880</v>
      </c>
      <c r="D904" t="inlineStr">
        <is>
          <t>JÄMTLANDS LÄN</t>
        </is>
      </c>
      <c r="E904" t="inlineStr">
        <is>
          <t>RAGUNDA</t>
        </is>
      </c>
      <c r="F904" t="inlineStr">
        <is>
          <t>SCA</t>
        </is>
      </c>
      <c r="G904" t="n">
        <v>7</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45880</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26246-2025</t>
        </is>
      </c>
      <c r="B906" s="1" t="n">
        <v>45805.57390046296</v>
      </c>
      <c r="C906" s="1" t="n">
        <v>45880</v>
      </c>
      <c r="D906" t="inlineStr">
        <is>
          <t>JÄMTLANDS LÄN</t>
        </is>
      </c>
      <c r="E906" t="inlineStr">
        <is>
          <t>RAGUNDA</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8416-2023</t>
        </is>
      </c>
      <c r="B907" s="1" t="n">
        <v>44977.44373842593</v>
      </c>
      <c r="C907" s="1" t="n">
        <v>45880</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2001-2025</t>
        </is>
      </c>
      <c r="B908" s="1" t="n">
        <v>45672.44898148148</v>
      </c>
      <c r="C908" s="1" t="n">
        <v>45880</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35092-2025</t>
        </is>
      </c>
      <c r="B909" s="1" t="n">
        <v>45852.53185185185</v>
      </c>
      <c r="C909" s="1" t="n">
        <v>45880</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40801-2023</t>
        </is>
      </c>
      <c r="B910" s="1" t="n">
        <v>45170</v>
      </c>
      <c r="C910" s="1" t="n">
        <v>45880</v>
      </c>
      <c r="D910" t="inlineStr">
        <is>
          <t>JÄMTLANDS LÄN</t>
        </is>
      </c>
      <c r="E910" t="inlineStr">
        <is>
          <t>RAGUNDA</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27499-2024</t>
        </is>
      </c>
      <c r="B911" s="1" t="n">
        <v>45474.50608796296</v>
      </c>
      <c r="C911" s="1" t="n">
        <v>45880</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52148-2024</t>
        </is>
      </c>
      <c r="B912" s="1" t="n">
        <v>45608.52354166667</v>
      </c>
      <c r="C912" s="1" t="n">
        <v>45880</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59286-2023</t>
        </is>
      </c>
      <c r="B913" s="1" t="n">
        <v>45253</v>
      </c>
      <c r="C913" s="1" t="n">
        <v>45880</v>
      </c>
      <c r="D913" t="inlineStr">
        <is>
          <t>JÄMTLANDS LÄN</t>
        </is>
      </c>
      <c r="E913" t="inlineStr">
        <is>
          <t>RAGUNDA</t>
        </is>
      </c>
      <c r="G913" t="n">
        <v>1</v>
      </c>
      <c r="H913" t="n">
        <v>0</v>
      </c>
      <c r="I913" t="n">
        <v>0</v>
      </c>
      <c r="J913" t="n">
        <v>0</v>
      </c>
      <c r="K913" t="n">
        <v>0</v>
      </c>
      <c r="L913" t="n">
        <v>0</v>
      </c>
      <c r="M913" t="n">
        <v>0</v>
      </c>
      <c r="N913" t="n">
        <v>0</v>
      </c>
      <c r="O913" t="n">
        <v>0</v>
      </c>
      <c r="P913" t="n">
        <v>0</v>
      </c>
      <c r="Q913" t="n">
        <v>0</v>
      </c>
      <c r="R913" s="2" t="inlineStr"/>
    </row>
    <row r="914" ht="15" customHeight="1">
      <c r="A914" t="inlineStr">
        <is>
          <t>A 462-2023</t>
        </is>
      </c>
      <c r="B914" s="1" t="n">
        <v>44929</v>
      </c>
      <c r="C914" s="1" t="n">
        <v>45880</v>
      </c>
      <c r="D914" t="inlineStr">
        <is>
          <t>JÄMTLANDS LÄN</t>
        </is>
      </c>
      <c r="E914" t="inlineStr">
        <is>
          <t>RAGUNDA</t>
        </is>
      </c>
      <c r="G914" t="n">
        <v>4.5</v>
      </c>
      <c r="H914" t="n">
        <v>0</v>
      </c>
      <c r="I914" t="n">
        <v>0</v>
      </c>
      <c r="J914" t="n">
        <v>0</v>
      </c>
      <c r="K914" t="n">
        <v>0</v>
      </c>
      <c r="L914" t="n">
        <v>0</v>
      </c>
      <c r="M914" t="n">
        <v>0</v>
      </c>
      <c r="N914" t="n">
        <v>0</v>
      </c>
      <c r="O914" t="n">
        <v>0</v>
      </c>
      <c r="P914" t="n">
        <v>0</v>
      </c>
      <c r="Q914" t="n">
        <v>0</v>
      </c>
      <c r="R914" s="2" t="inlineStr"/>
    </row>
    <row r="915" ht="15" customHeight="1">
      <c r="A915" t="inlineStr">
        <is>
          <t>A 34999-2025</t>
        </is>
      </c>
      <c r="B915" s="1" t="n">
        <v>45850.34450231482</v>
      </c>
      <c r="C915" s="1" t="n">
        <v>45880</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7284-2025</t>
        </is>
      </c>
      <c r="B916" s="1" t="n">
        <v>45702.63604166666</v>
      </c>
      <c r="C916" s="1" t="n">
        <v>45880</v>
      </c>
      <c r="D916" t="inlineStr">
        <is>
          <t>JÄMTLANDS LÄN</t>
        </is>
      </c>
      <c r="E916" t="inlineStr">
        <is>
          <t>RAGUNDA</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73278-2021</t>
        </is>
      </c>
      <c r="B917" s="1" t="n">
        <v>44550.92168981482</v>
      </c>
      <c r="C917" s="1" t="n">
        <v>45880</v>
      </c>
      <c r="D917" t="inlineStr">
        <is>
          <t>JÄMTLANDS LÄN</t>
        </is>
      </c>
      <c r="E917" t="inlineStr">
        <is>
          <t>RAGUNDA</t>
        </is>
      </c>
      <c r="G917" t="n">
        <v>4.4</v>
      </c>
      <c r="H917" t="n">
        <v>0</v>
      </c>
      <c r="I917" t="n">
        <v>0</v>
      </c>
      <c r="J917" t="n">
        <v>0</v>
      </c>
      <c r="K917" t="n">
        <v>0</v>
      </c>
      <c r="L917" t="n">
        <v>0</v>
      </c>
      <c r="M917" t="n">
        <v>0</v>
      </c>
      <c r="N917" t="n">
        <v>0</v>
      </c>
      <c r="O917" t="n">
        <v>0</v>
      </c>
      <c r="P917" t="n">
        <v>0</v>
      </c>
      <c r="Q917" t="n">
        <v>0</v>
      </c>
      <c r="R917" s="2" t="inlineStr"/>
    </row>
    <row r="918" ht="15" customHeight="1">
      <c r="A918" t="inlineStr">
        <is>
          <t>A 34998-2025</t>
        </is>
      </c>
      <c r="B918" s="1" t="n">
        <v>45850.34434027778</v>
      </c>
      <c r="C918" s="1" t="n">
        <v>45880</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26645-2024</t>
        </is>
      </c>
      <c r="B919" s="1" t="n">
        <v>45469.94667824074</v>
      </c>
      <c r="C919" s="1" t="n">
        <v>45880</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34710-2025</t>
        </is>
      </c>
      <c r="B920" s="1" t="n">
        <v>45848.49774305556</v>
      </c>
      <c r="C920" s="1" t="n">
        <v>45880</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51685-2020</t>
        </is>
      </c>
      <c r="B921" s="1" t="n">
        <v>44113</v>
      </c>
      <c r="C921" s="1" t="n">
        <v>45880</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32258-2024</t>
        </is>
      </c>
      <c r="B922" s="1" t="n">
        <v>45511</v>
      </c>
      <c r="C922" s="1" t="n">
        <v>45880</v>
      </c>
      <c r="D922" t="inlineStr">
        <is>
          <t>JÄMTLANDS LÄN</t>
        </is>
      </c>
      <c r="E922" t="inlineStr">
        <is>
          <t>RAGUNDA</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60012-2023</t>
        </is>
      </c>
      <c r="B923" s="1" t="n">
        <v>45257</v>
      </c>
      <c r="C923" s="1" t="n">
        <v>45880</v>
      </c>
      <c r="D923" t="inlineStr">
        <is>
          <t>JÄMTLANDS LÄN</t>
        </is>
      </c>
      <c r="E923" t="inlineStr">
        <is>
          <t>RAGUNDA</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20221-2025</t>
        </is>
      </c>
      <c r="B924" s="1" t="n">
        <v>45772.6565625</v>
      </c>
      <c r="C924" s="1" t="n">
        <v>45880</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35091-2025</t>
        </is>
      </c>
      <c r="B925" s="1" t="n">
        <v>45852.53168981482</v>
      </c>
      <c r="C925" s="1" t="n">
        <v>45880</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35265-2023</t>
        </is>
      </c>
      <c r="B926" s="1" t="n">
        <v>45145.95326388889</v>
      </c>
      <c r="C926" s="1" t="n">
        <v>45880</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31435-2022</t>
        </is>
      </c>
      <c r="B927" s="1" t="n">
        <v>44774</v>
      </c>
      <c r="C927" s="1" t="n">
        <v>45880</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51396-2024</t>
        </is>
      </c>
      <c r="B928" s="1" t="n">
        <v>45604.4190625</v>
      </c>
      <c r="C928" s="1" t="n">
        <v>45880</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45880</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50211-2023</t>
        </is>
      </c>
      <c r="B930" s="1" t="n">
        <v>45215.94657407407</v>
      </c>
      <c r="C930" s="1" t="n">
        <v>45880</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26640-2025</t>
        </is>
      </c>
      <c r="B931" s="1" t="n">
        <v>45810.36495370371</v>
      </c>
      <c r="C931" s="1" t="n">
        <v>45880</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34709-2025</t>
        </is>
      </c>
      <c r="B932" s="1" t="n">
        <v>45848.49761574074</v>
      </c>
      <c r="C932" s="1" t="n">
        <v>45880</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15672-2021</t>
        </is>
      </c>
      <c r="B933" s="1" t="n">
        <v>44286</v>
      </c>
      <c r="C933" s="1" t="n">
        <v>45880</v>
      </c>
      <c r="D933" t="inlineStr">
        <is>
          <t>JÄMTLANDS LÄN</t>
        </is>
      </c>
      <c r="E933" t="inlineStr">
        <is>
          <t>RAGUNDA</t>
        </is>
      </c>
      <c r="G933" t="n">
        <v>1.7</v>
      </c>
      <c r="H933" t="n">
        <v>0</v>
      </c>
      <c r="I933" t="n">
        <v>0</v>
      </c>
      <c r="J933" t="n">
        <v>0</v>
      </c>
      <c r="K933" t="n">
        <v>0</v>
      </c>
      <c r="L933" t="n">
        <v>0</v>
      </c>
      <c r="M933" t="n">
        <v>0</v>
      </c>
      <c r="N933" t="n">
        <v>0</v>
      </c>
      <c r="O933" t="n">
        <v>0</v>
      </c>
      <c r="P933" t="n">
        <v>0</v>
      </c>
      <c r="Q933" t="n">
        <v>0</v>
      </c>
      <c r="R933" s="2" t="inlineStr"/>
    </row>
    <row r="934" ht="15" customHeight="1">
      <c r="A934" t="inlineStr">
        <is>
          <t>A 50650-2023</t>
        </is>
      </c>
      <c r="B934" s="1" t="n">
        <v>45210</v>
      </c>
      <c r="C934" s="1" t="n">
        <v>45880</v>
      </c>
      <c r="D934" t="inlineStr">
        <is>
          <t>JÄMTLANDS LÄN</t>
        </is>
      </c>
      <c r="E934" t="inlineStr">
        <is>
          <t>RAGUNDA</t>
        </is>
      </c>
      <c r="G934" t="n">
        <v>1.3</v>
      </c>
      <c r="H934" t="n">
        <v>0</v>
      </c>
      <c r="I934" t="n">
        <v>0</v>
      </c>
      <c r="J934" t="n">
        <v>0</v>
      </c>
      <c r="K934" t="n">
        <v>0</v>
      </c>
      <c r="L934" t="n">
        <v>0</v>
      </c>
      <c r="M934" t="n">
        <v>0</v>
      </c>
      <c r="N934" t="n">
        <v>0</v>
      </c>
      <c r="O934" t="n">
        <v>0</v>
      </c>
      <c r="P934" t="n">
        <v>0</v>
      </c>
      <c r="Q934" t="n">
        <v>0</v>
      </c>
      <c r="R934" s="2" t="inlineStr"/>
    </row>
    <row r="935" ht="15" customHeight="1">
      <c r="A935" t="inlineStr">
        <is>
          <t>A 564-2025</t>
        </is>
      </c>
      <c r="B935" s="1" t="n">
        <v>45664.55241898148</v>
      </c>
      <c r="C935" s="1" t="n">
        <v>45880</v>
      </c>
      <c r="D935" t="inlineStr">
        <is>
          <t>JÄMTLANDS LÄN</t>
        </is>
      </c>
      <c r="E935" t="inlineStr">
        <is>
          <t>RAGUNDA</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53762-2023</t>
        </is>
      </c>
      <c r="B936" s="1" t="n">
        <v>45230.96376157407</v>
      </c>
      <c r="C936" s="1" t="n">
        <v>45880</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16529-2022</t>
        </is>
      </c>
      <c r="B937" s="1" t="n">
        <v>44671</v>
      </c>
      <c r="C937" s="1" t="n">
        <v>45880</v>
      </c>
      <c r="D937" t="inlineStr">
        <is>
          <t>JÄMTLANDS LÄN</t>
        </is>
      </c>
      <c r="E937" t="inlineStr">
        <is>
          <t>RAGUNDA</t>
        </is>
      </c>
      <c r="G937" t="n">
        <v>1.5</v>
      </c>
      <c r="H937" t="n">
        <v>0</v>
      </c>
      <c r="I937" t="n">
        <v>0</v>
      </c>
      <c r="J937" t="n">
        <v>0</v>
      </c>
      <c r="K937" t="n">
        <v>0</v>
      </c>
      <c r="L937" t="n">
        <v>0</v>
      </c>
      <c r="M937" t="n">
        <v>0</v>
      </c>
      <c r="N937" t="n">
        <v>0</v>
      </c>
      <c r="O937" t="n">
        <v>0</v>
      </c>
      <c r="P937" t="n">
        <v>0</v>
      </c>
      <c r="Q937" t="n">
        <v>0</v>
      </c>
      <c r="R937" s="2" t="inlineStr"/>
    </row>
    <row r="938" ht="15" customHeight="1">
      <c r="A938" t="inlineStr">
        <is>
          <t>A 40269-2022</t>
        </is>
      </c>
      <c r="B938" s="1" t="n">
        <v>44820</v>
      </c>
      <c r="C938" s="1" t="n">
        <v>45880</v>
      </c>
      <c r="D938" t="inlineStr">
        <is>
          <t>JÄMTLANDS LÄN</t>
        </is>
      </c>
      <c r="E938" t="inlineStr">
        <is>
          <t>RAGUNDA</t>
        </is>
      </c>
      <c r="F938" t="inlineStr">
        <is>
          <t>SCA</t>
        </is>
      </c>
      <c r="G938" t="n">
        <v>77.8</v>
      </c>
      <c r="H938" t="n">
        <v>0</v>
      </c>
      <c r="I938" t="n">
        <v>0</v>
      </c>
      <c r="J938" t="n">
        <v>0</v>
      </c>
      <c r="K938" t="n">
        <v>0</v>
      </c>
      <c r="L938" t="n">
        <v>0</v>
      </c>
      <c r="M938" t="n">
        <v>0</v>
      </c>
      <c r="N938" t="n">
        <v>0</v>
      </c>
      <c r="O938" t="n">
        <v>0</v>
      </c>
      <c r="P938" t="n">
        <v>0</v>
      </c>
      <c r="Q938" t="n">
        <v>0</v>
      </c>
      <c r="R938" s="2" t="inlineStr"/>
    </row>
    <row r="939" ht="15" customHeight="1">
      <c r="A939" t="inlineStr">
        <is>
          <t>A 19089-2024</t>
        </is>
      </c>
      <c r="B939" s="1" t="n">
        <v>45428.00471064815</v>
      </c>
      <c r="C939" s="1" t="n">
        <v>45880</v>
      </c>
      <c r="D939" t="inlineStr">
        <is>
          <t>JÄMTLANDS LÄN</t>
        </is>
      </c>
      <c r="E939" t="inlineStr">
        <is>
          <t>RAGUNDA</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44536-2022</t>
        </is>
      </c>
      <c r="B940" s="1" t="n">
        <v>44839</v>
      </c>
      <c r="C940" s="1" t="n">
        <v>45880</v>
      </c>
      <c r="D940" t="inlineStr">
        <is>
          <t>JÄMTLANDS LÄN</t>
        </is>
      </c>
      <c r="E940" t="inlineStr">
        <is>
          <t>RAGUNDA</t>
        </is>
      </c>
      <c r="G940" t="n">
        <v>4</v>
      </c>
      <c r="H940" t="n">
        <v>0</v>
      </c>
      <c r="I940" t="n">
        <v>0</v>
      </c>
      <c r="J940" t="n">
        <v>0</v>
      </c>
      <c r="K940" t="n">
        <v>0</v>
      </c>
      <c r="L940" t="n">
        <v>0</v>
      </c>
      <c r="M940" t="n">
        <v>0</v>
      </c>
      <c r="N940" t="n">
        <v>0</v>
      </c>
      <c r="O940" t="n">
        <v>0</v>
      </c>
      <c r="P940" t="n">
        <v>0</v>
      </c>
      <c r="Q940" t="n">
        <v>0</v>
      </c>
      <c r="R940" s="2" t="inlineStr"/>
    </row>
    <row r="941" ht="15" customHeight="1">
      <c r="A941" t="inlineStr">
        <is>
          <t>A 3767-2025</t>
        </is>
      </c>
      <c r="B941" s="1" t="n">
        <v>45681.60203703704</v>
      </c>
      <c r="C941" s="1" t="n">
        <v>45880</v>
      </c>
      <c r="D941" t="inlineStr">
        <is>
          <t>JÄMTLANDS LÄN</t>
        </is>
      </c>
      <c r="E941" t="inlineStr">
        <is>
          <t>RAGUNDA</t>
        </is>
      </c>
      <c r="G941" t="n">
        <v>4.9</v>
      </c>
      <c r="H941" t="n">
        <v>0</v>
      </c>
      <c r="I941" t="n">
        <v>0</v>
      </c>
      <c r="J941" t="n">
        <v>0</v>
      </c>
      <c r="K941" t="n">
        <v>0</v>
      </c>
      <c r="L941" t="n">
        <v>0</v>
      </c>
      <c r="M941" t="n">
        <v>0</v>
      </c>
      <c r="N941" t="n">
        <v>0</v>
      </c>
      <c r="O941" t="n">
        <v>0</v>
      </c>
      <c r="P941" t="n">
        <v>0</v>
      </c>
      <c r="Q941" t="n">
        <v>0</v>
      </c>
      <c r="R941" s="2" t="inlineStr"/>
    </row>
    <row r="942" ht="15" customHeight="1">
      <c r="A942" t="inlineStr">
        <is>
          <t>A 3186-2025</t>
        </is>
      </c>
      <c r="B942" s="1" t="n">
        <v>45679.40362268518</v>
      </c>
      <c r="C942" s="1" t="n">
        <v>45880</v>
      </c>
      <c r="D942" t="inlineStr">
        <is>
          <t>JÄMTLANDS LÄN</t>
        </is>
      </c>
      <c r="E942" t="inlineStr">
        <is>
          <t>RAGUNDA</t>
        </is>
      </c>
      <c r="G942" t="n">
        <v>5.2</v>
      </c>
      <c r="H942" t="n">
        <v>0</v>
      </c>
      <c r="I942" t="n">
        <v>0</v>
      </c>
      <c r="J942" t="n">
        <v>0</v>
      </c>
      <c r="K942" t="n">
        <v>0</v>
      </c>
      <c r="L942" t="n">
        <v>0</v>
      </c>
      <c r="M942" t="n">
        <v>0</v>
      </c>
      <c r="N942" t="n">
        <v>0</v>
      </c>
      <c r="O942" t="n">
        <v>0</v>
      </c>
      <c r="P942" t="n">
        <v>0</v>
      </c>
      <c r="Q942" t="n">
        <v>0</v>
      </c>
      <c r="R942" s="2" t="inlineStr"/>
    </row>
    <row r="943" ht="15" customHeight="1">
      <c r="A943" t="inlineStr">
        <is>
          <t>A 36212-2023</t>
        </is>
      </c>
      <c r="B943" s="1" t="n">
        <v>45149.95241898148</v>
      </c>
      <c r="C943" s="1" t="n">
        <v>45880</v>
      </c>
      <c r="D943" t="inlineStr">
        <is>
          <t>JÄMTLANDS LÄN</t>
        </is>
      </c>
      <c r="E943" t="inlineStr">
        <is>
          <t>RAGUNDA</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1308-2025</t>
        </is>
      </c>
      <c r="B944" s="1" t="n">
        <v>45667.55239583334</v>
      </c>
      <c r="C944" s="1" t="n">
        <v>45880</v>
      </c>
      <c r="D944" t="inlineStr">
        <is>
          <t>JÄMTLANDS LÄN</t>
        </is>
      </c>
      <c r="E944" t="inlineStr">
        <is>
          <t>RAGUNDA</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35355-2025</t>
        </is>
      </c>
      <c r="B945" s="1" t="n">
        <v>45854.65663194445</v>
      </c>
      <c r="C945" s="1" t="n">
        <v>45880</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10754-2025</t>
        </is>
      </c>
      <c r="B946" s="1" t="n">
        <v>45722.44849537037</v>
      </c>
      <c r="C946" s="1" t="n">
        <v>45880</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53860-2023</t>
        </is>
      </c>
      <c r="B947" s="1" t="n">
        <v>45224</v>
      </c>
      <c r="C947" s="1" t="n">
        <v>45880</v>
      </c>
      <c r="D947" t="inlineStr">
        <is>
          <t>JÄMTLANDS LÄN</t>
        </is>
      </c>
      <c r="E947" t="inlineStr">
        <is>
          <t>RAGUNDA</t>
        </is>
      </c>
      <c r="G947" t="n">
        <v>3.3</v>
      </c>
      <c r="H947" t="n">
        <v>0</v>
      </c>
      <c r="I947" t="n">
        <v>0</v>
      </c>
      <c r="J947" t="n">
        <v>0</v>
      </c>
      <c r="K947" t="n">
        <v>0</v>
      </c>
      <c r="L947" t="n">
        <v>0</v>
      </c>
      <c r="M947" t="n">
        <v>0</v>
      </c>
      <c r="N947" t="n">
        <v>0</v>
      </c>
      <c r="O947" t="n">
        <v>0</v>
      </c>
      <c r="P947" t="n">
        <v>0</v>
      </c>
      <c r="Q947" t="n">
        <v>0</v>
      </c>
      <c r="R947" s="2" t="inlineStr"/>
    </row>
    <row r="948" ht="15" customHeight="1">
      <c r="A948" t="inlineStr">
        <is>
          <t>A 54599-2023</t>
        </is>
      </c>
      <c r="B948" s="1" t="n">
        <v>45233.92591435185</v>
      </c>
      <c r="C948" s="1" t="n">
        <v>45880</v>
      </c>
      <c r="D948" t="inlineStr">
        <is>
          <t>JÄMTLANDS LÄN</t>
        </is>
      </c>
      <c r="E948" t="inlineStr">
        <is>
          <t>RAGUNDA</t>
        </is>
      </c>
      <c r="G948" t="n">
        <v>3.7</v>
      </c>
      <c r="H948" t="n">
        <v>0</v>
      </c>
      <c r="I948" t="n">
        <v>0</v>
      </c>
      <c r="J948" t="n">
        <v>0</v>
      </c>
      <c r="K948" t="n">
        <v>0</v>
      </c>
      <c r="L948" t="n">
        <v>0</v>
      </c>
      <c r="M948" t="n">
        <v>0</v>
      </c>
      <c r="N948" t="n">
        <v>0</v>
      </c>
      <c r="O948" t="n">
        <v>0</v>
      </c>
      <c r="P948" t="n">
        <v>0</v>
      </c>
      <c r="Q948" t="n">
        <v>0</v>
      </c>
      <c r="R948" s="2" t="inlineStr"/>
    </row>
    <row r="949" ht="15" customHeight="1">
      <c r="A949" t="inlineStr">
        <is>
          <t>A 41262-2021</t>
        </is>
      </c>
      <c r="B949" s="1" t="n">
        <v>44424</v>
      </c>
      <c r="C949" s="1" t="n">
        <v>45880</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36371-2023</t>
        </is>
      </c>
      <c r="B950" s="1" t="n">
        <v>45149</v>
      </c>
      <c r="C950" s="1" t="n">
        <v>45880</v>
      </c>
      <c r="D950" t="inlineStr">
        <is>
          <t>JÄMTLANDS LÄN</t>
        </is>
      </c>
      <c r="E950" t="inlineStr">
        <is>
          <t>RAGUNDA</t>
        </is>
      </c>
      <c r="G950" t="n">
        <v>25.7</v>
      </c>
      <c r="H950" t="n">
        <v>0</v>
      </c>
      <c r="I950" t="n">
        <v>0</v>
      </c>
      <c r="J950" t="n">
        <v>0</v>
      </c>
      <c r="K950" t="n">
        <v>0</v>
      </c>
      <c r="L950" t="n">
        <v>0</v>
      </c>
      <c r="M950" t="n">
        <v>0</v>
      </c>
      <c r="N950" t="n">
        <v>0</v>
      </c>
      <c r="O950" t="n">
        <v>0</v>
      </c>
      <c r="P950" t="n">
        <v>0</v>
      </c>
      <c r="Q950" t="n">
        <v>0</v>
      </c>
      <c r="R950" s="2" t="inlineStr"/>
    </row>
    <row r="951" ht="15" customHeight="1">
      <c r="A951" t="inlineStr">
        <is>
          <t>A 10610-2024</t>
        </is>
      </c>
      <c r="B951" s="1" t="n">
        <v>45367.04693287037</v>
      </c>
      <c r="C951" s="1" t="n">
        <v>45880</v>
      </c>
      <c r="D951" t="inlineStr">
        <is>
          <t>JÄMTLANDS LÄN</t>
        </is>
      </c>
      <c r="E951" t="inlineStr">
        <is>
          <t>RAGUNDA</t>
        </is>
      </c>
      <c r="F951" t="inlineStr">
        <is>
          <t>SCA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51579-2024</t>
        </is>
      </c>
      <c r="B952" s="1" t="n">
        <v>45604.63575231482</v>
      </c>
      <c r="C952" s="1" t="n">
        <v>45880</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8779-2025</t>
        </is>
      </c>
      <c r="B953" s="1" t="n">
        <v>45712.61552083334</v>
      </c>
      <c r="C953" s="1" t="n">
        <v>45880</v>
      </c>
      <c r="D953" t="inlineStr">
        <is>
          <t>JÄMTLANDS LÄN</t>
        </is>
      </c>
      <c r="E953" t="inlineStr">
        <is>
          <t>RAGUNDA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20574-2025</t>
        </is>
      </c>
      <c r="B954" s="1" t="n">
        <v>45775.67747685185</v>
      </c>
      <c r="C954" s="1" t="n">
        <v>45880</v>
      </c>
      <c r="D954" t="inlineStr">
        <is>
          <t>JÄMTLANDS LÄN</t>
        </is>
      </c>
      <c r="E954" t="inlineStr">
        <is>
          <t>RAGUNDA</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16676-2022</t>
        </is>
      </c>
      <c r="B955" s="1" t="n">
        <v>44672.94018518519</v>
      </c>
      <c r="C955" s="1" t="n">
        <v>45880</v>
      </c>
      <c r="D955" t="inlineStr">
        <is>
          <t>JÄMTLANDS LÄN</t>
        </is>
      </c>
      <c r="E955" t="inlineStr">
        <is>
          <t>RAGUNDA</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57078-2023</t>
        </is>
      </c>
      <c r="B956" s="1" t="n">
        <v>45244.96774305555</v>
      </c>
      <c r="C956" s="1" t="n">
        <v>45880</v>
      </c>
      <c r="D956" t="inlineStr">
        <is>
          <t>JÄMTLANDS LÄN</t>
        </is>
      </c>
      <c r="E956" t="inlineStr">
        <is>
          <t>RAGUNDA</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19404-2025</t>
        </is>
      </c>
      <c r="B957" s="1" t="n">
        <v>45769.67802083334</v>
      </c>
      <c r="C957" s="1" t="n">
        <v>45880</v>
      </c>
      <c r="D957" t="inlineStr">
        <is>
          <t>JÄMTLANDS LÄN</t>
        </is>
      </c>
      <c r="E957" t="inlineStr">
        <is>
          <t>RAGUNDA</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12976-2025</t>
        </is>
      </c>
      <c r="B958" s="1" t="n">
        <v>45734.45268518518</v>
      </c>
      <c r="C958" s="1" t="n">
        <v>45880</v>
      </c>
      <c r="D958" t="inlineStr">
        <is>
          <t>JÄMTLANDS LÄN</t>
        </is>
      </c>
      <c r="E958" t="inlineStr">
        <is>
          <t>RAGUNDA</t>
        </is>
      </c>
      <c r="G958" t="n">
        <v>24.2</v>
      </c>
      <c r="H958" t="n">
        <v>0</v>
      </c>
      <c r="I958" t="n">
        <v>0</v>
      </c>
      <c r="J958" t="n">
        <v>0</v>
      </c>
      <c r="K958" t="n">
        <v>0</v>
      </c>
      <c r="L958" t="n">
        <v>0</v>
      </c>
      <c r="M958" t="n">
        <v>0</v>
      </c>
      <c r="N958" t="n">
        <v>0</v>
      </c>
      <c r="O958" t="n">
        <v>0</v>
      </c>
      <c r="P958" t="n">
        <v>0</v>
      </c>
      <c r="Q958" t="n">
        <v>0</v>
      </c>
      <c r="R958" s="2" t="inlineStr"/>
    </row>
    <row r="959" ht="15" customHeight="1">
      <c r="A959" t="inlineStr">
        <is>
          <t>A 56286-2023</t>
        </is>
      </c>
      <c r="B959" s="1" t="n">
        <v>45241.95741898148</v>
      </c>
      <c r="C959" s="1" t="n">
        <v>45880</v>
      </c>
      <c r="D959" t="inlineStr">
        <is>
          <t>JÄMTLANDS LÄN</t>
        </is>
      </c>
      <c r="E959" t="inlineStr">
        <is>
          <t>RAGUNDA</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56287-2023</t>
        </is>
      </c>
      <c r="B960" s="1" t="n">
        <v>45241</v>
      </c>
      <c r="C960" s="1" t="n">
        <v>45880</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35541-2025</t>
        </is>
      </c>
      <c r="B961" s="1" t="n">
        <v>45856.46931712963</v>
      </c>
      <c r="C961" s="1" t="n">
        <v>45880</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35462-2025</t>
        </is>
      </c>
      <c r="B962" s="1" t="n">
        <v>45855.61523148148</v>
      </c>
      <c r="C962" s="1" t="n">
        <v>45880</v>
      </c>
      <c r="D962" t="inlineStr">
        <is>
          <t>JÄMTLANDS LÄN</t>
        </is>
      </c>
      <c r="E962" t="inlineStr">
        <is>
          <t>RAGUNDA</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59658-2023</t>
        </is>
      </c>
      <c r="B963" s="1" t="n">
        <v>45254.96402777778</v>
      </c>
      <c r="C963" s="1" t="n">
        <v>45880</v>
      </c>
      <c r="D963" t="inlineStr">
        <is>
          <t>JÄMTLANDS LÄN</t>
        </is>
      </c>
      <c r="E963" t="inlineStr">
        <is>
          <t>RAGUNDA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35477-2025</t>
        </is>
      </c>
      <c r="B964" s="1" t="n">
        <v>45855.67899305555</v>
      </c>
      <c r="C964" s="1" t="n">
        <v>45880</v>
      </c>
      <c r="D964" t="inlineStr">
        <is>
          <t>JÄMTLANDS LÄN</t>
        </is>
      </c>
      <c r="E964" t="inlineStr">
        <is>
          <t>RAGUNDA</t>
        </is>
      </c>
      <c r="G964" t="n">
        <v>3.6</v>
      </c>
      <c r="H964" t="n">
        <v>0</v>
      </c>
      <c r="I964" t="n">
        <v>0</v>
      </c>
      <c r="J964" t="n">
        <v>0</v>
      </c>
      <c r="K964" t="n">
        <v>0</v>
      </c>
      <c r="L964" t="n">
        <v>0</v>
      </c>
      <c r="M964" t="n">
        <v>0</v>
      </c>
      <c r="N964" t="n">
        <v>0</v>
      </c>
      <c r="O964" t="n">
        <v>0</v>
      </c>
      <c r="P964" t="n">
        <v>0</v>
      </c>
      <c r="Q964" t="n">
        <v>0</v>
      </c>
      <c r="R964" s="2" t="inlineStr"/>
    </row>
    <row r="965" ht="15" customHeight="1">
      <c r="A965" t="inlineStr">
        <is>
          <t>A 28081-2022</t>
        </is>
      </c>
      <c r="B965" s="1" t="n">
        <v>44746</v>
      </c>
      <c r="C965" s="1" t="n">
        <v>45880</v>
      </c>
      <c r="D965" t="inlineStr">
        <is>
          <t>JÄMTLANDS LÄN</t>
        </is>
      </c>
      <c r="E965" t="inlineStr">
        <is>
          <t>RAGUNDA</t>
        </is>
      </c>
      <c r="G965" t="n">
        <v>7.2</v>
      </c>
      <c r="H965" t="n">
        <v>0</v>
      </c>
      <c r="I965" t="n">
        <v>0</v>
      </c>
      <c r="J965" t="n">
        <v>0</v>
      </c>
      <c r="K965" t="n">
        <v>0</v>
      </c>
      <c r="L965" t="n">
        <v>0</v>
      </c>
      <c r="M965" t="n">
        <v>0</v>
      </c>
      <c r="N965" t="n">
        <v>0</v>
      </c>
      <c r="O965" t="n">
        <v>0</v>
      </c>
      <c r="P965" t="n">
        <v>0</v>
      </c>
      <c r="Q965" t="n">
        <v>0</v>
      </c>
      <c r="R965" s="2" t="inlineStr"/>
    </row>
    <row r="966" ht="15" customHeight="1">
      <c r="A966" t="inlineStr">
        <is>
          <t>A 27510-2025</t>
        </is>
      </c>
      <c r="B966" s="1" t="n">
        <v>45813.42790509259</v>
      </c>
      <c r="C966" s="1" t="n">
        <v>45880</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37324-2022</t>
        </is>
      </c>
      <c r="B967" s="1" t="n">
        <v>44806</v>
      </c>
      <c r="C967" s="1" t="n">
        <v>45880</v>
      </c>
      <c r="D967" t="inlineStr">
        <is>
          <t>JÄMTLANDS LÄN</t>
        </is>
      </c>
      <c r="E967" t="inlineStr">
        <is>
          <t>RAGUNDA</t>
        </is>
      </c>
      <c r="G967" t="n">
        <v>2.3</v>
      </c>
      <c r="H967" t="n">
        <v>0</v>
      </c>
      <c r="I967" t="n">
        <v>0</v>
      </c>
      <c r="J967" t="n">
        <v>0</v>
      </c>
      <c r="K967" t="n">
        <v>0</v>
      </c>
      <c r="L967" t="n">
        <v>0</v>
      </c>
      <c r="M967" t="n">
        <v>0</v>
      </c>
      <c r="N967" t="n">
        <v>0</v>
      </c>
      <c r="O967" t="n">
        <v>0</v>
      </c>
      <c r="P967" t="n">
        <v>0</v>
      </c>
      <c r="Q967" t="n">
        <v>0</v>
      </c>
      <c r="R967" s="2" t="inlineStr"/>
    </row>
    <row r="968" ht="15" customHeight="1">
      <c r="A968" t="inlineStr">
        <is>
          <t>A 18989-2025</t>
        </is>
      </c>
      <c r="B968" s="1" t="n">
        <v>45764</v>
      </c>
      <c r="C968" s="1" t="n">
        <v>45880</v>
      </c>
      <c r="D968" t="inlineStr">
        <is>
          <t>JÄMTLANDS LÄN</t>
        </is>
      </c>
      <c r="E968" t="inlineStr">
        <is>
          <t>RAGUNDA</t>
        </is>
      </c>
      <c r="G968" t="n">
        <v>0.9</v>
      </c>
      <c r="H968" t="n">
        <v>0</v>
      </c>
      <c r="I968" t="n">
        <v>0</v>
      </c>
      <c r="J968" t="n">
        <v>0</v>
      </c>
      <c r="K968" t="n">
        <v>0</v>
      </c>
      <c r="L968" t="n">
        <v>0</v>
      </c>
      <c r="M968" t="n">
        <v>0</v>
      </c>
      <c r="N968" t="n">
        <v>0</v>
      </c>
      <c r="O968" t="n">
        <v>0</v>
      </c>
      <c r="P968" t="n">
        <v>0</v>
      </c>
      <c r="Q968" t="n">
        <v>0</v>
      </c>
      <c r="R968" s="2" t="inlineStr"/>
    </row>
    <row r="969" ht="15" customHeight="1">
      <c r="A969" t="inlineStr">
        <is>
          <t>A 19727-2025</t>
        </is>
      </c>
      <c r="B969" s="1" t="n">
        <v>45771.36538194444</v>
      </c>
      <c r="C969" s="1" t="n">
        <v>45880</v>
      </c>
      <c r="D969" t="inlineStr">
        <is>
          <t>JÄMTLANDS LÄN</t>
        </is>
      </c>
      <c r="E969" t="inlineStr">
        <is>
          <t>RAGUNDA</t>
        </is>
      </c>
      <c r="F969" t="inlineStr">
        <is>
          <t>SCA</t>
        </is>
      </c>
      <c r="G969" t="n">
        <v>9</v>
      </c>
      <c r="H969" t="n">
        <v>0</v>
      </c>
      <c r="I969" t="n">
        <v>0</v>
      </c>
      <c r="J969" t="n">
        <v>0</v>
      </c>
      <c r="K969" t="n">
        <v>0</v>
      </c>
      <c r="L969" t="n">
        <v>0</v>
      </c>
      <c r="M969" t="n">
        <v>0</v>
      </c>
      <c r="N969" t="n">
        <v>0</v>
      </c>
      <c r="O969" t="n">
        <v>0</v>
      </c>
      <c r="P969" t="n">
        <v>0</v>
      </c>
      <c r="Q969" t="n">
        <v>0</v>
      </c>
      <c r="R969" s="2" t="inlineStr"/>
    </row>
    <row r="970" ht="15" customHeight="1">
      <c r="A970" t="inlineStr">
        <is>
          <t>A 62106-2023</t>
        </is>
      </c>
      <c r="B970" s="1" t="n">
        <v>45266.95082175926</v>
      </c>
      <c r="C970" s="1" t="n">
        <v>45880</v>
      </c>
      <c r="D970" t="inlineStr">
        <is>
          <t>JÄMTLANDS LÄN</t>
        </is>
      </c>
      <c r="E970" t="inlineStr">
        <is>
          <t>RAGUNDA</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44630-2023</t>
        </is>
      </c>
      <c r="B971" s="1" t="n">
        <v>45184</v>
      </c>
      <c r="C971" s="1" t="n">
        <v>45880</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4592-2024</t>
        </is>
      </c>
      <c r="B972" s="1" t="n">
        <v>45327.94443287037</v>
      </c>
      <c r="C972" s="1" t="n">
        <v>45880</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35689-2025</t>
        </is>
      </c>
      <c r="B973" s="1" t="n">
        <v>45860.30229166667</v>
      </c>
      <c r="C973" s="1" t="n">
        <v>45880</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28084-2025</t>
        </is>
      </c>
      <c r="B974" s="1" t="n">
        <v>45817.71910879629</v>
      </c>
      <c r="C974" s="1" t="n">
        <v>45880</v>
      </c>
      <c r="D974" t="inlineStr">
        <is>
          <t>JÄMTLANDS LÄN</t>
        </is>
      </c>
      <c r="E974" t="inlineStr">
        <is>
          <t>RAGUNDA</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45880</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12523-2023</t>
        </is>
      </c>
      <c r="B976" s="1" t="n">
        <v>45000</v>
      </c>
      <c r="C976" s="1" t="n">
        <v>45880</v>
      </c>
      <c r="D976" t="inlineStr">
        <is>
          <t>JÄMTLANDS LÄN</t>
        </is>
      </c>
      <c r="E976" t="inlineStr">
        <is>
          <t>RAGUNDA</t>
        </is>
      </c>
      <c r="F976" t="inlineStr">
        <is>
          <t>SCA</t>
        </is>
      </c>
      <c r="G976" t="n">
        <v>14.3</v>
      </c>
      <c r="H976" t="n">
        <v>0</v>
      </c>
      <c r="I976" t="n">
        <v>0</v>
      </c>
      <c r="J976" t="n">
        <v>0</v>
      </c>
      <c r="K976" t="n">
        <v>0</v>
      </c>
      <c r="L976" t="n">
        <v>0</v>
      </c>
      <c r="M976" t="n">
        <v>0</v>
      </c>
      <c r="N976" t="n">
        <v>0</v>
      </c>
      <c r="O976" t="n">
        <v>0</v>
      </c>
      <c r="P976" t="n">
        <v>0</v>
      </c>
      <c r="Q976" t="n">
        <v>0</v>
      </c>
      <c r="R976" s="2" t="inlineStr"/>
    </row>
    <row r="977" ht="15" customHeight="1">
      <c r="A977" t="inlineStr">
        <is>
          <t>A 28216-2025</t>
        </is>
      </c>
      <c r="B977" s="1" t="n">
        <v>45818.46898148148</v>
      </c>
      <c r="C977" s="1" t="n">
        <v>45880</v>
      </c>
      <c r="D977" t="inlineStr">
        <is>
          <t>JÄMTLANDS LÄN</t>
        </is>
      </c>
      <c r="E977" t="inlineStr">
        <is>
          <t>RAGUNDA</t>
        </is>
      </c>
      <c r="G977" t="n">
        <v>6.6</v>
      </c>
      <c r="H977" t="n">
        <v>0</v>
      </c>
      <c r="I977" t="n">
        <v>0</v>
      </c>
      <c r="J977" t="n">
        <v>0</v>
      </c>
      <c r="K977" t="n">
        <v>0</v>
      </c>
      <c r="L977" t="n">
        <v>0</v>
      </c>
      <c r="M977" t="n">
        <v>0</v>
      </c>
      <c r="N977" t="n">
        <v>0</v>
      </c>
      <c r="O977" t="n">
        <v>0</v>
      </c>
      <c r="P977" t="n">
        <v>0</v>
      </c>
      <c r="Q977" t="n">
        <v>0</v>
      </c>
      <c r="R977" s="2" t="inlineStr"/>
    </row>
    <row r="978" ht="15" customHeight="1">
      <c r="A978" t="inlineStr">
        <is>
          <t>A 18984-2023</t>
        </is>
      </c>
      <c r="B978" s="1" t="n">
        <v>45044</v>
      </c>
      <c r="C978" s="1" t="n">
        <v>45880</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8241-2024</t>
        </is>
      </c>
      <c r="B979" s="1" t="n">
        <v>45351.98496527778</v>
      </c>
      <c r="C979" s="1" t="n">
        <v>45880</v>
      </c>
      <c r="D979" t="inlineStr">
        <is>
          <t>JÄMTLANDS LÄN</t>
        </is>
      </c>
      <c r="E979" t="inlineStr">
        <is>
          <t>RAGUNDA</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14512-2025</t>
        </is>
      </c>
      <c r="B980" s="1" t="n">
        <v>45741.63659722222</v>
      </c>
      <c r="C980" s="1" t="n">
        <v>45880</v>
      </c>
      <c r="D980" t="inlineStr">
        <is>
          <t>JÄMTLANDS LÄN</t>
        </is>
      </c>
      <c r="E980" t="inlineStr">
        <is>
          <t>RAGUNDA</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35658-2025</t>
        </is>
      </c>
      <c r="B981" s="1" t="n">
        <v>45859.594375</v>
      </c>
      <c r="C981" s="1" t="n">
        <v>45880</v>
      </c>
      <c r="D981" t="inlineStr">
        <is>
          <t>JÄMTLANDS LÄN</t>
        </is>
      </c>
      <c r="E981" t="inlineStr">
        <is>
          <t>RAGUNDA</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36246-2024</t>
        </is>
      </c>
      <c r="B982" s="1" t="n">
        <v>45534</v>
      </c>
      <c r="C982" s="1" t="n">
        <v>45880</v>
      </c>
      <c r="D982" t="inlineStr">
        <is>
          <t>JÄMTLANDS LÄN</t>
        </is>
      </c>
      <c r="E982" t="inlineStr">
        <is>
          <t>RAGUNDA</t>
        </is>
      </c>
      <c r="G982" t="n">
        <v>1.6</v>
      </c>
      <c r="H982" t="n">
        <v>0</v>
      </c>
      <c r="I982" t="n">
        <v>0</v>
      </c>
      <c r="J982" t="n">
        <v>0</v>
      </c>
      <c r="K982" t="n">
        <v>0</v>
      </c>
      <c r="L982" t="n">
        <v>0</v>
      </c>
      <c r="M982" t="n">
        <v>0</v>
      </c>
      <c r="N982" t="n">
        <v>0</v>
      </c>
      <c r="O982" t="n">
        <v>0</v>
      </c>
      <c r="P982" t="n">
        <v>0</v>
      </c>
      <c r="Q982" t="n">
        <v>0</v>
      </c>
      <c r="R982" s="2" t="inlineStr"/>
    </row>
    <row r="983" ht="15" customHeight="1">
      <c r="A983" t="inlineStr">
        <is>
          <t>A 53019-2023</t>
        </is>
      </c>
      <c r="B983" s="1" t="n">
        <v>45222</v>
      </c>
      <c r="C983" s="1" t="n">
        <v>45880</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59996-2023</t>
        </is>
      </c>
      <c r="B984" s="1" t="n">
        <v>45257.92826388889</v>
      </c>
      <c r="C984" s="1" t="n">
        <v>45880</v>
      </c>
      <c r="D984" t="inlineStr">
        <is>
          <t>JÄMTLANDS LÄN</t>
        </is>
      </c>
      <c r="E984" t="inlineStr">
        <is>
          <t>RAGUNDA</t>
        </is>
      </c>
      <c r="G984" t="n">
        <v>2.7</v>
      </c>
      <c r="H984" t="n">
        <v>0</v>
      </c>
      <c r="I984" t="n">
        <v>0</v>
      </c>
      <c r="J984" t="n">
        <v>0</v>
      </c>
      <c r="K984" t="n">
        <v>0</v>
      </c>
      <c r="L984" t="n">
        <v>0</v>
      </c>
      <c r="M984" t="n">
        <v>0</v>
      </c>
      <c r="N984" t="n">
        <v>0</v>
      </c>
      <c r="O984" t="n">
        <v>0</v>
      </c>
      <c r="P984" t="n">
        <v>0</v>
      </c>
      <c r="Q984" t="n">
        <v>0</v>
      </c>
      <c r="R984" s="2" t="inlineStr"/>
    </row>
    <row r="985" ht="15" customHeight="1">
      <c r="A985" t="inlineStr">
        <is>
          <t>A 1537-2024</t>
        </is>
      </c>
      <c r="B985" s="1" t="n">
        <v>45306</v>
      </c>
      <c r="C985" s="1" t="n">
        <v>45880</v>
      </c>
      <c r="D985" t="inlineStr">
        <is>
          <t>JÄMTLANDS LÄN</t>
        </is>
      </c>
      <c r="E985" t="inlineStr">
        <is>
          <t>RAGUNDA</t>
        </is>
      </c>
      <c r="G985" t="n">
        <v>0.2</v>
      </c>
      <c r="H985" t="n">
        <v>0</v>
      </c>
      <c r="I985" t="n">
        <v>0</v>
      </c>
      <c r="J985" t="n">
        <v>0</v>
      </c>
      <c r="K985" t="n">
        <v>0</v>
      </c>
      <c r="L985" t="n">
        <v>0</v>
      </c>
      <c r="M985" t="n">
        <v>0</v>
      </c>
      <c r="N985" t="n">
        <v>0</v>
      </c>
      <c r="O985" t="n">
        <v>0</v>
      </c>
      <c r="P985" t="n">
        <v>0</v>
      </c>
      <c r="Q985" t="n">
        <v>0</v>
      </c>
      <c r="R985" s="2" t="inlineStr"/>
    </row>
    <row r="986" ht="15" customHeight="1">
      <c r="A986" t="inlineStr">
        <is>
          <t>A 32063-2024</t>
        </is>
      </c>
      <c r="B986" s="1" t="n">
        <v>45510</v>
      </c>
      <c r="C986" s="1" t="n">
        <v>45880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28637-2025</t>
        </is>
      </c>
      <c r="B987" s="1" t="n">
        <v>45819.6359375</v>
      </c>
      <c r="C987" s="1" t="n">
        <v>45880</v>
      </c>
      <c r="D987" t="inlineStr">
        <is>
          <t>JÄMTLANDS LÄN</t>
        </is>
      </c>
      <c r="E987" t="inlineStr">
        <is>
          <t>RAGUNDA</t>
        </is>
      </c>
      <c r="F987" t="inlineStr">
        <is>
          <t>SCA</t>
        </is>
      </c>
      <c r="G987" t="n">
        <v>6.6</v>
      </c>
      <c r="H987" t="n">
        <v>0</v>
      </c>
      <c r="I987" t="n">
        <v>0</v>
      </c>
      <c r="J987" t="n">
        <v>0</v>
      </c>
      <c r="K987" t="n">
        <v>0</v>
      </c>
      <c r="L987" t="n">
        <v>0</v>
      </c>
      <c r="M987" t="n">
        <v>0</v>
      </c>
      <c r="N987" t="n">
        <v>0</v>
      </c>
      <c r="O987" t="n">
        <v>0</v>
      </c>
      <c r="P987" t="n">
        <v>0</v>
      </c>
      <c r="Q987" t="n">
        <v>0</v>
      </c>
      <c r="R987" s="2" t="inlineStr"/>
    </row>
    <row r="988" ht="15" customHeight="1">
      <c r="A988" t="inlineStr">
        <is>
          <t>A 5307-2025</t>
        </is>
      </c>
      <c r="B988" s="1" t="n">
        <v>45692.48993055556</v>
      </c>
      <c r="C988" s="1" t="n">
        <v>45880</v>
      </c>
      <c r="D988" t="inlineStr">
        <is>
          <t>JÄMTLANDS LÄN</t>
        </is>
      </c>
      <c r="E988" t="inlineStr">
        <is>
          <t>RAGUNDA</t>
        </is>
      </c>
      <c r="F988" t="inlineStr">
        <is>
          <t>SCA</t>
        </is>
      </c>
      <c r="G988" t="n">
        <v>20.9</v>
      </c>
      <c r="H988" t="n">
        <v>0</v>
      </c>
      <c r="I988" t="n">
        <v>0</v>
      </c>
      <c r="J988" t="n">
        <v>0</v>
      </c>
      <c r="K988" t="n">
        <v>0</v>
      </c>
      <c r="L988" t="n">
        <v>0</v>
      </c>
      <c r="M988" t="n">
        <v>0</v>
      </c>
      <c r="N988" t="n">
        <v>0</v>
      </c>
      <c r="O988" t="n">
        <v>0</v>
      </c>
      <c r="P988" t="n">
        <v>0</v>
      </c>
      <c r="Q988" t="n">
        <v>0</v>
      </c>
      <c r="R988" s="2" t="inlineStr"/>
    </row>
    <row r="989" ht="15" customHeight="1">
      <c r="A989" t="inlineStr">
        <is>
          <t>A 29257-2024</t>
        </is>
      </c>
      <c r="B989" s="1" t="n">
        <v>45482.94815972223</v>
      </c>
      <c r="C989" s="1" t="n">
        <v>45880</v>
      </c>
      <c r="D989" t="inlineStr">
        <is>
          <t>JÄMTLANDS LÄN</t>
        </is>
      </c>
      <c r="E989" t="inlineStr">
        <is>
          <t>RAGUNDA</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48066-2022</t>
        </is>
      </c>
      <c r="B990" s="1" t="n">
        <v>44855</v>
      </c>
      <c r="C990" s="1" t="n">
        <v>45880</v>
      </c>
      <c r="D990" t="inlineStr">
        <is>
          <t>JÄMTLANDS LÄN</t>
        </is>
      </c>
      <c r="E990" t="inlineStr">
        <is>
          <t>RAGUNDA</t>
        </is>
      </c>
      <c r="F990" t="inlineStr">
        <is>
          <t>SCA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26942-2021</t>
        </is>
      </c>
      <c r="B991" s="1" t="n">
        <v>44349.91978009259</v>
      </c>
      <c r="C991" s="1" t="n">
        <v>45880</v>
      </c>
      <c r="D991" t="inlineStr">
        <is>
          <t>JÄMTLANDS LÄN</t>
        </is>
      </c>
      <c r="E991" t="inlineStr">
        <is>
          <t>RAGUNDA</t>
        </is>
      </c>
      <c r="G991" t="n">
        <v>6.2</v>
      </c>
      <c r="H991" t="n">
        <v>0</v>
      </c>
      <c r="I991" t="n">
        <v>0</v>
      </c>
      <c r="J991" t="n">
        <v>0</v>
      </c>
      <c r="K991" t="n">
        <v>0</v>
      </c>
      <c r="L991" t="n">
        <v>0</v>
      </c>
      <c r="M991" t="n">
        <v>0</v>
      </c>
      <c r="N991" t="n">
        <v>0</v>
      </c>
      <c r="O991" t="n">
        <v>0</v>
      </c>
      <c r="P991" t="n">
        <v>0</v>
      </c>
      <c r="Q991" t="n">
        <v>0</v>
      </c>
      <c r="R991" s="2" t="inlineStr"/>
    </row>
    <row r="992" ht="15" customHeight="1">
      <c r="A992" t="inlineStr">
        <is>
          <t>A 40051-2020</t>
        </is>
      </c>
      <c r="B992" s="1" t="n">
        <v>44067</v>
      </c>
      <c r="C992" s="1" t="n">
        <v>45880</v>
      </c>
      <c r="D992" t="inlineStr">
        <is>
          <t>JÄMTLANDS LÄN</t>
        </is>
      </c>
      <c r="E992" t="inlineStr">
        <is>
          <t>RAGUNDA</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55487-2023</t>
        </is>
      </c>
      <c r="B993" s="1" t="n">
        <v>45238</v>
      </c>
      <c r="C993" s="1" t="n">
        <v>45880</v>
      </c>
      <c r="D993" t="inlineStr">
        <is>
          <t>JÄMTLANDS LÄN</t>
        </is>
      </c>
      <c r="E993" t="inlineStr">
        <is>
          <t>RAGUNDA</t>
        </is>
      </c>
      <c r="G993" t="n">
        <v>3</v>
      </c>
      <c r="H993" t="n">
        <v>0</v>
      </c>
      <c r="I993" t="n">
        <v>0</v>
      </c>
      <c r="J993" t="n">
        <v>0</v>
      </c>
      <c r="K993" t="n">
        <v>0</v>
      </c>
      <c r="L993" t="n">
        <v>0</v>
      </c>
      <c r="M993" t="n">
        <v>0</v>
      </c>
      <c r="N993" t="n">
        <v>0</v>
      </c>
      <c r="O993" t="n">
        <v>0</v>
      </c>
      <c r="P993" t="n">
        <v>0</v>
      </c>
      <c r="Q993" t="n">
        <v>0</v>
      </c>
      <c r="R993" s="2" t="inlineStr"/>
    </row>
    <row r="994" ht="15" customHeight="1">
      <c r="A994" t="inlineStr">
        <is>
          <t>A 56504-2024</t>
        </is>
      </c>
      <c r="B994" s="1" t="n">
        <v>45625.51068287037</v>
      </c>
      <c r="C994" s="1" t="n">
        <v>45880</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20770-2024</t>
        </is>
      </c>
      <c r="B995" s="1" t="n">
        <v>45436.94613425926</v>
      </c>
      <c r="C995" s="1" t="n">
        <v>45880</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5938-2025</t>
        </is>
      </c>
      <c r="B996" s="1" t="n">
        <v>45695.45868055556</v>
      </c>
      <c r="C996" s="1" t="n">
        <v>45880</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19383-2025</t>
        </is>
      </c>
      <c r="B997" s="1" t="n">
        <v>45769.65688657408</v>
      </c>
      <c r="C997" s="1" t="n">
        <v>45880</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28973-2025</t>
        </is>
      </c>
      <c r="B998" s="1" t="n">
        <v>45821.34513888889</v>
      </c>
      <c r="C998" s="1" t="n">
        <v>45880</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29723-2025</t>
        </is>
      </c>
      <c r="B999" s="1" t="n">
        <v>45825.57675925926</v>
      </c>
      <c r="C999" s="1" t="n">
        <v>45880</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29731-2025</t>
        </is>
      </c>
      <c r="B1000" s="1" t="n">
        <v>45825.58252314815</v>
      </c>
      <c r="C1000" s="1" t="n">
        <v>45880</v>
      </c>
      <c r="D1000" t="inlineStr">
        <is>
          <t>JÄMTLANDS LÄN</t>
        </is>
      </c>
      <c r="E1000" t="inlineStr">
        <is>
          <t>RAGUNDA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12783-2023</t>
        </is>
      </c>
      <c r="B1001" s="1" t="n">
        <v>45000</v>
      </c>
      <c r="C1001" s="1" t="n">
        <v>45880</v>
      </c>
      <c r="D1001" t="inlineStr">
        <is>
          <t>JÄMTLANDS LÄN</t>
        </is>
      </c>
      <c r="E1001" t="inlineStr">
        <is>
          <t>RAGUNDA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35153-2024</t>
        </is>
      </c>
      <c r="B1002" s="1" t="n">
        <v>45530</v>
      </c>
      <c r="C1002" s="1" t="n">
        <v>45880</v>
      </c>
      <c r="D1002" t="inlineStr">
        <is>
          <t>JÄMTLANDS LÄN</t>
        </is>
      </c>
      <c r="E1002" t="inlineStr">
        <is>
          <t>RAGUNDA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28173-2024</t>
        </is>
      </c>
      <c r="B1003" s="1" t="n">
        <v>45476.94533564815</v>
      </c>
      <c r="C1003" s="1" t="n">
        <v>45880</v>
      </c>
      <c r="D1003" t="inlineStr">
        <is>
          <t>JÄMTLANDS LÄN</t>
        </is>
      </c>
      <c r="E1003" t="inlineStr">
        <is>
          <t>RAGUNDA</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35537-2021</t>
        </is>
      </c>
      <c r="B1004" s="1" t="n">
        <v>44384</v>
      </c>
      <c r="C1004" s="1" t="n">
        <v>45880</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29714-2025</t>
        </is>
      </c>
      <c r="B1005" s="1" t="n">
        <v>45825.56762731481</v>
      </c>
      <c r="C1005" s="1" t="n">
        <v>45880</v>
      </c>
      <c r="D1005" t="inlineStr">
        <is>
          <t>JÄMTLANDS LÄN</t>
        </is>
      </c>
      <c r="E1005" t="inlineStr">
        <is>
          <t>RAGUNDA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30088-2025</t>
        </is>
      </c>
      <c r="B1006" s="1" t="n">
        <v>45826.65759259259</v>
      </c>
      <c r="C1006" s="1" t="n">
        <v>45880</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36553-2025</t>
        </is>
      </c>
      <c r="B1007" s="1" t="n">
        <v>45870.34439814815</v>
      </c>
      <c r="C1007" s="1" t="n">
        <v>45880</v>
      </c>
      <c r="D1007" t="inlineStr">
        <is>
          <t>JÄMTLANDS LÄN</t>
        </is>
      </c>
      <c r="E1007" t="inlineStr">
        <is>
          <t>RAGUNDA</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31463-2024</t>
        </is>
      </c>
      <c r="B1008" s="1" t="n">
        <v>45505</v>
      </c>
      <c r="C1008" s="1" t="n">
        <v>45880</v>
      </c>
      <c r="D1008" t="inlineStr">
        <is>
          <t>JÄMTLANDS LÄN</t>
        </is>
      </c>
      <c r="E1008" t="inlineStr">
        <is>
          <t>RAGUNDA</t>
        </is>
      </c>
      <c r="F1008" t="inlineStr">
        <is>
          <t>SCA</t>
        </is>
      </c>
      <c r="G1008" t="n">
        <v>20.3</v>
      </c>
      <c r="H1008" t="n">
        <v>0</v>
      </c>
      <c r="I1008" t="n">
        <v>0</v>
      </c>
      <c r="J1008" t="n">
        <v>0</v>
      </c>
      <c r="K1008" t="n">
        <v>0</v>
      </c>
      <c r="L1008" t="n">
        <v>0</v>
      </c>
      <c r="M1008" t="n">
        <v>0</v>
      </c>
      <c r="N1008" t="n">
        <v>0</v>
      </c>
      <c r="O1008" t="n">
        <v>0</v>
      </c>
      <c r="P1008" t="n">
        <v>0</v>
      </c>
      <c r="Q1008" t="n">
        <v>0</v>
      </c>
      <c r="R1008" s="2" t="inlineStr"/>
    </row>
    <row r="1009" ht="15" customHeight="1">
      <c r="A1009" t="inlineStr">
        <is>
          <t>A 18248-2023</t>
        </is>
      </c>
      <c r="B1009" s="1" t="n">
        <v>45040</v>
      </c>
      <c r="C1009" s="1" t="n">
        <v>45880</v>
      </c>
      <c r="D1009" t="inlineStr">
        <is>
          <t>JÄMTLANDS LÄN</t>
        </is>
      </c>
      <c r="E1009" t="inlineStr">
        <is>
          <t>RAGUNDA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45438-2022</t>
        </is>
      </c>
      <c r="B1010" s="1" t="n">
        <v>44844.95368055555</v>
      </c>
      <c r="C1010" s="1" t="n">
        <v>45880</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30459-2021</t>
        </is>
      </c>
      <c r="B1011" s="1" t="n">
        <v>44362</v>
      </c>
      <c r="C1011" s="1" t="n">
        <v>45880</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30348-2025</t>
        </is>
      </c>
      <c r="B1012" s="1" t="n">
        <v>45827.53178240741</v>
      </c>
      <c r="C1012" s="1" t="n">
        <v>45880</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30434-2025</t>
        </is>
      </c>
      <c r="B1013" s="1" t="n">
        <v>45827.63582175926</v>
      </c>
      <c r="C1013" s="1" t="n">
        <v>45880</v>
      </c>
      <c r="D1013" t="inlineStr">
        <is>
          <t>JÄMTLANDS LÄN</t>
        </is>
      </c>
      <c r="E1013" t="inlineStr">
        <is>
          <t>RAGUNDA</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29263-2024</t>
        </is>
      </c>
      <c r="B1014" s="1" t="n">
        <v>45482.94891203703</v>
      </c>
      <c r="C1014" s="1" t="n">
        <v>45880</v>
      </c>
      <c r="D1014" t="inlineStr">
        <is>
          <t>JÄMTLANDS LÄN</t>
        </is>
      </c>
      <c r="E1014" t="inlineStr">
        <is>
          <t>RAGUNDA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29265-2024</t>
        </is>
      </c>
      <c r="B1015" s="1" t="n">
        <v>45482.9491087963</v>
      </c>
      <c r="C1015" s="1" t="n">
        <v>45880</v>
      </c>
      <c r="D1015" t="inlineStr">
        <is>
          <t>JÄMTLANDS LÄN</t>
        </is>
      </c>
      <c r="E1015" t="inlineStr">
        <is>
          <t>RAGUNDA</t>
        </is>
      </c>
      <c r="F1015" t="inlineStr">
        <is>
          <t>SCA</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36541-2025</t>
        </is>
      </c>
      <c r="B1016" s="1" t="n">
        <v>45869.65666666667</v>
      </c>
      <c r="C1016" s="1" t="n">
        <v>45880</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36544-2025</t>
        </is>
      </c>
      <c r="B1017" s="1" t="n">
        <v>45869.67744212963</v>
      </c>
      <c r="C1017" s="1" t="n">
        <v>45880</v>
      </c>
      <c r="D1017" t="inlineStr">
        <is>
          <t>JÄMTLANDS LÄN</t>
        </is>
      </c>
      <c r="E1017" t="inlineStr">
        <is>
          <t>RAGUNDA</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45008.01408564814</v>
      </c>
      <c r="C1018" s="1" t="n">
        <v>45880</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41693-2023</t>
        </is>
      </c>
      <c r="B1019" s="1" t="n">
        <v>45176</v>
      </c>
      <c r="C1019" s="1" t="n">
        <v>45880</v>
      </c>
      <c r="D1019" t="inlineStr">
        <is>
          <t>JÄMTLANDS LÄN</t>
        </is>
      </c>
      <c r="E1019" t="inlineStr">
        <is>
          <t>RAGUNDA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37008-2025</t>
        </is>
      </c>
      <c r="B1020" s="1" t="n">
        <v>45874.69844907407</v>
      </c>
      <c r="C1020" s="1" t="n">
        <v>45880</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61197-2023</t>
        </is>
      </c>
      <c r="B1021" s="1" t="n">
        <v>45260</v>
      </c>
      <c r="C1021" s="1" t="n">
        <v>45880</v>
      </c>
      <c r="D1021" t="inlineStr">
        <is>
          <t>JÄMTLANDS LÄN</t>
        </is>
      </c>
      <c r="E1021" t="inlineStr">
        <is>
          <t>RAGUNDA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3770-2025</t>
        </is>
      </c>
      <c r="B1022" s="1" t="n">
        <v>45681.6050925926</v>
      </c>
      <c r="C1022" s="1" t="n">
        <v>45880</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11252-2025</t>
        </is>
      </c>
      <c r="B1023" s="1" t="n">
        <v>45726.38615740741</v>
      </c>
      <c r="C1023" s="1" t="n">
        <v>45880</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11253-2025</t>
        </is>
      </c>
      <c r="B1024" s="1" t="n">
        <v>45726.3862037037</v>
      </c>
      <c r="C1024" s="1" t="n">
        <v>45880</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7668-2025</t>
        </is>
      </c>
      <c r="B1025" s="1" t="n">
        <v>45706.34450231482</v>
      </c>
      <c r="C1025" s="1" t="n">
        <v>45880</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30883-2025</t>
        </is>
      </c>
      <c r="B1026" s="1" t="n">
        <v>45832.34552083333</v>
      </c>
      <c r="C1026" s="1" t="n">
        <v>45880</v>
      </c>
      <c r="D1026" t="inlineStr">
        <is>
          <t>JÄMTLANDS LÄN</t>
        </is>
      </c>
      <c r="E1026" t="inlineStr">
        <is>
          <t>RAGUNDA</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31135-2023</t>
        </is>
      </c>
      <c r="B1027" s="1" t="n">
        <v>45103</v>
      </c>
      <c r="C1027" s="1" t="n">
        <v>45880</v>
      </c>
      <c r="D1027" t="inlineStr">
        <is>
          <t>JÄMTLANDS LÄN</t>
        </is>
      </c>
      <c r="E1027" t="inlineStr">
        <is>
          <t>RAGUNDA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13767-2022</t>
        </is>
      </c>
      <c r="B1028" s="1" t="n">
        <v>44649.47048611111</v>
      </c>
      <c r="C1028" s="1" t="n">
        <v>45880</v>
      </c>
      <c r="D1028" t="inlineStr">
        <is>
          <t>JÄMTLANDS LÄN</t>
        </is>
      </c>
      <c r="E1028" t="inlineStr">
        <is>
          <t>RAGUNDA</t>
        </is>
      </c>
      <c r="F1028" t="inlineStr">
        <is>
          <t>Kommuner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22569-2023</t>
        </is>
      </c>
      <c r="B1029" s="1" t="n">
        <v>45069</v>
      </c>
      <c r="C1029" s="1" t="n">
        <v>45880</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4212-2024</t>
        </is>
      </c>
      <c r="B1030" s="1" t="n">
        <v>45324</v>
      </c>
      <c r="C1030" s="1" t="n">
        <v>45880</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36994-2025</t>
        </is>
      </c>
      <c r="B1031" s="1" t="n">
        <v>45874.67746527777</v>
      </c>
      <c r="C1031" s="1" t="n">
        <v>45880</v>
      </c>
      <c r="D1031" t="inlineStr">
        <is>
          <t>JÄMTLANDS LÄN</t>
        </is>
      </c>
      <c r="E1031" t="inlineStr">
        <is>
          <t>RAGUNDA</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30880-2025</t>
        </is>
      </c>
      <c r="B1032" s="1" t="n">
        <v>45832.34524305556</v>
      </c>
      <c r="C1032" s="1" t="n">
        <v>45880</v>
      </c>
      <c r="D1032" t="inlineStr">
        <is>
          <t>JÄMTLANDS LÄN</t>
        </is>
      </c>
      <c r="E1032" t="inlineStr">
        <is>
          <t>RAGUNDA</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30887-2025</t>
        </is>
      </c>
      <c r="B1033" s="1" t="n">
        <v>45832.3459375</v>
      </c>
      <c r="C1033" s="1" t="n">
        <v>45880</v>
      </c>
      <c r="D1033" t="inlineStr">
        <is>
          <t>JÄMTLANDS LÄN</t>
        </is>
      </c>
      <c r="E1033" t="inlineStr">
        <is>
          <t>RAGUNDA</t>
        </is>
      </c>
      <c r="F1033" t="inlineStr">
        <is>
          <t>SCA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43405-2023</t>
        </is>
      </c>
      <c r="B1034" s="1" t="n">
        <v>45183.95563657407</v>
      </c>
      <c r="C1034" s="1" t="n">
        <v>45880</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56984-2022</t>
        </is>
      </c>
      <c r="B1035" s="1" t="n">
        <v>44894.79018518519</v>
      </c>
      <c r="C1035" s="1" t="n">
        <v>45880</v>
      </c>
      <c r="D1035" t="inlineStr">
        <is>
          <t>JÄMTLANDS LÄN</t>
        </is>
      </c>
      <c r="E1035" t="inlineStr">
        <is>
          <t>RAGUNDA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5958-2023</t>
        </is>
      </c>
      <c r="B1036" s="1" t="n">
        <v>44963</v>
      </c>
      <c r="C1036" s="1" t="n">
        <v>45880</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36947-2025</t>
        </is>
      </c>
      <c r="B1037" s="1" t="n">
        <v>45874.59496527778</v>
      </c>
      <c r="C1037" s="1" t="n">
        <v>45880</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32874-2025</t>
        </is>
      </c>
      <c r="B1038" s="1" t="n">
        <v>45839</v>
      </c>
      <c r="C1038" s="1" t="n">
        <v>45880</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50521-2024</t>
        </is>
      </c>
      <c r="B1039" s="1" t="n">
        <v>45601.55331018518</v>
      </c>
      <c r="C1039" s="1" t="n">
        <v>45880</v>
      </c>
      <c r="D1039" t="inlineStr">
        <is>
          <t>JÄMTLANDS LÄN</t>
        </is>
      </c>
      <c r="E1039" t="inlineStr">
        <is>
          <t>RAGUNDA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29920-2024</t>
        </is>
      </c>
      <c r="B1040" s="1" t="n">
        <v>45487.92856481481</v>
      </c>
      <c r="C1040" s="1" t="n">
        <v>45880</v>
      </c>
      <c r="D1040" t="inlineStr">
        <is>
          <t>JÄMTLANDS LÄN</t>
        </is>
      </c>
      <c r="E1040" t="inlineStr">
        <is>
          <t>RAGUNDA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62011-2022</t>
        </is>
      </c>
      <c r="B1041" s="1" t="n">
        <v>44914</v>
      </c>
      <c r="C1041" s="1" t="n">
        <v>45880</v>
      </c>
      <c r="D1041" t="inlineStr">
        <is>
          <t>JÄMTLANDS LÄN</t>
        </is>
      </c>
      <c r="E1041" t="inlineStr">
        <is>
          <t>RAGUNDA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37292-2025</t>
        </is>
      </c>
      <c r="B1042" s="1" t="n">
        <v>45876.53188657408</v>
      </c>
      <c r="C1042" s="1" t="n">
        <v>45880</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31882-2025</t>
        </is>
      </c>
      <c r="B1043" s="1" t="n">
        <v>45834.65662037037</v>
      </c>
      <c r="C1043" s="1" t="n">
        <v>45880</v>
      </c>
      <c r="D1043" t="inlineStr">
        <is>
          <t>JÄMTLANDS LÄN</t>
        </is>
      </c>
      <c r="E1043" t="inlineStr">
        <is>
          <t>RAGUNDA</t>
        </is>
      </c>
      <c r="F1043" t="inlineStr">
        <is>
          <t>SCA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22311-2024</t>
        </is>
      </c>
      <c r="B1044" s="1" t="n">
        <v>45446.57052083333</v>
      </c>
      <c r="C1044" s="1" t="n">
        <v>45880</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19866-2023</t>
        </is>
      </c>
      <c r="B1045" s="1" t="n">
        <v>45053.94313657407</v>
      </c>
      <c r="C1045" s="1" t="n">
        <v>45880</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53935-2022</t>
        </is>
      </c>
      <c r="B1046" s="1" t="n">
        <v>44880</v>
      </c>
      <c r="C1046" s="1" t="n">
        <v>45880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9504-2025</t>
        </is>
      </c>
      <c r="B1047" s="1" t="n">
        <v>45714</v>
      </c>
      <c r="C1047" s="1" t="n">
        <v>45880</v>
      </c>
      <c r="D1047" t="inlineStr">
        <is>
          <t>JÄMTLANDS LÄN</t>
        </is>
      </c>
      <c r="E1047" t="inlineStr">
        <is>
          <t>RAGUNDA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18631-2024</t>
        </is>
      </c>
      <c r="B1048" s="1" t="n">
        <v>45425.96494212963</v>
      </c>
      <c r="C1048" s="1" t="n">
        <v>45880</v>
      </c>
      <c r="D1048" t="inlineStr">
        <is>
          <t>JÄMTLANDS LÄN</t>
        </is>
      </c>
      <c r="E1048" t="inlineStr">
        <is>
          <t>RAGUNDA</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12805-2025</t>
        </is>
      </c>
      <c r="B1049" s="1" t="n">
        <v>45733.61497685185</v>
      </c>
      <c r="C1049" s="1" t="n">
        <v>45880</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45880</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12024-2022</t>
        </is>
      </c>
      <c r="B1051" s="1" t="n">
        <v>44635</v>
      </c>
      <c r="C1051" s="1" t="n">
        <v>45880</v>
      </c>
      <c r="D1051" t="inlineStr">
        <is>
          <t>JÄMTLANDS LÄN</t>
        </is>
      </c>
      <c r="E1051" t="inlineStr">
        <is>
          <t>RAGUNDA</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69153-2021</t>
        </is>
      </c>
      <c r="B1052" s="1" t="n">
        <v>44530.94694444445</v>
      </c>
      <c r="C1052" s="1" t="n">
        <v>45880</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4882-2023</t>
        </is>
      </c>
      <c r="B1053" s="1" t="n">
        <v>44957.94075231482</v>
      </c>
      <c r="C1053" s="1" t="n">
        <v>45880</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39608-2024</t>
        </is>
      </c>
      <c r="B1054" s="1" t="n">
        <v>45552.39113425926</v>
      </c>
      <c r="C1054" s="1" t="n">
        <v>45880</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18454-2021</t>
        </is>
      </c>
      <c r="B1055" s="1" t="n">
        <v>44305.92047453704</v>
      </c>
      <c r="C1055" s="1" t="n">
        <v>45880</v>
      </c>
      <c r="D1055" t="inlineStr">
        <is>
          <t>JÄMTLANDS LÄN</t>
        </is>
      </c>
      <c r="E1055" t="inlineStr">
        <is>
          <t>RAGUNDA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26455-2023</t>
        </is>
      </c>
      <c r="B1056" s="1" t="n">
        <v>45092</v>
      </c>
      <c r="C1056" s="1" t="n">
        <v>45880</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6801-2023</t>
        </is>
      </c>
      <c r="B1057" s="1" t="n">
        <v>44966.95328703704</v>
      </c>
      <c r="C1057" s="1" t="n">
        <v>45880</v>
      </c>
      <c r="D1057" t="inlineStr">
        <is>
          <t>JÄMTLANDS LÄN</t>
        </is>
      </c>
      <c r="E1057" t="inlineStr">
        <is>
          <t>RAGUNDA</t>
        </is>
      </c>
      <c r="F1057" t="inlineStr">
        <is>
          <t>SCA</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5967-2021</t>
        </is>
      </c>
      <c r="B1058" s="1" t="n">
        <v>44231</v>
      </c>
      <c r="C1058" s="1" t="n">
        <v>45880</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10641-2024</t>
        </is>
      </c>
      <c r="B1059" s="1" t="n">
        <v>45367.69850694444</v>
      </c>
      <c r="C1059" s="1" t="n">
        <v>45880</v>
      </c>
      <c r="D1059" t="inlineStr">
        <is>
          <t>JÄMTLANDS LÄN</t>
        </is>
      </c>
      <c r="E1059" t="inlineStr">
        <is>
          <t>RAGUNDA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10644-2024</t>
        </is>
      </c>
      <c r="B1060" s="1" t="n">
        <v>45367.71348379629</v>
      </c>
      <c r="C1060" s="1" t="n">
        <v>45880</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17559-2023</t>
        </is>
      </c>
      <c r="B1061" s="1" t="n">
        <v>45034</v>
      </c>
      <c r="C1061" s="1" t="n">
        <v>45880</v>
      </c>
      <c r="D1061" t="inlineStr">
        <is>
          <t>JÄMTLANDS LÄN</t>
        </is>
      </c>
      <c r="E1061" t="inlineStr">
        <is>
          <t>RAGUNDA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30826-2023</t>
        </is>
      </c>
      <c r="B1062" s="1" t="n">
        <v>45112</v>
      </c>
      <c r="C1062" s="1" t="n">
        <v>45880</v>
      </c>
      <c r="D1062" t="inlineStr">
        <is>
          <t>JÄMTLANDS LÄN</t>
        </is>
      </c>
      <c r="E1062" t="inlineStr">
        <is>
          <t>RAGUNDA</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56191-2022</t>
        </is>
      </c>
      <c r="B1063" s="1" t="n">
        <v>44889.95015046297</v>
      </c>
      <c r="C1063" s="1" t="n">
        <v>45880</v>
      </c>
      <c r="D1063" t="inlineStr">
        <is>
          <t>JÄMTLANDS LÄN</t>
        </is>
      </c>
      <c r="E1063" t="inlineStr">
        <is>
          <t>RAGUNDA</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17730-2022</t>
        </is>
      </c>
      <c r="B1064" s="1" t="n">
        <v>44680</v>
      </c>
      <c r="C1064" s="1" t="n">
        <v>45880</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33621-2023</t>
        </is>
      </c>
      <c r="B1065" s="1" t="n">
        <v>45119</v>
      </c>
      <c r="C1065" s="1" t="n">
        <v>45880</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65216-2023</t>
        </is>
      </c>
      <c r="B1066" s="1" t="n">
        <v>45289</v>
      </c>
      <c r="C1066" s="1" t="n">
        <v>45880</v>
      </c>
      <c r="D1066" t="inlineStr">
        <is>
          <t>JÄMTLANDS LÄN</t>
        </is>
      </c>
      <c r="E1066" t="inlineStr">
        <is>
          <t>RAGUNDA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60838-2023</t>
        </is>
      </c>
      <c r="B1067" s="1" t="n">
        <v>45260.92561342593</v>
      </c>
      <c r="C1067" s="1" t="n">
        <v>45880</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2133-2023</t>
        </is>
      </c>
      <c r="B1068" s="1" t="n">
        <v>44939</v>
      </c>
      <c r="C1068" s="1" t="n">
        <v>45880</v>
      </c>
      <c r="D1068" t="inlineStr">
        <is>
          <t>JÄMTLANDS LÄN</t>
        </is>
      </c>
      <c r="E1068" t="inlineStr">
        <is>
          <t>RAGUNDA</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49647-2024</t>
        </is>
      </c>
      <c r="B1069" s="1" t="n">
        <v>45596.61533564814</v>
      </c>
      <c r="C1069" s="1" t="n">
        <v>45880</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6802-2021</t>
        </is>
      </c>
      <c r="B1070" s="1" t="n">
        <v>44236</v>
      </c>
      <c r="C1070" s="1" t="n">
        <v>45880</v>
      </c>
      <c r="D1070" t="inlineStr">
        <is>
          <t>JÄMTLANDS LÄN</t>
        </is>
      </c>
      <c r="E1070" t="inlineStr">
        <is>
          <t>RAGUNDA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64415-2023</t>
        </is>
      </c>
      <c r="B1071" s="1" t="n">
        <v>45280</v>
      </c>
      <c r="C1071" s="1" t="n">
        <v>45880</v>
      </c>
      <c r="D1071" t="inlineStr">
        <is>
          <t>JÄMTLANDS LÄN</t>
        </is>
      </c>
      <c r="E1071" t="inlineStr">
        <is>
          <t>RAGUNDA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38782-2021</t>
        </is>
      </c>
      <c r="B1072" s="1" t="n">
        <v>44410</v>
      </c>
      <c r="C1072" s="1" t="n">
        <v>45880</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16250-2022</t>
        </is>
      </c>
      <c r="B1073" s="1" t="n">
        <v>44670</v>
      </c>
      <c r="C1073" s="1" t="n">
        <v>45880</v>
      </c>
      <c r="D1073" t="inlineStr">
        <is>
          <t>JÄMTLANDS LÄN</t>
        </is>
      </c>
      <c r="E1073" t="inlineStr">
        <is>
          <t>RAGUNDA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13334-2024</t>
        </is>
      </c>
      <c r="B1074" s="1" t="n">
        <v>45386</v>
      </c>
      <c r="C1074" s="1" t="n">
        <v>45880</v>
      </c>
      <c r="D1074" t="inlineStr">
        <is>
          <t>JÄMTLANDS LÄN</t>
        </is>
      </c>
      <c r="E1074" t="inlineStr">
        <is>
          <t>RAGUNDA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55669-2023</t>
        </is>
      </c>
      <c r="B1075" s="1" t="n">
        <v>45238.96797453704</v>
      </c>
      <c r="C1075" s="1" t="n">
        <v>45880</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51389-2024</t>
        </is>
      </c>
      <c r="B1076" s="1" t="n">
        <v>45604.40540509259</v>
      </c>
      <c r="C1076" s="1" t="n">
        <v>45880</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51393-2024</t>
        </is>
      </c>
      <c r="B1077" s="1" t="n">
        <v>45604.41625</v>
      </c>
      <c r="C1077" s="1" t="n">
        <v>45880</v>
      </c>
      <c r="D1077" t="inlineStr">
        <is>
          <t>JÄMTLANDS LÄN</t>
        </is>
      </c>
      <c r="E1077" t="inlineStr">
        <is>
          <t>RAGUNDA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43339-2024</t>
        </is>
      </c>
      <c r="B1078" s="1" t="n">
        <v>45568.51075231482</v>
      </c>
      <c r="C1078" s="1" t="n">
        <v>45880</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38548-2024</t>
        </is>
      </c>
      <c r="B1079" s="1" t="n">
        <v>45546</v>
      </c>
      <c r="C1079" s="1" t="n">
        <v>45880</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25304-2023</t>
        </is>
      </c>
      <c r="B1080" s="1" t="n">
        <v>45086</v>
      </c>
      <c r="C1080" s="1" t="n">
        <v>45880</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26026-2024</t>
        </is>
      </c>
      <c r="B1081" s="1" t="n">
        <v>45467.96207175926</v>
      </c>
      <c r="C1081" s="1" t="n">
        <v>45880</v>
      </c>
      <c r="D1081" t="inlineStr">
        <is>
          <t>JÄMTLANDS LÄN</t>
        </is>
      </c>
      <c r="E1081" t="inlineStr">
        <is>
          <t>RAGUNDA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5971-2025</t>
        </is>
      </c>
      <c r="B1082" s="1" t="n">
        <v>45695.51070601852</v>
      </c>
      <c r="C1082" s="1" t="n">
        <v>45880</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51537-2022</t>
        </is>
      </c>
      <c r="B1083" s="1" t="n">
        <v>44869</v>
      </c>
      <c r="C1083" s="1" t="n">
        <v>45880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12995-2023</t>
        </is>
      </c>
      <c r="B1084" s="1" t="n">
        <v>45002.0328125</v>
      </c>
      <c r="C1084" s="1" t="n">
        <v>45880</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8800-2025</t>
        </is>
      </c>
      <c r="B1085" s="1" t="n">
        <v>45712.65671296296</v>
      </c>
      <c r="C1085" s="1" t="n">
        <v>45880</v>
      </c>
      <c r="D1085" t="inlineStr">
        <is>
          <t>JÄMTLANDS LÄN</t>
        </is>
      </c>
      <c r="E1085" t="inlineStr">
        <is>
          <t>RAGUNDA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56284-2023</t>
        </is>
      </c>
      <c r="B1086" s="1" t="n">
        <v>45241.95724537037</v>
      </c>
      <c r="C1086" s="1" t="n">
        <v>45880</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18610-2024</t>
        </is>
      </c>
      <c r="B1087" s="1" t="n">
        <v>45425.96230324074</v>
      </c>
      <c r="C1087" s="1" t="n">
        <v>45880</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30563-2023</t>
        </is>
      </c>
      <c r="B1088" s="1" t="n">
        <v>45111.92793981481</v>
      </c>
      <c r="C1088" s="1" t="n">
        <v>45880</v>
      </c>
      <c r="D1088" t="inlineStr">
        <is>
          <t>JÄMTLANDS LÄN</t>
        </is>
      </c>
      <c r="E1088" t="inlineStr">
        <is>
          <t>RAGUNDA</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8886-2024</t>
        </is>
      </c>
      <c r="B1089" s="1" t="n">
        <v>45357.05300925926</v>
      </c>
      <c r="C1089" s="1" t="n">
        <v>45880</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18615-2024</t>
        </is>
      </c>
      <c r="B1090" s="1" t="n">
        <v>45425.96275462963</v>
      </c>
      <c r="C1090" s="1" t="n">
        <v>45880</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23303-2024</t>
        </is>
      </c>
      <c r="B1091" s="1" t="n">
        <v>45453.4444212963</v>
      </c>
      <c r="C1091" s="1" t="n">
        <v>45880</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465-2023</t>
        </is>
      </c>
      <c r="B1092" s="1" t="n">
        <v>44929</v>
      </c>
      <c r="C1092" s="1" t="n">
        <v>45880</v>
      </c>
      <c r="D1092" t="inlineStr">
        <is>
          <t>JÄMTLANDS LÄN</t>
        </is>
      </c>
      <c r="E1092" t="inlineStr">
        <is>
          <t>RAGUNDA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32832-2021</t>
        </is>
      </c>
      <c r="B1093" s="1" t="n">
        <v>44375</v>
      </c>
      <c r="C1093" s="1" t="n">
        <v>45880</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3938-2024</t>
        </is>
      </c>
      <c r="B1094" s="1" t="n">
        <v>45322</v>
      </c>
      <c r="C1094" s="1" t="n">
        <v>45880</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62081-2022</t>
        </is>
      </c>
      <c r="B1095" s="1" t="n">
        <v>44918</v>
      </c>
      <c r="C1095" s="1" t="n">
        <v>45880</v>
      </c>
      <c r="D1095" t="inlineStr">
        <is>
          <t>JÄMTLANDS LÄN</t>
        </is>
      </c>
      <c r="E1095" t="inlineStr">
        <is>
          <t>RAGUNDA</t>
        </is>
      </c>
      <c r="F1095" t="inlineStr">
        <is>
          <t>SCA</t>
        </is>
      </c>
      <c r="G1095" t="n">
        <v>2.9</v>
      </c>
      <c r="H1095" t="n">
        <v>0</v>
      </c>
      <c r="I1095" t="n">
        <v>0</v>
      </c>
      <c r="J1095" t="n">
        <v>0</v>
      </c>
      <c r="K1095" t="n">
        <v>0</v>
      </c>
      <c r="L1095" t="n">
        <v>0</v>
      </c>
      <c r="M1095" t="n">
        <v>0</v>
      </c>
      <c r="N1095" t="n">
        <v>0</v>
      </c>
      <c r="O1095" t="n">
        <v>0</v>
      </c>
      <c r="P1095" t="n">
        <v>0</v>
      </c>
      <c r="Q1095" t="n">
        <v>0</v>
      </c>
      <c r="R1095" s="2" t="inlineStr"/>
    </row>
    <row r="1096">
      <c r="A1096" t="inlineStr">
        <is>
          <t>A 55508-2024</t>
        </is>
      </c>
      <c r="B1096" s="1" t="n">
        <v>45622.46200231482</v>
      </c>
      <c r="C1096" s="1" t="n">
        <v>45880</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2025-08-11T08:29:48Z</dcterms:created>
  <dcterms:modified xmlns:dcterms="http://purl.org/dc/terms/" xmlns:xsi="http://www.w3.org/2001/XMLSchema-instance" xsi:type="dcterms:W3CDTF">2025-08-11T08:29:49Z</dcterms:modified>
</cp:coreProperties>
</file>