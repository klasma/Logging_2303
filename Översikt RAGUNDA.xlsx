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45932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45932</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45932</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45932</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45932</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45932</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45932</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45932</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45932</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45932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29068-2023</t>
        </is>
      </c>
      <c r="B14" s="1" t="n">
        <v>45104</v>
      </c>
      <c r="C14" s="1" t="n">
        <v>45932</v>
      </c>
      <c r="D14" t="inlineStr">
        <is>
          <t>JÄMTLANDS LÄN</t>
        </is>
      </c>
      <c r="E14" t="inlineStr">
        <is>
          <t>RAGUNDA</t>
        </is>
      </c>
      <c r="F14" t="inlineStr">
        <is>
          <t>SCA</t>
        </is>
      </c>
      <c r="G14" t="n">
        <v>10.8</v>
      </c>
      <c r="H14" t="n">
        <v>0</v>
      </c>
      <c r="I14" t="n">
        <v>2</v>
      </c>
      <c r="J14" t="n">
        <v>10</v>
      </c>
      <c r="K14" t="n">
        <v>4</v>
      </c>
      <c r="L14" t="n">
        <v>0</v>
      </c>
      <c r="M14" t="n">
        <v>0</v>
      </c>
      <c r="N14" t="n">
        <v>0</v>
      </c>
      <c r="O14" t="n">
        <v>14</v>
      </c>
      <c r="P14" t="n">
        <v>4</v>
      </c>
      <c r="Q14" t="n">
        <v>16</v>
      </c>
      <c r="R14" s="2" t="inlineStr">
        <is>
          <t>Fläckporing
Goliatmusseron
Gräddporing
Smalfotad taggsvamp
Blanksvart spiklav
Blå taggsvamp
Dvärgbägarlav
Garnlav
Motaggsvamp
Orange taggsvamp
Skrovlig taggsvamp
Svartvit taggsvamp
Tallriska
Vedflamlav
Dropptaggsvamp
Skarp dropptaggsvamp</t>
        </is>
      </c>
      <c r="S14">
        <f>HYPERLINK("https://klasma.github.io/Logging_2303/artfynd/A 29068-2023 artfynd.xlsx", "A 29068-2023")</f>
        <v/>
      </c>
      <c r="T14">
        <f>HYPERLINK("https://klasma.github.io/Logging_2303/kartor/A 29068-2023 karta.png", "A 29068-2023")</f>
        <v/>
      </c>
      <c r="V14">
        <f>HYPERLINK("https://klasma.github.io/Logging_2303/klagomål/A 29068-2023 FSC-klagomål.docx", "A 29068-2023")</f>
        <v/>
      </c>
      <c r="W14">
        <f>HYPERLINK("https://klasma.github.io/Logging_2303/klagomålsmail/A 29068-2023 FSC-klagomål mail.docx", "A 29068-2023")</f>
        <v/>
      </c>
      <c r="X14">
        <f>HYPERLINK("https://klasma.github.io/Logging_2303/tillsyn/A 29068-2023 tillsynsbegäran.docx", "A 29068-2023")</f>
        <v/>
      </c>
      <c r="Y14">
        <f>HYPERLINK("https://klasma.github.io/Logging_2303/tillsynsmail/A 29068-2023 tillsynsbegäran mail.docx", "A 29068-2023")</f>
        <v/>
      </c>
    </row>
    <row r="15" ht="15" customHeight="1">
      <c r="A15" t="inlineStr">
        <is>
          <t>A 41415-2024</t>
        </is>
      </c>
      <c r="B15" s="1" t="n">
        <v>45560.34532407407</v>
      </c>
      <c r="C15" s="1" t="n">
        <v>45932</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12040-2025</t>
        </is>
      </c>
      <c r="B16" s="1" t="n">
        <v>45728.65684027778</v>
      </c>
      <c r="C16" s="1" t="n">
        <v>45932</v>
      </c>
      <c r="D16" t="inlineStr">
        <is>
          <t>JÄMTLANDS LÄN</t>
        </is>
      </c>
      <c r="E16" t="inlineStr">
        <is>
          <t>RAGUNDA</t>
        </is>
      </c>
      <c r="F16" t="inlineStr">
        <is>
          <t>SCA</t>
        </is>
      </c>
      <c r="G16" t="n">
        <v>28.5</v>
      </c>
      <c r="H16" t="n">
        <v>1</v>
      </c>
      <c r="I16" t="n">
        <v>3</v>
      </c>
      <c r="J16" t="n">
        <v>12</v>
      </c>
      <c r="K16" t="n">
        <v>0</v>
      </c>
      <c r="L16" t="n">
        <v>0</v>
      </c>
      <c r="M16" t="n">
        <v>0</v>
      </c>
      <c r="N16" t="n">
        <v>0</v>
      </c>
      <c r="O16" t="n">
        <v>12</v>
      </c>
      <c r="P16" t="n">
        <v>0</v>
      </c>
      <c r="Q16" t="n">
        <v>15</v>
      </c>
      <c r="R16" s="2" t="inlineStr">
        <is>
          <t>Blå taggsvamp
Garnlav
Grantaggsvamp
Kolflarnlav
Lunglav
Skrovlig taggsvamp
Tallriska
Talltita
Ullticka
Vedskivlav
Vitgrynig nållav
Äggvaxskivling
Dropptaggsvamp
Skarp dropptaggsvamp
Tallfingersvamp</t>
        </is>
      </c>
      <c r="S16">
        <f>HYPERLINK("https://klasma.github.io/Logging_2303/artfynd/A 12040-2025 artfynd.xlsx", "A 12040-2025")</f>
        <v/>
      </c>
      <c r="T16">
        <f>HYPERLINK("https://klasma.github.io/Logging_2303/kartor/A 12040-2025 karta.png", "A 12040-2025")</f>
        <v/>
      </c>
      <c r="V16">
        <f>HYPERLINK("https://klasma.github.io/Logging_2303/klagomål/A 12040-2025 FSC-klagomål.docx", "A 12040-2025")</f>
        <v/>
      </c>
      <c r="W16">
        <f>HYPERLINK("https://klasma.github.io/Logging_2303/klagomålsmail/A 12040-2025 FSC-klagomål mail.docx", "A 12040-2025")</f>
        <v/>
      </c>
      <c r="X16">
        <f>HYPERLINK("https://klasma.github.io/Logging_2303/tillsyn/A 12040-2025 tillsynsbegäran.docx", "A 12040-2025")</f>
        <v/>
      </c>
      <c r="Y16">
        <f>HYPERLINK("https://klasma.github.io/Logging_2303/tillsynsmail/A 12040-2025 tillsynsbegäran mail.docx", "A 12040-2025")</f>
        <v/>
      </c>
      <c r="Z16">
        <f>HYPERLINK("https://klasma.github.io/Logging_2303/fåglar/A 12040-2025 prioriterade fågelarter.docx", "A 12040-2025")</f>
        <v/>
      </c>
    </row>
    <row r="17" ht="15" customHeight="1">
      <c r="A17" t="inlineStr">
        <is>
          <t>A 31196-2023</t>
        </is>
      </c>
      <c r="B17" s="1" t="n">
        <v>45113</v>
      </c>
      <c r="C17" s="1" t="n">
        <v>45932</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45932</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13308-2022</t>
        </is>
      </c>
      <c r="B19" s="1" t="n">
        <v>44644.93650462963</v>
      </c>
      <c r="C19" s="1" t="n">
        <v>45932</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45932</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45932</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45932</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59762-2024</t>
        </is>
      </c>
      <c r="B23" s="1" t="n">
        <v>45639.55269675926</v>
      </c>
      <c r="C23" s="1" t="n">
        <v>45932</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45932</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45932</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45932</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31197-2023</t>
        </is>
      </c>
      <c r="B27" s="1" t="n">
        <v>45113</v>
      </c>
      <c r="C27" s="1" t="n">
        <v>45932</v>
      </c>
      <c r="D27" t="inlineStr">
        <is>
          <t>JÄMTLANDS LÄN</t>
        </is>
      </c>
      <c r="E27" t="inlineStr">
        <is>
          <t>RAGUNDA</t>
        </is>
      </c>
      <c r="F27" t="inlineStr">
        <is>
          <t>SCA</t>
        </is>
      </c>
      <c r="G27" t="n">
        <v>4.6</v>
      </c>
      <c r="H27" t="n">
        <v>0</v>
      </c>
      <c r="I27" t="n">
        <v>2</v>
      </c>
      <c r="J27" t="n">
        <v>7</v>
      </c>
      <c r="K27" t="n">
        <v>3</v>
      </c>
      <c r="L27" t="n">
        <v>0</v>
      </c>
      <c r="M27" t="n">
        <v>0</v>
      </c>
      <c r="N27" t="n">
        <v>0</v>
      </c>
      <c r="O27" t="n">
        <v>10</v>
      </c>
      <c r="P27" t="n">
        <v>3</v>
      </c>
      <c r="Q27" t="n">
        <v>12</v>
      </c>
      <c r="R27" s="2" t="inlineStr">
        <is>
          <t>Gräddporing
Smalfotad taggsvamp
Tajgataggsvamp
Dvärgbägarlav
Garnlav
Lunglav
Nordtagging
Skrovlig taggsvamp
Vaddporing
Vedskivlav
Dropptaggsvamp
Skarp dropptaggsvamp</t>
        </is>
      </c>
      <c r="S27">
        <f>HYPERLINK("https://klasma.github.io/Logging_2303/artfynd/A 31197-2023 artfynd.xlsx", "A 31197-2023")</f>
        <v/>
      </c>
      <c r="T27">
        <f>HYPERLINK("https://klasma.github.io/Logging_2303/kartor/A 31197-2023 karta.png", "A 31197-2023")</f>
        <v/>
      </c>
      <c r="V27">
        <f>HYPERLINK("https://klasma.github.io/Logging_2303/klagomål/A 31197-2023 FSC-klagomål.docx", "A 31197-2023")</f>
        <v/>
      </c>
      <c r="W27">
        <f>HYPERLINK("https://klasma.github.io/Logging_2303/klagomålsmail/A 31197-2023 FSC-klagomål mail.docx", "A 31197-2023")</f>
        <v/>
      </c>
      <c r="X27">
        <f>HYPERLINK("https://klasma.github.io/Logging_2303/tillsyn/A 31197-2023 tillsynsbegäran.docx", "A 31197-2023")</f>
        <v/>
      </c>
      <c r="Y27">
        <f>HYPERLINK("https://klasma.github.io/Logging_2303/tillsynsmail/A 31197-2023 tillsynsbegäran mail.docx", "A 31197-2023")</f>
        <v/>
      </c>
    </row>
    <row r="28" ht="15" customHeight="1">
      <c r="A28" t="inlineStr">
        <is>
          <t>A 43107-2023</t>
        </is>
      </c>
      <c r="B28" s="1" t="n">
        <v>45182</v>
      </c>
      <c r="C28" s="1" t="n">
        <v>45932</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21213-2025</t>
        </is>
      </c>
      <c r="B29" s="1" t="n">
        <v>45779.49012731481</v>
      </c>
      <c r="C29" s="1" t="n">
        <v>45932</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25632-2025</t>
        </is>
      </c>
      <c r="B30" s="1" t="n">
        <v>45803.59474537037</v>
      </c>
      <c r="C30" s="1" t="n">
        <v>45932</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9347-2024</t>
        </is>
      </c>
      <c r="B31" s="1" t="n">
        <v>45358.99375</v>
      </c>
      <c r="C31" s="1" t="n">
        <v>45932</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32741-2025</t>
        </is>
      </c>
      <c r="B32" s="1" t="n">
        <v>45839.42482638889</v>
      </c>
      <c r="C32" s="1" t="n">
        <v>45932</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45932</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31839-2022</t>
        </is>
      </c>
      <c r="B34" s="1" t="n">
        <v>44776</v>
      </c>
      <c r="C34" s="1" t="n">
        <v>45932</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36943-2022</t>
        </is>
      </c>
      <c r="B35" s="1" t="n">
        <v>44805</v>
      </c>
      <c r="C35" s="1" t="n">
        <v>45932</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45932</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10982-2025</t>
        </is>
      </c>
      <c r="B37" s="1" t="n">
        <v>45723.40688657408</v>
      </c>
      <c r="C37" s="1" t="n">
        <v>45932</v>
      </c>
      <c r="D37" t="inlineStr">
        <is>
          <t>JÄMTLANDS LÄN</t>
        </is>
      </c>
      <c r="E37" t="inlineStr">
        <is>
          <t>RAGUNDA</t>
        </is>
      </c>
      <c r="F37" t="inlineStr">
        <is>
          <t>SCA</t>
        </is>
      </c>
      <c r="G37" t="n">
        <v>6.4</v>
      </c>
      <c r="H37" t="n">
        <v>0</v>
      </c>
      <c r="I37" t="n">
        <v>7</v>
      </c>
      <c r="J37" t="n">
        <v>3</v>
      </c>
      <c r="K37" t="n">
        <v>0</v>
      </c>
      <c r="L37" t="n">
        <v>0</v>
      </c>
      <c r="M37" t="n">
        <v>0</v>
      </c>
      <c r="N37" t="n">
        <v>0</v>
      </c>
      <c r="O37" t="n">
        <v>3</v>
      </c>
      <c r="P37" t="n">
        <v>0</v>
      </c>
      <c r="Q37" t="n">
        <v>10</v>
      </c>
      <c r="R37" s="2" t="inlineStr">
        <is>
          <t>Blå taggsvamp
Orange taggsvamp
Skrovlig taggsvamp
Barrfagerspindling
Bårdlav
Dropptaggsvamp
Skarp dropptaggsvamp
Stuplav
Svart trolldruva
Tallfingersvamp</t>
        </is>
      </c>
      <c r="S37">
        <f>HYPERLINK("https://klasma.github.io/Logging_2303/artfynd/A 10982-2025 artfynd.xlsx", "A 10982-2025")</f>
        <v/>
      </c>
      <c r="T37">
        <f>HYPERLINK("https://klasma.github.io/Logging_2303/kartor/A 10982-2025 karta.png", "A 10982-2025")</f>
        <v/>
      </c>
      <c r="V37">
        <f>HYPERLINK("https://klasma.github.io/Logging_2303/klagomål/A 10982-2025 FSC-klagomål.docx", "A 10982-2025")</f>
        <v/>
      </c>
      <c r="W37">
        <f>HYPERLINK("https://klasma.github.io/Logging_2303/klagomålsmail/A 10982-2025 FSC-klagomål mail.docx", "A 10982-2025")</f>
        <v/>
      </c>
      <c r="X37">
        <f>HYPERLINK("https://klasma.github.io/Logging_2303/tillsyn/A 10982-2025 tillsynsbegäran.docx", "A 10982-2025")</f>
        <v/>
      </c>
      <c r="Y37">
        <f>HYPERLINK("https://klasma.github.io/Logging_2303/tillsynsmail/A 10982-2025 tillsynsbegäran mail.docx", "A 10982-2025")</f>
        <v/>
      </c>
    </row>
    <row r="38" ht="15" customHeight="1">
      <c r="A38" t="inlineStr">
        <is>
          <t>A 4591-2024</t>
        </is>
      </c>
      <c r="B38" s="1" t="n">
        <v>45327</v>
      </c>
      <c r="C38" s="1" t="n">
        <v>45932</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13483-2022</t>
        </is>
      </c>
      <c r="B39" s="1" t="n">
        <v>44645.99859953704</v>
      </c>
      <c r="C39" s="1" t="n">
        <v>45932</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21244-2025</t>
        </is>
      </c>
      <c r="B40" s="1" t="n">
        <v>45779.57335648148</v>
      </c>
      <c r="C40" s="1" t="n">
        <v>45932</v>
      </c>
      <c r="D40" t="inlineStr">
        <is>
          <t>JÄMTLANDS LÄN</t>
        </is>
      </c>
      <c r="E40" t="inlineStr">
        <is>
          <t>RAGUNDA</t>
        </is>
      </c>
      <c r="F40" t="inlineStr">
        <is>
          <t>SCA</t>
        </is>
      </c>
      <c r="G40" t="n">
        <v>4.1</v>
      </c>
      <c r="H40" t="n">
        <v>3</v>
      </c>
      <c r="I40" t="n">
        <v>3</v>
      </c>
      <c r="J40" t="n">
        <v>6</v>
      </c>
      <c r="K40" t="n">
        <v>1</v>
      </c>
      <c r="L40" t="n">
        <v>0</v>
      </c>
      <c r="M40" t="n">
        <v>0</v>
      </c>
      <c r="N40" t="n">
        <v>0</v>
      </c>
      <c r="O40" t="n">
        <v>7</v>
      </c>
      <c r="P40" t="n">
        <v>1</v>
      </c>
      <c r="Q40" t="n">
        <v>10</v>
      </c>
      <c r="R40" s="2" t="inlineStr">
        <is>
          <t>Ulltickeporing
Garnlav
Lunglav
Spillkråka
Talltita
Tretåig hackspett
Ullticka
Nästlav
Stuplav
Vedticka</t>
        </is>
      </c>
      <c r="S40">
        <f>HYPERLINK("https://klasma.github.io/Logging_2303/artfynd/A 21244-2025 artfynd.xlsx", "A 21244-2025")</f>
        <v/>
      </c>
      <c r="T40">
        <f>HYPERLINK("https://klasma.github.io/Logging_2303/kartor/A 21244-2025 karta.png", "A 21244-2025")</f>
        <v/>
      </c>
      <c r="V40">
        <f>HYPERLINK("https://klasma.github.io/Logging_2303/klagomål/A 21244-2025 FSC-klagomål.docx", "A 21244-2025")</f>
        <v/>
      </c>
      <c r="W40">
        <f>HYPERLINK("https://klasma.github.io/Logging_2303/klagomålsmail/A 21244-2025 FSC-klagomål mail.docx", "A 21244-2025")</f>
        <v/>
      </c>
      <c r="X40">
        <f>HYPERLINK("https://klasma.github.io/Logging_2303/tillsyn/A 21244-2025 tillsynsbegäran.docx", "A 21244-2025")</f>
        <v/>
      </c>
      <c r="Y40">
        <f>HYPERLINK("https://klasma.github.io/Logging_2303/tillsynsmail/A 21244-2025 tillsynsbegäran mail.docx", "A 21244-2025")</f>
        <v/>
      </c>
      <c r="Z40">
        <f>HYPERLINK("https://klasma.github.io/Logging_2303/fåglar/A 21244-2025 prioriterade fågelarter.docx", "A 21244-2025")</f>
        <v/>
      </c>
    </row>
    <row r="41" ht="15" customHeight="1">
      <c r="A41" t="inlineStr">
        <is>
          <t>A 41412-2024</t>
        </is>
      </c>
      <c r="B41" s="1" t="n">
        <v>45560.34484953704</v>
      </c>
      <c r="C41" s="1" t="n">
        <v>45932</v>
      </c>
      <c r="D41" t="inlineStr">
        <is>
          <t>JÄMTLANDS LÄN</t>
        </is>
      </c>
      <c r="E41" t="inlineStr">
        <is>
          <t>RAGUNDA</t>
        </is>
      </c>
      <c r="F41" t="inlineStr">
        <is>
          <t>SCA</t>
        </is>
      </c>
      <c r="G41" t="n">
        <v>1.8</v>
      </c>
      <c r="H41" t="n">
        <v>1</v>
      </c>
      <c r="I41" t="n">
        <v>5</v>
      </c>
      <c r="J41" t="n">
        <v>4</v>
      </c>
      <c r="K41" t="n">
        <v>1</v>
      </c>
      <c r="L41" t="n">
        <v>0</v>
      </c>
      <c r="M41" t="n">
        <v>0</v>
      </c>
      <c r="N41" t="n">
        <v>0</v>
      </c>
      <c r="O41" t="n">
        <v>5</v>
      </c>
      <c r="P41" t="n">
        <v>1</v>
      </c>
      <c r="Q41" t="n">
        <v>10</v>
      </c>
      <c r="R41" s="2" t="inlineStr">
        <is>
          <t>Knärot
Garnlav
Lunglav
Rosenticka
Ullticka
Bårdlav
Korallblylav
Luddlav
Stuplav
Vedticka</t>
        </is>
      </c>
      <c r="S41">
        <f>HYPERLINK("https://klasma.github.io/Logging_2303/artfynd/A 41412-2024 artfynd.xlsx", "A 41412-2024")</f>
        <v/>
      </c>
      <c r="T41">
        <f>HYPERLINK("https://klasma.github.io/Logging_2303/kartor/A 41412-2024 karta.png", "A 41412-2024")</f>
        <v/>
      </c>
      <c r="U41">
        <f>HYPERLINK("https://klasma.github.io/Logging_2303/knärot/A 41412-2024 karta knärot.png", "A 41412-2024")</f>
        <v/>
      </c>
      <c r="V41">
        <f>HYPERLINK("https://klasma.github.io/Logging_2303/klagomål/A 41412-2024 FSC-klagomål.docx", "A 41412-2024")</f>
        <v/>
      </c>
      <c r="W41">
        <f>HYPERLINK("https://klasma.github.io/Logging_2303/klagomålsmail/A 41412-2024 FSC-klagomål mail.docx", "A 41412-2024")</f>
        <v/>
      </c>
      <c r="X41">
        <f>HYPERLINK("https://klasma.github.io/Logging_2303/tillsyn/A 41412-2024 tillsynsbegäran.docx", "A 41412-2024")</f>
        <v/>
      </c>
      <c r="Y41">
        <f>HYPERLINK("https://klasma.github.io/Logging_2303/tillsynsmail/A 41412-2024 tillsynsbegäran mail.docx", "A 41412-2024")</f>
        <v/>
      </c>
    </row>
    <row r="42" ht="15" customHeight="1">
      <c r="A42" t="inlineStr">
        <is>
          <t>A 4146-2025</t>
        </is>
      </c>
      <c r="B42" s="1" t="n">
        <v>45685.36501157407</v>
      </c>
      <c r="C42" s="1" t="n">
        <v>45932</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32068-2024</t>
        </is>
      </c>
      <c r="B43" s="1" t="n">
        <v>45510</v>
      </c>
      <c r="C43" s="1" t="n">
        <v>45932</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45932</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33822-2023</t>
        </is>
      </c>
      <c r="B45" s="1" t="n">
        <v>45121</v>
      </c>
      <c r="C45" s="1" t="n">
        <v>45932</v>
      </c>
      <c r="D45" t="inlineStr">
        <is>
          <t>JÄMTLANDS LÄN</t>
        </is>
      </c>
      <c r="E45" t="inlineStr">
        <is>
          <t>RAGUNDA</t>
        </is>
      </c>
      <c r="G45" t="n">
        <v>3.9</v>
      </c>
      <c r="H45" t="n">
        <v>1</v>
      </c>
      <c r="I45" t="n">
        <v>2</v>
      </c>
      <c r="J45" t="n">
        <v>7</v>
      </c>
      <c r="K45" t="n">
        <v>0</v>
      </c>
      <c r="L45" t="n">
        <v>0</v>
      </c>
      <c r="M45" t="n">
        <v>0</v>
      </c>
      <c r="N45" t="n">
        <v>0</v>
      </c>
      <c r="O45" t="n">
        <v>7</v>
      </c>
      <c r="P45" t="n">
        <v>0</v>
      </c>
      <c r="Q45" t="n">
        <v>9</v>
      </c>
      <c r="R45" s="2" t="inlineStr">
        <is>
          <t>Grynig filtlav
Lunglav
Skrovellav
Tretåig hackspett
Ullticka
Vedskivlav
Vitgrynig nållav
Strimspindling
Stuplav</t>
        </is>
      </c>
      <c r="S45">
        <f>HYPERLINK("https://klasma.github.io/Logging_2303/artfynd/A 33822-2023 artfynd.xlsx", "A 33822-2023")</f>
        <v/>
      </c>
      <c r="T45">
        <f>HYPERLINK("https://klasma.github.io/Logging_2303/kartor/A 33822-2023 karta.png", "A 33822-2023")</f>
        <v/>
      </c>
      <c r="V45">
        <f>HYPERLINK("https://klasma.github.io/Logging_2303/klagomål/A 33822-2023 FSC-klagomål.docx", "A 33822-2023")</f>
        <v/>
      </c>
      <c r="W45">
        <f>HYPERLINK("https://klasma.github.io/Logging_2303/klagomålsmail/A 33822-2023 FSC-klagomål mail.docx", "A 33822-2023")</f>
        <v/>
      </c>
      <c r="X45">
        <f>HYPERLINK("https://klasma.github.io/Logging_2303/tillsyn/A 33822-2023 tillsynsbegäran.docx", "A 33822-2023")</f>
        <v/>
      </c>
      <c r="Y45">
        <f>HYPERLINK("https://klasma.github.io/Logging_2303/tillsynsmail/A 33822-2023 tillsynsbegäran mail.docx", "A 33822-2023")</f>
        <v/>
      </c>
      <c r="Z45">
        <f>HYPERLINK("https://klasma.github.io/Logging_2303/fåglar/A 33822-2023 prioriterade fågelarter.docx", "A 33822-2023")</f>
        <v/>
      </c>
    </row>
    <row r="46" ht="15" customHeight="1">
      <c r="A46" t="inlineStr">
        <is>
          <t>A 25016-2025</t>
        </is>
      </c>
      <c r="B46" s="1" t="n">
        <v>45799.63574074074</v>
      </c>
      <c r="C46" s="1" t="n">
        <v>45932</v>
      </c>
      <c r="D46" t="inlineStr">
        <is>
          <t>JÄMTLANDS LÄN</t>
        </is>
      </c>
      <c r="E46" t="inlineStr">
        <is>
          <t>RAGUNDA</t>
        </is>
      </c>
      <c r="F46" t="inlineStr">
        <is>
          <t>SCA</t>
        </is>
      </c>
      <c r="G46" t="n">
        <v>17.9</v>
      </c>
      <c r="H46" t="n">
        <v>2</v>
      </c>
      <c r="I46" t="n">
        <v>3</v>
      </c>
      <c r="J46" t="n">
        <v>6</v>
      </c>
      <c r="K46" t="n">
        <v>0</v>
      </c>
      <c r="L46" t="n">
        <v>0</v>
      </c>
      <c r="M46" t="n">
        <v>0</v>
      </c>
      <c r="N46" t="n">
        <v>0</v>
      </c>
      <c r="O46" t="n">
        <v>6</v>
      </c>
      <c r="P46" t="n">
        <v>0</v>
      </c>
      <c r="Q46" t="n">
        <v>9</v>
      </c>
      <c r="R46" s="2" t="inlineStr">
        <is>
          <t>Garnlav
Granticka
Lunglav
Spillkråka
Tretåig hackspett
Ullticka
Bårdlav
Stuplav
Vedticka</t>
        </is>
      </c>
      <c r="S46">
        <f>HYPERLINK("https://klasma.github.io/Logging_2303/artfynd/A 25016-2025 artfynd.xlsx", "A 25016-2025")</f>
        <v/>
      </c>
      <c r="T46">
        <f>HYPERLINK("https://klasma.github.io/Logging_2303/kartor/A 25016-2025 karta.png", "A 25016-2025")</f>
        <v/>
      </c>
      <c r="V46">
        <f>HYPERLINK("https://klasma.github.io/Logging_2303/klagomål/A 25016-2025 FSC-klagomål.docx", "A 25016-2025")</f>
        <v/>
      </c>
      <c r="W46">
        <f>HYPERLINK("https://klasma.github.io/Logging_2303/klagomålsmail/A 25016-2025 FSC-klagomål mail.docx", "A 25016-2025")</f>
        <v/>
      </c>
      <c r="X46">
        <f>HYPERLINK("https://klasma.github.io/Logging_2303/tillsyn/A 25016-2025 tillsynsbegäran.docx", "A 25016-2025")</f>
        <v/>
      </c>
      <c r="Y46">
        <f>HYPERLINK("https://klasma.github.io/Logging_2303/tillsynsmail/A 25016-2025 tillsynsbegäran mail.docx", "A 25016-2025")</f>
        <v/>
      </c>
      <c r="Z46">
        <f>HYPERLINK("https://klasma.github.io/Logging_2303/fåglar/A 25016-2025 prioriterade fågelarter.docx", "A 25016-2025")</f>
        <v/>
      </c>
    </row>
    <row r="47" ht="15" customHeight="1">
      <c r="A47" t="inlineStr">
        <is>
          <t>A 24735-2025</t>
        </is>
      </c>
      <c r="B47" s="1" t="n">
        <v>45799.34461805555</v>
      </c>
      <c r="C47" s="1" t="n">
        <v>45932</v>
      </c>
      <c r="D47" t="inlineStr">
        <is>
          <t>JÄMTLANDS LÄN</t>
        </is>
      </c>
      <c r="E47" t="inlineStr">
        <is>
          <t>RAGUNDA</t>
        </is>
      </c>
      <c r="F47" t="inlineStr">
        <is>
          <t>SCA</t>
        </is>
      </c>
      <c r="G47" t="n">
        <v>7.1</v>
      </c>
      <c r="H47" t="n">
        <v>1</v>
      </c>
      <c r="I47" t="n">
        <v>4</v>
      </c>
      <c r="J47" t="n">
        <v>5</v>
      </c>
      <c r="K47" t="n">
        <v>0</v>
      </c>
      <c r="L47" t="n">
        <v>0</v>
      </c>
      <c r="M47" t="n">
        <v>0</v>
      </c>
      <c r="N47" t="n">
        <v>0</v>
      </c>
      <c r="O47" t="n">
        <v>5</v>
      </c>
      <c r="P47" t="n">
        <v>0</v>
      </c>
      <c r="Q47" t="n">
        <v>9</v>
      </c>
      <c r="R47" s="2" t="inlineStr">
        <is>
          <t>Garnlav
Lunglav
Mörk kolflarnlav
Tretåig hackspett
Ullticka
Bollvitmossa
Norrlandslav
Skinnlav
Stuplav</t>
        </is>
      </c>
      <c r="S47">
        <f>HYPERLINK("https://klasma.github.io/Logging_2303/artfynd/A 24735-2025 artfynd.xlsx", "A 24735-2025")</f>
        <v/>
      </c>
      <c r="T47">
        <f>HYPERLINK("https://klasma.github.io/Logging_2303/kartor/A 24735-2025 karta.png", "A 24735-2025")</f>
        <v/>
      </c>
      <c r="V47">
        <f>HYPERLINK("https://klasma.github.io/Logging_2303/klagomål/A 24735-2025 FSC-klagomål.docx", "A 24735-2025")</f>
        <v/>
      </c>
      <c r="W47">
        <f>HYPERLINK("https://klasma.github.io/Logging_2303/klagomålsmail/A 24735-2025 FSC-klagomål mail.docx", "A 24735-2025")</f>
        <v/>
      </c>
      <c r="X47">
        <f>HYPERLINK("https://klasma.github.io/Logging_2303/tillsyn/A 24735-2025 tillsynsbegäran.docx", "A 24735-2025")</f>
        <v/>
      </c>
      <c r="Y47">
        <f>HYPERLINK("https://klasma.github.io/Logging_2303/tillsynsmail/A 24735-2025 tillsynsbegäran mail.docx", "A 24735-2025")</f>
        <v/>
      </c>
      <c r="Z47">
        <f>HYPERLINK("https://klasma.github.io/Logging_2303/fåglar/A 24735-2025 prioriterade fågelarter.docx", "A 24735-2025")</f>
        <v/>
      </c>
    </row>
    <row r="48" ht="15" customHeight="1">
      <c r="A48" t="inlineStr">
        <is>
          <t>A 45008-2023</t>
        </is>
      </c>
      <c r="B48" s="1" t="n">
        <v>45190.96092592592</v>
      </c>
      <c r="C48" s="1" t="n">
        <v>45932</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62948-2021</t>
        </is>
      </c>
      <c r="B49" s="1" t="n">
        <v>44504</v>
      </c>
      <c r="C49" s="1" t="n">
        <v>45932</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U49">
        <f>HYPERLINK("https://klasma.github.io/Logging_2303/knärot/A 62948-2021 karta knärot.png",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30876-2025</t>
        </is>
      </c>
      <c r="B50" s="1" t="n">
        <v>45832.34461805555</v>
      </c>
      <c r="C50" s="1" t="n">
        <v>45932</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12372-2024</t>
        </is>
      </c>
      <c r="B51" s="1" t="n">
        <v>45378</v>
      </c>
      <c r="C51" s="1" t="n">
        <v>45932</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19278-2025</t>
        </is>
      </c>
      <c r="B52" s="1" t="n">
        <v>45769.53180555555</v>
      </c>
      <c r="C52" s="1" t="n">
        <v>45932</v>
      </c>
      <c r="D52" t="inlineStr">
        <is>
          <t>JÄMTLANDS LÄN</t>
        </is>
      </c>
      <c r="E52" t="inlineStr">
        <is>
          <t>RAGUNDA</t>
        </is>
      </c>
      <c r="F52" t="inlineStr">
        <is>
          <t>SCA</t>
        </is>
      </c>
      <c r="G52" t="n">
        <v>11.8</v>
      </c>
      <c r="H52" t="n">
        <v>3</v>
      </c>
      <c r="I52" t="n">
        <v>2</v>
      </c>
      <c r="J52" t="n">
        <v>6</v>
      </c>
      <c r="K52" t="n">
        <v>1</v>
      </c>
      <c r="L52" t="n">
        <v>0</v>
      </c>
      <c r="M52" t="n">
        <v>0</v>
      </c>
      <c r="N52" t="n">
        <v>0</v>
      </c>
      <c r="O52" t="n">
        <v>7</v>
      </c>
      <c r="P52" t="n">
        <v>1</v>
      </c>
      <c r="Q52" t="n">
        <v>9</v>
      </c>
      <c r="R52" s="2" t="inlineStr">
        <is>
          <t>Knärot
Garnlav
Granticka
Lunglav
Talltita
Tretåig hackspett
Ullticka
Norrlandslav
Skinnlav</t>
        </is>
      </c>
      <c r="S52">
        <f>HYPERLINK("https://klasma.github.io/Logging_2303/artfynd/A 19278-2025 artfynd.xlsx", "A 19278-2025")</f>
        <v/>
      </c>
      <c r="T52">
        <f>HYPERLINK("https://klasma.github.io/Logging_2303/kartor/A 19278-2025 karta.png", "A 19278-2025")</f>
        <v/>
      </c>
      <c r="U52">
        <f>HYPERLINK("https://klasma.github.io/Logging_2303/knärot/A 19278-2025 karta knärot.png", "A 19278-2025")</f>
        <v/>
      </c>
      <c r="V52">
        <f>HYPERLINK("https://klasma.github.io/Logging_2303/klagomål/A 19278-2025 FSC-klagomål.docx", "A 19278-2025")</f>
        <v/>
      </c>
      <c r="W52">
        <f>HYPERLINK("https://klasma.github.io/Logging_2303/klagomålsmail/A 19278-2025 FSC-klagomål mail.docx", "A 19278-2025")</f>
        <v/>
      </c>
      <c r="X52">
        <f>HYPERLINK("https://klasma.github.io/Logging_2303/tillsyn/A 19278-2025 tillsynsbegäran.docx", "A 19278-2025")</f>
        <v/>
      </c>
      <c r="Y52">
        <f>HYPERLINK("https://klasma.github.io/Logging_2303/tillsynsmail/A 19278-2025 tillsynsbegäran mail.docx", "A 19278-2025")</f>
        <v/>
      </c>
      <c r="Z52">
        <f>HYPERLINK("https://klasma.github.io/Logging_2303/fåglar/A 19278-2025 prioriterade fågelarter.docx", "A 19278-2025")</f>
        <v/>
      </c>
    </row>
    <row r="53" ht="15" customHeight="1">
      <c r="A53" t="inlineStr">
        <is>
          <t>A 56215-2020</t>
        </is>
      </c>
      <c r="B53" s="1" t="n">
        <v>44133</v>
      </c>
      <c r="C53" s="1" t="n">
        <v>45932</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45932</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32475-2023</t>
        </is>
      </c>
      <c r="B55" s="1" t="n">
        <v>45120</v>
      </c>
      <c r="C55" s="1" t="n">
        <v>45932</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45932</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56211-2020</t>
        </is>
      </c>
      <c r="B57" s="1" t="n">
        <v>44133</v>
      </c>
      <c r="C57" s="1" t="n">
        <v>45932</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45932</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45932</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11829-2023</t>
        </is>
      </c>
      <c r="B60" s="1" t="n">
        <v>44994</v>
      </c>
      <c r="C60" s="1" t="n">
        <v>45932</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20397-2024</t>
        </is>
      </c>
      <c r="B61" s="1" t="n">
        <v>45435.54734953704</v>
      </c>
      <c r="C61" s="1" t="n">
        <v>45932</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33806-2023</t>
        </is>
      </c>
      <c r="B62" s="1" t="n">
        <v>45121</v>
      </c>
      <c r="C62" s="1" t="n">
        <v>45932</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24169-2021</t>
        </is>
      </c>
      <c r="B63" s="1" t="n">
        <v>44336</v>
      </c>
      <c r="C63" s="1" t="n">
        <v>45932</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26750-2025</t>
        </is>
      </c>
      <c r="B64" s="1" t="n">
        <v>45810.55061342593</v>
      </c>
      <c r="C64" s="1" t="n">
        <v>45932</v>
      </c>
      <c r="D64" t="inlineStr">
        <is>
          <t>JÄMTLANDS LÄN</t>
        </is>
      </c>
      <c r="E64" t="inlineStr">
        <is>
          <t>RAGUNDA</t>
        </is>
      </c>
      <c r="G64" t="n">
        <v>18</v>
      </c>
      <c r="H64" t="n">
        <v>0</v>
      </c>
      <c r="I64" t="n">
        <v>3</v>
      </c>
      <c r="J64" t="n">
        <v>4</v>
      </c>
      <c r="K64" t="n">
        <v>0</v>
      </c>
      <c r="L64" t="n">
        <v>0</v>
      </c>
      <c r="M64" t="n">
        <v>0</v>
      </c>
      <c r="N64" t="n">
        <v>0</v>
      </c>
      <c r="O64" t="n">
        <v>4</v>
      </c>
      <c r="P64" t="n">
        <v>0</v>
      </c>
      <c r="Q64" t="n">
        <v>7</v>
      </c>
      <c r="R64" s="2" t="inlineStr">
        <is>
          <t>Blå taggsvamp
Orange taggsvamp
Skrovlig taggsvamp
Svartvit taggsvamp
Dropptaggsvamp
Rödfläckig zontaggsvamp
Skarp dropptaggsvamp</t>
        </is>
      </c>
      <c r="S64">
        <f>HYPERLINK("https://klasma.github.io/Logging_2303/artfynd/A 26750-2025 artfynd.xlsx", "A 26750-2025")</f>
        <v/>
      </c>
      <c r="T64">
        <f>HYPERLINK("https://klasma.github.io/Logging_2303/kartor/A 26750-2025 karta.png", "A 26750-2025")</f>
        <v/>
      </c>
      <c r="V64">
        <f>HYPERLINK("https://klasma.github.io/Logging_2303/klagomål/A 26750-2025 FSC-klagomål.docx", "A 26750-2025")</f>
        <v/>
      </c>
      <c r="W64">
        <f>HYPERLINK("https://klasma.github.io/Logging_2303/klagomålsmail/A 26750-2025 FSC-klagomål mail.docx", "A 26750-2025")</f>
        <v/>
      </c>
      <c r="X64">
        <f>HYPERLINK("https://klasma.github.io/Logging_2303/tillsyn/A 26750-2025 tillsynsbegäran.docx", "A 26750-2025")</f>
        <v/>
      </c>
      <c r="Y64">
        <f>HYPERLINK("https://klasma.github.io/Logging_2303/tillsynsmail/A 26750-2025 tillsynsbegäran mail.docx", "A 26750-2025")</f>
        <v/>
      </c>
    </row>
    <row r="65" ht="15" customHeight="1">
      <c r="A65" t="inlineStr">
        <is>
          <t>A 37237-2023</t>
        </is>
      </c>
      <c r="B65" s="1" t="n">
        <v>45155</v>
      </c>
      <c r="C65" s="1" t="n">
        <v>45932</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19399-2025</t>
        </is>
      </c>
      <c r="B66" s="1" t="n">
        <v>45769.67740740741</v>
      </c>
      <c r="C66" s="1" t="n">
        <v>45932</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61386-2022</t>
        </is>
      </c>
      <c r="B67" s="1" t="n">
        <v>44915</v>
      </c>
      <c r="C67" s="1" t="n">
        <v>45932</v>
      </c>
      <c r="D67" t="inlineStr">
        <is>
          <t>JÄMTLANDS LÄN</t>
        </is>
      </c>
      <c r="E67" t="inlineStr">
        <is>
          <t>RAGUNDA</t>
        </is>
      </c>
      <c r="F67" t="inlineStr">
        <is>
          <t>Övriga Aktiebolag</t>
        </is>
      </c>
      <c r="G67" t="n">
        <v>19.7</v>
      </c>
      <c r="H67" t="n">
        <v>1</v>
      </c>
      <c r="I67" t="n">
        <v>2</v>
      </c>
      <c r="J67" t="n">
        <v>3</v>
      </c>
      <c r="K67" t="n">
        <v>2</v>
      </c>
      <c r="L67" t="n">
        <v>0</v>
      </c>
      <c r="M67" t="n">
        <v>0</v>
      </c>
      <c r="N67" t="n">
        <v>0</v>
      </c>
      <c r="O67" t="n">
        <v>5</v>
      </c>
      <c r="P67" t="n">
        <v>2</v>
      </c>
      <c r="Q67" t="n">
        <v>7</v>
      </c>
      <c r="R67" s="2" t="inlineStr">
        <is>
          <t>Knärot
Rynkskinn
Lunglav
Rosenticka
Ullticka
Svart trolldruva
Vanlig flatbagge</t>
        </is>
      </c>
      <c r="S67">
        <f>HYPERLINK("https://klasma.github.io/Logging_2303/artfynd/A 61386-2022 artfynd.xlsx", "A 61386-2022")</f>
        <v/>
      </c>
      <c r="T67">
        <f>HYPERLINK("https://klasma.github.io/Logging_2303/kartor/A 61386-2022 karta.png", "A 61386-2022")</f>
        <v/>
      </c>
      <c r="U67">
        <f>HYPERLINK("https://klasma.github.io/Logging_2303/knärot/A 61386-2022 karta knärot.png", "A 61386-2022")</f>
        <v/>
      </c>
      <c r="V67">
        <f>HYPERLINK("https://klasma.github.io/Logging_2303/klagomål/A 61386-2022 FSC-klagomål.docx", "A 61386-2022")</f>
        <v/>
      </c>
      <c r="W67">
        <f>HYPERLINK("https://klasma.github.io/Logging_2303/klagomålsmail/A 61386-2022 FSC-klagomål mail.docx", "A 61386-2022")</f>
        <v/>
      </c>
      <c r="X67">
        <f>HYPERLINK("https://klasma.github.io/Logging_2303/tillsyn/A 61386-2022 tillsynsbegäran.docx", "A 61386-2022")</f>
        <v/>
      </c>
      <c r="Y67">
        <f>HYPERLINK("https://klasma.github.io/Logging_2303/tillsynsmail/A 61386-2022 tillsynsbegäran mail.docx", "A 61386-2022")</f>
        <v/>
      </c>
    </row>
    <row r="68" ht="15" customHeight="1">
      <c r="A68" t="inlineStr">
        <is>
          <t>A 22466-2025</t>
        </is>
      </c>
      <c r="B68" s="1" t="n">
        <v>45786.61517361111</v>
      </c>
      <c r="C68" s="1" t="n">
        <v>45932</v>
      </c>
      <c r="D68" t="inlineStr">
        <is>
          <t>JÄMTLANDS LÄN</t>
        </is>
      </c>
      <c r="E68" t="inlineStr">
        <is>
          <t>RAGUNDA</t>
        </is>
      </c>
      <c r="F68" t="inlineStr">
        <is>
          <t>SCA</t>
        </is>
      </c>
      <c r="G68" t="n">
        <v>3.2</v>
      </c>
      <c r="H68" t="n">
        <v>3</v>
      </c>
      <c r="I68" t="n">
        <v>1</v>
      </c>
      <c r="J68" t="n">
        <v>4</v>
      </c>
      <c r="K68" t="n">
        <v>0</v>
      </c>
      <c r="L68" t="n">
        <v>0</v>
      </c>
      <c r="M68" t="n">
        <v>0</v>
      </c>
      <c r="N68" t="n">
        <v>0</v>
      </c>
      <c r="O68" t="n">
        <v>4</v>
      </c>
      <c r="P68" t="n">
        <v>0</v>
      </c>
      <c r="Q68" t="n">
        <v>7</v>
      </c>
      <c r="R68" s="2" t="inlineStr">
        <is>
          <t>Gammelgransskål
Garnlav
Lunglav
Tretåig hackspett
Stuplav
Kungsfågel
Revlummer</t>
        </is>
      </c>
      <c r="S68">
        <f>HYPERLINK("https://klasma.github.io/Logging_2303/artfynd/A 22466-2025 artfynd.xlsx", "A 22466-2025")</f>
        <v/>
      </c>
      <c r="T68">
        <f>HYPERLINK("https://klasma.github.io/Logging_2303/kartor/A 22466-2025 karta.png", "A 22466-2025")</f>
        <v/>
      </c>
      <c r="V68">
        <f>HYPERLINK("https://klasma.github.io/Logging_2303/klagomål/A 22466-2025 FSC-klagomål.docx", "A 22466-2025")</f>
        <v/>
      </c>
      <c r="W68">
        <f>HYPERLINK("https://klasma.github.io/Logging_2303/klagomålsmail/A 22466-2025 FSC-klagomål mail.docx", "A 22466-2025")</f>
        <v/>
      </c>
      <c r="X68">
        <f>HYPERLINK("https://klasma.github.io/Logging_2303/tillsyn/A 22466-2025 tillsynsbegäran.docx", "A 22466-2025")</f>
        <v/>
      </c>
      <c r="Y68">
        <f>HYPERLINK("https://klasma.github.io/Logging_2303/tillsynsmail/A 22466-2025 tillsynsbegäran mail.docx", "A 22466-2025")</f>
        <v/>
      </c>
      <c r="Z68">
        <f>HYPERLINK("https://klasma.github.io/Logging_2303/fåglar/A 22466-2025 prioriterade fågelarter.docx", "A 22466-2025")</f>
        <v/>
      </c>
    </row>
    <row r="69" ht="15" customHeight="1">
      <c r="A69" t="inlineStr">
        <is>
          <t>A 27913-2024</t>
        </is>
      </c>
      <c r="B69" s="1" t="n">
        <v>45475.94796296296</v>
      </c>
      <c r="C69" s="1" t="n">
        <v>45932</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15977-2024</t>
        </is>
      </c>
      <c r="B70" s="1" t="n">
        <v>45405.57392361111</v>
      </c>
      <c r="C70" s="1" t="n">
        <v>45932</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41929-2023</t>
        </is>
      </c>
      <c r="B71" s="1" t="n">
        <v>45176</v>
      </c>
      <c r="C71" s="1" t="n">
        <v>45932</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50987-2020</t>
        </is>
      </c>
      <c r="B72" s="1" t="n">
        <v>44111</v>
      </c>
      <c r="C72" s="1" t="n">
        <v>45932</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45932</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24431-2024</t>
        </is>
      </c>
      <c r="B74" s="1" t="n">
        <v>45457</v>
      </c>
      <c r="C74" s="1" t="n">
        <v>45932</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933-2023</t>
        </is>
      </c>
      <c r="B75" s="1" t="n">
        <v>44932</v>
      </c>
      <c r="C75" s="1" t="n">
        <v>45932</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55646-2023</t>
        </is>
      </c>
      <c r="B76" s="1" t="n">
        <v>45238</v>
      </c>
      <c r="C76" s="1" t="n">
        <v>45932</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53021-2022</t>
        </is>
      </c>
      <c r="B77" s="1" t="n">
        <v>44875</v>
      </c>
      <c r="C77" s="1" t="n">
        <v>45932</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30637-2024</t>
        </is>
      </c>
      <c r="B78" s="1" t="n">
        <v>45495.56244212963</v>
      </c>
      <c r="C78" s="1" t="n">
        <v>45932</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19402-2025</t>
        </is>
      </c>
      <c r="B79" s="1" t="n">
        <v>45769.67778935185</v>
      </c>
      <c r="C79" s="1" t="n">
        <v>45932</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30884-2025</t>
        </is>
      </c>
      <c r="B80" s="1" t="n">
        <v>45832.34564814815</v>
      </c>
      <c r="C80" s="1" t="n">
        <v>45932</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26326-2024</t>
        </is>
      </c>
      <c r="B81" s="1" t="n">
        <v>45468.97528935185</v>
      </c>
      <c r="C81" s="1" t="n">
        <v>45932</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27322-2024</t>
        </is>
      </c>
      <c r="B82" s="1" t="n">
        <v>45471.94783564815</v>
      </c>
      <c r="C82" s="1" t="n">
        <v>45932</v>
      </c>
      <c r="D82" t="inlineStr">
        <is>
          <t>JÄMTLANDS LÄN</t>
        </is>
      </c>
      <c r="E82" t="inlineStr">
        <is>
          <t>RAGUNDA</t>
        </is>
      </c>
      <c r="G82" t="n">
        <v>2.3</v>
      </c>
      <c r="H82" t="n">
        <v>1</v>
      </c>
      <c r="I82" t="n">
        <v>0</v>
      </c>
      <c r="J82" t="n">
        <v>5</v>
      </c>
      <c r="K82" t="n">
        <v>1</v>
      </c>
      <c r="L82" t="n">
        <v>0</v>
      </c>
      <c r="M82" t="n">
        <v>0</v>
      </c>
      <c r="N82" t="n">
        <v>0</v>
      </c>
      <c r="O82" t="n">
        <v>6</v>
      </c>
      <c r="P82" t="n">
        <v>1</v>
      </c>
      <c r="Q82" t="n">
        <v>6</v>
      </c>
      <c r="R82" s="2" t="inlineStr">
        <is>
          <t>Knärot
Gammelgransskål
Garnlav
Lunglav
Skrovellav
Vedtrappmossa</t>
        </is>
      </c>
      <c r="S82">
        <f>HYPERLINK("https://klasma.github.io/Logging_2303/artfynd/A 27322-2024 artfynd.xlsx", "A 27322-2024")</f>
        <v/>
      </c>
      <c r="T82">
        <f>HYPERLINK("https://klasma.github.io/Logging_2303/kartor/A 27322-2024 karta.png", "A 27322-2024")</f>
        <v/>
      </c>
      <c r="U82">
        <f>HYPERLINK("https://klasma.github.io/Logging_2303/knärot/A 27322-2024 karta knärot.png", "A 27322-2024")</f>
        <v/>
      </c>
      <c r="V82">
        <f>HYPERLINK("https://klasma.github.io/Logging_2303/klagomål/A 27322-2024 FSC-klagomål.docx", "A 27322-2024")</f>
        <v/>
      </c>
      <c r="W82">
        <f>HYPERLINK("https://klasma.github.io/Logging_2303/klagomålsmail/A 27322-2024 FSC-klagomål mail.docx", "A 27322-2024")</f>
        <v/>
      </c>
      <c r="X82">
        <f>HYPERLINK("https://klasma.github.io/Logging_2303/tillsyn/A 27322-2024 tillsynsbegäran.docx", "A 27322-2024")</f>
        <v/>
      </c>
      <c r="Y82">
        <f>HYPERLINK("https://klasma.github.io/Logging_2303/tillsynsmail/A 27322-2024 tillsynsbegäran mail.docx", "A 27322-2024")</f>
        <v/>
      </c>
    </row>
    <row r="83" ht="15" customHeight="1">
      <c r="A83" t="inlineStr">
        <is>
          <t>A 39973-2025</t>
        </is>
      </c>
      <c r="B83" s="1" t="n">
        <v>45893.38584490741</v>
      </c>
      <c r="C83" s="1" t="n">
        <v>45932</v>
      </c>
      <c r="D83" t="inlineStr">
        <is>
          <t>JÄMTLANDS LÄN</t>
        </is>
      </c>
      <c r="E83" t="inlineStr">
        <is>
          <t>RAGUNDA</t>
        </is>
      </c>
      <c r="F83" t="inlineStr">
        <is>
          <t>Naturvårdsverket</t>
        </is>
      </c>
      <c r="G83" t="n">
        <v>8</v>
      </c>
      <c r="H83" t="n">
        <v>0</v>
      </c>
      <c r="I83" t="n">
        <v>1</v>
      </c>
      <c r="J83" t="n">
        <v>5</v>
      </c>
      <c r="K83" t="n">
        <v>0</v>
      </c>
      <c r="L83" t="n">
        <v>0</v>
      </c>
      <c r="M83" t="n">
        <v>0</v>
      </c>
      <c r="N83" t="n">
        <v>0</v>
      </c>
      <c r="O83" t="n">
        <v>5</v>
      </c>
      <c r="P83" t="n">
        <v>0</v>
      </c>
      <c r="Q83" t="n">
        <v>6</v>
      </c>
      <c r="R83" s="2" t="inlineStr">
        <is>
          <t>Granticka
Lunglav
Mörk kolflarnlav
Tallticka
Vedskivlav
Skinnlav</t>
        </is>
      </c>
      <c r="S83">
        <f>HYPERLINK("https://klasma.github.io/Logging_2303/artfynd/A 39973-2025 artfynd.xlsx", "A 39973-2025")</f>
        <v/>
      </c>
      <c r="T83">
        <f>HYPERLINK("https://klasma.github.io/Logging_2303/kartor/A 39973-2025 karta.png", "A 39973-2025")</f>
        <v/>
      </c>
      <c r="V83">
        <f>HYPERLINK("https://klasma.github.io/Logging_2303/klagomål/A 39973-2025 FSC-klagomål.docx", "A 39973-2025")</f>
        <v/>
      </c>
      <c r="W83">
        <f>HYPERLINK("https://klasma.github.io/Logging_2303/klagomålsmail/A 39973-2025 FSC-klagomål mail.docx", "A 39973-2025")</f>
        <v/>
      </c>
      <c r="X83">
        <f>HYPERLINK("https://klasma.github.io/Logging_2303/tillsyn/A 39973-2025 tillsynsbegäran.docx", "A 39973-2025")</f>
        <v/>
      </c>
      <c r="Y83">
        <f>HYPERLINK("https://klasma.github.io/Logging_2303/tillsynsmail/A 39973-2025 tillsynsbegäran mail.docx", "A 39973-2025")</f>
        <v/>
      </c>
    </row>
    <row r="84" ht="15" customHeight="1">
      <c r="A84" t="inlineStr">
        <is>
          <t>A 49239-2024</t>
        </is>
      </c>
      <c r="B84" s="1" t="n">
        <v>45595.44886574074</v>
      </c>
      <c r="C84" s="1" t="n">
        <v>45932</v>
      </c>
      <c r="D84" t="inlineStr">
        <is>
          <t>JÄMTLANDS LÄN</t>
        </is>
      </c>
      <c r="E84" t="inlineStr">
        <is>
          <t>RAGUNDA</t>
        </is>
      </c>
      <c r="F84" t="inlineStr">
        <is>
          <t>SCA</t>
        </is>
      </c>
      <c r="G84" t="n">
        <v>2.7</v>
      </c>
      <c r="H84" t="n">
        <v>2</v>
      </c>
      <c r="I84" t="n">
        <v>0</v>
      </c>
      <c r="J84" t="n">
        <v>5</v>
      </c>
      <c r="K84" t="n">
        <v>0</v>
      </c>
      <c r="L84" t="n">
        <v>0</v>
      </c>
      <c r="M84" t="n">
        <v>0</v>
      </c>
      <c r="N84" t="n">
        <v>0</v>
      </c>
      <c r="O84" t="n">
        <v>5</v>
      </c>
      <c r="P84" t="n">
        <v>0</v>
      </c>
      <c r="Q84" t="n">
        <v>6</v>
      </c>
      <c r="R84" s="2" t="inlineStr">
        <is>
          <t>Garnlav
Harticka
Lunglav
Tretåig hackspett
Vitgrynig nållav
Revlummer</t>
        </is>
      </c>
      <c r="S84">
        <f>HYPERLINK("https://klasma.github.io/Logging_2303/artfynd/A 49239-2024 artfynd.xlsx", "A 49239-2024")</f>
        <v/>
      </c>
      <c r="T84">
        <f>HYPERLINK("https://klasma.github.io/Logging_2303/kartor/A 49239-2024 karta.png", "A 49239-2024")</f>
        <v/>
      </c>
      <c r="V84">
        <f>HYPERLINK("https://klasma.github.io/Logging_2303/klagomål/A 49239-2024 FSC-klagomål.docx", "A 49239-2024")</f>
        <v/>
      </c>
      <c r="W84">
        <f>HYPERLINK("https://klasma.github.io/Logging_2303/klagomålsmail/A 49239-2024 FSC-klagomål mail.docx", "A 49239-2024")</f>
        <v/>
      </c>
      <c r="X84">
        <f>HYPERLINK("https://klasma.github.io/Logging_2303/tillsyn/A 49239-2024 tillsynsbegäran.docx", "A 49239-2024")</f>
        <v/>
      </c>
      <c r="Y84">
        <f>HYPERLINK("https://klasma.github.io/Logging_2303/tillsynsmail/A 49239-2024 tillsynsbegäran mail.docx", "A 49239-2024")</f>
        <v/>
      </c>
      <c r="Z84">
        <f>HYPERLINK("https://klasma.github.io/Logging_2303/fåglar/A 49239-2024 prioriterade fågelarter.docx", "A 49239-2024")</f>
        <v/>
      </c>
    </row>
    <row r="85" ht="15" customHeight="1">
      <c r="A85" t="inlineStr">
        <is>
          <t>A 36276-2025</t>
        </is>
      </c>
      <c r="B85" s="1" t="n">
        <v>45867.63619212963</v>
      </c>
      <c r="C85" s="1" t="n">
        <v>45932</v>
      </c>
      <c r="D85" t="inlineStr">
        <is>
          <t>JÄMTLANDS LÄN</t>
        </is>
      </c>
      <c r="E85" t="inlineStr">
        <is>
          <t>RAGUNDA</t>
        </is>
      </c>
      <c r="F85" t="inlineStr">
        <is>
          <t>SCA</t>
        </is>
      </c>
      <c r="G85" t="n">
        <v>3.2</v>
      </c>
      <c r="H85" t="n">
        <v>1</v>
      </c>
      <c r="I85" t="n">
        <v>2</v>
      </c>
      <c r="J85" t="n">
        <v>3</v>
      </c>
      <c r="K85" t="n">
        <v>1</v>
      </c>
      <c r="L85" t="n">
        <v>0</v>
      </c>
      <c r="M85" t="n">
        <v>0</v>
      </c>
      <c r="N85" t="n">
        <v>0</v>
      </c>
      <c r="O85" t="n">
        <v>4</v>
      </c>
      <c r="P85" t="n">
        <v>1</v>
      </c>
      <c r="Q85" t="n">
        <v>6</v>
      </c>
      <c r="R85" s="2" t="inlineStr">
        <is>
          <t>Knärot
Garnlav
Lunglav
Ullticka
Grovticka
Stuplav</t>
        </is>
      </c>
      <c r="S85">
        <f>HYPERLINK("https://klasma.github.io/Logging_2303/artfynd/A 36276-2025 artfynd.xlsx", "A 36276-2025")</f>
        <v/>
      </c>
      <c r="T85">
        <f>HYPERLINK("https://klasma.github.io/Logging_2303/kartor/A 36276-2025 karta.png", "A 36276-2025")</f>
        <v/>
      </c>
      <c r="U85">
        <f>HYPERLINK("https://klasma.github.io/Logging_2303/knärot/A 36276-2025 karta knärot.png", "A 36276-2025")</f>
        <v/>
      </c>
      <c r="V85">
        <f>HYPERLINK("https://klasma.github.io/Logging_2303/klagomål/A 36276-2025 FSC-klagomål.docx", "A 36276-2025")</f>
        <v/>
      </c>
      <c r="W85">
        <f>HYPERLINK("https://klasma.github.io/Logging_2303/klagomålsmail/A 36276-2025 FSC-klagomål mail.docx", "A 36276-2025")</f>
        <v/>
      </c>
      <c r="X85">
        <f>HYPERLINK("https://klasma.github.io/Logging_2303/tillsyn/A 36276-2025 tillsynsbegäran.docx", "A 36276-2025")</f>
        <v/>
      </c>
      <c r="Y85">
        <f>HYPERLINK("https://klasma.github.io/Logging_2303/tillsynsmail/A 36276-2025 tillsynsbegäran mail.docx", "A 36276-2025")</f>
        <v/>
      </c>
    </row>
    <row r="86" ht="15" customHeight="1">
      <c r="A86" t="inlineStr">
        <is>
          <t>A 34317-2025</t>
        </is>
      </c>
      <c r="B86" s="1" t="n">
        <v>45846.41361111111</v>
      </c>
      <c r="C86" s="1" t="n">
        <v>45932</v>
      </c>
      <c r="D86" t="inlineStr">
        <is>
          <t>JÄMTLANDS LÄN</t>
        </is>
      </c>
      <c r="E86" t="inlineStr">
        <is>
          <t>RAGUNDA</t>
        </is>
      </c>
      <c r="G86" t="n">
        <v>8.300000000000001</v>
      </c>
      <c r="H86" t="n">
        <v>2</v>
      </c>
      <c r="I86" t="n">
        <v>1</v>
      </c>
      <c r="J86" t="n">
        <v>4</v>
      </c>
      <c r="K86" t="n">
        <v>1</v>
      </c>
      <c r="L86" t="n">
        <v>0</v>
      </c>
      <c r="M86" t="n">
        <v>0</v>
      </c>
      <c r="N86" t="n">
        <v>0</v>
      </c>
      <c r="O86" t="n">
        <v>5</v>
      </c>
      <c r="P86" t="n">
        <v>1</v>
      </c>
      <c r="Q86" t="n">
        <v>6</v>
      </c>
      <c r="R86" s="2" t="inlineStr">
        <is>
          <t>Knärot
Garnlav
Lunglav
Nordtagging
Talltita
Skinnlav</t>
        </is>
      </c>
      <c r="S86">
        <f>HYPERLINK("https://klasma.github.io/Logging_2303/artfynd/A 34317-2025 artfynd.xlsx", "A 34317-2025")</f>
        <v/>
      </c>
      <c r="T86">
        <f>HYPERLINK("https://klasma.github.io/Logging_2303/kartor/A 34317-2025 karta.png", "A 34317-2025")</f>
        <v/>
      </c>
      <c r="U86">
        <f>HYPERLINK("https://klasma.github.io/Logging_2303/knärot/A 34317-2025 karta knärot.png", "A 34317-2025")</f>
        <v/>
      </c>
      <c r="V86">
        <f>HYPERLINK("https://klasma.github.io/Logging_2303/klagomål/A 34317-2025 FSC-klagomål.docx", "A 34317-2025")</f>
        <v/>
      </c>
      <c r="W86">
        <f>HYPERLINK("https://klasma.github.io/Logging_2303/klagomålsmail/A 34317-2025 FSC-klagomål mail.docx", "A 34317-2025")</f>
        <v/>
      </c>
      <c r="X86">
        <f>HYPERLINK("https://klasma.github.io/Logging_2303/tillsyn/A 34317-2025 tillsynsbegäran.docx", "A 34317-2025")</f>
        <v/>
      </c>
      <c r="Y86">
        <f>HYPERLINK("https://klasma.github.io/Logging_2303/tillsynsmail/A 34317-2025 tillsynsbegäran mail.docx", "A 34317-2025")</f>
        <v/>
      </c>
      <c r="Z86">
        <f>HYPERLINK("https://klasma.github.io/Logging_2303/fåglar/A 34317-2025 prioriterade fågelarter.docx", "A 34317-2025")</f>
        <v/>
      </c>
    </row>
    <row r="87" ht="15" customHeight="1">
      <c r="A87" t="inlineStr">
        <is>
          <t>A 11828-2023</t>
        </is>
      </c>
      <c r="B87" s="1" t="n">
        <v>44994</v>
      </c>
      <c r="C87" s="1" t="n">
        <v>45932</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14908-2022</t>
        </is>
      </c>
      <c r="B88" s="1" t="n">
        <v>44656</v>
      </c>
      <c r="C88" s="1" t="n">
        <v>45932</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39365-2024</t>
        </is>
      </c>
      <c r="B89" s="1" t="n">
        <v>45551.46912037037</v>
      </c>
      <c r="C89" s="1" t="n">
        <v>45932</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15379-2024</t>
        </is>
      </c>
      <c r="B90" s="1" t="n">
        <v>45400.94002314815</v>
      </c>
      <c r="C90" s="1" t="n">
        <v>45932</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15244-2025</t>
        </is>
      </c>
      <c r="B91" s="1" t="n">
        <v>45744.61550925926</v>
      </c>
      <c r="C91" s="1" t="n">
        <v>45932</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43106-2023</t>
        </is>
      </c>
      <c r="B92" s="1" t="n">
        <v>45182</v>
      </c>
      <c r="C92" s="1" t="n">
        <v>45932</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45969-2023</t>
        </is>
      </c>
      <c r="B93" s="1" t="n">
        <v>45195</v>
      </c>
      <c r="C93" s="1" t="n">
        <v>45932</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27313-2024</t>
        </is>
      </c>
      <c r="B94" s="1" t="n">
        <v>45471.94623842592</v>
      </c>
      <c r="C94" s="1" t="n">
        <v>45932</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57073-2023</t>
        </is>
      </c>
      <c r="B95" s="1" t="n">
        <v>45244</v>
      </c>
      <c r="C95" s="1" t="n">
        <v>45932</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30886-2025</t>
        </is>
      </c>
      <c r="B96" s="1" t="n">
        <v>45832.34578703704</v>
      </c>
      <c r="C96" s="1" t="n">
        <v>45932</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60683-2022</t>
        </is>
      </c>
      <c r="B97" s="1" t="n">
        <v>44911</v>
      </c>
      <c r="C97" s="1" t="n">
        <v>45932</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39974-2025</t>
        </is>
      </c>
      <c r="B98" s="1" t="n">
        <v>45893.38599537037</v>
      </c>
      <c r="C98" s="1" t="n">
        <v>45932</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18629-2024</t>
        </is>
      </c>
      <c r="B99" s="1" t="n">
        <v>45425.96472222222</v>
      </c>
      <c r="C99" s="1" t="n">
        <v>45932</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35344-2025</t>
        </is>
      </c>
      <c r="B100" s="1" t="n">
        <v>45854.61494212963</v>
      </c>
      <c r="C100" s="1" t="n">
        <v>45932</v>
      </c>
      <c r="D100" t="inlineStr">
        <is>
          <t>JÄMTLANDS LÄN</t>
        </is>
      </c>
      <c r="E100" t="inlineStr">
        <is>
          <t>RAGUNDA</t>
        </is>
      </c>
      <c r="F100" t="inlineStr">
        <is>
          <t>SCA</t>
        </is>
      </c>
      <c r="G100" t="n">
        <v>6.1</v>
      </c>
      <c r="H100" t="n">
        <v>0</v>
      </c>
      <c r="I100" t="n">
        <v>0</v>
      </c>
      <c r="J100" t="n">
        <v>5</v>
      </c>
      <c r="K100" t="n">
        <v>0</v>
      </c>
      <c r="L100" t="n">
        <v>0</v>
      </c>
      <c r="M100" t="n">
        <v>0</v>
      </c>
      <c r="N100" t="n">
        <v>0</v>
      </c>
      <c r="O100" t="n">
        <v>5</v>
      </c>
      <c r="P100" t="n">
        <v>0</v>
      </c>
      <c r="Q100" t="n">
        <v>5</v>
      </c>
      <c r="R100" s="2" t="inlineStr">
        <is>
          <t>Blå taggsvamp
Garnlav
Lunglav
Svart taggsvamp
Vedtrappmossa</t>
        </is>
      </c>
      <c r="S100">
        <f>HYPERLINK("https://klasma.github.io/Logging_2303/artfynd/A 35344-2025 artfynd.xlsx", "A 35344-2025")</f>
        <v/>
      </c>
      <c r="T100">
        <f>HYPERLINK("https://klasma.github.io/Logging_2303/kartor/A 35344-2025 karta.png", "A 35344-2025")</f>
        <v/>
      </c>
      <c r="V100">
        <f>HYPERLINK("https://klasma.github.io/Logging_2303/klagomål/A 35344-2025 FSC-klagomål.docx", "A 35344-2025")</f>
        <v/>
      </c>
      <c r="W100">
        <f>HYPERLINK("https://klasma.github.io/Logging_2303/klagomålsmail/A 35344-2025 FSC-klagomål mail.docx", "A 35344-2025")</f>
        <v/>
      </c>
      <c r="X100">
        <f>HYPERLINK("https://klasma.github.io/Logging_2303/tillsyn/A 35344-2025 tillsynsbegäran.docx", "A 35344-2025")</f>
        <v/>
      </c>
      <c r="Y100">
        <f>HYPERLINK("https://klasma.github.io/Logging_2303/tillsynsmail/A 35344-2025 tillsynsbegäran mail.docx", "A 35344-2025")</f>
        <v/>
      </c>
    </row>
    <row r="101" ht="15" customHeight="1">
      <c r="A101" t="inlineStr">
        <is>
          <t>A 2579-2025</t>
        </is>
      </c>
      <c r="B101" s="1" t="n">
        <v>45674.67744212963</v>
      </c>
      <c r="C101" s="1" t="n">
        <v>45932</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13266-2023</t>
        </is>
      </c>
      <c r="B102" s="1" t="n">
        <v>45002.94356481481</v>
      </c>
      <c r="C102" s="1" t="n">
        <v>45932</v>
      </c>
      <c r="D102" t="inlineStr">
        <is>
          <t>JÄMTLANDS LÄN</t>
        </is>
      </c>
      <c r="E102" t="inlineStr">
        <is>
          <t>RAGUNDA</t>
        </is>
      </c>
      <c r="F102" t="inlineStr">
        <is>
          <t>SCA</t>
        </is>
      </c>
      <c r="G102" t="n">
        <v>4.1</v>
      </c>
      <c r="H102" t="n">
        <v>1</v>
      </c>
      <c r="I102" t="n">
        <v>0</v>
      </c>
      <c r="J102" t="n">
        <v>4</v>
      </c>
      <c r="K102" t="n">
        <v>0</v>
      </c>
      <c r="L102" t="n">
        <v>0</v>
      </c>
      <c r="M102" t="n">
        <v>0</v>
      </c>
      <c r="N102" t="n">
        <v>0</v>
      </c>
      <c r="O102" t="n">
        <v>4</v>
      </c>
      <c r="P102" t="n">
        <v>0</v>
      </c>
      <c r="Q102" t="n">
        <v>5</v>
      </c>
      <c r="R102" s="2" t="inlineStr">
        <is>
          <t>Gammelgransskål
Garnlav
Granticka
Lunglav
Revlummer</t>
        </is>
      </c>
      <c r="S102">
        <f>HYPERLINK("https://klasma.github.io/Logging_2303/artfynd/A 13266-2023 artfynd.xlsx", "A 13266-2023")</f>
        <v/>
      </c>
      <c r="T102">
        <f>HYPERLINK("https://klasma.github.io/Logging_2303/kartor/A 13266-2023 karta.png", "A 13266-2023")</f>
        <v/>
      </c>
      <c r="V102">
        <f>HYPERLINK("https://klasma.github.io/Logging_2303/klagomål/A 13266-2023 FSC-klagomål.docx", "A 13266-2023")</f>
        <v/>
      </c>
      <c r="W102">
        <f>HYPERLINK("https://klasma.github.io/Logging_2303/klagomålsmail/A 13266-2023 FSC-klagomål mail.docx", "A 13266-2023")</f>
        <v/>
      </c>
      <c r="X102">
        <f>HYPERLINK("https://klasma.github.io/Logging_2303/tillsyn/A 13266-2023 tillsynsbegäran.docx", "A 13266-2023")</f>
        <v/>
      </c>
      <c r="Y102">
        <f>HYPERLINK("https://klasma.github.io/Logging_2303/tillsynsmail/A 13266-2023 tillsynsbegäran mail.docx", "A 13266-2023")</f>
        <v/>
      </c>
    </row>
    <row r="103" ht="15" customHeight="1">
      <c r="A103" t="inlineStr">
        <is>
          <t>A 38169-2024</t>
        </is>
      </c>
      <c r="B103" s="1" t="n">
        <v>45545.45748842593</v>
      </c>
      <c r="C103" s="1" t="n">
        <v>45932</v>
      </c>
      <c r="D103" t="inlineStr">
        <is>
          <t>JÄMTLANDS LÄN</t>
        </is>
      </c>
      <c r="E103" t="inlineStr">
        <is>
          <t>RAGUNDA</t>
        </is>
      </c>
      <c r="G103" t="n">
        <v>7.5</v>
      </c>
      <c r="H103" t="n">
        <v>2</v>
      </c>
      <c r="I103" t="n">
        <v>0</v>
      </c>
      <c r="J103" t="n">
        <v>5</v>
      </c>
      <c r="K103" t="n">
        <v>0</v>
      </c>
      <c r="L103" t="n">
        <v>0</v>
      </c>
      <c r="M103" t="n">
        <v>0</v>
      </c>
      <c r="N103" t="n">
        <v>0</v>
      </c>
      <c r="O103" t="n">
        <v>5</v>
      </c>
      <c r="P103" t="n">
        <v>0</v>
      </c>
      <c r="Q103" t="n">
        <v>5</v>
      </c>
      <c r="R103" s="2" t="inlineStr">
        <is>
          <t>Garnlav
Lunglav
Skrovellav
Talltita
Tretåig hackspett</t>
        </is>
      </c>
      <c r="S103">
        <f>HYPERLINK("https://klasma.github.io/Logging_2303/artfynd/A 38169-2024 artfynd.xlsx", "A 38169-2024")</f>
        <v/>
      </c>
      <c r="T103">
        <f>HYPERLINK("https://klasma.github.io/Logging_2303/kartor/A 38169-2024 karta.png", "A 38169-2024")</f>
        <v/>
      </c>
      <c r="V103">
        <f>HYPERLINK("https://klasma.github.io/Logging_2303/klagomål/A 38169-2024 FSC-klagomål.docx", "A 38169-2024")</f>
        <v/>
      </c>
      <c r="W103">
        <f>HYPERLINK("https://klasma.github.io/Logging_2303/klagomålsmail/A 38169-2024 FSC-klagomål mail.docx", "A 38169-2024")</f>
        <v/>
      </c>
      <c r="X103">
        <f>HYPERLINK("https://klasma.github.io/Logging_2303/tillsyn/A 38169-2024 tillsynsbegäran.docx", "A 38169-2024")</f>
        <v/>
      </c>
      <c r="Y103">
        <f>HYPERLINK("https://klasma.github.io/Logging_2303/tillsynsmail/A 38169-2024 tillsynsbegäran mail.docx", "A 38169-2024")</f>
        <v/>
      </c>
      <c r="Z103">
        <f>HYPERLINK("https://klasma.github.io/Logging_2303/fåglar/A 38169-2024 prioriterade fågelarter.docx", "A 38169-2024")</f>
        <v/>
      </c>
    </row>
    <row r="104" ht="15" customHeight="1">
      <c r="A104" t="inlineStr">
        <is>
          <t>A 22469-2024</t>
        </is>
      </c>
      <c r="B104" s="1" t="n">
        <v>45446.95087962963</v>
      </c>
      <c r="C104" s="1" t="n">
        <v>45932</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8636-2021</t>
        </is>
      </c>
      <c r="B105" s="1" t="n">
        <v>44245</v>
      </c>
      <c r="C105" s="1" t="n">
        <v>45932</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19851-2022</t>
        </is>
      </c>
      <c r="B106" s="1" t="n">
        <v>44696</v>
      </c>
      <c r="C106" s="1" t="n">
        <v>45932</v>
      </c>
      <c r="D106" t="inlineStr">
        <is>
          <t>JÄMTLANDS LÄN</t>
        </is>
      </c>
      <c r="E106" t="inlineStr">
        <is>
          <t>RAGUNDA</t>
        </is>
      </c>
      <c r="F106" t="inlineStr">
        <is>
          <t>SCA</t>
        </is>
      </c>
      <c r="G106" t="n">
        <v>3</v>
      </c>
      <c r="H106" t="n">
        <v>2</v>
      </c>
      <c r="I106" t="n">
        <v>0</v>
      </c>
      <c r="J106" t="n">
        <v>3</v>
      </c>
      <c r="K106" t="n">
        <v>0</v>
      </c>
      <c r="L106" t="n">
        <v>0</v>
      </c>
      <c r="M106" t="n">
        <v>0</v>
      </c>
      <c r="N106" t="n">
        <v>0</v>
      </c>
      <c r="O106" t="n">
        <v>3</v>
      </c>
      <c r="P106" t="n">
        <v>0</v>
      </c>
      <c r="Q106" t="n">
        <v>4</v>
      </c>
      <c r="R106" s="2" t="inlineStr">
        <is>
          <t>Garnlav
Talltita
Ullticka
Revlummer</t>
        </is>
      </c>
      <c r="S106">
        <f>HYPERLINK("https://klasma.github.io/Logging_2303/artfynd/A 19851-2022 artfynd.xlsx", "A 19851-2022")</f>
        <v/>
      </c>
      <c r="T106">
        <f>HYPERLINK("https://klasma.github.io/Logging_2303/kartor/A 19851-2022 karta.png", "A 19851-2022")</f>
        <v/>
      </c>
      <c r="V106">
        <f>HYPERLINK("https://klasma.github.io/Logging_2303/klagomål/A 19851-2022 FSC-klagomål.docx", "A 19851-2022")</f>
        <v/>
      </c>
      <c r="W106">
        <f>HYPERLINK("https://klasma.github.io/Logging_2303/klagomålsmail/A 19851-2022 FSC-klagomål mail.docx", "A 19851-2022")</f>
        <v/>
      </c>
      <c r="X106">
        <f>HYPERLINK("https://klasma.github.io/Logging_2303/tillsyn/A 19851-2022 tillsynsbegäran.docx", "A 19851-2022")</f>
        <v/>
      </c>
      <c r="Y106">
        <f>HYPERLINK("https://klasma.github.io/Logging_2303/tillsynsmail/A 19851-2022 tillsynsbegäran mail.docx", "A 19851-2022")</f>
        <v/>
      </c>
      <c r="Z106">
        <f>HYPERLINK("https://klasma.github.io/Logging_2303/fåglar/A 19851-2022 prioriterade fågelarter.docx", "A 19851-2022")</f>
        <v/>
      </c>
    </row>
    <row r="107" ht="15" customHeight="1">
      <c r="A107" t="inlineStr">
        <is>
          <t>A 15667-2022</t>
        </is>
      </c>
      <c r="B107" s="1" t="n">
        <v>44662</v>
      </c>
      <c r="C107" s="1" t="n">
        <v>45932</v>
      </c>
      <c r="D107" t="inlineStr">
        <is>
          <t>JÄMTLANDS LÄN</t>
        </is>
      </c>
      <c r="E107" t="inlineStr">
        <is>
          <t>RAGUNDA</t>
        </is>
      </c>
      <c r="F107" t="inlineStr">
        <is>
          <t>SCA</t>
        </is>
      </c>
      <c r="G107" t="n">
        <v>2.9</v>
      </c>
      <c r="H107" t="n">
        <v>0</v>
      </c>
      <c r="I107" t="n">
        <v>2</v>
      </c>
      <c r="J107" t="n">
        <v>2</v>
      </c>
      <c r="K107" t="n">
        <v>0</v>
      </c>
      <c r="L107" t="n">
        <v>0</v>
      </c>
      <c r="M107" t="n">
        <v>0</v>
      </c>
      <c r="N107" t="n">
        <v>0</v>
      </c>
      <c r="O107" t="n">
        <v>2</v>
      </c>
      <c r="P107" t="n">
        <v>0</v>
      </c>
      <c r="Q107" t="n">
        <v>4</v>
      </c>
      <c r="R107" s="2" t="inlineStr">
        <is>
          <t>Garnlav
Lunglav
Källmossa
Ögonpyrola</t>
        </is>
      </c>
      <c r="S107">
        <f>HYPERLINK("https://klasma.github.io/Logging_2303/artfynd/A 15667-2022 artfynd.xlsx", "A 15667-2022")</f>
        <v/>
      </c>
      <c r="T107">
        <f>HYPERLINK("https://klasma.github.io/Logging_2303/kartor/A 15667-2022 karta.png", "A 15667-2022")</f>
        <v/>
      </c>
      <c r="V107">
        <f>HYPERLINK("https://klasma.github.io/Logging_2303/klagomål/A 15667-2022 FSC-klagomål.docx", "A 15667-2022")</f>
        <v/>
      </c>
      <c r="W107">
        <f>HYPERLINK("https://klasma.github.io/Logging_2303/klagomålsmail/A 15667-2022 FSC-klagomål mail.docx", "A 15667-2022")</f>
        <v/>
      </c>
      <c r="X107">
        <f>HYPERLINK("https://klasma.github.io/Logging_2303/tillsyn/A 15667-2022 tillsynsbegäran.docx", "A 15667-2022")</f>
        <v/>
      </c>
      <c r="Y107">
        <f>HYPERLINK("https://klasma.github.io/Logging_2303/tillsynsmail/A 15667-2022 tillsynsbegäran mail.docx", "A 15667-2022")</f>
        <v/>
      </c>
    </row>
    <row r="108" ht="15" customHeight="1">
      <c r="A108" t="inlineStr">
        <is>
          <t>A 52644-2024</t>
        </is>
      </c>
      <c r="B108" s="1" t="n">
        <v>45610.34415509259</v>
      </c>
      <c r="C108" s="1" t="n">
        <v>45932</v>
      </c>
      <c r="D108" t="inlineStr">
        <is>
          <t>JÄMTLANDS LÄN</t>
        </is>
      </c>
      <c r="E108" t="inlineStr">
        <is>
          <t>RAGUNDA</t>
        </is>
      </c>
      <c r="F108" t="inlineStr">
        <is>
          <t>SCA</t>
        </is>
      </c>
      <c r="G108" t="n">
        <v>6.6</v>
      </c>
      <c r="H108" t="n">
        <v>2</v>
      </c>
      <c r="I108" t="n">
        <v>1</v>
      </c>
      <c r="J108" t="n">
        <v>2</v>
      </c>
      <c r="K108" t="n">
        <v>1</v>
      </c>
      <c r="L108" t="n">
        <v>0</v>
      </c>
      <c r="M108" t="n">
        <v>0</v>
      </c>
      <c r="N108" t="n">
        <v>0</v>
      </c>
      <c r="O108" t="n">
        <v>3</v>
      </c>
      <c r="P108" t="n">
        <v>1</v>
      </c>
      <c r="Q108" t="n">
        <v>4</v>
      </c>
      <c r="R108" s="2" t="inlineStr">
        <is>
          <t>Doftticka
Gammelgransskål
Lunglav
Guckusko</t>
        </is>
      </c>
      <c r="S108">
        <f>HYPERLINK("https://klasma.github.io/Logging_2303/artfynd/A 52644-2024 artfynd.xlsx", "A 52644-2024")</f>
        <v/>
      </c>
      <c r="T108">
        <f>HYPERLINK("https://klasma.github.io/Logging_2303/kartor/A 52644-2024 karta.png", "A 52644-2024")</f>
        <v/>
      </c>
      <c r="V108">
        <f>HYPERLINK("https://klasma.github.io/Logging_2303/klagomål/A 52644-2024 FSC-klagomål.docx", "A 52644-2024")</f>
        <v/>
      </c>
      <c r="W108">
        <f>HYPERLINK("https://klasma.github.io/Logging_2303/klagomålsmail/A 52644-2024 FSC-klagomål mail.docx", "A 52644-2024")</f>
        <v/>
      </c>
      <c r="X108">
        <f>HYPERLINK("https://klasma.github.io/Logging_2303/tillsyn/A 52644-2024 tillsynsbegäran.docx", "A 52644-2024")</f>
        <v/>
      </c>
      <c r="Y108">
        <f>HYPERLINK("https://klasma.github.io/Logging_2303/tillsynsmail/A 52644-2024 tillsynsbegäran mail.docx", "A 52644-2024")</f>
        <v/>
      </c>
    </row>
    <row r="109" ht="15" customHeight="1">
      <c r="A109" t="inlineStr">
        <is>
          <t>A 21372-2025</t>
        </is>
      </c>
      <c r="B109" s="1" t="n">
        <v>45782.44871527778</v>
      </c>
      <c r="C109" s="1" t="n">
        <v>45932</v>
      </c>
      <c r="D109" t="inlineStr">
        <is>
          <t>JÄMTLANDS LÄN</t>
        </is>
      </c>
      <c r="E109" t="inlineStr">
        <is>
          <t>RAGUNDA</t>
        </is>
      </c>
      <c r="F109" t="inlineStr">
        <is>
          <t>SCA</t>
        </is>
      </c>
      <c r="G109" t="n">
        <v>2.7</v>
      </c>
      <c r="H109" t="n">
        <v>1</v>
      </c>
      <c r="I109" t="n">
        <v>1</v>
      </c>
      <c r="J109" t="n">
        <v>2</v>
      </c>
      <c r="K109" t="n">
        <v>0</v>
      </c>
      <c r="L109" t="n">
        <v>0</v>
      </c>
      <c r="M109" t="n">
        <v>0</v>
      </c>
      <c r="N109" t="n">
        <v>0</v>
      </c>
      <c r="O109" t="n">
        <v>2</v>
      </c>
      <c r="P109" t="n">
        <v>0</v>
      </c>
      <c r="Q109" t="n">
        <v>4</v>
      </c>
      <c r="R109" s="2" t="inlineStr">
        <is>
          <t>Garnlav
Lunglav
Stuplav
Tjäder</t>
        </is>
      </c>
      <c r="S109">
        <f>HYPERLINK("https://klasma.github.io/Logging_2303/artfynd/A 21372-2025 artfynd.xlsx", "A 21372-2025")</f>
        <v/>
      </c>
      <c r="T109">
        <f>HYPERLINK("https://klasma.github.io/Logging_2303/kartor/A 21372-2025 karta.png", "A 21372-2025")</f>
        <v/>
      </c>
      <c r="V109">
        <f>HYPERLINK("https://klasma.github.io/Logging_2303/klagomål/A 21372-2025 FSC-klagomål.docx", "A 21372-2025")</f>
        <v/>
      </c>
      <c r="W109">
        <f>HYPERLINK("https://klasma.github.io/Logging_2303/klagomålsmail/A 21372-2025 FSC-klagomål mail.docx", "A 21372-2025")</f>
        <v/>
      </c>
      <c r="X109">
        <f>HYPERLINK("https://klasma.github.io/Logging_2303/tillsyn/A 21372-2025 tillsynsbegäran.docx", "A 21372-2025")</f>
        <v/>
      </c>
      <c r="Y109">
        <f>HYPERLINK("https://klasma.github.io/Logging_2303/tillsynsmail/A 21372-2025 tillsynsbegäran mail.docx", "A 21372-2025")</f>
        <v/>
      </c>
      <c r="Z109">
        <f>HYPERLINK("https://klasma.github.io/Logging_2303/fåglar/A 21372-2025 prioriterade fågelarter.docx", "A 21372-2025")</f>
        <v/>
      </c>
    </row>
    <row r="110" ht="15" customHeight="1">
      <c r="A110" t="inlineStr">
        <is>
          <t>A 43960-2023</t>
        </is>
      </c>
      <c r="B110" s="1" t="n">
        <v>45187</v>
      </c>
      <c r="C110" s="1" t="n">
        <v>45932</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12640-2024</t>
        </is>
      </c>
      <c r="B111" s="1" t="n">
        <v>45384</v>
      </c>
      <c r="C111" s="1" t="n">
        <v>45932</v>
      </c>
      <c r="D111" t="inlineStr">
        <is>
          <t>JÄMTLANDS LÄN</t>
        </is>
      </c>
      <c r="E111" t="inlineStr">
        <is>
          <t>RAGUNDA</t>
        </is>
      </c>
      <c r="G111" t="n">
        <v>3.3</v>
      </c>
      <c r="H111" t="n">
        <v>0</v>
      </c>
      <c r="I111" t="n">
        <v>2</v>
      </c>
      <c r="J111" t="n">
        <v>1</v>
      </c>
      <c r="K111" t="n">
        <v>1</v>
      </c>
      <c r="L111" t="n">
        <v>0</v>
      </c>
      <c r="M111" t="n">
        <v>0</v>
      </c>
      <c r="N111" t="n">
        <v>0</v>
      </c>
      <c r="O111" t="n">
        <v>2</v>
      </c>
      <c r="P111" t="n">
        <v>1</v>
      </c>
      <c r="Q111" t="n">
        <v>4</v>
      </c>
      <c r="R111" s="2" t="inlineStr">
        <is>
          <t>Spadskinn
Vedskivlav
Dropptaggsvamp
Skarp dropptaggsvamp</t>
        </is>
      </c>
      <c r="S111">
        <f>HYPERLINK("https://klasma.github.io/Logging_2303/artfynd/A 12640-2024 artfynd.xlsx", "A 12640-2024")</f>
        <v/>
      </c>
      <c r="T111">
        <f>HYPERLINK("https://klasma.github.io/Logging_2303/kartor/A 12640-2024 karta.png", "A 12640-2024")</f>
        <v/>
      </c>
      <c r="V111">
        <f>HYPERLINK("https://klasma.github.io/Logging_2303/klagomål/A 12640-2024 FSC-klagomål.docx", "A 12640-2024")</f>
        <v/>
      </c>
      <c r="W111">
        <f>HYPERLINK("https://klasma.github.io/Logging_2303/klagomålsmail/A 12640-2024 FSC-klagomål mail.docx", "A 12640-2024")</f>
        <v/>
      </c>
      <c r="X111">
        <f>HYPERLINK("https://klasma.github.io/Logging_2303/tillsyn/A 12640-2024 tillsynsbegäran.docx", "A 12640-2024")</f>
        <v/>
      </c>
      <c r="Y111">
        <f>HYPERLINK("https://klasma.github.io/Logging_2303/tillsynsmail/A 12640-2024 tillsynsbegäran mail.docx", "A 12640-2024")</f>
        <v/>
      </c>
    </row>
    <row r="112" ht="15" customHeight="1">
      <c r="A112" t="inlineStr">
        <is>
          <t>A 30483-2024</t>
        </is>
      </c>
      <c r="B112" s="1" t="n">
        <v>45491</v>
      </c>
      <c r="C112" s="1" t="n">
        <v>45932</v>
      </c>
      <c r="D112" t="inlineStr">
        <is>
          <t>JÄMTLANDS LÄN</t>
        </is>
      </c>
      <c r="E112" t="inlineStr">
        <is>
          <t>RAGUNDA</t>
        </is>
      </c>
      <c r="F112" t="inlineStr">
        <is>
          <t>SCA</t>
        </is>
      </c>
      <c r="G112" t="n">
        <v>1.6</v>
      </c>
      <c r="H112" t="n">
        <v>1</v>
      </c>
      <c r="I112" t="n">
        <v>0</v>
      </c>
      <c r="J112" t="n">
        <v>4</v>
      </c>
      <c r="K112" t="n">
        <v>0</v>
      </c>
      <c r="L112" t="n">
        <v>0</v>
      </c>
      <c r="M112" t="n">
        <v>0</v>
      </c>
      <c r="N112" t="n">
        <v>0</v>
      </c>
      <c r="O112" t="n">
        <v>4</v>
      </c>
      <c r="P112" t="n">
        <v>0</v>
      </c>
      <c r="Q112" t="n">
        <v>4</v>
      </c>
      <c r="R112" s="2" t="inlineStr">
        <is>
          <t>Dvärgbägarlav
Järpe
Kolflarnlav
Vedskivlav</t>
        </is>
      </c>
      <c r="S112">
        <f>HYPERLINK("https://klasma.github.io/Logging_2303/artfynd/A 30483-2024 artfynd.xlsx", "A 30483-2024")</f>
        <v/>
      </c>
      <c r="T112">
        <f>HYPERLINK("https://klasma.github.io/Logging_2303/kartor/A 30483-2024 karta.png", "A 30483-2024")</f>
        <v/>
      </c>
      <c r="V112">
        <f>HYPERLINK("https://klasma.github.io/Logging_2303/klagomål/A 30483-2024 FSC-klagomål.docx", "A 30483-2024")</f>
        <v/>
      </c>
      <c r="W112">
        <f>HYPERLINK("https://klasma.github.io/Logging_2303/klagomålsmail/A 30483-2024 FSC-klagomål mail.docx", "A 30483-2024")</f>
        <v/>
      </c>
      <c r="X112">
        <f>HYPERLINK("https://klasma.github.io/Logging_2303/tillsyn/A 30483-2024 tillsynsbegäran.docx", "A 30483-2024")</f>
        <v/>
      </c>
      <c r="Y112">
        <f>HYPERLINK("https://klasma.github.io/Logging_2303/tillsynsmail/A 30483-2024 tillsynsbegäran mail.docx", "A 30483-2024")</f>
        <v/>
      </c>
      <c r="Z112">
        <f>HYPERLINK("https://klasma.github.io/Logging_2303/fåglar/A 30483-2024 prioriterade fågelarter.docx", "A 30483-2024")</f>
        <v/>
      </c>
    </row>
    <row r="113" ht="15" customHeight="1">
      <c r="A113" t="inlineStr">
        <is>
          <t>A 12268-2024</t>
        </is>
      </c>
      <c r="B113" s="1" t="n">
        <v>45378</v>
      </c>
      <c r="C113" s="1" t="n">
        <v>45932</v>
      </c>
      <c r="D113" t="inlineStr">
        <is>
          <t>JÄMTLANDS LÄN</t>
        </is>
      </c>
      <c r="E113" t="inlineStr">
        <is>
          <t>RAGUNDA</t>
        </is>
      </c>
      <c r="F113" t="inlineStr">
        <is>
          <t>Kommuner</t>
        </is>
      </c>
      <c r="G113" t="n">
        <v>15.7</v>
      </c>
      <c r="H113" t="n">
        <v>0</v>
      </c>
      <c r="I113" t="n">
        <v>0</v>
      </c>
      <c r="J113" t="n">
        <v>4</v>
      </c>
      <c r="K113" t="n">
        <v>0</v>
      </c>
      <c r="L113" t="n">
        <v>0</v>
      </c>
      <c r="M113" t="n">
        <v>0</v>
      </c>
      <c r="N113" t="n">
        <v>0</v>
      </c>
      <c r="O113" t="n">
        <v>4</v>
      </c>
      <c r="P113" t="n">
        <v>0</v>
      </c>
      <c r="Q113" t="n">
        <v>4</v>
      </c>
      <c r="R113" s="2" t="inlineStr">
        <is>
          <t>Granticka
Mörk kolflarnlav
Vedskivlav
Vitgrynig nållav</t>
        </is>
      </c>
      <c r="S113">
        <f>HYPERLINK("https://klasma.github.io/Logging_2303/artfynd/A 12268-2024 artfynd.xlsx", "A 12268-2024")</f>
        <v/>
      </c>
      <c r="T113">
        <f>HYPERLINK("https://klasma.github.io/Logging_2303/kartor/A 12268-2024 karta.png", "A 12268-2024")</f>
        <v/>
      </c>
      <c r="V113">
        <f>HYPERLINK("https://klasma.github.io/Logging_2303/klagomål/A 12268-2024 FSC-klagomål.docx", "A 12268-2024")</f>
        <v/>
      </c>
      <c r="W113">
        <f>HYPERLINK("https://klasma.github.io/Logging_2303/klagomålsmail/A 12268-2024 FSC-klagomål mail.docx", "A 12268-2024")</f>
        <v/>
      </c>
      <c r="X113">
        <f>HYPERLINK("https://klasma.github.io/Logging_2303/tillsyn/A 12268-2024 tillsynsbegäran.docx", "A 12268-2024")</f>
        <v/>
      </c>
      <c r="Y113">
        <f>HYPERLINK("https://klasma.github.io/Logging_2303/tillsynsmail/A 12268-2024 tillsynsbegäran mail.docx", "A 12268-2024")</f>
        <v/>
      </c>
    </row>
    <row r="114" ht="15" customHeight="1">
      <c r="A114" t="inlineStr">
        <is>
          <t>A 23931-2024</t>
        </is>
      </c>
      <c r="B114" s="1" t="n">
        <v>45455.96195601852</v>
      </c>
      <c r="C114" s="1" t="n">
        <v>45932</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60670-2022</t>
        </is>
      </c>
      <c r="B115" s="1" t="n">
        <v>44911</v>
      </c>
      <c r="C115" s="1" t="n">
        <v>45932</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32903-2024</t>
        </is>
      </c>
      <c r="B116" s="1" t="n">
        <v>45516.94723379629</v>
      </c>
      <c r="C116" s="1" t="n">
        <v>45932</v>
      </c>
      <c r="D116" t="inlineStr">
        <is>
          <t>JÄMTLANDS LÄN</t>
        </is>
      </c>
      <c r="E116" t="inlineStr">
        <is>
          <t>RAGUNDA</t>
        </is>
      </c>
      <c r="F116" t="inlineStr">
        <is>
          <t>SCA</t>
        </is>
      </c>
      <c r="G116" t="n">
        <v>4.7</v>
      </c>
      <c r="H116" t="n">
        <v>0</v>
      </c>
      <c r="I116" t="n">
        <v>2</v>
      </c>
      <c r="J116" t="n">
        <v>1</v>
      </c>
      <c r="K116" t="n">
        <v>1</v>
      </c>
      <c r="L116" t="n">
        <v>0</v>
      </c>
      <c r="M116" t="n">
        <v>0</v>
      </c>
      <c r="N116" t="n">
        <v>0</v>
      </c>
      <c r="O116" t="n">
        <v>2</v>
      </c>
      <c r="P116" t="n">
        <v>1</v>
      </c>
      <c r="Q116" t="n">
        <v>4</v>
      </c>
      <c r="R116" s="2" t="inlineStr">
        <is>
          <t>Lappticka
Lunglav
Bollvitmossa
Luddlav</t>
        </is>
      </c>
      <c r="S116">
        <f>HYPERLINK("https://klasma.github.io/Logging_2303/artfynd/A 32903-2024 artfynd.xlsx", "A 32903-2024")</f>
        <v/>
      </c>
      <c r="T116">
        <f>HYPERLINK("https://klasma.github.io/Logging_2303/kartor/A 32903-2024 karta.png", "A 32903-2024")</f>
        <v/>
      </c>
      <c r="V116">
        <f>HYPERLINK("https://klasma.github.io/Logging_2303/klagomål/A 32903-2024 FSC-klagomål.docx", "A 32903-2024")</f>
        <v/>
      </c>
      <c r="W116">
        <f>HYPERLINK("https://klasma.github.io/Logging_2303/klagomålsmail/A 32903-2024 FSC-klagomål mail.docx", "A 32903-2024")</f>
        <v/>
      </c>
      <c r="X116">
        <f>HYPERLINK("https://klasma.github.io/Logging_2303/tillsyn/A 32903-2024 tillsynsbegäran.docx", "A 32903-2024")</f>
        <v/>
      </c>
      <c r="Y116">
        <f>HYPERLINK("https://klasma.github.io/Logging_2303/tillsynsmail/A 32903-2024 tillsynsbegäran mail.docx", "A 32903-2024")</f>
        <v/>
      </c>
    </row>
    <row r="117" ht="15" customHeight="1">
      <c r="A117" t="inlineStr">
        <is>
          <t>A 26082-2025</t>
        </is>
      </c>
      <c r="B117" s="1" t="n">
        <v>45805.34415509259</v>
      </c>
      <c r="C117" s="1" t="n">
        <v>45932</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51686-2020</t>
        </is>
      </c>
      <c r="B118" s="1" t="n">
        <v>44113</v>
      </c>
      <c r="C118" s="1" t="n">
        <v>45932</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32067-2024</t>
        </is>
      </c>
      <c r="B119" s="1" t="n">
        <v>45510</v>
      </c>
      <c r="C119" s="1" t="n">
        <v>45932</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45932</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30465-2024</t>
        </is>
      </c>
      <c r="B121" s="1" t="n">
        <v>45491</v>
      </c>
      <c r="C121" s="1" t="n">
        <v>45932</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40653-2025</t>
        </is>
      </c>
      <c r="B122" s="1" t="n">
        <v>45896.63618055556</v>
      </c>
      <c r="C122" s="1" t="n">
        <v>45932</v>
      </c>
      <c r="D122" t="inlineStr">
        <is>
          <t>JÄMTLANDS LÄN</t>
        </is>
      </c>
      <c r="E122" t="inlineStr">
        <is>
          <t>RAGUNDA</t>
        </is>
      </c>
      <c r="F122" t="inlineStr">
        <is>
          <t>SCA</t>
        </is>
      </c>
      <c r="G122" t="n">
        <v>3.9</v>
      </c>
      <c r="H122" t="n">
        <v>0</v>
      </c>
      <c r="I122" t="n">
        <v>1</v>
      </c>
      <c r="J122" t="n">
        <v>3</v>
      </c>
      <c r="K122" t="n">
        <v>0</v>
      </c>
      <c r="L122" t="n">
        <v>0</v>
      </c>
      <c r="M122" t="n">
        <v>0</v>
      </c>
      <c r="N122" t="n">
        <v>0</v>
      </c>
      <c r="O122" t="n">
        <v>3</v>
      </c>
      <c r="P122" t="n">
        <v>0</v>
      </c>
      <c r="Q122" t="n">
        <v>4</v>
      </c>
      <c r="R122" s="2" t="inlineStr">
        <is>
          <t>Blå taggsvamp
Garnlav
Mörk kolflarnlav
Dropptaggsvamp</t>
        </is>
      </c>
      <c r="S122">
        <f>HYPERLINK("https://klasma.github.io/Logging_2303/artfynd/A 40653-2025 artfynd.xlsx", "A 40653-2025")</f>
        <v/>
      </c>
      <c r="T122">
        <f>HYPERLINK("https://klasma.github.io/Logging_2303/kartor/A 40653-2025 karta.png", "A 40653-2025")</f>
        <v/>
      </c>
      <c r="V122">
        <f>HYPERLINK("https://klasma.github.io/Logging_2303/klagomål/A 40653-2025 FSC-klagomål.docx", "A 40653-2025")</f>
        <v/>
      </c>
      <c r="W122">
        <f>HYPERLINK("https://klasma.github.io/Logging_2303/klagomålsmail/A 40653-2025 FSC-klagomål mail.docx", "A 40653-2025")</f>
        <v/>
      </c>
      <c r="X122">
        <f>HYPERLINK("https://klasma.github.io/Logging_2303/tillsyn/A 40653-2025 tillsynsbegäran.docx", "A 40653-2025")</f>
        <v/>
      </c>
      <c r="Y122">
        <f>HYPERLINK("https://klasma.github.io/Logging_2303/tillsynsmail/A 40653-2025 tillsynsbegäran mail.docx", "A 40653-2025")</f>
        <v/>
      </c>
    </row>
    <row r="123" ht="15" customHeight="1">
      <c r="A123" t="inlineStr">
        <is>
          <t>A 22467-2025</t>
        </is>
      </c>
      <c r="B123" s="1" t="n">
        <v>45786.61534722222</v>
      </c>
      <c r="C123" s="1" t="n">
        <v>45932</v>
      </c>
      <c r="D123" t="inlineStr">
        <is>
          <t>JÄMTLANDS LÄN</t>
        </is>
      </c>
      <c r="E123" t="inlineStr">
        <is>
          <t>RAGUNDA</t>
        </is>
      </c>
      <c r="F123" t="inlineStr">
        <is>
          <t>SCA</t>
        </is>
      </c>
      <c r="G123" t="n">
        <v>1.7</v>
      </c>
      <c r="H123" t="n">
        <v>1</v>
      </c>
      <c r="I123" t="n">
        <v>1</v>
      </c>
      <c r="J123" t="n">
        <v>3</v>
      </c>
      <c r="K123" t="n">
        <v>0</v>
      </c>
      <c r="L123" t="n">
        <v>0</v>
      </c>
      <c r="M123" t="n">
        <v>0</v>
      </c>
      <c r="N123" t="n">
        <v>0</v>
      </c>
      <c r="O123" t="n">
        <v>3</v>
      </c>
      <c r="P123" t="n">
        <v>0</v>
      </c>
      <c r="Q123" t="n">
        <v>4</v>
      </c>
      <c r="R123" s="2" t="inlineStr">
        <is>
          <t>Garnlav
Järpe
Lunglav
Bårdlav</t>
        </is>
      </c>
      <c r="S123">
        <f>HYPERLINK("https://klasma.github.io/Logging_2303/artfynd/A 22467-2025 artfynd.xlsx", "A 22467-2025")</f>
        <v/>
      </c>
      <c r="T123">
        <f>HYPERLINK("https://klasma.github.io/Logging_2303/kartor/A 22467-2025 karta.png", "A 22467-2025")</f>
        <v/>
      </c>
      <c r="V123">
        <f>HYPERLINK("https://klasma.github.io/Logging_2303/klagomål/A 22467-2025 FSC-klagomål.docx", "A 22467-2025")</f>
        <v/>
      </c>
      <c r="W123">
        <f>HYPERLINK("https://klasma.github.io/Logging_2303/klagomålsmail/A 22467-2025 FSC-klagomål mail.docx", "A 22467-2025")</f>
        <v/>
      </c>
      <c r="X123">
        <f>HYPERLINK("https://klasma.github.io/Logging_2303/tillsyn/A 22467-2025 tillsynsbegäran.docx", "A 22467-2025")</f>
        <v/>
      </c>
      <c r="Y123">
        <f>HYPERLINK("https://klasma.github.io/Logging_2303/tillsynsmail/A 22467-2025 tillsynsbegäran mail.docx", "A 22467-2025")</f>
        <v/>
      </c>
      <c r="Z123">
        <f>HYPERLINK("https://klasma.github.io/Logging_2303/fåglar/A 22467-2025 prioriterade fågelarter.docx", "A 22467-2025")</f>
        <v/>
      </c>
    </row>
    <row r="124" ht="15" customHeight="1">
      <c r="A124" t="inlineStr">
        <is>
          <t>A 23682-2021</t>
        </is>
      </c>
      <c r="B124" s="1" t="n">
        <v>44334</v>
      </c>
      <c r="C124" s="1" t="n">
        <v>45932</v>
      </c>
      <c r="D124" t="inlineStr">
        <is>
          <t>JÄMTLANDS LÄN</t>
        </is>
      </c>
      <c r="E124" t="inlineStr">
        <is>
          <t>RAGUNDA</t>
        </is>
      </c>
      <c r="G124" t="n">
        <v>9.199999999999999</v>
      </c>
      <c r="H124" t="n">
        <v>1</v>
      </c>
      <c r="I124" t="n">
        <v>0</v>
      </c>
      <c r="J124" t="n">
        <v>3</v>
      </c>
      <c r="K124" t="n">
        <v>1</v>
      </c>
      <c r="L124" t="n">
        <v>0</v>
      </c>
      <c r="M124" t="n">
        <v>0</v>
      </c>
      <c r="N124" t="n">
        <v>0</v>
      </c>
      <c r="O124" t="n">
        <v>4</v>
      </c>
      <c r="P124" t="n">
        <v>1</v>
      </c>
      <c r="Q124" t="n">
        <v>4</v>
      </c>
      <c r="R124" s="2" t="inlineStr">
        <is>
          <t>Knärot
Garnlav
Lunglav
Rosenticka</t>
        </is>
      </c>
      <c r="S124">
        <f>HYPERLINK("https://klasma.github.io/Logging_2303/artfynd/A 23682-2021 artfynd.xlsx", "A 23682-2021")</f>
        <v/>
      </c>
      <c r="T124">
        <f>HYPERLINK("https://klasma.github.io/Logging_2303/kartor/A 23682-2021 karta.png", "A 23682-2021")</f>
        <v/>
      </c>
      <c r="U124">
        <f>HYPERLINK("https://klasma.github.io/Logging_2303/knärot/A 23682-2021 karta knärot.png", "A 23682-2021")</f>
        <v/>
      </c>
      <c r="V124">
        <f>HYPERLINK("https://klasma.github.io/Logging_2303/klagomål/A 23682-2021 FSC-klagomål.docx", "A 23682-2021")</f>
        <v/>
      </c>
      <c r="W124">
        <f>HYPERLINK("https://klasma.github.io/Logging_2303/klagomålsmail/A 23682-2021 FSC-klagomål mail.docx", "A 23682-2021")</f>
        <v/>
      </c>
      <c r="X124">
        <f>HYPERLINK("https://klasma.github.io/Logging_2303/tillsyn/A 23682-2021 tillsynsbegäran.docx", "A 23682-2021")</f>
        <v/>
      </c>
      <c r="Y124">
        <f>HYPERLINK("https://klasma.github.io/Logging_2303/tillsynsmail/A 23682-2021 tillsynsbegäran mail.docx", "A 23682-2021")</f>
        <v/>
      </c>
    </row>
    <row r="125" ht="15" customHeight="1">
      <c r="A125" t="inlineStr">
        <is>
          <t>A 23676-2021</t>
        </is>
      </c>
      <c r="B125" s="1" t="n">
        <v>44334.62565972222</v>
      </c>
      <c r="C125" s="1" t="n">
        <v>45932</v>
      </c>
      <c r="D125" t="inlineStr">
        <is>
          <t>JÄMTLANDS LÄN</t>
        </is>
      </c>
      <c r="E125" t="inlineStr">
        <is>
          <t>RAGUNDA</t>
        </is>
      </c>
      <c r="G125" t="n">
        <v>8.5</v>
      </c>
      <c r="H125" t="n">
        <v>1</v>
      </c>
      <c r="I125" t="n">
        <v>1</v>
      </c>
      <c r="J125" t="n">
        <v>3</v>
      </c>
      <c r="K125" t="n">
        <v>0</v>
      </c>
      <c r="L125" t="n">
        <v>0</v>
      </c>
      <c r="M125" t="n">
        <v>0</v>
      </c>
      <c r="N125" t="n">
        <v>0</v>
      </c>
      <c r="O125" t="n">
        <v>3</v>
      </c>
      <c r="P125" t="n">
        <v>0</v>
      </c>
      <c r="Q125" t="n">
        <v>4</v>
      </c>
      <c r="R125" s="2" t="inlineStr">
        <is>
          <t>Lunglav
Rosenticka
Tretåig hackspett
Strutbräken</t>
        </is>
      </c>
      <c r="S125">
        <f>HYPERLINK("https://klasma.github.io/Logging_2303/artfynd/A 23676-2021 artfynd.xlsx", "A 23676-2021")</f>
        <v/>
      </c>
      <c r="T125">
        <f>HYPERLINK("https://klasma.github.io/Logging_2303/kartor/A 23676-2021 karta.png", "A 23676-2021")</f>
        <v/>
      </c>
      <c r="V125">
        <f>HYPERLINK("https://klasma.github.io/Logging_2303/klagomål/A 23676-2021 FSC-klagomål.docx", "A 23676-2021")</f>
        <v/>
      </c>
      <c r="W125">
        <f>HYPERLINK("https://klasma.github.io/Logging_2303/klagomålsmail/A 23676-2021 FSC-klagomål mail.docx", "A 23676-2021")</f>
        <v/>
      </c>
      <c r="X125">
        <f>HYPERLINK("https://klasma.github.io/Logging_2303/tillsyn/A 23676-2021 tillsynsbegäran.docx", "A 23676-2021")</f>
        <v/>
      </c>
      <c r="Y125">
        <f>HYPERLINK("https://klasma.github.io/Logging_2303/tillsynsmail/A 23676-2021 tillsynsbegäran mail.docx", "A 23676-2021")</f>
        <v/>
      </c>
      <c r="Z125">
        <f>HYPERLINK("https://klasma.github.io/Logging_2303/fåglar/A 23676-2021 prioriterade fågelarter.docx", "A 23676-2021")</f>
        <v/>
      </c>
    </row>
    <row r="126" ht="15" customHeight="1">
      <c r="A126" t="inlineStr">
        <is>
          <t>A 17092-2022</t>
        </is>
      </c>
      <c r="B126" s="1" t="n">
        <v>44677</v>
      </c>
      <c r="C126" s="1" t="n">
        <v>45932</v>
      </c>
      <c r="D126" t="inlineStr">
        <is>
          <t>JÄMTLANDS LÄN</t>
        </is>
      </c>
      <c r="E126" t="inlineStr">
        <is>
          <t>RAGUNDA</t>
        </is>
      </c>
      <c r="G126" t="n">
        <v>21.2</v>
      </c>
      <c r="H126" t="n">
        <v>1</v>
      </c>
      <c r="I126" t="n">
        <v>0</v>
      </c>
      <c r="J126" t="n">
        <v>3</v>
      </c>
      <c r="K126" t="n">
        <v>1</v>
      </c>
      <c r="L126" t="n">
        <v>0</v>
      </c>
      <c r="M126" t="n">
        <v>0</v>
      </c>
      <c r="N126" t="n">
        <v>0</v>
      </c>
      <c r="O126" t="n">
        <v>4</v>
      </c>
      <c r="P126" t="n">
        <v>1</v>
      </c>
      <c r="Q126" t="n">
        <v>4</v>
      </c>
      <c r="R126" s="2" t="inlineStr">
        <is>
          <t>Knärot
Garnlav
Lunglav
Ullticka</t>
        </is>
      </c>
      <c r="S126">
        <f>HYPERLINK("https://klasma.github.io/Logging_2303/artfynd/A 17092-2022 artfynd.xlsx", "A 17092-2022")</f>
        <v/>
      </c>
      <c r="T126">
        <f>HYPERLINK("https://klasma.github.io/Logging_2303/kartor/A 17092-2022 karta.png", "A 17092-2022")</f>
        <v/>
      </c>
      <c r="U126">
        <f>HYPERLINK("https://klasma.github.io/Logging_2303/knärot/A 17092-2022 karta knärot.png", "A 17092-2022")</f>
        <v/>
      </c>
      <c r="V126">
        <f>HYPERLINK("https://klasma.github.io/Logging_2303/klagomål/A 17092-2022 FSC-klagomål.docx", "A 17092-2022")</f>
        <v/>
      </c>
      <c r="W126">
        <f>HYPERLINK("https://klasma.github.io/Logging_2303/klagomålsmail/A 17092-2022 FSC-klagomål mail.docx", "A 17092-2022")</f>
        <v/>
      </c>
      <c r="X126">
        <f>HYPERLINK("https://klasma.github.io/Logging_2303/tillsyn/A 17092-2022 tillsynsbegäran.docx", "A 17092-2022")</f>
        <v/>
      </c>
      <c r="Y126">
        <f>HYPERLINK("https://klasma.github.io/Logging_2303/tillsynsmail/A 17092-2022 tillsynsbegäran mail.docx", "A 17092-2022")</f>
        <v/>
      </c>
    </row>
    <row r="127" ht="15" customHeight="1">
      <c r="A127" t="inlineStr">
        <is>
          <t>A 48052-2022</t>
        </is>
      </c>
      <c r="B127" s="1" t="n">
        <v>44855</v>
      </c>
      <c r="C127" s="1" t="n">
        <v>45932</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45932</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53022-2022</t>
        </is>
      </c>
      <c r="B129" s="1" t="n">
        <v>44875</v>
      </c>
      <c r="C129" s="1" t="n">
        <v>45932</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21248-2025</t>
        </is>
      </c>
      <c r="B130" s="1" t="n">
        <v>45779.57392361111</v>
      </c>
      <c r="C130" s="1" t="n">
        <v>45932</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58368-2024</t>
        </is>
      </c>
      <c r="B131" s="1" t="n">
        <v>45632.69822916666</v>
      </c>
      <c r="C131" s="1" t="n">
        <v>45932</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30470-2024</t>
        </is>
      </c>
      <c r="B132" s="1" t="n">
        <v>45491.94715277778</v>
      </c>
      <c r="C132" s="1" t="n">
        <v>45932</v>
      </c>
      <c r="D132" t="inlineStr">
        <is>
          <t>JÄMTLANDS LÄN</t>
        </is>
      </c>
      <c r="E132" t="inlineStr">
        <is>
          <t>RAGUNDA</t>
        </is>
      </c>
      <c r="F132" t="inlineStr">
        <is>
          <t>SCA</t>
        </is>
      </c>
      <c r="G132" t="n">
        <v>1.4</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HYPERLINK("https://klasma.github.io/Logging_2303/artfynd/A 30470-2024 artfynd.xlsx", "A 30470-2024")</f>
        <v/>
      </c>
      <c r="T132">
        <f>HYPERLINK("https://klasma.github.io/Logging_2303/kartor/A 30470-2024 karta.png", "A 30470-2024")</f>
        <v/>
      </c>
      <c r="U132">
        <f>HYPERLINK("https://klasma.github.io/Logging_2303/knärot/A 30470-2024 karta knärot.png", "A 30470-2024")</f>
        <v/>
      </c>
      <c r="V132">
        <f>HYPERLINK("https://klasma.github.io/Logging_2303/klagomål/A 30470-2024 FSC-klagomål.docx", "A 30470-2024")</f>
        <v/>
      </c>
      <c r="W132">
        <f>HYPERLINK("https://klasma.github.io/Logging_2303/klagomålsmail/A 30470-2024 FSC-klagomål mail.docx", "A 30470-2024")</f>
        <v/>
      </c>
      <c r="X132">
        <f>HYPERLINK("https://klasma.github.io/Logging_2303/tillsyn/A 30470-2024 tillsynsbegäran.docx", "A 30470-2024")</f>
        <v/>
      </c>
      <c r="Y132">
        <f>HYPERLINK("https://klasma.github.io/Logging_2303/tillsynsmail/A 30470-2024 tillsynsbegäran mail.docx", "A 30470-2024")</f>
        <v/>
      </c>
      <c r="Z132">
        <f>HYPERLINK("https://klasma.github.io/Logging_2303/fåglar/A 30470-2024 prioriterade fågelarter.docx", "A 30470-2024")</f>
        <v/>
      </c>
    </row>
    <row r="133" ht="15" customHeight="1">
      <c r="A133" t="inlineStr">
        <is>
          <t>A 48054-2022</t>
        </is>
      </c>
      <c r="B133" s="1" t="n">
        <v>44855</v>
      </c>
      <c r="C133" s="1" t="n">
        <v>45932</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18616-2024</t>
        </is>
      </c>
      <c r="B134" s="1" t="n">
        <v>45425.96285879629</v>
      </c>
      <c r="C134" s="1" t="n">
        <v>45932</v>
      </c>
      <c r="D134" t="inlineStr">
        <is>
          <t>JÄMTLANDS LÄN</t>
        </is>
      </c>
      <c r="E134" t="inlineStr">
        <is>
          <t>RAGUNDA</t>
        </is>
      </c>
      <c r="F134" t="inlineStr">
        <is>
          <t>SCA</t>
        </is>
      </c>
      <c r="G134" t="n">
        <v>3.4</v>
      </c>
      <c r="H134" t="n">
        <v>0</v>
      </c>
      <c r="I134" t="n">
        <v>0</v>
      </c>
      <c r="J134" t="n">
        <v>3</v>
      </c>
      <c r="K134" t="n">
        <v>0</v>
      </c>
      <c r="L134" t="n">
        <v>0</v>
      </c>
      <c r="M134" t="n">
        <v>0</v>
      </c>
      <c r="N134" t="n">
        <v>0</v>
      </c>
      <c r="O134" t="n">
        <v>3</v>
      </c>
      <c r="P134" t="n">
        <v>0</v>
      </c>
      <c r="Q134" t="n">
        <v>3</v>
      </c>
      <c r="R134" s="2" t="inlineStr">
        <is>
          <t>Granticka
Orange taggsvamp
Ullticka</t>
        </is>
      </c>
      <c r="S134">
        <f>HYPERLINK("https://klasma.github.io/Logging_2303/artfynd/A 18616-2024 artfynd.xlsx", "A 18616-2024")</f>
        <v/>
      </c>
      <c r="T134">
        <f>HYPERLINK("https://klasma.github.io/Logging_2303/kartor/A 18616-2024 karta.png", "A 18616-2024")</f>
        <v/>
      </c>
      <c r="V134">
        <f>HYPERLINK("https://klasma.github.io/Logging_2303/klagomål/A 18616-2024 FSC-klagomål.docx", "A 18616-2024")</f>
        <v/>
      </c>
      <c r="W134">
        <f>HYPERLINK("https://klasma.github.io/Logging_2303/klagomålsmail/A 18616-2024 FSC-klagomål mail.docx", "A 18616-2024")</f>
        <v/>
      </c>
      <c r="X134">
        <f>HYPERLINK("https://klasma.github.io/Logging_2303/tillsyn/A 18616-2024 tillsynsbegäran.docx", "A 18616-2024")</f>
        <v/>
      </c>
      <c r="Y134">
        <f>HYPERLINK("https://klasma.github.io/Logging_2303/tillsynsmail/A 18616-2024 tillsynsbegäran mail.docx", "A 18616-2024")</f>
        <v/>
      </c>
    </row>
    <row r="135" ht="15" customHeight="1">
      <c r="A135" t="inlineStr">
        <is>
          <t>A 58737-2022</t>
        </is>
      </c>
      <c r="B135" s="1" t="n">
        <v>44902</v>
      </c>
      <c r="C135" s="1" t="n">
        <v>45932</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20776-2024</t>
        </is>
      </c>
      <c r="B136" s="1" t="n">
        <v>45436.94686342592</v>
      </c>
      <c r="C136" s="1" t="n">
        <v>45932</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25769-2025</t>
        </is>
      </c>
      <c r="B137" s="1" t="n">
        <v>45804.34474537037</v>
      </c>
      <c r="C137" s="1" t="n">
        <v>45932</v>
      </c>
      <c r="D137" t="inlineStr">
        <is>
          <t>JÄMTLANDS LÄN</t>
        </is>
      </c>
      <c r="E137" t="inlineStr">
        <is>
          <t>RAGUNDA</t>
        </is>
      </c>
      <c r="F137" t="inlineStr">
        <is>
          <t>SCA</t>
        </is>
      </c>
      <c r="G137" t="n">
        <v>5.3</v>
      </c>
      <c r="H137" t="n">
        <v>2</v>
      </c>
      <c r="I137" t="n">
        <v>0</v>
      </c>
      <c r="J137" t="n">
        <v>3</v>
      </c>
      <c r="K137" t="n">
        <v>0</v>
      </c>
      <c r="L137" t="n">
        <v>0</v>
      </c>
      <c r="M137" t="n">
        <v>0</v>
      </c>
      <c r="N137" t="n">
        <v>0</v>
      </c>
      <c r="O137" t="n">
        <v>3</v>
      </c>
      <c r="P137" t="n">
        <v>0</v>
      </c>
      <c r="Q137" t="n">
        <v>3</v>
      </c>
      <c r="R137" s="2" t="inlineStr">
        <is>
          <t>Garnlav
Rödvingetrast
Tretåig hackspett</t>
        </is>
      </c>
      <c r="S137">
        <f>HYPERLINK("https://klasma.github.io/Logging_2303/artfynd/A 25769-2025 artfynd.xlsx", "A 25769-2025")</f>
        <v/>
      </c>
      <c r="T137">
        <f>HYPERLINK("https://klasma.github.io/Logging_2303/kartor/A 25769-2025 karta.png", "A 25769-2025")</f>
        <v/>
      </c>
      <c r="V137">
        <f>HYPERLINK("https://klasma.github.io/Logging_2303/klagomål/A 25769-2025 FSC-klagomål.docx", "A 25769-2025")</f>
        <v/>
      </c>
      <c r="W137">
        <f>HYPERLINK("https://klasma.github.io/Logging_2303/klagomålsmail/A 25769-2025 FSC-klagomål mail.docx", "A 25769-2025")</f>
        <v/>
      </c>
      <c r="X137">
        <f>HYPERLINK("https://klasma.github.io/Logging_2303/tillsyn/A 25769-2025 tillsynsbegäran.docx", "A 25769-2025")</f>
        <v/>
      </c>
      <c r="Y137">
        <f>HYPERLINK("https://klasma.github.io/Logging_2303/tillsynsmail/A 25769-2025 tillsynsbegäran mail.docx", "A 25769-2025")</f>
        <v/>
      </c>
      <c r="Z137">
        <f>HYPERLINK("https://klasma.github.io/Logging_2303/fåglar/A 25769-2025 prioriterade fågelarter.docx", "A 25769-2025")</f>
        <v/>
      </c>
    </row>
    <row r="138" ht="15" customHeight="1">
      <c r="A138" t="inlineStr">
        <is>
          <t>A 36504-2023</t>
        </is>
      </c>
      <c r="B138" s="1" t="n">
        <v>45152</v>
      </c>
      <c r="C138" s="1" t="n">
        <v>45932</v>
      </c>
      <c r="D138" t="inlineStr">
        <is>
          <t>JÄMTLANDS LÄN</t>
        </is>
      </c>
      <c r="E138" t="inlineStr">
        <is>
          <t>RAGUNDA</t>
        </is>
      </c>
      <c r="F138" t="inlineStr">
        <is>
          <t>SCA</t>
        </is>
      </c>
      <c r="G138" t="n">
        <v>2</v>
      </c>
      <c r="H138" t="n">
        <v>0</v>
      </c>
      <c r="I138" t="n">
        <v>0</v>
      </c>
      <c r="J138" t="n">
        <v>3</v>
      </c>
      <c r="K138" t="n">
        <v>0</v>
      </c>
      <c r="L138" t="n">
        <v>0</v>
      </c>
      <c r="M138" t="n">
        <v>0</v>
      </c>
      <c r="N138" t="n">
        <v>0</v>
      </c>
      <c r="O138" t="n">
        <v>3</v>
      </c>
      <c r="P138" t="n">
        <v>0</v>
      </c>
      <c r="Q138" t="n">
        <v>3</v>
      </c>
      <c r="R138" s="2" t="inlineStr">
        <is>
          <t>Gammelgransskål
Garnlav
Granticka</t>
        </is>
      </c>
      <c r="S138">
        <f>HYPERLINK("https://klasma.github.io/Logging_2303/artfynd/A 36504-2023 artfynd.xlsx", "A 36504-2023")</f>
        <v/>
      </c>
      <c r="T138">
        <f>HYPERLINK("https://klasma.github.io/Logging_2303/kartor/A 36504-2023 karta.png", "A 36504-2023")</f>
        <v/>
      </c>
      <c r="V138">
        <f>HYPERLINK("https://klasma.github.io/Logging_2303/klagomål/A 36504-2023 FSC-klagomål.docx", "A 36504-2023")</f>
        <v/>
      </c>
      <c r="W138">
        <f>HYPERLINK("https://klasma.github.io/Logging_2303/klagomålsmail/A 36504-2023 FSC-klagomål mail.docx", "A 36504-2023")</f>
        <v/>
      </c>
      <c r="X138">
        <f>HYPERLINK("https://klasma.github.io/Logging_2303/tillsyn/A 36504-2023 tillsynsbegäran.docx", "A 36504-2023")</f>
        <v/>
      </c>
      <c r="Y138">
        <f>HYPERLINK("https://klasma.github.io/Logging_2303/tillsynsmail/A 36504-2023 tillsynsbegäran mail.docx", "A 36504-2023")</f>
        <v/>
      </c>
    </row>
    <row r="139" ht="15" customHeight="1">
      <c r="A139" t="inlineStr">
        <is>
          <t>A 28178-2023</t>
        </is>
      </c>
      <c r="B139" s="1" t="n">
        <v>45093</v>
      </c>
      <c r="C139" s="1" t="n">
        <v>45932</v>
      </c>
      <c r="D139" t="inlineStr">
        <is>
          <t>JÄMTLANDS LÄN</t>
        </is>
      </c>
      <c r="E139" t="inlineStr">
        <is>
          <t>RAGUNDA</t>
        </is>
      </c>
      <c r="G139" t="n">
        <v>5.6</v>
      </c>
      <c r="H139" t="n">
        <v>0</v>
      </c>
      <c r="I139" t="n">
        <v>0</v>
      </c>
      <c r="J139" t="n">
        <v>3</v>
      </c>
      <c r="K139" t="n">
        <v>0</v>
      </c>
      <c r="L139" t="n">
        <v>0</v>
      </c>
      <c r="M139" t="n">
        <v>0</v>
      </c>
      <c r="N139" t="n">
        <v>0</v>
      </c>
      <c r="O139" t="n">
        <v>3</v>
      </c>
      <c r="P139" t="n">
        <v>0</v>
      </c>
      <c r="Q139" t="n">
        <v>3</v>
      </c>
      <c r="R139" s="2" t="inlineStr">
        <is>
          <t>Garnlav
Gultoppig fingersvamp
Violettgrå tagellav</t>
        </is>
      </c>
      <c r="S139">
        <f>HYPERLINK("https://klasma.github.io/Logging_2303/artfynd/A 28178-2023 artfynd.xlsx", "A 28178-2023")</f>
        <v/>
      </c>
      <c r="T139">
        <f>HYPERLINK("https://klasma.github.io/Logging_2303/kartor/A 28178-2023 karta.png", "A 28178-2023")</f>
        <v/>
      </c>
      <c r="V139">
        <f>HYPERLINK("https://klasma.github.io/Logging_2303/klagomål/A 28178-2023 FSC-klagomål.docx", "A 28178-2023")</f>
        <v/>
      </c>
      <c r="W139">
        <f>HYPERLINK("https://klasma.github.io/Logging_2303/klagomålsmail/A 28178-2023 FSC-klagomål mail.docx", "A 28178-2023")</f>
        <v/>
      </c>
      <c r="X139">
        <f>HYPERLINK("https://klasma.github.io/Logging_2303/tillsyn/A 28178-2023 tillsynsbegäran.docx", "A 28178-2023")</f>
        <v/>
      </c>
      <c r="Y139">
        <f>HYPERLINK("https://klasma.github.io/Logging_2303/tillsynsmail/A 28178-2023 tillsynsbegäran mail.docx", "A 28178-2023")</f>
        <v/>
      </c>
    </row>
    <row r="140" ht="15" customHeight="1">
      <c r="A140" t="inlineStr">
        <is>
          <t>A 49047-2023</t>
        </is>
      </c>
      <c r="B140" s="1" t="n">
        <v>45209</v>
      </c>
      <c r="C140" s="1" t="n">
        <v>45932</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16305-2025</t>
        </is>
      </c>
      <c r="B141" s="1" t="n">
        <v>45751.34650462963</v>
      </c>
      <c r="C141" s="1" t="n">
        <v>45932</v>
      </c>
      <c r="D141" t="inlineStr">
        <is>
          <t>JÄMTLANDS LÄN</t>
        </is>
      </c>
      <c r="E141" t="inlineStr">
        <is>
          <t>RAGUNDA</t>
        </is>
      </c>
      <c r="F141" t="inlineStr">
        <is>
          <t>SCA</t>
        </is>
      </c>
      <c r="G141" t="n">
        <v>2.5</v>
      </c>
      <c r="H141" t="n">
        <v>0</v>
      </c>
      <c r="I141" t="n">
        <v>2</v>
      </c>
      <c r="J141" t="n">
        <v>1</v>
      </c>
      <c r="K141" t="n">
        <v>0</v>
      </c>
      <c r="L141" t="n">
        <v>0</v>
      </c>
      <c r="M141" t="n">
        <v>0</v>
      </c>
      <c r="N141" t="n">
        <v>0</v>
      </c>
      <c r="O141" t="n">
        <v>1</v>
      </c>
      <c r="P141" t="n">
        <v>0</v>
      </c>
      <c r="Q141" t="n">
        <v>3</v>
      </c>
      <c r="R141" s="2" t="inlineStr">
        <is>
          <t>Lunglav
Bollvitmossa
Källmossa</t>
        </is>
      </c>
      <c r="S141">
        <f>HYPERLINK("https://klasma.github.io/Logging_2303/artfynd/A 16305-2025 artfynd.xlsx", "A 16305-2025")</f>
        <v/>
      </c>
      <c r="T141">
        <f>HYPERLINK("https://klasma.github.io/Logging_2303/kartor/A 16305-2025 karta.png", "A 16305-2025")</f>
        <v/>
      </c>
      <c r="V141">
        <f>HYPERLINK("https://klasma.github.io/Logging_2303/klagomål/A 16305-2025 FSC-klagomål.docx", "A 16305-2025")</f>
        <v/>
      </c>
      <c r="W141">
        <f>HYPERLINK("https://klasma.github.io/Logging_2303/klagomålsmail/A 16305-2025 FSC-klagomål mail.docx", "A 16305-2025")</f>
        <v/>
      </c>
      <c r="X141">
        <f>HYPERLINK("https://klasma.github.io/Logging_2303/tillsyn/A 16305-2025 tillsynsbegäran.docx", "A 16305-2025")</f>
        <v/>
      </c>
      <c r="Y141">
        <f>HYPERLINK("https://klasma.github.io/Logging_2303/tillsynsmail/A 16305-2025 tillsynsbegäran mail.docx", "A 16305-2025")</f>
        <v/>
      </c>
    </row>
    <row r="142" ht="15" customHeight="1">
      <c r="A142" t="inlineStr">
        <is>
          <t>A 22730-2023</t>
        </is>
      </c>
      <c r="B142" s="1" t="n">
        <v>45071</v>
      </c>
      <c r="C142" s="1" t="n">
        <v>45932</v>
      </c>
      <c r="D142" t="inlineStr">
        <is>
          <t>JÄMTLANDS LÄN</t>
        </is>
      </c>
      <c r="E142" t="inlineStr">
        <is>
          <t>RAGUNDA</t>
        </is>
      </c>
      <c r="G142" t="n">
        <v>3.6</v>
      </c>
      <c r="H142" t="n">
        <v>0</v>
      </c>
      <c r="I142" t="n">
        <v>0</v>
      </c>
      <c r="J142" t="n">
        <v>3</v>
      </c>
      <c r="K142" t="n">
        <v>0</v>
      </c>
      <c r="L142" t="n">
        <v>0</v>
      </c>
      <c r="M142" t="n">
        <v>0</v>
      </c>
      <c r="N142" t="n">
        <v>0</v>
      </c>
      <c r="O142" t="n">
        <v>3</v>
      </c>
      <c r="P142" t="n">
        <v>0</v>
      </c>
      <c r="Q142" t="n">
        <v>3</v>
      </c>
      <c r="R142" s="2" t="inlineStr">
        <is>
          <t>Garnlav
Lunglav
Vitgrynig nållav</t>
        </is>
      </c>
      <c r="S142">
        <f>HYPERLINK("https://klasma.github.io/Logging_2303/artfynd/A 22730-2023 artfynd.xlsx", "A 22730-2023")</f>
        <v/>
      </c>
      <c r="T142">
        <f>HYPERLINK("https://klasma.github.io/Logging_2303/kartor/A 22730-2023 karta.png", "A 22730-2023")</f>
        <v/>
      </c>
      <c r="V142">
        <f>HYPERLINK("https://klasma.github.io/Logging_2303/klagomål/A 22730-2023 FSC-klagomål.docx", "A 22730-2023")</f>
        <v/>
      </c>
      <c r="W142">
        <f>HYPERLINK("https://klasma.github.io/Logging_2303/klagomålsmail/A 22730-2023 FSC-klagomål mail.docx", "A 22730-2023")</f>
        <v/>
      </c>
      <c r="X142">
        <f>HYPERLINK("https://klasma.github.io/Logging_2303/tillsyn/A 22730-2023 tillsynsbegäran.docx", "A 22730-2023")</f>
        <v/>
      </c>
      <c r="Y142">
        <f>HYPERLINK("https://klasma.github.io/Logging_2303/tillsynsmail/A 22730-2023 tillsynsbegäran mail.docx", "A 22730-2023")</f>
        <v/>
      </c>
    </row>
    <row r="143" ht="15" customHeight="1">
      <c r="A143" t="inlineStr">
        <is>
          <t>A 22571-2025</t>
        </is>
      </c>
      <c r="B143" s="1" t="n">
        <v>45789.36503472222</v>
      </c>
      <c r="C143" s="1" t="n">
        <v>45932</v>
      </c>
      <c r="D143" t="inlineStr">
        <is>
          <t>JÄMTLANDS LÄN</t>
        </is>
      </c>
      <c r="E143" t="inlineStr">
        <is>
          <t>RAGUNDA</t>
        </is>
      </c>
      <c r="F143" t="inlineStr">
        <is>
          <t>SCA</t>
        </is>
      </c>
      <c r="G143" t="n">
        <v>18.2</v>
      </c>
      <c r="H143" t="n">
        <v>2</v>
      </c>
      <c r="I143" t="n">
        <v>0</v>
      </c>
      <c r="J143" t="n">
        <v>2</v>
      </c>
      <c r="K143" t="n">
        <v>0</v>
      </c>
      <c r="L143" t="n">
        <v>0</v>
      </c>
      <c r="M143" t="n">
        <v>0</v>
      </c>
      <c r="N143" t="n">
        <v>0</v>
      </c>
      <c r="O143" t="n">
        <v>2</v>
      </c>
      <c r="P143" t="n">
        <v>0</v>
      </c>
      <c r="Q143" t="n">
        <v>3</v>
      </c>
      <c r="R143" s="2" t="inlineStr">
        <is>
          <t>Garnlav
Tretåig hackspett
Nattviol</t>
        </is>
      </c>
      <c r="S143">
        <f>HYPERLINK("https://klasma.github.io/Logging_2303/artfynd/A 22571-2025 artfynd.xlsx", "A 22571-2025")</f>
        <v/>
      </c>
      <c r="T143">
        <f>HYPERLINK("https://klasma.github.io/Logging_2303/kartor/A 22571-2025 karta.png", "A 22571-2025")</f>
        <v/>
      </c>
      <c r="V143">
        <f>HYPERLINK("https://klasma.github.io/Logging_2303/klagomål/A 22571-2025 FSC-klagomål.docx", "A 22571-2025")</f>
        <v/>
      </c>
      <c r="W143">
        <f>HYPERLINK("https://klasma.github.io/Logging_2303/klagomålsmail/A 22571-2025 FSC-klagomål mail.docx", "A 22571-2025")</f>
        <v/>
      </c>
      <c r="X143">
        <f>HYPERLINK("https://klasma.github.io/Logging_2303/tillsyn/A 22571-2025 tillsynsbegäran.docx", "A 22571-2025")</f>
        <v/>
      </c>
      <c r="Y143">
        <f>HYPERLINK("https://klasma.github.io/Logging_2303/tillsynsmail/A 22571-2025 tillsynsbegäran mail.docx", "A 22571-2025")</f>
        <v/>
      </c>
      <c r="Z143">
        <f>HYPERLINK("https://klasma.github.io/Logging_2303/fåglar/A 22571-2025 prioriterade fågelarter.docx", "A 22571-2025")</f>
        <v/>
      </c>
    </row>
    <row r="144" ht="15" customHeight="1">
      <c r="A144" t="inlineStr">
        <is>
          <t>A 34585-2025</t>
        </is>
      </c>
      <c r="B144" s="1" t="n">
        <v>45847.61498842593</v>
      </c>
      <c r="C144" s="1" t="n">
        <v>45932</v>
      </c>
      <c r="D144" t="inlineStr">
        <is>
          <t>JÄMTLANDS LÄN</t>
        </is>
      </c>
      <c r="E144" t="inlineStr">
        <is>
          <t>RAGUNDA</t>
        </is>
      </c>
      <c r="F144" t="inlineStr">
        <is>
          <t>SCA</t>
        </is>
      </c>
      <c r="G144" t="n">
        <v>1.1</v>
      </c>
      <c r="H144" t="n">
        <v>2</v>
      </c>
      <c r="I144" t="n">
        <v>1</v>
      </c>
      <c r="J144" t="n">
        <v>0</v>
      </c>
      <c r="K144" t="n">
        <v>0</v>
      </c>
      <c r="L144" t="n">
        <v>0</v>
      </c>
      <c r="M144" t="n">
        <v>0</v>
      </c>
      <c r="N144" t="n">
        <v>0</v>
      </c>
      <c r="O144" t="n">
        <v>0</v>
      </c>
      <c r="P144" t="n">
        <v>0</v>
      </c>
      <c r="Q144" t="n">
        <v>3</v>
      </c>
      <c r="R144" s="2" t="inlineStr">
        <is>
          <t>Underviol
Blåsippa
Revlummer</t>
        </is>
      </c>
      <c r="S144">
        <f>HYPERLINK("https://klasma.github.io/Logging_2303/artfynd/A 34585-2025 artfynd.xlsx", "A 34585-2025")</f>
        <v/>
      </c>
      <c r="T144">
        <f>HYPERLINK("https://klasma.github.io/Logging_2303/kartor/A 34585-2025 karta.png", "A 34585-2025")</f>
        <v/>
      </c>
      <c r="V144">
        <f>HYPERLINK("https://klasma.github.io/Logging_2303/klagomål/A 34585-2025 FSC-klagomål.docx", "A 34585-2025")</f>
        <v/>
      </c>
      <c r="W144">
        <f>HYPERLINK("https://klasma.github.io/Logging_2303/klagomålsmail/A 34585-2025 FSC-klagomål mail.docx", "A 34585-2025")</f>
        <v/>
      </c>
      <c r="X144">
        <f>HYPERLINK("https://klasma.github.io/Logging_2303/tillsyn/A 34585-2025 tillsynsbegäran.docx", "A 34585-2025")</f>
        <v/>
      </c>
      <c r="Y144">
        <f>HYPERLINK("https://klasma.github.io/Logging_2303/tillsynsmail/A 34585-2025 tillsynsbegäran mail.docx", "A 34585-2025")</f>
        <v/>
      </c>
    </row>
    <row r="145" ht="15" customHeight="1">
      <c r="A145" t="inlineStr">
        <is>
          <t>A 51010-2020</t>
        </is>
      </c>
      <c r="B145" s="1" t="n">
        <v>44111</v>
      </c>
      <c r="C145" s="1" t="n">
        <v>45932</v>
      </c>
      <c r="D145" t="inlineStr">
        <is>
          <t>JÄMTLANDS LÄN</t>
        </is>
      </c>
      <c r="E145" t="inlineStr">
        <is>
          <t>RAGUNDA</t>
        </is>
      </c>
      <c r="F145" t="inlineStr">
        <is>
          <t>SCA</t>
        </is>
      </c>
      <c r="G145" t="n">
        <v>4.1</v>
      </c>
      <c r="H145" t="n">
        <v>0</v>
      </c>
      <c r="I145" t="n">
        <v>0</v>
      </c>
      <c r="J145" t="n">
        <v>3</v>
      </c>
      <c r="K145" t="n">
        <v>0</v>
      </c>
      <c r="L145" t="n">
        <v>0</v>
      </c>
      <c r="M145" t="n">
        <v>0</v>
      </c>
      <c r="N145" t="n">
        <v>0</v>
      </c>
      <c r="O145" t="n">
        <v>3</v>
      </c>
      <c r="P145" t="n">
        <v>0</v>
      </c>
      <c r="Q145" t="n">
        <v>3</v>
      </c>
      <c r="R145" s="2" t="inlineStr">
        <is>
          <t>Garnlav
Lunglav
Ullticka</t>
        </is>
      </c>
      <c r="S145">
        <f>HYPERLINK("https://klasma.github.io/Logging_2303/artfynd/A 51010-2020 artfynd.xlsx", "A 51010-2020")</f>
        <v/>
      </c>
      <c r="T145">
        <f>HYPERLINK("https://klasma.github.io/Logging_2303/kartor/A 51010-2020 karta.png", "A 51010-2020")</f>
        <v/>
      </c>
      <c r="V145">
        <f>HYPERLINK("https://klasma.github.io/Logging_2303/klagomål/A 51010-2020 FSC-klagomål.docx", "A 51010-2020")</f>
        <v/>
      </c>
      <c r="W145">
        <f>HYPERLINK("https://klasma.github.io/Logging_2303/klagomålsmail/A 51010-2020 FSC-klagomål mail.docx", "A 51010-2020")</f>
        <v/>
      </c>
      <c r="X145">
        <f>HYPERLINK("https://klasma.github.io/Logging_2303/tillsyn/A 51010-2020 tillsynsbegäran.docx", "A 51010-2020")</f>
        <v/>
      </c>
      <c r="Y145">
        <f>HYPERLINK("https://klasma.github.io/Logging_2303/tillsynsmail/A 51010-2020 tillsynsbegäran mail.docx", "A 51010-2020")</f>
        <v/>
      </c>
    </row>
    <row r="146" ht="15" customHeight="1">
      <c r="A146" t="inlineStr">
        <is>
          <t>A 32416-2025</t>
        </is>
      </c>
      <c r="B146" s="1" t="n">
        <v>45838</v>
      </c>
      <c r="C146" s="1" t="n">
        <v>45932</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41877-2025</t>
        </is>
      </c>
      <c r="B147" s="1" t="n">
        <v>45903.345625</v>
      </c>
      <c r="C147" s="1" t="n">
        <v>45932</v>
      </c>
      <c r="D147" t="inlineStr">
        <is>
          <t>JÄMTLANDS LÄN</t>
        </is>
      </c>
      <c r="E147" t="inlineStr">
        <is>
          <t>RAGUNDA</t>
        </is>
      </c>
      <c r="G147" t="n">
        <v>27.7</v>
      </c>
      <c r="H147" t="n">
        <v>1</v>
      </c>
      <c r="I147" t="n">
        <v>0</v>
      </c>
      <c r="J147" t="n">
        <v>2</v>
      </c>
      <c r="K147" t="n">
        <v>1</v>
      </c>
      <c r="L147" t="n">
        <v>0</v>
      </c>
      <c r="M147" t="n">
        <v>0</v>
      </c>
      <c r="N147" t="n">
        <v>0</v>
      </c>
      <c r="O147" t="n">
        <v>3</v>
      </c>
      <c r="P147" t="n">
        <v>1</v>
      </c>
      <c r="Q147" t="n">
        <v>3</v>
      </c>
      <c r="R147" s="2" t="inlineStr">
        <is>
          <t>Knärot
Garnlav
Mörk kolflarnlav</t>
        </is>
      </c>
      <c r="S147">
        <f>HYPERLINK("https://klasma.github.io/Logging_2303/artfynd/A 41877-2025 artfynd.xlsx", "A 41877-2025")</f>
        <v/>
      </c>
      <c r="T147">
        <f>HYPERLINK("https://klasma.github.io/Logging_2303/kartor/A 41877-2025 karta.png", "A 41877-2025")</f>
        <v/>
      </c>
      <c r="U147">
        <f>HYPERLINK("https://klasma.github.io/Logging_2303/knärot/A 41877-2025 karta knärot.png", "A 41877-2025")</f>
        <v/>
      </c>
      <c r="V147">
        <f>HYPERLINK("https://klasma.github.io/Logging_2303/klagomål/A 41877-2025 FSC-klagomål.docx", "A 41877-2025")</f>
        <v/>
      </c>
      <c r="W147">
        <f>HYPERLINK("https://klasma.github.io/Logging_2303/klagomålsmail/A 41877-2025 FSC-klagomål mail.docx", "A 41877-2025")</f>
        <v/>
      </c>
      <c r="X147">
        <f>HYPERLINK("https://klasma.github.io/Logging_2303/tillsyn/A 41877-2025 tillsynsbegäran.docx", "A 41877-2025")</f>
        <v/>
      </c>
      <c r="Y147">
        <f>HYPERLINK("https://klasma.github.io/Logging_2303/tillsynsmail/A 41877-2025 tillsynsbegäran mail.docx", "A 41877-2025")</f>
        <v/>
      </c>
    </row>
    <row r="148" ht="15" customHeight="1">
      <c r="A148" t="inlineStr">
        <is>
          <t>A 14814-2024</t>
        </is>
      </c>
      <c r="B148" s="1" t="n">
        <v>45397.95748842593</v>
      </c>
      <c r="C148" s="1" t="n">
        <v>45932</v>
      </c>
      <c r="D148" t="inlineStr">
        <is>
          <t>JÄMTLANDS LÄN</t>
        </is>
      </c>
      <c r="E148" t="inlineStr">
        <is>
          <t>RAGUNDA</t>
        </is>
      </c>
      <c r="F148" t="inlineStr">
        <is>
          <t>SCA</t>
        </is>
      </c>
      <c r="G148" t="n">
        <v>10.5</v>
      </c>
      <c r="H148" t="n">
        <v>0</v>
      </c>
      <c r="I148" t="n">
        <v>2</v>
      </c>
      <c r="J148" t="n">
        <v>1</v>
      </c>
      <c r="K148" t="n">
        <v>0</v>
      </c>
      <c r="L148" t="n">
        <v>0</v>
      </c>
      <c r="M148" t="n">
        <v>0</v>
      </c>
      <c r="N148" t="n">
        <v>0</v>
      </c>
      <c r="O148" t="n">
        <v>1</v>
      </c>
      <c r="P148" t="n">
        <v>0</v>
      </c>
      <c r="Q148" t="n">
        <v>3</v>
      </c>
      <c r="R148" s="2" t="inlineStr">
        <is>
          <t>Rosenticka
Svart trolldruva
Tibast</t>
        </is>
      </c>
      <c r="S148">
        <f>HYPERLINK("https://klasma.github.io/Logging_2303/artfynd/A 14814-2024 artfynd.xlsx", "A 14814-2024")</f>
        <v/>
      </c>
      <c r="T148">
        <f>HYPERLINK("https://klasma.github.io/Logging_2303/kartor/A 14814-2024 karta.png", "A 14814-2024")</f>
        <v/>
      </c>
      <c r="V148">
        <f>HYPERLINK("https://klasma.github.io/Logging_2303/klagomål/A 14814-2024 FSC-klagomål.docx", "A 14814-2024")</f>
        <v/>
      </c>
      <c r="W148">
        <f>HYPERLINK("https://klasma.github.io/Logging_2303/klagomålsmail/A 14814-2024 FSC-klagomål mail.docx", "A 14814-2024")</f>
        <v/>
      </c>
      <c r="X148">
        <f>HYPERLINK("https://klasma.github.io/Logging_2303/tillsyn/A 14814-2024 tillsynsbegäran.docx", "A 14814-2024")</f>
        <v/>
      </c>
      <c r="Y148">
        <f>HYPERLINK("https://klasma.github.io/Logging_2303/tillsynsmail/A 14814-2024 tillsynsbegäran mail.docx", "A 14814-2024")</f>
        <v/>
      </c>
    </row>
    <row r="149" ht="15" customHeight="1">
      <c r="A149" t="inlineStr">
        <is>
          <t>A 33278-2022</t>
        </is>
      </c>
      <c r="B149" s="1" t="n">
        <v>44788</v>
      </c>
      <c r="C149" s="1" t="n">
        <v>45932</v>
      </c>
      <c r="D149" t="inlineStr">
        <is>
          <t>JÄMTLANDS LÄN</t>
        </is>
      </c>
      <c r="E149" t="inlineStr">
        <is>
          <t>RAGUNDA</t>
        </is>
      </c>
      <c r="G149" t="n">
        <v>3.2</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HYPERLINK("https://klasma.github.io/Logging_2303/artfynd/A 33278-2022 artfynd.xlsx", "A 33278-2022")</f>
        <v/>
      </c>
      <c r="T149">
        <f>HYPERLINK("https://klasma.github.io/Logging_2303/kartor/A 33278-2022 karta.png", "A 33278-2022")</f>
        <v/>
      </c>
      <c r="U149">
        <f>HYPERLINK("https://klasma.github.io/Logging_2303/knärot/A 33278-2022 karta knärot.png", "A 33278-2022")</f>
        <v/>
      </c>
      <c r="V149">
        <f>HYPERLINK("https://klasma.github.io/Logging_2303/klagomål/A 33278-2022 FSC-klagomål.docx", "A 33278-2022")</f>
        <v/>
      </c>
      <c r="W149">
        <f>HYPERLINK("https://klasma.github.io/Logging_2303/klagomålsmail/A 33278-2022 FSC-klagomål mail.docx", "A 33278-2022")</f>
        <v/>
      </c>
      <c r="X149">
        <f>HYPERLINK("https://klasma.github.io/Logging_2303/tillsyn/A 33278-2022 tillsynsbegäran.docx", "A 33278-2022")</f>
        <v/>
      </c>
      <c r="Y149">
        <f>HYPERLINK("https://klasma.github.io/Logging_2303/tillsynsmail/A 33278-2022 tillsynsbegäran mail.docx", "A 33278-2022")</f>
        <v/>
      </c>
      <c r="Z149">
        <f>HYPERLINK("https://klasma.github.io/Logging_2303/fåglar/A 33278-2022 prioriterade fågelarter.docx", "A 33278-2022")</f>
        <v/>
      </c>
    </row>
    <row r="150" ht="15" customHeight="1">
      <c r="A150" t="inlineStr">
        <is>
          <t>A 7519-2023</t>
        </is>
      </c>
      <c r="B150" s="1" t="n">
        <v>44971</v>
      </c>
      <c r="C150" s="1" t="n">
        <v>45932</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57941-2024</t>
        </is>
      </c>
      <c r="B151" s="1" t="n">
        <v>45631</v>
      </c>
      <c r="C151" s="1" t="n">
        <v>45932</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12737-2025</t>
        </is>
      </c>
      <c r="B152" s="1" t="n">
        <v>45733</v>
      </c>
      <c r="C152" s="1" t="n">
        <v>45932</v>
      </c>
      <c r="D152" t="inlineStr">
        <is>
          <t>JÄMTLANDS LÄN</t>
        </is>
      </c>
      <c r="E152" t="inlineStr">
        <is>
          <t>RAGUNDA</t>
        </is>
      </c>
      <c r="G152" t="n">
        <v>16.1</v>
      </c>
      <c r="H152" t="n">
        <v>2</v>
      </c>
      <c r="I152" t="n">
        <v>2</v>
      </c>
      <c r="J152" t="n">
        <v>0</v>
      </c>
      <c r="K152" t="n">
        <v>1</v>
      </c>
      <c r="L152" t="n">
        <v>0</v>
      </c>
      <c r="M152" t="n">
        <v>0</v>
      </c>
      <c r="N152" t="n">
        <v>0</v>
      </c>
      <c r="O152" t="n">
        <v>1</v>
      </c>
      <c r="P152" t="n">
        <v>1</v>
      </c>
      <c r="Q152" t="n">
        <v>3</v>
      </c>
      <c r="R152" s="2" t="inlineStr">
        <is>
          <t>Knärot
Plattlummer
Skarp dropptaggsvamp</t>
        </is>
      </c>
      <c r="S152">
        <f>HYPERLINK("https://klasma.github.io/Logging_2303/artfynd/A 12737-2025 artfynd.xlsx", "A 12737-2025")</f>
        <v/>
      </c>
      <c r="T152">
        <f>HYPERLINK("https://klasma.github.io/Logging_2303/kartor/A 12737-2025 karta.png", "A 12737-2025")</f>
        <v/>
      </c>
      <c r="U152">
        <f>HYPERLINK("https://klasma.github.io/Logging_2303/knärot/A 12737-2025 karta knärot.png", "A 12737-2025")</f>
        <v/>
      </c>
      <c r="V152">
        <f>HYPERLINK("https://klasma.github.io/Logging_2303/klagomål/A 12737-2025 FSC-klagomål.docx", "A 12737-2025")</f>
        <v/>
      </c>
      <c r="W152">
        <f>HYPERLINK("https://klasma.github.io/Logging_2303/klagomålsmail/A 12737-2025 FSC-klagomål mail.docx", "A 12737-2025")</f>
        <v/>
      </c>
      <c r="X152">
        <f>HYPERLINK("https://klasma.github.io/Logging_2303/tillsyn/A 12737-2025 tillsynsbegäran.docx", "A 12737-2025")</f>
        <v/>
      </c>
      <c r="Y152">
        <f>HYPERLINK("https://klasma.github.io/Logging_2303/tillsynsmail/A 12737-2025 tillsynsbegäran mail.docx", "A 12737-2025")</f>
        <v/>
      </c>
    </row>
    <row r="153" ht="15" customHeight="1">
      <c r="A153" t="inlineStr">
        <is>
          <t>A 5048-2025</t>
        </is>
      </c>
      <c r="B153" s="1" t="n">
        <v>45691.44769675926</v>
      </c>
      <c r="C153" s="1" t="n">
        <v>45932</v>
      </c>
      <c r="D153" t="inlineStr">
        <is>
          <t>JÄMTLANDS LÄN</t>
        </is>
      </c>
      <c r="E153" t="inlineStr">
        <is>
          <t>RAGUNDA</t>
        </is>
      </c>
      <c r="F153" t="inlineStr">
        <is>
          <t>SCA</t>
        </is>
      </c>
      <c r="G153" t="n">
        <v>1.8</v>
      </c>
      <c r="H153" t="n">
        <v>3</v>
      </c>
      <c r="I153" t="n">
        <v>2</v>
      </c>
      <c r="J153" t="n">
        <v>0</v>
      </c>
      <c r="K153" t="n">
        <v>0</v>
      </c>
      <c r="L153" t="n">
        <v>0</v>
      </c>
      <c r="M153" t="n">
        <v>0</v>
      </c>
      <c r="N153" t="n">
        <v>0</v>
      </c>
      <c r="O153" t="n">
        <v>0</v>
      </c>
      <c r="P153" t="n">
        <v>0</v>
      </c>
      <c r="Q153" t="n">
        <v>3</v>
      </c>
      <c r="R153" s="2" t="inlineStr">
        <is>
          <t>Guckusko
Tvåblad
Fläcknycklar</t>
        </is>
      </c>
      <c r="S153">
        <f>HYPERLINK("https://klasma.github.io/Logging_2303/artfynd/A 5048-2025 artfynd.xlsx", "A 5048-2025")</f>
        <v/>
      </c>
      <c r="T153">
        <f>HYPERLINK("https://klasma.github.io/Logging_2303/kartor/A 5048-2025 karta.png", "A 5048-2025")</f>
        <v/>
      </c>
      <c r="V153">
        <f>HYPERLINK("https://klasma.github.io/Logging_2303/klagomål/A 5048-2025 FSC-klagomål.docx", "A 5048-2025")</f>
        <v/>
      </c>
      <c r="W153">
        <f>HYPERLINK("https://klasma.github.io/Logging_2303/klagomålsmail/A 5048-2025 FSC-klagomål mail.docx", "A 5048-2025")</f>
        <v/>
      </c>
      <c r="X153">
        <f>HYPERLINK("https://klasma.github.io/Logging_2303/tillsyn/A 5048-2025 tillsynsbegäran.docx", "A 5048-2025")</f>
        <v/>
      </c>
      <c r="Y153">
        <f>HYPERLINK("https://klasma.github.io/Logging_2303/tillsynsmail/A 5048-2025 tillsynsbegäran mail.docx", "A 5048-2025")</f>
        <v/>
      </c>
    </row>
    <row r="154" ht="15" customHeight="1">
      <c r="A154" t="inlineStr">
        <is>
          <t>A 61790-2023</t>
        </is>
      </c>
      <c r="B154" s="1" t="n">
        <v>45265</v>
      </c>
      <c r="C154" s="1" t="n">
        <v>45932</v>
      </c>
      <c r="D154" t="inlineStr">
        <is>
          <t>JÄMTLANDS LÄN</t>
        </is>
      </c>
      <c r="E154" t="inlineStr">
        <is>
          <t>RAGUNDA</t>
        </is>
      </c>
      <c r="F154" t="inlineStr">
        <is>
          <t>SCA</t>
        </is>
      </c>
      <c r="G154" t="n">
        <v>6.1</v>
      </c>
      <c r="H154" t="n">
        <v>0</v>
      </c>
      <c r="I154" t="n">
        <v>0</v>
      </c>
      <c r="J154" t="n">
        <v>3</v>
      </c>
      <c r="K154" t="n">
        <v>0</v>
      </c>
      <c r="L154" t="n">
        <v>0</v>
      </c>
      <c r="M154" t="n">
        <v>0</v>
      </c>
      <c r="N154" t="n">
        <v>0</v>
      </c>
      <c r="O154" t="n">
        <v>3</v>
      </c>
      <c r="P154" t="n">
        <v>0</v>
      </c>
      <c r="Q154" t="n">
        <v>3</v>
      </c>
      <c r="R154" s="2" t="inlineStr">
        <is>
          <t>Gammelgransskål
Lunglav
Skrovellav</t>
        </is>
      </c>
      <c r="S154">
        <f>HYPERLINK("https://klasma.github.io/Logging_2303/artfynd/A 61790-2023 artfynd.xlsx", "A 61790-2023")</f>
        <v/>
      </c>
      <c r="T154">
        <f>HYPERLINK("https://klasma.github.io/Logging_2303/kartor/A 61790-2023 karta.png", "A 61790-2023")</f>
        <v/>
      </c>
      <c r="V154">
        <f>HYPERLINK("https://klasma.github.io/Logging_2303/klagomål/A 61790-2023 FSC-klagomål.docx", "A 61790-2023")</f>
        <v/>
      </c>
      <c r="W154">
        <f>HYPERLINK("https://klasma.github.io/Logging_2303/klagomålsmail/A 61790-2023 FSC-klagomål mail.docx", "A 61790-2023")</f>
        <v/>
      </c>
      <c r="X154">
        <f>HYPERLINK("https://klasma.github.io/Logging_2303/tillsyn/A 61790-2023 tillsynsbegäran.docx", "A 61790-2023")</f>
        <v/>
      </c>
      <c r="Y154">
        <f>HYPERLINK("https://klasma.github.io/Logging_2303/tillsynsmail/A 61790-2023 tillsynsbegäran mail.docx", "A 61790-2023")</f>
        <v/>
      </c>
    </row>
    <row r="155" ht="15" customHeight="1">
      <c r="A155" t="inlineStr">
        <is>
          <t>A 17043-2022</t>
        </is>
      </c>
      <c r="B155" s="1" t="n">
        <v>44676</v>
      </c>
      <c r="C155" s="1" t="n">
        <v>45932</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21037-2021</t>
        </is>
      </c>
      <c r="B156" s="1" t="n">
        <v>44319</v>
      </c>
      <c r="C156" s="1" t="n">
        <v>45932</v>
      </c>
      <c r="D156" t="inlineStr">
        <is>
          <t>JÄMTLANDS LÄN</t>
        </is>
      </c>
      <c r="E156" t="inlineStr">
        <is>
          <t>RAGUNDA</t>
        </is>
      </c>
      <c r="F156" t="inlineStr">
        <is>
          <t>Kyrkan</t>
        </is>
      </c>
      <c r="G156" t="n">
        <v>0.8</v>
      </c>
      <c r="H156" t="n">
        <v>0</v>
      </c>
      <c r="I156" t="n">
        <v>0</v>
      </c>
      <c r="J156" t="n">
        <v>2</v>
      </c>
      <c r="K156" t="n">
        <v>0</v>
      </c>
      <c r="L156" t="n">
        <v>0</v>
      </c>
      <c r="M156" t="n">
        <v>0</v>
      </c>
      <c r="N156" t="n">
        <v>0</v>
      </c>
      <c r="O156" t="n">
        <v>2</v>
      </c>
      <c r="P156" t="n">
        <v>0</v>
      </c>
      <c r="Q156" t="n">
        <v>2</v>
      </c>
      <c r="R156" s="2" t="inlineStr">
        <is>
          <t>Olivbrun gytterlav
Persiljespindling</t>
        </is>
      </c>
      <c r="S156">
        <f>HYPERLINK("https://klasma.github.io/Logging_2303/artfynd/A 21037-2021 artfynd.xlsx", "A 21037-2021")</f>
        <v/>
      </c>
      <c r="T156">
        <f>HYPERLINK("https://klasma.github.io/Logging_2303/kartor/A 21037-2021 karta.png", "A 21037-2021")</f>
        <v/>
      </c>
      <c r="V156">
        <f>HYPERLINK("https://klasma.github.io/Logging_2303/klagomål/A 21037-2021 FSC-klagomål.docx", "A 21037-2021")</f>
        <v/>
      </c>
      <c r="W156">
        <f>HYPERLINK("https://klasma.github.io/Logging_2303/klagomålsmail/A 21037-2021 FSC-klagomål mail.docx", "A 21037-2021")</f>
        <v/>
      </c>
      <c r="X156">
        <f>HYPERLINK("https://klasma.github.io/Logging_2303/tillsyn/A 21037-2021 tillsynsbegäran.docx", "A 21037-2021")</f>
        <v/>
      </c>
      <c r="Y156">
        <f>HYPERLINK("https://klasma.github.io/Logging_2303/tillsynsmail/A 21037-2021 tillsynsbegäran mail.docx", "A 21037-2021")</f>
        <v/>
      </c>
    </row>
    <row r="157" ht="15" customHeight="1">
      <c r="A157" t="inlineStr">
        <is>
          <t>A 48059-2022</t>
        </is>
      </c>
      <c r="B157" s="1" t="n">
        <v>44855</v>
      </c>
      <c r="C157" s="1" t="n">
        <v>45932</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21245-2025</t>
        </is>
      </c>
      <c r="B158" s="1" t="n">
        <v>45779.57350694444</v>
      </c>
      <c r="C158" s="1" t="n">
        <v>45932</v>
      </c>
      <c r="D158" t="inlineStr">
        <is>
          <t>JÄMTLANDS LÄN</t>
        </is>
      </c>
      <c r="E158" t="inlineStr">
        <is>
          <t>RAGUNDA</t>
        </is>
      </c>
      <c r="F158" t="inlineStr">
        <is>
          <t>SCA</t>
        </is>
      </c>
      <c r="G158" t="n">
        <v>3.7</v>
      </c>
      <c r="H158" t="n">
        <v>1</v>
      </c>
      <c r="I158" t="n">
        <v>0</v>
      </c>
      <c r="J158" t="n">
        <v>1</v>
      </c>
      <c r="K158" t="n">
        <v>0</v>
      </c>
      <c r="L158" t="n">
        <v>0</v>
      </c>
      <c r="M158" t="n">
        <v>0</v>
      </c>
      <c r="N158" t="n">
        <v>0</v>
      </c>
      <c r="O158" t="n">
        <v>1</v>
      </c>
      <c r="P158" t="n">
        <v>0</v>
      </c>
      <c r="Q158" t="n">
        <v>2</v>
      </c>
      <c r="R158" s="2" t="inlineStr">
        <is>
          <t>Garnlav
Tjäder</t>
        </is>
      </c>
      <c r="S158">
        <f>HYPERLINK("https://klasma.github.io/Logging_2303/artfynd/A 21245-2025 artfynd.xlsx", "A 21245-2025")</f>
        <v/>
      </c>
      <c r="T158">
        <f>HYPERLINK("https://klasma.github.io/Logging_2303/kartor/A 21245-2025 karta.png", "A 21245-2025")</f>
        <v/>
      </c>
      <c r="V158">
        <f>HYPERLINK("https://klasma.github.io/Logging_2303/klagomål/A 21245-2025 FSC-klagomål.docx", "A 21245-2025")</f>
        <v/>
      </c>
      <c r="W158">
        <f>HYPERLINK("https://klasma.github.io/Logging_2303/klagomålsmail/A 21245-2025 FSC-klagomål mail.docx", "A 21245-2025")</f>
        <v/>
      </c>
      <c r="X158">
        <f>HYPERLINK("https://klasma.github.io/Logging_2303/tillsyn/A 21245-2025 tillsynsbegäran.docx", "A 21245-2025")</f>
        <v/>
      </c>
      <c r="Y158">
        <f>HYPERLINK("https://klasma.github.io/Logging_2303/tillsynsmail/A 21245-2025 tillsynsbegäran mail.docx", "A 21245-2025")</f>
        <v/>
      </c>
      <c r="Z158">
        <f>HYPERLINK("https://klasma.github.io/Logging_2303/fåglar/A 21245-2025 prioriterade fågelarter.docx", "A 21245-2025")</f>
        <v/>
      </c>
    </row>
    <row r="159" ht="15" customHeight="1">
      <c r="A159" t="inlineStr">
        <is>
          <t>A 3838-2024</t>
        </is>
      </c>
      <c r="B159" s="1" t="n">
        <v>45321</v>
      </c>
      <c r="C159" s="1" t="n">
        <v>45932</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32736-2023</t>
        </is>
      </c>
      <c r="B160" s="1" t="n">
        <v>45121</v>
      </c>
      <c r="C160" s="1" t="n">
        <v>45932</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36756-2023</t>
        </is>
      </c>
      <c r="B161" s="1" t="n">
        <v>45153</v>
      </c>
      <c r="C161" s="1" t="n">
        <v>45932</v>
      </c>
      <c r="D161" t="inlineStr">
        <is>
          <t>JÄMTLANDS LÄN</t>
        </is>
      </c>
      <c r="E161" t="inlineStr">
        <is>
          <t>RAGUNDA</t>
        </is>
      </c>
      <c r="G161" t="n">
        <v>3.5</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HYPERLINK("https://klasma.github.io/Logging_2303/artfynd/A 36756-2023 artfynd.xlsx", "A 36756-2023")</f>
        <v/>
      </c>
      <c r="T161">
        <f>HYPERLINK("https://klasma.github.io/Logging_2303/kartor/A 36756-2023 karta.png", "A 36756-2023")</f>
        <v/>
      </c>
      <c r="V161">
        <f>HYPERLINK("https://klasma.github.io/Logging_2303/klagomål/A 36756-2023 FSC-klagomål.docx", "A 36756-2023")</f>
        <v/>
      </c>
      <c r="W161">
        <f>HYPERLINK("https://klasma.github.io/Logging_2303/klagomålsmail/A 36756-2023 FSC-klagomål mail.docx", "A 36756-2023")</f>
        <v/>
      </c>
      <c r="X161">
        <f>HYPERLINK("https://klasma.github.io/Logging_2303/tillsyn/A 36756-2023 tillsynsbegäran.docx", "A 36756-2023")</f>
        <v/>
      </c>
      <c r="Y161">
        <f>HYPERLINK("https://klasma.github.io/Logging_2303/tillsynsmail/A 36756-2023 tillsynsbegäran mail.docx", "A 36756-2023")</f>
        <v/>
      </c>
      <c r="Z161">
        <f>HYPERLINK("https://klasma.github.io/Logging_2303/fåglar/A 36756-2023 prioriterade fågelarter.docx", "A 36756-2023")</f>
        <v/>
      </c>
    </row>
    <row r="162" ht="15" customHeight="1">
      <c r="A162" t="inlineStr">
        <is>
          <t>A 56285-2023</t>
        </is>
      </c>
      <c r="B162" s="1" t="n">
        <v>45241</v>
      </c>
      <c r="C162" s="1" t="n">
        <v>45932</v>
      </c>
      <c r="D162" t="inlineStr">
        <is>
          <t>JÄMTLANDS LÄN</t>
        </is>
      </c>
      <c r="E162" t="inlineStr">
        <is>
          <t>RAGUNDA</t>
        </is>
      </c>
      <c r="F162" t="inlineStr">
        <is>
          <t>SCA</t>
        </is>
      </c>
      <c r="G162" t="n">
        <v>5.5</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56285-2023 artfynd.xlsx", "A 56285-2023")</f>
        <v/>
      </c>
      <c r="T162">
        <f>HYPERLINK("https://klasma.github.io/Logging_2303/kartor/A 56285-2023 karta.png", "A 56285-2023")</f>
        <v/>
      </c>
      <c r="V162">
        <f>HYPERLINK("https://klasma.github.io/Logging_2303/klagomål/A 56285-2023 FSC-klagomål.docx", "A 56285-2023")</f>
        <v/>
      </c>
      <c r="W162">
        <f>HYPERLINK("https://klasma.github.io/Logging_2303/klagomålsmail/A 56285-2023 FSC-klagomål mail.docx", "A 56285-2023")</f>
        <v/>
      </c>
      <c r="X162">
        <f>HYPERLINK("https://klasma.github.io/Logging_2303/tillsyn/A 56285-2023 tillsynsbegäran.docx", "A 56285-2023")</f>
        <v/>
      </c>
      <c r="Y162">
        <f>HYPERLINK("https://klasma.github.io/Logging_2303/tillsynsmail/A 56285-2023 tillsynsbegäran mail.docx", "A 56285-2023")</f>
        <v/>
      </c>
    </row>
    <row r="163" ht="15" customHeight="1">
      <c r="A163" t="inlineStr">
        <is>
          <t>A 55647-2023</t>
        </is>
      </c>
      <c r="B163" s="1" t="n">
        <v>45238</v>
      </c>
      <c r="C163" s="1" t="n">
        <v>45932</v>
      </c>
      <c r="D163" t="inlineStr">
        <is>
          <t>JÄMTLANDS LÄN</t>
        </is>
      </c>
      <c r="E163" t="inlineStr">
        <is>
          <t>RAGUNDA</t>
        </is>
      </c>
      <c r="F163" t="inlineStr">
        <is>
          <t>SCA</t>
        </is>
      </c>
      <c r="G163" t="n">
        <v>3.7</v>
      </c>
      <c r="H163" t="n">
        <v>0</v>
      </c>
      <c r="I163" t="n">
        <v>1</v>
      </c>
      <c r="J163" t="n">
        <v>1</v>
      </c>
      <c r="K163" t="n">
        <v>0</v>
      </c>
      <c r="L163" t="n">
        <v>0</v>
      </c>
      <c r="M163" t="n">
        <v>0</v>
      </c>
      <c r="N163" t="n">
        <v>0</v>
      </c>
      <c r="O163" t="n">
        <v>1</v>
      </c>
      <c r="P163" t="n">
        <v>0</v>
      </c>
      <c r="Q163" t="n">
        <v>2</v>
      </c>
      <c r="R163" s="2" t="inlineStr">
        <is>
          <t>Granticka
Trådticka</t>
        </is>
      </c>
      <c r="S163">
        <f>HYPERLINK("https://klasma.github.io/Logging_2303/artfynd/A 55647-2023 artfynd.xlsx", "A 55647-2023")</f>
        <v/>
      </c>
      <c r="T163">
        <f>HYPERLINK("https://klasma.github.io/Logging_2303/kartor/A 55647-2023 karta.png", "A 55647-2023")</f>
        <v/>
      </c>
      <c r="V163">
        <f>HYPERLINK("https://klasma.github.io/Logging_2303/klagomål/A 55647-2023 FSC-klagomål.docx", "A 55647-2023")</f>
        <v/>
      </c>
      <c r="W163">
        <f>HYPERLINK("https://klasma.github.io/Logging_2303/klagomålsmail/A 55647-2023 FSC-klagomål mail.docx", "A 55647-2023")</f>
        <v/>
      </c>
      <c r="X163">
        <f>HYPERLINK("https://klasma.github.io/Logging_2303/tillsyn/A 55647-2023 tillsynsbegäran.docx", "A 55647-2023")</f>
        <v/>
      </c>
      <c r="Y163">
        <f>HYPERLINK("https://klasma.github.io/Logging_2303/tillsynsmail/A 55647-2023 tillsynsbegäran mail.docx", "A 55647-2023")</f>
        <v/>
      </c>
    </row>
    <row r="164" ht="15" customHeight="1">
      <c r="A164" t="inlineStr">
        <is>
          <t>A 19384-2025</t>
        </is>
      </c>
      <c r="B164" s="1" t="n">
        <v>45769.65692129629</v>
      </c>
      <c r="C164" s="1" t="n">
        <v>45932</v>
      </c>
      <c r="D164" t="inlineStr">
        <is>
          <t>JÄMTLANDS LÄN</t>
        </is>
      </c>
      <c r="E164" t="inlineStr">
        <is>
          <t>RAGUNDA</t>
        </is>
      </c>
      <c r="F164" t="inlineStr">
        <is>
          <t>SCA</t>
        </is>
      </c>
      <c r="G164" t="n">
        <v>2.8</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19384-2025 artfynd.xlsx", "A 19384-2025")</f>
        <v/>
      </c>
      <c r="T164">
        <f>HYPERLINK("https://klasma.github.io/Logging_2303/kartor/A 19384-2025 karta.png", "A 19384-2025")</f>
        <v/>
      </c>
      <c r="V164">
        <f>HYPERLINK("https://klasma.github.io/Logging_2303/klagomål/A 19384-2025 FSC-klagomål.docx", "A 19384-2025")</f>
        <v/>
      </c>
      <c r="W164">
        <f>HYPERLINK("https://klasma.github.io/Logging_2303/klagomålsmail/A 19384-2025 FSC-klagomål mail.docx", "A 19384-2025")</f>
        <v/>
      </c>
      <c r="X164">
        <f>HYPERLINK("https://klasma.github.io/Logging_2303/tillsyn/A 19384-2025 tillsynsbegäran.docx", "A 19384-2025")</f>
        <v/>
      </c>
      <c r="Y164">
        <f>HYPERLINK("https://klasma.github.io/Logging_2303/tillsynsmail/A 19384-2025 tillsynsbegäran mail.docx", "A 19384-2025")</f>
        <v/>
      </c>
      <c r="Z164">
        <f>HYPERLINK("https://klasma.github.io/Logging_2303/fåglar/A 19384-2025 prioriterade fågelarter.docx", "A 19384-2025")</f>
        <v/>
      </c>
    </row>
    <row r="165" ht="15" customHeight="1">
      <c r="A165" t="inlineStr">
        <is>
          <t>A 39495-2024</t>
        </is>
      </c>
      <c r="B165" s="1" t="n">
        <v>45551.65726851852</v>
      </c>
      <c r="C165" s="1" t="n">
        <v>45932</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45932</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45021-2023</t>
        </is>
      </c>
      <c r="B167" s="1" t="n">
        <v>45190</v>
      </c>
      <c r="C167" s="1" t="n">
        <v>45932</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25155-2025</t>
        </is>
      </c>
      <c r="B168" s="1" t="n">
        <v>45800.42782407408</v>
      </c>
      <c r="C168" s="1" t="n">
        <v>45932</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45035-2023</t>
        </is>
      </c>
      <c r="B169" s="1" t="n">
        <v>45191</v>
      </c>
      <c r="C169" s="1" t="n">
        <v>45932</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11544-2024</t>
        </is>
      </c>
      <c r="B170" s="1" t="n">
        <v>45372.95680555556</v>
      </c>
      <c r="C170" s="1" t="n">
        <v>45932</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50089-2022</t>
        </is>
      </c>
      <c r="B171" s="1" t="n">
        <v>44865</v>
      </c>
      <c r="C171" s="1" t="n">
        <v>45932</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48427-2023</t>
        </is>
      </c>
      <c r="B172" s="1" t="n">
        <v>45205</v>
      </c>
      <c r="C172" s="1" t="n">
        <v>45932</v>
      </c>
      <c r="D172" t="inlineStr">
        <is>
          <t>JÄMTLANDS LÄN</t>
        </is>
      </c>
      <c r="E172" t="inlineStr">
        <is>
          <t>RAGUNDA</t>
        </is>
      </c>
      <c r="F172" t="inlineStr">
        <is>
          <t>SCA</t>
        </is>
      </c>
      <c r="G172" t="n">
        <v>10.1</v>
      </c>
      <c r="H172" t="n">
        <v>0</v>
      </c>
      <c r="I172" t="n">
        <v>1</v>
      </c>
      <c r="J172" t="n">
        <v>1</v>
      </c>
      <c r="K172" t="n">
        <v>0</v>
      </c>
      <c r="L172" t="n">
        <v>0</v>
      </c>
      <c r="M172" t="n">
        <v>0</v>
      </c>
      <c r="N172" t="n">
        <v>0</v>
      </c>
      <c r="O172" t="n">
        <v>1</v>
      </c>
      <c r="P172" t="n">
        <v>0</v>
      </c>
      <c r="Q172" t="n">
        <v>2</v>
      </c>
      <c r="R172" s="2" t="inlineStr">
        <is>
          <t>Lunglav
Luddlav</t>
        </is>
      </c>
      <c r="S172">
        <f>HYPERLINK("https://klasma.github.io/Logging_2303/artfynd/A 48427-2023 artfynd.xlsx", "A 48427-2023")</f>
        <v/>
      </c>
      <c r="T172">
        <f>HYPERLINK("https://klasma.github.io/Logging_2303/kartor/A 48427-2023 karta.png", "A 48427-2023")</f>
        <v/>
      </c>
      <c r="V172">
        <f>HYPERLINK("https://klasma.github.io/Logging_2303/klagomål/A 48427-2023 FSC-klagomål.docx", "A 48427-2023")</f>
        <v/>
      </c>
      <c r="W172">
        <f>HYPERLINK("https://klasma.github.io/Logging_2303/klagomålsmail/A 48427-2023 FSC-klagomål mail.docx", "A 48427-2023")</f>
        <v/>
      </c>
      <c r="X172">
        <f>HYPERLINK("https://klasma.github.io/Logging_2303/tillsyn/A 48427-2023 tillsynsbegäran.docx", "A 48427-2023")</f>
        <v/>
      </c>
      <c r="Y172">
        <f>HYPERLINK("https://klasma.github.io/Logging_2303/tillsynsmail/A 48427-2023 tillsynsbegäran mail.docx", "A 48427-2023")</f>
        <v/>
      </c>
    </row>
    <row r="173" ht="15" customHeight="1">
      <c r="A173" t="inlineStr">
        <is>
          <t>A 11843-2023</t>
        </is>
      </c>
      <c r="B173" s="1" t="n">
        <v>44993</v>
      </c>
      <c r="C173" s="1" t="n">
        <v>45932</v>
      </c>
      <c r="D173" t="inlineStr">
        <is>
          <t>JÄMTLANDS LÄN</t>
        </is>
      </c>
      <c r="E173" t="inlineStr">
        <is>
          <t>RAGUNDA</t>
        </is>
      </c>
      <c r="G173" t="n">
        <v>6.4</v>
      </c>
      <c r="H173" t="n">
        <v>2</v>
      </c>
      <c r="I173" t="n">
        <v>0</v>
      </c>
      <c r="J173" t="n">
        <v>1</v>
      </c>
      <c r="K173" t="n">
        <v>0</v>
      </c>
      <c r="L173" t="n">
        <v>0</v>
      </c>
      <c r="M173" t="n">
        <v>0</v>
      </c>
      <c r="N173" t="n">
        <v>0</v>
      </c>
      <c r="O173" t="n">
        <v>1</v>
      </c>
      <c r="P173" t="n">
        <v>0</v>
      </c>
      <c r="Q173" t="n">
        <v>2</v>
      </c>
      <c r="R173" s="2" t="inlineStr">
        <is>
          <t>Spillkråka
Revlummer</t>
        </is>
      </c>
      <c r="S173">
        <f>HYPERLINK("https://klasma.github.io/Logging_2303/artfynd/A 11843-2023 artfynd.xlsx", "A 11843-2023")</f>
        <v/>
      </c>
      <c r="T173">
        <f>HYPERLINK("https://klasma.github.io/Logging_2303/kartor/A 11843-2023 karta.png", "A 11843-2023")</f>
        <v/>
      </c>
      <c r="V173">
        <f>HYPERLINK("https://klasma.github.io/Logging_2303/klagomål/A 11843-2023 FSC-klagomål.docx", "A 11843-2023")</f>
        <v/>
      </c>
      <c r="W173">
        <f>HYPERLINK("https://klasma.github.io/Logging_2303/klagomålsmail/A 11843-2023 FSC-klagomål mail.docx", "A 11843-2023")</f>
        <v/>
      </c>
      <c r="X173">
        <f>HYPERLINK("https://klasma.github.io/Logging_2303/tillsyn/A 11843-2023 tillsynsbegäran.docx", "A 11843-2023")</f>
        <v/>
      </c>
      <c r="Y173">
        <f>HYPERLINK("https://klasma.github.io/Logging_2303/tillsynsmail/A 11843-2023 tillsynsbegäran mail.docx", "A 11843-2023")</f>
        <v/>
      </c>
      <c r="Z173">
        <f>HYPERLINK("https://klasma.github.io/Logging_2303/fåglar/A 11843-2023 prioriterade fågelarter.docx", "A 11843-2023")</f>
        <v/>
      </c>
    </row>
    <row r="174" ht="15" customHeight="1">
      <c r="A174" t="inlineStr">
        <is>
          <t>A 17733-2022</t>
        </is>
      </c>
      <c r="B174" s="1" t="n">
        <v>44680</v>
      </c>
      <c r="C174" s="1" t="n">
        <v>45932</v>
      </c>
      <c r="D174" t="inlineStr">
        <is>
          <t>JÄMTLANDS LÄN</t>
        </is>
      </c>
      <c r="E174" t="inlineStr">
        <is>
          <t>RAGUNDA</t>
        </is>
      </c>
      <c r="G174" t="n">
        <v>2.2</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17733-2022 artfynd.xlsx", "A 17733-2022")</f>
        <v/>
      </c>
      <c r="T174">
        <f>HYPERLINK("https://klasma.github.io/Logging_2303/kartor/A 17733-2022 karta.png", "A 17733-2022")</f>
        <v/>
      </c>
      <c r="V174">
        <f>HYPERLINK("https://klasma.github.io/Logging_2303/klagomål/A 17733-2022 FSC-klagomål.docx", "A 17733-2022")</f>
        <v/>
      </c>
      <c r="W174">
        <f>HYPERLINK("https://klasma.github.io/Logging_2303/klagomålsmail/A 17733-2022 FSC-klagomål mail.docx", "A 17733-2022")</f>
        <v/>
      </c>
      <c r="X174">
        <f>HYPERLINK("https://klasma.github.io/Logging_2303/tillsyn/A 17733-2022 tillsynsbegäran.docx", "A 17733-2022")</f>
        <v/>
      </c>
      <c r="Y174">
        <f>HYPERLINK("https://klasma.github.io/Logging_2303/tillsynsmail/A 17733-2022 tillsynsbegäran mail.docx", "A 17733-2022")</f>
        <v/>
      </c>
    </row>
    <row r="175" ht="15" customHeight="1">
      <c r="A175" t="inlineStr">
        <is>
          <t>A 31960-2025</t>
        </is>
      </c>
      <c r="B175" s="1" t="n">
        <v>45835.344375</v>
      </c>
      <c r="C175" s="1" t="n">
        <v>45932</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35131-2025</t>
        </is>
      </c>
      <c r="B176" s="1" t="n">
        <v>45852.63597222222</v>
      </c>
      <c r="C176" s="1" t="n">
        <v>45932</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11086-2025</t>
        </is>
      </c>
      <c r="B177" s="1" t="n">
        <v>45723.57329861111</v>
      </c>
      <c r="C177" s="1" t="n">
        <v>45932</v>
      </c>
      <c r="D177" t="inlineStr">
        <is>
          <t>JÄMTLANDS LÄN</t>
        </is>
      </c>
      <c r="E177" t="inlineStr">
        <is>
          <t>RAGUNDA</t>
        </is>
      </c>
      <c r="F177" t="inlineStr">
        <is>
          <t>SCA</t>
        </is>
      </c>
      <c r="G177" t="n">
        <v>10.8</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HYPERLINK("https://klasma.github.io/Logging_2303/artfynd/A 11086-2025 artfynd.xlsx", "A 11086-2025")</f>
        <v/>
      </c>
      <c r="T177">
        <f>HYPERLINK("https://klasma.github.io/Logging_2303/kartor/A 11086-2025 karta.png", "A 11086-2025")</f>
        <v/>
      </c>
      <c r="V177">
        <f>HYPERLINK("https://klasma.github.io/Logging_2303/klagomål/A 11086-2025 FSC-klagomål.docx", "A 11086-2025")</f>
        <v/>
      </c>
      <c r="W177">
        <f>HYPERLINK("https://klasma.github.io/Logging_2303/klagomålsmail/A 11086-2025 FSC-klagomål mail.docx", "A 11086-2025")</f>
        <v/>
      </c>
      <c r="X177">
        <f>HYPERLINK("https://klasma.github.io/Logging_2303/tillsyn/A 11086-2025 tillsynsbegäran.docx", "A 11086-2025")</f>
        <v/>
      </c>
      <c r="Y177">
        <f>HYPERLINK("https://klasma.github.io/Logging_2303/tillsynsmail/A 11086-2025 tillsynsbegäran mail.docx", "A 11086-2025")</f>
        <v/>
      </c>
    </row>
    <row r="178" ht="15" customHeight="1">
      <c r="A178" t="inlineStr">
        <is>
          <t>A 26482-2023</t>
        </is>
      </c>
      <c r="B178" s="1" t="n">
        <v>45089</v>
      </c>
      <c r="C178" s="1" t="n">
        <v>45932</v>
      </c>
      <c r="D178" t="inlineStr">
        <is>
          <t>JÄMTLANDS LÄN</t>
        </is>
      </c>
      <c r="E178" t="inlineStr">
        <is>
          <t>RAGUNDA</t>
        </is>
      </c>
      <c r="G178" t="n">
        <v>2</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26482-2023 artfynd.xlsx", "A 26482-2023")</f>
        <v/>
      </c>
      <c r="T178">
        <f>HYPERLINK("https://klasma.github.io/Logging_2303/kartor/A 26482-2023 karta.png", "A 26482-2023")</f>
        <v/>
      </c>
      <c r="V178">
        <f>HYPERLINK("https://klasma.github.io/Logging_2303/klagomål/A 26482-2023 FSC-klagomål.docx", "A 26482-2023")</f>
        <v/>
      </c>
      <c r="W178">
        <f>HYPERLINK("https://klasma.github.io/Logging_2303/klagomålsmail/A 26482-2023 FSC-klagomål mail.docx", "A 26482-2023")</f>
        <v/>
      </c>
      <c r="X178">
        <f>HYPERLINK("https://klasma.github.io/Logging_2303/tillsyn/A 26482-2023 tillsynsbegäran.docx", "A 26482-2023")</f>
        <v/>
      </c>
      <c r="Y178">
        <f>HYPERLINK("https://klasma.github.io/Logging_2303/tillsynsmail/A 26482-2023 tillsynsbegäran mail.docx", "A 26482-2023")</f>
        <v/>
      </c>
      <c r="Z178">
        <f>HYPERLINK("https://klasma.github.io/Logging_2303/fåglar/A 26482-2023 prioriterade fågelarter.docx", "A 26482-2023")</f>
        <v/>
      </c>
    </row>
    <row r="179" ht="15" customHeight="1">
      <c r="A179" t="inlineStr">
        <is>
          <t>A 40826-2023</t>
        </is>
      </c>
      <c r="B179" s="1" t="n">
        <v>45171</v>
      </c>
      <c r="C179" s="1" t="n">
        <v>45932</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41490-2022</t>
        </is>
      </c>
      <c r="B180" s="1" t="n">
        <v>44826.94976851852</v>
      </c>
      <c r="C180" s="1" t="n">
        <v>45932</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48084-2022</t>
        </is>
      </c>
      <c r="B181" s="1" t="n">
        <v>44855</v>
      </c>
      <c r="C181" s="1" t="n">
        <v>45932</v>
      </c>
      <c r="D181" t="inlineStr">
        <is>
          <t>JÄMTLANDS LÄN</t>
        </is>
      </c>
      <c r="E181" t="inlineStr">
        <is>
          <t>RAGUNDA</t>
        </is>
      </c>
      <c r="F181" t="inlineStr">
        <is>
          <t>SCA</t>
        </is>
      </c>
      <c r="G181" t="n">
        <v>4.7</v>
      </c>
      <c r="H181" t="n">
        <v>1</v>
      </c>
      <c r="I181" t="n">
        <v>0</v>
      </c>
      <c r="J181" t="n">
        <v>2</v>
      </c>
      <c r="K181" t="n">
        <v>0</v>
      </c>
      <c r="L181" t="n">
        <v>0</v>
      </c>
      <c r="M181" t="n">
        <v>0</v>
      </c>
      <c r="N181" t="n">
        <v>0</v>
      </c>
      <c r="O181" t="n">
        <v>2</v>
      </c>
      <c r="P181" t="n">
        <v>0</v>
      </c>
      <c r="Q181" t="n">
        <v>2</v>
      </c>
      <c r="R181" s="2" t="inlineStr">
        <is>
          <t>Rosenticka
Tretåig hackspett</t>
        </is>
      </c>
      <c r="S181">
        <f>HYPERLINK("https://klasma.github.io/Logging_2303/artfynd/A 48084-2022 artfynd.xlsx", "A 48084-2022")</f>
        <v/>
      </c>
      <c r="T181">
        <f>HYPERLINK("https://klasma.github.io/Logging_2303/kartor/A 48084-2022 karta.png", "A 48084-2022")</f>
        <v/>
      </c>
      <c r="V181">
        <f>HYPERLINK("https://klasma.github.io/Logging_2303/klagomål/A 48084-2022 FSC-klagomål.docx", "A 48084-2022")</f>
        <v/>
      </c>
      <c r="W181">
        <f>HYPERLINK("https://klasma.github.io/Logging_2303/klagomålsmail/A 48084-2022 FSC-klagomål mail.docx", "A 48084-2022")</f>
        <v/>
      </c>
      <c r="X181">
        <f>HYPERLINK("https://klasma.github.io/Logging_2303/tillsyn/A 48084-2022 tillsynsbegäran.docx", "A 48084-2022")</f>
        <v/>
      </c>
      <c r="Y181">
        <f>HYPERLINK("https://klasma.github.io/Logging_2303/tillsynsmail/A 48084-2022 tillsynsbegäran mail.docx", "A 48084-2022")</f>
        <v/>
      </c>
      <c r="Z181">
        <f>HYPERLINK("https://klasma.github.io/Logging_2303/fåglar/A 48084-2022 prioriterade fågelarter.docx", "A 48084-2022")</f>
        <v/>
      </c>
    </row>
    <row r="182" ht="15" customHeight="1">
      <c r="A182" t="inlineStr">
        <is>
          <t>A 14502-2024</t>
        </is>
      </c>
      <c r="B182" s="1" t="n">
        <v>45394</v>
      </c>
      <c r="C182" s="1" t="n">
        <v>45932</v>
      </c>
      <c r="D182" t="inlineStr">
        <is>
          <t>JÄMTLANDS LÄN</t>
        </is>
      </c>
      <c r="E182" t="inlineStr">
        <is>
          <t>RAGUNDA</t>
        </is>
      </c>
      <c r="G182" t="n">
        <v>11.6</v>
      </c>
      <c r="H182" t="n">
        <v>0</v>
      </c>
      <c r="I182" t="n">
        <v>0</v>
      </c>
      <c r="J182" t="n">
        <v>2</v>
      </c>
      <c r="K182" t="n">
        <v>0</v>
      </c>
      <c r="L182" t="n">
        <v>0</v>
      </c>
      <c r="M182" t="n">
        <v>0</v>
      </c>
      <c r="N182" t="n">
        <v>0</v>
      </c>
      <c r="O182" t="n">
        <v>2</v>
      </c>
      <c r="P182" t="n">
        <v>0</v>
      </c>
      <c r="Q182" t="n">
        <v>2</v>
      </c>
      <c r="R182" s="2" t="inlineStr">
        <is>
          <t>Garnlav
Stjärntagging</t>
        </is>
      </c>
      <c r="S182">
        <f>HYPERLINK("https://klasma.github.io/Logging_2303/artfynd/A 14502-2024 artfynd.xlsx", "A 14502-2024")</f>
        <v/>
      </c>
      <c r="T182">
        <f>HYPERLINK("https://klasma.github.io/Logging_2303/kartor/A 14502-2024 karta.png", "A 14502-2024")</f>
        <v/>
      </c>
      <c r="V182">
        <f>HYPERLINK("https://klasma.github.io/Logging_2303/klagomål/A 14502-2024 FSC-klagomål.docx", "A 14502-2024")</f>
        <v/>
      </c>
      <c r="W182">
        <f>HYPERLINK("https://klasma.github.io/Logging_2303/klagomålsmail/A 14502-2024 FSC-klagomål mail.docx", "A 14502-2024")</f>
        <v/>
      </c>
      <c r="X182">
        <f>HYPERLINK("https://klasma.github.io/Logging_2303/tillsyn/A 14502-2024 tillsynsbegäran.docx", "A 14502-2024")</f>
        <v/>
      </c>
      <c r="Y182">
        <f>HYPERLINK("https://klasma.github.io/Logging_2303/tillsynsmail/A 14502-2024 tillsynsbegäran mail.docx", "A 14502-2024")</f>
        <v/>
      </c>
    </row>
    <row r="183" ht="15" customHeight="1">
      <c r="A183" t="inlineStr">
        <is>
          <t>A 26324-2024</t>
        </is>
      </c>
      <c r="B183" s="1" t="n">
        <v>45468.97495370371</v>
      </c>
      <c r="C183" s="1" t="n">
        <v>45932</v>
      </c>
      <c r="D183" t="inlineStr">
        <is>
          <t>JÄMTLANDS LÄN</t>
        </is>
      </c>
      <c r="E183" t="inlineStr">
        <is>
          <t>RAGUNDA</t>
        </is>
      </c>
      <c r="F183" t="inlineStr">
        <is>
          <t>SCA</t>
        </is>
      </c>
      <c r="G183" t="n">
        <v>2</v>
      </c>
      <c r="H183" t="n">
        <v>1</v>
      </c>
      <c r="I183" t="n">
        <v>0</v>
      </c>
      <c r="J183" t="n">
        <v>1</v>
      </c>
      <c r="K183" t="n">
        <v>1</v>
      </c>
      <c r="L183" t="n">
        <v>0</v>
      </c>
      <c r="M183" t="n">
        <v>0</v>
      </c>
      <c r="N183" t="n">
        <v>0</v>
      </c>
      <c r="O183" t="n">
        <v>2</v>
      </c>
      <c r="P183" t="n">
        <v>1</v>
      </c>
      <c r="Q183" t="n">
        <v>2</v>
      </c>
      <c r="R183" s="2" t="inlineStr">
        <is>
          <t>Knärot
Vedtrappmossa</t>
        </is>
      </c>
      <c r="S183">
        <f>HYPERLINK("https://klasma.github.io/Logging_2303/artfynd/A 26324-2024 artfynd.xlsx", "A 26324-2024")</f>
        <v/>
      </c>
      <c r="T183">
        <f>HYPERLINK("https://klasma.github.io/Logging_2303/kartor/A 26324-2024 karta.png", "A 26324-2024")</f>
        <v/>
      </c>
      <c r="U183">
        <f>HYPERLINK("https://klasma.github.io/Logging_2303/knärot/A 26324-2024 karta knärot.png", "A 26324-2024")</f>
        <v/>
      </c>
      <c r="V183">
        <f>HYPERLINK("https://klasma.github.io/Logging_2303/klagomål/A 26324-2024 FSC-klagomål.docx", "A 26324-2024")</f>
        <v/>
      </c>
      <c r="W183">
        <f>HYPERLINK("https://klasma.github.io/Logging_2303/klagomålsmail/A 26324-2024 FSC-klagomål mail.docx", "A 26324-2024")</f>
        <v/>
      </c>
      <c r="X183">
        <f>HYPERLINK("https://klasma.github.io/Logging_2303/tillsyn/A 26324-2024 tillsynsbegäran.docx", "A 26324-2024")</f>
        <v/>
      </c>
      <c r="Y183">
        <f>HYPERLINK("https://klasma.github.io/Logging_2303/tillsynsmail/A 26324-2024 tillsynsbegäran mail.docx", "A 26324-2024")</f>
        <v/>
      </c>
    </row>
    <row r="184" ht="15" customHeight="1">
      <c r="A184" t="inlineStr">
        <is>
          <t>A 57940-2024</t>
        </is>
      </c>
      <c r="B184" s="1" t="n">
        <v>45631</v>
      </c>
      <c r="C184" s="1" t="n">
        <v>45932</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46771-2024</t>
        </is>
      </c>
      <c r="B185" s="1" t="n">
        <v>45583.49642361111</v>
      </c>
      <c r="C185" s="1" t="n">
        <v>45932</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44409-2023</t>
        </is>
      </c>
      <c r="B186" s="1" t="n">
        <v>45188</v>
      </c>
      <c r="C186" s="1" t="n">
        <v>45932</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Garnlav
Norrlandslav</t>
        </is>
      </c>
      <c r="S186">
        <f>HYPERLINK("https://klasma.github.io/Logging_2303/artfynd/A 44409-2023 artfynd.xlsx", "A 44409-2023")</f>
        <v/>
      </c>
      <c r="T186">
        <f>HYPERLINK("https://klasma.github.io/Logging_2303/kartor/A 44409-2023 karta.png", "A 44409-2023")</f>
        <v/>
      </c>
      <c r="V186">
        <f>HYPERLINK("https://klasma.github.io/Logging_2303/klagomål/A 44409-2023 FSC-klagomål.docx", "A 44409-2023")</f>
        <v/>
      </c>
      <c r="W186">
        <f>HYPERLINK("https://klasma.github.io/Logging_2303/klagomålsmail/A 44409-2023 FSC-klagomål mail.docx", "A 44409-2023")</f>
        <v/>
      </c>
      <c r="X186">
        <f>HYPERLINK("https://klasma.github.io/Logging_2303/tillsyn/A 44409-2023 tillsynsbegäran.docx", "A 44409-2023")</f>
        <v/>
      </c>
      <c r="Y186">
        <f>HYPERLINK("https://klasma.github.io/Logging_2303/tillsynsmail/A 44409-2023 tillsynsbegäran mail.docx", "A 44409-2023")</f>
        <v/>
      </c>
    </row>
    <row r="187" ht="15" customHeight="1">
      <c r="A187" t="inlineStr">
        <is>
          <t>A 12271-2024</t>
        </is>
      </c>
      <c r="B187" s="1" t="n">
        <v>45378</v>
      </c>
      <c r="C187" s="1" t="n">
        <v>45932</v>
      </c>
      <c r="D187" t="inlineStr">
        <is>
          <t>JÄMTLANDS LÄN</t>
        </is>
      </c>
      <c r="E187" t="inlineStr">
        <is>
          <t>RAGUNDA</t>
        </is>
      </c>
      <c r="F187" t="inlineStr">
        <is>
          <t>Kommuner</t>
        </is>
      </c>
      <c r="G187" t="n">
        <v>6.1</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12271-2024 artfynd.xlsx", "A 12271-2024")</f>
        <v/>
      </c>
      <c r="T187">
        <f>HYPERLINK("https://klasma.github.io/Logging_2303/kartor/A 12271-2024 karta.png", "A 12271-2024")</f>
        <v/>
      </c>
      <c r="V187">
        <f>HYPERLINK("https://klasma.github.io/Logging_2303/klagomål/A 12271-2024 FSC-klagomål.docx", "A 12271-2024")</f>
        <v/>
      </c>
      <c r="W187">
        <f>HYPERLINK("https://klasma.github.io/Logging_2303/klagomålsmail/A 12271-2024 FSC-klagomål mail.docx", "A 12271-2024")</f>
        <v/>
      </c>
      <c r="X187">
        <f>HYPERLINK("https://klasma.github.io/Logging_2303/tillsyn/A 12271-2024 tillsynsbegäran.docx", "A 12271-2024")</f>
        <v/>
      </c>
      <c r="Y187">
        <f>HYPERLINK("https://klasma.github.io/Logging_2303/tillsynsmail/A 12271-2024 tillsynsbegäran mail.docx", "A 12271-2024")</f>
        <v/>
      </c>
    </row>
    <row r="188" ht="15" customHeight="1">
      <c r="A188" t="inlineStr">
        <is>
          <t>A 34715-2024</t>
        </is>
      </c>
      <c r="B188" s="1" t="n">
        <v>45526.56393518519</v>
      </c>
      <c r="C188" s="1" t="n">
        <v>45932</v>
      </c>
      <c r="D188" t="inlineStr">
        <is>
          <t>JÄMTLANDS LÄN</t>
        </is>
      </c>
      <c r="E188" t="inlineStr">
        <is>
          <t>RAGUNDA</t>
        </is>
      </c>
      <c r="F188" t="inlineStr">
        <is>
          <t>SCA</t>
        </is>
      </c>
      <c r="G188" t="n">
        <v>3</v>
      </c>
      <c r="H188" t="n">
        <v>0</v>
      </c>
      <c r="I188" t="n">
        <v>1</v>
      </c>
      <c r="J188" t="n">
        <v>1</v>
      </c>
      <c r="K188" t="n">
        <v>0</v>
      </c>
      <c r="L188" t="n">
        <v>0</v>
      </c>
      <c r="M188" t="n">
        <v>0</v>
      </c>
      <c r="N188" t="n">
        <v>0</v>
      </c>
      <c r="O188" t="n">
        <v>1</v>
      </c>
      <c r="P188" t="n">
        <v>0</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10866-2025</t>
        </is>
      </c>
      <c r="B189" s="1" t="n">
        <v>45722.61543981481</v>
      </c>
      <c r="C189" s="1" t="n">
        <v>45932</v>
      </c>
      <c r="D189" t="inlineStr">
        <is>
          <t>JÄMTLANDS LÄN</t>
        </is>
      </c>
      <c r="E189" t="inlineStr">
        <is>
          <t>RAGUNDA</t>
        </is>
      </c>
      <c r="F189" t="inlineStr">
        <is>
          <t>SCA</t>
        </is>
      </c>
      <c r="G189" t="n">
        <v>15.9</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10866-2025 artfynd.xlsx", "A 10866-2025")</f>
        <v/>
      </c>
      <c r="T189">
        <f>HYPERLINK("https://klasma.github.io/Logging_2303/kartor/A 10866-2025 karta.png", "A 10866-2025")</f>
        <v/>
      </c>
      <c r="V189">
        <f>HYPERLINK("https://klasma.github.io/Logging_2303/klagomål/A 10866-2025 FSC-klagomål.docx", "A 10866-2025")</f>
        <v/>
      </c>
      <c r="W189">
        <f>HYPERLINK("https://klasma.github.io/Logging_2303/klagomålsmail/A 10866-2025 FSC-klagomål mail.docx", "A 10866-2025")</f>
        <v/>
      </c>
      <c r="X189">
        <f>HYPERLINK("https://klasma.github.io/Logging_2303/tillsyn/A 10866-2025 tillsynsbegäran.docx", "A 10866-2025")</f>
        <v/>
      </c>
      <c r="Y189">
        <f>HYPERLINK("https://klasma.github.io/Logging_2303/tillsynsmail/A 10866-2025 tillsynsbegäran mail.docx", "A 10866-2025")</f>
        <v/>
      </c>
    </row>
    <row r="190" ht="15" customHeight="1">
      <c r="A190" t="inlineStr">
        <is>
          <t>A 10884-2025</t>
        </is>
      </c>
      <c r="B190" s="1" t="n">
        <v>45722.65670138889</v>
      </c>
      <c r="C190" s="1" t="n">
        <v>45932</v>
      </c>
      <c r="D190" t="inlineStr">
        <is>
          <t>JÄMTLANDS LÄN</t>
        </is>
      </c>
      <c r="E190" t="inlineStr">
        <is>
          <t>RAGUNDA</t>
        </is>
      </c>
      <c r="F190" t="inlineStr">
        <is>
          <t>SCA</t>
        </is>
      </c>
      <c r="G190" t="n">
        <v>5.4</v>
      </c>
      <c r="H190" t="n">
        <v>0</v>
      </c>
      <c r="I190" t="n">
        <v>1</v>
      </c>
      <c r="J190" t="n">
        <v>1</v>
      </c>
      <c r="K190" t="n">
        <v>0</v>
      </c>
      <c r="L190" t="n">
        <v>0</v>
      </c>
      <c r="M190" t="n">
        <v>0</v>
      </c>
      <c r="N190" t="n">
        <v>0</v>
      </c>
      <c r="O190" t="n">
        <v>1</v>
      </c>
      <c r="P190" t="n">
        <v>0</v>
      </c>
      <c r="Q190" t="n">
        <v>2</v>
      </c>
      <c r="R190" s="2" t="inlineStr">
        <is>
          <t>Vitgrynig nållav
Dropptaggsvamp</t>
        </is>
      </c>
      <c r="S190">
        <f>HYPERLINK("https://klasma.github.io/Logging_2303/artfynd/A 10884-2025 artfynd.xlsx", "A 10884-2025")</f>
        <v/>
      </c>
      <c r="T190">
        <f>HYPERLINK("https://klasma.github.io/Logging_2303/kartor/A 10884-2025 karta.png", "A 10884-2025")</f>
        <v/>
      </c>
      <c r="V190">
        <f>HYPERLINK("https://klasma.github.io/Logging_2303/klagomål/A 10884-2025 FSC-klagomål.docx", "A 10884-2025")</f>
        <v/>
      </c>
      <c r="W190">
        <f>HYPERLINK("https://klasma.github.io/Logging_2303/klagomålsmail/A 10884-2025 FSC-klagomål mail.docx", "A 10884-2025")</f>
        <v/>
      </c>
      <c r="X190">
        <f>HYPERLINK("https://klasma.github.io/Logging_2303/tillsyn/A 10884-2025 tillsynsbegäran.docx", "A 10884-2025")</f>
        <v/>
      </c>
      <c r="Y190">
        <f>HYPERLINK("https://klasma.github.io/Logging_2303/tillsynsmail/A 10884-2025 tillsynsbegäran mail.docx", "A 10884-2025")</f>
        <v/>
      </c>
    </row>
    <row r="191" ht="15" customHeight="1">
      <c r="A191" t="inlineStr">
        <is>
          <t>A 51916-2021</t>
        </is>
      </c>
      <c r="B191" s="1" t="n">
        <v>44462</v>
      </c>
      <c r="C191" s="1" t="n">
        <v>45932</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45932</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21275-2022</t>
        </is>
      </c>
      <c r="B193" s="1" t="n">
        <v>44705</v>
      </c>
      <c r="C193" s="1" t="n">
        <v>45932</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45932</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42899-2022</t>
        </is>
      </c>
      <c r="B195" s="1" t="n">
        <v>44832</v>
      </c>
      <c r="C195" s="1" t="n">
        <v>45932</v>
      </c>
      <c r="D195" t="inlineStr">
        <is>
          <t>JÄMTLANDS LÄN</t>
        </is>
      </c>
      <c r="E195" t="inlineStr">
        <is>
          <t>RAGUNDA</t>
        </is>
      </c>
      <c r="F195" t="inlineStr">
        <is>
          <t>SCA</t>
        </is>
      </c>
      <c r="G195" t="n">
        <v>2.3</v>
      </c>
      <c r="H195" t="n">
        <v>0</v>
      </c>
      <c r="I195" t="n">
        <v>0</v>
      </c>
      <c r="J195" t="n">
        <v>1</v>
      </c>
      <c r="K195" t="n">
        <v>0</v>
      </c>
      <c r="L195" t="n">
        <v>0</v>
      </c>
      <c r="M195" t="n">
        <v>0</v>
      </c>
      <c r="N195" t="n">
        <v>0</v>
      </c>
      <c r="O195" t="n">
        <v>1</v>
      </c>
      <c r="P195" t="n">
        <v>0</v>
      </c>
      <c r="Q195" t="n">
        <v>1</v>
      </c>
      <c r="R195" s="2" t="inlineStr">
        <is>
          <t>Ullticka</t>
        </is>
      </c>
      <c r="S195">
        <f>HYPERLINK("https://klasma.github.io/Logging_2303/artfynd/A 42899-2022 artfynd.xlsx", "A 42899-2022")</f>
        <v/>
      </c>
      <c r="T195">
        <f>HYPERLINK("https://klasma.github.io/Logging_2303/kartor/A 42899-2022 karta.png", "A 42899-2022")</f>
        <v/>
      </c>
      <c r="V195">
        <f>HYPERLINK("https://klasma.github.io/Logging_2303/klagomål/A 42899-2022 FSC-klagomål.docx", "A 42899-2022")</f>
        <v/>
      </c>
      <c r="W195">
        <f>HYPERLINK("https://klasma.github.io/Logging_2303/klagomålsmail/A 42899-2022 FSC-klagomål mail.docx", "A 42899-2022")</f>
        <v/>
      </c>
      <c r="X195">
        <f>HYPERLINK("https://klasma.github.io/Logging_2303/tillsyn/A 42899-2022 tillsynsbegäran.docx", "A 42899-2022")</f>
        <v/>
      </c>
      <c r="Y195">
        <f>HYPERLINK("https://klasma.github.io/Logging_2303/tillsynsmail/A 42899-2022 tillsynsbegäran mail.docx", "A 42899-2022")</f>
        <v/>
      </c>
    </row>
    <row r="196" ht="15" customHeight="1">
      <c r="A196" t="inlineStr">
        <is>
          <t>A 31477-2022</t>
        </is>
      </c>
      <c r="B196" s="1" t="n">
        <v>44774.94347222222</v>
      </c>
      <c r="C196" s="1" t="n">
        <v>45932</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45932</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36224-2023</t>
        </is>
      </c>
      <c r="B198" s="1" t="n">
        <v>45149</v>
      </c>
      <c r="C198" s="1" t="n">
        <v>45932</v>
      </c>
      <c r="D198" t="inlineStr">
        <is>
          <t>JÄMTLANDS LÄN</t>
        </is>
      </c>
      <c r="E198" t="inlineStr">
        <is>
          <t>RAGUNDA</t>
        </is>
      </c>
      <c r="F198" t="inlineStr">
        <is>
          <t>SCA</t>
        </is>
      </c>
      <c r="G198" t="n">
        <v>8.1</v>
      </c>
      <c r="H198" t="n">
        <v>0</v>
      </c>
      <c r="I198" t="n">
        <v>0</v>
      </c>
      <c r="J198" t="n">
        <v>1</v>
      </c>
      <c r="K198" t="n">
        <v>0</v>
      </c>
      <c r="L198" t="n">
        <v>0</v>
      </c>
      <c r="M198" t="n">
        <v>0</v>
      </c>
      <c r="N198" t="n">
        <v>0</v>
      </c>
      <c r="O198" t="n">
        <v>1</v>
      </c>
      <c r="P198" t="n">
        <v>0</v>
      </c>
      <c r="Q198" t="n">
        <v>1</v>
      </c>
      <c r="R198" s="2" t="inlineStr">
        <is>
          <t>Garnlav</t>
        </is>
      </c>
      <c r="S198">
        <f>HYPERLINK("https://klasma.github.io/Logging_2303/artfynd/A 36224-2023 artfynd.xlsx", "A 36224-2023")</f>
        <v/>
      </c>
      <c r="T198">
        <f>HYPERLINK("https://klasma.github.io/Logging_2303/kartor/A 36224-2023 karta.png", "A 36224-2023")</f>
        <v/>
      </c>
      <c r="V198">
        <f>HYPERLINK("https://klasma.github.io/Logging_2303/klagomål/A 36224-2023 FSC-klagomål.docx", "A 36224-2023")</f>
        <v/>
      </c>
      <c r="W198">
        <f>HYPERLINK("https://klasma.github.io/Logging_2303/klagomålsmail/A 36224-2023 FSC-klagomål mail.docx", "A 36224-2023")</f>
        <v/>
      </c>
      <c r="X198">
        <f>HYPERLINK("https://klasma.github.io/Logging_2303/tillsyn/A 36224-2023 tillsynsbegäran.docx", "A 36224-2023")</f>
        <v/>
      </c>
      <c r="Y198">
        <f>HYPERLINK("https://klasma.github.io/Logging_2303/tillsynsmail/A 36224-2023 tillsynsbegäran mail.docx", "A 36224-2023")</f>
        <v/>
      </c>
    </row>
    <row r="199" ht="15" customHeight="1">
      <c r="A199" t="inlineStr">
        <is>
          <t>A 36757-2023</t>
        </is>
      </c>
      <c r="B199" s="1" t="n">
        <v>45153</v>
      </c>
      <c r="C199" s="1" t="n">
        <v>45932</v>
      </c>
      <c r="D199" t="inlineStr">
        <is>
          <t>JÄMTLANDS LÄN</t>
        </is>
      </c>
      <c r="E199" t="inlineStr">
        <is>
          <t>RAGUNDA</t>
        </is>
      </c>
      <c r="G199" t="n">
        <v>0.7</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36757-2023 artfynd.xlsx", "A 36757-2023")</f>
        <v/>
      </c>
      <c r="T199">
        <f>HYPERLINK("https://klasma.github.io/Logging_2303/kartor/A 36757-2023 karta.png", "A 36757-2023")</f>
        <v/>
      </c>
      <c r="V199">
        <f>HYPERLINK("https://klasma.github.io/Logging_2303/klagomål/A 36757-2023 FSC-klagomål.docx", "A 36757-2023")</f>
        <v/>
      </c>
      <c r="W199">
        <f>HYPERLINK("https://klasma.github.io/Logging_2303/klagomålsmail/A 36757-2023 FSC-klagomål mail.docx", "A 36757-2023")</f>
        <v/>
      </c>
      <c r="X199">
        <f>HYPERLINK("https://klasma.github.io/Logging_2303/tillsyn/A 36757-2023 tillsynsbegäran.docx", "A 36757-2023")</f>
        <v/>
      </c>
      <c r="Y199">
        <f>HYPERLINK("https://klasma.github.io/Logging_2303/tillsynsmail/A 36757-2023 tillsynsbegäran mail.docx", "A 36757-2023")</f>
        <v/>
      </c>
      <c r="Z199">
        <f>HYPERLINK("https://klasma.github.io/Logging_2303/fåglar/A 36757-2023 prioriterade fågelarter.docx", "A 36757-2023")</f>
        <v/>
      </c>
    </row>
    <row r="200" ht="15" customHeight="1">
      <c r="A200" t="inlineStr">
        <is>
          <t>A 21212-2025</t>
        </is>
      </c>
      <c r="B200" s="1" t="n">
        <v>45779.48993055556</v>
      </c>
      <c r="C200" s="1" t="n">
        <v>45932</v>
      </c>
      <c r="D200" t="inlineStr">
        <is>
          <t>JÄMTLANDS LÄN</t>
        </is>
      </c>
      <c r="E200" t="inlineStr">
        <is>
          <t>RAGUNDA</t>
        </is>
      </c>
      <c r="F200" t="inlineStr">
        <is>
          <t>SCA</t>
        </is>
      </c>
      <c r="G200" t="n">
        <v>2.6</v>
      </c>
      <c r="H200" t="n">
        <v>0</v>
      </c>
      <c r="I200" t="n">
        <v>0</v>
      </c>
      <c r="J200" t="n">
        <v>1</v>
      </c>
      <c r="K200" t="n">
        <v>0</v>
      </c>
      <c r="L200" t="n">
        <v>0</v>
      </c>
      <c r="M200" t="n">
        <v>0</v>
      </c>
      <c r="N200" t="n">
        <v>0</v>
      </c>
      <c r="O200" t="n">
        <v>1</v>
      </c>
      <c r="P200" t="n">
        <v>0</v>
      </c>
      <c r="Q200" t="n">
        <v>1</v>
      </c>
      <c r="R200" s="2" t="inlineStr">
        <is>
          <t>Garnlav</t>
        </is>
      </c>
      <c r="S200">
        <f>HYPERLINK("https://klasma.github.io/Logging_2303/artfynd/A 21212-2025 artfynd.xlsx", "A 21212-2025")</f>
        <v/>
      </c>
      <c r="T200">
        <f>HYPERLINK("https://klasma.github.io/Logging_2303/kartor/A 21212-2025 karta.png", "A 21212-2025")</f>
        <v/>
      </c>
      <c r="V200">
        <f>HYPERLINK("https://klasma.github.io/Logging_2303/klagomål/A 21212-2025 FSC-klagomål.docx", "A 21212-2025")</f>
        <v/>
      </c>
      <c r="W200">
        <f>HYPERLINK("https://klasma.github.io/Logging_2303/klagomålsmail/A 21212-2025 FSC-klagomål mail.docx", "A 21212-2025")</f>
        <v/>
      </c>
      <c r="X200">
        <f>HYPERLINK("https://klasma.github.io/Logging_2303/tillsyn/A 21212-2025 tillsynsbegäran.docx", "A 21212-2025")</f>
        <v/>
      </c>
      <c r="Y200">
        <f>HYPERLINK("https://klasma.github.io/Logging_2303/tillsynsmail/A 21212-2025 tillsynsbegäran mail.docx", "A 21212-2025")</f>
        <v/>
      </c>
    </row>
    <row r="201" ht="15" customHeight="1">
      <c r="A201" t="inlineStr">
        <is>
          <t>A 6703-2024</t>
        </is>
      </c>
      <c r="B201" s="1" t="n">
        <v>45341</v>
      </c>
      <c r="C201" s="1" t="n">
        <v>45932</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32069-2024</t>
        </is>
      </c>
      <c r="B202" s="1" t="n">
        <v>45510</v>
      </c>
      <c r="C202" s="1" t="n">
        <v>45932</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Lunglav</t>
        </is>
      </c>
      <c r="S202">
        <f>HYPERLINK("https://klasma.github.io/Logging_2303/artfynd/A 32069-2024 artfynd.xlsx", "A 32069-2024")</f>
        <v/>
      </c>
      <c r="T202">
        <f>HYPERLINK("https://klasma.github.io/Logging_2303/kartor/A 32069-2024 karta.png", "A 32069-2024")</f>
        <v/>
      </c>
      <c r="V202">
        <f>HYPERLINK("https://klasma.github.io/Logging_2303/klagomål/A 32069-2024 FSC-klagomål.docx", "A 32069-2024")</f>
        <v/>
      </c>
      <c r="W202">
        <f>HYPERLINK("https://klasma.github.io/Logging_2303/klagomålsmail/A 32069-2024 FSC-klagomål mail.docx", "A 32069-2024")</f>
        <v/>
      </c>
      <c r="X202">
        <f>HYPERLINK("https://klasma.github.io/Logging_2303/tillsyn/A 32069-2024 tillsynsbegäran.docx", "A 32069-2024")</f>
        <v/>
      </c>
      <c r="Y202">
        <f>HYPERLINK("https://klasma.github.io/Logging_2303/tillsynsmail/A 32069-2024 tillsynsbegäran mail.docx", "A 32069-2024")</f>
        <v/>
      </c>
    </row>
    <row r="203" ht="15" customHeight="1">
      <c r="A203" t="inlineStr">
        <is>
          <t>A 16316-2025</t>
        </is>
      </c>
      <c r="B203" s="1" t="n">
        <v>45751.34795138889</v>
      </c>
      <c r="C203" s="1" t="n">
        <v>45932</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20575-2025</t>
        </is>
      </c>
      <c r="B204" s="1" t="n">
        <v>45775.67769675926</v>
      </c>
      <c r="C204" s="1" t="n">
        <v>45932</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19751-2025</t>
        </is>
      </c>
      <c r="B205" s="1" t="n">
        <v>45771.3859837963</v>
      </c>
      <c r="C205" s="1" t="n">
        <v>45932</v>
      </c>
      <c r="D205" t="inlineStr">
        <is>
          <t>JÄMTLANDS LÄN</t>
        </is>
      </c>
      <c r="E205" t="inlineStr">
        <is>
          <t>RAGUNDA</t>
        </is>
      </c>
      <c r="F205" t="inlineStr">
        <is>
          <t>SCA</t>
        </is>
      </c>
      <c r="G205" t="n">
        <v>1.1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19751-2025 artfynd.xlsx", "A 19751-2025")</f>
        <v/>
      </c>
      <c r="T205">
        <f>HYPERLINK("https://klasma.github.io/Logging_2303/kartor/A 19751-2025 karta.png", "A 19751-2025")</f>
        <v/>
      </c>
      <c r="V205">
        <f>HYPERLINK("https://klasma.github.io/Logging_2303/klagomål/A 19751-2025 FSC-klagomål.docx", "A 19751-2025")</f>
        <v/>
      </c>
      <c r="W205">
        <f>HYPERLINK("https://klasma.github.io/Logging_2303/klagomålsmail/A 19751-2025 FSC-klagomål mail.docx", "A 19751-2025")</f>
        <v/>
      </c>
      <c r="X205">
        <f>HYPERLINK("https://klasma.github.io/Logging_2303/tillsyn/A 19751-2025 tillsynsbegäran.docx", "A 19751-2025")</f>
        <v/>
      </c>
      <c r="Y205">
        <f>HYPERLINK("https://klasma.github.io/Logging_2303/tillsynsmail/A 19751-2025 tillsynsbegäran mail.docx", "A 19751-2025")</f>
        <v/>
      </c>
      <c r="Z205">
        <f>HYPERLINK("https://klasma.github.io/Logging_2303/fåglar/A 19751-2025 prioriterade fågelarter.docx", "A 19751-2025")</f>
        <v/>
      </c>
    </row>
    <row r="206" ht="15" customHeight="1">
      <c r="A206" t="inlineStr">
        <is>
          <t>A 43404-2023</t>
        </is>
      </c>
      <c r="B206" s="1" t="n">
        <v>45183</v>
      </c>
      <c r="C206" s="1" t="n">
        <v>45932</v>
      </c>
      <c r="D206" t="inlineStr">
        <is>
          <t>JÄMTLANDS LÄN</t>
        </is>
      </c>
      <c r="E206" t="inlineStr">
        <is>
          <t>RAGUNDA</t>
        </is>
      </c>
      <c r="F206" t="inlineStr">
        <is>
          <t>SCA</t>
        </is>
      </c>
      <c r="G206" t="n">
        <v>0.9</v>
      </c>
      <c r="H206" t="n">
        <v>0</v>
      </c>
      <c r="I206" t="n">
        <v>1</v>
      </c>
      <c r="J206" t="n">
        <v>0</v>
      </c>
      <c r="K206" t="n">
        <v>0</v>
      </c>
      <c r="L206" t="n">
        <v>0</v>
      </c>
      <c r="M206" t="n">
        <v>0</v>
      </c>
      <c r="N206" t="n">
        <v>0</v>
      </c>
      <c r="O206" t="n">
        <v>0</v>
      </c>
      <c r="P206" t="n">
        <v>0</v>
      </c>
      <c r="Q206" t="n">
        <v>1</v>
      </c>
      <c r="R206" s="2" t="inlineStr">
        <is>
          <t>Kryddspindling</t>
        </is>
      </c>
      <c r="S206">
        <f>HYPERLINK("https://klasma.github.io/Logging_2303/artfynd/A 43404-2023 artfynd.xlsx", "A 43404-2023")</f>
        <v/>
      </c>
      <c r="T206">
        <f>HYPERLINK("https://klasma.github.io/Logging_2303/kartor/A 43404-2023 karta.png", "A 43404-2023")</f>
        <v/>
      </c>
      <c r="V206">
        <f>HYPERLINK("https://klasma.github.io/Logging_2303/klagomål/A 43404-2023 FSC-klagomål.docx", "A 43404-2023")</f>
        <v/>
      </c>
      <c r="W206">
        <f>HYPERLINK("https://klasma.github.io/Logging_2303/klagomålsmail/A 43404-2023 FSC-klagomål mail.docx", "A 43404-2023")</f>
        <v/>
      </c>
      <c r="X206">
        <f>HYPERLINK("https://klasma.github.io/Logging_2303/tillsyn/A 43404-2023 tillsynsbegäran.docx", "A 43404-2023")</f>
        <v/>
      </c>
      <c r="Y206">
        <f>HYPERLINK("https://klasma.github.io/Logging_2303/tillsynsmail/A 43404-2023 tillsynsbegäran mail.docx", "A 43404-2023")</f>
        <v/>
      </c>
    </row>
    <row r="207" ht="15" customHeight="1">
      <c r="A207" t="inlineStr">
        <is>
          <t>A 59104-2023</t>
        </is>
      </c>
      <c r="B207" s="1" t="n">
        <v>45252</v>
      </c>
      <c r="C207" s="1" t="n">
        <v>45932</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45932</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52898-2020</t>
        </is>
      </c>
      <c r="B209" s="1" t="n">
        <v>44119</v>
      </c>
      <c r="C209" s="1" t="n">
        <v>45932</v>
      </c>
      <c r="D209" t="inlineStr">
        <is>
          <t>JÄMTLANDS LÄN</t>
        </is>
      </c>
      <c r="E209" t="inlineStr">
        <is>
          <t>RAGUNDA</t>
        </is>
      </c>
      <c r="G209" t="n">
        <v>1.4</v>
      </c>
      <c r="H209" t="n">
        <v>1</v>
      </c>
      <c r="I209" t="n">
        <v>0</v>
      </c>
      <c r="J209" t="n">
        <v>0</v>
      </c>
      <c r="K209" t="n">
        <v>0</v>
      </c>
      <c r="L209" t="n">
        <v>0</v>
      </c>
      <c r="M209" t="n">
        <v>0</v>
      </c>
      <c r="N209" t="n">
        <v>0</v>
      </c>
      <c r="O209" t="n">
        <v>0</v>
      </c>
      <c r="P209" t="n">
        <v>0</v>
      </c>
      <c r="Q209" t="n">
        <v>1</v>
      </c>
      <c r="R209" s="2" t="inlineStr">
        <is>
          <t>Revlummer</t>
        </is>
      </c>
      <c r="S209">
        <f>HYPERLINK("https://klasma.github.io/Logging_2303/artfynd/A 52898-2020 artfynd.xlsx", "A 52898-2020")</f>
        <v/>
      </c>
      <c r="T209">
        <f>HYPERLINK("https://klasma.github.io/Logging_2303/kartor/A 52898-2020 karta.png", "A 52898-2020")</f>
        <v/>
      </c>
      <c r="V209">
        <f>HYPERLINK("https://klasma.github.io/Logging_2303/klagomål/A 52898-2020 FSC-klagomål.docx", "A 52898-2020")</f>
        <v/>
      </c>
      <c r="W209">
        <f>HYPERLINK("https://klasma.github.io/Logging_2303/klagomålsmail/A 52898-2020 FSC-klagomål mail.docx", "A 52898-2020")</f>
        <v/>
      </c>
      <c r="X209">
        <f>HYPERLINK("https://klasma.github.io/Logging_2303/tillsyn/A 52898-2020 tillsynsbegäran.docx", "A 52898-2020")</f>
        <v/>
      </c>
      <c r="Y209">
        <f>HYPERLINK("https://klasma.github.io/Logging_2303/tillsynsmail/A 52898-2020 tillsynsbegäran mail.docx", "A 52898-2020")</f>
        <v/>
      </c>
    </row>
    <row r="210" ht="15" customHeight="1">
      <c r="A210" t="inlineStr">
        <is>
          <t>A 24443-2024</t>
        </is>
      </c>
      <c r="B210" s="1" t="n">
        <v>45457.9640625</v>
      </c>
      <c r="C210" s="1" t="n">
        <v>45932</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23930-2024</t>
        </is>
      </c>
      <c r="B211" s="1" t="n">
        <v>45455.96184027778</v>
      </c>
      <c r="C211" s="1" t="n">
        <v>45932</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19387-2025</t>
        </is>
      </c>
      <c r="B212" s="1" t="n">
        <v>45769.65736111111</v>
      </c>
      <c r="C212" s="1" t="n">
        <v>45932</v>
      </c>
      <c r="D212" t="inlineStr">
        <is>
          <t>JÄMTLANDS LÄN</t>
        </is>
      </c>
      <c r="E212" t="inlineStr">
        <is>
          <t>RAGUNDA</t>
        </is>
      </c>
      <c r="F212" t="inlineStr">
        <is>
          <t>SCA</t>
        </is>
      </c>
      <c r="G212" t="n">
        <v>16.4</v>
      </c>
      <c r="H212" t="n">
        <v>1</v>
      </c>
      <c r="I212" t="n">
        <v>0</v>
      </c>
      <c r="J212" t="n">
        <v>0</v>
      </c>
      <c r="K212" t="n">
        <v>1</v>
      </c>
      <c r="L212" t="n">
        <v>0</v>
      </c>
      <c r="M212" t="n">
        <v>0</v>
      </c>
      <c r="N212" t="n">
        <v>0</v>
      </c>
      <c r="O212" t="n">
        <v>1</v>
      </c>
      <c r="P212" t="n">
        <v>1</v>
      </c>
      <c r="Q212" t="n">
        <v>1</v>
      </c>
      <c r="R212" s="2" t="inlineStr">
        <is>
          <t>Norna</t>
        </is>
      </c>
      <c r="S212">
        <f>HYPERLINK("https://klasma.github.io/Logging_2303/artfynd/A 19387-2025 artfynd.xlsx", "A 19387-2025")</f>
        <v/>
      </c>
      <c r="T212">
        <f>HYPERLINK("https://klasma.github.io/Logging_2303/kartor/A 19387-2025 karta.png", "A 19387-2025")</f>
        <v/>
      </c>
      <c r="V212">
        <f>HYPERLINK("https://klasma.github.io/Logging_2303/klagomål/A 19387-2025 FSC-klagomål.docx", "A 19387-2025")</f>
        <v/>
      </c>
      <c r="W212">
        <f>HYPERLINK("https://klasma.github.io/Logging_2303/klagomålsmail/A 19387-2025 FSC-klagomål mail.docx", "A 19387-2025")</f>
        <v/>
      </c>
      <c r="X212">
        <f>HYPERLINK("https://klasma.github.io/Logging_2303/tillsyn/A 19387-2025 tillsynsbegäran.docx", "A 19387-2025")</f>
        <v/>
      </c>
      <c r="Y212">
        <f>HYPERLINK("https://klasma.github.io/Logging_2303/tillsynsmail/A 19387-2025 tillsynsbegäran mail.docx", "A 19387-2025")</f>
        <v/>
      </c>
    </row>
    <row r="213" ht="15" customHeight="1">
      <c r="A213" t="inlineStr">
        <is>
          <t>A 11040-2023</t>
        </is>
      </c>
      <c r="B213" s="1" t="n">
        <v>44991</v>
      </c>
      <c r="C213" s="1" t="n">
        <v>45932</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29921-2024</t>
        </is>
      </c>
      <c r="B214" s="1" t="n">
        <v>45487.92863425926</v>
      </c>
      <c r="C214" s="1" t="n">
        <v>45932</v>
      </c>
      <c r="D214" t="inlineStr">
        <is>
          <t>JÄMTLANDS LÄN</t>
        </is>
      </c>
      <c r="E214" t="inlineStr">
        <is>
          <t>RAGUNDA</t>
        </is>
      </c>
      <c r="G214" t="n">
        <v>1.6</v>
      </c>
      <c r="H214" t="n">
        <v>1</v>
      </c>
      <c r="I214" t="n">
        <v>0</v>
      </c>
      <c r="J214" t="n">
        <v>0</v>
      </c>
      <c r="K214" t="n">
        <v>1</v>
      </c>
      <c r="L214" t="n">
        <v>0</v>
      </c>
      <c r="M214" t="n">
        <v>0</v>
      </c>
      <c r="N214" t="n">
        <v>0</v>
      </c>
      <c r="O214" t="n">
        <v>1</v>
      </c>
      <c r="P214" t="n">
        <v>1</v>
      </c>
      <c r="Q214" t="n">
        <v>1</v>
      </c>
      <c r="R214" s="2" t="inlineStr">
        <is>
          <t>Knärot</t>
        </is>
      </c>
      <c r="S214">
        <f>HYPERLINK("https://klasma.github.io/Logging_2303/artfynd/A 29921-2024 artfynd.xlsx", "A 29921-2024")</f>
        <v/>
      </c>
      <c r="T214">
        <f>HYPERLINK("https://klasma.github.io/Logging_2303/kartor/A 29921-2024 karta.png", "A 29921-2024")</f>
        <v/>
      </c>
      <c r="U214">
        <f>HYPERLINK("https://klasma.github.io/Logging_2303/knärot/A 29921-2024 karta knärot.png", "A 29921-2024")</f>
        <v/>
      </c>
      <c r="V214">
        <f>HYPERLINK("https://klasma.github.io/Logging_2303/klagomål/A 29921-2024 FSC-klagomål.docx", "A 29921-2024")</f>
        <v/>
      </c>
      <c r="W214">
        <f>HYPERLINK("https://klasma.github.io/Logging_2303/klagomålsmail/A 29921-2024 FSC-klagomål mail.docx", "A 29921-2024")</f>
        <v/>
      </c>
      <c r="X214">
        <f>HYPERLINK("https://klasma.github.io/Logging_2303/tillsyn/A 29921-2024 tillsynsbegäran.docx", "A 29921-2024")</f>
        <v/>
      </c>
      <c r="Y214">
        <f>HYPERLINK("https://klasma.github.io/Logging_2303/tillsynsmail/A 29921-2024 tillsynsbegäran mail.docx", "A 29921-2024")</f>
        <v/>
      </c>
    </row>
    <row r="215" ht="15" customHeight="1">
      <c r="A215" t="inlineStr">
        <is>
          <t>A 36975-2023</t>
        </is>
      </c>
      <c r="B215" s="1" t="n">
        <v>45154</v>
      </c>
      <c r="C215" s="1" t="n">
        <v>45932</v>
      </c>
      <c r="D215" t="inlineStr">
        <is>
          <t>JÄMTLANDS LÄN</t>
        </is>
      </c>
      <c r="E215" t="inlineStr">
        <is>
          <t>RAGUNDA</t>
        </is>
      </c>
      <c r="F215" t="inlineStr">
        <is>
          <t>SCA</t>
        </is>
      </c>
      <c r="G215" t="n">
        <v>3.8</v>
      </c>
      <c r="H215" t="n">
        <v>0</v>
      </c>
      <c r="I215" t="n">
        <v>0</v>
      </c>
      <c r="J215" t="n">
        <v>0</v>
      </c>
      <c r="K215" t="n">
        <v>1</v>
      </c>
      <c r="L215" t="n">
        <v>0</v>
      </c>
      <c r="M215" t="n">
        <v>0</v>
      </c>
      <c r="N215" t="n">
        <v>0</v>
      </c>
      <c r="O215" t="n">
        <v>1</v>
      </c>
      <c r="P215" t="n">
        <v>1</v>
      </c>
      <c r="Q215" t="n">
        <v>1</v>
      </c>
      <c r="R215" s="2" t="inlineStr">
        <is>
          <t>Gräddporing</t>
        </is>
      </c>
      <c r="S215">
        <f>HYPERLINK("https://klasma.github.io/Logging_2303/artfynd/A 36975-2023 artfynd.xlsx", "A 36975-2023")</f>
        <v/>
      </c>
      <c r="T215">
        <f>HYPERLINK("https://klasma.github.io/Logging_2303/kartor/A 36975-2023 karta.png", "A 36975-2023")</f>
        <v/>
      </c>
      <c r="V215">
        <f>HYPERLINK("https://klasma.github.io/Logging_2303/klagomål/A 36975-2023 FSC-klagomål.docx", "A 36975-2023")</f>
        <v/>
      </c>
      <c r="W215">
        <f>HYPERLINK("https://klasma.github.io/Logging_2303/klagomålsmail/A 36975-2023 FSC-klagomål mail.docx", "A 36975-2023")</f>
        <v/>
      </c>
      <c r="X215">
        <f>HYPERLINK("https://klasma.github.io/Logging_2303/tillsyn/A 36975-2023 tillsynsbegäran.docx", "A 36975-2023")</f>
        <v/>
      </c>
      <c r="Y215">
        <f>HYPERLINK("https://klasma.github.io/Logging_2303/tillsynsmail/A 36975-2023 tillsynsbegäran mail.docx", "A 36975-2023")</f>
        <v/>
      </c>
    </row>
    <row r="216" ht="15" customHeight="1">
      <c r="A216" t="inlineStr">
        <is>
          <t>A 2929-2024</t>
        </is>
      </c>
      <c r="B216" s="1" t="n">
        <v>45315</v>
      </c>
      <c r="C216" s="1" t="n">
        <v>45932</v>
      </c>
      <c r="D216" t="inlineStr">
        <is>
          <t>JÄMTLANDS LÄN</t>
        </is>
      </c>
      <c r="E216" t="inlineStr">
        <is>
          <t>RAGUNDA</t>
        </is>
      </c>
      <c r="G216" t="n">
        <v>1</v>
      </c>
      <c r="H216" t="n">
        <v>0</v>
      </c>
      <c r="I216" t="n">
        <v>0</v>
      </c>
      <c r="J216" t="n">
        <v>1</v>
      </c>
      <c r="K216" t="n">
        <v>0</v>
      </c>
      <c r="L216" t="n">
        <v>0</v>
      </c>
      <c r="M216" t="n">
        <v>0</v>
      </c>
      <c r="N216" t="n">
        <v>0</v>
      </c>
      <c r="O216" t="n">
        <v>1</v>
      </c>
      <c r="P216" t="n">
        <v>0</v>
      </c>
      <c r="Q216" t="n">
        <v>1</v>
      </c>
      <c r="R216" s="2" t="inlineStr">
        <is>
          <t>Klådris</t>
        </is>
      </c>
      <c r="S216">
        <f>HYPERLINK("https://klasma.github.io/Logging_2303/artfynd/A 2929-2024 artfynd.xlsx", "A 2929-2024")</f>
        <v/>
      </c>
      <c r="T216">
        <f>HYPERLINK("https://klasma.github.io/Logging_2303/kartor/A 2929-2024 karta.png", "A 2929-2024")</f>
        <v/>
      </c>
      <c r="V216">
        <f>HYPERLINK("https://klasma.github.io/Logging_2303/klagomål/A 2929-2024 FSC-klagomål.docx", "A 2929-2024")</f>
        <v/>
      </c>
      <c r="W216">
        <f>HYPERLINK("https://klasma.github.io/Logging_2303/klagomålsmail/A 2929-2024 FSC-klagomål mail.docx", "A 2929-2024")</f>
        <v/>
      </c>
      <c r="X216">
        <f>HYPERLINK("https://klasma.github.io/Logging_2303/tillsyn/A 2929-2024 tillsynsbegäran.docx", "A 2929-2024")</f>
        <v/>
      </c>
      <c r="Y216">
        <f>HYPERLINK("https://klasma.github.io/Logging_2303/tillsynsmail/A 2929-2024 tillsynsbegäran mail.docx", "A 2929-2024")</f>
        <v/>
      </c>
    </row>
    <row r="217" ht="15" customHeight="1">
      <c r="A217" t="inlineStr">
        <is>
          <t>A 19728-2025</t>
        </is>
      </c>
      <c r="B217" s="1" t="n">
        <v>45771.36548611111</v>
      </c>
      <c r="C217" s="1" t="n">
        <v>45932</v>
      </c>
      <c r="D217" t="inlineStr">
        <is>
          <t>JÄMTLANDS LÄN</t>
        </is>
      </c>
      <c r="E217" t="inlineStr">
        <is>
          <t>RAGUNDA</t>
        </is>
      </c>
      <c r="F217" t="inlineStr">
        <is>
          <t>SCA</t>
        </is>
      </c>
      <c r="G217" t="n">
        <v>6.2</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19728-2025 artfynd.xlsx", "A 19728-2025")</f>
        <v/>
      </c>
      <c r="T217">
        <f>HYPERLINK("https://klasma.github.io/Logging_2303/kartor/A 19728-2025 karta.png", "A 19728-2025")</f>
        <v/>
      </c>
      <c r="V217">
        <f>HYPERLINK("https://klasma.github.io/Logging_2303/klagomål/A 19728-2025 FSC-klagomål.docx", "A 19728-2025")</f>
        <v/>
      </c>
      <c r="W217">
        <f>HYPERLINK("https://klasma.github.io/Logging_2303/klagomålsmail/A 19728-2025 FSC-klagomål mail.docx", "A 19728-2025")</f>
        <v/>
      </c>
      <c r="X217">
        <f>HYPERLINK("https://klasma.github.io/Logging_2303/tillsyn/A 19728-2025 tillsynsbegäran.docx", "A 19728-2025")</f>
        <v/>
      </c>
      <c r="Y217">
        <f>HYPERLINK("https://klasma.github.io/Logging_2303/tillsynsmail/A 19728-2025 tillsynsbegäran mail.docx", "A 19728-2025")</f>
        <v/>
      </c>
      <c r="Z217">
        <f>HYPERLINK("https://klasma.github.io/Logging_2303/fåglar/A 19728-2025 prioriterade fågelarter.docx", "A 19728-2025")</f>
        <v/>
      </c>
    </row>
    <row r="218" ht="15" customHeight="1">
      <c r="A218" t="inlineStr">
        <is>
          <t>A 50233-2024</t>
        </is>
      </c>
      <c r="B218" s="1" t="n">
        <v>45600.55265046296</v>
      </c>
      <c r="C218" s="1" t="n">
        <v>45932</v>
      </c>
      <c r="D218" t="inlineStr">
        <is>
          <t>JÄMTLANDS LÄN</t>
        </is>
      </c>
      <c r="E218" t="inlineStr">
        <is>
          <t>RAGUNDA</t>
        </is>
      </c>
      <c r="F218" t="inlineStr">
        <is>
          <t>SCA</t>
        </is>
      </c>
      <c r="G218" t="n">
        <v>5.6</v>
      </c>
      <c r="H218" t="n">
        <v>0</v>
      </c>
      <c r="I218" t="n">
        <v>0</v>
      </c>
      <c r="J218" t="n">
        <v>1</v>
      </c>
      <c r="K218" t="n">
        <v>0</v>
      </c>
      <c r="L218" t="n">
        <v>0</v>
      </c>
      <c r="M218" t="n">
        <v>0</v>
      </c>
      <c r="N218" t="n">
        <v>0</v>
      </c>
      <c r="O218" t="n">
        <v>1</v>
      </c>
      <c r="P218" t="n">
        <v>0</v>
      </c>
      <c r="Q218" t="n">
        <v>1</v>
      </c>
      <c r="R218" s="2" t="inlineStr">
        <is>
          <t>Granticka</t>
        </is>
      </c>
      <c r="S218">
        <f>HYPERLINK("https://klasma.github.io/Logging_2303/artfynd/A 50233-2024 artfynd.xlsx", "A 50233-2024")</f>
        <v/>
      </c>
      <c r="T218">
        <f>HYPERLINK("https://klasma.github.io/Logging_2303/kartor/A 50233-2024 karta.png", "A 50233-2024")</f>
        <v/>
      </c>
      <c r="V218">
        <f>HYPERLINK("https://klasma.github.io/Logging_2303/klagomål/A 50233-2024 FSC-klagomål.docx", "A 50233-2024")</f>
        <v/>
      </c>
      <c r="W218">
        <f>HYPERLINK("https://klasma.github.io/Logging_2303/klagomålsmail/A 50233-2024 FSC-klagomål mail.docx", "A 50233-2024")</f>
        <v/>
      </c>
      <c r="X218">
        <f>HYPERLINK("https://klasma.github.io/Logging_2303/tillsyn/A 50233-2024 tillsynsbegäran.docx", "A 50233-2024")</f>
        <v/>
      </c>
      <c r="Y218">
        <f>HYPERLINK("https://klasma.github.io/Logging_2303/tillsynsmail/A 50233-2024 tillsynsbegäran mail.docx", "A 50233-2024")</f>
        <v/>
      </c>
    </row>
    <row r="219" ht="15" customHeight="1">
      <c r="A219" t="inlineStr">
        <is>
          <t>A 58846-2024</t>
        </is>
      </c>
      <c r="B219" s="1" t="n">
        <v>45636.3863425926</v>
      </c>
      <c r="C219" s="1" t="n">
        <v>45932</v>
      </c>
      <c r="D219" t="inlineStr">
        <is>
          <t>JÄMTLANDS LÄN</t>
        </is>
      </c>
      <c r="E219" t="inlineStr">
        <is>
          <t>RAGUNDA</t>
        </is>
      </c>
      <c r="F219" t="inlineStr">
        <is>
          <t>SCA</t>
        </is>
      </c>
      <c r="G219" t="n">
        <v>1.5</v>
      </c>
      <c r="H219" t="n">
        <v>0</v>
      </c>
      <c r="I219" t="n">
        <v>0</v>
      </c>
      <c r="J219" t="n">
        <v>0</v>
      </c>
      <c r="K219" t="n">
        <v>1</v>
      </c>
      <c r="L219" t="n">
        <v>0</v>
      </c>
      <c r="M219" t="n">
        <v>0</v>
      </c>
      <c r="N219" t="n">
        <v>0</v>
      </c>
      <c r="O219" t="n">
        <v>1</v>
      </c>
      <c r="P219" t="n">
        <v>1</v>
      </c>
      <c r="Q219" t="n">
        <v>1</v>
      </c>
      <c r="R219" s="2" t="inlineStr">
        <is>
          <t>Rynkskinn</t>
        </is>
      </c>
      <c r="S219">
        <f>HYPERLINK("https://klasma.github.io/Logging_2303/artfynd/A 58846-2024 artfynd.xlsx", "A 58846-2024")</f>
        <v/>
      </c>
      <c r="T219">
        <f>HYPERLINK("https://klasma.github.io/Logging_2303/kartor/A 58846-2024 karta.png", "A 58846-2024")</f>
        <v/>
      </c>
      <c r="V219">
        <f>HYPERLINK("https://klasma.github.io/Logging_2303/klagomål/A 58846-2024 FSC-klagomål.docx", "A 58846-2024")</f>
        <v/>
      </c>
      <c r="W219">
        <f>HYPERLINK("https://klasma.github.io/Logging_2303/klagomålsmail/A 58846-2024 FSC-klagomål mail.docx", "A 58846-2024")</f>
        <v/>
      </c>
      <c r="X219">
        <f>HYPERLINK("https://klasma.github.io/Logging_2303/tillsyn/A 58846-2024 tillsynsbegäran.docx", "A 58846-2024")</f>
        <v/>
      </c>
      <c r="Y219">
        <f>HYPERLINK("https://klasma.github.io/Logging_2303/tillsynsmail/A 58846-2024 tillsynsbegäran mail.docx", "A 58846-2024")</f>
        <v/>
      </c>
    </row>
    <row r="220" ht="15" customHeight="1">
      <c r="A220" t="inlineStr">
        <is>
          <t>A 36854-2023</t>
        </is>
      </c>
      <c r="B220" s="1" t="n">
        <v>45153</v>
      </c>
      <c r="C220" s="1" t="n">
        <v>45932</v>
      </c>
      <c r="D220" t="inlineStr">
        <is>
          <t>JÄMTLANDS LÄN</t>
        </is>
      </c>
      <c r="E220" t="inlineStr">
        <is>
          <t>RAGUNDA</t>
        </is>
      </c>
      <c r="G220" t="n">
        <v>4</v>
      </c>
      <c r="H220" t="n">
        <v>1</v>
      </c>
      <c r="I220" t="n">
        <v>0</v>
      </c>
      <c r="J220" t="n">
        <v>1</v>
      </c>
      <c r="K220" t="n">
        <v>0</v>
      </c>
      <c r="L220" t="n">
        <v>0</v>
      </c>
      <c r="M220" t="n">
        <v>0</v>
      </c>
      <c r="N220" t="n">
        <v>0</v>
      </c>
      <c r="O220" t="n">
        <v>1</v>
      </c>
      <c r="P220" t="n">
        <v>0</v>
      </c>
      <c r="Q220" t="n">
        <v>1</v>
      </c>
      <c r="R220" s="2" t="inlineStr">
        <is>
          <t>Talltita</t>
        </is>
      </c>
      <c r="S220">
        <f>HYPERLINK("https://klasma.github.io/Logging_2303/artfynd/A 36854-2023 artfynd.xlsx", "A 36854-2023")</f>
        <v/>
      </c>
      <c r="T220">
        <f>HYPERLINK("https://klasma.github.io/Logging_2303/kartor/A 36854-2023 karta.png", "A 36854-2023")</f>
        <v/>
      </c>
      <c r="V220">
        <f>HYPERLINK("https://klasma.github.io/Logging_2303/klagomål/A 36854-2023 FSC-klagomål.docx", "A 36854-2023")</f>
        <v/>
      </c>
      <c r="W220">
        <f>HYPERLINK("https://klasma.github.io/Logging_2303/klagomålsmail/A 36854-2023 FSC-klagomål mail.docx", "A 36854-2023")</f>
        <v/>
      </c>
      <c r="X220">
        <f>HYPERLINK("https://klasma.github.io/Logging_2303/tillsyn/A 36854-2023 tillsynsbegäran.docx", "A 36854-2023")</f>
        <v/>
      </c>
      <c r="Y220">
        <f>HYPERLINK("https://klasma.github.io/Logging_2303/tillsynsmail/A 36854-2023 tillsynsbegäran mail.docx", "A 36854-2023")</f>
        <v/>
      </c>
      <c r="Z220">
        <f>HYPERLINK("https://klasma.github.io/Logging_2303/fåglar/A 36854-2023 prioriterade fågelarter.docx", "A 36854-2023")</f>
        <v/>
      </c>
    </row>
    <row r="221" ht="15" customHeight="1">
      <c r="A221" t="inlineStr">
        <is>
          <t>A 978-2024</t>
        </is>
      </c>
      <c r="B221" s="1" t="n">
        <v>45301</v>
      </c>
      <c r="C221" s="1" t="n">
        <v>45932</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45932</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18985-2023</t>
        </is>
      </c>
      <c r="B223" s="1" t="n">
        <v>45044</v>
      </c>
      <c r="C223" s="1" t="n">
        <v>45932</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Doftskinn</t>
        </is>
      </c>
      <c r="S223">
        <f>HYPERLINK("https://klasma.github.io/Logging_2303/artfynd/A 18985-2023 artfynd.xlsx", "A 18985-2023")</f>
        <v/>
      </c>
      <c r="T223">
        <f>HYPERLINK("https://klasma.github.io/Logging_2303/kartor/A 18985-2023 karta.png", "A 18985-2023")</f>
        <v/>
      </c>
      <c r="V223">
        <f>HYPERLINK("https://klasma.github.io/Logging_2303/klagomål/A 18985-2023 FSC-klagomål.docx", "A 18985-2023")</f>
        <v/>
      </c>
      <c r="W223">
        <f>HYPERLINK("https://klasma.github.io/Logging_2303/klagomålsmail/A 18985-2023 FSC-klagomål mail.docx", "A 18985-2023")</f>
        <v/>
      </c>
      <c r="X223">
        <f>HYPERLINK("https://klasma.github.io/Logging_2303/tillsyn/A 18985-2023 tillsynsbegäran.docx", "A 18985-2023")</f>
        <v/>
      </c>
      <c r="Y223">
        <f>HYPERLINK("https://klasma.github.io/Logging_2303/tillsynsmail/A 18985-2023 tillsynsbegäran mail.docx", "A 18985-2023")</f>
        <v/>
      </c>
    </row>
    <row r="224" ht="15" customHeight="1">
      <c r="A224" t="inlineStr">
        <is>
          <t>A 30485-2024</t>
        </is>
      </c>
      <c r="B224" s="1" t="n">
        <v>45491.95008101852</v>
      </c>
      <c r="C224" s="1" t="n">
        <v>45932</v>
      </c>
      <c r="D224" t="inlineStr">
        <is>
          <t>JÄMTLANDS LÄN</t>
        </is>
      </c>
      <c r="E224" t="inlineStr">
        <is>
          <t>RAGUNDA</t>
        </is>
      </c>
      <c r="F224" t="inlineStr">
        <is>
          <t>SCA</t>
        </is>
      </c>
      <c r="G224" t="n">
        <v>2</v>
      </c>
      <c r="H224" t="n">
        <v>0</v>
      </c>
      <c r="I224" t="n">
        <v>0</v>
      </c>
      <c r="J224" t="n">
        <v>1</v>
      </c>
      <c r="K224" t="n">
        <v>0</v>
      </c>
      <c r="L224" t="n">
        <v>0</v>
      </c>
      <c r="M224" t="n">
        <v>0</v>
      </c>
      <c r="N224" t="n">
        <v>0</v>
      </c>
      <c r="O224" t="n">
        <v>1</v>
      </c>
      <c r="P224" t="n">
        <v>0</v>
      </c>
      <c r="Q224" t="n">
        <v>1</v>
      </c>
      <c r="R224" s="2" t="inlineStr">
        <is>
          <t>Garnlav</t>
        </is>
      </c>
      <c r="S224">
        <f>HYPERLINK("https://klasma.github.io/Logging_2303/artfynd/A 30485-2024 artfynd.xlsx", "A 30485-2024")</f>
        <v/>
      </c>
      <c r="T224">
        <f>HYPERLINK("https://klasma.github.io/Logging_2303/kartor/A 30485-2024 karta.png", "A 30485-2024")</f>
        <v/>
      </c>
      <c r="V224">
        <f>HYPERLINK("https://klasma.github.io/Logging_2303/klagomål/A 30485-2024 FSC-klagomål.docx", "A 30485-2024")</f>
        <v/>
      </c>
      <c r="W224">
        <f>HYPERLINK("https://klasma.github.io/Logging_2303/klagomålsmail/A 30485-2024 FSC-klagomål mail.docx", "A 30485-2024")</f>
        <v/>
      </c>
      <c r="X224">
        <f>HYPERLINK("https://klasma.github.io/Logging_2303/tillsyn/A 30485-2024 tillsynsbegäran.docx", "A 30485-2024")</f>
        <v/>
      </c>
      <c r="Y224">
        <f>HYPERLINK("https://klasma.github.io/Logging_2303/tillsynsmail/A 30485-2024 tillsynsbegäran mail.docx", "A 30485-2024")</f>
        <v/>
      </c>
    </row>
    <row r="225" ht="15" customHeight="1">
      <c r="A225" t="inlineStr">
        <is>
          <t>A 35750-2023</t>
        </is>
      </c>
      <c r="B225" s="1" t="n">
        <v>45147</v>
      </c>
      <c r="C225" s="1" t="n">
        <v>45932</v>
      </c>
      <c r="D225" t="inlineStr">
        <is>
          <t>JÄMTLANDS LÄN</t>
        </is>
      </c>
      <c r="E225" t="inlineStr">
        <is>
          <t>RAGUNDA</t>
        </is>
      </c>
      <c r="F225" t="inlineStr">
        <is>
          <t>SCA</t>
        </is>
      </c>
      <c r="G225" t="n">
        <v>4.8</v>
      </c>
      <c r="H225" t="n">
        <v>0</v>
      </c>
      <c r="I225" t="n">
        <v>0</v>
      </c>
      <c r="J225" t="n">
        <v>1</v>
      </c>
      <c r="K225" t="n">
        <v>0</v>
      </c>
      <c r="L225" t="n">
        <v>0</v>
      </c>
      <c r="M225" t="n">
        <v>0</v>
      </c>
      <c r="N225" t="n">
        <v>0</v>
      </c>
      <c r="O225" t="n">
        <v>1</v>
      </c>
      <c r="P225" t="n">
        <v>0</v>
      </c>
      <c r="Q225" t="n">
        <v>1</v>
      </c>
      <c r="R225" s="2" t="inlineStr">
        <is>
          <t>Grantaggsvamp</t>
        </is>
      </c>
      <c r="S225">
        <f>HYPERLINK("https://klasma.github.io/Logging_2303/artfynd/A 35750-2023 artfynd.xlsx", "A 35750-2023")</f>
        <v/>
      </c>
      <c r="T225">
        <f>HYPERLINK("https://klasma.github.io/Logging_2303/kartor/A 35750-2023 karta.png", "A 35750-2023")</f>
        <v/>
      </c>
      <c r="V225">
        <f>HYPERLINK("https://klasma.github.io/Logging_2303/klagomål/A 35750-2023 FSC-klagomål.docx", "A 35750-2023")</f>
        <v/>
      </c>
      <c r="W225">
        <f>HYPERLINK("https://klasma.github.io/Logging_2303/klagomålsmail/A 35750-2023 FSC-klagomål mail.docx", "A 35750-2023")</f>
        <v/>
      </c>
      <c r="X225">
        <f>HYPERLINK("https://klasma.github.io/Logging_2303/tillsyn/A 35750-2023 tillsynsbegäran.docx", "A 35750-2023")</f>
        <v/>
      </c>
      <c r="Y225">
        <f>HYPERLINK("https://klasma.github.io/Logging_2303/tillsynsmail/A 35750-2023 tillsynsbegäran mail.docx", "A 35750-2023")</f>
        <v/>
      </c>
    </row>
    <row r="226" ht="15" customHeight="1">
      <c r="A226" t="inlineStr">
        <is>
          <t>A 27573-2025</t>
        </is>
      </c>
      <c r="B226" s="1" t="n">
        <v>45813.49061342593</v>
      </c>
      <c r="C226" s="1" t="n">
        <v>45932</v>
      </c>
      <c r="D226" t="inlineStr">
        <is>
          <t>JÄMTLANDS LÄN</t>
        </is>
      </c>
      <c r="E226" t="inlineStr">
        <is>
          <t>RAGUNDA</t>
        </is>
      </c>
      <c r="F226" t="inlineStr">
        <is>
          <t>SCA</t>
        </is>
      </c>
      <c r="G226" t="n">
        <v>14.9</v>
      </c>
      <c r="H226" t="n">
        <v>0</v>
      </c>
      <c r="I226" t="n">
        <v>1</v>
      </c>
      <c r="J226" t="n">
        <v>0</v>
      </c>
      <c r="K226" t="n">
        <v>0</v>
      </c>
      <c r="L226" t="n">
        <v>0</v>
      </c>
      <c r="M226" t="n">
        <v>0</v>
      </c>
      <c r="N226" t="n">
        <v>0</v>
      </c>
      <c r="O226" t="n">
        <v>0</v>
      </c>
      <c r="P226" t="n">
        <v>0</v>
      </c>
      <c r="Q226" t="n">
        <v>1</v>
      </c>
      <c r="R226" s="2" t="inlineStr">
        <is>
          <t>Skinnlav</t>
        </is>
      </c>
      <c r="S226">
        <f>HYPERLINK("https://klasma.github.io/Logging_2303/artfynd/A 27573-2025 artfynd.xlsx", "A 27573-2025")</f>
        <v/>
      </c>
      <c r="T226">
        <f>HYPERLINK("https://klasma.github.io/Logging_2303/kartor/A 27573-2025 karta.png", "A 27573-2025")</f>
        <v/>
      </c>
      <c r="U226">
        <f>HYPERLINK("https://klasma.github.io/Logging_2303/knärot/A 27573-2025 karta knärot.png", "A 27573-2025")</f>
        <v/>
      </c>
      <c r="V226">
        <f>HYPERLINK("https://klasma.github.io/Logging_2303/klagomål/A 27573-2025 FSC-klagomål.docx", "A 27573-2025")</f>
        <v/>
      </c>
      <c r="W226">
        <f>HYPERLINK("https://klasma.github.io/Logging_2303/klagomålsmail/A 27573-2025 FSC-klagomål mail.docx", "A 27573-2025")</f>
        <v/>
      </c>
      <c r="X226">
        <f>HYPERLINK("https://klasma.github.io/Logging_2303/tillsyn/A 27573-2025 tillsynsbegäran.docx", "A 27573-2025")</f>
        <v/>
      </c>
      <c r="Y226">
        <f>HYPERLINK("https://klasma.github.io/Logging_2303/tillsynsmail/A 27573-2025 tillsynsbegäran mail.docx", "A 27573-2025")</f>
        <v/>
      </c>
    </row>
    <row r="227" ht="15" customHeight="1">
      <c r="A227" t="inlineStr">
        <is>
          <t>A 31773-2021</t>
        </is>
      </c>
      <c r="B227" s="1" t="n">
        <v>44369</v>
      </c>
      <c r="C227" s="1" t="n">
        <v>45932</v>
      </c>
      <c r="D227" t="inlineStr">
        <is>
          <t>JÄMTLANDS LÄN</t>
        </is>
      </c>
      <c r="E227" t="inlineStr">
        <is>
          <t>RAGUNDA</t>
        </is>
      </c>
      <c r="G227" t="n">
        <v>0.8</v>
      </c>
      <c r="H227" t="n">
        <v>0</v>
      </c>
      <c r="I227" t="n">
        <v>0</v>
      </c>
      <c r="J227" t="n">
        <v>0</v>
      </c>
      <c r="K227" t="n">
        <v>1</v>
      </c>
      <c r="L227" t="n">
        <v>0</v>
      </c>
      <c r="M227" t="n">
        <v>0</v>
      </c>
      <c r="N227" t="n">
        <v>0</v>
      </c>
      <c r="O227" t="n">
        <v>1</v>
      </c>
      <c r="P227" t="n">
        <v>1</v>
      </c>
      <c r="Q227" t="n">
        <v>1</v>
      </c>
      <c r="R227" s="2" t="inlineStr">
        <is>
          <t>Strandsandjägare</t>
        </is>
      </c>
      <c r="S227">
        <f>HYPERLINK("https://klasma.github.io/Logging_2303/artfynd/A 31773-2021 artfynd.xlsx", "A 31773-2021")</f>
        <v/>
      </c>
      <c r="T227">
        <f>HYPERLINK("https://klasma.github.io/Logging_2303/kartor/A 31773-2021 karta.png", "A 31773-2021")</f>
        <v/>
      </c>
      <c r="V227">
        <f>HYPERLINK("https://klasma.github.io/Logging_2303/klagomål/A 31773-2021 FSC-klagomål.docx", "A 31773-2021")</f>
        <v/>
      </c>
      <c r="W227">
        <f>HYPERLINK("https://klasma.github.io/Logging_2303/klagomålsmail/A 31773-2021 FSC-klagomål mail.docx", "A 31773-2021")</f>
        <v/>
      </c>
      <c r="X227">
        <f>HYPERLINK("https://klasma.github.io/Logging_2303/tillsyn/A 31773-2021 tillsynsbegäran.docx", "A 31773-2021")</f>
        <v/>
      </c>
      <c r="Y227">
        <f>HYPERLINK("https://klasma.github.io/Logging_2303/tillsynsmail/A 31773-2021 tillsynsbegäran mail.docx", "A 31773-2021")</f>
        <v/>
      </c>
    </row>
    <row r="228" ht="15" customHeight="1">
      <c r="A228" t="inlineStr">
        <is>
          <t>A 30390-2025</t>
        </is>
      </c>
      <c r="B228" s="1" t="n">
        <v>45827.57371527778</v>
      </c>
      <c r="C228" s="1" t="n">
        <v>45932</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26317-2024</t>
        </is>
      </c>
      <c r="B229" s="1" t="n">
        <v>45468</v>
      </c>
      <c r="C229" s="1" t="n">
        <v>45932</v>
      </c>
      <c r="D229" t="inlineStr">
        <is>
          <t>JÄMTLANDS LÄN</t>
        </is>
      </c>
      <c r="E229" t="inlineStr">
        <is>
          <t>RAGUNDA</t>
        </is>
      </c>
      <c r="F229" t="inlineStr">
        <is>
          <t>SCA</t>
        </is>
      </c>
      <c r="G229" t="n">
        <v>3.8</v>
      </c>
      <c r="H229" t="n">
        <v>0</v>
      </c>
      <c r="I229" t="n">
        <v>0</v>
      </c>
      <c r="J229" t="n">
        <v>1</v>
      </c>
      <c r="K229" t="n">
        <v>0</v>
      </c>
      <c r="L229" t="n">
        <v>0</v>
      </c>
      <c r="M229" t="n">
        <v>0</v>
      </c>
      <c r="N229" t="n">
        <v>0</v>
      </c>
      <c r="O229" t="n">
        <v>1</v>
      </c>
      <c r="P229" t="n">
        <v>0</v>
      </c>
      <c r="Q229" t="n">
        <v>1</v>
      </c>
      <c r="R229" s="2" t="inlineStr">
        <is>
          <t>Kortskaftad ärgspik</t>
        </is>
      </c>
      <c r="S229">
        <f>HYPERLINK("https://klasma.github.io/Logging_2303/artfynd/A 26317-2024 artfynd.xlsx", "A 26317-2024")</f>
        <v/>
      </c>
      <c r="T229">
        <f>HYPERLINK("https://klasma.github.io/Logging_2303/kartor/A 26317-2024 karta.png", "A 26317-2024")</f>
        <v/>
      </c>
      <c r="V229">
        <f>HYPERLINK("https://klasma.github.io/Logging_2303/klagomål/A 26317-2024 FSC-klagomål.docx", "A 26317-2024")</f>
        <v/>
      </c>
      <c r="W229">
        <f>HYPERLINK("https://klasma.github.io/Logging_2303/klagomålsmail/A 26317-2024 FSC-klagomål mail.docx", "A 26317-2024")</f>
        <v/>
      </c>
      <c r="X229">
        <f>HYPERLINK("https://klasma.github.io/Logging_2303/tillsyn/A 26317-2024 tillsynsbegäran.docx", "A 26317-2024")</f>
        <v/>
      </c>
      <c r="Y229">
        <f>HYPERLINK("https://klasma.github.io/Logging_2303/tillsynsmail/A 26317-2024 tillsynsbegäran mail.docx", "A 26317-2024")</f>
        <v/>
      </c>
    </row>
    <row r="230" ht="15" customHeight="1">
      <c r="A230" t="inlineStr">
        <is>
          <t>A 22054-2025</t>
        </is>
      </c>
      <c r="B230" s="1" t="n">
        <v>45785.36525462963</v>
      </c>
      <c r="C230" s="1" t="n">
        <v>45932</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49091-2022</t>
        </is>
      </c>
      <c r="B231" s="1" t="n">
        <v>44860</v>
      </c>
      <c r="C231" s="1" t="n">
        <v>45932</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32445-2025</t>
        </is>
      </c>
      <c r="B232" s="1" t="n">
        <v>45838.38627314815</v>
      </c>
      <c r="C232" s="1" t="n">
        <v>45932</v>
      </c>
      <c r="D232" t="inlineStr">
        <is>
          <t>JÄMTLANDS LÄN</t>
        </is>
      </c>
      <c r="E232" t="inlineStr">
        <is>
          <t>RAGUNDA</t>
        </is>
      </c>
      <c r="F232" t="inlineStr">
        <is>
          <t>SCA</t>
        </is>
      </c>
      <c r="G232" t="n">
        <v>1.6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32445-2025 artfynd.xlsx", "A 32445-2025")</f>
        <v/>
      </c>
      <c r="T232">
        <f>HYPERLINK("https://klasma.github.io/Logging_2303/kartor/A 32445-2025 karta.png", "A 32445-2025")</f>
        <v/>
      </c>
      <c r="V232">
        <f>HYPERLINK("https://klasma.github.io/Logging_2303/klagomål/A 32445-2025 FSC-klagomål.docx", "A 32445-2025")</f>
        <v/>
      </c>
      <c r="W232">
        <f>HYPERLINK("https://klasma.github.io/Logging_2303/klagomålsmail/A 32445-2025 FSC-klagomål mail.docx", "A 32445-2025")</f>
        <v/>
      </c>
      <c r="X232">
        <f>HYPERLINK("https://klasma.github.io/Logging_2303/tillsyn/A 32445-2025 tillsynsbegäran.docx", "A 32445-2025")</f>
        <v/>
      </c>
      <c r="Y232">
        <f>HYPERLINK("https://klasma.github.io/Logging_2303/tillsynsmail/A 32445-2025 tillsynsbegäran mail.docx", "A 32445-2025")</f>
        <v/>
      </c>
      <c r="Z232">
        <f>HYPERLINK("https://klasma.github.io/Logging_2303/fåglar/A 32445-2025 prioriterade fågelarter.docx", "A 32445-2025")</f>
        <v/>
      </c>
    </row>
    <row r="233" ht="15" customHeight="1">
      <c r="A233" t="inlineStr">
        <is>
          <t>A 34474-2025</t>
        </is>
      </c>
      <c r="B233" s="1" t="n">
        <v>45847.36528935185</v>
      </c>
      <c r="C233" s="1" t="n">
        <v>45932</v>
      </c>
      <c r="D233" t="inlineStr">
        <is>
          <t>JÄMTLANDS LÄN</t>
        </is>
      </c>
      <c r="E233" t="inlineStr">
        <is>
          <t>RAGUNDA</t>
        </is>
      </c>
      <c r="F233" t="inlineStr">
        <is>
          <t>SCA</t>
        </is>
      </c>
      <c r="G233" t="n">
        <v>9.699999999999999</v>
      </c>
      <c r="H233" t="n">
        <v>1</v>
      </c>
      <c r="I233" t="n">
        <v>0</v>
      </c>
      <c r="J233" t="n">
        <v>1</v>
      </c>
      <c r="K233" t="n">
        <v>0</v>
      </c>
      <c r="L233" t="n">
        <v>0</v>
      </c>
      <c r="M233" t="n">
        <v>0</v>
      </c>
      <c r="N233" t="n">
        <v>0</v>
      </c>
      <c r="O233" t="n">
        <v>1</v>
      </c>
      <c r="P233" t="n">
        <v>0</v>
      </c>
      <c r="Q233" t="n">
        <v>1</v>
      </c>
      <c r="R233" s="2" t="inlineStr">
        <is>
          <t>Fjällvråk</t>
        </is>
      </c>
      <c r="S233">
        <f>HYPERLINK("https://klasma.github.io/Logging_2303/artfynd/A 34474-2025 artfynd.xlsx", "A 34474-2025")</f>
        <v/>
      </c>
      <c r="T233">
        <f>HYPERLINK("https://klasma.github.io/Logging_2303/kartor/A 34474-2025 karta.png", "A 34474-2025")</f>
        <v/>
      </c>
      <c r="V233">
        <f>HYPERLINK("https://klasma.github.io/Logging_2303/klagomål/A 34474-2025 FSC-klagomål.docx", "A 34474-2025")</f>
        <v/>
      </c>
      <c r="W233">
        <f>HYPERLINK("https://klasma.github.io/Logging_2303/klagomålsmail/A 34474-2025 FSC-klagomål mail.docx", "A 34474-2025")</f>
        <v/>
      </c>
      <c r="X233">
        <f>HYPERLINK("https://klasma.github.io/Logging_2303/tillsyn/A 34474-2025 tillsynsbegäran.docx", "A 34474-2025")</f>
        <v/>
      </c>
      <c r="Y233">
        <f>HYPERLINK("https://klasma.github.io/Logging_2303/tillsynsmail/A 34474-2025 tillsynsbegäran mail.docx", "A 34474-2025")</f>
        <v/>
      </c>
      <c r="Z233">
        <f>HYPERLINK("https://klasma.github.io/Logging_2303/fåglar/A 34474-2025 prioriterade fågelarter.docx", "A 34474-2025")</f>
        <v/>
      </c>
    </row>
    <row r="234" ht="15" customHeight="1">
      <c r="A234" t="inlineStr">
        <is>
          <t>A 50164-2023</t>
        </is>
      </c>
      <c r="B234" s="1" t="n">
        <v>45208</v>
      </c>
      <c r="C234" s="1" t="n">
        <v>45932</v>
      </c>
      <c r="D234" t="inlineStr">
        <is>
          <t>JÄMTLANDS LÄN</t>
        </is>
      </c>
      <c r="E234" t="inlineStr">
        <is>
          <t>RAGUNDA</t>
        </is>
      </c>
      <c r="G234" t="n">
        <v>2.9</v>
      </c>
      <c r="H234" t="n">
        <v>0</v>
      </c>
      <c r="I234" t="n">
        <v>0</v>
      </c>
      <c r="J234" t="n">
        <v>0</v>
      </c>
      <c r="K234" t="n">
        <v>1</v>
      </c>
      <c r="L234" t="n">
        <v>0</v>
      </c>
      <c r="M234" t="n">
        <v>0</v>
      </c>
      <c r="N234" t="n">
        <v>0</v>
      </c>
      <c r="O234" t="n">
        <v>1</v>
      </c>
      <c r="P234" t="n">
        <v>1</v>
      </c>
      <c r="Q234" t="n">
        <v>1</v>
      </c>
      <c r="R234" s="2" t="inlineStr">
        <is>
          <t>Mindre barkplattbagge</t>
        </is>
      </c>
      <c r="S234">
        <f>HYPERLINK("https://klasma.github.io/Logging_2303/artfynd/A 50164-2023 artfynd.xlsx", "A 50164-2023")</f>
        <v/>
      </c>
      <c r="T234">
        <f>HYPERLINK("https://klasma.github.io/Logging_2303/kartor/A 50164-2023 karta.png", "A 50164-2023")</f>
        <v/>
      </c>
      <c r="V234">
        <f>HYPERLINK("https://klasma.github.io/Logging_2303/klagomål/A 50164-2023 FSC-klagomål.docx", "A 50164-2023")</f>
        <v/>
      </c>
      <c r="W234">
        <f>HYPERLINK("https://klasma.github.io/Logging_2303/klagomålsmail/A 50164-2023 FSC-klagomål mail.docx", "A 50164-2023")</f>
        <v/>
      </c>
      <c r="X234">
        <f>HYPERLINK("https://klasma.github.io/Logging_2303/tillsyn/A 50164-2023 tillsynsbegäran.docx", "A 50164-2023")</f>
        <v/>
      </c>
      <c r="Y234">
        <f>HYPERLINK("https://klasma.github.io/Logging_2303/tillsynsmail/A 50164-2023 tillsynsbegäran mail.docx", "A 50164-2023")</f>
        <v/>
      </c>
    </row>
    <row r="235" ht="15" customHeight="1">
      <c r="A235" t="inlineStr">
        <is>
          <t>A 40841-2025</t>
        </is>
      </c>
      <c r="B235" s="1" t="n">
        <v>45897.531875</v>
      </c>
      <c r="C235" s="1" t="n">
        <v>45932</v>
      </c>
      <c r="D235" t="inlineStr">
        <is>
          <t>JÄMTLANDS LÄN</t>
        </is>
      </c>
      <c r="E235" t="inlineStr">
        <is>
          <t>RAGUNDA</t>
        </is>
      </c>
      <c r="F235" t="inlineStr">
        <is>
          <t>SCA</t>
        </is>
      </c>
      <c r="G235" t="n">
        <v>1.1</v>
      </c>
      <c r="H235" t="n">
        <v>0</v>
      </c>
      <c r="I235" t="n">
        <v>0</v>
      </c>
      <c r="J235" t="n">
        <v>1</v>
      </c>
      <c r="K235" t="n">
        <v>0</v>
      </c>
      <c r="L235" t="n">
        <v>0</v>
      </c>
      <c r="M235" t="n">
        <v>0</v>
      </c>
      <c r="N235" t="n">
        <v>0</v>
      </c>
      <c r="O235" t="n">
        <v>1</v>
      </c>
      <c r="P235" t="n">
        <v>0</v>
      </c>
      <c r="Q235" t="n">
        <v>1</v>
      </c>
      <c r="R235" s="2" t="inlineStr">
        <is>
          <t>Garnlav</t>
        </is>
      </c>
      <c r="S235">
        <f>HYPERLINK("https://klasma.github.io/Logging_2303/artfynd/A 40841-2025 artfynd.xlsx", "A 40841-2025")</f>
        <v/>
      </c>
      <c r="T235">
        <f>HYPERLINK("https://klasma.github.io/Logging_2303/kartor/A 40841-2025 karta.png", "A 40841-2025")</f>
        <v/>
      </c>
      <c r="V235">
        <f>HYPERLINK("https://klasma.github.io/Logging_2303/klagomål/A 40841-2025 FSC-klagomål.docx", "A 40841-2025")</f>
        <v/>
      </c>
      <c r="W235">
        <f>HYPERLINK("https://klasma.github.io/Logging_2303/klagomålsmail/A 40841-2025 FSC-klagomål mail.docx", "A 40841-2025")</f>
        <v/>
      </c>
      <c r="X235">
        <f>HYPERLINK("https://klasma.github.io/Logging_2303/tillsyn/A 40841-2025 tillsynsbegäran.docx", "A 40841-2025")</f>
        <v/>
      </c>
      <c r="Y235">
        <f>HYPERLINK("https://klasma.github.io/Logging_2303/tillsynsmail/A 40841-2025 tillsynsbegäran mail.docx", "A 40841-2025")</f>
        <v/>
      </c>
    </row>
    <row r="236" ht="15" customHeight="1">
      <c r="A236" t="inlineStr">
        <is>
          <t>A 48429-2023</t>
        </is>
      </c>
      <c r="B236" s="1" t="n">
        <v>45205</v>
      </c>
      <c r="C236" s="1" t="n">
        <v>45932</v>
      </c>
      <c r="D236" t="inlineStr">
        <is>
          <t>JÄMTLANDS LÄN</t>
        </is>
      </c>
      <c r="E236" t="inlineStr">
        <is>
          <t>RAGUNDA</t>
        </is>
      </c>
      <c r="F236" t="inlineStr">
        <is>
          <t>SCA</t>
        </is>
      </c>
      <c r="G236" t="n">
        <v>1.8</v>
      </c>
      <c r="H236" t="n">
        <v>0</v>
      </c>
      <c r="I236" t="n">
        <v>1</v>
      </c>
      <c r="J236" t="n">
        <v>0</v>
      </c>
      <c r="K236" t="n">
        <v>0</v>
      </c>
      <c r="L236" t="n">
        <v>0</v>
      </c>
      <c r="M236" t="n">
        <v>0</v>
      </c>
      <c r="N236" t="n">
        <v>0</v>
      </c>
      <c r="O236" t="n">
        <v>0</v>
      </c>
      <c r="P236" t="n">
        <v>0</v>
      </c>
      <c r="Q236" t="n">
        <v>1</v>
      </c>
      <c r="R236" s="2" t="inlineStr">
        <is>
          <t>Dropptaggsvamp</t>
        </is>
      </c>
      <c r="S236">
        <f>HYPERLINK("https://klasma.github.io/Logging_2303/artfynd/A 48429-2023 artfynd.xlsx", "A 48429-2023")</f>
        <v/>
      </c>
      <c r="T236">
        <f>HYPERLINK("https://klasma.github.io/Logging_2303/kartor/A 48429-2023 karta.png", "A 48429-2023")</f>
        <v/>
      </c>
      <c r="V236">
        <f>HYPERLINK("https://klasma.github.io/Logging_2303/klagomål/A 48429-2023 FSC-klagomål.docx", "A 48429-2023")</f>
        <v/>
      </c>
      <c r="W236">
        <f>HYPERLINK("https://klasma.github.io/Logging_2303/klagomålsmail/A 48429-2023 FSC-klagomål mail.docx", "A 48429-2023")</f>
        <v/>
      </c>
      <c r="X236">
        <f>HYPERLINK("https://klasma.github.io/Logging_2303/tillsyn/A 48429-2023 tillsynsbegäran.docx", "A 48429-2023")</f>
        <v/>
      </c>
      <c r="Y236">
        <f>HYPERLINK("https://klasma.github.io/Logging_2303/tillsynsmail/A 48429-2023 tillsynsbegäran mail.docx", "A 48429-2023")</f>
        <v/>
      </c>
    </row>
    <row r="237" ht="15" customHeight="1">
      <c r="A237" t="inlineStr">
        <is>
          <t>A 62072-2023</t>
        </is>
      </c>
      <c r="B237" s="1" t="n">
        <v>45266</v>
      </c>
      <c r="C237" s="1" t="n">
        <v>45932</v>
      </c>
      <c r="D237" t="inlineStr">
        <is>
          <t>JÄMTLANDS LÄN</t>
        </is>
      </c>
      <c r="E237" t="inlineStr">
        <is>
          <t>RAGUNDA</t>
        </is>
      </c>
      <c r="G237" t="n">
        <v>4.5</v>
      </c>
      <c r="H237" t="n">
        <v>1</v>
      </c>
      <c r="I237" t="n">
        <v>0</v>
      </c>
      <c r="J237" t="n">
        <v>0</v>
      </c>
      <c r="K237" t="n">
        <v>1</v>
      </c>
      <c r="L237" t="n">
        <v>0</v>
      </c>
      <c r="M237" t="n">
        <v>0</v>
      </c>
      <c r="N237" t="n">
        <v>0</v>
      </c>
      <c r="O237" t="n">
        <v>1</v>
      </c>
      <c r="P237" t="n">
        <v>1</v>
      </c>
      <c r="Q237" t="n">
        <v>1</v>
      </c>
      <c r="R237" s="2" t="inlineStr">
        <is>
          <t>Lappuggla</t>
        </is>
      </c>
      <c r="S237">
        <f>HYPERLINK("https://klasma.github.io/Logging_2303/artfynd/A 62072-2023 artfynd.xlsx", "A 62072-2023")</f>
        <v/>
      </c>
      <c r="T237">
        <f>HYPERLINK("https://klasma.github.io/Logging_2303/kartor/A 62072-2023 karta.png", "A 62072-2023")</f>
        <v/>
      </c>
      <c r="V237">
        <f>HYPERLINK("https://klasma.github.io/Logging_2303/klagomål/A 62072-2023 FSC-klagomål.docx", "A 62072-2023")</f>
        <v/>
      </c>
      <c r="W237">
        <f>HYPERLINK("https://klasma.github.io/Logging_2303/klagomålsmail/A 62072-2023 FSC-klagomål mail.docx", "A 62072-2023")</f>
        <v/>
      </c>
      <c r="X237">
        <f>HYPERLINK("https://klasma.github.io/Logging_2303/tillsyn/A 62072-2023 tillsynsbegäran.docx", "A 62072-2023")</f>
        <v/>
      </c>
      <c r="Y237">
        <f>HYPERLINK("https://klasma.github.io/Logging_2303/tillsynsmail/A 62072-2023 tillsynsbegäran mail.docx", "A 62072-2023")</f>
        <v/>
      </c>
      <c r="Z237">
        <f>HYPERLINK("https://klasma.github.io/Logging_2303/fåglar/A 62072-2023 prioriterade fågelarter.docx", "A 62072-2023")</f>
        <v/>
      </c>
    </row>
    <row r="238" ht="15" customHeight="1">
      <c r="A238" t="inlineStr">
        <is>
          <t>A 17340-2023</t>
        </is>
      </c>
      <c r="B238" s="1" t="n">
        <v>45033</v>
      </c>
      <c r="C238" s="1" t="n">
        <v>45932</v>
      </c>
      <c r="D238" t="inlineStr">
        <is>
          <t>JÄMTLANDS LÄN</t>
        </is>
      </c>
      <c r="E238" t="inlineStr">
        <is>
          <t>RAGUNDA</t>
        </is>
      </c>
      <c r="G238" t="n">
        <v>1.6</v>
      </c>
      <c r="H238" t="n">
        <v>0</v>
      </c>
      <c r="I238" t="n">
        <v>0</v>
      </c>
      <c r="J238" t="n">
        <v>1</v>
      </c>
      <c r="K238" t="n">
        <v>0</v>
      </c>
      <c r="L238" t="n">
        <v>0</v>
      </c>
      <c r="M238" t="n">
        <v>0</v>
      </c>
      <c r="N238" t="n">
        <v>0</v>
      </c>
      <c r="O238" t="n">
        <v>1</v>
      </c>
      <c r="P238" t="n">
        <v>0</v>
      </c>
      <c r="Q238" t="n">
        <v>1</v>
      </c>
      <c r="R238" s="2" t="inlineStr">
        <is>
          <t>Vedtrappmossa</t>
        </is>
      </c>
      <c r="S238">
        <f>HYPERLINK("https://klasma.github.io/Logging_2303/artfynd/A 17340-2023 artfynd.xlsx", "A 17340-2023")</f>
        <v/>
      </c>
      <c r="T238">
        <f>HYPERLINK("https://klasma.github.io/Logging_2303/kartor/A 17340-2023 karta.png", "A 17340-2023")</f>
        <v/>
      </c>
      <c r="U238">
        <f>HYPERLINK("https://klasma.github.io/Logging_2303/knärot/A 17340-2023 karta knärot.png", "A 17340-2023")</f>
        <v/>
      </c>
      <c r="V238">
        <f>HYPERLINK("https://klasma.github.io/Logging_2303/klagomål/A 17340-2023 FSC-klagomål.docx", "A 17340-2023")</f>
        <v/>
      </c>
      <c r="W238">
        <f>HYPERLINK("https://klasma.github.io/Logging_2303/klagomålsmail/A 17340-2023 FSC-klagomål mail.docx", "A 17340-2023")</f>
        <v/>
      </c>
      <c r="X238">
        <f>HYPERLINK("https://klasma.github.io/Logging_2303/tillsyn/A 17340-2023 tillsynsbegäran.docx", "A 17340-2023")</f>
        <v/>
      </c>
      <c r="Y238">
        <f>HYPERLINK("https://klasma.github.io/Logging_2303/tillsynsmail/A 17340-2023 tillsynsbegäran mail.docx", "A 17340-2023")</f>
        <v/>
      </c>
    </row>
    <row r="239" ht="15" customHeight="1">
      <c r="A239" t="inlineStr">
        <is>
          <t>A 26322-2024</t>
        </is>
      </c>
      <c r="B239" s="1" t="n">
        <v>45468.97461805555</v>
      </c>
      <c r="C239" s="1" t="n">
        <v>45932</v>
      </c>
      <c r="D239" t="inlineStr">
        <is>
          <t>JÄMTLANDS LÄN</t>
        </is>
      </c>
      <c r="E239" t="inlineStr">
        <is>
          <t>RAGUNDA</t>
        </is>
      </c>
      <c r="F239" t="inlineStr">
        <is>
          <t>SCA</t>
        </is>
      </c>
      <c r="G239" t="n">
        <v>9.6</v>
      </c>
      <c r="H239" t="n">
        <v>0</v>
      </c>
      <c r="I239" t="n">
        <v>0</v>
      </c>
      <c r="J239" t="n">
        <v>1</v>
      </c>
      <c r="K239" t="n">
        <v>0</v>
      </c>
      <c r="L239" t="n">
        <v>0</v>
      </c>
      <c r="M239" t="n">
        <v>0</v>
      </c>
      <c r="N239" t="n">
        <v>0</v>
      </c>
      <c r="O239" t="n">
        <v>1</v>
      </c>
      <c r="P239" t="n">
        <v>0</v>
      </c>
      <c r="Q239" t="n">
        <v>1</v>
      </c>
      <c r="R239" s="2" t="inlineStr">
        <is>
          <t>Rosenticka</t>
        </is>
      </c>
      <c r="S239">
        <f>HYPERLINK("https://klasma.github.io/Logging_2303/artfynd/A 26322-2024 artfynd.xlsx", "A 26322-2024")</f>
        <v/>
      </c>
      <c r="T239">
        <f>HYPERLINK("https://klasma.github.io/Logging_2303/kartor/A 26322-2024 karta.png", "A 26322-2024")</f>
        <v/>
      </c>
      <c r="U239">
        <f>HYPERLINK("https://klasma.github.io/Logging_2303/knärot/A 26322-2024 karta knärot.png", "A 26322-2024")</f>
        <v/>
      </c>
      <c r="V239">
        <f>HYPERLINK("https://klasma.github.io/Logging_2303/klagomål/A 26322-2024 FSC-klagomål.docx", "A 26322-2024")</f>
        <v/>
      </c>
      <c r="W239">
        <f>HYPERLINK("https://klasma.github.io/Logging_2303/klagomålsmail/A 26322-2024 FSC-klagomål mail.docx", "A 26322-2024")</f>
        <v/>
      </c>
      <c r="X239">
        <f>HYPERLINK("https://klasma.github.io/Logging_2303/tillsyn/A 26322-2024 tillsynsbegäran.docx", "A 26322-2024")</f>
        <v/>
      </c>
      <c r="Y239">
        <f>HYPERLINK("https://klasma.github.io/Logging_2303/tillsynsmail/A 26322-2024 tillsynsbegäran mail.docx", "A 26322-2024")</f>
        <v/>
      </c>
    </row>
    <row r="240" ht="15" customHeight="1">
      <c r="A240" t="inlineStr">
        <is>
          <t>A 20774-2024</t>
        </is>
      </c>
      <c r="B240" s="1" t="n">
        <v>45436.94644675926</v>
      </c>
      <c r="C240" s="1" t="n">
        <v>45932</v>
      </c>
      <c r="D240" t="inlineStr">
        <is>
          <t>JÄMTLANDS LÄN</t>
        </is>
      </c>
      <c r="E240" t="inlineStr">
        <is>
          <t>RAGUNDA</t>
        </is>
      </c>
      <c r="F240" t="inlineStr">
        <is>
          <t>SCA</t>
        </is>
      </c>
      <c r="G240" t="n">
        <v>2.3</v>
      </c>
      <c r="H240" t="n">
        <v>0</v>
      </c>
      <c r="I240" t="n">
        <v>1</v>
      </c>
      <c r="J240" t="n">
        <v>0</v>
      </c>
      <c r="K240" t="n">
        <v>0</v>
      </c>
      <c r="L240" t="n">
        <v>0</v>
      </c>
      <c r="M240" t="n">
        <v>0</v>
      </c>
      <c r="N240" t="n">
        <v>0</v>
      </c>
      <c r="O240" t="n">
        <v>0</v>
      </c>
      <c r="P240" t="n">
        <v>0</v>
      </c>
      <c r="Q240" t="n">
        <v>1</v>
      </c>
      <c r="R240" s="2" t="inlineStr">
        <is>
          <t>Fjällig taggsvamp s.str.</t>
        </is>
      </c>
      <c r="S240">
        <f>HYPERLINK("https://klasma.github.io/Logging_2303/artfynd/A 20774-2024 artfynd.xlsx", "A 20774-2024")</f>
        <v/>
      </c>
      <c r="T240">
        <f>HYPERLINK("https://klasma.github.io/Logging_2303/kartor/A 20774-2024 karta.png", "A 20774-2024")</f>
        <v/>
      </c>
      <c r="V240">
        <f>HYPERLINK("https://klasma.github.io/Logging_2303/klagomål/A 20774-2024 FSC-klagomål.docx", "A 20774-2024")</f>
        <v/>
      </c>
      <c r="W240">
        <f>HYPERLINK("https://klasma.github.io/Logging_2303/klagomålsmail/A 20774-2024 FSC-klagomål mail.docx", "A 20774-2024")</f>
        <v/>
      </c>
      <c r="X240">
        <f>HYPERLINK("https://klasma.github.io/Logging_2303/tillsyn/A 20774-2024 tillsynsbegäran.docx", "A 20774-2024")</f>
        <v/>
      </c>
      <c r="Y240">
        <f>HYPERLINK("https://klasma.github.io/Logging_2303/tillsynsmail/A 20774-2024 tillsynsbegäran mail.docx", "A 20774-2024")</f>
        <v/>
      </c>
    </row>
    <row r="241" ht="15" customHeight="1">
      <c r="A241" t="inlineStr">
        <is>
          <t>A 33432-2023</t>
        </is>
      </c>
      <c r="B241" s="1" t="n">
        <v>45128</v>
      </c>
      <c r="C241" s="1" t="n">
        <v>45932</v>
      </c>
      <c r="D241" t="inlineStr">
        <is>
          <t>JÄMTLANDS LÄN</t>
        </is>
      </c>
      <c r="E241" t="inlineStr">
        <is>
          <t>RAGUNDA</t>
        </is>
      </c>
      <c r="F241" t="inlineStr">
        <is>
          <t>SCA</t>
        </is>
      </c>
      <c r="G241" t="n">
        <v>10</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33432-2023 artfynd.xlsx", "A 33432-2023")</f>
        <v/>
      </c>
      <c r="T241">
        <f>HYPERLINK("https://klasma.github.io/Logging_2303/kartor/A 33432-2023 karta.png", "A 33432-2023")</f>
        <v/>
      </c>
      <c r="V241">
        <f>HYPERLINK("https://klasma.github.io/Logging_2303/klagomål/A 33432-2023 FSC-klagomål.docx", "A 33432-2023")</f>
        <v/>
      </c>
      <c r="W241">
        <f>HYPERLINK("https://klasma.github.io/Logging_2303/klagomålsmail/A 33432-2023 FSC-klagomål mail.docx", "A 33432-2023")</f>
        <v/>
      </c>
      <c r="X241">
        <f>HYPERLINK("https://klasma.github.io/Logging_2303/tillsyn/A 33432-2023 tillsynsbegäran.docx", "A 33432-2023")</f>
        <v/>
      </c>
      <c r="Y241">
        <f>HYPERLINK("https://klasma.github.io/Logging_2303/tillsynsmail/A 33432-2023 tillsynsbegäran mail.docx", "A 33432-2023")</f>
        <v/>
      </c>
      <c r="Z241">
        <f>HYPERLINK("https://klasma.github.io/Logging_2303/fåglar/A 33432-2023 prioriterade fågelarter.docx", "A 33432-2023")</f>
        <v/>
      </c>
    </row>
    <row r="242" ht="15" customHeight="1">
      <c r="A242" t="inlineStr">
        <is>
          <t>A 48477-2023</t>
        </is>
      </c>
      <c r="B242" s="1" t="n">
        <v>45206</v>
      </c>
      <c r="C242" s="1" t="n">
        <v>45932</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16724-2025</t>
        </is>
      </c>
      <c r="B243" s="1" t="n">
        <v>45754.51064814815</v>
      </c>
      <c r="C243" s="1" t="n">
        <v>45932</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49770-2024</t>
        </is>
      </c>
      <c r="B244" s="1" t="n">
        <v>45597.34461805555</v>
      </c>
      <c r="C244" s="1" t="n">
        <v>45932</v>
      </c>
      <c r="D244" t="inlineStr">
        <is>
          <t>JÄMTLANDS LÄN</t>
        </is>
      </c>
      <c r="E244" t="inlineStr">
        <is>
          <t>RAGUNDA</t>
        </is>
      </c>
      <c r="F244" t="inlineStr">
        <is>
          <t>Naturvårdsverket</t>
        </is>
      </c>
      <c r="G244" t="n">
        <v>8.9</v>
      </c>
      <c r="H244" t="n">
        <v>1</v>
      </c>
      <c r="I244" t="n">
        <v>0</v>
      </c>
      <c r="J244" t="n">
        <v>0</v>
      </c>
      <c r="K244" t="n">
        <v>1</v>
      </c>
      <c r="L244" t="n">
        <v>0</v>
      </c>
      <c r="M244" t="n">
        <v>0</v>
      </c>
      <c r="N244" t="n">
        <v>0</v>
      </c>
      <c r="O244" t="n">
        <v>1</v>
      </c>
      <c r="P244" t="n">
        <v>1</v>
      </c>
      <c r="Q244" t="n">
        <v>1</v>
      </c>
      <c r="R244" s="2" t="inlineStr">
        <is>
          <t>Doftticka</t>
        </is>
      </c>
      <c r="S244">
        <f>HYPERLINK("https://klasma.github.io/Logging_2303/artfynd/A 49770-2024 artfynd.xlsx", "A 49770-2024")</f>
        <v/>
      </c>
      <c r="T244">
        <f>HYPERLINK("https://klasma.github.io/Logging_2303/kartor/A 49770-2024 karta.png", "A 49770-2024")</f>
        <v/>
      </c>
      <c r="V244">
        <f>HYPERLINK("https://klasma.github.io/Logging_2303/klagomål/A 49770-2024 FSC-klagomål.docx", "A 49770-2024")</f>
        <v/>
      </c>
      <c r="W244">
        <f>HYPERLINK("https://klasma.github.io/Logging_2303/klagomålsmail/A 49770-2024 FSC-klagomål mail.docx", "A 49770-2024")</f>
        <v/>
      </c>
      <c r="X244">
        <f>HYPERLINK("https://klasma.github.io/Logging_2303/tillsyn/A 49770-2024 tillsynsbegäran.docx", "A 49770-2024")</f>
        <v/>
      </c>
      <c r="Y244">
        <f>HYPERLINK("https://klasma.github.io/Logging_2303/tillsynsmail/A 49770-2024 tillsynsbegäran mail.docx", "A 49770-2024")</f>
        <v/>
      </c>
    </row>
    <row r="245" ht="15" customHeight="1">
      <c r="A245" t="inlineStr">
        <is>
          <t>A 61324-2024</t>
        </is>
      </c>
      <c r="B245" s="1" t="n">
        <v>45646.34438657408</v>
      </c>
      <c r="C245" s="1" t="n">
        <v>45932</v>
      </c>
      <c r="D245" t="inlineStr">
        <is>
          <t>JÄMTLANDS LÄN</t>
        </is>
      </c>
      <c r="E245" t="inlineStr">
        <is>
          <t>RAGUNDA</t>
        </is>
      </c>
      <c r="F245" t="inlineStr">
        <is>
          <t>SCA</t>
        </is>
      </c>
      <c r="G245" t="n">
        <v>11.2</v>
      </c>
      <c r="H245" t="n">
        <v>1</v>
      </c>
      <c r="I245" t="n">
        <v>0</v>
      </c>
      <c r="J245" t="n">
        <v>0</v>
      </c>
      <c r="K245" t="n">
        <v>0</v>
      </c>
      <c r="L245" t="n">
        <v>0</v>
      </c>
      <c r="M245" t="n">
        <v>0</v>
      </c>
      <c r="N245" t="n">
        <v>0</v>
      </c>
      <c r="O245" t="n">
        <v>0</v>
      </c>
      <c r="P245" t="n">
        <v>0</v>
      </c>
      <c r="Q245" t="n">
        <v>1</v>
      </c>
      <c r="R245" s="2" t="inlineStr">
        <is>
          <t>Trana</t>
        </is>
      </c>
      <c r="S245">
        <f>HYPERLINK("https://klasma.github.io/Logging_2303/artfynd/A 61324-2024 artfynd.xlsx", "A 61324-2024")</f>
        <v/>
      </c>
      <c r="T245">
        <f>HYPERLINK("https://klasma.github.io/Logging_2303/kartor/A 61324-2024 karta.png", "A 61324-2024")</f>
        <v/>
      </c>
      <c r="V245">
        <f>HYPERLINK("https://klasma.github.io/Logging_2303/klagomål/A 61324-2024 FSC-klagomål.docx", "A 61324-2024")</f>
        <v/>
      </c>
      <c r="W245">
        <f>HYPERLINK("https://klasma.github.io/Logging_2303/klagomålsmail/A 61324-2024 FSC-klagomål mail.docx", "A 61324-2024")</f>
        <v/>
      </c>
      <c r="X245">
        <f>HYPERLINK("https://klasma.github.io/Logging_2303/tillsyn/A 61324-2024 tillsynsbegäran.docx", "A 61324-2024")</f>
        <v/>
      </c>
      <c r="Y245">
        <f>HYPERLINK("https://klasma.github.io/Logging_2303/tillsynsmail/A 61324-2024 tillsynsbegäran mail.docx", "A 61324-2024")</f>
        <v/>
      </c>
      <c r="Z245">
        <f>HYPERLINK("https://klasma.github.io/Logging_2303/fåglar/A 61324-2024 prioriterade fågelarter.docx", "A 61324-2024")</f>
        <v/>
      </c>
    </row>
    <row r="246" ht="15" customHeight="1">
      <c r="A246" t="inlineStr">
        <is>
          <t>A 57941-2020</t>
        </is>
      </c>
      <c r="B246" s="1" t="n">
        <v>44141</v>
      </c>
      <c r="C246" s="1" t="n">
        <v>45932</v>
      </c>
      <c r="D246" t="inlineStr">
        <is>
          <t>JÄMTLANDS LÄN</t>
        </is>
      </c>
      <c r="E246" t="inlineStr">
        <is>
          <t>RAGUNDA</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61441-2020</t>
        </is>
      </c>
      <c r="B247" s="1" t="n">
        <v>44157</v>
      </c>
      <c r="C247" s="1" t="n">
        <v>45932</v>
      </c>
      <c r="D247" t="inlineStr">
        <is>
          <t>JÄMTLANDS LÄN</t>
        </is>
      </c>
      <c r="E247" t="inlineStr">
        <is>
          <t>RAGUNDA</t>
        </is>
      </c>
      <c r="G247" t="n">
        <v>0.4</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45932</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45932</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64386-2020</t>
        </is>
      </c>
      <c r="B250" s="1" t="n">
        <v>44168</v>
      </c>
      <c r="C250" s="1" t="n">
        <v>45932</v>
      </c>
      <c r="D250" t="inlineStr">
        <is>
          <t>JÄMTLANDS LÄN</t>
        </is>
      </c>
      <c r="E250" t="inlineStr">
        <is>
          <t>RAGUNDA</t>
        </is>
      </c>
      <c r="G250" t="n">
        <v>2.5</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45932</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45932</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45932</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45932</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45932</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45932</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45932</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45932</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45932</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45932</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45932</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45932</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8033-2021</t>
        </is>
      </c>
      <c r="B263" s="1" t="n">
        <v>44243</v>
      </c>
      <c r="C263" s="1" t="n">
        <v>45932</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14790-2021</t>
        </is>
      </c>
      <c r="B264" s="1" t="n">
        <v>44280</v>
      </c>
      <c r="C264" s="1" t="n">
        <v>45932</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45932</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45932</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45932</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45932</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45932</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30438-2021</t>
        </is>
      </c>
      <c r="B270" s="1" t="n">
        <v>44362</v>
      </c>
      <c r="C270" s="1" t="n">
        <v>45932</v>
      </c>
      <c r="D270" t="inlineStr">
        <is>
          <t>JÄMTLANDS LÄN</t>
        </is>
      </c>
      <c r="E270" t="inlineStr">
        <is>
          <t>RAGUNDA</t>
        </is>
      </c>
      <c r="G270" t="n">
        <v>5</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45932</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45932</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37562-2021</t>
        </is>
      </c>
      <c r="B273" s="1" t="n">
        <v>44399</v>
      </c>
      <c r="C273" s="1" t="n">
        <v>45932</v>
      </c>
      <c r="D273" t="inlineStr">
        <is>
          <t>JÄMTLANDS LÄN</t>
        </is>
      </c>
      <c r="E273" t="inlineStr">
        <is>
          <t>RAGUNDA</t>
        </is>
      </c>
      <c r="G273" t="n">
        <v>1.1</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45932</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49197-2022</t>
        </is>
      </c>
      <c r="B275" s="1" t="n">
        <v>44860</v>
      </c>
      <c r="C275" s="1" t="n">
        <v>45932</v>
      </c>
      <c r="D275" t="inlineStr">
        <is>
          <t>JÄMTLANDS LÄN</t>
        </is>
      </c>
      <c r="E275" t="inlineStr">
        <is>
          <t>RAGUNDA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51016-2020</t>
        </is>
      </c>
      <c r="B276" s="1" t="n">
        <v>44111</v>
      </c>
      <c r="C276" s="1" t="n">
        <v>45932</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45932</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45932</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40436-2022</t>
        </is>
      </c>
      <c r="B279" s="1" t="n">
        <v>44823.48666666666</v>
      </c>
      <c r="C279" s="1" t="n">
        <v>45932</v>
      </c>
      <c r="D279" t="inlineStr">
        <is>
          <t>JÄMTLANDS LÄN</t>
        </is>
      </c>
      <c r="E279" t="inlineStr">
        <is>
          <t>RAGUNDA</t>
        </is>
      </c>
      <c r="G279" t="n">
        <v>3</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45932</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45932</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45932</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43794-2022</t>
        </is>
      </c>
      <c r="B283" s="1" t="n">
        <v>44837</v>
      </c>
      <c r="C283" s="1" t="n">
        <v>45932</v>
      </c>
      <c r="D283" t="inlineStr">
        <is>
          <t>JÄMTLANDS LÄN</t>
        </is>
      </c>
      <c r="E283" t="inlineStr">
        <is>
          <t>RAGUNDA</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45932</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45932</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21196-2022</t>
        </is>
      </c>
      <c r="B286" s="1" t="n">
        <v>44704.94234953704</v>
      </c>
      <c r="C286" s="1" t="n">
        <v>45932</v>
      </c>
      <c r="D286" t="inlineStr">
        <is>
          <t>JÄMTLANDS LÄN</t>
        </is>
      </c>
      <c r="E286" t="inlineStr">
        <is>
          <t>RAGUNDA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45932</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45932</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45932</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69481-2020</t>
        </is>
      </c>
      <c r="B290" s="1" t="n">
        <v>44194</v>
      </c>
      <c r="C290" s="1" t="n">
        <v>45932</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7575-2021</t>
        </is>
      </c>
      <c r="B291" s="1" t="n">
        <v>44239</v>
      </c>
      <c r="C291" s="1" t="n">
        <v>45932</v>
      </c>
      <c r="D291" t="inlineStr">
        <is>
          <t>JÄMTLANDS LÄN</t>
        </is>
      </c>
      <c r="E291" t="inlineStr">
        <is>
          <t>RAGUNDA</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45932</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13571-2021</t>
        </is>
      </c>
      <c r="B293" s="1" t="n">
        <v>44273.92081018518</v>
      </c>
      <c r="C293" s="1" t="n">
        <v>45932</v>
      </c>
      <c r="D293" t="inlineStr">
        <is>
          <t>JÄMTLANDS LÄN</t>
        </is>
      </c>
      <c r="E293" t="inlineStr">
        <is>
          <t>RAGUNDA</t>
        </is>
      </c>
      <c r="G293" t="n">
        <v>1.9</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45932</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45932</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45932</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54580-2020</t>
        </is>
      </c>
      <c r="B297" s="1" t="n">
        <v>44126</v>
      </c>
      <c r="C297" s="1" t="n">
        <v>45932</v>
      </c>
      <c r="D297" t="inlineStr">
        <is>
          <t>JÄMTLANDS LÄN</t>
        </is>
      </c>
      <c r="E297" t="inlineStr">
        <is>
          <t>RAGUNDA</t>
        </is>
      </c>
      <c r="G297" t="n">
        <v>2.8</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45932</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45932</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69316-2021</t>
        </is>
      </c>
      <c r="B300" s="1" t="n">
        <v>44530</v>
      </c>
      <c r="C300" s="1" t="n">
        <v>45932</v>
      </c>
      <c r="D300" t="inlineStr">
        <is>
          <t>JÄMTLANDS LÄN</t>
        </is>
      </c>
      <c r="E300" t="inlineStr">
        <is>
          <t>RAGUNDA</t>
        </is>
      </c>
      <c r="G300" t="n">
        <v>2.3</v>
      </c>
      <c r="H300" t="n">
        <v>0</v>
      </c>
      <c r="I300" t="n">
        <v>0</v>
      </c>
      <c r="J300" t="n">
        <v>0</v>
      </c>
      <c r="K300" t="n">
        <v>0</v>
      </c>
      <c r="L300" t="n">
        <v>0</v>
      </c>
      <c r="M300" t="n">
        <v>0</v>
      </c>
      <c r="N300" t="n">
        <v>0</v>
      </c>
      <c r="O300" t="n">
        <v>0</v>
      </c>
      <c r="P300" t="n">
        <v>0</v>
      </c>
      <c r="Q300" t="n">
        <v>0</v>
      </c>
      <c r="R300" s="2" t="inlineStr"/>
    </row>
    <row r="301" ht="15" customHeight="1">
      <c r="A301" t="inlineStr">
        <is>
          <t>A 43478-2022</t>
        </is>
      </c>
      <c r="B301" s="1" t="n">
        <v>44836.9491087963</v>
      </c>
      <c r="C301" s="1" t="n">
        <v>45932</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54199-2020</t>
        </is>
      </c>
      <c r="B302" s="1" t="n">
        <v>44125.94493055555</v>
      </c>
      <c r="C302" s="1" t="n">
        <v>45932</v>
      </c>
      <c r="D302" t="inlineStr">
        <is>
          <t>JÄMTLANDS LÄN</t>
        </is>
      </c>
      <c r="E302" t="inlineStr">
        <is>
          <t>RAGUNDA</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45932</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45932</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45932</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45932</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45932</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10937-2021</t>
        </is>
      </c>
      <c r="B308" s="1" t="n">
        <v>44259</v>
      </c>
      <c r="C308" s="1" t="n">
        <v>45932</v>
      </c>
      <c r="D308" t="inlineStr">
        <is>
          <t>JÄMTLANDS LÄN</t>
        </is>
      </c>
      <c r="E308" t="inlineStr">
        <is>
          <t>RAGUNDA</t>
        </is>
      </c>
      <c r="G308" t="n">
        <v>10.8</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45932</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19612-2021</t>
        </is>
      </c>
      <c r="B310" s="1" t="n">
        <v>44308</v>
      </c>
      <c r="C310" s="1" t="n">
        <v>45932</v>
      </c>
      <c r="D310" t="inlineStr">
        <is>
          <t>JÄMTLANDS LÄN</t>
        </is>
      </c>
      <c r="E310" t="inlineStr">
        <is>
          <t>RAGUNDA</t>
        </is>
      </c>
      <c r="G310" t="n">
        <v>1</v>
      </c>
      <c r="H310" t="n">
        <v>0</v>
      </c>
      <c r="I310" t="n">
        <v>0</v>
      </c>
      <c r="J310" t="n">
        <v>0</v>
      </c>
      <c r="K310" t="n">
        <v>0</v>
      </c>
      <c r="L310" t="n">
        <v>0</v>
      </c>
      <c r="M310" t="n">
        <v>0</v>
      </c>
      <c r="N310" t="n">
        <v>0</v>
      </c>
      <c r="O310" t="n">
        <v>0</v>
      </c>
      <c r="P310" t="n">
        <v>0</v>
      </c>
      <c r="Q310" t="n">
        <v>0</v>
      </c>
      <c r="R310" s="2" t="inlineStr"/>
    </row>
    <row r="311" ht="15" customHeight="1">
      <c r="A311" t="inlineStr">
        <is>
          <t>A 19615-2021</t>
        </is>
      </c>
      <c r="B311" s="1" t="n">
        <v>44308</v>
      </c>
      <c r="C311" s="1" t="n">
        <v>45932</v>
      </c>
      <c r="D311" t="inlineStr">
        <is>
          <t>JÄMTLANDS LÄN</t>
        </is>
      </c>
      <c r="E311" t="inlineStr">
        <is>
          <t>RAGUNDA</t>
        </is>
      </c>
      <c r="G311" t="n">
        <v>1.4</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45932</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45932</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45932</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45932</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27399-2021</t>
        </is>
      </c>
      <c r="B316" s="1" t="n">
        <v>44351</v>
      </c>
      <c r="C316" s="1" t="n">
        <v>45932</v>
      </c>
      <c r="D316" t="inlineStr">
        <is>
          <t>JÄMTLANDS LÄN</t>
        </is>
      </c>
      <c r="E316" t="inlineStr">
        <is>
          <t>RAGUNDA</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42900-2022</t>
        </is>
      </c>
      <c r="B317" s="1" t="n">
        <v>44832.95435185185</v>
      </c>
      <c r="C317" s="1" t="n">
        <v>45932</v>
      </c>
      <c r="D317" t="inlineStr">
        <is>
          <t>JÄMTLANDS LÄN</t>
        </is>
      </c>
      <c r="E317" t="inlineStr">
        <is>
          <t>RAGUNDA</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3796-2022</t>
        </is>
      </c>
      <c r="B318" s="1" t="n">
        <v>44586</v>
      </c>
      <c r="C318" s="1" t="n">
        <v>45932</v>
      </c>
      <c r="D318" t="inlineStr">
        <is>
          <t>JÄMTLANDS LÄN</t>
        </is>
      </c>
      <c r="E318" t="inlineStr">
        <is>
          <t>RAGUNDA</t>
        </is>
      </c>
      <c r="G318" t="n">
        <v>1.2</v>
      </c>
      <c r="H318" t="n">
        <v>0</v>
      </c>
      <c r="I318" t="n">
        <v>0</v>
      </c>
      <c r="J318" t="n">
        <v>0</v>
      </c>
      <c r="K318" t="n">
        <v>0</v>
      </c>
      <c r="L318" t="n">
        <v>0</v>
      </c>
      <c r="M318" t="n">
        <v>0</v>
      </c>
      <c r="N318" t="n">
        <v>0</v>
      </c>
      <c r="O318" t="n">
        <v>0</v>
      </c>
      <c r="P318" t="n">
        <v>0</v>
      </c>
      <c r="Q318" t="n">
        <v>0</v>
      </c>
      <c r="R318" s="2" t="inlineStr"/>
    </row>
    <row r="319" ht="15" customHeight="1">
      <c r="A319" t="inlineStr">
        <is>
          <t>A 44247-2021</t>
        </is>
      </c>
      <c r="B319" s="1" t="n">
        <v>44434.94559027778</v>
      </c>
      <c r="C319" s="1" t="n">
        <v>45932</v>
      </c>
      <c r="D319" t="inlineStr">
        <is>
          <t>JÄMTLANDS LÄN</t>
        </is>
      </c>
      <c r="E319" t="inlineStr">
        <is>
          <t>RAGUNDA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51012-2022</t>
        </is>
      </c>
      <c r="B320" s="1" t="n">
        <v>44867</v>
      </c>
      <c r="C320" s="1" t="n">
        <v>45932</v>
      </c>
      <c r="D320" t="inlineStr">
        <is>
          <t>JÄMTLANDS LÄN</t>
        </is>
      </c>
      <c r="E320" t="inlineStr">
        <is>
          <t>RAGUNDA</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45932</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45932</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61442-2021</t>
        </is>
      </c>
      <c r="B323" s="1" t="n">
        <v>44500.93887731482</v>
      </c>
      <c r="C323" s="1" t="n">
        <v>45932</v>
      </c>
      <c r="D323" t="inlineStr">
        <is>
          <t>JÄMTLANDS LÄN</t>
        </is>
      </c>
      <c r="E323" t="inlineStr">
        <is>
          <t>RAGUNDA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45932</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45932</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45932</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52334-2021</t>
        </is>
      </c>
      <c r="B327" s="1" t="n">
        <v>44463.94077546296</v>
      </c>
      <c r="C327" s="1" t="n">
        <v>45932</v>
      </c>
      <c r="D327" t="inlineStr">
        <is>
          <t>JÄMTLANDS LÄN</t>
        </is>
      </c>
      <c r="E327" t="inlineStr">
        <is>
          <t>RAGUNDA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45932</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45932</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29409-2021</t>
        </is>
      </c>
      <c r="B330" s="1" t="n">
        <v>44361.55445601852</v>
      </c>
      <c r="C330" s="1" t="n">
        <v>45932</v>
      </c>
      <c r="D330" t="inlineStr">
        <is>
          <t>JÄMTLANDS LÄN</t>
        </is>
      </c>
      <c r="E330" t="inlineStr">
        <is>
          <t>RAGUNDA</t>
        </is>
      </c>
      <c r="G330" t="n">
        <v>0.3</v>
      </c>
      <c r="H330" t="n">
        <v>0</v>
      </c>
      <c r="I330" t="n">
        <v>0</v>
      </c>
      <c r="J330" t="n">
        <v>0</v>
      </c>
      <c r="K330" t="n">
        <v>0</v>
      </c>
      <c r="L330" t="n">
        <v>0</v>
      </c>
      <c r="M330" t="n">
        <v>0</v>
      </c>
      <c r="N330" t="n">
        <v>0</v>
      </c>
      <c r="O330" t="n">
        <v>0</v>
      </c>
      <c r="P330" t="n">
        <v>0</v>
      </c>
      <c r="Q330" t="n">
        <v>0</v>
      </c>
      <c r="R330" s="2" t="inlineStr"/>
    </row>
    <row r="331" ht="15" customHeight="1">
      <c r="A331" t="inlineStr">
        <is>
          <t>A 46048-2022</t>
        </is>
      </c>
      <c r="B331" s="1" t="n">
        <v>44846</v>
      </c>
      <c r="C331" s="1" t="n">
        <v>45932</v>
      </c>
      <c r="D331" t="inlineStr">
        <is>
          <t>JÄMTLANDS LÄN</t>
        </is>
      </c>
      <c r="E331" t="inlineStr">
        <is>
          <t>RAGUNDA</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45932</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25027-2022</t>
        </is>
      </c>
      <c r="B333" s="1" t="n">
        <v>44728.94392361111</v>
      </c>
      <c r="C333" s="1" t="n">
        <v>45932</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59996-2021</t>
        </is>
      </c>
      <c r="B334" s="1" t="n">
        <v>44494.93930555556</v>
      </c>
      <c r="C334" s="1" t="n">
        <v>45932</v>
      </c>
      <c r="D334" t="inlineStr">
        <is>
          <t>JÄMTLANDS LÄN</t>
        </is>
      </c>
      <c r="E334" t="inlineStr">
        <is>
          <t>RAGUNDA</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45932</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19850-2022</t>
        </is>
      </c>
      <c r="B336" s="1" t="n">
        <v>44696.93986111111</v>
      </c>
      <c r="C336" s="1" t="n">
        <v>45932</v>
      </c>
      <c r="D336" t="inlineStr">
        <is>
          <t>JÄMTLANDS LÄN</t>
        </is>
      </c>
      <c r="E336" t="inlineStr">
        <is>
          <t>RAGUNDA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65424-2021</t>
        </is>
      </c>
      <c r="B337" s="1" t="n">
        <v>44515.93767361111</v>
      </c>
      <c r="C337" s="1" t="n">
        <v>45932</v>
      </c>
      <c r="D337" t="inlineStr">
        <is>
          <t>JÄMTLANDS LÄN</t>
        </is>
      </c>
      <c r="E337" t="inlineStr">
        <is>
          <t>RAGUNDA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32288-2022</t>
        </is>
      </c>
      <c r="B338" s="1" t="n">
        <v>44781</v>
      </c>
      <c r="C338" s="1" t="n">
        <v>45932</v>
      </c>
      <c r="D338" t="inlineStr">
        <is>
          <t>JÄMTLANDS LÄN</t>
        </is>
      </c>
      <c r="E338" t="inlineStr">
        <is>
          <t>RAGUNDA</t>
        </is>
      </c>
      <c r="G338" t="n">
        <v>0.8</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45932</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28597-2021</t>
        </is>
      </c>
      <c r="B340" s="1" t="n">
        <v>44356.91935185185</v>
      </c>
      <c r="C340" s="1" t="n">
        <v>45932</v>
      </c>
      <c r="D340" t="inlineStr">
        <is>
          <t>JÄMTLANDS LÄN</t>
        </is>
      </c>
      <c r="E340" t="inlineStr">
        <is>
          <t>RAGUNDA</t>
        </is>
      </c>
      <c r="G340" t="n">
        <v>3.1</v>
      </c>
      <c r="H340" t="n">
        <v>0</v>
      </c>
      <c r="I340" t="n">
        <v>0</v>
      </c>
      <c r="J340" t="n">
        <v>0</v>
      </c>
      <c r="K340" t="n">
        <v>0</v>
      </c>
      <c r="L340" t="n">
        <v>0</v>
      </c>
      <c r="M340" t="n">
        <v>0</v>
      </c>
      <c r="N340" t="n">
        <v>0</v>
      </c>
      <c r="O340" t="n">
        <v>0</v>
      </c>
      <c r="P340" t="n">
        <v>0</v>
      </c>
      <c r="Q340" t="n">
        <v>0</v>
      </c>
      <c r="R340" s="2" t="inlineStr"/>
    </row>
    <row r="341" ht="15" customHeight="1">
      <c r="A341" t="inlineStr">
        <is>
          <t>A 47803-2022</t>
        </is>
      </c>
      <c r="B341" s="1" t="n">
        <v>44854.95390046296</v>
      </c>
      <c r="C341" s="1" t="n">
        <v>45932</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42652-2022</t>
        </is>
      </c>
      <c r="B342" s="1" t="n">
        <v>44831.94846064815</v>
      </c>
      <c r="C342" s="1" t="n">
        <v>45932</v>
      </c>
      <c r="D342" t="inlineStr">
        <is>
          <t>JÄMTLANDS LÄN</t>
        </is>
      </c>
      <c r="E342" t="inlineStr">
        <is>
          <t>RAGUNDA</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42653-2022</t>
        </is>
      </c>
      <c r="B343" s="1" t="n">
        <v>44831.9485300926</v>
      </c>
      <c r="C343" s="1" t="n">
        <v>45932</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36084-2022</t>
        </is>
      </c>
      <c r="B344" s="1" t="n">
        <v>44802</v>
      </c>
      <c r="C344" s="1" t="n">
        <v>45932</v>
      </c>
      <c r="D344" t="inlineStr">
        <is>
          <t>JÄMTLANDS LÄN</t>
        </is>
      </c>
      <c r="E344" t="inlineStr">
        <is>
          <t>RAGUNDA</t>
        </is>
      </c>
      <c r="F344" t="inlineStr">
        <is>
          <t>SCA</t>
        </is>
      </c>
      <c r="G344" t="n">
        <v>5.7</v>
      </c>
      <c r="H344" t="n">
        <v>0</v>
      </c>
      <c r="I344" t="n">
        <v>0</v>
      </c>
      <c r="J344" t="n">
        <v>0</v>
      </c>
      <c r="K344" t="n">
        <v>0</v>
      </c>
      <c r="L344" t="n">
        <v>0</v>
      </c>
      <c r="M344" t="n">
        <v>0</v>
      </c>
      <c r="N344" t="n">
        <v>0</v>
      </c>
      <c r="O344" t="n">
        <v>0</v>
      </c>
      <c r="P344" t="n">
        <v>0</v>
      </c>
      <c r="Q344" t="n">
        <v>0</v>
      </c>
      <c r="R344" s="2" t="inlineStr"/>
    </row>
    <row r="345" ht="15" customHeight="1">
      <c r="A345" t="inlineStr">
        <is>
          <t>A 32986-2022</t>
        </is>
      </c>
      <c r="B345" s="1" t="n">
        <v>44784.94157407407</v>
      </c>
      <c r="C345" s="1" t="n">
        <v>45932</v>
      </c>
      <c r="D345" t="inlineStr">
        <is>
          <t>JÄMTLANDS LÄN</t>
        </is>
      </c>
      <c r="E345" t="inlineStr">
        <is>
          <t>RAGUNDA</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36941-2022</t>
        </is>
      </c>
      <c r="B346" s="1" t="n">
        <v>44805</v>
      </c>
      <c r="C346" s="1" t="n">
        <v>45932</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20548-2021</t>
        </is>
      </c>
      <c r="B347" s="1" t="n">
        <v>44315</v>
      </c>
      <c r="C347" s="1" t="n">
        <v>45932</v>
      </c>
      <c r="D347" t="inlineStr">
        <is>
          <t>JÄMTLANDS LÄN</t>
        </is>
      </c>
      <c r="E347" t="inlineStr">
        <is>
          <t>RAGUNDA</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45932</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42882-2022</t>
        </is>
      </c>
      <c r="B349" s="1" t="n">
        <v>44832.95300925926</v>
      </c>
      <c r="C349" s="1" t="n">
        <v>45932</v>
      </c>
      <c r="D349" t="inlineStr">
        <is>
          <t>JÄMTLANDS LÄN</t>
        </is>
      </c>
      <c r="E349" t="inlineStr">
        <is>
          <t>RAGUNDA</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42267-2022</t>
        </is>
      </c>
      <c r="B350" s="1" t="n">
        <v>44830</v>
      </c>
      <c r="C350" s="1" t="n">
        <v>45932</v>
      </c>
      <c r="D350" t="inlineStr">
        <is>
          <t>JÄMTLANDS LÄN</t>
        </is>
      </c>
      <c r="E350" t="inlineStr">
        <is>
          <t>RAGUNDA</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49904-2022</t>
        </is>
      </c>
      <c r="B351" s="1" t="n">
        <v>44864.94835648148</v>
      </c>
      <c r="C351" s="1" t="n">
        <v>45932</v>
      </c>
      <c r="D351" t="inlineStr">
        <is>
          <t>JÄMTLANDS LÄN</t>
        </is>
      </c>
      <c r="E351" t="inlineStr">
        <is>
          <t>RAGUNDA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19595-2021</t>
        </is>
      </c>
      <c r="B352" s="1" t="n">
        <v>44308</v>
      </c>
      <c r="C352" s="1" t="n">
        <v>45932</v>
      </c>
      <c r="D352" t="inlineStr">
        <is>
          <t>JÄMTLANDS LÄN</t>
        </is>
      </c>
      <c r="E352" t="inlineStr">
        <is>
          <t>RAGUNDA</t>
        </is>
      </c>
      <c r="G352" t="n">
        <v>5.4</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45932</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37806-2021</t>
        </is>
      </c>
      <c r="B354" s="1" t="n">
        <v>44402.42243055555</v>
      </c>
      <c r="C354" s="1" t="n">
        <v>45932</v>
      </c>
      <c r="D354" t="inlineStr">
        <is>
          <t>JÄMTLANDS LÄN</t>
        </is>
      </c>
      <c r="E354" t="inlineStr">
        <is>
          <t>RAGUNDA</t>
        </is>
      </c>
      <c r="G354" t="n">
        <v>0.3</v>
      </c>
      <c r="H354" t="n">
        <v>0</v>
      </c>
      <c r="I354" t="n">
        <v>0</v>
      </c>
      <c r="J354" t="n">
        <v>0</v>
      </c>
      <c r="K354" t="n">
        <v>0</v>
      </c>
      <c r="L354" t="n">
        <v>0</v>
      </c>
      <c r="M354" t="n">
        <v>0</v>
      </c>
      <c r="N354" t="n">
        <v>0</v>
      </c>
      <c r="O354" t="n">
        <v>0</v>
      </c>
      <c r="P354" t="n">
        <v>0</v>
      </c>
      <c r="Q354" t="n">
        <v>0</v>
      </c>
      <c r="R354" s="2" t="inlineStr"/>
    </row>
    <row r="355" ht="15" customHeight="1">
      <c r="A355" t="inlineStr">
        <is>
          <t>A 57194-2021</t>
        </is>
      </c>
      <c r="B355" s="1" t="n">
        <v>44482.92271990741</v>
      </c>
      <c r="C355" s="1" t="n">
        <v>45932</v>
      </c>
      <c r="D355" t="inlineStr">
        <is>
          <t>JÄMTLANDS LÄN</t>
        </is>
      </c>
      <c r="E355" t="inlineStr">
        <is>
          <t>RAGUNDA</t>
        </is>
      </c>
      <c r="G355" t="n">
        <v>7.3</v>
      </c>
      <c r="H355" t="n">
        <v>0</v>
      </c>
      <c r="I355" t="n">
        <v>0</v>
      </c>
      <c r="J355" t="n">
        <v>0</v>
      </c>
      <c r="K355" t="n">
        <v>0</v>
      </c>
      <c r="L355" t="n">
        <v>0</v>
      </c>
      <c r="M355" t="n">
        <v>0</v>
      </c>
      <c r="N355" t="n">
        <v>0</v>
      </c>
      <c r="O355" t="n">
        <v>0</v>
      </c>
      <c r="P355" t="n">
        <v>0</v>
      </c>
      <c r="Q355" t="n">
        <v>0</v>
      </c>
      <c r="R355" s="2" t="inlineStr"/>
    </row>
    <row r="356" ht="15" customHeight="1">
      <c r="A356" t="inlineStr">
        <is>
          <t>A 31854-2022</t>
        </is>
      </c>
      <c r="B356" s="1" t="n">
        <v>44776</v>
      </c>
      <c r="C356" s="1" t="n">
        <v>45932</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26945-2021</t>
        </is>
      </c>
      <c r="B357" s="1" t="n">
        <v>44349.91995370371</v>
      </c>
      <c r="C357" s="1" t="n">
        <v>45932</v>
      </c>
      <c r="D357" t="inlineStr">
        <is>
          <t>JÄMTLANDS LÄN</t>
        </is>
      </c>
      <c r="E357" t="inlineStr">
        <is>
          <t>RAGUNDA</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40829-2022</t>
        </is>
      </c>
      <c r="B358" s="1" t="n">
        <v>44824.94635416667</v>
      </c>
      <c r="C358" s="1" t="n">
        <v>45932</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45932</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65017-2021</t>
        </is>
      </c>
      <c r="B360" s="1" t="n">
        <v>44512</v>
      </c>
      <c r="C360" s="1" t="n">
        <v>45932</v>
      </c>
      <c r="D360" t="inlineStr">
        <is>
          <t>JÄMTLANDS LÄN</t>
        </is>
      </c>
      <c r="E360" t="inlineStr">
        <is>
          <t>RAGUNDA</t>
        </is>
      </c>
      <c r="G360" t="n">
        <v>2.3</v>
      </c>
      <c r="H360" t="n">
        <v>0</v>
      </c>
      <c r="I360" t="n">
        <v>0</v>
      </c>
      <c r="J360" t="n">
        <v>0</v>
      </c>
      <c r="K360" t="n">
        <v>0</v>
      </c>
      <c r="L360" t="n">
        <v>0</v>
      </c>
      <c r="M360" t="n">
        <v>0</v>
      </c>
      <c r="N360" t="n">
        <v>0</v>
      </c>
      <c r="O360" t="n">
        <v>0</v>
      </c>
      <c r="P360" t="n">
        <v>0</v>
      </c>
      <c r="Q360" t="n">
        <v>0</v>
      </c>
      <c r="R360" s="2" t="inlineStr"/>
    </row>
    <row r="361" ht="15" customHeight="1">
      <c r="A361" t="inlineStr">
        <is>
          <t>A 26948-2021</t>
        </is>
      </c>
      <c r="B361" s="1" t="n">
        <v>44349.92013888889</v>
      </c>
      <c r="C361" s="1" t="n">
        <v>45932</v>
      </c>
      <c r="D361" t="inlineStr">
        <is>
          <t>JÄMTLANDS LÄN</t>
        </is>
      </c>
      <c r="E361" t="inlineStr">
        <is>
          <t>RAGUNDA</t>
        </is>
      </c>
      <c r="G361" t="n">
        <v>2.5</v>
      </c>
      <c r="H361" t="n">
        <v>0</v>
      </c>
      <c r="I361" t="n">
        <v>0</v>
      </c>
      <c r="J361" t="n">
        <v>0</v>
      </c>
      <c r="K361" t="n">
        <v>0</v>
      </c>
      <c r="L361" t="n">
        <v>0</v>
      </c>
      <c r="M361" t="n">
        <v>0</v>
      </c>
      <c r="N361" t="n">
        <v>0</v>
      </c>
      <c r="O361" t="n">
        <v>0</v>
      </c>
      <c r="P361" t="n">
        <v>0</v>
      </c>
      <c r="Q361" t="n">
        <v>0</v>
      </c>
      <c r="R361" s="2" t="inlineStr"/>
    </row>
    <row r="362" ht="15" customHeight="1">
      <c r="A362" t="inlineStr">
        <is>
          <t>A 19600-2021</t>
        </is>
      </c>
      <c r="B362" s="1" t="n">
        <v>44308</v>
      </c>
      <c r="C362" s="1" t="n">
        <v>45932</v>
      </c>
      <c r="D362" t="inlineStr">
        <is>
          <t>JÄMTLANDS LÄN</t>
        </is>
      </c>
      <c r="E362" t="inlineStr">
        <is>
          <t>RAGUNDA</t>
        </is>
      </c>
      <c r="G362" t="n">
        <v>4.3</v>
      </c>
      <c r="H362" t="n">
        <v>0</v>
      </c>
      <c r="I362" t="n">
        <v>0</v>
      </c>
      <c r="J362" t="n">
        <v>0</v>
      </c>
      <c r="K362" t="n">
        <v>0</v>
      </c>
      <c r="L362" t="n">
        <v>0</v>
      </c>
      <c r="M362" t="n">
        <v>0</v>
      </c>
      <c r="N362" t="n">
        <v>0</v>
      </c>
      <c r="O362" t="n">
        <v>0</v>
      </c>
      <c r="P362" t="n">
        <v>0</v>
      </c>
      <c r="Q362" t="n">
        <v>0</v>
      </c>
      <c r="R362" s="2" t="inlineStr"/>
    </row>
    <row r="363" ht="15" customHeight="1">
      <c r="A363" t="inlineStr">
        <is>
          <t>A 44241-2021</t>
        </is>
      </c>
      <c r="B363" s="1" t="n">
        <v>44434.94517361111</v>
      </c>
      <c r="C363" s="1" t="n">
        <v>45932</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46992-2022</t>
        </is>
      </c>
      <c r="B364" s="1" t="n">
        <v>44851.95488425926</v>
      </c>
      <c r="C364" s="1" t="n">
        <v>45932</v>
      </c>
      <c r="D364" t="inlineStr">
        <is>
          <t>JÄMTLANDS LÄN</t>
        </is>
      </c>
      <c r="E364" t="inlineStr">
        <is>
          <t>RAGUNDA</t>
        </is>
      </c>
      <c r="F364" t="inlineStr">
        <is>
          <t>SCA</t>
        </is>
      </c>
      <c r="G364" t="n">
        <v>26.4</v>
      </c>
      <c r="H364" t="n">
        <v>0</v>
      </c>
      <c r="I364" t="n">
        <v>0</v>
      </c>
      <c r="J364" t="n">
        <v>0</v>
      </c>
      <c r="K364" t="n">
        <v>0</v>
      </c>
      <c r="L364" t="n">
        <v>0</v>
      </c>
      <c r="M364" t="n">
        <v>0</v>
      </c>
      <c r="N364" t="n">
        <v>0</v>
      </c>
      <c r="O364" t="n">
        <v>0</v>
      </c>
      <c r="P364" t="n">
        <v>0</v>
      </c>
      <c r="Q364" t="n">
        <v>0</v>
      </c>
      <c r="R364" s="2" t="inlineStr"/>
    </row>
    <row r="365" ht="15" customHeight="1">
      <c r="A365" t="inlineStr">
        <is>
          <t>A 34348-2021</t>
        </is>
      </c>
      <c r="B365" s="1" t="n">
        <v>44379</v>
      </c>
      <c r="C365" s="1" t="n">
        <v>45932</v>
      </c>
      <c r="D365" t="inlineStr">
        <is>
          <t>JÄMTLANDS LÄN</t>
        </is>
      </c>
      <c r="E365" t="inlineStr">
        <is>
          <t>RAGUNDA</t>
        </is>
      </c>
      <c r="G365" t="n">
        <v>8.1</v>
      </c>
      <c r="H365" t="n">
        <v>0</v>
      </c>
      <c r="I365" t="n">
        <v>0</v>
      </c>
      <c r="J365" t="n">
        <v>0</v>
      </c>
      <c r="K365" t="n">
        <v>0</v>
      </c>
      <c r="L365" t="n">
        <v>0</v>
      </c>
      <c r="M365" t="n">
        <v>0</v>
      </c>
      <c r="N365" t="n">
        <v>0</v>
      </c>
      <c r="O365" t="n">
        <v>0</v>
      </c>
      <c r="P365" t="n">
        <v>0</v>
      </c>
      <c r="Q365" t="n">
        <v>0</v>
      </c>
      <c r="R365" s="2" t="inlineStr"/>
    </row>
    <row r="366" ht="15" customHeight="1">
      <c r="A366" t="inlineStr">
        <is>
          <t>A 21984-2022</t>
        </is>
      </c>
      <c r="B366" s="1" t="n">
        <v>44704</v>
      </c>
      <c r="C366" s="1" t="n">
        <v>45932</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16460-2022</t>
        </is>
      </c>
      <c r="B367" s="1" t="n">
        <v>44671</v>
      </c>
      <c r="C367" s="1" t="n">
        <v>45932</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18341-2022</t>
        </is>
      </c>
      <c r="B368" s="1" t="n">
        <v>44685</v>
      </c>
      <c r="C368" s="1" t="n">
        <v>45932</v>
      </c>
      <c r="D368" t="inlineStr">
        <is>
          <t>JÄMTLANDS LÄN</t>
        </is>
      </c>
      <c r="E368" t="inlineStr">
        <is>
          <t>RAGUNDA</t>
        </is>
      </c>
      <c r="G368" t="n">
        <v>0.2</v>
      </c>
      <c r="H368" t="n">
        <v>0</v>
      </c>
      <c r="I368" t="n">
        <v>0</v>
      </c>
      <c r="J368" t="n">
        <v>0</v>
      </c>
      <c r="K368" t="n">
        <v>0</v>
      </c>
      <c r="L368" t="n">
        <v>0</v>
      </c>
      <c r="M368" t="n">
        <v>0</v>
      </c>
      <c r="N368" t="n">
        <v>0</v>
      </c>
      <c r="O368" t="n">
        <v>0</v>
      </c>
      <c r="P368" t="n">
        <v>0</v>
      </c>
      <c r="Q368" t="n">
        <v>0</v>
      </c>
      <c r="R368" s="2" t="inlineStr"/>
    </row>
    <row r="369" ht="15" customHeight="1">
      <c r="A369" t="inlineStr">
        <is>
          <t>A 9185-2022</t>
        </is>
      </c>
      <c r="B369" s="1" t="n">
        <v>44615</v>
      </c>
      <c r="C369" s="1" t="n">
        <v>45932</v>
      </c>
      <c r="D369" t="inlineStr">
        <is>
          <t>JÄMTLANDS LÄN</t>
        </is>
      </c>
      <c r="E369" t="inlineStr">
        <is>
          <t>RAGUNDA</t>
        </is>
      </c>
      <c r="G369" t="n">
        <v>1.1</v>
      </c>
      <c r="H369" t="n">
        <v>0</v>
      </c>
      <c r="I369" t="n">
        <v>0</v>
      </c>
      <c r="J369" t="n">
        <v>0</v>
      </c>
      <c r="K369" t="n">
        <v>0</v>
      </c>
      <c r="L369" t="n">
        <v>0</v>
      </c>
      <c r="M369" t="n">
        <v>0</v>
      </c>
      <c r="N369" t="n">
        <v>0</v>
      </c>
      <c r="O369" t="n">
        <v>0</v>
      </c>
      <c r="P369" t="n">
        <v>0</v>
      </c>
      <c r="Q369" t="n">
        <v>0</v>
      </c>
      <c r="R369" s="2" t="inlineStr"/>
    </row>
    <row r="370" ht="15" customHeight="1">
      <c r="A370" t="inlineStr">
        <is>
          <t>A 39698-2022</t>
        </is>
      </c>
      <c r="B370" s="1" t="n">
        <v>44818</v>
      </c>
      <c r="C370" s="1" t="n">
        <v>45932</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43147-2022</t>
        </is>
      </c>
      <c r="B371" s="1" t="n">
        <v>44833.9519212963</v>
      </c>
      <c r="C371" s="1" t="n">
        <v>45932</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25253-2022</t>
        </is>
      </c>
      <c r="B372" s="1" t="n">
        <v>44729.94136574074</v>
      </c>
      <c r="C372" s="1" t="n">
        <v>45932</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21195-2022</t>
        </is>
      </c>
      <c r="B373" s="1" t="n">
        <v>44704.94229166667</v>
      </c>
      <c r="C373" s="1" t="n">
        <v>45932</v>
      </c>
      <c r="D373" t="inlineStr">
        <is>
          <t>JÄMTLANDS LÄN</t>
        </is>
      </c>
      <c r="E373" t="inlineStr">
        <is>
          <t>RAGUNDA</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49531-2022</t>
        </is>
      </c>
      <c r="B374" s="1" t="n">
        <v>44861</v>
      </c>
      <c r="C374" s="1" t="n">
        <v>45932</v>
      </c>
      <c r="D374" t="inlineStr">
        <is>
          <t>JÄMTLANDS LÄN</t>
        </is>
      </c>
      <c r="E374" t="inlineStr">
        <is>
          <t>RAGUNDA</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31972-2022</t>
        </is>
      </c>
      <c r="B375" s="1" t="n">
        <v>44777.95504629629</v>
      </c>
      <c r="C375" s="1" t="n">
        <v>45932</v>
      </c>
      <c r="D375" t="inlineStr">
        <is>
          <t>JÄMTLANDS LÄN</t>
        </is>
      </c>
      <c r="E375" t="inlineStr">
        <is>
          <t>RAGUNDA</t>
        </is>
      </c>
      <c r="F375" t="inlineStr">
        <is>
          <t>Naturvårdsverket</t>
        </is>
      </c>
      <c r="G375" t="n">
        <v>0.8</v>
      </c>
      <c r="H375" t="n">
        <v>0</v>
      </c>
      <c r="I375" t="n">
        <v>0</v>
      </c>
      <c r="J375" t="n">
        <v>0</v>
      </c>
      <c r="K375" t="n">
        <v>0</v>
      </c>
      <c r="L375" t="n">
        <v>0</v>
      </c>
      <c r="M375" t="n">
        <v>0</v>
      </c>
      <c r="N375" t="n">
        <v>0</v>
      </c>
      <c r="O375" t="n">
        <v>0</v>
      </c>
      <c r="P375" t="n">
        <v>0</v>
      </c>
      <c r="Q375" t="n">
        <v>0</v>
      </c>
      <c r="R375" s="2" t="inlineStr"/>
    </row>
    <row r="376" ht="15" customHeight="1">
      <c r="A376" t="inlineStr">
        <is>
          <t>A 29265-2024</t>
        </is>
      </c>
      <c r="B376" s="1" t="n">
        <v>45482.9491087963</v>
      </c>
      <c r="C376" s="1" t="n">
        <v>45932</v>
      </c>
      <c r="D376" t="inlineStr">
        <is>
          <t>JÄMTLANDS LÄN</t>
        </is>
      </c>
      <c r="E376" t="inlineStr">
        <is>
          <t>RAGUNDA</t>
        </is>
      </c>
      <c r="F376" t="inlineStr">
        <is>
          <t>SCA</t>
        </is>
      </c>
      <c r="G376" t="n">
        <v>11.6</v>
      </c>
      <c r="H376" t="n">
        <v>0</v>
      </c>
      <c r="I376" t="n">
        <v>0</v>
      </c>
      <c r="J376" t="n">
        <v>0</v>
      </c>
      <c r="K376" t="n">
        <v>0</v>
      </c>
      <c r="L376" t="n">
        <v>0</v>
      </c>
      <c r="M376" t="n">
        <v>0</v>
      </c>
      <c r="N376" t="n">
        <v>0</v>
      </c>
      <c r="O376" t="n">
        <v>0</v>
      </c>
      <c r="P376" t="n">
        <v>0</v>
      </c>
      <c r="Q376" t="n">
        <v>0</v>
      </c>
      <c r="R376" s="2" t="inlineStr"/>
    </row>
    <row r="377" ht="15" customHeight="1">
      <c r="A377" t="inlineStr">
        <is>
          <t>A 48086-2022</t>
        </is>
      </c>
      <c r="B377" s="1" t="n">
        <v>44855.9471875</v>
      </c>
      <c r="C377" s="1" t="n">
        <v>45932</v>
      </c>
      <c r="D377" t="inlineStr">
        <is>
          <t>JÄMTLANDS LÄN</t>
        </is>
      </c>
      <c r="E377" t="inlineStr">
        <is>
          <t>RAGUNDA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27291-2022</t>
        </is>
      </c>
      <c r="B378" s="1" t="n">
        <v>44741.94070601852</v>
      </c>
      <c r="C378" s="1" t="n">
        <v>45932</v>
      </c>
      <c r="D378" t="inlineStr">
        <is>
          <t>JÄMTLANDS LÄN</t>
        </is>
      </c>
      <c r="E378" t="inlineStr">
        <is>
          <t>RAGUNDA</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57730-2020</t>
        </is>
      </c>
      <c r="B379" s="1" t="n">
        <v>44140</v>
      </c>
      <c r="C379" s="1" t="n">
        <v>45932</v>
      </c>
      <c r="D379" t="inlineStr">
        <is>
          <t>JÄMTLANDS LÄN</t>
        </is>
      </c>
      <c r="E379" t="inlineStr">
        <is>
          <t>RAGUNDA</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8776-2025</t>
        </is>
      </c>
      <c r="B380" s="1" t="n">
        <v>45712.61510416667</v>
      </c>
      <c r="C380" s="1" t="n">
        <v>45932</v>
      </c>
      <c r="D380" t="inlineStr">
        <is>
          <t>JÄMTLANDS LÄN</t>
        </is>
      </c>
      <c r="E380" t="inlineStr">
        <is>
          <t>RAGUNDA</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10120-2022</t>
        </is>
      </c>
      <c r="B381" s="1" t="n">
        <v>44621</v>
      </c>
      <c r="C381" s="1" t="n">
        <v>45932</v>
      </c>
      <c r="D381" t="inlineStr">
        <is>
          <t>JÄMTLANDS LÄN</t>
        </is>
      </c>
      <c r="E381" t="inlineStr">
        <is>
          <t>RAGUNDA</t>
        </is>
      </c>
      <c r="G381" t="n">
        <v>0.4</v>
      </c>
      <c r="H381" t="n">
        <v>0</v>
      </c>
      <c r="I381" t="n">
        <v>0</v>
      </c>
      <c r="J381" t="n">
        <v>0</v>
      </c>
      <c r="K381" t="n">
        <v>0</v>
      </c>
      <c r="L381" t="n">
        <v>0</v>
      </c>
      <c r="M381" t="n">
        <v>0</v>
      </c>
      <c r="N381" t="n">
        <v>0</v>
      </c>
      <c r="O381" t="n">
        <v>0</v>
      </c>
      <c r="P381" t="n">
        <v>0</v>
      </c>
      <c r="Q381" t="n">
        <v>0</v>
      </c>
      <c r="R381" s="2" t="inlineStr"/>
    </row>
    <row r="382" ht="15" customHeight="1">
      <c r="A382" t="inlineStr">
        <is>
          <t>A 35749-2022</t>
        </is>
      </c>
      <c r="B382" s="1" t="n">
        <v>44799.94394675926</v>
      </c>
      <c r="C382" s="1" t="n">
        <v>45932</v>
      </c>
      <c r="D382" t="inlineStr">
        <is>
          <t>JÄMTLANDS LÄN</t>
        </is>
      </c>
      <c r="E382" t="inlineStr">
        <is>
          <t>RAGUNDA</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57246-2020</t>
        </is>
      </c>
      <c r="B383" s="1" t="n">
        <v>44138</v>
      </c>
      <c r="C383" s="1" t="n">
        <v>45932</v>
      </c>
      <c r="D383" t="inlineStr">
        <is>
          <t>JÄMTLANDS LÄN</t>
        </is>
      </c>
      <c r="E383" t="inlineStr">
        <is>
          <t>RAGUNDA</t>
        </is>
      </c>
      <c r="G383" t="n">
        <v>3.1</v>
      </c>
      <c r="H383" t="n">
        <v>0</v>
      </c>
      <c r="I383" t="n">
        <v>0</v>
      </c>
      <c r="J383" t="n">
        <v>0</v>
      </c>
      <c r="K383" t="n">
        <v>0</v>
      </c>
      <c r="L383" t="n">
        <v>0</v>
      </c>
      <c r="M383" t="n">
        <v>0</v>
      </c>
      <c r="N383" t="n">
        <v>0</v>
      </c>
      <c r="O383" t="n">
        <v>0</v>
      </c>
      <c r="P383" t="n">
        <v>0</v>
      </c>
      <c r="Q383" t="n">
        <v>0</v>
      </c>
      <c r="R383" s="2" t="inlineStr"/>
    </row>
    <row r="384" ht="15" customHeight="1">
      <c r="A384" t="inlineStr">
        <is>
          <t>A 13964-2022</t>
        </is>
      </c>
      <c r="B384" s="1" t="n">
        <v>44650</v>
      </c>
      <c r="C384" s="1" t="n">
        <v>45932</v>
      </c>
      <c r="D384" t="inlineStr">
        <is>
          <t>JÄMTLANDS LÄN</t>
        </is>
      </c>
      <c r="E384" t="inlineStr">
        <is>
          <t>RAGUNDA</t>
        </is>
      </c>
      <c r="G384" t="n">
        <v>2.6</v>
      </c>
      <c r="H384" t="n">
        <v>0</v>
      </c>
      <c r="I384" t="n">
        <v>0</v>
      </c>
      <c r="J384" t="n">
        <v>0</v>
      </c>
      <c r="K384" t="n">
        <v>0</v>
      </c>
      <c r="L384" t="n">
        <v>0</v>
      </c>
      <c r="M384" t="n">
        <v>0</v>
      </c>
      <c r="N384" t="n">
        <v>0</v>
      </c>
      <c r="O384" t="n">
        <v>0</v>
      </c>
      <c r="P384" t="n">
        <v>0</v>
      </c>
      <c r="Q384" t="n">
        <v>0</v>
      </c>
      <c r="R384" s="2" t="inlineStr"/>
    </row>
    <row r="385" ht="15" customHeight="1">
      <c r="A385" t="inlineStr">
        <is>
          <t>A 14821-2025</t>
        </is>
      </c>
      <c r="B385" s="1" t="n">
        <v>45743.36</v>
      </c>
      <c r="C385" s="1" t="n">
        <v>45932</v>
      </c>
      <c r="D385" t="inlineStr">
        <is>
          <t>JÄMTLANDS LÄN</t>
        </is>
      </c>
      <c r="E385" t="inlineStr">
        <is>
          <t>RAGUNDA</t>
        </is>
      </c>
      <c r="F385" t="inlineStr">
        <is>
          <t>Kyrkan</t>
        </is>
      </c>
      <c r="G385" t="n">
        <v>6.4</v>
      </c>
      <c r="H385" t="n">
        <v>0</v>
      </c>
      <c r="I385" t="n">
        <v>0</v>
      </c>
      <c r="J385" t="n">
        <v>0</v>
      </c>
      <c r="K385" t="n">
        <v>0</v>
      </c>
      <c r="L385" t="n">
        <v>0</v>
      </c>
      <c r="M385" t="n">
        <v>0</v>
      </c>
      <c r="N385" t="n">
        <v>0</v>
      </c>
      <c r="O385" t="n">
        <v>0</v>
      </c>
      <c r="P385" t="n">
        <v>0</v>
      </c>
      <c r="Q385" t="n">
        <v>0</v>
      </c>
      <c r="R385" s="2" t="inlineStr"/>
    </row>
    <row r="386" ht="15" customHeight="1">
      <c r="A386" t="inlineStr">
        <is>
          <t>A 40213-2021</t>
        </is>
      </c>
      <c r="B386" s="1" t="n">
        <v>44418.9369212963</v>
      </c>
      <c r="C386" s="1" t="n">
        <v>45932</v>
      </c>
      <c r="D386" t="inlineStr">
        <is>
          <t>JÄMTLANDS LÄN</t>
        </is>
      </c>
      <c r="E386" t="inlineStr">
        <is>
          <t>RAGUNDA</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1858-2022</t>
        </is>
      </c>
      <c r="B387" s="1" t="n">
        <v>44574</v>
      </c>
      <c r="C387" s="1" t="n">
        <v>45932</v>
      </c>
      <c r="D387" t="inlineStr">
        <is>
          <t>JÄMTLANDS LÄN</t>
        </is>
      </c>
      <c r="E387" t="inlineStr">
        <is>
          <t>RAGUNDA</t>
        </is>
      </c>
      <c r="G387" t="n">
        <v>5.7</v>
      </c>
      <c r="H387" t="n">
        <v>0</v>
      </c>
      <c r="I387" t="n">
        <v>0</v>
      </c>
      <c r="J387" t="n">
        <v>0</v>
      </c>
      <c r="K387" t="n">
        <v>0</v>
      </c>
      <c r="L387" t="n">
        <v>0</v>
      </c>
      <c r="M387" t="n">
        <v>0</v>
      </c>
      <c r="N387" t="n">
        <v>0</v>
      </c>
      <c r="O387" t="n">
        <v>0</v>
      </c>
      <c r="P387" t="n">
        <v>0</v>
      </c>
      <c r="Q387" t="n">
        <v>0</v>
      </c>
      <c r="R387" s="2" t="inlineStr"/>
    </row>
    <row r="388" ht="15" customHeight="1">
      <c r="A388" t="inlineStr">
        <is>
          <t>A 54836-2022</t>
        </is>
      </c>
      <c r="B388" s="1" t="n">
        <v>44883.94918981481</v>
      </c>
      <c r="C388" s="1" t="n">
        <v>45932</v>
      </c>
      <c r="D388" t="inlineStr">
        <is>
          <t>JÄMTLANDS LÄN</t>
        </is>
      </c>
      <c r="E388" t="inlineStr">
        <is>
          <t>RAGUNDA</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33279-2022</t>
        </is>
      </c>
      <c r="B389" s="1" t="n">
        <v>44788</v>
      </c>
      <c r="C389" s="1" t="n">
        <v>45932</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47567-2022</t>
        </is>
      </c>
      <c r="B390" s="1" t="n">
        <v>44853</v>
      </c>
      <c r="C390" s="1" t="n">
        <v>45932</v>
      </c>
      <c r="D390" t="inlineStr">
        <is>
          <t>JÄMTLANDS LÄN</t>
        </is>
      </c>
      <c r="E390" t="inlineStr">
        <is>
          <t>RAGUNDA</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53522-2020</t>
        </is>
      </c>
      <c r="B391" s="1" t="n">
        <v>44124</v>
      </c>
      <c r="C391" s="1" t="n">
        <v>45932</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36375-2022</t>
        </is>
      </c>
      <c r="B392" s="1" t="n">
        <v>44803.94351851852</v>
      </c>
      <c r="C392" s="1" t="n">
        <v>45932</v>
      </c>
      <c r="D392" t="inlineStr">
        <is>
          <t>JÄMTLANDS LÄN</t>
        </is>
      </c>
      <c r="E392" t="inlineStr">
        <is>
          <t>RAGUNDA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45932</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43040-2021</t>
        </is>
      </c>
      <c r="B394" s="1" t="n">
        <v>44431</v>
      </c>
      <c r="C394" s="1" t="n">
        <v>45932</v>
      </c>
      <c r="D394" t="inlineStr">
        <is>
          <t>JÄMTLANDS LÄN</t>
        </is>
      </c>
      <c r="E394" t="inlineStr">
        <is>
          <t>RAGUNDA</t>
        </is>
      </c>
      <c r="G394" t="n">
        <v>4.9</v>
      </c>
      <c r="H394" t="n">
        <v>0</v>
      </c>
      <c r="I394" t="n">
        <v>0</v>
      </c>
      <c r="J394" t="n">
        <v>0</v>
      </c>
      <c r="K394" t="n">
        <v>0</v>
      </c>
      <c r="L394" t="n">
        <v>0</v>
      </c>
      <c r="M394" t="n">
        <v>0</v>
      </c>
      <c r="N394" t="n">
        <v>0</v>
      </c>
      <c r="O394" t="n">
        <v>0</v>
      </c>
      <c r="P394" t="n">
        <v>0</v>
      </c>
      <c r="Q394" t="n">
        <v>0</v>
      </c>
      <c r="R394" s="2" t="inlineStr"/>
    </row>
    <row r="395" ht="15" customHeight="1">
      <c r="A395" t="inlineStr">
        <is>
          <t>A 57713-2020</t>
        </is>
      </c>
      <c r="B395" s="1" t="n">
        <v>44140</v>
      </c>
      <c r="C395" s="1" t="n">
        <v>45932</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8679-2023</t>
        </is>
      </c>
      <c r="B396" s="1" t="n">
        <v>44977.98670138889</v>
      </c>
      <c r="C396" s="1" t="n">
        <v>45932</v>
      </c>
      <c r="D396" t="inlineStr">
        <is>
          <t>JÄMTLANDS LÄN</t>
        </is>
      </c>
      <c r="E396" t="inlineStr">
        <is>
          <t>RAGUNDA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45932</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58984-2021</t>
        </is>
      </c>
      <c r="B398" s="1" t="n">
        <v>44489.94711805556</v>
      </c>
      <c r="C398" s="1" t="n">
        <v>45932</v>
      </c>
      <c r="D398" t="inlineStr">
        <is>
          <t>JÄMTLANDS LÄN</t>
        </is>
      </c>
      <c r="E398" t="inlineStr">
        <is>
          <t>RAGUNDA</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9325-2024</t>
        </is>
      </c>
      <c r="B399" s="1" t="n">
        <v>45358.95813657407</v>
      </c>
      <c r="C399" s="1" t="n">
        <v>45932</v>
      </c>
      <c r="D399" t="inlineStr">
        <is>
          <t>JÄMTLANDS LÄN</t>
        </is>
      </c>
      <c r="E399" t="inlineStr">
        <is>
          <t>RAGUNDA</t>
        </is>
      </c>
      <c r="G399" t="n">
        <v>3.1</v>
      </c>
      <c r="H399" t="n">
        <v>0</v>
      </c>
      <c r="I399" t="n">
        <v>0</v>
      </c>
      <c r="J399" t="n">
        <v>0</v>
      </c>
      <c r="K399" t="n">
        <v>0</v>
      </c>
      <c r="L399" t="n">
        <v>0</v>
      </c>
      <c r="M399" t="n">
        <v>0</v>
      </c>
      <c r="N399" t="n">
        <v>0</v>
      </c>
      <c r="O399" t="n">
        <v>0</v>
      </c>
      <c r="P399" t="n">
        <v>0</v>
      </c>
      <c r="Q399" t="n">
        <v>0</v>
      </c>
      <c r="R399" s="2" t="inlineStr"/>
    </row>
    <row r="400" ht="15" customHeight="1">
      <c r="A400" t="inlineStr">
        <is>
          <t>A 5930-2025</t>
        </is>
      </c>
      <c r="B400" s="1" t="n">
        <v>45695.44724537037</v>
      </c>
      <c r="C400" s="1" t="n">
        <v>45932</v>
      </c>
      <c r="D400" t="inlineStr">
        <is>
          <t>JÄMTLANDS LÄN</t>
        </is>
      </c>
      <c r="E400" t="inlineStr">
        <is>
          <t>RAGUNDA</t>
        </is>
      </c>
      <c r="G400" t="n">
        <v>0.7</v>
      </c>
      <c r="H400" t="n">
        <v>0</v>
      </c>
      <c r="I400" t="n">
        <v>0</v>
      </c>
      <c r="J400" t="n">
        <v>0</v>
      </c>
      <c r="K400" t="n">
        <v>0</v>
      </c>
      <c r="L400" t="n">
        <v>0</v>
      </c>
      <c r="M400" t="n">
        <v>0</v>
      </c>
      <c r="N400" t="n">
        <v>0</v>
      </c>
      <c r="O400" t="n">
        <v>0</v>
      </c>
      <c r="P400" t="n">
        <v>0</v>
      </c>
      <c r="Q400" t="n">
        <v>0</v>
      </c>
      <c r="R400" s="2" t="inlineStr"/>
    </row>
    <row r="401" ht="15" customHeight="1">
      <c r="A401" t="inlineStr">
        <is>
          <t>A 38733-2022</t>
        </is>
      </c>
      <c r="B401" s="1" t="n">
        <v>44815</v>
      </c>
      <c r="C401" s="1" t="n">
        <v>45932</v>
      </c>
      <c r="D401" t="inlineStr">
        <is>
          <t>JÄMTLANDS LÄN</t>
        </is>
      </c>
      <c r="E401" t="inlineStr">
        <is>
          <t>RAGUNDA</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40978-2022</t>
        </is>
      </c>
      <c r="B402" s="1" t="n">
        <v>44823</v>
      </c>
      <c r="C402" s="1" t="n">
        <v>45932</v>
      </c>
      <c r="D402" t="inlineStr">
        <is>
          <t>JÄMTLANDS LÄN</t>
        </is>
      </c>
      <c r="E402" t="inlineStr">
        <is>
          <t>RAGUNDA</t>
        </is>
      </c>
      <c r="G402" t="n">
        <v>1.5</v>
      </c>
      <c r="H402" t="n">
        <v>0</v>
      </c>
      <c r="I402" t="n">
        <v>0</v>
      </c>
      <c r="J402" t="n">
        <v>0</v>
      </c>
      <c r="K402" t="n">
        <v>0</v>
      </c>
      <c r="L402" t="n">
        <v>0</v>
      </c>
      <c r="M402" t="n">
        <v>0</v>
      </c>
      <c r="N402" t="n">
        <v>0</v>
      </c>
      <c r="O402" t="n">
        <v>0</v>
      </c>
      <c r="P402" t="n">
        <v>0</v>
      </c>
      <c r="Q402" t="n">
        <v>0</v>
      </c>
      <c r="R402" s="2" t="inlineStr"/>
    </row>
    <row r="403" ht="15" customHeight="1">
      <c r="A403" t="inlineStr">
        <is>
          <t>A 2336-2022</t>
        </is>
      </c>
      <c r="B403" s="1" t="n">
        <v>44578.92284722222</v>
      </c>
      <c r="C403" s="1" t="n">
        <v>45932</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57170-2024</t>
        </is>
      </c>
      <c r="B404" s="1" t="n">
        <v>45629.42759259259</v>
      </c>
      <c r="C404" s="1" t="n">
        <v>45932</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24741-2022</t>
        </is>
      </c>
      <c r="B405" s="1" t="n">
        <v>44727</v>
      </c>
      <c r="C405" s="1" t="n">
        <v>45932</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18610-2024</t>
        </is>
      </c>
      <c r="B406" s="1" t="n">
        <v>45425.96230324074</v>
      </c>
      <c r="C406" s="1" t="n">
        <v>45932</v>
      </c>
      <c r="D406" t="inlineStr">
        <is>
          <t>JÄMTLANDS LÄN</t>
        </is>
      </c>
      <c r="E406" t="inlineStr">
        <is>
          <t>RAGUNDA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57116-2024</t>
        </is>
      </c>
      <c r="B407" s="1" t="n">
        <v>45629.36513888889</v>
      </c>
      <c r="C407" s="1" t="n">
        <v>45932</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3104-2025</t>
        </is>
      </c>
      <c r="B408" s="1" t="n">
        <v>45678.67761574074</v>
      </c>
      <c r="C408" s="1" t="n">
        <v>45932</v>
      </c>
      <c r="D408" t="inlineStr">
        <is>
          <t>JÄMTLANDS LÄN</t>
        </is>
      </c>
      <c r="E408" t="inlineStr">
        <is>
          <t>RAGUNDA</t>
        </is>
      </c>
      <c r="F408" t="inlineStr">
        <is>
          <t>SCA</t>
        </is>
      </c>
      <c r="G408" t="n">
        <v>46.2</v>
      </c>
      <c r="H408" t="n">
        <v>0</v>
      </c>
      <c r="I408" t="n">
        <v>0</v>
      </c>
      <c r="J408" t="n">
        <v>0</v>
      </c>
      <c r="K408" t="n">
        <v>0</v>
      </c>
      <c r="L408" t="n">
        <v>0</v>
      </c>
      <c r="M408" t="n">
        <v>0</v>
      </c>
      <c r="N408" t="n">
        <v>0</v>
      </c>
      <c r="O408" t="n">
        <v>0</v>
      </c>
      <c r="P408" t="n">
        <v>0</v>
      </c>
      <c r="Q408" t="n">
        <v>0</v>
      </c>
      <c r="R408" s="2" t="inlineStr"/>
    </row>
    <row r="409" ht="15" customHeight="1">
      <c r="A409" t="inlineStr">
        <is>
          <t>A 48536-2022</t>
        </is>
      </c>
      <c r="B409" s="1" t="n">
        <v>44858</v>
      </c>
      <c r="C409" s="1" t="n">
        <v>45932</v>
      </c>
      <c r="D409" t="inlineStr">
        <is>
          <t>JÄMTLANDS LÄN</t>
        </is>
      </c>
      <c r="E409" t="inlineStr">
        <is>
          <t>RAGUNDA</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41613-2021</t>
        </is>
      </c>
      <c r="B410" s="1" t="n">
        <v>44425</v>
      </c>
      <c r="C410" s="1" t="n">
        <v>45932</v>
      </c>
      <c r="D410" t="inlineStr">
        <is>
          <t>JÄMTLANDS LÄN</t>
        </is>
      </c>
      <c r="E410" t="inlineStr">
        <is>
          <t>RAGUNDA</t>
        </is>
      </c>
      <c r="F410" t="inlineStr">
        <is>
          <t>Kommuner</t>
        </is>
      </c>
      <c r="G410" t="n">
        <v>1.5</v>
      </c>
      <c r="H410" t="n">
        <v>0</v>
      </c>
      <c r="I410" t="n">
        <v>0</v>
      </c>
      <c r="J410" t="n">
        <v>0</v>
      </c>
      <c r="K410" t="n">
        <v>0</v>
      </c>
      <c r="L410" t="n">
        <v>0</v>
      </c>
      <c r="M410" t="n">
        <v>0</v>
      </c>
      <c r="N410" t="n">
        <v>0</v>
      </c>
      <c r="O410" t="n">
        <v>0</v>
      </c>
      <c r="P410" t="n">
        <v>0</v>
      </c>
      <c r="Q410" t="n">
        <v>0</v>
      </c>
      <c r="R410" s="2" t="inlineStr"/>
    </row>
    <row r="411" ht="15" customHeight="1">
      <c r="A411" t="inlineStr">
        <is>
          <t>A 16635-2025</t>
        </is>
      </c>
      <c r="B411" s="1" t="n">
        <v>45754</v>
      </c>
      <c r="C411" s="1" t="n">
        <v>45932</v>
      </c>
      <c r="D411" t="inlineStr">
        <is>
          <t>JÄMTLANDS LÄN</t>
        </is>
      </c>
      <c r="E411" t="inlineStr">
        <is>
          <t>RAGUNDA</t>
        </is>
      </c>
      <c r="F411" t="inlineStr">
        <is>
          <t>SCA</t>
        </is>
      </c>
      <c r="G411" t="n">
        <v>55.4</v>
      </c>
      <c r="H411" t="n">
        <v>0</v>
      </c>
      <c r="I411" t="n">
        <v>0</v>
      </c>
      <c r="J411" t="n">
        <v>0</v>
      </c>
      <c r="K411" t="n">
        <v>0</v>
      </c>
      <c r="L411" t="n">
        <v>0</v>
      </c>
      <c r="M411" t="n">
        <v>0</v>
      </c>
      <c r="N411" t="n">
        <v>0</v>
      </c>
      <c r="O411" t="n">
        <v>0</v>
      </c>
      <c r="P411" t="n">
        <v>0</v>
      </c>
      <c r="Q411" t="n">
        <v>0</v>
      </c>
      <c r="R411" s="2" t="inlineStr"/>
    </row>
    <row r="412" ht="15" customHeight="1">
      <c r="A412" t="inlineStr">
        <is>
          <t>A 4014-2022</t>
        </is>
      </c>
      <c r="B412" s="1" t="n">
        <v>44587.92144675926</v>
      </c>
      <c r="C412" s="1" t="n">
        <v>45932</v>
      </c>
      <c r="D412" t="inlineStr">
        <is>
          <t>JÄMTLANDS LÄN</t>
        </is>
      </c>
      <c r="E412" t="inlineStr">
        <is>
          <t>RAGUNDA</t>
        </is>
      </c>
      <c r="G412" t="n">
        <v>3.6</v>
      </c>
      <c r="H412" t="n">
        <v>0</v>
      </c>
      <c r="I412" t="n">
        <v>0</v>
      </c>
      <c r="J412" t="n">
        <v>0</v>
      </c>
      <c r="K412" t="n">
        <v>0</v>
      </c>
      <c r="L412" t="n">
        <v>0</v>
      </c>
      <c r="M412" t="n">
        <v>0</v>
      </c>
      <c r="N412" t="n">
        <v>0</v>
      </c>
      <c r="O412" t="n">
        <v>0</v>
      </c>
      <c r="P412" t="n">
        <v>0</v>
      </c>
      <c r="Q412" t="n">
        <v>0</v>
      </c>
      <c r="R412" s="2" t="inlineStr"/>
    </row>
    <row r="413" ht="15" customHeight="1">
      <c r="A413" t="inlineStr">
        <is>
          <t>A 40246-2024</t>
        </is>
      </c>
      <c r="B413" s="1" t="n">
        <v>45554.61583333334</v>
      </c>
      <c r="C413" s="1" t="n">
        <v>45932</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65341-2020</t>
        </is>
      </c>
      <c r="B414" s="1" t="n">
        <v>44173</v>
      </c>
      <c r="C414" s="1" t="n">
        <v>45932</v>
      </c>
      <c r="D414" t="inlineStr">
        <is>
          <t>JÄMTLANDS LÄN</t>
        </is>
      </c>
      <c r="E414" t="inlineStr">
        <is>
          <t>RAGUNDA</t>
        </is>
      </c>
      <c r="G414" t="n">
        <v>2.6</v>
      </c>
      <c r="H414" t="n">
        <v>0</v>
      </c>
      <c r="I414" t="n">
        <v>0</v>
      </c>
      <c r="J414" t="n">
        <v>0</v>
      </c>
      <c r="K414" t="n">
        <v>0</v>
      </c>
      <c r="L414" t="n">
        <v>0</v>
      </c>
      <c r="M414" t="n">
        <v>0</v>
      </c>
      <c r="N414" t="n">
        <v>0</v>
      </c>
      <c r="O414" t="n">
        <v>0</v>
      </c>
      <c r="P414" t="n">
        <v>0</v>
      </c>
      <c r="Q414" t="n">
        <v>0</v>
      </c>
      <c r="R414" s="2" t="inlineStr"/>
    </row>
    <row r="415" ht="15" customHeight="1">
      <c r="A415" t="inlineStr">
        <is>
          <t>A 4878-2022</t>
        </is>
      </c>
      <c r="B415" s="1" t="n">
        <v>44593</v>
      </c>
      <c r="C415" s="1" t="n">
        <v>45932</v>
      </c>
      <c r="D415" t="inlineStr">
        <is>
          <t>JÄMTLANDS LÄN</t>
        </is>
      </c>
      <c r="E415" t="inlineStr">
        <is>
          <t>RAGUNDA</t>
        </is>
      </c>
      <c r="G415" t="n">
        <v>21.7</v>
      </c>
      <c r="H415" t="n">
        <v>0</v>
      </c>
      <c r="I415" t="n">
        <v>0</v>
      </c>
      <c r="J415" t="n">
        <v>0</v>
      </c>
      <c r="K415" t="n">
        <v>0</v>
      </c>
      <c r="L415" t="n">
        <v>0</v>
      </c>
      <c r="M415" t="n">
        <v>0</v>
      </c>
      <c r="N415" t="n">
        <v>0</v>
      </c>
      <c r="O415" t="n">
        <v>0</v>
      </c>
      <c r="P415" t="n">
        <v>0</v>
      </c>
      <c r="Q415" t="n">
        <v>0</v>
      </c>
      <c r="R415" s="2" t="inlineStr"/>
    </row>
    <row r="416" ht="15" customHeight="1">
      <c r="A416" t="inlineStr">
        <is>
          <t>A 57237-2022</t>
        </is>
      </c>
      <c r="B416" s="1" t="n">
        <v>44889</v>
      </c>
      <c r="C416" s="1" t="n">
        <v>45932</v>
      </c>
      <c r="D416" t="inlineStr">
        <is>
          <t>JÄMTLANDS LÄN</t>
        </is>
      </c>
      <c r="E416" t="inlineStr">
        <is>
          <t>RAGUNDA</t>
        </is>
      </c>
      <c r="G416" t="n">
        <v>2.2</v>
      </c>
      <c r="H416" t="n">
        <v>0</v>
      </c>
      <c r="I416" t="n">
        <v>0</v>
      </c>
      <c r="J416" t="n">
        <v>0</v>
      </c>
      <c r="K416" t="n">
        <v>0</v>
      </c>
      <c r="L416" t="n">
        <v>0</v>
      </c>
      <c r="M416" t="n">
        <v>0</v>
      </c>
      <c r="N416" t="n">
        <v>0</v>
      </c>
      <c r="O416" t="n">
        <v>0</v>
      </c>
      <c r="P416" t="n">
        <v>0</v>
      </c>
      <c r="Q416" t="n">
        <v>0</v>
      </c>
      <c r="R416" s="2" t="inlineStr"/>
    </row>
    <row r="417" ht="15" customHeight="1">
      <c r="A417" t="inlineStr">
        <is>
          <t>A 1554-2024</t>
        </is>
      </c>
      <c r="B417" s="1" t="n">
        <v>45306</v>
      </c>
      <c r="C417" s="1" t="n">
        <v>45932</v>
      </c>
      <c r="D417" t="inlineStr">
        <is>
          <t>JÄMTLANDS LÄN</t>
        </is>
      </c>
      <c r="E417" t="inlineStr">
        <is>
          <t>RAGUNDA</t>
        </is>
      </c>
      <c r="G417" t="n">
        <v>4.3</v>
      </c>
      <c r="H417" t="n">
        <v>0</v>
      </c>
      <c r="I417" t="n">
        <v>0</v>
      </c>
      <c r="J417" t="n">
        <v>0</v>
      </c>
      <c r="K417" t="n">
        <v>0</v>
      </c>
      <c r="L417" t="n">
        <v>0</v>
      </c>
      <c r="M417" t="n">
        <v>0</v>
      </c>
      <c r="N417" t="n">
        <v>0</v>
      </c>
      <c r="O417" t="n">
        <v>0</v>
      </c>
      <c r="P417" t="n">
        <v>0</v>
      </c>
      <c r="Q417" t="n">
        <v>0</v>
      </c>
      <c r="R417" s="2" t="inlineStr"/>
    </row>
    <row r="418" ht="15" customHeight="1">
      <c r="A418" t="inlineStr">
        <is>
          <t>A 22655-2021</t>
        </is>
      </c>
      <c r="B418" s="1" t="n">
        <v>44322</v>
      </c>
      <c r="C418" s="1" t="n">
        <v>45932</v>
      </c>
      <c r="D418" t="inlineStr">
        <is>
          <t>JÄMTLANDS LÄN</t>
        </is>
      </c>
      <c r="E418" t="inlineStr">
        <is>
          <t>RAGUNDA</t>
        </is>
      </c>
      <c r="G418" t="n">
        <v>5.8</v>
      </c>
      <c r="H418" t="n">
        <v>0</v>
      </c>
      <c r="I418" t="n">
        <v>0</v>
      </c>
      <c r="J418" t="n">
        <v>0</v>
      </c>
      <c r="K418" t="n">
        <v>0</v>
      </c>
      <c r="L418" t="n">
        <v>0</v>
      </c>
      <c r="M418" t="n">
        <v>0</v>
      </c>
      <c r="N418" t="n">
        <v>0</v>
      </c>
      <c r="O418" t="n">
        <v>0</v>
      </c>
      <c r="P418" t="n">
        <v>0</v>
      </c>
      <c r="Q418" t="n">
        <v>0</v>
      </c>
      <c r="R418" s="2" t="inlineStr"/>
    </row>
    <row r="419" ht="15" customHeight="1">
      <c r="A419" t="inlineStr">
        <is>
          <t>A 8795-2022</t>
        </is>
      </c>
      <c r="B419" s="1" t="n">
        <v>44614</v>
      </c>
      <c r="C419" s="1" t="n">
        <v>45932</v>
      </c>
      <c r="D419" t="inlineStr">
        <is>
          <t>JÄMTLANDS LÄN</t>
        </is>
      </c>
      <c r="E419" t="inlineStr">
        <is>
          <t>RAGUNDA</t>
        </is>
      </c>
      <c r="G419" t="n">
        <v>3.9</v>
      </c>
      <c r="H419" t="n">
        <v>0</v>
      </c>
      <c r="I419" t="n">
        <v>0</v>
      </c>
      <c r="J419" t="n">
        <v>0</v>
      </c>
      <c r="K419" t="n">
        <v>0</v>
      </c>
      <c r="L419" t="n">
        <v>0</v>
      </c>
      <c r="M419" t="n">
        <v>0</v>
      </c>
      <c r="N419" t="n">
        <v>0</v>
      </c>
      <c r="O419" t="n">
        <v>0</v>
      </c>
      <c r="P419" t="n">
        <v>0</v>
      </c>
      <c r="Q419" t="n">
        <v>0</v>
      </c>
      <c r="R419" s="2" t="inlineStr"/>
    </row>
    <row r="420" ht="15" customHeight="1">
      <c r="A420" t="inlineStr">
        <is>
          <t>A 38782-2021</t>
        </is>
      </c>
      <c r="B420" s="1" t="n">
        <v>44410</v>
      </c>
      <c r="C420" s="1" t="n">
        <v>45932</v>
      </c>
      <c r="D420" t="inlineStr">
        <is>
          <t>JÄMTLANDS LÄN</t>
        </is>
      </c>
      <c r="E420" t="inlineStr">
        <is>
          <t>RAGUNDA</t>
        </is>
      </c>
      <c r="G420" t="n">
        <v>3.2</v>
      </c>
      <c r="H420" t="n">
        <v>0</v>
      </c>
      <c r="I420" t="n">
        <v>0</v>
      </c>
      <c r="J420" t="n">
        <v>0</v>
      </c>
      <c r="K420" t="n">
        <v>0</v>
      </c>
      <c r="L420" t="n">
        <v>0</v>
      </c>
      <c r="M420" t="n">
        <v>0</v>
      </c>
      <c r="N420" t="n">
        <v>0</v>
      </c>
      <c r="O420" t="n">
        <v>0</v>
      </c>
      <c r="P420" t="n">
        <v>0</v>
      </c>
      <c r="Q420" t="n">
        <v>0</v>
      </c>
      <c r="R420" s="2" t="inlineStr"/>
    </row>
    <row r="421" ht="15" customHeight="1">
      <c r="A421" t="inlineStr">
        <is>
          <t>A 21194-2022</t>
        </is>
      </c>
      <c r="B421" s="1" t="n">
        <v>44704.9422337963</v>
      </c>
      <c r="C421" s="1" t="n">
        <v>45932</v>
      </c>
      <c r="D421" t="inlineStr">
        <is>
          <t>JÄMTLANDS LÄN</t>
        </is>
      </c>
      <c r="E421" t="inlineStr">
        <is>
          <t>RAGUNDA</t>
        </is>
      </c>
      <c r="F421" t="inlineStr">
        <is>
          <t>SCA</t>
        </is>
      </c>
      <c r="G421" t="n">
        <v>10.6</v>
      </c>
      <c r="H421" t="n">
        <v>0</v>
      </c>
      <c r="I421" t="n">
        <v>0</v>
      </c>
      <c r="J421" t="n">
        <v>0</v>
      </c>
      <c r="K421" t="n">
        <v>0</v>
      </c>
      <c r="L421" t="n">
        <v>0</v>
      </c>
      <c r="M421" t="n">
        <v>0</v>
      </c>
      <c r="N421" t="n">
        <v>0</v>
      </c>
      <c r="O421" t="n">
        <v>0</v>
      </c>
      <c r="P421" t="n">
        <v>0</v>
      </c>
      <c r="Q421" t="n">
        <v>0</v>
      </c>
      <c r="R421" s="2" t="inlineStr"/>
    </row>
    <row r="422" ht="15" customHeight="1">
      <c r="A422" t="inlineStr">
        <is>
          <t>A 2133-2023</t>
        </is>
      </c>
      <c r="B422" s="1" t="n">
        <v>44939</v>
      </c>
      <c r="C422" s="1" t="n">
        <v>45932</v>
      </c>
      <c r="D422" t="inlineStr">
        <is>
          <t>JÄMTLANDS LÄN</t>
        </is>
      </c>
      <c r="E422" t="inlineStr">
        <is>
          <t>RAGUNDA</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35265-2023</t>
        </is>
      </c>
      <c r="B423" s="1" t="n">
        <v>45145.95326388889</v>
      </c>
      <c r="C423" s="1" t="n">
        <v>45932</v>
      </c>
      <c r="D423" t="inlineStr">
        <is>
          <t>JÄMTLANDS LÄN</t>
        </is>
      </c>
      <c r="E423" t="inlineStr">
        <is>
          <t>RAGUNDA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19419-2024</t>
        </is>
      </c>
      <c r="B424" s="1" t="n">
        <v>45429</v>
      </c>
      <c r="C424" s="1" t="n">
        <v>45932</v>
      </c>
      <c r="D424" t="inlineStr">
        <is>
          <t>JÄMTLANDS LÄN</t>
        </is>
      </c>
      <c r="E424" t="inlineStr">
        <is>
          <t>RAGUNDA</t>
        </is>
      </c>
      <c r="G424" t="n">
        <v>3.5</v>
      </c>
      <c r="H424" t="n">
        <v>0</v>
      </c>
      <c r="I424" t="n">
        <v>0</v>
      </c>
      <c r="J424" t="n">
        <v>0</v>
      </c>
      <c r="K424" t="n">
        <v>0</v>
      </c>
      <c r="L424" t="n">
        <v>0</v>
      </c>
      <c r="M424" t="n">
        <v>0</v>
      </c>
      <c r="N424" t="n">
        <v>0</v>
      </c>
      <c r="O424" t="n">
        <v>0</v>
      </c>
      <c r="P424" t="n">
        <v>0</v>
      </c>
      <c r="Q424" t="n">
        <v>0</v>
      </c>
      <c r="R424" s="2" t="inlineStr"/>
    </row>
    <row r="425" ht="15" customHeight="1">
      <c r="A425" t="inlineStr">
        <is>
          <t>A 20728-2025</t>
        </is>
      </c>
      <c r="B425" s="1" t="n">
        <v>45776.51130787037</v>
      </c>
      <c r="C425" s="1" t="n">
        <v>45932</v>
      </c>
      <c r="D425" t="inlineStr">
        <is>
          <t>JÄMTLANDS LÄN</t>
        </is>
      </c>
      <c r="E425" t="inlineStr">
        <is>
          <t>RAGUNDA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5148-2023</t>
        </is>
      </c>
      <c r="B426" s="1" t="n">
        <v>44958</v>
      </c>
      <c r="C426" s="1" t="n">
        <v>45932</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60313-2021</t>
        </is>
      </c>
      <c r="B427" s="1" t="n">
        <v>44495</v>
      </c>
      <c r="C427" s="1" t="n">
        <v>45932</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66471-2021</t>
        </is>
      </c>
      <c r="B428" s="1" t="n">
        <v>44518</v>
      </c>
      <c r="C428" s="1" t="n">
        <v>45932</v>
      </c>
      <c r="D428" t="inlineStr">
        <is>
          <t>JÄMTLANDS LÄN</t>
        </is>
      </c>
      <c r="E428" t="inlineStr">
        <is>
          <t>RAGUNDA</t>
        </is>
      </c>
      <c r="G428" t="n">
        <v>13.4</v>
      </c>
      <c r="H428" t="n">
        <v>0</v>
      </c>
      <c r="I428" t="n">
        <v>0</v>
      </c>
      <c r="J428" t="n">
        <v>0</v>
      </c>
      <c r="K428" t="n">
        <v>0</v>
      </c>
      <c r="L428" t="n">
        <v>0</v>
      </c>
      <c r="M428" t="n">
        <v>0</v>
      </c>
      <c r="N428" t="n">
        <v>0</v>
      </c>
      <c r="O428" t="n">
        <v>0</v>
      </c>
      <c r="P428" t="n">
        <v>0</v>
      </c>
      <c r="Q428" t="n">
        <v>0</v>
      </c>
      <c r="R428" s="2" t="inlineStr"/>
    </row>
    <row r="429" ht="15" customHeight="1">
      <c r="A429" t="inlineStr">
        <is>
          <t>A 18778-2024</t>
        </is>
      </c>
      <c r="B429" s="1" t="n">
        <v>45426</v>
      </c>
      <c r="C429" s="1" t="n">
        <v>45932</v>
      </c>
      <c r="D429" t="inlineStr">
        <is>
          <t>JÄMTLANDS LÄN</t>
        </is>
      </c>
      <c r="E429" t="inlineStr">
        <is>
          <t>RAGUNDA</t>
        </is>
      </c>
      <c r="G429" t="n">
        <v>0.9</v>
      </c>
      <c r="H429" t="n">
        <v>0</v>
      </c>
      <c r="I429" t="n">
        <v>0</v>
      </c>
      <c r="J429" t="n">
        <v>0</v>
      </c>
      <c r="K429" t="n">
        <v>0</v>
      </c>
      <c r="L429" t="n">
        <v>0</v>
      </c>
      <c r="M429" t="n">
        <v>0</v>
      </c>
      <c r="N429" t="n">
        <v>0</v>
      </c>
      <c r="O429" t="n">
        <v>0</v>
      </c>
      <c r="P429" t="n">
        <v>0</v>
      </c>
      <c r="Q429" t="n">
        <v>0</v>
      </c>
      <c r="R429" s="2" t="inlineStr"/>
    </row>
    <row r="430" ht="15" customHeight="1">
      <c r="A430" t="inlineStr">
        <is>
          <t>A 59556-2024</t>
        </is>
      </c>
      <c r="B430" s="1" t="n">
        <v>45638.63600694444</v>
      </c>
      <c r="C430" s="1" t="n">
        <v>45932</v>
      </c>
      <c r="D430" t="inlineStr">
        <is>
          <t>JÄMTLANDS LÄN</t>
        </is>
      </c>
      <c r="E430" t="inlineStr">
        <is>
          <t>RAGUNDA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20653-2025</t>
        </is>
      </c>
      <c r="B431" s="1" t="n">
        <v>45776.40311342593</v>
      </c>
      <c r="C431" s="1" t="n">
        <v>45932</v>
      </c>
      <c r="D431" t="inlineStr">
        <is>
          <t>JÄMTLANDS LÄN</t>
        </is>
      </c>
      <c r="E431" t="inlineStr">
        <is>
          <t>RAGUNDA</t>
        </is>
      </c>
      <c r="G431" t="n">
        <v>10.8</v>
      </c>
      <c r="H431" t="n">
        <v>0</v>
      </c>
      <c r="I431" t="n">
        <v>0</v>
      </c>
      <c r="J431" t="n">
        <v>0</v>
      </c>
      <c r="K431" t="n">
        <v>0</v>
      </c>
      <c r="L431" t="n">
        <v>0</v>
      </c>
      <c r="M431" t="n">
        <v>0</v>
      </c>
      <c r="N431" t="n">
        <v>0</v>
      </c>
      <c r="O431" t="n">
        <v>0</v>
      </c>
      <c r="P431" t="n">
        <v>0</v>
      </c>
      <c r="Q431" t="n">
        <v>0</v>
      </c>
      <c r="R431" s="2" t="inlineStr"/>
    </row>
    <row r="432" ht="15" customHeight="1">
      <c r="A432" t="inlineStr">
        <is>
          <t>A 20722-2025</t>
        </is>
      </c>
      <c r="B432" s="1" t="n">
        <v>45776.50651620371</v>
      </c>
      <c r="C432" s="1" t="n">
        <v>45932</v>
      </c>
      <c r="D432" t="inlineStr">
        <is>
          <t>JÄMTLANDS LÄN</t>
        </is>
      </c>
      <c r="E432" t="inlineStr">
        <is>
          <t>RAGUNDA</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56193-2022</t>
        </is>
      </c>
      <c r="B433" s="1" t="n">
        <v>44889</v>
      </c>
      <c r="C433" s="1" t="n">
        <v>45932</v>
      </c>
      <c r="D433" t="inlineStr">
        <is>
          <t>JÄMTLANDS LÄN</t>
        </is>
      </c>
      <c r="E433" t="inlineStr">
        <is>
          <t>RAGUNDA</t>
        </is>
      </c>
      <c r="F433" t="inlineStr">
        <is>
          <t>Sveaskog</t>
        </is>
      </c>
      <c r="G433" t="n">
        <v>4.2</v>
      </c>
      <c r="H433" t="n">
        <v>0</v>
      </c>
      <c r="I433" t="n">
        <v>0</v>
      </c>
      <c r="J433" t="n">
        <v>0</v>
      </c>
      <c r="K433" t="n">
        <v>0</v>
      </c>
      <c r="L433" t="n">
        <v>0</v>
      </c>
      <c r="M433" t="n">
        <v>0</v>
      </c>
      <c r="N433" t="n">
        <v>0</v>
      </c>
      <c r="O433" t="n">
        <v>0</v>
      </c>
      <c r="P433" t="n">
        <v>0</v>
      </c>
      <c r="Q433" t="n">
        <v>0</v>
      </c>
      <c r="R433" s="2" t="inlineStr"/>
    </row>
    <row r="434" ht="15" customHeight="1">
      <c r="A434" t="inlineStr">
        <is>
          <t>A 5515-2022</t>
        </is>
      </c>
      <c r="B434" s="1" t="n">
        <v>44595</v>
      </c>
      <c r="C434" s="1" t="n">
        <v>45932</v>
      </c>
      <c r="D434" t="inlineStr">
        <is>
          <t>JÄMTLANDS LÄN</t>
        </is>
      </c>
      <c r="E434" t="inlineStr">
        <is>
          <t>RAGUNDA</t>
        </is>
      </c>
      <c r="G434" t="n">
        <v>1</v>
      </c>
      <c r="H434" t="n">
        <v>0</v>
      </c>
      <c r="I434" t="n">
        <v>0</v>
      </c>
      <c r="J434" t="n">
        <v>0</v>
      </c>
      <c r="K434" t="n">
        <v>0</v>
      </c>
      <c r="L434" t="n">
        <v>0</v>
      </c>
      <c r="M434" t="n">
        <v>0</v>
      </c>
      <c r="N434" t="n">
        <v>0</v>
      </c>
      <c r="O434" t="n">
        <v>0</v>
      </c>
      <c r="P434" t="n">
        <v>0</v>
      </c>
      <c r="Q434" t="n">
        <v>0</v>
      </c>
      <c r="R434" s="2" t="inlineStr"/>
    </row>
    <row r="435" ht="15" customHeight="1">
      <c r="A435" t="inlineStr">
        <is>
          <t>A 19383-2025</t>
        </is>
      </c>
      <c r="B435" s="1" t="n">
        <v>45769.65688657408</v>
      </c>
      <c r="C435" s="1" t="n">
        <v>45932</v>
      </c>
      <c r="D435" t="inlineStr">
        <is>
          <t>JÄMTLANDS LÄN</t>
        </is>
      </c>
      <c r="E435" t="inlineStr">
        <is>
          <t>RAGUNDA</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20777-2025</t>
        </is>
      </c>
      <c r="B436" s="1" t="n">
        <v>45776.59422453704</v>
      </c>
      <c r="C436" s="1" t="n">
        <v>45932</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49229-2024</t>
        </is>
      </c>
      <c r="B437" s="1" t="n">
        <v>45595.42738425926</v>
      </c>
      <c r="C437" s="1" t="n">
        <v>45932</v>
      </c>
      <c r="D437" t="inlineStr">
        <is>
          <t>JÄMTLANDS LÄN</t>
        </is>
      </c>
      <c r="E437" t="inlineStr">
        <is>
          <t>RAGUNDA</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13700-2023</t>
        </is>
      </c>
      <c r="B438" s="1" t="n">
        <v>45006</v>
      </c>
      <c r="C438" s="1" t="n">
        <v>45932</v>
      </c>
      <c r="D438" t="inlineStr">
        <is>
          <t>JÄMTLANDS LÄN</t>
        </is>
      </c>
      <c r="E438" t="inlineStr">
        <is>
          <t>RAGUNDA</t>
        </is>
      </c>
      <c r="F438" t="inlineStr">
        <is>
          <t>SCA</t>
        </is>
      </c>
      <c r="G438" t="n">
        <v>50.3</v>
      </c>
      <c r="H438" t="n">
        <v>0</v>
      </c>
      <c r="I438" t="n">
        <v>0</v>
      </c>
      <c r="J438" t="n">
        <v>0</v>
      </c>
      <c r="K438" t="n">
        <v>0</v>
      </c>
      <c r="L438" t="n">
        <v>0</v>
      </c>
      <c r="M438" t="n">
        <v>0</v>
      </c>
      <c r="N438" t="n">
        <v>0</v>
      </c>
      <c r="O438" t="n">
        <v>0</v>
      </c>
      <c r="P438" t="n">
        <v>0</v>
      </c>
      <c r="Q438" t="n">
        <v>0</v>
      </c>
      <c r="R438" s="2" t="inlineStr"/>
    </row>
    <row r="439" ht="15" customHeight="1">
      <c r="A439" t="inlineStr">
        <is>
          <t>A 51389-2024</t>
        </is>
      </c>
      <c r="B439" s="1" t="n">
        <v>45604.40540509259</v>
      </c>
      <c r="C439" s="1" t="n">
        <v>45932</v>
      </c>
      <c r="D439" t="inlineStr">
        <is>
          <t>JÄMTLANDS LÄN</t>
        </is>
      </c>
      <c r="E439" t="inlineStr">
        <is>
          <t>RAGUNDA</t>
        </is>
      </c>
      <c r="G439" t="n">
        <v>1.7</v>
      </c>
      <c r="H439" t="n">
        <v>0</v>
      </c>
      <c r="I439" t="n">
        <v>0</v>
      </c>
      <c r="J439" t="n">
        <v>0</v>
      </c>
      <c r="K439" t="n">
        <v>0</v>
      </c>
      <c r="L439" t="n">
        <v>0</v>
      </c>
      <c r="M439" t="n">
        <v>0</v>
      </c>
      <c r="N439" t="n">
        <v>0</v>
      </c>
      <c r="O439" t="n">
        <v>0</v>
      </c>
      <c r="P439" t="n">
        <v>0</v>
      </c>
      <c r="Q439" t="n">
        <v>0</v>
      </c>
      <c r="R439" s="2" t="inlineStr"/>
    </row>
    <row r="440" ht="15" customHeight="1">
      <c r="A440" t="inlineStr">
        <is>
          <t>A 51393-2024</t>
        </is>
      </c>
      <c r="B440" s="1" t="n">
        <v>45604.41625</v>
      </c>
      <c r="C440" s="1" t="n">
        <v>45932</v>
      </c>
      <c r="D440" t="inlineStr">
        <is>
          <t>JÄMTLANDS LÄN</t>
        </is>
      </c>
      <c r="E440" t="inlineStr">
        <is>
          <t>RAGUNDA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21150-2025</t>
        </is>
      </c>
      <c r="B441" s="1" t="n">
        <v>45779.34417824074</v>
      </c>
      <c r="C441" s="1" t="n">
        <v>45932</v>
      </c>
      <c r="D441" t="inlineStr">
        <is>
          <t>JÄMTLANDS LÄN</t>
        </is>
      </c>
      <c r="E441" t="inlineStr">
        <is>
          <t>RAGUNDA</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21214-2025</t>
        </is>
      </c>
      <c r="B442" s="1" t="n">
        <v>45779.49025462963</v>
      </c>
      <c r="C442" s="1" t="n">
        <v>45932</v>
      </c>
      <c r="D442" t="inlineStr">
        <is>
          <t>JÄMTLANDS LÄN</t>
        </is>
      </c>
      <c r="E442" t="inlineStr">
        <is>
          <t>RAGUNDA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22941-2024</t>
        </is>
      </c>
      <c r="B443" s="1" t="n">
        <v>45448.94520833333</v>
      </c>
      <c r="C443" s="1" t="n">
        <v>45932</v>
      </c>
      <c r="D443" t="inlineStr">
        <is>
          <t>JÄMTLANDS LÄN</t>
        </is>
      </c>
      <c r="E443" t="inlineStr">
        <is>
          <t>RAGUNDA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60957-2021</t>
        </is>
      </c>
      <c r="B444" s="1" t="n">
        <v>44496</v>
      </c>
      <c r="C444" s="1" t="n">
        <v>45932</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26122-2022</t>
        </is>
      </c>
      <c r="B445" s="1" t="n">
        <v>44734.94193287037</v>
      </c>
      <c r="C445" s="1" t="n">
        <v>45932</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21430-2025</t>
        </is>
      </c>
      <c r="B446" s="1" t="n">
        <v>45782.51099537037</v>
      </c>
      <c r="C446" s="1" t="n">
        <v>45932</v>
      </c>
      <c r="D446" t="inlineStr">
        <is>
          <t>JÄMTLANDS LÄN</t>
        </is>
      </c>
      <c r="E446" t="inlineStr">
        <is>
          <t>RAGUNDA</t>
        </is>
      </c>
      <c r="F446" t="inlineStr">
        <is>
          <t>SCA</t>
        </is>
      </c>
      <c r="G446" t="n">
        <v>7.1</v>
      </c>
      <c r="H446" t="n">
        <v>0</v>
      </c>
      <c r="I446" t="n">
        <v>0</v>
      </c>
      <c r="J446" t="n">
        <v>0</v>
      </c>
      <c r="K446" t="n">
        <v>0</v>
      </c>
      <c r="L446" t="n">
        <v>0</v>
      </c>
      <c r="M446" t="n">
        <v>0</v>
      </c>
      <c r="N446" t="n">
        <v>0</v>
      </c>
      <c r="O446" t="n">
        <v>0</v>
      </c>
      <c r="P446" t="n">
        <v>0</v>
      </c>
      <c r="Q446" t="n">
        <v>0</v>
      </c>
      <c r="R446" s="2" t="inlineStr"/>
    </row>
    <row r="447" ht="15" customHeight="1">
      <c r="A447" t="inlineStr">
        <is>
          <t>A 44881-2023</t>
        </is>
      </c>
      <c r="B447" s="1" t="n">
        <v>45187</v>
      </c>
      <c r="C447" s="1" t="n">
        <v>45932</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21193-2022</t>
        </is>
      </c>
      <c r="B448" s="1" t="n">
        <v>44704.94217592593</v>
      </c>
      <c r="C448" s="1" t="n">
        <v>45932</v>
      </c>
      <c r="D448" t="inlineStr">
        <is>
          <t>JÄMTLANDS LÄN</t>
        </is>
      </c>
      <c r="E448" t="inlineStr">
        <is>
          <t>RAGUNDA</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21451-2025</t>
        </is>
      </c>
      <c r="B449" s="1" t="n">
        <v>45782.55287037037</v>
      </c>
      <c r="C449" s="1" t="n">
        <v>45932</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21332-2025</t>
        </is>
      </c>
      <c r="B450" s="1" t="n">
        <v>45782.36506944444</v>
      </c>
      <c r="C450" s="1" t="n">
        <v>45932</v>
      </c>
      <c r="D450" t="inlineStr">
        <is>
          <t>JÄMTLANDS LÄN</t>
        </is>
      </c>
      <c r="E450" t="inlineStr">
        <is>
          <t>RAGUNDA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16529-2022</t>
        </is>
      </c>
      <c r="B451" s="1" t="n">
        <v>44671</v>
      </c>
      <c r="C451" s="1" t="n">
        <v>45932</v>
      </c>
      <c r="D451" t="inlineStr">
        <is>
          <t>JÄMTLANDS LÄN</t>
        </is>
      </c>
      <c r="E451" t="inlineStr">
        <is>
          <t>RAGUNDA</t>
        </is>
      </c>
      <c r="G451" t="n">
        <v>1.5</v>
      </c>
      <c r="H451" t="n">
        <v>0</v>
      </c>
      <c r="I451" t="n">
        <v>0</v>
      </c>
      <c r="J451" t="n">
        <v>0</v>
      </c>
      <c r="K451" t="n">
        <v>0</v>
      </c>
      <c r="L451" t="n">
        <v>0</v>
      </c>
      <c r="M451" t="n">
        <v>0</v>
      </c>
      <c r="N451" t="n">
        <v>0</v>
      </c>
      <c r="O451" t="n">
        <v>0</v>
      </c>
      <c r="P451" t="n">
        <v>0</v>
      </c>
      <c r="Q451" t="n">
        <v>0</v>
      </c>
      <c r="R451" s="2" t="inlineStr"/>
    </row>
    <row r="452" ht="15" customHeight="1">
      <c r="A452" t="inlineStr">
        <is>
          <t>A 21432-2025</t>
        </is>
      </c>
      <c r="B452" s="1" t="n">
        <v>45782.51109953703</v>
      </c>
      <c r="C452" s="1" t="n">
        <v>45932</v>
      </c>
      <c r="D452" t="inlineStr">
        <is>
          <t>JÄMTLANDS LÄN</t>
        </is>
      </c>
      <c r="E452" t="inlineStr">
        <is>
          <t>RAGUNDA</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21331-2025</t>
        </is>
      </c>
      <c r="B453" s="1" t="n">
        <v>45782.36494212963</v>
      </c>
      <c r="C453" s="1" t="n">
        <v>45932</v>
      </c>
      <c r="D453" t="inlineStr">
        <is>
          <t>JÄMTLANDS LÄN</t>
        </is>
      </c>
      <c r="E453" t="inlineStr">
        <is>
          <t>RAGUNDA</t>
        </is>
      </c>
      <c r="F453" t="inlineStr">
        <is>
          <t>SCA</t>
        </is>
      </c>
      <c r="G453" t="n">
        <v>23.1</v>
      </c>
      <c r="H453" t="n">
        <v>0</v>
      </c>
      <c r="I453" t="n">
        <v>0</v>
      </c>
      <c r="J453" t="n">
        <v>0</v>
      </c>
      <c r="K453" t="n">
        <v>0</v>
      </c>
      <c r="L453" t="n">
        <v>0</v>
      </c>
      <c r="M453" t="n">
        <v>0</v>
      </c>
      <c r="N453" t="n">
        <v>0</v>
      </c>
      <c r="O453" t="n">
        <v>0</v>
      </c>
      <c r="P453" t="n">
        <v>0</v>
      </c>
      <c r="Q453" t="n">
        <v>0</v>
      </c>
      <c r="R453" s="2" t="inlineStr"/>
    </row>
    <row r="454" ht="15" customHeight="1">
      <c r="A454" t="inlineStr">
        <is>
          <t>A 20987-2023</t>
        </is>
      </c>
      <c r="B454" s="1" t="n">
        <v>45056</v>
      </c>
      <c r="C454" s="1" t="n">
        <v>45932</v>
      </c>
      <c r="D454" t="inlineStr">
        <is>
          <t>JÄMTLANDS LÄN</t>
        </is>
      </c>
      <c r="E454" t="inlineStr">
        <is>
          <t>RAGUNDA</t>
        </is>
      </c>
      <c r="G454" t="n">
        <v>1.1</v>
      </c>
      <c r="H454" t="n">
        <v>0</v>
      </c>
      <c r="I454" t="n">
        <v>0</v>
      </c>
      <c r="J454" t="n">
        <v>0</v>
      </c>
      <c r="K454" t="n">
        <v>0</v>
      </c>
      <c r="L454" t="n">
        <v>0</v>
      </c>
      <c r="M454" t="n">
        <v>0</v>
      </c>
      <c r="N454" t="n">
        <v>0</v>
      </c>
      <c r="O454" t="n">
        <v>0</v>
      </c>
      <c r="P454" t="n">
        <v>0</v>
      </c>
      <c r="Q454" t="n">
        <v>0</v>
      </c>
      <c r="R454" s="2" t="inlineStr"/>
    </row>
    <row r="455" ht="15" customHeight="1">
      <c r="A455" t="inlineStr">
        <is>
          <t>A 20994-2023</t>
        </is>
      </c>
      <c r="B455" s="1" t="n">
        <v>45056</v>
      </c>
      <c r="C455" s="1" t="n">
        <v>45932</v>
      </c>
      <c r="D455" t="inlineStr">
        <is>
          <t>JÄMTLANDS LÄN</t>
        </is>
      </c>
      <c r="E455" t="inlineStr">
        <is>
          <t>RAGUNDA</t>
        </is>
      </c>
      <c r="G455" t="n">
        <v>1.3</v>
      </c>
      <c r="H455" t="n">
        <v>0</v>
      </c>
      <c r="I455" t="n">
        <v>0</v>
      </c>
      <c r="J455" t="n">
        <v>0</v>
      </c>
      <c r="K455" t="n">
        <v>0</v>
      </c>
      <c r="L455" t="n">
        <v>0</v>
      </c>
      <c r="M455" t="n">
        <v>0</v>
      </c>
      <c r="N455" t="n">
        <v>0</v>
      </c>
      <c r="O455" t="n">
        <v>0</v>
      </c>
      <c r="P455" t="n">
        <v>0</v>
      </c>
      <c r="Q455" t="n">
        <v>0</v>
      </c>
      <c r="R455" s="2" t="inlineStr"/>
    </row>
    <row r="456" ht="15" customHeight="1">
      <c r="A456" t="inlineStr">
        <is>
          <t>A 55669-2023</t>
        </is>
      </c>
      <c r="B456" s="1" t="n">
        <v>45238.96797453704</v>
      </c>
      <c r="C456" s="1" t="n">
        <v>45932</v>
      </c>
      <c r="D456" t="inlineStr">
        <is>
          <t>JÄMTLANDS LÄN</t>
        </is>
      </c>
      <c r="E456" t="inlineStr">
        <is>
          <t>RAGUNDA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21550-2025</t>
        </is>
      </c>
      <c r="B457" s="1" t="n">
        <v>45782.67758101852</v>
      </c>
      <c r="C457" s="1" t="n">
        <v>45932</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32063-2024</t>
        </is>
      </c>
      <c r="B458" s="1" t="n">
        <v>45510</v>
      </c>
      <c r="C458" s="1" t="n">
        <v>45932</v>
      </c>
      <c r="D458" t="inlineStr">
        <is>
          <t>JÄMTLANDS LÄN</t>
        </is>
      </c>
      <c r="E458" t="inlineStr">
        <is>
          <t>RAGUNDA</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10641-2024</t>
        </is>
      </c>
      <c r="B459" s="1" t="n">
        <v>45367.69850694444</v>
      </c>
      <c r="C459" s="1" t="n">
        <v>45932</v>
      </c>
      <c r="D459" t="inlineStr">
        <is>
          <t>JÄMTLANDS LÄN</t>
        </is>
      </c>
      <c r="E459" t="inlineStr">
        <is>
          <t>RAGUNDA</t>
        </is>
      </c>
      <c r="G459" t="n">
        <v>0.9</v>
      </c>
      <c r="H459" t="n">
        <v>0</v>
      </c>
      <c r="I459" t="n">
        <v>0</v>
      </c>
      <c r="J459" t="n">
        <v>0</v>
      </c>
      <c r="K459" t="n">
        <v>0</v>
      </c>
      <c r="L459" t="n">
        <v>0</v>
      </c>
      <c r="M459" t="n">
        <v>0</v>
      </c>
      <c r="N459" t="n">
        <v>0</v>
      </c>
      <c r="O459" t="n">
        <v>0</v>
      </c>
      <c r="P459" t="n">
        <v>0</v>
      </c>
      <c r="Q459" t="n">
        <v>0</v>
      </c>
      <c r="R459" s="2" t="inlineStr"/>
    </row>
    <row r="460" ht="15" customHeight="1">
      <c r="A460" t="inlineStr">
        <is>
          <t>A 10644-2024</t>
        </is>
      </c>
      <c r="B460" s="1" t="n">
        <v>45367.71348379629</v>
      </c>
      <c r="C460" s="1" t="n">
        <v>45932</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20426-2024</t>
        </is>
      </c>
      <c r="B461" s="1" t="n">
        <v>45435</v>
      </c>
      <c r="C461" s="1" t="n">
        <v>45932</v>
      </c>
      <c r="D461" t="inlineStr">
        <is>
          <t>JÄMTLANDS LÄN</t>
        </is>
      </c>
      <c r="E461" t="inlineStr">
        <is>
          <t>RAGUNDA</t>
        </is>
      </c>
      <c r="G461" t="n">
        <v>2.1</v>
      </c>
      <c r="H461" t="n">
        <v>0</v>
      </c>
      <c r="I461" t="n">
        <v>0</v>
      </c>
      <c r="J461" t="n">
        <v>0</v>
      </c>
      <c r="K461" t="n">
        <v>0</v>
      </c>
      <c r="L461" t="n">
        <v>0</v>
      </c>
      <c r="M461" t="n">
        <v>0</v>
      </c>
      <c r="N461" t="n">
        <v>0</v>
      </c>
      <c r="O461" t="n">
        <v>0</v>
      </c>
      <c r="P461" t="n">
        <v>0</v>
      </c>
      <c r="Q461" t="n">
        <v>0</v>
      </c>
      <c r="R461" s="2" t="inlineStr"/>
    </row>
    <row r="462" ht="15" customHeight="1">
      <c r="A462" t="inlineStr">
        <is>
          <t>A 24197-2024</t>
        </is>
      </c>
      <c r="B462" s="1" t="n">
        <v>45456.96601851852</v>
      </c>
      <c r="C462" s="1" t="n">
        <v>45932</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61934-2022</t>
        </is>
      </c>
      <c r="B463" s="1" t="n">
        <v>44917</v>
      </c>
      <c r="C463" s="1" t="n">
        <v>45932</v>
      </c>
      <c r="D463" t="inlineStr">
        <is>
          <t>JÄMTLANDS LÄN</t>
        </is>
      </c>
      <c r="E463" t="inlineStr">
        <is>
          <t>RAGUNDA</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8678-2023</t>
        </is>
      </c>
      <c r="B464" s="1" t="n">
        <v>44977.98660879629</v>
      </c>
      <c r="C464" s="1" t="n">
        <v>45932</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17742-2022</t>
        </is>
      </c>
      <c r="B465" s="1" t="n">
        <v>44680.95246527778</v>
      </c>
      <c r="C465" s="1" t="n">
        <v>45932</v>
      </c>
      <c r="D465" t="inlineStr">
        <is>
          <t>JÄMTLANDS LÄN</t>
        </is>
      </c>
      <c r="E465" t="inlineStr">
        <is>
          <t>RAGUNDA</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5175-2023</t>
        </is>
      </c>
      <c r="B466" s="1" t="n">
        <v>44958.94298611111</v>
      </c>
      <c r="C466" s="1" t="n">
        <v>45932</v>
      </c>
      <c r="D466" t="inlineStr">
        <is>
          <t>JÄMTLANDS LÄN</t>
        </is>
      </c>
      <c r="E466" t="inlineStr">
        <is>
          <t>RAGUNDA</t>
        </is>
      </c>
      <c r="F466" t="inlineStr">
        <is>
          <t>SCA</t>
        </is>
      </c>
      <c r="G466" t="n">
        <v>17.9</v>
      </c>
      <c r="H466" t="n">
        <v>0</v>
      </c>
      <c r="I466" t="n">
        <v>0</v>
      </c>
      <c r="J466" t="n">
        <v>0</v>
      </c>
      <c r="K466" t="n">
        <v>0</v>
      </c>
      <c r="L466" t="n">
        <v>0</v>
      </c>
      <c r="M466" t="n">
        <v>0</v>
      </c>
      <c r="N466" t="n">
        <v>0</v>
      </c>
      <c r="O466" t="n">
        <v>0</v>
      </c>
      <c r="P466" t="n">
        <v>0</v>
      </c>
      <c r="Q466" t="n">
        <v>0</v>
      </c>
      <c r="R466" s="2" t="inlineStr"/>
    </row>
    <row r="467" ht="15" customHeight="1">
      <c r="A467" t="inlineStr">
        <is>
          <t>A 14896-2022</t>
        </is>
      </c>
      <c r="B467" s="1" t="n">
        <v>44656</v>
      </c>
      <c r="C467" s="1" t="n">
        <v>45932</v>
      </c>
      <c r="D467" t="inlineStr">
        <is>
          <t>JÄMTLANDS LÄN</t>
        </is>
      </c>
      <c r="E467" t="inlineStr">
        <is>
          <t>RAGUNDA</t>
        </is>
      </c>
      <c r="F467" t="inlineStr">
        <is>
          <t>SCA</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20574-2025</t>
        </is>
      </c>
      <c r="B468" s="1" t="n">
        <v>45775.67747685185</v>
      </c>
      <c r="C468" s="1" t="n">
        <v>45932</v>
      </c>
      <c r="D468" t="inlineStr">
        <is>
          <t>JÄMTLANDS LÄN</t>
        </is>
      </c>
      <c r="E468" t="inlineStr">
        <is>
          <t>RAGUNDA</t>
        </is>
      </c>
      <c r="F468" t="inlineStr">
        <is>
          <t>SCA</t>
        </is>
      </c>
      <c r="G468" t="n">
        <v>5.1</v>
      </c>
      <c r="H468" t="n">
        <v>0</v>
      </c>
      <c r="I468" t="n">
        <v>0</v>
      </c>
      <c r="J468" t="n">
        <v>0</v>
      </c>
      <c r="K468" t="n">
        <v>0</v>
      </c>
      <c r="L468" t="n">
        <v>0</v>
      </c>
      <c r="M468" t="n">
        <v>0</v>
      </c>
      <c r="N468" t="n">
        <v>0</v>
      </c>
      <c r="O468" t="n">
        <v>0</v>
      </c>
      <c r="P468" t="n">
        <v>0</v>
      </c>
      <c r="Q468" t="n">
        <v>0</v>
      </c>
      <c r="R468" s="2" t="inlineStr"/>
    </row>
    <row r="469" ht="15" customHeight="1">
      <c r="A469" t="inlineStr">
        <is>
          <t>A 30825-2023</t>
        </is>
      </c>
      <c r="B469" s="1" t="n">
        <v>45112.94310185185</v>
      </c>
      <c r="C469" s="1" t="n">
        <v>45932</v>
      </c>
      <c r="D469" t="inlineStr">
        <is>
          <t>JÄMTLANDS LÄN</t>
        </is>
      </c>
      <c r="E469" t="inlineStr">
        <is>
          <t>RAGUNDA</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58537-2022</t>
        </is>
      </c>
      <c r="B470" s="1" t="n">
        <v>44894</v>
      </c>
      <c r="C470" s="1" t="n">
        <v>45932</v>
      </c>
      <c r="D470" t="inlineStr">
        <is>
          <t>JÄMTLANDS LÄN</t>
        </is>
      </c>
      <c r="E470" t="inlineStr">
        <is>
          <t>RAGUNDA</t>
        </is>
      </c>
      <c r="G470" t="n">
        <v>1.2</v>
      </c>
      <c r="H470" t="n">
        <v>0</v>
      </c>
      <c r="I470" t="n">
        <v>0</v>
      </c>
      <c r="J470" t="n">
        <v>0</v>
      </c>
      <c r="K470" t="n">
        <v>0</v>
      </c>
      <c r="L470" t="n">
        <v>0</v>
      </c>
      <c r="M470" t="n">
        <v>0</v>
      </c>
      <c r="N470" t="n">
        <v>0</v>
      </c>
      <c r="O470" t="n">
        <v>0</v>
      </c>
      <c r="P470" t="n">
        <v>0</v>
      </c>
      <c r="Q470" t="n">
        <v>0</v>
      </c>
      <c r="R470" s="2" t="inlineStr"/>
    </row>
    <row r="471" ht="15" customHeight="1">
      <c r="A471" t="inlineStr">
        <is>
          <t>A 28742-2023</t>
        </is>
      </c>
      <c r="B471" s="1" t="n">
        <v>45103</v>
      </c>
      <c r="C471" s="1" t="n">
        <v>45932</v>
      </c>
      <c r="D471" t="inlineStr">
        <is>
          <t>JÄMTLANDS LÄN</t>
        </is>
      </c>
      <c r="E471" t="inlineStr">
        <is>
          <t>RAGUNDA</t>
        </is>
      </c>
      <c r="G471" t="n">
        <v>1.8</v>
      </c>
      <c r="H471" t="n">
        <v>0</v>
      </c>
      <c r="I471" t="n">
        <v>0</v>
      </c>
      <c r="J471" t="n">
        <v>0</v>
      </c>
      <c r="K471" t="n">
        <v>0</v>
      </c>
      <c r="L471" t="n">
        <v>0</v>
      </c>
      <c r="M471" t="n">
        <v>0</v>
      </c>
      <c r="N471" t="n">
        <v>0</v>
      </c>
      <c r="O471" t="n">
        <v>0</v>
      </c>
      <c r="P471" t="n">
        <v>0</v>
      </c>
      <c r="Q471" t="n">
        <v>0</v>
      </c>
      <c r="R471" s="2" t="inlineStr"/>
    </row>
    <row r="472" ht="15" customHeight="1">
      <c r="A472" t="inlineStr">
        <is>
          <t>A 35153-2024</t>
        </is>
      </c>
      <c r="B472" s="1" t="n">
        <v>45530</v>
      </c>
      <c r="C472" s="1" t="n">
        <v>45932</v>
      </c>
      <c r="D472" t="inlineStr">
        <is>
          <t>JÄMTLANDS LÄN</t>
        </is>
      </c>
      <c r="E472" t="inlineStr">
        <is>
          <t>RAGUNDA</t>
        </is>
      </c>
      <c r="G472" t="n">
        <v>2.7</v>
      </c>
      <c r="H472" t="n">
        <v>0</v>
      </c>
      <c r="I472" t="n">
        <v>0</v>
      </c>
      <c r="J472" t="n">
        <v>0</v>
      </c>
      <c r="K472" t="n">
        <v>0</v>
      </c>
      <c r="L472" t="n">
        <v>0</v>
      </c>
      <c r="M472" t="n">
        <v>0</v>
      </c>
      <c r="N472" t="n">
        <v>0</v>
      </c>
      <c r="O472" t="n">
        <v>0</v>
      </c>
      <c r="P472" t="n">
        <v>0</v>
      </c>
      <c r="Q472" t="n">
        <v>0</v>
      </c>
      <c r="R472" s="2" t="inlineStr"/>
    </row>
    <row r="473" ht="15" customHeight="1">
      <c r="A473" t="inlineStr">
        <is>
          <t>A 9084-2023</t>
        </is>
      </c>
      <c r="B473" s="1" t="n">
        <v>44979</v>
      </c>
      <c r="C473" s="1" t="n">
        <v>45932</v>
      </c>
      <c r="D473" t="inlineStr">
        <is>
          <t>JÄMTLANDS LÄN</t>
        </is>
      </c>
      <c r="E473" t="inlineStr">
        <is>
          <t>RAGUNDA</t>
        </is>
      </c>
      <c r="G473" t="n">
        <v>1.9</v>
      </c>
      <c r="H473" t="n">
        <v>0</v>
      </c>
      <c r="I473" t="n">
        <v>0</v>
      </c>
      <c r="J473" t="n">
        <v>0</v>
      </c>
      <c r="K473" t="n">
        <v>0</v>
      </c>
      <c r="L473" t="n">
        <v>0</v>
      </c>
      <c r="M473" t="n">
        <v>0</v>
      </c>
      <c r="N473" t="n">
        <v>0</v>
      </c>
      <c r="O473" t="n">
        <v>0</v>
      </c>
      <c r="P473" t="n">
        <v>0</v>
      </c>
      <c r="Q473" t="n">
        <v>0</v>
      </c>
      <c r="R473" s="2" t="inlineStr"/>
    </row>
    <row r="474" ht="15" customHeight="1">
      <c r="A474" t="inlineStr">
        <is>
          <t>A 17323-2025</t>
        </is>
      </c>
      <c r="B474" s="1" t="n">
        <v>45756.63601851852</v>
      </c>
      <c r="C474" s="1" t="n">
        <v>45932</v>
      </c>
      <c r="D474" t="inlineStr">
        <is>
          <t>JÄMTLANDS LÄN</t>
        </is>
      </c>
      <c r="E474" t="inlineStr">
        <is>
          <t>RAGUNDA</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36246-2024</t>
        </is>
      </c>
      <c r="B475" s="1" t="n">
        <v>45534</v>
      </c>
      <c r="C475" s="1" t="n">
        <v>45932</v>
      </c>
      <c r="D475" t="inlineStr">
        <is>
          <t>JÄMTLANDS LÄN</t>
        </is>
      </c>
      <c r="E475" t="inlineStr">
        <is>
          <t>RAGUNDA</t>
        </is>
      </c>
      <c r="G475" t="n">
        <v>1.6</v>
      </c>
      <c r="H475" t="n">
        <v>0</v>
      </c>
      <c r="I475" t="n">
        <v>0</v>
      </c>
      <c r="J475" t="n">
        <v>0</v>
      </c>
      <c r="K475" t="n">
        <v>0</v>
      </c>
      <c r="L475" t="n">
        <v>0</v>
      </c>
      <c r="M475" t="n">
        <v>0</v>
      </c>
      <c r="N475" t="n">
        <v>0</v>
      </c>
      <c r="O475" t="n">
        <v>0</v>
      </c>
      <c r="P475" t="n">
        <v>0</v>
      </c>
      <c r="Q475" t="n">
        <v>0</v>
      </c>
      <c r="R475" s="2" t="inlineStr"/>
    </row>
    <row r="476" ht="15" customHeight="1">
      <c r="A476" t="inlineStr">
        <is>
          <t>A 24196-2024</t>
        </is>
      </c>
      <c r="B476" s="1" t="n">
        <v>45456.96569444444</v>
      </c>
      <c r="C476" s="1" t="n">
        <v>45932</v>
      </c>
      <c r="D476" t="inlineStr">
        <is>
          <t>JÄMTLANDS LÄN</t>
        </is>
      </c>
      <c r="E476" t="inlineStr">
        <is>
          <t>RAGUNDA</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9326-2024</t>
        </is>
      </c>
      <c r="B477" s="1" t="n">
        <v>45358.95818287037</v>
      </c>
      <c r="C477" s="1" t="n">
        <v>45932</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11558-2023</t>
        </is>
      </c>
      <c r="B478" s="1" t="n">
        <v>44993.94958333333</v>
      </c>
      <c r="C478" s="1" t="n">
        <v>45932</v>
      </c>
      <c r="D478" t="inlineStr">
        <is>
          <t>JÄMTLANDS LÄN</t>
        </is>
      </c>
      <c r="E478" t="inlineStr">
        <is>
          <t>RAGUNDA</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7520-2023</t>
        </is>
      </c>
      <c r="B479" s="1" t="n">
        <v>44971</v>
      </c>
      <c r="C479" s="1" t="n">
        <v>45932</v>
      </c>
      <c r="D479" t="inlineStr">
        <is>
          <t>JÄMTLANDS LÄN</t>
        </is>
      </c>
      <c r="E479" t="inlineStr">
        <is>
          <t>RAGUNDA</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16364-2023</t>
        </is>
      </c>
      <c r="B480" s="1" t="n">
        <v>45028</v>
      </c>
      <c r="C480" s="1" t="n">
        <v>45932</v>
      </c>
      <c r="D480" t="inlineStr">
        <is>
          <t>JÄMTLANDS LÄN</t>
        </is>
      </c>
      <c r="E480" t="inlineStr">
        <is>
          <t>RAGUNDA</t>
        </is>
      </c>
      <c r="G480" t="n">
        <v>0.5</v>
      </c>
      <c r="H480" t="n">
        <v>0</v>
      </c>
      <c r="I480" t="n">
        <v>0</v>
      </c>
      <c r="J480" t="n">
        <v>0</v>
      </c>
      <c r="K480" t="n">
        <v>0</v>
      </c>
      <c r="L480" t="n">
        <v>0</v>
      </c>
      <c r="M480" t="n">
        <v>0</v>
      </c>
      <c r="N480" t="n">
        <v>0</v>
      </c>
      <c r="O480" t="n">
        <v>0</v>
      </c>
      <c r="P480" t="n">
        <v>0</v>
      </c>
      <c r="Q480" t="n">
        <v>0</v>
      </c>
      <c r="R480" s="2" t="inlineStr"/>
    </row>
    <row r="481" ht="15" customHeight="1">
      <c r="A481" t="inlineStr">
        <is>
          <t>A 57889-2024</t>
        </is>
      </c>
      <c r="B481" s="1" t="n">
        <v>45631.46665509259</v>
      </c>
      <c r="C481" s="1" t="n">
        <v>45932</v>
      </c>
      <c r="D481" t="inlineStr">
        <is>
          <t>JÄMTLANDS LÄN</t>
        </is>
      </c>
      <c r="E481" t="inlineStr">
        <is>
          <t>RAGUNDA</t>
        </is>
      </c>
      <c r="G481" t="n">
        <v>11.1</v>
      </c>
      <c r="H481" t="n">
        <v>0</v>
      </c>
      <c r="I481" t="n">
        <v>0</v>
      </c>
      <c r="J481" t="n">
        <v>0</v>
      </c>
      <c r="K481" t="n">
        <v>0</v>
      </c>
      <c r="L481" t="n">
        <v>0</v>
      </c>
      <c r="M481" t="n">
        <v>0</v>
      </c>
      <c r="N481" t="n">
        <v>0</v>
      </c>
      <c r="O481" t="n">
        <v>0</v>
      </c>
      <c r="P481" t="n">
        <v>0</v>
      </c>
      <c r="Q481" t="n">
        <v>0</v>
      </c>
      <c r="R481" s="2" t="inlineStr"/>
    </row>
    <row r="482" ht="15" customHeight="1">
      <c r="A482" t="inlineStr">
        <is>
          <t>A 59136-2023</t>
        </is>
      </c>
      <c r="B482" s="1" t="n">
        <v>45251</v>
      </c>
      <c r="C482" s="1" t="n">
        <v>45932</v>
      </c>
      <c r="D482" t="inlineStr">
        <is>
          <t>JÄMTLANDS LÄN</t>
        </is>
      </c>
      <c r="E482" t="inlineStr">
        <is>
          <t>RAGUNDA</t>
        </is>
      </c>
      <c r="G482" t="n">
        <v>1.7</v>
      </c>
      <c r="H482" t="n">
        <v>0</v>
      </c>
      <c r="I482" t="n">
        <v>0</v>
      </c>
      <c r="J482" t="n">
        <v>0</v>
      </c>
      <c r="K482" t="n">
        <v>0</v>
      </c>
      <c r="L482" t="n">
        <v>0</v>
      </c>
      <c r="M482" t="n">
        <v>0</v>
      </c>
      <c r="N482" t="n">
        <v>0</v>
      </c>
      <c r="O482" t="n">
        <v>0</v>
      </c>
      <c r="P482" t="n">
        <v>0</v>
      </c>
      <c r="Q482" t="n">
        <v>0</v>
      </c>
      <c r="R482" s="2" t="inlineStr"/>
    </row>
    <row r="483" ht="15" customHeight="1">
      <c r="A483" t="inlineStr">
        <is>
          <t>A 21662-2023</t>
        </is>
      </c>
      <c r="B483" s="1" t="n">
        <v>45063</v>
      </c>
      <c r="C483" s="1" t="n">
        <v>45932</v>
      </c>
      <c r="D483" t="inlineStr">
        <is>
          <t>JÄMTLANDS LÄN</t>
        </is>
      </c>
      <c r="E483" t="inlineStr">
        <is>
          <t>RAGUNDA</t>
        </is>
      </c>
      <c r="G483" t="n">
        <v>1.8</v>
      </c>
      <c r="H483" t="n">
        <v>0</v>
      </c>
      <c r="I483" t="n">
        <v>0</v>
      </c>
      <c r="J483" t="n">
        <v>0</v>
      </c>
      <c r="K483" t="n">
        <v>0</v>
      </c>
      <c r="L483" t="n">
        <v>0</v>
      </c>
      <c r="M483" t="n">
        <v>0</v>
      </c>
      <c r="N483" t="n">
        <v>0</v>
      </c>
      <c r="O483" t="n">
        <v>0</v>
      </c>
      <c r="P483" t="n">
        <v>0</v>
      </c>
      <c r="Q483" t="n">
        <v>0</v>
      </c>
      <c r="R483" s="2" t="inlineStr"/>
    </row>
    <row r="484" ht="15" customHeight="1">
      <c r="A484" t="inlineStr">
        <is>
          <t>A 44630-2023</t>
        </is>
      </c>
      <c r="B484" s="1" t="n">
        <v>45184</v>
      </c>
      <c r="C484" s="1" t="n">
        <v>45932</v>
      </c>
      <c r="D484" t="inlineStr">
        <is>
          <t>JÄMTLANDS LÄN</t>
        </is>
      </c>
      <c r="E484" t="inlineStr">
        <is>
          <t>RAGUNDA</t>
        </is>
      </c>
      <c r="G484" t="n">
        <v>3.4</v>
      </c>
      <c r="H484" t="n">
        <v>0</v>
      </c>
      <c r="I484" t="n">
        <v>0</v>
      </c>
      <c r="J484" t="n">
        <v>0</v>
      </c>
      <c r="K484" t="n">
        <v>0</v>
      </c>
      <c r="L484" t="n">
        <v>0</v>
      </c>
      <c r="M484" t="n">
        <v>0</v>
      </c>
      <c r="N484" t="n">
        <v>0</v>
      </c>
      <c r="O484" t="n">
        <v>0</v>
      </c>
      <c r="P484" t="n">
        <v>0</v>
      </c>
      <c r="Q484" t="n">
        <v>0</v>
      </c>
      <c r="R484" s="2" t="inlineStr"/>
    </row>
    <row r="485" ht="15" customHeight="1">
      <c r="A485" t="inlineStr">
        <is>
          <t>A 44727-2024</t>
        </is>
      </c>
      <c r="B485" s="1" t="n">
        <v>45574.57967592592</v>
      </c>
      <c r="C485" s="1" t="n">
        <v>45932</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49659-2023</t>
        </is>
      </c>
      <c r="B486" s="1" t="n">
        <v>45211.95134259259</v>
      </c>
      <c r="C486" s="1" t="n">
        <v>45932</v>
      </c>
      <c r="D486" t="inlineStr">
        <is>
          <t>JÄMTLANDS LÄN</t>
        </is>
      </c>
      <c r="E486" t="inlineStr">
        <is>
          <t>RAGUNDA</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60629-2023</t>
        </is>
      </c>
      <c r="B487" s="1" t="n">
        <v>45259</v>
      </c>
      <c r="C487" s="1" t="n">
        <v>45932</v>
      </c>
      <c r="D487" t="inlineStr">
        <is>
          <t>JÄMTLANDS LÄN</t>
        </is>
      </c>
      <c r="E487" t="inlineStr">
        <is>
          <t>RAGUNDA</t>
        </is>
      </c>
      <c r="G487" t="n">
        <v>3.4</v>
      </c>
      <c r="H487" t="n">
        <v>0</v>
      </c>
      <c r="I487" t="n">
        <v>0</v>
      </c>
      <c r="J487" t="n">
        <v>0</v>
      </c>
      <c r="K487" t="n">
        <v>0</v>
      </c>
      <c r="L487" t="n">
        <v>0</v>
      </c>
      <c r="M487" t="n">
        <v>0</v>
      </c>
      <c r="N487" t="n">
        <v>0</v>
      </c>
      <c r="O487" t="n">
        <v>0</v>
      </c>
      <c r="P487" t="n">
        <v>0</v>
      </c>
      <c r="Q487" t="n">
        <v>0</v>
      </c>
      <c r="R487" s="2" t="inlineStr"/>
    </row>
    <row r="488" ht="15" customHeight="1">
      <c r="A488" t="inlineStr">
        <is>
          <t>A 14156-2024</t>
        </is>
      </c>
      <c r="B488" s="1" t="n">
        <v>45392</v>
      </c>
      <c r="C488" s="1" t="n">
        <v>45932</v>
      </c>
      <c r="D488" t="inlineStr">
        <is>
          <t>JÄMTLANDS LÄN</t>
        </is>
      </c>
      <c r="E488" t="inlineStr">
        <is>
          <t>RAGUNDA</t>
        </is>
      </c>
      <c r="G488" t="n">
        <v>0.6</v>
      </c>
      <c r="H488" t="n">
        <v>0</v>
      </c>
      <c r="I488" t="n">
        <v>0</v>
      </c>
      <c r="J488" t="n">
        <v>0</v>
      </c>
      <c r="K488" t="n">
        <v>0</v>
      </c>
      <c r="L488" t="n">
        <v>0</v>
      </c>
      <c r="M488" t="n">
        <v>0</v>
      </c>
      <c r="N488" t="n">
        <v>0</v>
      </c>
      <c r="O488" t="n">
        <v>0</v>
      </c>
      <c r="P488" t="n">
        <v>0</v>
      </c>
      <c r="Q488" t="n">
        <v>0</v>
      </c>
      <c r="R488" s="2" t="inlineStr"/>
    </row>
    <row r="489" ht="15" customHeight="1">
      <c r="A489" t="inlineStr">
        <is>
          <t>A 14157-2024</t>
        </is>
      </c>
      <c r="B489" s="1" t="n">
        <v>45392.92903935185</v>
      </c>
      <c r="C489" s="1" t="n">
        <v>45932</v>
      </c>
      <c r="D489" t="inlineStr">
        <is>
          <t>JÄMTLANDS LÄN</t>
        </is>
      </c>
      <c r="E489" t="inlineStr">
        <is>
          <t>RAGUNDA</t>
        </is>
      </c>
      <c r="G489" t="n">
        <v>1.7</v>
      </c>
      <c r="H489" t="n">
        <v>0</v>
      </c>
      <c r="I489" t="n">
        <v>0</v>
      </c>
      <c r="J489" t="n">
        <v>0</v>
      </c>
      <c r="K489" t="n">
        <v>0</v>
      </c>
      <c r="L489" t="n">
        <v>0</v>
      </c>
      <c r="M489" t="n">
        <v>0</v>
      </c>
      <c r="N489" t="n">
        <v>0</v>
      </c>
      <c r="O489" t="n">
        <v>0</v>
      </c>
      <c r="P489" t="n">
        <v>0</v>
      </c>
      <c r="Q489" t="n">
        <v>0</v>
      </c>
      <c r="R489" s="2" t="inlineStr"/>
    </row>
    <row r="490" ht="15" customHeight="1">
      <c r="A490" t="inlineStr">
        <is>
          <t>A 50521-2024</t>
        </is>
      </c>
      <c r="B490" s="1" t="n">
        <v>45601.55331018518</v>
      </c>
      <c r="C490" s="1" t="n">
        <v>45932</v>
      </c>
      <c r="D490" t="inlineStr">
        <is>
          <t>JÄMTLANDS LÄN</t>
        </is>
      </c>
      <c r="E490" t="inlineStr">
        <is>
          <t>RAGUNDA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4916-2025</t>
        </is>
      </c>
      <c r="B491" s="1" t="n">
        <v>45688.68196759259</v>
      </c>
      <c r="C491" s="1" t="n">
        <v>45932</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59557-2023</t>
        </is>
      </c>
      <c r="B492" s="1" t="n">
        <v>45253</v>
      </c>
      <c r="C492" s="1" t="n">
        <v>45932</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21083-2024</t>
        </is>
      </c>
      <c r="B493" s="1" t="n">
        <v>45439.92752314815</v>
      </c>
      <c r="C493" s="1" t="n">
        <v>45932</v>
      </c>
      <c r="D493" t="inlineStr">
        <is>
          <t>JÄMTLANDS LÄN</t>
        </is>
      </c>
      <c r="E493" t="inlineStr">
        <is>
          <t>RAGUNDA</t>
        </is>
      </c>
      <c r="G493" t="n">
        <v>1.5</v>
      </c>
      <c r="H493" t="n">
        <v>0</v>
      </c>
      <c r="I493" t="n">
        <v>0</v>
      </c>
      <c r="J493" t="n">
        <v>0</v>
      </c>
      <c r="K493" t="n">
        <v>0</v>
      </c>
      <c r="L493" t="n">
        <v>0</v>
      </c>
      <c r="M493" t="n">
        <v>0</v>
      </c>
      <c r="N493" t="n">
        <v>0</v>
      </c>
      <c r="O493" t="n">
        <v>0</v>
      </c>
      <c r="P493" t="n">
        <v>0</v>
      </c>
      <c r="Q493" t="n">
        <v>0</v>
      </c>
      <c r="R493" s="2" t="inlineStr"/>
    </row>
    <row r="494" ht="15" customHeight="1">
      <c r="A494" t="inlineStr">
        <is>
          <t>A 462-2023</t>
        </is>
      </c>
      <c r="B494" s="1" t="n">
        <v>44929</v>
      </c>
      <c r="C494" s="1" t="n">
        <v>45932</v>
      </c>
      <c r="D494" t="inlineStr">
        <is>
          <t>JÄMTLANDS LÄN</t>
        </is>
      </c>
      <c r="E494" t="inlineStr">
        <is>
          <t>RAGUNDA</t>
        </is>
      </c>
      <c r="G494" t="n">
        <v>4.5</v>
      </c>
      <c r="H494" t="n">
        <v>0</v>
      </c>
      <c r="I494" t="n">
        <v>0</v>
      </c>
      <c r="J494" t="n">
        <v>0</v>
      </c>
      <c r="K494" t="n">
        <v>0</v>
      </c>
      <c r="L494" t="n">
        <v>0</v>
      </c>
      <c r="M494" t="n">
        <v>0</v>
      </c>
      <c r="N494" t="n">
        <v>0</v>
      </c>
      <c r="O494" t="n">
        <v>0</v>
      </c>
      <c r="P494" t="n">
        <v>0</v>
      </c>
      <c r="Q494" t="n">
        <v>0</v>
      </c>
      <c r="R494" s="2" t="inlineStr"/>
    </row>
    <row r="495" ht="15" customHeight="1">
      <c r="A495" t="inlineStr">
        <is>
          <t>A 44066-2024</t>
        </is>
      </c>
      <c r="B495" s="1" t="n">
        <v>45572.60363425926</v>
      </c>
      <c r="C495" s="1" t="n">
        <v>45932</v>
      </c>
      <c r="D495" t="inlineStr">
        <is>
          <t>JÄMTLANDS LÄN</t>
        </is>
      </c>
      <c r="E495" t="inlineStr">
        <is>
          <t>RAGUNDA</t>
        </is>
      </c>
      <c r="G495" t="n">
        <v>6.4</v>
      </c>
      <c r="H495" t="n">
        <v>0</v>
      </c>
      <c r="I495" t="n">
        <v>0</v>
      </c>
      <c r="J495" t="n">
        <v>0</v>
      </c>
      <c r="K495" t="n">
        <v>0</v>
      </c>
      <c r="L495" t="n">
        <v>0</v>
      </c>
      <c r="M495" t="n">
        <v>0</v>
      </c>
      <c r="N495" t="n">
        <v>0</v>
      </c>
      <c r="O495" t="n">
        <v>0</v>
      </c>
      <c r="P495" t="n">
        <v>0</v>
      </c>
      <c r="Q495" t="n">
        <v>0</v>
      </c>
      <c r="R495" s="2" t="inlineStr"/>
    </row>
    <row r="496" ht="15" customHeight="1">
      <c r="A496" t="inlineStr">
        <is>
          <t>A 57112-2024</t>
        </is>
      </c>
      <c r="B496" s="1" t="n">
        <v>45629.36486111111</v>
      </c>
      <c r="C496" s="1" t="n">
        <v>45932</v>
      </c>
      <c r="D496" t="inlineStr">
        <is>
          <t>JÄMTLANDS LÄN</t>
        </is>
      </c>
      <c r="E496" t="inlineStr">
        <is>
          <t>RAGUNDA</t>
        </is>
      </c>
      <c r="G496" t="n">
        <v>0.7</v>
      </c>
      <c r="H496" t="n">
        <v>0</v>
      </c>
      <c r="I496" t="n">
        <v>0</v>
      </c>
      <c r="J496" t="n">
        <v>0</v>
      </c>
      <c r="K496" t="n">
        <v>0</v>
      </c>
      <c r="L496" t="n">
        <v>0</v>
      </c>
      <c r="M496" t="n">
        <v>0</v>
      </c>
      <c r="N496" t="n">
        <v>0</v>
      </c>
      <c r="O496" t="n">
        <v>0</v>
      </c>
      <c r="P496" t="n">
        <v>0</v>
      </c>
      <c r="Q496" t="n">
        <v>0</v>
      </c>
      <c r="R496" s="2" t="inlineStr"/>
    </row>
    <row r="497" ht="15" customHeight="1">
      <c r="A497" t="inlineStr">
        <is>
          <t>A 53136-2024</t>
        </is>
      </c>
      <c r="B497" s="1" t="n">
        <v>45611.5953125</v>
      </c>
      <c r="C497" s="1" t="n">
        <v>45932</v>
      </c>
      <c r="D497" t="inlineStr">
        <is>
          <t>JÄMTLANDS LÄN</t>
        </is>
      </c>
      <c r="E497" t="inlineStr">
        <is>
          <t>RAGUNDA</t>
        </is>
      </c>
      <c r="G497" t="n">
        <v>3.8</v>
      </c>
      <c r="H497" t="n">
        <v>0</v>
      </c>
      <c r="I497" t="n">
        <v>0</v>
      </c>
      <c r="J497" t="n">
        <v>0</v>
      </c>
      <c r="K497" t="n">
        <v>0</v>
      </c>
      <c r="L497" t="n">
        <v>0</v>
      </c>
      <c r="M497" t="n">
        <v>0</v>
      </c>
      <c r="N497" t="n">
        <v>0</v>
      </c>
      <c r="O497" t="n">
        <v>0</v>
      </c>
      <c r="P497" t="n">
        <v>0</v>
      </c>
      <c r="Q497" t="n">
        <v>0</v>
      </c>
      <c r="R497" s="2" t="inlineStr"/>
    </row>
    <row r="498" ht="15" customHeight="1">
      <c r="A498" t="inlineStr">
        <is>
          <t>A 12050-2023</t>
        </is>
      </c>
      <c r="B498" s="1" t="n">
        <v>44995.98644675926</v>
      </c>
      <c r="C498" s="1" t="n">
        <v>45932</v>
      </c>
      <c r="D498" t="inlineStr">
        <is>
          <t>JÄMTLANDS LÄN</t>
        </is>
      </c>
      <c r="E498" t="inlineStr">
        <is>
          <t>RAGUNDA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62358-2023</t>
        </is>
      </c>
      <c r="B499" s="1" t="n">
        <v>45267</v>
      </c>
      <c r="C499" s="1" t="n">
        <v>45932</v>
      </c>
      <c r="D499" t="inlineStr">
        <is>
          <t>JÄMTLANDS LÄN</t>
        </is>
      </c>
      <c r="E499" t="inlineStr">
        <is>
          <t>RAGUNDA</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33621-2023</t>
        </is>
      </c>
      <c r="B500" s="1" t="n">
        <v>45119</v>
      </c>
      <c r="C500" s="1" t="n">
        <v>45932</v>
      </c>
      <c r="D500" t="inlineStr">
        <is>
          <t>JÄMTLANDS LÄN</t>
        </is>
      </c>
      <c r="E500" t="inlineStr">
        <is>
          <t>RAGUNDA</t>
        </is>
      </c>
      <c r="G500" t="n">
        <v>0.5</v>
      </c>
      <c r="H500" t="n">
        <v>0</v>
      </c>
      <c r="I500" t="n">
        <v>0</v>
      </c>
      <c r="J500" t="n">
        <v>0</v>
      </c>
      <c r="K500" t="n">
        <v>0</v>
      </c>
      <c r="L500" t="n">
        <v>0</v>
      </c>
      <c r="M500" t="n">
        <v>0</v>
      </c>
      <c r="N500" t="n">
        <v>0</v>
      </c>
      <c r="O500" t="n">
        <v>0</v>
      </c>
      <c r="P500" t="n">
        <v>0</v>
      </c>
      <c r="Q500" t="n">
        <v>0</v>
      </c>
      <c r="R500" s="2" t="inlineStr"/>
    </row>
    <row r="501" ht="15" customHeight="1">
      <c r="A501" t="inlineStr">
        <is>
          <t>A 6694-2024</t>
        </is>
      </c>
      <c r="B501" s="1" t="n">
        <v>45341.95381944445</v>
      </c>
      <c r="C501" s="1" t="n">
        <v>45932</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20088-2023</t>
        </is>
      </c>
      <c r="B502" s="1" t="n">
        <v>45054</v>
      </c>
      <c r="C502" s="1" t="n">
        <v>45932</v>
      </c>
      <c r="D502" t="inlineStr">
        <is>
          <t>JÄMTLANDS LÄN</t>
        </is>
      </c>
      <c r="E502" t="inlineStr">
        <is>
          <t>RAGUNDA</t>
        </is>
      </c>
      <c r="F502" t="inlineStr">
        <is>
          <t>SCA</t>
        </is>
      </c>
      <c r="G502" t="n">
        <v>23.4</v>
      </c>
      <c r="H502" t="n">
        <v>0</v>
      </c>
      <c r="I502" t="n">
        <v>0</v>
      </c>
      <c r="J502" t="n">
        <v>0</v>
      </c>
      <c r="K502" t="n">
        <v>0</v>
      </c>
      <c r="L502" t="n">
        <v>0</v>
      </c>
      <c r="M502" t="n">
        <v>0</v>
      </c>
      <c r="N502" t="n">
        <v>0</v>
      </c>
      <c r="O502" t="n">
        <v>0</v>
      </c>
      <c r="P502" t="n">
        <v>0</v>
      </c>
      <c r="Q502" t="n">
        <v>0</v>
      </c>
      <c r="R502" s="2" t="inlineStr"/>
    </row>
    <row r="503" ht="15" customHeight="1">
      <c r="A503" t="inlineStr">
        <is>
          <t>A 18820-2023</t>
        </is>
      </c>
      <c r="B503" s="1" t="n">
        <v>45042</v>
      </c>
      <c r="C503" s="1" t="n">
        <v>45932</v>
      </c>
      <c r="D503" t="inlineStr">
        <is>
          <t>JÄMTLANDS LÄN</t>
        </is>
      </c>
      <c r="E503" t="inlineStr">
        <is>
          <t>RAGUNDA</t>
        </is>
      </c>
      <c r="G503" t="n">
        <v>18.8</v>
      </c>
      <c r="H503" t="n">
        <v>0</v>
      </c>
      <c r="I503" t="n">
        <v>0</v>
      </c>
      <c r="J503" t="n">
        <v>0</v>
      </c>
      <c r="K503" t="n">
        <v>0</v>
      </c>
      <c r="L503" t="n">
        <v>0</v>
      </c>
      <c r="M503" t="n">
        <v>0</v>
      </c>
      <c r="N503" t="n">
        <v>0</v>
      </c>
      <c r="O503" t="n">
        <v>0</v>
      </c>
      <c r="P503" t="n">
        <v>0</v>
      </c>
      <c r="Q503" t="n">
        <v>0</v>
      </c>
      <c r="R503" s="2" t="inlineStr"/>
    </row>
    <row r="504" ht="15" customHeight="1">
      <c r="A504" t="inlineStr">
        <is>
          <t>A 1537-2024</t>
        </is>
      </c>
      <c r="B504" s="1" t="n">
        <v>45306</v>
      </c>
      <c r="C504" s="1" t="n">
        <v>45932</v>
      </c>
      <c r="D504" t="inlineStr">
        <is>
          <t>JÄMTLANDS LÄN</t>
        </is>
      </c>
      <c r="E504" t="inlineStr">
        <is>
          <t>RAGUNDA</t>
        </is>
      </c>
      <c r="G504" t="n">
        <v>0.2</v>
      </c>
      <c r="H504" t="n">
        <v>0</v>
      </c>
      <c r="I504" t="n">
        <v>0</v>
      </c>
      <c r="J504" t="n">
        <v>0</v>
      </c>
      <c r="K504" t="n">
        <v>0</v>
      </c>
      <c r="L504" t="n">
        <v>0</v>
      </c>
      <c r="M504" t="n">
        <v>0</v>
      </c>
      <c r="N504" t="n">
        <v>0</v>
      </c>
      <c r="O504" t="n">
        <v>0</v>
      </c>
      <c r="P504" t="n">
        <v>0</v>
      </c>
      <c r="Q504" t="n">
        <v>0</v>
      </c>
      <c r="R504" s="2" t="inlineStr"/>
    </row>
    <row r="505" ht="15" customHeight="1">
      <c r="A505" t="inlineStr">
        <is>
          <t>A 49648-2023</t>
        </is>
      </c>
      <c r="B505" s="1" t="n">
        <v>45211.95061342593</v>
      </c>
      <c r="C505" s="1" t="n">
        <v>45932</v>
      </c>
      <c r="D505" t="inlineStr">
        <is>
          <t>JÄMTLANDS LÄN</t>
        </is>
      </c>
      <c r="E505" t="inlineStr">
        <is>
          <t>RAGUNDA</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22388-2025</t>
        </is>
      </c>
      <c r="B506" s="1" t="n">
        <v>45786.51077546296</v>
      </c>
      <c r="C506" s="1" t="n">
        <v>45932</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60935-2024</t>
        </is>
      </c>
      <c r="B507" s="1" t="n">
        <v>45645.36740740741</v>
      </c>
      <c r="C507" s="1" t="n">
        <v>45932</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4882-2023</t>
        </is>
      </c>
      <c r="B508" s="1" t="n">
        <v>44957.94075231482</v>
      </c>
      <c r="C508" s="1" t="n">
        <v>45932</v>
      </c>
      <c r="D508" t="inlineStr">
        <is>
          <t>JÄMTLANDS LÄN</t>
        </is>
      </c>
      <c r="E508" t="inlineStr">
        <is>
          <t>RAGUNDA</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15554-2025</t>
        </is>
      </c>
      <c r="B509" s="1" t="n">
        <v>45747.67739583334</v>
      </c>
      <c r="C509" s="1" t="n">
        <v>45932</v>
      </c>
      <c r="D509" t="inlineStr">
        <is>
          <t>JÄMTLANDS LÄN</t>
        </is>
      </c>
      <c r="E509" t="inlineStr">
        <is>
          <t>RAGUNDA</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51537-2022</t>
        </is>
      </c>
      <c r="B510" s="1" t="n">
        <v>44869</v>
      </c>
      <c r="C510" s="1" t="n">
        <v>45932</v>
      </c>
      <c r="D510" t="inlineStr">
        <is>
          <t>JÄMTLANDS LÄN</t>
        </is>
      </c>
      <c r="E510" t="inlineStr">
        <is>
          <t>RAGUNDA</t>
        </is>
      </c>
      <c r="G510" t="n">
        <v>1.8</v>
      </c>
      <c r="H510" t="n">
        <v>0</v>
      </c>
      <c r="I510" t="n">
        <v>0</v>
      </c>
      <c r="J510" t="n">
        <v>0</v>
      </c>
      <c r="K510" t="n">
        <v>0</v>
      </c>
      <c r="L510" t="n">
        <v>0</v>
      </c>
      <c r="M510" t="n">
        <v>0</v>
      </c>
      <c r="N510" t="n">
        <v>0</v>
      </c>
      <c r="O510" t="n">
        <v>0</v>
      </c>
      <c r="P510" t="n">
        <v>0</v>
      </c>
      <c r="Q510" t="n">
        <v>0</v>
      </c>
      <c r="R510" s="2" t="inlineStr"/>
    </row>
    <row r="511" ht="15" customHeight="1">
      <c r="A511" t="inlineStr">
        <is>
          <t>A 65216-2023</t>
        </is>
      </c>
      <c r="B511" s="1" t="n">
        <v>45289</v>
      </c>
      <c r="C511" s="1" t="n">
        <v>45932</v>
      </c>
      <c r="D511" t="inlineStr">
        <is>
          <t>JÄMTLANDS LÄN</t>
        </is>
      </c>
      <c r="E511" t="inlineStr">
        <is>
          <t>RAGUNDA</t>
        </is>
      </c>
      <c r="G511" t="n">
        <v>2.9</v>
      </c>
      <c r="H511" t="n">
        <v>0</v>
      </c>
      <c r="I511" t="n">
        <v>0</v>
      </c>
      <c r="J511" t="n">
        <v>0</v>
      </c>
      <c r="K511" t="n">
        <v>0</v>
      </c>
      <c r="L511" t="n">
        <v>0</v>
      </c>
      <c r="M511" t="n">
        <v>0</v>
      </c>
      <c r="N511" t="n">
        <v>0</v>
      </c>
      <c r="O511" t="n">
        <v>0</v>
      </c>
      <c r="P511" t="n">
        <v>0</v>
      </c>
      <c r="Q511" t="n">
        <v>0</v>
      </c>
      <c r="R511" s="2" t="inlineStr"/>
    </row>
    <row r="512" ht="15" customHeight="1">
      <c r="A512" t="inlineStr">
        <is>
          <t>A 59044-2022</t>
        </is>
      </c>
      <c r="B512" s="1" t="n">
        <v>44903</v>
      </c>
      <c r="C512" s="1" t="n">
        <v>45932</v>
      </c>
      <c r="D512" t="inlineStr">
        <is>
          <t>JÄMTLANDS LÄN</t>
        </is>
      </c>
      <c r="E512" t="inlineStr">
        <is>
          <t>RAGUNDA</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52148-2024</t>
        </is>
      </c>
      <c r="B513" s="1" t="n">
        <v>45608.52354166667</v>
      </c>
      <c r="C513" s="1" t="n">
        <v>45932</v>
      </c>
      <c r="D513" t="inlineStr">
        <is>
          <t>JÄMTLANDS LÄN</t>
        </is>
      </c>
      <c r="E513" t="inlineStr">
        <is>
          <t>RAGUNDA</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5958-2023</t>
        </is>
      </c>
      <c r="B514" s="1" t="n">
        <v>44963</v>
      </c>
      <c r="C514" s="1" t="n">
        <v>45932</v>
      </c>
      <c r="D514" t="inlineStr">
        <is>
          <t>JÄMTLANDS LÄN</t>
        </is>
      </c>
      <c r="E514" t="inlineStr">
        <is>
          <t>RAGUNDA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6257-2025</t>
        </is>
      </c>
      <c r="B515" s="1" t="n">
        <v>45698.59409722222</v>
      </c>
      <c r="C515" s="1" t="n">
        <v>45932</v>
      </c>
      <c r="D515" t="inlineStr">
        <is>
          <t>JÄMTLANDS LÄN</t>
        </is>
      </c>
      <c r="E515" t="inlineStr">
        <is>
          <t>RAGUNDA</t>
        </is>
      </c>
      <c r="F515" t="inlineStr">
        <is>
          <t>SCA</t>
        </is>
      </c>
      <c r="G515" t="n">
        <v>7</v>
      </c>
      <c r="H515" t="n">
        <v>0</v>
      </c>
      <c r="I515" t="n">
        <v>0</v>
      </c>
      <c r="J515" t="n">
        <v>0</v>
      </c>
      <c r="K515" t="n">
        <v>0</v>
      </c>
      <c r="L515" t="n">
        <v>0</v>
      </c>
      <c r="M515" t="n">
        <v>0</v>
      </c>
      <c r="N515" t="n">
        <v>0</v>
      </c>
      <c r="O515" t="n">
        <v>0</v>
      </c>
      <c r="P515" t="n">
        <v>0</v>
      </c>
      <c r="Q515" t="n">
        <v>0</v>
      </c>
      <c r="R515" s="2" t="inlineStr"/>
    </row>
    <row r="516" ht="15" customHeight="1">
      <c r="A516" t="inlineStr">
        <is>
          <t>A 14074-2023</t>
        </is>
      </c>
      <c r="B516" s="1" t="n">
        <v>45009.089375</v>
      </c>
      <c r="C516" s="1" t="n">
        <v>45932</v>
      </c>
      <c r="D516" t="inlineStr">
        <is>
          <t>JÄMTLANDS LÄN</t>
        </is>
      </c>
      <c r="E516" t="inlineStr">
        <is>
          <t>RAGUNDA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37265-2024</t>
        </is>
      </c>
      <c r="B517" s="1" t="n">
        <v>45540.38564814815</v>
      </c>
      <c r="C517" s="1" t="n">
        <v>45932</v>
      </c>
      <c r="D517" t="inlineStr">
        <is>
          <t>JÄMTLANDS LÄN</t>
        </is>
      </c>
      <c r="E517" t="inlineStr">
        <is>
          <t>RAGUNDA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8779-2025</t>
        </is>
      </c>
      <c r="B518" s="1" t="n">
        <v>45712.61552083334</v>
      </c>
      <c r="C518" s="1" t="n">
        <v>45932</v>
      </c>
      <c r="D518" t="inlineStr">
        <is>
          <t>JÄMTLANDS LÄN</t>
        </is>
      </c>
      <c r="E518" t="inlineStr">
        <is>
          <t>RAGUNDA</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61400-2022</t>
        </is>
      </c>
      <c r="B519" s="1" t="n">
        <v>44915</v>
      </c>
      <c r="C519" s="1" t="n">
        <v>45932</v>
      </c>
      <c r="D519" t="inlineStr">
        <is>
          <t>JÄMTLANDS LÄN</t>
        </is>
      </c>
      <c r="E519" t="inlineStr">
        <is>
          <t>RAGUNDA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22898-2025</t>
        </is>
      </c>
      <c r="B520" s="1" t="n">
        <v>45790.40670138889</v>
      </c>
      <c r="C520" s="1" t="n">
        <v>45932</v>
      </c>
      <c r="D520" t="inlineStr">
        <is>
          <t>JÄMTLANDS LÄN</t>
        </is>
      </c>
      <c r="E520" t="inlineStr">
        <is>
          <t>RAGUNDA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4348-2023</t>
        </is>
      </c>
      <c r="B521" s="1" t="n">
        <v>44953</v>
      </c>
      <c r="C521" s="1" t="n">
        <v>45932</v>
      </c>
      <c r="D521" t="inlineStr">
        <is>
          <t>JÄMTLANDS LÄN</t>
        </is>
      </c>
      <c r="E521" t="inlineStr">
        <is>
          <t>RAGUNDA</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13276-2025</t>
        </is>
      </c>
      <c r="B522" s="1" t="n">
        <v>45735.5517824074</v>
      </c>
      <c r="C522" s="1" t="n">
        <v>45932</v>
      </c>
      <c r="D522" t="inlineStr">
        <is>
          <t>JÄMTLANDS LÄN</t>
        </is>
      </c>
      <c r="E522" t="inlineStr">
        <is>
          <t>RAGUNDA</t>
        </is>
      </c>
      <c r="G522" t="n">
        <v>16.6</v>
      </c>
      <c r="H522" t="n">
        <v>0</v>
      </c>
      <c r="I522" t="n">
        <v>0</v>
      </c>
      <c r="J522" t="n">
        <v>0</v>
      </c>
      <c r="K522" t="n">
        <v>0</v>
      </c>
      <c r="L522" t="n">
        <v>0</v>
      </c>
      <c r="M522" t="n">
        <v>0</v>
      </c>
      <c r="N522" t="n">
        <v>0</v>
      </c>
      <c r="O522" t="n">
        <v>0</v>
      </c>
      <c r="P522" t="n">
        <v>0</v>
      </c>
      <c r="Q522" t="n">
        <v>0</v>
      </c>
      <c r="R522" s="2" t="inlineStr"/>
    </row>
    <row r="523" ht="15" customHeight="1">
      <c r="A523" t="inlineStr">
        <is>
          <t>A 56286-2023</t>
        </is>
      </c>
      <c r="B523" s="1" t="n">
        <v>45241.95741898148</v>
      </c>
      <c r="C523" s="1" t="n">
        <v>45932</v>
      </c>
      <c r="D523" t="inlineStr">
        <is>
          <t>JÄMTLANDS LÄN</t>
        </is>
      </c>
      <c r="E523" t="inlineStr">
        <is>
          <t>RAGUNDA</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56287-2023</t>
        </is>
      </c>
      <c r="B524" s="1" t="n">
        <v>45241</v>
      </c>
      <c r="C524" s="1" t="n">
        <v>45932</v>
      </c>
      <c r="D524" t="inlineStr">
        <is>
          <t>JÄMTLANDS LÄN</t>
        </is>
      </c>
      <c r="E524" t="inlineStr">
        <is>
          <t>RAGUNDA</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23253-2025</t>
        </is>
      </c>
      <c r="B525" s="1" t="n">
        <v>45791.53238425926</v>
      </c>
      <c r="C525" s="1" t="n">
        <v>45932</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18777-2024</t>
        </is>
      </c>
      <c r="B526" s="1" t="n">
        <v>45426</v>
      </c>
      <c r="C526" s="1" t="n">
        <v>45932</v>
      </c>
      <c r="D526" t="inlineStr">
        <is>
          <t>JÄMTLANDS LÄN</t>
        </is>
      </c>
      <c r="E526" t="inlineStr">
        <is>
          <t>RAGUNDA</t>
        </is>
      </c>
      <c r="G526" t="n">
        <v>1.9</v>
      </c>
      <c r="H526" t="n">
        <v>0</v>
      </c>
      <c r="I526" t="n">
        <v>0</v>
      </c>
      <c r="J526" t="n">
        <v>0</v>
      </c>
      <c r="K526" t="n">
        <v>0</v>
      </c>
      <c r="L526" t="n">
        <v>0</v>
      </c>
      <c r="M526" t="n">
        <v>0</v>
      </c>
      <c r="N526" t="n">
        <v>0</v>
      </c>
      <c r="O526" t="n">
        <v>0</v>
      </c>
      <c r="P526" t="n">
        <v>0</v>
      </c>
      <c r="Q526" t="n">
        <v>0</v>
      </c>
      <c r="R526" s="2" t="inlineStr"/>
    </row>
    <row r="527" ht="15" customHeight="1">
      <c r="A527" t="inlineStr">
        <is>
          <t>A 62135-2024</t>
        </is>
      </c>
      <c r="B527" s="1" t="n">
        <v>45656.64223379629</v>
      </c>
      <c r="C527" s="1" t="n">
        <v>45932</v>
      </c>
      <c r="D527" t="inlineStr">
        <is>
          <t>JÄMTLANDS LÄN</t>
        </is>
      </c>
      <c r="E527" t="inlineStr">
        <is>
          <t>RAGUNDA</t>
        </is>
      </c>
      <c r="G527" t="n">
        <v>1.5</v>
      </c>
      <c r="H527" t="n">
        <v>0</v>
      </c>
      <c r="I527" t="n">
        <v>0</v>
      </c>
      <c r="J527" t="n">
        <v>0</v>
      </c>
      <c r="K527" t="n">
        <v>0</v>
      </c>
      <c r="L527" t="n">
        <v>0</v>
      </c>
      <c r="M527" t="n">
        <v>0</v>
      </c>
      <c r="N527" t="n">
        <v>0</v>
      </c>
      <c r="O527" t="n">
        <v>0</v>
      </c>
      <c r="P527" t="n">
        <v>0</v>
      </c>
      <c r="Q527" t="n">
        <v>0</v>
      </c>
      <c r="R527" s="2" t="inlineStr"/>
    </row>
    <row r="528" ht="15" customHeight="1">
      <c r="A528" t="inlineStr">
        <is>
          <t>A 45335-2023</t>
        </is>
      </c>
      <c r="B528" s="1" t="n">
        <v>45191</v>
      </c>
      <c r="C528" s="1" t="n">
        <v>45932</v>
      </c>
      <c r="D528" t="inlineStr">
        <is>
          <t>JÄMTLANDS LÄN</t>
        </is>
      </c>
      <c r="E528" t="inlineStr">
        <is>
          <t>RAGUNDA</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23413-2025</t>
        </is>
      </c>
      <c r="B529" s="1" t="n">
        <v>45792.34606481482</v>
      </c>
      <c r="C529" s="1" t="n">
        <v>45932</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55487-2023</t>
        </is>
      </c>
      <c r="B530" s="1" t="n">
        <v>45238</v>
      </c>
      <c r="C530" s="1" t="n">
        <v>45932</v>
      </c>
      <c r="D530" t="inlineStr">
        <is>
          <t>JÄMTLANDS LÄN</t>
        </is>
      </c>
      <c r="E530" t="inlineStr">
        <is>
          <t>RAGUNDA</t>
        </is>
      </c>
      <c r="G530" t="n">
        <v>3</v>
      </c>
      <c r="H530" t="n">
        <v>0</v>
      </c>
      <c r="I530" t="n">
        <v>0</v>
      </c>
      <c r="J530" t="n">
        <v>0</v>
      </c>
      <c r="K530" t="n">
        <v>0</v>
      </c>
      <c r="L530" t="n">
        <v>0</v>
      </c>
      <c r="M530" t="n">
        <v>0</v>
      </c>
      <c r="N530" t="n">
        <v>0</v>
      </c>
      <c r="O530" t="n">
        <v>0</v>
      </c>
      <c r="P530" t="n">
        <v>0</v>
      </c>
      <c r="Q530" t="n">
        <v>0</v>
      </c>
      <c r="R530" s="2" t="inlineStr"/>
    </row>
    <row r="531" ht="15" customHeight="1">
      <c r="A531" t="inlineStr">
        <is>
          <t>A 18454-2021</t>
        </is>
      </c>
      <c r="B531" s="1" t="n">
        <v>44305.92047453704</v>
      </c>
      <c r="C531" s="1" t="n">
        <v>45932</v>
      </c>
      <c r="D531" t="inlineStr">
        <is>
          <t>JÄMTLANDS LÄN</t>
        </is>
      </c>
      <c r="E531" t="inlineStr">
        <is>
          <t>RAGUNDA</t>
        </is>
      </c>
      <c r="G531" t="n">
        <v>1.3</v>
      </c>
      <c r="H531" t="n">
        <v>0</v>
      </c>
      <c r="I531" t="n">
        <v>0</v>
      </c>
      <c r="J531" t="n">
        <v>0</v>
      </c>
      <c r="K531" t="n">
        <v>0</v>
      </c>
      <c r="L531" t="n">
        <v>0</v>
      </c>
      <c r="M531" t="n">
        <v>0</v>
      </c>
      <c r="N531" t="n">
        <v>0</v>
      </c>
      <c r="O531" t="n">
        <v>0</v>
      </c>
      <c r="P531" t="n">
        <v>0</v>
      </c>
      <c r="Q531" t="n">
        <v>0</v>
      </c>
      <c r="R531" s="2" t="inlineStr"/>
    </row>
    <row r="532" ht="15" customHeight="1">
      <c r="A532" t="inlineStr">
        <is>
          <t>A 58564-2024</t>
        </is>
      </c>
      <c r="B532" s="1" t="n">
        <v>45635.47243055556</v>
      </c>
      <c r="C532" s="1" t="n">
        <v>45932</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18248-2023</t>
        </is>
      </c>
      <c r="B533" s="1" t="n">
        <v>45040</v>
      </c>
      <c r="C533" s="1" t="n">
        <v>45932</v>
      </c>
      <c r="D533" t="inlineStr">
        <is>
          <t>JÄMTLANDS LÄN</t>
        </is>
      </c>
      <c r="E533" t="inlineStr">
        <is>
          <t>RAGUNDA</t>
        </is>
      </c>
      <c r="G533" t="n">
        <v>4.3</v>
      </c>
      <c r="H533" t="n">
        <v>0</v>
      </c>
      <c r="I533" t="n">
        <v>0</v>
      </c>
      <c r="J533" t="n">
        <v>0</v>
      </c>
      <c r="K533" t="n">
        <v>0</v>
      </c>
      <c r="L533" t="n">
        <v>0</v>
      </c>
      <c r="M533" t="n">
        <v>0</v>
      </c>
      <c r="N533" t="n">
        <v>0</v>
      </c>
      <c r="O533" t="n">
        <v>0</v>
      </c>
      <c r="P533" t="n">
        <v>0</v>
      </c>
      <c r="Q533" t="n">
        <v>0</v>
      </c>
      <c r="R533" s="2" t="inlineStr"/>
    </row>
    <row r="534" ht="15" customHeight="1">
      <c r="A534" t="inlineStr">
        <is>
          <t>A 8802-2022</t>
        </is>
      </c>
      <c r="B534" s="1" t="n">
        <v>44614</v>
      </c>
      <c r="C534" s="1" t="n">
        <v>45932</v>
      </c>
      <c r="D534" t="inlineStr">
        <is>
          <t>JÄMTLANDS LÄN</t>
        </is>
      </c>
      <c r="E534" t="inlineStr">
        <is>
          <t>RAGUNDA</t>
        </is>
      </c>
      <c r="G534" t="n">
        <v>2.8</v>
      </c>
      <c r="H534" t="n">
        <v>0</v>
      </c>
      <c r="I534" t="n">
        <v>0</v>
      </c>
      <c r="J534" t="n">
        <v>0</v>
      </c>
      <c r="K534" t="n">
        <v>0</v>
      </c>
      <c r="L534" t="n">
        <v>0</v>
      </c>
      <c r="M534" t="n">
        <v>0</v>
      </c>
      <c r="N534" t="n">
        <v>0</v>
      </c>
      <c r="O534" t="n">
        <v>0</v>
      </c>
      <c r="P534" t="n">
        <v>0</v>
      </c>
      <c r="Q534" t="n">
        <v>0</v>
      </c>
      <c r="R534" s="2" t="inlineStr"/>
    </row>
    <row r="535" ht="15" customHeight="1">
      <c r="A535" t="inlineStr">
        <is>
          <t>A 23586-2025</t>
        </is>
      </c>
      <c r="B535" s="1" t="n">
        <v>45792.63584490741</v>
      </c>
      <c r="C535" s="1" t="n">
        <v>45932</v>
      </c>
      <c r="D535" t="inlineStr">
        <is>
          <t>JÄMTLANDS LÄN</t>
        </is>
      </c>
      <c r="E535" t="inlineStr">
        <is>
          <t>RAGUNDA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23841-2025</t>
        </is>
      </c>
      <c r="B536" s="1" t="n">
        <v>45793.61523148148</v>
      </c>
      <c r="C536" s="1" t="n">
        <v>45932</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8243-2024</t>
        </is>
      </c>
      <c r="B537" s="1" t="n">
        <v>45351.98532407408</v>
      </c>
      <c r="C537" s="1" t="n">
        <v>45932</v>
      </c>
      <c r="D537" t="inlineStr">
        <is>
          <t>JÄMTLANDS LÄN</t>
        </is>
      </c>
      <c r="E537" t="inlineStr">
        <is>
          <t>RAGUNDA</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9360-2023</t>
        </is>
      </c>
      <c r="B538" s="1" t="n">
        <v>44980.93865740741</v>
      </c>
      <c r="C538" s="1" t="n">
        <v>45932</v>
      </c>
      <c r="D538" t="inlineStr">
        <is>
          <t>JÄMTLANDS LÄN</t>
        </is>
      </c>
      <c r="E538" t="inlineStr">
        <is>
          <t>RAGUNDA</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39489-2023</t>
        </is>
      </c>
      <c r="B539" s="1" t="n">
        <v>45166</v>
      </c>
      <c r="C539" s="1" t="n">
        <v>45932</v>
      </c>
      <c r="D539" t="inlineStr">
        <is>
          <t>JÄMTLANDS LÄN</t>
        </is>
      </c>
      <c r="E539" t="inlineStr">
        <is>
          <t>RAGUNDA</t>
        </is>
      </c>
      <c r="G539" t="n">
        <v>5</v>
      </c>
      <c r="H539" t="n">
        <v>0</v>
      </c>
      <c r="I539" t="n">
        <v>0</v>
      </c>
      <c r="J539" t="n">
        <v>0</v>
      </c>
      <c r="K539" t="n">
        <v>0</v>
      </c>
      <c r="L539" t="n">
        <v>0</v>
      </c>
      <c r="M539" t="n">
        <v>0</v>
      </c>
      <c r="N539" t="n">
        <v>0</v>
      </c>
      <c r="O539" t="n">
        <v>0</v>
      </c>
      <c r="P539" t="n">
        <v>0</v>
      </c>
      <c r="Q539" t="n">
        <v>0</v>
      </c>
      <c r="R539" s="2" t="inlineStr"/>
    </row>
    <row r="540" ht="15" customHeight="1">
      <c r="A540" t="inlineStr">
        <is>
          <t>A 23507-2025</t>
        </is>
      </c>
      <c r="B540" s="1" t="n">
        <v>45792.49023148148</v>
      </c>
      <c r="C540" s="1" t="n">
        <v>45932</v>
      </c>
      <c r="D540" t="inlineStr">
        <is>
          <t>JÄMTLANDS LÄN</t>
        </is>
      </c>
      <c r="E540" t="inlineStr">
        <is>
          <t>RAGUNDA</t>
        </is>
      </c>
      <c r="F540" t="inlineStr">
        <is>
          <t>SCA</t>
        </is>
      </c>
      <c r="G540" t="n">
        <v>16.4</v>
      </c>
      <c r="H540" t="n">
        <v>0</v>
      </c>
      <c r="I540" t="n">
        <v>0</v>
      </c>
      <c r="J540" t="n">
        <v>0</v>
      </c>
      <c r="K540" t="n">
        <v>0</v>
      </c>
      <c r="L540" t="n">
        <v>0</v>
      </c>
      <c r="M540" t="n">
        <v>0</v>
      </c>
      <c r="N540" t="n">
        <v>0</v>
      </c>
      <c r="O540" t="n">
        <v>0</v>
      </c>
      <c r="P540" t="n">
        <v>0</v>
      </c>
      <c r="Q540" t="n">
        <v>0</v>
      </c>
      <c r="R540" s="2" t="inlineStr"/>
    </row>
    <row r="541" ht="15" customHeight="1">
      <c r="A541" t="inlineStr">
        <is>
          <t>A 23840-2025</t>
        </is>
      </c>
      <c r="B541" s="1" t="n">
        <v>45793</v>
      </c>
      <c r="C541" s="1" t="n">
        <v>45932</v>
      </c>
      <c r="D541" t="inlineStr">
        <is>
          <t>JÄMTLANDS LÄN</t>
        </is>
      </c>
      <c r="E541" t="inlineStr">
        <is>
          <t>RAGUNDA</t>
        </is>
      </c>
      <c r="G541" t="n">
        <v>0.8</v>
      </c>
      <c r="H541" t="n">
        <v>0</v>
      </c>
      <c r="I541" t="n">
        <v>0</v>
      </c>
      <c r="J541" t="n">
        <v>0</v>
      </c>
      <c r="K541" t="n">
        <v>0</v>
      </c>
      <c r="L541" t="n">
        <v>0</v>
      </c>
      <c r="M541" t="n">
        <v>0</v>
      </c>
      <c r="N541" t="n">
        <v>0</v>
      </c>
      <c r="O541" t="n">
        <v>0</v>
      </c>
      <c r="P541" t="n">
        <v>0</v>
      </c>
      <c r="Q541" t="n">
        <v>0</v>
      </c>
      <c r="R541" s="2" t="inlineStr"/>
    </row>
    <row r="542" ht="15" customHeight="1">
      <c r="A542" t="inlineStr">
        <is>
          <t>A 13767-2022</t>
        </is>
      </c>
      <c r="B542" s="1" t="n">
        <v>44649.47048611111</v>
      </c>
      <c r="C542" s="1" t="n">
        <v>45932</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1325-2025</t>
        </is>
      </c>
      <c r="B543" s="1" t="n">
        <v>45667.57342592593</v>
      </c>
      <c r="C543" s="1" t="n">
        <v>45932</v>
      </c>
      <c r="D543" t="inlineStr">
        <is>
          <t>JÄMTLANDS LÄN</t>
        </is>
      </c>
      <c r="E543" t="inlineStr">
        <is>
          <t>RAGUNDA</t>
        </is>
      </c>
      <c r="F543" t="inlineStr">
        <is>
          <t>SCA</t>
        </is>
      </c>
      <c r="G543" t="n">
        <v>20.2</v>
      </c>
      <c r="H543" t="n">
        <v>0</v>
      </c>
      <c r="I543" t="n">
        <v>0</v>
      </c>
      <c r="J543" t="n">
        <v>0</v>
      </c>
      <c r="K543" t="n">
        <v>0</v>
      </c>
      <c r="L543" t="n">
        <v>0</v>
      </c>
      <c r="M543" t="n">
        <v>0</v>
      </c>
      <c r="N543" t="n">
        <v>0</v>
      </c>
      <c r="O543" t="n">
        <v>0</v>
      </c>
      <c r="P543" t="n">
        <v>0</v>
      </c>
      <c r="Q543" t="n">
        <v>0</v>
      </c>
      <c r="R543" s="2" t="inlineStr"/>
    </row>
    <row r="544" ht="15" customHeight="1">
      <c r="A544" t="inlineStr">
        <is>
          <t>A 55214-2022</t>
        </is>
      </c>
      <c r="B544" s="1" t="n">
        <v>44886</v>
      </c>
      <c r="C544" s="1" t="n">
        <v>45932</v>
      </c>
      <c r="D544" t="inlineStr">
        <is>
          <t>JÄMTLANDS LÄN</t>
        </is>
      </c>
      <c r="E544" t="inlineStr">
        <is>
          <t>RAGUNDA</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23654-2025</t>
        </is>
      </c>
      <c r="B545" s="1" t="n">
        <v>45792.71905092592</v>
      </c>
      <c r="C545" s="1" t="n">
        <v>45932</v>
      </c>
      <c r="D545" t="inlineStr">
        <is>
          <t>JÄMTLANDS LÄN</t>
        </is>
      </c>
      <c r="E545" t="inlineStr">
        <is>
          <t>RAGUNDA</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18159-2023</t>
        </is>
      </c>
      <c r="B546" s="1" t="n">
        <v>45040.94277777777</v>
      </c>
      <c r="C546" s="1" t="n">
        <v>45932</v>
      </c>
      <c r="D546" t="inlineStr">
        <is>
          <t>JÄMTLANDS LÄN</t>
        </is>
      </c>
      <c r="E546" t="inlineStr">
        <is>
          <t>RAGUNDA</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1308-2025</t>
        </is>
      </c>
      <c r="B547" s="1" t="n">
        <v>45667.55239583334</v>
      </c>
      <c r="C547" s="1" t="n">
        <v>45932</v>
      </c>
      <c r="D547" t="inlineStr">
        <is>
          <t>JÄMTLANDS LÄN</t>
        </is>
      </c>
      <c r="E547" t="inlineStr">
        <is>
          <t>RAGUNDA</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23405-2025</t>
        </is>
      </c>
      <c r="B548" s="1" t="n">
        <v>45792.34527777778</v>
      </c>
      <c r="C548" s="1" t="n">
        <v>45932</v>
      </c>
      <c r="D548" t="inlineStr">
        <is>
          <t>JÄMTLANDS LÄN</t>
        </is>
      </c>
      <c r="E548" t="inlineStr">
        <is>
          <t>RAGUNDA</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11252-2025</t>
        </is>
      </c>
      <c r="B549" s="1" t="n">
        <v>45726.38615740741</v>
      </c>
      <c r="C549" s="1" t="n">
        <v>45932</v>
      </c>
      <c r="D549" t="inlineStr">
        <is>
          <t>JÄMTLANDS LÄN</t>
        </is>
      </c>
      <c r="E549" t="inlineStr">
        <is>
          <t>RAGUNDA</t>
        </is>
      </c>
      <c r="G549" t="n">
        <v>1.9</v>
      </c>
      <c r="H549" t="n">
        <v>0</v>
      </c>
      <c r="I549" t="n">
        <v>0</v>
      </c>
      <c r="J549" t="n">
        <v>0</v>
      </c>
      <c r="K549" t="n">
        <v>0</v>
      </c>
      <c r="L549" t="n">
        <v>0</v>
      </c>
      <c r="M549" t="n">
        <v>0</v>
      </c>
      <c r="N549" t="n">
        <v>0</v>
      </c>
      <c r="O549" t="n">
        <v>0</v>
      </c>
      <c r="P549" t="n">
        <v>0</v>
      </c>
      <c r="Q549" t="n">
        <v>0</v>
      </c>
      <c r="R549" s="2" t="inlineStr"/>
    </row>
    <row r="550" ht="15" customHeight="1">
      <c r="A550" t="inlineStr">
        <is>
          <t>A 22569-2023</t>
        </is>
      </c>
      <c r="B550" s="1" t="n">
        <v>45069</v>
      </c>
      <c r="C550" s="1" t="n">
        <v>45932</v>
      </c>
      <c r="D550" t="inlineStr">
        <is>
          <t>JÄMTLANDS LÄN</t>
        </is>
      </c>
      <c r="E550" t="inlineStr">
        <is>
          <t>RAGUNDA</t>
        </is>
      </c>
      <c r="G550" t="n">
        <v>6.6</v>
      </c>
      <c r="H550" t="n">
        <v>0</v>
      </c>
      <c r="I550" t="n">
        <v>0</v>
      </c>
      <c r="J550" t="n">
        <v>0</v>
      </c>
      <c r="K550" t="n">
        <v>0</v>
      </c>
      <c r="L550" t="n">
        <v>0</v>
      </c>
      <c r="M550" t="n">
        <v>0</v>
      </c>
      <c r="N550" t="n">
        <v>0</v>
      </c>
      <c r="O550" t="n">
        <v>0</v>
      </c>
      <c r="P550" t="n">
        <v>0</v>
      </c>
      <c r="Q550" t="n">
        <v>0</v>
      </c>
      <c r="R550" s="2" t="inlineStr"/>
    </row>
    <row r="551" ht="15" customHeight="1">
      <c r="A551" t="inlineStr">
        <is>
          <t>A 19486-2024</t>
        </is>
      </c>
      <c r="B551" s="1" t="n">
        <v>45429</v>
      </c>
      <c r="C551" s="1" t="n">
        <v>45932</v>
      </c>
      <c r="D551" t="inlineStr">
        <is>
          <t>JÄMTLANDS LÄN</t>
        </is>
      </c>
      <c r="E551" t="inlineStr">
        <is>
          <t>RAGUNDA</t>
        </is>
      </c>
      <c r="G551" t="n">
        <v>2.3</v>
      </c>
      <c r="H551" t="n">
        <v>0</v>
      </c>
      <c r="I551" t="n">
        <v>0</v>
      </c>
      <c r="J551" t="n">
        <v>0</v>
      </c>
      <c r="K551" t="n">
        <v>0</v>
      </c>
      <c r="L551" t="n">
        <v>0</v>
      </c>
      <c r="M551" t="n">
        <v>0</v>
      </c>
      <c r="N551" t="n">
        <v>0</v>
      </c>
      <c r="O551" t="n">
        <v>0</v>
      </c>
      <c r="P551" t="n">
        <v>0</v>
      </c>
      <c r="Q551" t="n">
        <v>0</v>
      </c>
      <c r="R551" s="2" t="inlineStr"/>
    </row>
    <row r="552" ht="15" customHeight="1">
      <c r="A552" t="inlineStr">
        <is>
          <t>A 1326-2025</t>
        </is>
      </c>
      <c r="B552" s="1" t="n">
        <v>45667.57347222222</v>
      </c>
      <c r="C552" s="1" t="n">
        <v>45932</v>
      </c>
      <c r="D552" t="inlineStr">
        <is>
          <t>JÄMTLANDS LÄN</t>
        </is>
      </c>
      <c r="E552" t="inlineStr">
        <is>
          <t>RAGUNDA</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30642-2024</t>
        </is>
      </c>
      <c r="B553" s="1" t="n">
        <v>45495.57677083334</v>
      </c>
      <c r="C553" s="1" t="n">
        <v>45932</v>
      </c>
      <c r="D553" t="inlineStr">
        <is>
          <t>JÄMTLANDS LÄN</t>
        </is>
      </c>
      <c r="E553" t="inlineStr">
        <is>
          <t>RAGUNDA</t>
        </is>
      </c>
      <c r="G553" t="n">
        <v>2.7</v>
      </c>
      <c r="H553" t="n">
        <v>0</v>
      </c>
      <c r="I553" t="n">
        <v>0</v>
      </c>
      <c r="J553" t="n">
        <v>0</v>
      </c>
      <c r="K553" t="n">
        <v>0</v>
      </c>
      <c r="L553" t="n">
        <v>0</v>
      </c>
      <c r="M553" t="n">
        <v>0</v>
      </c>
      <c r="N553" t="n">
        <v>0</v>
      </c>
      <c r="O553" t="n">
        <v>0</v>
      </c>
      <c r="P553" t="n">
        <v>0</v>
      </c>
      <c r="Q553" t="n">
        <v>0</v>
      </c>
      <c r="R553" s="2" t="inlineStr"/>
    </row>
    <row r="554" ht="15" customHeight="1">
      <c r="A554" t="inlineStr">
        <is>
          <t>A 11048-2023</t>
        </is>
      </c>
      <c r="B554" s="1" t="n">
        <v>44991</v>
      </c>
      <c r="C554" s="1" t="n">
        <v>45932</v>
      </c>
      <c r="D554" t="inlineStr">
        <is>
          <t>JÄMTLANDS LÄN</t>
        </is>
      </c>
      <c r="E554" t="inlineStr">
        <is>
          <t>RAGUNDA</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11062-2023</t>
        </is>
      </c>
      <c r="B555" s="1" t="n">
        <v>44991</v>
      </c>
      <c r="C555" s="1" t="n">
        <v>45932</v>
      </c>
      <c r="D555" t="inlineStr">
        <is>
          <t>JÄMTLANDS LÄN</t>
        </is>
      </c>
      <c r="E555" t="inlineStr">
        <is>
          <t>RAGUNDA</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993-2025</t>
        </is>
      </c>
      <c r="B556" s="1" t="n">
        <v>45666.44943287037</v>
      </c>
      <c r="C556" s="1" t="n">
        <v>45932</v>
      </c>
      <c r="D556" t="inlineStr">
        <is>
          <t>JÄMTLANDS LÄN</t>
        </is>
      </c>
      <c r="E556" t="inlineStr">
        <is>
          <t>RAGUNDA</t>
        </is>
      </c>
      <c r="G556" t="n">
        <v>11.3</v>
      </c>
      <c r="H556" t="n">
        <v>0</v>
      </c>
      <c r="I556" t="n">
        <v>0</v>
      </c>
      <c r="J556" t="n">
        <v>0</v>
      </c>
      <c r="K556" t="n">
        <v>0</v>
      </c>
      <c r="L556" t="n">
        <v>0</v>
      </c>
      <c r="M556" t="n">
        <v>0</v>
      </c>
      <c r="N556" t="n">
        <v>0</v>
      </c>
      <c r="O556" t="n">
        <v>0</v>
      </c>
      <c r="P556" t="n">
        <v>0</v>
      </c>
      <c r="Q556" t="n">
        <v>0</v>
      </c>
      <c r="R556" s="2" t="inlineStr"/>
    </row>
    <row r="557" ht="15" customHeight="1">
      <c r="A557" t="inlineStr">
        <is>
          <t>A 58193-2022</t>
        </is>
      </c>
      <c r="B557" s="1" t="n">
        <v>44900.95700231481</v>
      </c>
      <c r="C557" s="1" t="n">
        <v>45932</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57064-2024</t>
        </is>
      </c>
      <c r="B558" s="1" t="n">
        <v>45629.35326388889</v>
      </c>
      <c r="C558" s="1" t="n">
        <v>45932</v>
      </c>
      <c r="D558" t="inlineStr">
        <is>
          <t>JÄMTLANDS LÄN</t>
        </is>
      </c>
      <c r="E558" t="inlineStr">
        <is>
          <t>RAGUNDA</t>
        </is>
      </c>
      <c r="F558" t="inlineStr">
        <is>
          <t>Naturvårdsverket</t>
        </is>
      </c>
      <c r="G558" t="n">
        <v>0.5</v>
      </c>
      <c r="H558" t="n">
        <v>0</v>
      </c>
      <c r="I558" t="n">
        <v>0</v>
      </c>
      <c r="J558" t="n">
        <v>0</v>
      </c>
      <c r="K558" t="n">
        <v>0</v>
      </c>
      <c r="L558" t="n">
        <v>0</v>
      </c>
      <c r="M558" t="n">
        <v>0</v>
      </c>
      <c r="N558" t="n">
        <v>0</v>
      </c>
      <c r="O558" t="n">
        <v>0</v>
      </c>
      <c r="P558" t="n">
        <v>0</v>
      </c>
      <c r="Q558" t="n">
        <v>0</v>
      </c>
      <c r="R558" s="2" t="inlineStr"/>
    </row>
    <row r="559" ht="15" customHeight="1">
      <c r="A559" t="inlineStr">
        <is>
          <t>A 18284-2025</t>
        </is>
      </c>
      <c r="B559" s="1" t="n">
        <v>45762.39876157408</v>
      </c>
      <c r="C559" s="1" t="n">
        <v>45932</v>
      </c>
      <c r="D559" t="inlineStr">
        <is>
          <t>JÄMTLANDS LÄN</t>
        </is>
      </c>
      <c r="E559" t="inlineStr">
        <is>
          <t>RAGUNDA</t>
        </is>
      </c>
      <c r="G559" t="n">
        <v>0.2</v>
      </c>
      <c r="H559" t="n">
        <v>0</v>
      </c>
      <c r="I559" t="n">
        <v>0</v>
      </c>
      <c r="J559" t="n">
        <v>0</v>
      </c>
      <c r="K559" t="n">
        <v>0</v>
      </c>
      <c r="L559" t="n">
        <v>0</v>
      </c>
      <c r="M559" t="n">
        <v>0</v>
      </c>
      <c r="N559" t="n">
        <v>0</v>
      </c>
      <c r="O559" t="n">
        <v>0</v>
      </c>
      <c r="P559" t="n">
        <v>0</v>
      </c>
      <c r="Q559" t="n">
        <v>0</v>
      </c>
      <c r="R559" s="2" t="inlineStr"/>
      <c r="U559">
        <f>HYPERLINK("https://klasma.github.io/Logging_2303/knärot/A 18284-2025 karta knärot.png", "A 18284-2025")</f>
        <v/>
      </c>
      <c r="V559">
        <f>HYPERLINK("https://klasma.github.io/Logging_2303/klagomål/A 18284-2025 FSC-klagomål.docx", "A 18284-2025")</f>
        <v/>
      </c>
      <c r="W559">
        <f>HYPERLINK("https://klasma.github.io/Logging_2303/klagomålsmail/A 18284-2025 FSC-klagomål mail.docx", "A 18284-2025")</f>
        <v/>
      </c>
      <c r="X559">
        <f>HYPERLINK("https://klasma.github.io/Logging_2303/tillsyn/A 18284-2025 tillsynsbegäran.docx", "A 18284-2025")</f>
        <v/>
      </c>
      <c r="Y559">
        <f>HYPERLINK("https://klasma.github.io/Logging_2303/tillsynsmail/A 18284-2025 tillsynsbegäran mail.docx", "A 18284-2025")</f>
        <v/>
      </c>
    </row>
    <row r="560" ht="15" customHeight="1">
      <c r="A560" t="inlineStr">
        <is>
          <t>A 7722-2023</t>
        </is>
      </c>
      <c r="B560" s="1" t="n">
        <v>44972.94140046297</v>
      </c>
      <c r="C560" s="1" t="n">
        <v>45932</v>
      </c>
      <c r="D560" t="inlineStr">
        <is>
          <t>JÄMTLANDS LÄN</t>
        </is>
      </c>
      <c r="E560" t="inlineStr">
        <is>
          <t>RAGUNDA</t>
        </is>
      </c>
      <c r="F560" t="inlineStr">
        <is>
          <t>SCA</t>
        </is>
      </c>
      <c r="G560" t="n">
        <v>5.4</v>
      </c>
      <c r="H560" t="n">
        <v>0</v>
      </c>
      <c r="I560" t="n">
        <v>0</v>
      </c>
      <c r="J560" t="n">
        <v>0</v>
      </c>
      <c r="K560" t="n">
        <v>0</v>
      </c>
      <c r="L560" t="n">
        <v>0</v>
      </c>
      <c r="M560" t="n">
        <v>0</v>
      </c>
      <c r="N560" t="n">
        <v>0</v>
      </c>
      <c r="O560" t="n">
        <v>0</v>
      </c>
      <c r="P560" t="n">
        <v>0</v>
      </c>
      <c r="Q560" t="n">
        <v>0</v>
      </c>
      <c r="R560" s="2" t="inlineStr"/>
    </row>
    <row r="561" ht="15" customHeight="1">
      <c r="A561" t="inlineStr">
        <is>
          <t>A 12204-2025</t>
        </is>
      </c>
      <c r="B561" s="1" t="n">
        <v>45729.51074074074</v>
      </c>
      <c r="C561" s="1" t="n">
        <v>45932</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28081-2022</t>
        </is>
      </c>
      <c r="B562" s="1" t="n">
        <v>44746</v>
      </c>
      <c r="C562" s="1" t="n">
        <v>45932</v>
      </c>
      <c r="D562" t="inlineStr">
        <is>
          <t>JÄMTLANDS LÄN</t>
        </is>
      </c>
      <c r="E562" t="inlineStr">
        <is>
          <t>RAGUNDA</t>
        </is>
      </c>
      <c r="G562" t="n">
        <v>7.2</v>
      </c>
      <c r="H562" t="n">
        <v>0</v>
      </c>
      <c r="I562" t="n">
        <v>0</v>
      </c>
      <c r="J562" t="n">
        <v>0</v>
      </c>
      <c r="K562" t="n">
        <v>0</v>
      </c>
      <c r="L562" t="n">
        <v>0</v>
      </c>
      <c r="M562" t="n">
        <v>0</v>
      </c>
      <c r="N562" t="n">
        <v>0</v>
      </c>
      <c r="O562" t="n">
        <v>0</v>
      </c>
      <c r="P562" t="n">
        <v>0</v>
      </c>
      <c r="Q562" t="n">
        <v>0</v>
      </c>
      <c r="R562" s="2" t="inlineStr"/>
    </row>
    <row r="563" ht="15" customHeight="1">
      <c r="A563" t="inlineStr">
        <is>
          <t>A 55524-2024</t>
        </is>
      </c>
      <c r="B563" s="1" t="n">
        <v>45622.47435185185</v>
      </c>
      <c r="C563" s="1" t="n">
        <v>45932</v>
      </c>
      <c r="D563" t="inlineStr">
        <is>
          <t>JÄMTLANDS LÄN</t>
        </is>
      </c>
      <c r="E563" t="inlineStr">
        <is>
          <t>RAGUNDA</t>
        </is>
      </c>
      <c r="G563" t="n">
        <v>1.4</v>
      </c>
      <c r="H563" t="n">
        <v>0</v>
      </c>
      <c r="I563" t="n">
        <v>0</v>
      </c>
      <c r="J563" t="n">
        <v>0</v>
      </c>
      <c r="K563" t="n">
        <v>0</v>
      </c>
      <c r="L563" t="n">
        <v>0</v>
      </c>
      <c r="M563" t="n">
        <v>0</v>
      </c>
      <c r="N563" t="n">
        <v>0</v>
      </c>
      <c r="O563" t="n">
        <v>0</v>
      </c>
      <c r="P563" t="n">
        <v>0</v>
      </c>
      <c r="Q563" t="n">
        <v>0</v>
      </c>
      <c r="R563" s="2" t="inlineStr"/>
    </row>
    <row r="564" ht="15" customHeight="1">
      <c r="A564" t="inlineStr">
        <is>
          <t>A 19263-2025</t>
        </is>
      </c>
      <c r="B564" s="1" t="n">
        <v>45769.51075231482</v>
      </c>
      <c r="C564" s="1" t="n">
        <v>45932</v>
      </c>
      <c r="D564" t="inlineStr">
        <is>
          <t>JÄMTLANDS LÄN</t>
        </is>
      </c>
      <c r="E564" t="inlineStr">
        <is>
          <t>RAGUNDA</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24158-2025</t>
        </is>
      </c>
      <c r="B565" s="1" t="n">
        <v>45796</v>
      </c>
      <c r="C565" s="1" t="n">
        <v>45932</v>
      </c>
      <c r="D565" t="inlineStr">
        <is>
          <t>JÄMTLANDS LÄN</t>
        </is>
      </c>
      <c r="E565" t="inlineStr">
        <is>
          <t>RAGUNDA</t>
        </is>
      </c>
      <c r="G565" t="n">
        <v>2.9</v>
      </c>
      <c r="H565" t="n">
        <v>0</v>
      </c>
      <c r="I565" t="n">
        <v>0</v>
      </c>
      <c r="J565" t="n">
        <v>0</v>
      </c>
      <c r="K565" t="n">
        <v>0</v>
      </c>
      <c r="L565" t="n">
        <v>0</v>
      </c>
      <c r="M565" t="n">
        <v>0</v>
      </c>
      <c r="N565" t="n">
        <v>0</v>
      </c>
      <c r="O565" t="n">
        <v>0</v>
      </c>
      <c r="P565" t="n">
        <v>0</v>
      </c>
      <c r="Q565" t="n">
        <v>0</v>
      </c>
      <c r="R565" s="2" t="inlineStr"/>
    </row>
    <row r="566" ht="15" customHeight="1">
      <c r="A566" t="inlineStr">
        <is>
          <t>A 24161-2025</t>
        </is>
      </c>
      <c r="B566" s="1" t="n">
        <v>45796</v>
      </c>
      <c r="C566" s="1" t="n">
        <v>45932</v>
      </c>
      <c r="D566" t="inlineStr">
        <is>
          <t>JÄMTLANDS LÄN</t>
        </is>
      </c>
      <c r="E566" t="inlineStr">
        <is>
          <t>RAGUNDA</t>
        </is>
      </c>
      <c r="G566" t="n">
        <v>2.4</v>
      </c>
      <c r="H566" t="n">
        <v>0</v>
      </c>
      <c r="I566" t="n">
        <v>0</v>
      </c>
      <c r="J566" t="n">
        <v>0</v>
      </c>
      <c r="K566" t="n">
        <v>0</v>
      </c>
      <c r="L566" t="n">
        <v>0</v>
      </c>
      <c r="M566" t="n">
        <v>0</v>
      </c>
      <c r="N566" t="n">
        <v>0</v>
      </c>
      <c r="O566" t="n">
        <v>0</v>
      </c>
      <c r="P566" t="n">
        <v>0</v>
      </c>
      <c r="Q566" t="n">
        <v>0</v>
      </c>
      <c r="R566" s="2" t="inlineStr"/>
    </row>
    <row r="567" ht="15" customHeight="1">
      <c r="A567" t="inlineStr">
        <is>
          <t>A 13299-2024</t>
        </is>
      </c>
      <c r="B567" s="1" t="n">
        <v>45386.68003472222</v>
      </c>
      <c r="C567" s="1" t="n">
        <v>45932</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15024-2022</t>
        </is>
      </c>
      <c r="B568" s="1" t="n">
        <v>44657</v>
      </c>
      <c r="C568" s="1" t="n">
        <v>45932</v>
      </c>
      <c r="D568" t="inlineStr">
        <is>
          <t>JÄMTLANDS LÄN</t>
        </is>
      </c>
      <c r="E568" t="inlineStr">
        <is>
          <t>RAGUNDA</t>
        </is>
      </c>
      <c r="G568" t="n">
        <v>1.8</v>
      </c>
      <c r="H568" t="n">
        <v>0</v>
      </c>
      <c r="I568" t="n">
        <v>0</v>
      </c>
      <c r="J568" t="n">
        <v>0</v>
      </c>
      <c r="K568" t="n">
        <v>0</v>
      </c>
      <c r="L568" t="n">
        <v>0</v>
      </c>
      <c r="M568" t="n">
        <v>0</v>
      </c>
      <c r="N568" t="n">
        <v>0</v>
      </c>
      <c r="O568" t="n">
        <v>0</v>
      </c>
      <c r="P568" t="n">
        <v>0</v>
      </c>
      <c r="Q568" t="n">
        <v>0</v>
      </c>
      <c r="R568" s="2" t="inlineStr"/>
    </row>
    <row r="569" ht="15" customHeight="1">
      <c r="A569" t="inlineStr">
        <is>
          <t>A 891-2022</t>
        </is>
      </c>
      <c r="B569" s="1" t="n">
        <v>44571</v>
      </c>
      <c r="C569" s="1" t="n">
        <v>45932</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25332-2023</t>
        </is>
      </c>
      <c r="B570" s="1" t="n">
        <v>45086.94010416666</v>
      </c>
      <c r="C570" s="1" t="n">
        <v>45932</v>
      </c>
      <c r="D570" t="inlineStr">
        <is>
          <t>JÄMTLANDS LÄN</t>
        </is>
      </c>
      <c r="E570" t="inlineStr">
        <is>
          <t>RAGUNDA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29920-2024</t>
        </is>
      </c>
      <c r="B571" s="1" t="n">
        <v>45487.92856481481</v>
      </c>
      <c r="C571" s="1" t="n">
        <v>45932</v>
      </c>
      <c r="D571" t="inlineStr">
        <is>
          <t>JÄMTLANDS LÄN</t>
        </is>
      </c>
      <c r="E571" t="inlineStr">
        <is>
          <t>RAGUNDA</t>
        </is>
      </c>
      <c r="G571" t="n">
        <v>3.4</v>
      </c>
      <c r="H571" t="n">
        <v>0</v>
      </c>
      <c r="I571" t="n">
        <v>0</v>
      </c>
      <c r="J571" t="n">
        <v>0</v>
      </c>
      <c r="K571" t="n">
        <v>0</v>
      </c>
      <c r="L571" t="n">
        <v>0</v>
      </c>
      <c r="M571" t="n">
        <v>0</v>
      </c>
      <c r="N571" t="n">
        <v>0</v>
      </c>
      <c r="O571" t="n">
        <v>0</v>
      </c>
      <c r="P571" t="n">
        <v>0</v>
      </c>
      <c r="Q571" t="n">
        <v>0</v>
      </c>
      <c r="R571" s="2" t="inlineStr"/>
    </row>
    <row r="572" ht="15" customHeight="1">
      <c r="A572" t="inlineStr">
        <is>
          <t>A 36371-2023</t>
        </is>
      </c>
      <c r="B572" s="1" t="n">
        <v>45149</v>
      </c>
      <c r="C572" s="1" t="n">
        <v>45932</v>
      </c>
      <c r="D572" t="inlineStr">
        <is>
          <t>JÄMTLANDS LÄN</t>
        </is>
      </c>
      <c r="E572" t="inlineStr">
        <is>
          <t>RAGUNDA</t>
        </is>
      </c>
      <c r="G572" t="n">
        <v>25.7</v>
      </c>
      <c r="H572" t="n">
        <v>0</v>
      </c>
      <c r="I572" t="n">
        <v>0</v>
      </c>
      <c r="J572" t="n">
        <v>0</v>
      </c>
      <c r="K572" t="n">
        <v>0</v>
      </c>
      <c r="L572" t="n">
        <v>0</v>
      </c>
      <c r="M572" t="n">
        <v>0</v>
      </c>
      <c r="N572" t="n">
        <v>0</v>
      </c>
      <c r="O572" t="n">
        <v>0</v>
      </c>
      <c r="P572" t="n">
        <v>0</v>
      </c>
      <c r="Q572" t="n">
        <v>0</v>
      </c>
      <c r="R572" s="2" t="inlineStr"/>
    </row>
    <row r="573" ht="15" customHeight="1">
      <c r="A573" t="inlineStr">
        <is>
          <t>A 56702-2023</t>
        </is>
      </c>
      <c r="B573" s="1" t="n">
        <v>45243</v>
      </c>
      <c r="C573" s="1" t="n">
        <v>45932</v>
      </c>
      <c r="D573" t="inlineStr">
        <is>
          <t>JÄMTLANDS LÄN</t>
        </is>
      </c>
      <c r="E573" t="inlineStr">
        <is>
          <t>RAGUNDA</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3767-2025</t>
        </is>
      </c>
      <c r="B574" s="1" t="n">
        <v>45681.60203703704</v>
      </c>
      <c r="C574" s="1" t="n">
        <v>45932</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7280-2024</t>
        </is>
      </c>
      <c r="B575" s="1" t="n">
        <v>45344</v>
      </c>
      <c r="C575" s="1" t="n">
        <v>45932</v>
      </c>
      <c r="D575" t="inlineStr">
        <is>
          <t>JÄMTLANDS LÄN</t>
        </is>
      </c>
      <c r="E575" t="inlineStr">
        <is>
          <t>RAGUNDA</t>
        </is>
      </c>
      <c r="G575" t="n">
        <v>1.6</v>
      </c>
      <c r="H575" t="n">
        <v>0</v>
      </c>
      <c r="I575" t="n">
        <v>0</v>
      </c>
      <c r="J575" t="n">
        <v>0</v>
      </c>
      <c r="K575" t="n">
        <v>0</v>
      </c>
      <c r="L575" t="n">
        <v>0</v>
      </c>
      <c r="M575" t="n">
        <v>0</v>
      </c>
      <c r="N575" t="n">
        <v>0</v>
      </c>
      <c r="O575" t="n">
        <v>0</v>
      </c>
      <c r="P575" t="n">
        <v>0</v>
      </c>
      <c r="Q575" t="n">
        <v>0</v>
      </c>
      <c r="R575" s="2" t="inlineStr"/>
    </row>
    <row r="576" ht="15" customHeight="1">
      <c r="A576" t="inlineStr">
        <is>
          <t>A 24159-2025</t>
        </is>
      </c>
      <c r="B576" s="1" t="n">
        <v>45796</v>
      </c>
      <c r="C576" s="1" t="n">
        <v>45932</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44778-2024</t>
        </is>
      </c>
      <c r="B577" s="1" t="n">
        <v>45574.63355324074</v>
      </c>
      <c r="C577" s="1" t="n">
        <v>45932</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24391-2025</t>
        </is>
      </c>
      <c r="B578" s="1" t="n">
        <v>45797.63627314815</v>
      </c>
      <c r="C578" s="1" t="n">
        <v>45932</v>
      </c>
      <c r="D578" t="inlineStr">
        <is>
          <t>JÄMTLANDS LÄN</t>
        </is>
      </c>
      <c r="E578" t="inlineStr">
        <is>
          <t>RAGUNDA</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32259-2024</t>
        </is>
      </c>
      <c r="B579" s="1" t="n">
        <v>45511</v>
      </c>
      <c r="C579" s="1" t="n">
        <v>45932</v>
      </c>
      <c r="D579" t="inlineStr">
        <is>
          <t>JÄMTLANDS LÄN</t>
        </is>
      </c>
      <c r="E579" t="inlineStr">
        <is>
          <t>RAGUNDA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2673-2024</t>
        </is>
      </c>
      <c r="B580" s="1" t="n">
        <v>45314</v>
      </c>
      <c r="C580" s="1" t="n">
        <v>45932</v>
      </c>
      <c r="D580" t="inlineStr">
        <is>
          <t>JÄMTLANDS LÄN</t>
        </is>
      </c>
      <c r="E580" t="inlineStr">
        <is>
          <t>RAGUNDA</t>
        </is>
      </c>
      <c r="G580" t="n">
        <v>0.9</v>
      </c>
      <c r="H580" t="n">
        <v>0</v>
      </c>
      <c r="I580" t="n">
        <v>0</v>
      </c>
      <c r="J580" t="n">
        <v>0</v>
      </c>
      <c r="K580" t="n">
        <v>0</v>
      </c>
      <c r="L580" t="n">
        <v>0</v>
      </c>
      <c r="M580" t="n">
        <v>0</v>
      </c>
      <c r="N580" t="n">
        <v>0</v>
      </c>
      <c r="O580" t="n">
        <v>0</v>
      </c>
      <c r="P580" t="n">
        <v>0</v>
      </c>
      <c r="Q580" t="n">
        <v>0</v>
      </c>
      <c r="R580" s="2" t="inlineStr"/>
    </row>
    <row r="581" ht="15" customHeight="1">
      <c r="A581" t="inlineStr">
        <is>
          <t>A 64492-2023</t>
        </is>
      </c>
      <c r="B581" s="1" t="n">
        <v>45280.92645833334</v>
      </c>
      <c r="C581" s="1" t="n">
        <v>45932</v>
      </c>
      <c r="D581" t="inlineStr">
        <is>
          <t>JÄMTLANDS LÄN</t>
        </is>
      </c>
      <c r="E581" t="inlineStr">
        <is>
          <t>RAGUNDA</t>
        </is>
      </c>
      <c r="G581" t="n">
        <v>0.6</v>
      </c>
      <c r="H581" t="n">
        <v>0</v>
      </c>
      <c r="I581" t="n">
        <v>0</v>
      </c>
      <c r="J581" t="n">
        <v>0</v>
      </c>
      <c r="K581" t="n">
        <v>0</v>
      </c>
      <c r="L581" t="n">
        <v>0</v>
      </c>
      <c r="M581" t="n">
        <v>0</v>
      </c>
      <c r="N581" t="n">
        <v>0</v>
      </c>
      <c r="O581" t="n">
        <v>0</v>
      </c>
      <c r="P581" t="n">
        <v>0</v>
      </c>
      <c r="Q581" t="n">
        <v>0</v>
      </c>
      <c r="R581" s="2" t="inlineStr"/>
    </row>
    <row r="582" ht="15" customHeight="1">
      <c r="A582" t="inlineStr">
        <is>
          <t>A 14368-2024</t>
        </is>
      </c>
      <c r="B582" s="1" t="n">
        <v>45393.94431712963</v>
      </c>
      <c r="C582" s="1" t="n">
        <v>45932</v>
      </c>
      <c r="D582" t="inlineStr">
        <is>
          <t>JÄMTLANDS LÄN</t>
        </is>
      </c>
      <c r="E582" t="inlineStr">
        <is>
          <t>RAGUNDA</t>
        </is>
      </c>
      <c r="F582" t="inlineStr">
        <is>
          <t>Naturvårdsverket</t>
        </is>
      </c>
      <c r="G582" t="n">
        <v>1.6</v>
      </c>
      <c r="H582" t="n">
        <v>0</v>
      </c>
      <c r="I582" t="n">
        <v>0</v>
      </c>
      <c r="J582" t="n">
        <v>0</v>
      </c>
      <c r="K582" t="n">
        <v>0</v>
      </c>
      <c r="L582" t="n">
        <v>0</v>
      </c>
      <c r="M582" t="n">
        <v>0</v>
      </c>
      <c r="N582" t="n">
        <v>0</v>
      </c>
      <c r="O582" t="n">
        <v>0</v>
      </c>
      <c r="P582" t="n">
        <v>0</v>
      </c>
      <c r="Q582" t="n">
        <v>0</v>
      </c>
      <c r="R582" s="2" t="inlineStr"/>
    </row>
    <row r="583" ht="15" customHeight="1">
      <c r="A583" t="inlineStr">
        <is>
          <t>A 19438-2023</t>
        </is>
      </c>
      <c r="B583" s="1" t="n">
        <v>45049</v>
      </c>
      <c r="C583" s="1" t="n">
        <v>45932</v>
      </c>
      <c r="D583" t="inlineStr">
        <is>
          <t>JÄMTLANDS LÄN</t>
        </is>
      </c>
      <c r="E583" t="inlineStr">
        <is>
          <t>RAGUNDA</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51049-2024</t>
        </is>
      </c>
      <c r="B584" s="1" t="n">
        <v>45603.44644675926</v>
      </c>
      <c r="C584" s="1" t="n">
        <v>45932</v>
      </c>
      <c r="D584" t="inlineStr">
        <is>
          <t>JÄMTLANDS LÄN</t>
        </is>
      </c>
      <c r="E584" t="inlineStr">
        <is>
          <t>RAGUNDA</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44759-2024</t>
        </is>
      </c>
      <c r="B585" s="1" t="n">
        <v>45574.61634259259</v>
      </c>
      <c r="C585" s="1" t="n">
        <v>45932</v>
      </c>
      <c r="D585" t="inlineStr">
        <is>
          <t>JÄMTLANDS LÄN</t>
        </is>
      </c>
      <c r="E585" t="inlineStr">
        <is>
          <t>RAGUNDA</t>
        </is>
      </c>
      <c r="G585" t="n">
        <v>1.9</v>
      </c>
      <c r="H585" t="n">
        <v>0</v>
      </c>
      <c r="I585" t="n">
        <v>0</v>
      </c>
      <c r="J585" t="n">
        <v>0</v>
      </c>
      <c r="K585" t="n">
        <v>0</v>
      </c>
      <c r="L585" t="n">
        <v>0</v>
      </c>
      <c r="M585" t="n">
        <v>0</v>
      </c>
      <c r="N585" t="n">
        <v>0</v>
      </c>
      <c r="O585" t="n">
        <v>0</v>
      </c>
      <c r="P585" t="n">
        <v>0</v>
      </c>
      <c r="Q585" t="n">
        <v>0</v>
      </c>
      <c r="R585" s="2" t="inlineStr"/>
    </row>
    <row r="586" ht="15" customHeight="1">
      <c r="A586" t="inlineStr">
        <is>
          <t>A 37324-2022</t>
        </is>
      </c>
      <c r="B586" s="1" t="n">
        <v>44806</v>
      </c>
      <c r="C586" s="1" t="n">
        <v>45932</v>
      </c>
      <c r="D586" t="inlineStr">
        <is>
          <t>JÄMTLANDS LÄN</t>
        </is>
      </c>
      <c r="E586" t="inlineStr">
        <is>
          <t>RAGUNDA</t>
        </is>
      </c>
      <c r="G586" t="n">
        <v>2.3</v>
      </c>
      <c r="H586" t="n">
        <v>0</v>
      </c>
      <c r="I586" t="n">
        <v>0</v>
      </c>
      <c r="J586" t="n">
        <v>0</v>
      </c>
      <c r="K586" t="n">
        <v>0</v>
      </c>
      <c r="L586" t="n">
        <v>0</v>
      </c>
      <c r="M586" t="n">
        <v>0</v>
      </c>
      <c r="N586" t="n">
        <v>0</v>
      </c>
      <c r="O586" t="n">
        <v>0</v>
      </c>
      <c r="P586" t="n">
        <v>0</v>
      </c>
      <c r="Q586" t="n">
        <v>0</v>
      </c>
      <c r="R586" s="2" t="inlineStr"/>
    </row>
    <row r="587" ht="15" customHeight="1">
      <c r="A587" t="inlineStr">
        <is>
          <t>A 5313-2025</t>
        </is>
      </c>
      <c r="B587" s="1" t="n">
        <v>45692.51069444444</v>
      </c>
      <c r="C587" s="1" t="n">
        <v>45932</v>
      </c>
      <c r="D587" t="inlineStr">
        <is>
          <t>JÄMTLANDS LÄN</t>
        </is>
      </c>
      <c r="E587" t="inlineStr">
        <is>
          <t>RAGUNDA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5357-2025</t>
        </is>
      </c>
      <c r="B588" s="1" t="n">
        <v>45692.57326388889</v>
      </c>
      <c r="C588" s="1" t="n">
        <v>45932</v>
      </c>
      <c r="D588" t="inlineStr">
        <is>
          <t>JÄMTLANDS LÄN</t>
        </is>
      </c>
      <c r="E588" t="inlineStr">
        <is>
          <t>RAGUNDA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3018-2024</t>
        </is>
      </c>
      <c r="B589" s="1" t="n">
        <v>45315.9492824074</v>
      </c>
      <c r="C589" s="1" t="n">
        <v>45932</v>
      </c>
      <c r="D589" t="inlineStr">
        <is>
          <t>JÄMTLANDS LÄN</t>
        </is>
      </c>
      <c r="E589" t="inlineStr">
        <is>
          <t>RAGUNDA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41343-2024</t>
        </is>
      </c>
      <c r="B590" s="1" t="n">
        <v>45559.67745370371</v>
      </c>
      <c r="C590" s="1" t="n">
        <v>45932</v>
      </c>
      <c r="D590" t="inlineStr">
        <is>
          <t>JÄMTLANDS LÄN</t>
        </is>
      </c>
      <c r="E590" t="inlineStr">
        <is>
          <t>RAGUNDA</t>
        </is>
      </c>
      <c r="F590" t="inlineStr">
        <is>
          <t>SCA</t>
        </is>
      </c>
      <c r="G590" t="n">
        <v>25.1</v>
      </c>
      <c r="H590" t="n">
        <v>0</v>
      </c>
      <c r="I590" t="n">
        <v>0</v>
      </c>
      <c r="J590" t="n">
        <v>0</v>
      </c>
      <c r="K590" t="n">
        <v>0</v>
      </c>
      <c r="L590" t="n">
        <v>0</v>
      </c>
      <c r="M590" t="n">
        <v>0</v>
      </c>
      <c r="N590" t="n">
        <v>0</v>
      </c>
      <c r="O590" t="n">
        <v>0</v>
      </c>
      <c r="P590" t="n">
        <v>0</v>
      </c>
      <c r="Q590" t="n">
        <v>0</v>
      </c>
      <c r="R590" s="2" t="inlineStr"/>
    </row>
    <row r="591" ht="15" customHeight="1">
      <c r="A591" t="inlineStr">
        <is>
          <t>A 12783-2023</t>
        </is>
      </c>
      <c r="B591" s="1" t="n">
        <v>45000</v>
      </c>
      <c r="C591" s="1" t="n">
        <v>45932</v>
      </c>
      <c r="D591" t="inlineStr">
        <is>
          <t>JÄMTLANDS LÄN</t>
        </is>
      </c>
      <c r="E591" t="inlineStr">
        <is>
          <t>RAGUNDA</t>
        </is>
      </c>
      <c r="G591" t="n">
        <v>0.9</v>
      </c>
      <c r="H591" t="n">
        <v>0</v>
      </c>
      <c r="I591" t="n">
        <v>0</v>
      </c>
      <c r="J591" t="n">
        <v>0</v>
      </c>
      <c r="K591" t="n">
        <v>0</v>
      </c>
      <c r="L591" t="n">
        <v>0</v>
      </c>
      <c r="M591" t="n">
        <v>0</v>
      </c>
      <c r="N591" t="n">
        <v>0</v>
      </c>
      <c r="O591" t="n">
        <v>0</v>
      </c>
      <c r="P591" t="n">
        <v>0</v>
      </c>
      <c r="Q591" t="n">
        <v>0</v>
      </c>
      <c r="R591" s="2" t="inlineStr"/>
    </row>
    <row r="592" ht="15" customHeight="1">
      <c r="A592" t="inlineStr">
        <is>
          <t>A 44605-2024</t>
        </is>
      </c>
      <c r="B592" s="1" t="n">
        <v>45574.51185185185</v>
      </c>
      <c r="C592" s="1" t="n">
        <v>45932</v>
      </c>
      <c r="D592" t="inlineStr">
        <is>
          <t>JÄMTLANDS LÄN</t>
        </is>
      </c>
      <c r="E592" t="inlineStr">
        <is>
          <t>RAGUNDA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53171-2024</t>
        </is>
      </c>
      <c r="B593" s="1" t="n">
        <v>45611.65679398148</v>
      </c>
      <c r="C593" s="1" t="n">
        <v>45932</v>
      </c>
      <c r="D593" t="inlineStr">
        <is>
          <t>JÄMTLANDS LÄN</t>
        </is>
      </c>
      <c r="E593" t="inlineStr">
        <is>
          <t>RAGUNDA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45953-2023</t>
        </is>
      </c>
      <c r="B594" s="1" t="n">
        <v>45195.94672453704</v>
      </c>
      <c r="C594" s="1" t="n">
        <v>45932</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62407-2023</t>
        </is>
      </c>
      <c r="B595" s="1" t="n">
        <v>45266</v>
      </c>
      <c r="C595" s="1" t="n">
        <v>45932</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7279-2024</t>
        </is>
      </c>
      <c r="B596" s="1" t="n">
        <v>45344.92822916667</v>
      </c>
      <c r="C596" s="1" t="n">
        <v>45932</v>
      </c>
      <c r="D596" t="inlineStr">
        <is>
          <t>JÄMTLANDS LÄN</t>
        </is>
      </c>
      <c r="E596" t="inlineStr">
        <is>
          <t>RAGUNDA</t>
        </is>
      </c>
      <c r="G596" t="n">
        <v>2.1</v>
      </c>
      <c r="H596" t="n">
        <v>0</v>
      </c>
      <c r="I596" t="n">
        <v>0</v>
      </c>
      <c r="J596" t="n">
        <v>0</v>
      </c>
      <c r="K596" t="n">
        <v>0</v>
      </c>
      <c r="L596" t="n">
        <v>0</v>
      </c>
      <c r="M596" t="n">
        <v>0</v>
      </c>
      <c r="N596" t="n">
        <v>0</v>
      </c>
      <c r="O596" t="n">
        <v>0</v>
      </c>
      <c r="P596" t="n">
        <v>0</v>
      </c>
      <c r="Q596" t="n">
        <v>0</v>
      </c>
      <c r="R596" s="2" t="inlineStr"/>
    </row>
    <row r="597" ht="15" customHeight="1">
      <c r="A597" t="inlineStr">
        <is>
          <t>A 20773-2024</t>
        </is>
      </c>
      <c r="B597" s="1" t="n">
        <v>45436.94636574074</v>
      </c>
      <c r="C597" s="1" t="n">
        <v>45932</v>
      </c>
      <c r="D597" t="inlineStr">
        <is>
          <t>JÄMTLANDS LÄN</t>
        </is>
      </c>
      <c r="E597" t="inlineStr">
        <is>
          <t>RAGUNDA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34323-2023</t>
        </is>
      </c>
      <c r="B598" s="1" t="n">
        <v>45138.94925925926</v>
      </c>
      <c r="C598" s="1" t="n">
        <v>45932</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16982-2024</t>
        </is>
      </c>
      <c r="B599" s="1" t="n">
        <v>45412.02506944445</v>
      </c>
      <c r="C599" s="1" t="n">
        <v>45932</v>
      </c>
      <c r="D599" t="inlineStr">
        <is>
          <t>JÄMTLANDS LÄN</t>
        </is>
      </c>
      <c r="E599" t="inlineStr">
        <is>
          <t>RAGUNDA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50486-2023</t>
        </is>
      </c>
      <c r="B600" s="1" t="n">
        <v>45216.92424768519</v>
      </c>
      <c r="C600" s="1" t="n">
        <v>45932</v>
      </c>
      <c r="D600" t="inlineStr">
        <is>
          <t>JÄMTLANDS LÄN</t>
        </is>
      </c>
      <c r="E600" t="inlineStr">
        <is>
          <t>RAGUNDA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49650-2024</t>
        </is>
      </c>
      <c r="B601" s="1" t="n">
        <v>45596.61569444444</v>
      </c>
      <c r="C601" s="1" t="n">
        <v>45932</v>
      </c>
      <c r="D601" t="inlineStr">
        <is>
          <t>JÄMTLANDS LÄN</t>
        </is>
      </c>
      <c r="E601" t="inlineStr">
        <is>
          <t>RAGUNDA</t>
        </is>
      </c>
      <c r="F601" t="inlineStr">
        <is>
          <t>Naturvårdsverket</t>
        </is>
      </c>
      <c r="G601" t="n">
        <v>3</v>
      </c>
      <c r="H601" t="n">
        <v>0</v>
      </c>
      <c r="I601" t="n">
        <v>0</v>
      </c>
      <c r="J601" t="n">
        <v>0</v>
      </c>
      <c r="K601" t="n">
        <v>0</v>
      </c>
      <c r="L601" t="n">
        <v>0</v>
      </c>
      <c r="M601" t="n">
        <v>0</v>
      </c>
      <c r="N601" t="n">
        <v>0</v>
      </c>
      <c r="O601" t="n">
        <v>0</v>
      </c>
      <c r="P601" t="n">
        <v>0</v>
      </c>
      <c r="Q601" t="n">
        <v>0</v>
      </c>
      <c r="R601" s="2" t="inlineStr"/>
    </row>
    <row r="602" ht="15" customHeight="1">
      <c r="A602" t="inlineStr">
        <is>
          <t>A 54599-2023</t>
        </is>
      </c>
      <c r="B602" s="1" t="n">
        <v>45233.92591435185</v>
      </c>
      <c r="C602" s="1" t="n">
        <v>45932</v>
      </c>
      <c r="D602" t="inlineStr">
        <is>
          <t>JÄMTLANDS LÄN</t>
        </is>
      </c>
      <c r="E602" t="inlineStr">
        <is>
          <t>RAGUNDA</t>
        </is>
      </c>
      <c r="G602" t="n">
        <v>3.7</v>
      </c>
      <c r="H602" t="n">
        <v>0</v>
      </c>
      <c r="I602" t="n">
        <v>0</v>
      </c>
      <c r="J602" t="n">
        <v>0</v>
      </c>
      <c r="K602" t="n">
        <v>0</v>
      </c>
      <c r="L602" t="n">
        <v>0</v>
      </c>
      <c r="M602" t="n">
        <v>0</v>
      </c>
      <c r="N602" t="n">
        <v>0</v>
      </c>
      <c r="O602" t="n">
        <v>0</v>
      </c>
      <c r="P602" t="n">
        <v>0</v>
      </c>
      <c r="Q602" t="n">
        <v>0</v>
      </c>
      <c r="R602" s="2" t="inlineStr"/>
    </row>
    <row r="603" ht="15" customHeight="1">
      <c r="A603" t="inlineStr">
        <is>
          <t>A 51538-2022</t>
        </is>
      </c>
      <c r="B603" s="1" t="n">
        <v>44869</v>
      </c>
      <c r="C603" s="1" t="n">
        <v>45932</v>
      </c>
      <c r="D603" t="inlineStr">
        <is>
          <t>JÄMTLANDS LÄN</t>
        </is>
      </c>
      <c r="E603" t="inlineStr">
        <is>
          <t>RAGUNDA</t>
        </is>
      </c>
      <c r="G603" t="n">
        <v>6.8</v>
      </c>
      <c r="H603" t="n">
        <v>0</v>
      </c>
      <c r="I603" t="n">
        <v>0</v>
      </c>
      <c r="J603" t="n">
        <v>0</v>
      </c>
      <c r="K603" t="n">
        <v>0</v>
      </c>
      <c r="L603" t="n">
        <v>0</v>
      </c>
      <c r="M603" t="n">
        <v>0</v>
      </c>
      <c r="N603" t="n">
        <v>0</v>
      </c>
      <c r="O603" t="n">
        <v>0</v>
      </c>
      <c r="P603" t="n">
        <v>0</v>
      </c>
      <c r="Q603" t="n">
        <v>0</v>
      </c>
      <c r="R603" s="2" t="inlineStr"/>
    </row>
    <row r="604" ht="15" customHeight="1">
      <c r="A604" t="inlineStr">
        <is>
          <t>A 49651-2024</t>
        </is>
      </c>
      <c r="B604" s="1" t="n">
        <v>45596.61582175926</v>
      </c>
      <c r="C604" s="1" t="n">
        <v>45932</v>
      </c>
      <c r="D604" t="inlineStr">
        <is>
          <t>JÄMTLANDS LÄN</t>
        </is>
      </c>
      <c r="E604" t="inlineStr">
        <is>
          <t>RAGUNDA</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21524-2024</t>
        </is>
      </c>
      <c r="B605" s="1" t="n">
        <v>45441</v>
      </c>
      <c r="C605" s="1" t="n">
        <v>45932</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24732-2025</t>
        </is>
      </c>
      <c r="B606" s="1" t="n">
        <v>45799.34421296296</v>
      </c>
      <c r="C606" s="1" t="n">
        <v>45932</v>
      </c>
      <c r="D606" t="inlineStr">
        <is>
          <t>JÄMTLANDS LÄN</t>
        </is>
      </c>
      <c r="E606" t="inlineStr">
        <is>
          <t>RAGUNDA</t>
        </is>
      </c>
      <c r="F606" t="inlineStr">
        <is>
          <t>SCA</t>
        </is>
      </c>
      <c r="G606" t="n">
        <v>16.2</v>
      </c>
      <c r="H606" t="n">
        <v>0</v>
      </c>
      <c r="I606" t="n">
        <v>0</v>
      </c>
      <c r="J606" t="n">
        <v>0</v>
      </c>
      <c r="K606" t="n">
        <v>0</v>
      </c>
      <c r="L606" t="n">
        <v>0</v>
      </c>
      <c r="M606" t="n">
        <v>0</v>
      </c>
      <c r="N606" t="n">
        <v>0</v>
      </c>
      <c r="O606" t="n">
        <v>0</v>
      </c>
      <c r="P606" t="n">
        <v>0</v>
      </c>
      <c r="Q606" t="n">
        <v>0</v>
      </c>
      <c r="R606" s="2" t="inlineStr"/>
    </row>
    <row r="607" ht="15" customHeight="1">
      <c r="A607" t="inlineStr">
        <is>
          <t>A 19727-2025</t>
        </is>
      </c>
      <c r="B607" s="1" t="n">
        <v>45771.36538194444</v>
      </c>
      <c r="C607" s="1" t="n">
        <v>45932</v>
      </c>
      <c r="D607" t="inlineStr">
        <is>
          <t>JÄMTLANDS LÄN</t>
        </is>
      </c>
      <c r="E607" t="inlineStr">
        <is>
          <t>RAGUNDA</t>
        </is>
      </c>
      <c r="F607" t="inlineStr">
        <is>
          <t>SCA</t>
        </is>
      </c>
      <c r="G607" t="n">
        <v>9</v>
      </c>
      <c r="H607" t="n">
        <v>0</v>
      </c>
      <c r="I607" t="n">
        <v>0</v>
      </c>
      <c r="J607" t="n">
        <v>0</v>
      </c>
      <c r="K607" t="n">
        <v>0</v>
      </c>
      <c r="L607" t="n">
        <v>0</v>
      </c>
      <c r="M607" t="n">
        <v>0</v>
      </c>
      <c r="N607" t="n">
        <v>0</v>
      </c>
      <c r="O607" t="n">
        <v>0</v>
      </c>
      <c r="P607" t="n">
        <v>0</v>
      </c>
      <c r="Q607" t="n">
        <v>0</v>
      </c>
      <c r="R607" s="2" t="inlineStr"/>
    </row>
    <row r="608" ht="15" customHeight="1">
      <c r="A608" t="inlineStr">
        <is>
          <t>A 19854-2025</t>
        </is>
      </c>
      <c r="B608" s="1" t="n">
        <v>45771.51074074074</v>
      </c>
      <c r="C608" s="1" t="n">
        <v>45932</v>
      </c>
      <c r="D608" t="inlineStr">
        <is>
          <t>JÄMTLANDS LÄN</t>
        </is>
      </c>
      <c r="E608" t="inlineStr">
        <is>
          <t>RAGUNDA</t>
        </is>
      </c>
      <c r="F608" t="inlineStr">
        <is>
          <t>SCA</t>
        </is>
      </c>
      <c r="G608" t="n">
        <v>8.4</v>
      </c>
      <c r="H608" t="n">
        <v>0</v>
      </c>
      <c r="I608" t="n">
        <v>0</v>
      </c>
      <c r="J608" t="n">
        <v>0</v>
      </c>
      <c r="K608" t="n">
        <v>0</v>
      </c>
      <c r="L608" t="n">
        <v>0</v>
      </c>
      <c r="M608" t="n">
        <v>0</v>
      </c>
      <c r="N608" t="n">
        <v>0</v>
      </c>
      <c r="O608" t="n">
        <v>0</v>
      </c>
      <c r="P608" t="n">
        <v>0</v>
      </c>
      <c r="Q608" t="n">
        <v>0</v>
      </c>
      <c r="R608" s="2" t="inlineStr"/>
    </row>
    <row r="609" ht="15" customHeight="1">
      <c r="A609" t="inlineStr">
        <is>
          <t>A 38191-2024</t>
        </is>
      </c>
      <c r="B609" s="1" t="n">
        <v>45545.49078703704</v>
      </c>
      <c r="C609" s="1" t="n">
        <v>45932</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50503-2024</t>
        </is>
      </c>
      <c r="B610" s="1" t="n">
        <v>45601.5315625</v>
      </c>
      <c r="C610" s="1" t="n">
        <v>45932</v>
      </c>
      <c r="D610" t="inlineStr">
        <is>
          <t>JÄMTLANDS LÄN</t>
        </is>
      </c>
      <c r="E610" t="inlineStr">
        <is>
          <t>RAGUNDA</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10610-2024</t>
        </is>
      </c>
      <c r="B611" s="1" t="n">
        <v>45367.04693287037</v>
      </c>
      <c r="C611" s="1" t="n">
        <v>45932</v>
      </c>
      <c r="D611" t="inlineStr">
        <is>
          <t>JÄMTLANDS LÄN</t>
        </is>
      </c>
      <c r="E611" t="inlineStr">
        <is>
          <t>RAGUNDA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12660-2024</t>
        </is>
      </c>
      <c r="B612" s="1" t="n">
        <v>45384</v>
      </c>
      <c r="C612" s="1" t="n">
        <v>45932</v>
      </c>
      <c r="D612" t="inlineStr">
        <is>
          <t>JÄMTLANDS LÄN</t>
        </is>
      </c>
      <c r="E612" t="inlineStr">
        <is>
          <t>RAGUNDA</t>
        </is>
      </c>
      <c r="G612" t="n">
        <v>1.3</v>
      </c>
      <c r="H612" t="n">
        <v>0</v>
      </c>
      <c r="I612" t="n">
        <v>0</v>
      </c>
      <c r="J612" t="n">
        <v>0</v>
      </c>
      <c r="K612" t="n">
        <v>0</v>
      </c>
      <c r="L612" t="n">
        <v>0</v>
      </c>
      <c r="M612" t="n">
        <v>0</v>
      </c>
      <c r="N612" t="n">
        <v>0</v>
      </c>
      <c r="O612" t="n">
        <v>0</v>
      </c>
      <c r="P612" t="n">
        <v>0</v>
      </c>
      <c r="Q612" t="n">
        <v>0</v>
      </c>
      <c r="R612" s="2" t="inlineStr"/>
    </row>
    <row r="613" ht="15" customHeight="1">
      <c r="A613" t="inlineStr">
        <is>
          <t>A 55649-2023</t>
        </is>
      </c>
      <c r="B613" s="1" t="n">
        <v>45238</v>
      </c>
      <c r="C613" s="1" t="n">
        <v>45932</v>
      </c>
      <c r="D613" t="inlineStr">
        <is>
          <t>JÄMTLANDS LÄN</t>
        </is>
      </c>
      <c r="E613" t="inlineStr">
        <is>
          <t>RAGUNDA</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64264-2023</t>
        </is>
      </c>
      <c r="B614" s="1" t="n">
        <v>45279.94564814815</v>
      </c>
      <c r="C614" s="1" t="n">
        <v>45932</v>
      </c>
      <c r="D614" t="inlineStr">
        <is>
          <t>JÄMTLANDS LÄN</t>
        </is>
      </c>
      <c r="E614" t="inlineStr">
        <is>
          <t>RAGUNDA</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10706-2023</t>
        </is>
      </c>
      <c r="B615" s="1" t="n">
        <v>44984</v>
      </c>
      <c r="C615" s="1" t="n">
        <v>45932</v>
      </c>
      <c r="D615" t="inlineStr">
        <is>
          <t>JÄMTLANDS LÄN</t>
        </is>
      </c>
      <c r="E615" t="inlineStr">
        <is>
          <t>RAGUNDA</t>
        </is>
      </c>
      <c r="G615" t="n">
        <v>7.7</v>
      </c>
      <c r="H615" t="n">
        <v>0</v>
      </c>
      <c r="I615" t="n">
        <v>0</v>
      </c>
      <c r="J615" t="n">
        <v>0</v>
      </c>
      <c r="K615" t="n">
        <v>0</v>
      </c>
      <c r="L615" t="n">
        <v>0</v>
      </c>
      <c r="M615" t="n">
        <v>0</v>
      </c>
      <c r="N615" t="n">
        <v>0</v>
      </c>
      <c r="O615" t="n">
        <v>0</v>
      </c>
      <c r="P615" t="n">
        <v>0</v>
      </c>
      <c r="Q615" t="n">
        <v>0</v>
      </c>
      <c r="R615" s="2" t="inlineStr"/>
    </row>
    <row r="616" ht="15" customHeight="1">
      <c r="A616" t="inlineStr">
        <is>
          <t>A 63708-2023</t>
        </is>
      </c>
      <c r="B616" s="1" t="n">
        <v>45275.95060185185</v>
      </c>
      <c r="C616" s="1" t="n">
        <v>45932</v>
      </c>
      <c r="D616" t="inlineStr">
        <is>
          <t>JÄMTLANDS LÄN</t>
        </is>
      </c>
      <c r="E616" t="inlineStr">
        <is>
          <t>RAGUNDA</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16250-2022</t>
        </is>
      </c>
      <c r="B617" s="1" t="n">
        <v>44670</v>
      </c>
      <c r="C617" s="1" t="n">
        <v>45932</v>
      </c>
      <c r="D617" t="inlineStr">
        <is>
          <t>JÄMTLANDS LÄN</t>
        </is>
      </c>
      <c r="E617" t="inlineStr">
        <is>
          <t>RAGUNDA</t>
        </is>
      </c>
      <c r="G617" t="n">
        <v>1</v>
      </c>
      <c r="H617" t="n">
        <v>0</v>
      </c>
      <c r="I617" t="n">
        <v>0</v>
      </c>
      <c r="J617" t="n">
        <v>0</v>
      </c>
      <c r="K617" t="n">
        <v>0</v>
      </c>
      <c r="L617" t="n">
        <v>0</v>
      </c>
      <c r="M617" t="n">
        <v>0</v>
      </c>
      <c r="N617" t="n">
        <v>0</v>
      </c>
      <c r="O617" t="n">
        <v>0</v>
      </c>
      <c r="P617" t="n">
        <v>0</v>
      </c>
      <c r="Q617" t="n">
        <v>0</v>
      </c>
      <c r="R617" s="2" t="inlineStr"/>
    </row>
    <row r="618" ht="15" customHeight="1">
      <c r="A618" t="inlineStr">
        <is>
          <t>A 60663-2022</t>
        </is>
      </c>
      <c r="B618" s="1" t="n">
        <v>44911.93846064815</v>
      </c>
      <c r="C618" s="1" t="n">
        <v>45932</v>
      </c>
      <c r="D618" t="inlineStr">
        <is>
          <t>JÄMTLANDS LÄN</t>
        </is>
      </c>
      <c r="E618" t="inlineStr">
        <is>
          <t>RAGUNDA</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52345-2024</t>
        </is>
      </c>
      <c r="B619" s="1" t="n">
        <v>45609.34412037037</v>
      </c>
      <c r="C619" s="1" t="n">
        <v>45932</v>
      </c>
      <c r="D619" t="inlineStr">
        <is>
          <t>JÄMTLANDS LÄN</t>
        </is>
      </c>
      <c r="E619" t="inlineStr">
        <is>
          <t>RAGUNDA</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58847-2024</t>
        </is>
      </c>
      <c r="B620" s="1" t="n">
        <v>45636.3864699074</v>
      </c>
      <c r="C620" s="1" t="n">
        <v>45932</v>
      </c>
      <c r="D620" t="inlineStr">
        <is>
          <t>JÄMTLANDS LÄN</t>
        </is>
      </c>
      <c r="E620" t="inlineStr">
        <is>
          <t>RAGUNDA</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12521-2023</t>
        </is>
      </c>
      <c r="B621" s="1" t="n">
        <v>45000</v>
      </c>
      <c r="C621" s="1" t="n">
        <v>45932</v>
      </c>
      <c r="D621" t="inlineStr">
        <is>
          <t>JÄMTLANDS LÄN</t>
        </is>
      </c>
      <c r="E621" t="inlineStr">
        <is>
          <t>RAGUNDA</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25631-2025</t>
        </is>
      </c>
      <c r="B622" s="1" t="n">
        <v>45803.5946875</v>
      </c>
      <c r="C622" s="1" t="n">
        <v>45932</v>
      </c>
      <c r="D622" t="inlineStr">
        <is>
          <t>JÄMTLANDS LÄN</t>
        </is>
      </c>
      <c r="E622" t="inlineStr">
        <is>
          <t>RAGUNDA</t>
        </is>
      </c>
      <c r="G622" t="n">
        <v>1.1</v>
      </c>
      <c r="H622" t="n">
        <v>0</v>
      </c>
      <c r="I622" t="n">
        <v>0</v>
      </c>
      <c r="J622" t="n">
        <v>0</v>
      </c>
      <c r="K622" t="n">
        <v>0</v>
      </c>
      <c r="L622" t="n">
        <v>0</v>
      </c>
      <c r="M622" t="n">
        <v>0</v>
      </c>
      <c r="N622" t="n">
        <v>0</v>
      </c>
      <c r="O622" t="n">
        <v>0</v>
      </c>
      <c r="P622" t="n">
        <v>0</v>
      </c>
      <c r="Q622" t="n">
        <v>0</v>
      </c>
      <c r="R622" s="2" t="inlineStr"/>
    </row>
    <row r="623" ht="15" customHeight="1">
      <c r="A623" t="inlineStr">
        <is>
          <t>A 27777-2022</t>
        </is>
      </c>
      <c r="B623" s="1" t="n">
        <v>44743</v>
      </c>
      <c r="C623" s="1" t="n">
        <v>45932</v>
      </c>
      <c r="D623" t="inlineStr">
        <is>
          <t>JÄMTLANDS LÄN</t>
        </is>
      </c>
      <c r="E623" t="inlineStr">
        <is>
          <t>RAGUNDA</t>
        </is>
      </c>
      <c r="G623" t="n">
        <v>1.5</v>
      </c>
      <c r="H623" t="n">
        <v>0</v>
      </c>
      <c r="I623" t="n">
        <v>0</v>
      </c>
      <c r="J623" t="n">
        <v>0</v>
      </c>
      <c r="K623" t="n">
        <v>0</v>
      </c>
      <c r="L623" t="n">
        <v>0</v>
      </c>
      <c r="M623" t="n">
        <v>0</v>
      </c>
      <c r="N623" t="n">
        <v>0</v>
      </c>
      <c r="O623" t="n">
        <v>0</v>
      </c>
      <c r="P623" t="n">
        <v>0</v>
      </c>
      <c r="Q623" t="n">
        <v>0</v>
      </c>
      <c r="R623" s="2" t="inlineStr"/>
    </row>
    <row r="624" ht="15" customHeight="1">
      <c r="A624" t="inlineStr">
        <is>
          <t>A 42875-2024</t>
        </is>
      </c>
      <c r="B624" s="1" t="n">
        <v>45566.68125</v>
      </c>
      <c r="C624" s="1" t="n">
        <v>45932</v>
      </c>
      <c r="D624" t="inlineStr">
        <is>
          <t>JÄMTLANDS LÄN</t>
        </is>
      </c>
      <c r="E624" t="inlineStr">
        <is>
          <t>RAGUNDA</t>
        </is>
      </c>
      <c r="G624" t="n">
        <v>0.5</v>
      </c>
      <c r="H624" t="n">
        <v>0</v>
      </c>
      <c r="I624" t="n">
        <v>0</v>
      </c>
      <c r="J624" t="n">
        <v>0</v>
      </c>
      <c r="K624" t="n">
        <v>0</v>
      </c>
      <c r="L624" t="n">
        <v>0</v>
      </c>
      <c r="M624" t="n">
        <v>0</v>
      </c>
      <c r="N624" t="n">
        <v>0</v>
      </c>
      <c r="O624" t="n">
        <v>0</v>
      </c>
      <c r="P624" t="n">
        <v>0</v>
      </c>
      <c r="Q624" t="n">
        <v>0</v>
      </c>
      <c r="R624" s="2" t="inlineStr"/>
    </row>
    <row r="625" ht="15" customHeight="1">
      <c r="A625" t="inlineStr">
        <is>
          <t>A 25376-2025</t>
        </is>
      </c>
      <c r="B625" s="1" t="n">
        <v>45800.63619212963</v>
      </c>
      <c r="C625" s="1" t="n">
        <v>45932</v>
      </c>
      <c r="D625" t="inlineStr">
        <is>
          <t>JÄMTLANDS LÄN</t>
        </is>
      </c>
      <c r="E625" t="inlineStr">
        <is>
          <t>RAGUNDA</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29319-2023</t>
        </is>
      </c>
      <c r="B626" s="1" t="n">
        <v>45105</v>
      </c>
      <c r="C626" s="1" t="n">
        <v>45932</v>
      </c>
      <c r="D626" t="inlineStr">
        <is>
          <t>JÄMTLANDS LÄN</t>
        </is>
      </c>
      <c r="E626" t="inlineStr">
        <is>
          <t>RAGUNDA</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53935-2022</t>
        </is>
      </c>
      <c r="B627" s="1" t="n">
        <v>44880</v>
      </c>
      <c r="C627" s="1" t="n">
        <v>45932</v>
      </c>
      <c r="D627" t="inlineStr">
        <is>
          <t>JÄMTLANDS LÄN</t>
        </is>
      </c>
      <c r="E627" t="inlineStr">
        <is>
          <t>RAGUNDA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42893-2022</t>
        </is>
      </c>
      <c r="B628" s="1" t="n">
        <v>44832</v>
      </c>
      <c r="C628" s="1" t="n">
        <v>45932</v>
      </c>
      <c r="D628" t="inlineStr">
        <is>
          <t>JÄMTLANDS LÄN</t>
        </is>
      </c>
      <c r="E628" t="inlineStr">
        <is>
          <t>RAGUNDA</t>
        </is>
      </c>
      <c r="F628" t="inlineStr">
        <is>
          <t>SCA</t>
        </is>
      </c>
      <c r="G628" t="n">
        <v>28.4</v>
      </c>
      <c r="H628" t="n">
        <v>0</v>
      </c>
      <c r="I628" t="n">
        <v>0</v>
      </c>
      <c r="J628" t="n">
        <v>0</v>
      </c>
      <c r="K628" t="n">
        <v>0</v>
      </c>
      <c r="L628" t="n">
        <v>0</v>
      </c>
      <c r="M628" t="n">
        <v>0</v>
      </c>
      <c r="N628" t="n">
        <v>0</v>
      </c>
      <c r="O628" t="n">
        <v>0</v>
      </c>
      <c r="P628" t="n">
        <v>0</v>
      </c>
      <c r="Q628" t="n">
        <v>0</v>
      </c>
      <c r="R628" s="2" t="inlineStr"/>
    </row>
    <row r="629" ht="15" customHeight="1">
      <c r="A629" t="inlineStr">
        <is>
          <t>A 18612-2024</t>
        </is>
      </c>
      <c r="B629" s="1" t="n">
        <v>45425.96239583333</v>
      </c>
      <c r="C629" s="1" t="n">
        <v>45932</v>
      </c>
      <c r="D629" t="inlineStr">
        <is>
          <t>JÄMTLANDS LÄN</t>
        </is>
      </c>
      <c r="E629" t="inlineStr">
        <is>
          <t>RAGUNDA</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25175-2025</t>
        </is>
      </c>
      <c r="B630" s="1" t="n">
        <v>45800.44822916666</v>
      </c>
      <c r="C630" s="1" t="n">
        <v>45932</v>
      </c>
      <c r="D630" t="inlineStr">
        <is>
          <t>JÄMTLANDS LÄN</t>
        </is>
      </c>
      <c r="E630" t="inlineStr">
        <is>
          <t>RAGUNDA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25177-2025</t>
        </is>
      </c>
      <c r="B631" s="1" t="n">
        <v>45800.44862268519</v>
      </c>
      <c r="C631" s="1" t="n">
        <v>45932</v>
      </c>
      <c r="D631" t="inlineStr">
        <is>
          <t>JÄMTLANDS LÄN</t>
        </is>
      </c>
      <c r="E631" t="inlineStr">
        <is>
          <t>RAGUNDA</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464-2023</t>
        </is>
      </c>
      <c r="B632" s="1" t="n">
        <v>44929.92489583333</v>
      </c>
      <c r="C632" s="1" t="n">
        <v>45932</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25659-2025</t>
        </is>
      </c>
      <c r="B633" s="1" t="n">
        <v>45803.61552083334</v>
      </c>
      <c r="C633" s="1" t="n">
        <v>45932</v>
      </c>
      <c r="D633" t="inlineStr">
        <is>
          <t>JÄMTLANDS LÄN</t>
        </is>
      </c>
      <c r="E633" t="inlineStr">
        <is>
          <t>RAGUNDA</t>
        </is>
      </c>
      <c r="G633" t="n">
        <v>1.5</v>
      </c>
      <c r="H633" t="n">
        <v>0</v>
      </c>
      <c r="I633" t="n">
        <v>0</v>
      </c>
      <c r="J633" t="n">
        <v>0</v>
      </c>
      <c r="K633" t="n">
        <v>0</v>
      </c>
      <c r="L633" t="n">
        <v>0</v>
      </c>
      <c r="M633" t="n">
        <v>0</v>
      </c>
      <c r="N633" t="n">
        <v>0</v>
      </c>
      <c r="O633" t="n">
        <v>0</v>
      </c>
      <c r="P633" t="n">
        <v>0</v>
      </c>
      <c r="Q633" t="n">
        <v>0</v>
      </c>
      <c r="R633" s="2" t="inlineStr"/>
    </row>
    <row r="634" ht="15" customHeight="1">
      <c r="A634" t="inlineStr">
        <is>
          <t>A 25661-2025</t>
        </is>
      </c>
      <c r="B634" s="1" t="n">
        <v>45803.61557870371</v>
      </c>
      <c r="C634" s="1" t="n">
        <v>45932</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53769-2023</t>
        </is>
      </c>
      <c r="B635" s="1" t="n">
        <v>45230</v>
      </c>
      <c r="C635" s="1" t="n">
        <v>45932</v>
      </c>
      <c r="D635" t="inlineStr">
        <is>
          <t>JÄMTLANDS LÄN</t>
        </is>
      </c>
      <c r="E635" t="inlineStr">
        <is>
          <t>RAGUNDA</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52228-2024</t>
        </is>
      </c>
      <c r="B636" s="1" t="n">
        <v>45608.6078587963</v>
      </c>
      <c r="C636" s="1" t="n">
        <v>45932</v>
      </c>
      <c r="D636" t="inlineStr">
        <is>
          <t>JÄMTLANDS LÄN</t>
        </is>
      </c>
      <c r="E636" t="inlineStr">
        <is>
          <t>RAGUNDA</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41262-2021</t>
        </is>
      </c>
      <c r="B637" s="1" t="n">
        <v>44424</v>
      </c>
      <c r="C637" s="1" t="n">
        <v>45932</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25350-2025</t>
        </is>
      </c>
      <c r="B638" s="1" t="n">
        <v>45800</v>
      </c>
      <c r="C638" s="1" t="n">
        <v>45932</v>
      </c>
      <c r="D638" t="inlineStr">
        <is>
          <t>JÄMTLANDS LÄN</t>
        </is>
      </c>
      <c r="E638" t="inlineStr">
        <is>
          <t>RAGUNDA</t>
        </is>
      </c>
      <c r="G638" t="n">
        <v>2.4</v>
      </c>
      <c r="H638" t="n">
        <v>0</v>
      </c>
      <c r="I638" t="n">
        <v>0</v>
      </c>
      <c r="J638" t="n">
        <v>0</v>
      </c>
      <c r="K638" t="n">
        <v>0</v>
      </c>
      <c r="L638" t="n">
        <v>0</v>
      </c>
      <c r="M638" t="n">
        <v>0</v>
      </c>
      <c r="N638" t="n">
        <v>0</v>
      </c>
      <c r="O638" t="n">
        <v>0</v>
      </c>
      <c r="P638" t="n">
        <v>0</v>
      </c>
      <c r="Q638" t="n">
        <v>0</v>
      </c>
      <c r="R638" s="2" t="inlineStr"/>
    </row>
    <row r="639" ht="15" customHeight="1">
      <c r="A639" t="inlineStr">
        <is>
          <t>A 20221-2025</t>
        </is>
      </c>
      <c r="B639" s="1" t="n">
        <v>45772.6565625</v>
      </c>
      <c r="C639" s="1" t="n">
        <v>45932</v>
      </c>
      <c r="D639" t="inlineStr">
        <is>
          <t>JÄMTLANDS LÄN</t>
        </is>
      </c>
      <c r="E639" t="inlineStr">
        <is>
          <t>RAGUNDA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25152-2025</t>
        </is>
      </c>
      <c r="B640" s="1" t="n">
        <v>45800.42743055556</v>
      </c>
      <c r="C640" s="1" t="n">
        <v>45932</v>
      </c>
      <c r="D640" t="inlineStr">
        <is>
          <t>JÄMTLANDS LÄN</t>
        </is>
      </c>
      <c r="E640" t="inlineStr">
        <is>
          <t>RAGUNDA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4015-2022</t>
        </is>
      </c>
      <c r="B641" s="1" t="n">
        <v>44587.92149305555</v>
      </c>
      <c r="C641" s="1" t="n">
        <v>45932</v>
      </c>
      <c r="D641" t="inlineStr">
        <is>
          <t>JÄMTLANDS LÄN</t>
        </is>
      </c>
      <c r="E641" t="inlineStr">
        <is>
          <t>RAGUNDA</t>
        </is>
      </c>
      <c r="G641" t="n">
        <v>3.9</v>
      </c>
      <c r="H641" t="n">
        <v>0</v>
      </c>
      <c r="I641" t="n">
        <v>0</v>
      </c>
      <c r="J641" t="n">
        <v>0</v>
      </c>
      <c r="K641" t="n">
        <v>0</v>
      </c>
      <c r="L641" t="n">
        <v>0</v>
      </c>
      <c r="M641" t="n">
        <v>0</v>
      </c>
      <c r="N641" t="n">
        <v>0</v>
      </c>
      <c r="O641" t="n">
        <v>0</v>
      </c>
      <c r="P641" t="n">
        <v>0</v>
      </c>
      <c r="Q641" t="n">
        <v>0</v>
      </c>
      <c r="R641" s="2" t="inlineStr"/>
    </row>
    <row r="642" ht="15" customHeight="1">
      <c r="A642" t="inlineStr">
        <is>
          <t>A 2242-2024</t>
        </is>
      </c>
      <c r="B642" s="1" t="n">
        <v>45309</v>
      </c>
      <c r="C642" s="1" t="n">
        <v>45932</v>
      </c>
      <c r="D642" t="inlineStr">
        <is>
          <t>JÄMTLANDS LÄN</t>
        </is>
      </c>
      <c r="E642" t="inlineStr">
        <is>
          <t>RAGUNDA</t>
        </is>
      </c>
      <c r="G642" t="n">
        <v>0.9</v>
      </c>
      <c r="H642" t="n">
        <v>0</v>
      </c>
      <c r="I642" t="n">
        <v>0</v>
      </c>
      <c r="J642" t="n">
        <v>0</v>
      </c>
      <c r="K642" t="n">
        <v>0</v>
      </c>
      <c r="L642" t="n">
        <v>0</v>
      </c>
      <c r="M642" t="n">
        <v>0</v>
      </c>
      <c r="N642" t="n">
        <v>0</v>
      </c>
      <c r="O642" t="n">
        <v>0</v>
      </c>
      <c r="P642" t="n">
        <v>0</v>
      </c>
      <c r="Q642" t="n">
        <v>0</v>
      </c>
      <c r="R642" s="2" t="inlineStr"/>
    </row>
    <row r="643" ht="15" customHeight="1">
      <c r="A643" t="inlineStr">
        <is>
          <t>A 2248-2024</t>
        </is>
      </c>
      <c r="B643" s="1" t="n">
        <v>45309</v>
      </c>
      <c r="C643" s="1" t="n">
        <v>45932</v>
      </c>
      <c r="D643" t="inlineStr">
        <is>
          <t>JÄMTLANDS LÄN</t>
        </is>
      </c>
      <c r="E643" t="inlineStr">
        <is>
          <t>RAGUNDA</t>
        </is>
      </c>
      <c r="G643" t="n">
        <v>4.2</v>
      </c>
      <c r="H643" t="n">
        <v>0</v>
      </c>
      <c r="I643" t="n">
        <v>0</v>
      </c>
      <c r="J643" t="n">
        <v>0</v>
      </c>
      <c r="K643" t="n">
        <v>0</v>
      </c>
      <c r="L643" t="n">
        <v>0</v>
      </c>
      <c r="M643" t="n">
        <v>0</v>
      </c>
      <c r="N643" t="n">
        <v>0</v>
      </c>
      <c r="O643" t="n">
        <v>0</v>
      </c>
      <c r="P643" t="n">
        <v>0</v>
      </c>
      <c r="Q643" t="n">
        <v>0</v>
      </c>
      <c r="R643" s="2" t="inlineStr"/>
    </row>
    <row r="644" ht="15" customHeight="1">
      <c r="A644" t="inlineStr">
        <is>
          <t>A 29940-2023</t>
        </is>
      </c>
      <c r="B644" s="1" t="n">
        <v>45107</v>
      </c>
      <c r="C644" s="1" t="n">
        <v>45932</v>
      </c>
      <c r="D644" t="inlineStr">
        <is>
          <t>JÄMTLANDS LÄN</t>
        </is>
      </c>
      <c r="E644" t="inlineStr">
        <is>
          <t>RAGUNDA</t>
        </is>
      </c>
      <c r="G644" t="n">
        <v>13.5</v>
      </c>
      <c r="H644" t="n">
        <v>0</v>
      </c>
      <c r="I644" t="n">
        <v>0</v>
      </c>
      <c r="J644" t="n">
        <v>0</v>
      </c>
      <c r="K644" t="n">
        <v>0</v>
      </c>
      <c r="L644" t="n">
        <v>0</v>
      </c>
      <c r="M644" t="n">
        <v>0</v>
      </c>
      <c r="N644" t="n">
        <v>0</v>
      </c>
      <c r="O644" t="n">
        <v>0</v>
      </c>
      <c r="P644" t="n">
        <v>0</v>
      </c>
      <c r="Q644" t="n">
        <v>0</v>
      </c>
      <c r="R644" s="2" t="inlineStr"/>
    </row>
    <row r="645" ht="15" customHeight="1">
      <c r="A645" t="inlineStr">
        <is>
          <t>A 19264-2025</t>
        </is>
      </c>
      <c r="B645" s="1" t="n">
        <v>45769.51087962963</v>
      </c>
      <c r="C645" s="1" t="n">
        <v>45932</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29263-2024</t>
        </is>
      </c>
      <c r="B646" s="1" t="n">
        <v>45482.94891203703</v>
      </c>
      <c r="C646" s="1" t="n">
        <v>45932</v>
      </c>
      <c r="D646" t="inlineStr">
        <is>
          <t>JÄMTLANDS LÄN</t>
        </is>
      </c>
      <c r="E646" t="inlineStr">
        <is>
          <t>RAGUNDA</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8800-2025</t>
        </is>
      </c>
      <c r="B647" s="1" t="n">
        <v>45712.65671296296</v>
      </c>
      <c r="C647" s="1" t="n">
        <v>45932</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19613-2023</t>
        </is>
      </c>
      <c r="B648" s="1" t="n">
        <v>45050.94020833333</v>
      </c>
      <c r="C648" s="1" t="n">
        <v>45932</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25814-2025</t>
        </is>
      </c>
      <c r="B649" s="1" t="n">
        <v>45804.42642361111</v>
      </c>
      <c r="C649" s="1" t="n">
        <v>45932</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25944-2025</t>
        </is>
      </c>
      <c r="B650" s="1" t="n">
        <v>45804.59487268519</v>
      </c>
      <c r="C650" s="1" t="n">
        <v>45932</v>
      </c>
      <c r="D650" t="inlineStr">
        <is>
          <t>JÄMTLANDS LÄN</t>
        </is>
      </c>
      <c r="E650" t="inlineStr">
        <is>
          <t>RAGUNDA</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26283-2025</t>
        </is>
      </c>
      <c r="B651" s="1" t="n">
        <v>45805.61495370371</v>
      </c>
      <c r="C651" s="1" t="n">
        <v>45932</v>
      </c>
      <c r="D651" t="inlineStr">
        <is>
          <t>JÄMTLANDS LÄN</t>
        </is>
      </c>
      <c r="E651" t="inlineStr">
        <is>
          <t>RAGUNDA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23303-2024</t>
        </is>
      </c>
      <c r="B652" s="1" t="n">
        <v>45453.4444212963</v>
      </c>
      <c r="C652" s="1" t="n">
        <v>45932</v>
      </c>
      <c r="D652" t="inlineStr">
        <is>
          <t>JÄMTLANDS LÄN</t>
        </is>
      </c>
      <c r="E652" t="inlineStr">
        <is>
          <t>RAGUNDA</t>
        </is>
      </c>
      <c r="G652" t="n">
        <v>0.7</v>
      </c>
      <c r="H652" t="n">
        <v>0</v>
      </c>
      <c r="I652" t="n">
        <v>0</v>
      </c>
      <c r="J652" t="n">
        <v>0</v>
      </c>
      <c r="K652" t="n">
        <v>0</v>
      </c>
      <c r="L652" t="n">
        <v>0</v>
      </c>
      <c r="M652" t="n">
        <v>0</v>
      </c>
      <c r="N652" t="n">
        <v>0</v>
      </c>
      <c r="O652" t="n">
        <v>0</v>
      </c>
      <c r="P652" t="n">
        <v>0</v>
      </c>
      <c r="Q652" t="n">
        <v>0</v>
      </c>
      <c r="R652" s="2" t="inlineStr"/>
    </row>
    <row r="653" ht="15" customHeight="1">
      <c r="A653" t="inlineStr">
        <is>
          <t>A 10788-2025</t>
        </is>
      </c>
      <c r="B653" s="1" t="n">
        <v>45722.48982638889</v>
      </c>
      <c r="C653" s="1" t="n">
        <v>45932</v>
      </c>
      <c r="D653" t="inlineStr">
        <is>
          <t>JÄMTLANDS LÄN</t>
        </is>
      </c>
      <c r="E653" t="inlineStr">
        <is>
          <t>RAGUNDA</t>
        </is>
      </c>
      <c r="G653" t="n">
        <v>3.5</v>
      </c>
      <c r="H653" t="n">
        <v>0</v>
      </c>
      <c r="I653" t="n">
        <v>0</v>
      </c>
      <c r="J653" t="n">
        <v>0</v>
      </c>
      <c r="K653" t="n">
        <v>0</v>
      </c>
      <c r="L653" t="n">
        <v>0</v>
      </c>
      <c r="M653" t="n">
        <v>0</v>
      </c>
      <c r="N653" t="n">
        <v>0</v>
      </c>
      <c r="O653" t="n">
        <v>0</v>
      </c>
      <c r="P653" t="n">
        <v>0</v>
      </c>
      <c r="Q653" t="n">
        <v>0</v>
      </c>
      <c r="R653" s="2" t="inlineStr"/>
    </row>
    <row r="654" ht="15" customHeight="1">
      <c r="A654" t="inlineStr">
        <is>
          <t>A 179-2025</t>
        </is>
      </c>
      <c r="B654" s="1" t="n">
        <v>45659.69822916666</v>
      </c>
      <c r="C654" s="1" t="n">
        <v>45932</v>
      </c>
      <c r="D654" t="inlineStr">
        <is>
          <t>JÄMTLANDS LÄN</t>
        </is>
      </c>
      <c r="E654" t="inlineStr">
        <is>
          <t>RAGUNDA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8416-2023</t>
        </is>
      </c>
      <c r="B655" s="1" t="n">
        <v>44977.44373842593</v>
      </c>
      <c r="C655" s="1" t="n">
        <v>45932</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45253-2023</t>
        </is>
      </c>
      <c r="B656" s="1" t="n">
        <v>45187</v>
      </c>
      <c r="C656" s="1" t="n">
        <v>45932</v>
      </c>
      <c r="D656" t="inlineStr">
        <is>
          <t>JÄMTLANDS LÄN</t>
        </is>
      </c>
      <c r="E656" t="inlineStr">
        <is>
          <t>RAGUNDA</t>
        </is>
      </c>
      <c r="G656" t="n">
        <v>3.3</v>
      </c>
      <c r="H656" t="n">
        <v>0</v>
      </c>
      <c r="I656" t="n">
        <v>0</v>
      </c>
      <c r="J656" t="n">
        <v>0</v>
      </c>
      <c r="K656" t="n">
        <v>0</v>
      </c>
      <c r="L656" t="n">
        <v>0</v>
      </c>
      <c r="M656" t="n">
        <v>0</v>
      </c>
      <c r="N656" t="n">
        <v>0</v>
      </c>
      <c r="O656" t="n">
        <v>0</v>
      </c>
      <c r="P656" t="n">
        <v>0</v>
      </c>
      <c r="Q656" t="n">
        <v>0</v>
      </c>
      <c r="R656" s="2" t="inlineStr"/>
    </row>
    <row r="657" ht="15" customHeight="1">
      <c r="A657" t="inlineStr">
        <is>
          <t>A 14369-2024</t>
        </is>
      </c>
      <c r="B657" s="1" t="n">
        <v>45393.94459490741</v>
      </c>
      <c r="C657" s="1" t="n">
        <v>45932</v>
      </c>
      <c r="D657" t="inlineStr">
        <is>
          <t>JÄMTLANDS LÄN</t>
        </is>
      </c>
      <c r="E657" t="inlineStr">
        <is>
          <t>RAGUNDA</t>
        </is>
      </c>
      <c r="F657" t="inlineStr">
        <is>
          <t>Naturvårdsverket</t>
        </is>
      </c>
      <c r="G657" t="n">
        <v>1.8</v>
      </c>
      <c r="H657" t="n">
        <v>0</v>
      </c>
      <c r="I657" t="n">
        <v>0</v>
      </c>
      <c r="J657" t="n">
        <v>0</v>
      </c>
      <c r="K657" t="n">
        <v>0</v>
      </c>
      <c r="L657" t="n">
        <v>0</v>
      </c>
      <c r="M657" t="n">
        <v>0</v>
      </c>
      <c r="N657" t="n">
        <v>0</v>
      </c>
      <c r="O657" t="n">
        <v>0</v>
      </c>
      <c r="P657" t="n">
        <v>0</v>
      </c>
      <c r="Q657" t="n">
        <v>0</v>
      </c>
      <c r="R657" s="2" t="inlineStr"/>
    </row>
    <row r="658" ht="15" customHeight="1">
      <c r="A658" t="inlineStr">
        <is>
          <t>A 22412-2024</t>
        </is>
      </c>
      <c r="B658" s="1" t="n">
        <v>45446.68947916666</v>
      </c>
      <c r="C658" s="1" t="n">
        <v>45932</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24258-2025</t>
        </is>
      </c>
      <c r="B659" s="1" t="n">
        <v>45797.40800925926</v>
      </c>
      <c r="C659" s="1" t="n">
        <v>45932</v>
      </c>
      <c r="D659" t="inlineStr">
        <is>
          <t>JÄMTLANDS LÄN</t>
        </is>
      </c>
      <c r="E659" t="inlineStr">
        <is>
          <t>RAGUNDA</t>
        </is>
      </c>
      <c r="G659" t="n">
        <v>1.2</v>
      </c>
      <c r="H659" t="n">
        <v>0</v>
      </c>
      <c r="I659" t="n">
        <v>0</v>
      </c>
      <c r="J659" t="n">
        <v>0</v>
      </c>
      <c r="K659" t="n">
        <v>0</v>
      </c>
      <c r="L659" t="n">
        <v>0</v>
      </c>
      <c r="M659" t="n">
        <v>0</v>
      </c>
      <c r="N659" t="n">
        <v>0</v>
      </c>
      <c r="O659" t="n">
        <v>0</v>
      </c>
      <c r="P659" t="n">
        <v>0</v>
      </c>
      <c r="Q659" t="n">
        <v>0</v>
      </c>
      <c r="R659" s="2" t="inlineStr"/>
    </row>
    <row r="660" ht="15" customHeight="1">
      <c r="A660" t="inlineStr">
        <is>
          <t>A 25994-2025</t>
        </is>
      </c>
      <c r="B660" s="1" t="n">
        <v>45804.65672453704</v>
      </c>
      <c r="C660" s="1" t="n">
        <v>45932</v>
      </c>
      <c r="D660" t="inlineStr">
        <is>
          <t>JÄMTLANDS LÄN</t>
        </is>
      </c>
      <c r="E660" t="inlineStr">
        <is>
          <t>RAGUNDA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55309-2020</t>
        </is>
      </c>
      <c r="B661" s="1" t="n">
        <v>44130.9416550926</v>
      </c>
      <c r="C661" s="1" t="n">
        <v>45932</v>
      </c>
      <c r="D661" t="inlineStr">
        <is>
          <t>JÄMTLANDS LÄN</t>
        </is>
      </c>
      <c r="E661" t="inlineStr">
        <is>
          <t>RAGUNDA</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13334-2024</t>
        </is>
      </c>
      <c r="B662" s="1" t="n">
        <v>45386</v>
      </c>
      <c r="C662" s="1" t="n">
        <v>45932</v>
      </c>
      <c r="D662" t="inlineStr">
        <is>
          <t>JÄMTLANDS LÄN</t>
        </is>
      </c>
      <c r="E662" t="inlineStr">
        <is>
          <t>RAGUNDA</t>
        </is>
      </c>
      <c r="G662" t="n">
        <v>8.6</v>
      </c>
      <c r="H662" t="n">
        <v>0</v>
      </c>
      <c r="I662" t="n">
        <v>0</v>
      </c>
      <c r="J662" t="n">
        <v>0</v>
      </c>
      <c r="K662" t="n">
        <v>0</v>
      </c>
      <c r="L662" t="n">
        <v>0</v>
      </c>
      <c r="M662" t="n">
        <v>0</v>
      </c>
      <c r="N662" t="n">
        <v>0</v>
      </c>
      <c r="O662" t="n">
        <v>0</v>
      </c>
      <c r="P662" t="n">
        <v>0</v>
      </c>
      <c r="Q662" t="n">
        <v>0</v>
      </c>
      <c r="R662" s="2" t="inlineStr"/>
    </row>
    <row r="663" ht="15" customHeight="1">
      <c r="A663" t="inlineStr">
        <is>
          <t>A 60443-2023</t>
        </is>
      </c>
      <c r="B663" s="1" t="n">
        <v>45258</v>
      </c>
      <c r="C663" s="1" t="n">
        <v>45932</v>
      </c>
      <c r="D663" t="inlineStr">
        <is>
          <t>JÄMTLANDS LÄN</t>
        </is>
      </c>
      <c r="E663" t="inlineStr">
        <is>
          <t>RAGUNDA</t>
        </is>
      </c>
      <c r="G663" t="n">
        <v>2.9</v>
      </c>
      <c r="H663" t="n">
        <v>0</v>
      </c>
      <c r="I663" t="n">
        <v>0</v>
      </c>
      <c r="J663" t="n">
        <v>0</v>
      </c>
      <c r="K663" t="n">
        <v>0</v>
      </c>
      <c r="L663" t="n">
        <v>0</v>
      </c>
      <c r="M663" t="n">
        <v>0</v>
      </c>
      <c r="N663" t="n">
        <v>0</v>
      </c>
      <c r="O663" t="n">
        <v>0</v>
      </c>
      <c r="P663" t="n">
        <v>0</v>
      </c>
      <c r="Q663" t="n">
        <v>0</v>
      </c>
      <c r="R663" s="2" t="inlineStr"/>
    </row>
    <row r="664" ht="15" customHeight="1">
      <c r="A664" t="inlineStr">
        <is>
          <t>A 21726-2023</t>
        </is>
      </c>
      <c r="B664" s="1" t="n">
        <v>45065.42894675926</v>
      </c>
      <c r="C664" s="1" t="n">
        <v>45932</v>
      </c>
      <c r="D664" t="inlineStr">
        <is>
          <t>JÄMTLANDS LÄN</t>
        </is>
      </c>
      <c r="E664" t="inlineStr">
        <is>
          <t>RAGUNDA</t>
        </is>
      </c>
      <c r="G664" t="n">
        <v>0.4</v>
      </c>
      <c r="H664" t="n">
        <v>0</v>
      </c>
      <c r="I664" t="n">
        <v>0</v>
      </c>
      <c r="J664" t="n">
        <v>0</v>
      </c>
      <c r="K664" t="n">
        <v>0</v>
      </c>
      <c r="L664" t="n">
        <v>0</v>
      </c>
      <c r="M664" t="n">
        <v>0</v>
      </c>
      <c r="N664" t="n">
        <v>0</v>
      </c>
      <c r="O664" t="n">
        <v>0</v>
      </c>
      <c r="P664" t="n">
        <v>0</v>
      </c>
      <c r="Q664" t="n">
        <v>0</v>
      </c>
      <c r="R664" s="2" t="inlineStr"/>
    </row>
    <row r="665" ht="15" customHeight="1">
      <c r="A665" t="inlineStr">
        <is>
          <t>A 26172-2025</t>
        </is>
      </c>
      <c r="B665" s="1" t="n">
        <v>45805.46613425926</v>
      </c>
      <c r="C665" s="1" t="n">
        <v>45932</v>
      </c>
      <c r="D665" t="inlineStr">
        <is>
          <t>JÄMTLANDS LÄN</t>
        </is>
      </c>
      <c r="E665" t="inlineStr">
        <is>
          <t>RAGUNDA</t>
        </is>
      </c>
      <c r="G665" t="n">
        <v>2.1</v>
      </c>
      <c r="H665" t="n">
        <v>0</v>
      </c>
      <c r="I665" t="n">
        <v>0</v>
      </c>
      <c r="J665" t="n">
        <v>0</v>
      </c>
      <c r="K665" t="n">
        <v>0</v>
      </c>
      <c r="L665" t="n">
        <v>0</v>
      </c>
      <c r="M665" t="n">
        <v>0</v>
      </c>
      <c r="N665" t="n">
        <v>0</v>
      </c>
      <c r="O665" t="n">
        <v>0</v>
      </c>
      <c r="P665" t="n">
        <v>0</v>
      </c>
      <c r="Q665" t="n">
        <v>0</v>
      </c>
      <c r="R665" s="2" t="inlineStr"/>
    </row>
    <row r="666" ht="15" customHeight="1">
      <c r="A666" t="inlineStr">
        <is>
          <t>A 26246-2025</t>
        </is>
      </c>
      <c r="B666" s="1" t="n">
        <v>45805.57390046296</v>
      </c>
      <c r="C666" s="1" t="n">
        <v>45932</v>
      </c>
      <c r="D666" t="inlineStr">
        <is>
          <t>JÄMTLANDS LÄN</t>
        </is>
      </c>
      <c r="E666" t="inlineStr">
        <is>
          <t>RAGUNDA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45952-2023</t>
        </is>
      </c>
      <c r="B667" s="1" t="n">
        <v>45195</v>
      </c>
      <c r="C667" s="1" t="n">
        <v>45932</v>
      </c>
      <c r="D667" t="inlineStr">
        <is>
          <t>JÄMTLANDS LÄN</t>
        </is>
      </c>
      <c r="E667" t="inlineStr">
        <is>
          <t>RAGUNDA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45954-2023</t>
        </is>
      </c>
      <c r="B668" s="1" t="n">
        <v>45195.94679398148</v>
      </c>
      <c r="C668" s="1" t="n">
        <v>45932</v>
      </c>
      <c r="D668" t="inlineStr">
        <is>
          <t>JÄMTLANDS LÄN</t>
        </is>
      </c>
      <c r="E668" t="inlineStr">
        <is>
          <t>RAGUNDA</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45955-2023</t>
        </is>
      </c>
      <c r="B669" s="1" t="n">
        <v>45195.94685185186</v>
      </c>
      <c r="C669" s="1" t="n">
        <v>45932</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182-2023</t>
        </is>
      </c>
      <c r="B670" s="1" t="n">
        <v>44922</v>
      </c>
      <c r="C670" s="1" t="n">
        <v>45932</v>
      </c>
      <c r="D670" t="inlineStr">
        <is>
          <t>JÄMTLANDS LÄN</t>
        </is>
      </c>
      <c r="E670" t="inlineStr">
        <is>
          <t>RAGUNDA</t>
        </is>
      </c>
      <c r="G670" t="n">
        <v>1.4</v>
      </c>
      <c r="H670" t="n">
        <v>0</v>
      </c>
      <c r="I670" t="n">
        <v>0</v>
      </c>
      <c r="J670" t="n">
        <v>0</v>
      </c>
      <c r="K670" t="n">
        <v>0</v>
      </c>
      <c r="L670" t="n">
        <v>0</v>
      </c>
      <c r="M670" t="n">
        <v>0</v>
      </c>
      <c r="N670" t="n">
        <v>0</v>
      </c>
      <c r="O670" t="n">
        <v>0</v>
      </c>
      <c r="P670" t="n">
        <v>0</v>
      </c>
      <c r="Q670" t="n">
        <v>0</v>
      </c>
      <c r="R670" s="2" t="inlineStr"/>
    </row>
    <row r="671" ht="15" customHeight="1">
      <c r="A671" t="inlineStr">
        <is>
          <t>A 6490-2022</t>
        </is>
      </c>
      <c r="B671" s="1" t="n">
        <v>44601</v>
      </c>
      <c r="C671" s="1" t="n">
        <v>45932</v>
      </c>
      <c r="D671" t="inlineStr">
        <is>
          <t>JÄMTLANDS LÄN</t>
        </is>
      </c>
      <c r="E671" t="inlineStr">
        <is>
          <t>RAGUNDA</t>
        </is>
      </c>
      <c r="G671" t="n">
        <v>3.8</v>
      </c>
      <c r="H671" t="n">
        <v>0</v>
      </c>
      <c r="I671" t="n">
        <v>0</v>
      </c>
      <c r="J671" t="n">
        <v>0</v>
      </c>
      <c r="K671" t="n">
        <v>0</v>
      </c>
      <c r="L671" t="n">
        <v>0</v>
      </c>
      <c r="M671" t="n">
        <v>0</v>
      </c>
      <c r="N671" t="n">
        <v>0</v>
      </c>
      <c r="O671" t="n">
        <v>0</v>
      </c>
      <c r="P671" t="n">
        <v>0</v>
      </c>
      <c r="Q671" t="n">
        <v>0</v>
      </c>
      <c r="R671" s="2" t="inlineStr"/>
    </row>
    <row r="672" ht="15" customHeight="1">
      <c r="A672" t="inlineStr">
        <is>
          <t>A 60456-2023</t>
        </is>
      </c>
      <c r="B672" s="1" t="n">
        <v>45258</v>
      </c>
      <c r="C672" s="1" t="n">
        <v>45932</v>
      </c>
      <c r="D672" t="inlineStr">
        <is>
          <t>JÄMTLANDS LÄN</t>
        </is>
      </c>
      <c r="E672" t="inlineStr">
        <is>
          <t>RAGUNDA</t>
        </is>
      </c>
      <c r="G672" t="n">
        <v>1.8</v>
      </c>
      <c r="H672" t="n">
        <v>0</v>
      </c>
      <c r="I672" t="n">
        <v>0</v>
      </c>
      <c r="J672" t="n">
        <v>0</v>
      </c>
      <c r="K672" t="n">
        <v>0</v>
      </c>
      <c r="L672" t="n">
        <v>0</v>
      </c>
      <c r="M672" t="n">
        <v>0</v>
      </c>
      <c r="N672" t="n">
        <v>0</v>
      </c>
      <c r="O672" t="n">
        <v>0</v>
      </c>
      <c r="P672" t="n">
        <v>0</v>
      </c>
      <c r="Q672" t="n">
        <v>0</v>
      </c>
      <c r="R672" s="2" t="inlineStr"/>
    </row>
    <row r="673" ht="15" customHeight="1">
      <c r="A673" t="inlineStr">
        <is>
          <t>A 16334-2025</t>
        </is>
      </c>
      <c r="B673" s="1" t="n">
        <v>45751.36490740741</v>
      </c>
      <c r="C673" s="1" t="n">
        <v>45932</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6802-2021</t>
        </is>
      </c>
      <c r="B674" s="1" t="n">
        <v>44236</v>
      </c>
      <c r="C674" s="1" t="n">
        <v>45932</v>
      </c>
      <c r="D674" t="inlineStr">
        <is>
          <t>JÄMTLANDS LÄN</t>
        </is>
      </c>
      <c r="E674" t="inlineStr">
        <is>
          <t>RAGUNDA</t>
        </is>
      </c>
      <c r="G674" t="n">
        <v>11.2</v>
      </c>
      <c r="H674" t="n">
        <v>0</v>
      </c>
      <c r="I674" t="n">
        <v>0</v>
      </c>
      <c r="J674" t="n">
        <v>0</v>
      </c>
      <c r="K674" t="n">
        <v>0</v>
      </c>
      <c r="L674" t="n">
        <v>0</v>
      </c>
      <c r="M674" t="n">
        <v>0</v>
      </c>
      <c r="N674" t="n">
        <v>0</v>
      </c>
      <c r="O674" t="n">
        <v>0</v>
      </c>
      <c r="P674" t="n">
        <v>0</v>
      </c>
      <c r="Q674" t="n">
        <v>0</v>
      </c>
      <c r="R674" s="2" t="inlineStr"/>
    </row>
    <row r="675" ht="15" customHeight="1">
      <c r="A675" t="inlineStr">
        <is>
          <t>A 6477-2024</t>
        </is>
      </c>
      <c r="B675" s="1" t="n">
        <v>45338.95405092592</v>
      </c>
      <c r="C675" s="1" t="n">
        <v>45932</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58438-2022</t>
        </is>
      </c>
      <c r="B676" s="1" t="n">
        <v>44901</v>
      </c>
      <c r="C676" s="1" t="n">
        <v>45932</v>
      </c>
      <c r="D676" t="inlineStr">
        <is>
          <t>JÄMTLANDS LÄN</t>
        </is>
      </c>
      <c r="E676" t="inlineStr">
        <is>
          <t>RAGUNDA</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58442-2022</t>
        </is>
      </c>
      <c r="B677" s="1" t="n">
        <v>44901</v>
      </c>
      <c r="C677" s="1" t="n">
        <v>45932</v>
      </c>
      <c r="D677" t="inlineStr">
        <is>
          <t>JÄMTLANDS LÄN</t>
        </is>
      </c>
      <c r="E677" t="inlineStr">
        <is>
          <t>RAGUNDA</t>
        </is>
      </c>
      <c r="F677" t="inlineStr">
        <is>
          <t>SCA</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5806-2025</t>
        </is>
      </c>
      <c r="B678" s="1" t="n">
        <v>45694.69826388889</v>
      </c>
      <c r="C678" s="1" t="n">
        <v>45932</v>
      </c>
      <c r="D678" t="inlineStr">
        <is>
          <t>JÄMTLANDS LÄN</t>
        </is>
      </c>
      <c r="E678" t="inlineStr">
        <is>
          <t>RAGUNDA</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41179-2022</t>
        </is>
      </c>
      <c r="B679" s="1" t="n">
        <v>44825</v>
      </c>
      <c r="C679" s="1" t="n">
        <v>45932</v>
      </c>
      <c r="D679" t="inlineStr">
        <is>
          <t>JÄMTLANDS LÄN</t>
        </is>
      </c>
      <c r="E679" t="inlineStr">
        <is>
          <t>RAGUNDA</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73278-2021</t>
        </is>
      </c>
      <c r="B680" s="1" t="n">
        <v>44550.92168981482</v>
      </c>
      <c r="C680" s="1" t="n">
        <v>45932</v>
      </c>
      <c r="D680" t="inlineStr">
        <is>
          <t>JÄMTLANDS LÄN</t>
        </is>
      </c>
      <c r="E680" t="inlineStr">
        <is>
          <t>RAGUNDA</t>
        </is>
      </c>
      <c r="G680" t="n">
        <v>4.4</v>
      </c>
      <c r="H680" t="n">
        <v>0</v>
      </c>
      <c r="I680" t="n">
        <v>0</v>
      </c>
      <c r="J680" t="n">
        <v>0</v>
      </c>
      <c r="K680" t="n">
        <v>0</v>
      </c>
      <c r="L680" t="n">
        <v>0</v>
      </c>
      <c r="M680" t="n">
        <v>0</v>
      </c>
      <c r="N680" t="n">
        <v>0</v>
      </c>
      <c r="O680" t="n">
        <v>0</v>
      </c>
      <c r="P680" t="n">
        <v>0</v>
      </c>
      <c r="Q680" t="n">
        <v>0</v>
      </c>
      <c r="R680" s="2" t="inlineStr"/>
    </row>
    <row r="681" ht="15" customHeight="1">
      <c r="A681" t="inlineStr">
        <is>
          <t>A 51396-2024</t>
        </is>
      </c>
      <c r="B681" s="1" t="n">
        <v>45604.4190625</v>
      </c>
      <c r="C681" s="1" t="n">
        <v>45932</v>
      </c>
      <c r="D681" t="inlineStr">
        <is>
          <t>JÄMTLANDS LÄN</t>
        </is>
      </c>
      <c r="E681" t="inlineStr">
        <is>
          <t>RAGUNDA</t>
        </is>
      </c>
      <c r="G681" t="n">
        <v>0.8</v>
      </c>
      <c r="H681" t="n">
        <v>0</v>
      </c>
      <c r="I681" t="n">
        <v>0</v>
      </c>
      <c r="J681" t="n">
        <v>0</v>
      </c>
      <c r="K681" t="n">
        <v>0</v>
      </c>
      <c r="L681" t="n">
        <v>0</v>
      </c>
      <c r="M681" t="n">
        <v>0</v>
      </c>
      <c r="N681" t="n">
        <v>0</v>
      </c>
      <c r="O681" t="n">
        <v>0</v>
      </c>
      <c r="P681" t="n">
        <v>0</v>
      </c>
      <c r="Q681" t="n">
        <v>0</v>
      </c>
      <c r="R681" s="2" t="inlineStr"/>
    </row>
    <row r="682" ht="15" customHeight="1">
      <c r="A682" t="inlineStr">
        <is>
          <t>A 26640-2025</t>
        </is>
      </c>
      <c r="B682" s="1" t="n">
        <v>45810.36495370371</v>
      </c>
      <c r="C682" s="1" t="n">
        <v>45932</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18193-2022</t>
        </is>
      </c>
      <c r="B683" s="1" t="n">
        <v>44684.94032407407</v>
      </c>
      <c r="C683" s="1" t="n">
        <v>45932</v>
      </c>
      <c r="D683" t="inlineStr">
        <is>
          <t>JÄMTLANDS LÄN</t>
        </is>
      </c>
      <c r="E683" t="inlineStr">
        <is>
          <t>RAGUNDA</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11551-2024</t>
        </is>
      </c>
      <c r="B684" s="1" t="n">
        <v>45372.95762731481</v>
      </c>
      <c r="C684" s="1" t="n">
        <v>45932</v>
      </c>
      <c r="D684" t="inlineStr">
        <is>
          <t>JÄMTLANDS LÄN</t>
        </is>
      </c>
      <c r="E684" t="inlineStr">
        <is>
          <t>RAGUNDA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49647-2024</t>
        </is>
      </c>
      <c r="B685" s="1" t="n">
        <v>45596.61533564814</v>
      </c>
      <c r="C685" s="1" t="n">
        <v>45932</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61598-2024</t>
        </is>
      </c>
      <c r="B686" s="1" t="n">
        <v>45646.63605324074</v>
      </c>
      <c r="C686" s="1" t="n">
        <v>45932</v>
      </c>
      <c r="D686" t="inlineStr">
        <is>
          <t>JÄMTLANDS LÄN</t>
        </is>
      </c>
      <c r="E686" t="inlineStr">
        <is>
          <t>RAGUNDA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17667-2025</t>
        </is>
      </c>
      <c r="B687" s="1" t="n">
        <v>45758.36487268518</v>
      </c>
      <c r="C687" s="1" t="n">
        <v>45932</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53264-2024</t>
        </is>
      </c>
      <c r="B688" s="1" t="n">
        <v>45614.34545138889</v>
      </c>
      <c r="C688" s="1" t="n">
        <v>45932</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13389-2025</t>
        </is>
      </c>
      <c r="B689" s="1" t="n">
        <v>45735.69842592593</v>
      </c>
      <c r="C689" s="1" t="n">
        <v>45932</v>
      </c>
      <c r="D689" t="inlineStr">
        <is>
          <t>JÄMTLANDS LÄN</t>
        </is>
      </c>
      <c r="E689" t="inlineStr">
        <is>
          <t>RAGUNDA</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50157-2023</t>
        </is>
      </c>
      <c r="B690" s="1" t="n">
        <v>45208</v>
      </c>
      <c r="C690" s="1" t="n">
        <v>45932</v>
      </c>
      <c r="D690" t="inlineStr">
        <is>
          <t>JÄMTLANDS LÄN</t>
        </is>
      </c>
      <c r="E690" t="inlineStr">
        <is>
          <t>RAGUNDA</t>
        </is>
      </c>
      <c r="G690" t="n">
        <v>0.9</v>
      </c>
      <c r="H690" t="n">
        <v>0</v>
      </c>
      <c r="I690" t="n">
        <v>0</v>
      </c>
      <c r="J690" t="n">
        <v>0</v>
      </c>
      <c r="K690" t="n">
        <v>0</v>
      </c>
      <c r="L690" t="n">
        <v>0</v>
      </c>
      <c r="M690" t="n">
        <v>0</v>
      </c>
      <c r="N690" t="n">
        <v>0</v>
      </c>
      <c r="O690" t="n">
        <v>0</v>
      </c>
      <c r="P690" t="n">
        <v>0</v>
      </c>
      <c r="Q690" t="n">
        <v>0</v>
      </c>
      <c r="R690" s="2" t="inlineStr"/>
    </row>
    <row r="691" ht="15" customHeight="1">
      <c r="A691" t="inlineStr">
        <is>
          <t>A 51685-2020</t>
        </is>
      </c>
      <c r="B691" s="1" t="n">
        <v>44113</v>
      </c>
      <c r="C691" s="1" t="n">
        <v>45932</v>
      </c>
      <c r="D691" t="inlineStr">
        <is>
          <t>JÄMTLANDS LÄN</t>
        </is>
      </c>
      <c r="E691" t="inlineStr">
        <is>
          <t>RAGUNDA</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45631-2024</t>
        </is>
      </c>
      <c r="B692" s="1" t="n">
        <v>45579.47052083333</v>
      </c>
      <c r="C692" s="1" t="n">
        <v>45932</v>
      </c>
      <c r="D692" t="inlineStr">
        <is>
          <t>JÄMTLANDS LÄN</t>
        </is>
      </c>
      <c r="E692" t="inlineStr">
        <is>
          <t>RAGUNDA</t>
        </is>
      </c>
      <c r="G692" t="n">
        <v>15.1</v>
      </c>
      <c r="H692" t="n">
        <v>0</v>
      </c>
      <c r="I692" t="n">
        <v>0</v>
      </c>
      <c r="J692" t="n">
        <v>0</v>
      </c>
      <c r="K692" t="n">
        <v>0</v>
      </c>
      <c r="L692" t="n">
        <v>0</v>
      </c>
      <c r="M692" t="n">
        <v>0</v>
      </c>
      <c r="N692" t="n">
        <v>0</v>
      </c>
      <c r="O692" t="n">
        <v>0</v>
      </c>
      <c r="P692" t="n">
        <v>0</v>
      </c>
      <c r="Q692" t="n">
        <v>0</v>
      </c>
      <c r="R692" s="2" t="inlineStr"/>
    </row>
    <row r="693" ht="15" customHeight="1">
      <c r="A693" t="inlineStr">
        <is>
          <t>A 2001-2025</t>
        </is>
      </c>
      <c r="B693" s="1" t="n">
        <v>45672.44898148148</v>
      </c>
      <c r="C693" s="1" t="n">
        <v>45932</v>
      </c>
      <c r="D693" t="inlineStr">
        <is>
          <t>JÄMTLANDS LÄN</t>
        </is>
      </c>
      <c r="E693" t="inlineStr">
        <is>
          <t>RAGUNDA</t>
        </is>
      </c>
      <c r="F693" t="inlineStr">
        <is>
          <t>SCA</t>
        </is>
      </c>
      <c r="G693" t="n">
        <v>16.2</v>
      </c>
      <c r="H693" t="n">
        <v>0</v>
      </c>
      <c r="I693" t="n">
        <v>0</v>
      </c>
      <c r="J693" t="n">
        <v>0</v>
      </c>
      <c r="K693" t="n">
        <v>0</v>
      </c>
      <c r="L693" t="n">
        <v>0</v>
      </c>
      <c r="M693" t="n">
        <v>0</v>
      </c>
      <c r="N693" t="n">
        <v>0</v>
      </c>
      <c r="O693" t="n">
        <v>0</v>
      </c>
      <c r="P693" t="n">
        <v>0</v>
      </c>
      <c r="Q693" t="n">
        <v>0</v>
      </c>
      <c r="R693" s="2" t="inlineStr"/>
    </row>
    <row r="694" ht="15" customHeight="1">
      <c r="A694" t="inlineStr">
        <is>
          <t>A 53762-2023</t>
        </is>
      </c>
      <c r="B694" s="1" t="n">
        <v>45230.96376157407</v>
      </c>
      <c r="C694" s="1" t="n">
        <v>45932</v>
      </c>
      <c r="D694" t="inlineStr">
        <is>
          <t>JÄMTLANDS LÄN</t>
        </is>
      </c>
      <c r="E694" t="inlineStr">
        <is>
          <t>RAGUNDA</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12405-2025</t>
        </is>
      </c>
      <c r="B695" s="1" t="n">
        <v>45730.42738425926</v>
      </c>
      <c r="C695" s="1" t="n">
        <v>45932</v>
      </c>
      <c r="D695" t="inlineStr">
        <is>
          <t>JÄMTLANDS LÄN</t>
        </is>
      </c>
      <c r="E695" t="inlineStr">
        <is>
          <t>RAGUNDA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47115-2025</t>
        </is>
      </c>
      <c r="B696" s="1" t="n">
        <v>45929.67459490741</v>
      </c>
      <c r="C696" s="1" t="n">
        <v>45932</v>
      </c>
      <c r="D696" t="inlineStr">
        <is>
          <t>JÄMTLANDS LÄN</t>
        </is>
      </c>
      <c r="E696" t="inlineStr">
        <is>
          <t>RAGUNDA</t>
        </is>
      </c>
      <c r="G696" t="n">
        <v>6.4</v>
      </c>
      <c r="H696" t="n">
        <v>0</v>
      </c>
      <c r="I696" t="n">
        <v>0</v>
      </c>
      <c r="J696" t="n">
        <v>0</v>
      </c>
      <c r="K696" t="n">
        <v>0</v>
      </c>
      <c r="L696" t="n">
        <v>0</v>
      </c>
      <c r="M696" t="n">
        <v>0</v>
      </c>
      <c r="N696" t="n">
        <v>0</v>
      </c>
      <c r="O696" t="n">
        <v>0</v>
      </c>
      <c r="P696" t="n">
        <v>0</v>
      </c>
      <c r="Q696" t="n">
        <v>0</v>
      </c>
      <c r="R696" s="2" t="inlineStr"/>
    </row>
    <row r="697" ht="15" customHeight="1">
      <c r="A697" t="inlineStr">
        <is>
          <t>A 47119-2025</t>
        </is>
      </c>
      <c r="B697" s="1" t="n">
        <v>45929.67795138889</v>
      </c>
      <c r="C697" s="1" t="n">
        <v>45932</v>
      </c>
      <c r="D697" t="inlineStr">
        <is>
          <t>JÄMTLANDS LÄN</t>
        </is>
      </c>
      <c r="E697" t="inlineStr">
        <is>
          <t>RAGUNDA</t>
        </is>
      </c>
      <c r="F697" t="inlineStr">
        <is>
          <t>SCA</t>
        </is>
      </c>
      <c r="G697" t="n">
        <v>22.7</v>
      </c>
      <c r="H697" t="n">
        <v>0</v>
      </c>
      <c r="I697" t="n">
        <v>0</v>
      </c>
      <c r="J697" t="n">
        <v>0</v>
      </c>
      <c r="K697" t="n">
        <v>0</v>
      </c>
      <c r="L697" t="n">
        <v>0</v>
      </c>
      <c r="M697" t="n">
        <v>0</v>
      </c>
      <c r="N697" t="n">
        <v>0</v>
      </c>
      <c r="O697" t="n">
        <v>0</v>
      </c>
      <c r="P697" t="n">
        <v>0</v>
      </c>
      <c r="Q697" t="n">
        <v>0</v>
      </c>
      <c r="R697" s="2" t="inlineStr"/>
    </row>
    <row r="698" ht="15" customHeight="1">
      <c r="A698" t="inlineStr">
        <is>
          <t>A 36986-2023</t>
        </is>
      </c>
      <c r="B698" s="1" t="n">
        <v>45154.95525462963</v>
      </c>
      <c r="C698" s="1" t="n">
        <v>45932</v>
      </c>
      <c r="D698" t="inlineStr">
        <is>
          <t>JÄMTLANDS LÄN</t>
        </is>
      </c>
      <c r="E698" t="inlineStr">
        <is>
          <t>RAGUNDA</t>
        </is>
      </c>
      <c r="F698" t="inlineStr">
        <is>
          <t>SCA</t>
        </is>
      </c>
      <c r="G698" t="n">
        <v>0.2</v>
      </c>
      <c r="H698" t="n">
        <v>0</v>
      </c>
      <c r="I698" t="n">
        <v>0</v>
      </c>
      <c r="J698" t="n">
        <v>0</v>
      </c>
      <c r="K698" t="n">
        <v>0</v>
      </c>
      <c r="L698" t="n">
        <v>0</v>
      </c>
      <c r="M698" t="n">
        <v>0</v>
      </c>
      <c r="N698" t="n">
        <v>0</v>
      </c>
      <c r="O698" t="n">
        <v>0</v>
      </c>
      <c r="P698" t="n">
        <v>0</v>
      </c>
      <c r="Q698" t="n">
        <v>0</v>
      </c>
      <c r="R698" s="2" t="inlineStr"/>
    </row>
    <row r="699" ht="15" customHeight="1">
      <c r="A699" t="inlineStr">
        <is>
          <t>A 55701-2021</t>
        </is>
      </c>
      <c r="B699" s="1" t="n">
        <v>44475</v>
      </c>
      <c r="C699" s="1" t="n">
        <v>45932</v>
      </c>
      <c r="D699" t="inlineStr">
        <is>
          <t>JÄMTLANDS LÄN</t>
        </is>
      </c>
      <c r="E699" t="inlineStr">
        <is>
          <t>RAGUNDA</t>
        </is>
      </c>
      <c r="G699" t="n">
        <v>5.6</v>
      </c>
      <c r="H699" t="n">
        <v>0</v>
      </c>
      <c r="I699" t="n">
        <v>0</v>
      </c>
      <c r="J699" t="n">
        <v>0</v>
      </c>
      <c r="K699" t="n">
        <v>0</v>
      </c>
      <c r="L699" t="n">
        <v>0</v>
      </c>
      <c r="M699" t="n">
        <v>0</v>
      </c>
      <c r="N699" t="n">
        <v>0</v>
      </c>
      <c r="O699" t="n">
        <v>0</v>
      </c>
      <c r="P699" t="n">
        <v>0</v>
      </c>
      <c r="Q699" t="n">
        <v>0</v>
      </c>
      <c r="R699" s="2" t="inlineStr"/>
    </row>
    <row r="700" ht="15" customHeight="1">
      <c r="A700" t="inlineStr">
        <is>
          <t>A 19089-2024</t>
        </is>
      </c>
      <c r="B700" s="1" t="n">
        <v>45428.00471064815</v>
      </c>
      <c r="C700" s="1" t="n">
        <v>45932</v>
      </c>
      <c r="D700" t="inlineStr">
        <is>
          <t>JÄMTLANDS LÄN</t>
        </is>
      </c>
      <c r="E700" t="inlineStr">
        <is>
          <t>RAGUNDA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2224-2024</t>
        </is>
      </c>
      <c r="B701" s="1" t="n">
        <v>45309.92524305556</v>
      </c>
      <c r="C701" s="1" t="n">
        <v>45932</v>
      </c>
      <c r="D701" t="inlineStr">
        <is>
          <t>JÄMTLANDS LÄN</t>
        </is>
      </c>
      <c r="E701" t="inlineStr">
        <is>
          <t>RAGUNDA</t>
        </is>
      </c>
      <c r="G701" t="n">
        <v>0.9</v>
      </c>
      <c r="H701" t="n">
        <v>0</v>
      </c>
      <c r="I701" t="n">
        <v>0</v>
      </c>
      <c r="J701" t="n">
        <v>0</v>
      </c>
      <c r="K701" t="n">
        <v>0</v>
      </c>
      <c r="L701" t="n">
        <v>0</v>
      </c>
      <c r="M701" t="n">
        <v>0</v>
      </c>
      <c r="N701" t="n">
        <v>0</v>
      </c>
      <c r="O701" t="n">
        <v>0</v>
      </c>
      <c r="P701" t="n">
        <v>0</v>
      </c>
      <c r="Q701" t="n">
        <v>0</v>
      </c>
      <c r="R701" s="2" t="inlineStr"/>
    </row>
    <row r="702" ht="15" customHeight="1">
      <c r="A702" t="inlineStr">
        <is>
          <t>A 1523-2024</t>
        </is>
      </c>
      <c r="B702" s="1" t="n">
        <v>45306</v>
      </c>
      <c r="C702" s="1" t="n">
        <v>45932</v>
      </c>
      <c r="D702" t="inlineStr">
        <is>
          <t>JÄMTLANDS LÄN</t>
        </is>
      </c>
      <c r="E702" t="inlineStr">
        <is>
          <t>RAGUNDA</t>
        </is>
      </c>
      <c r="G702" t="n">
        <v>4.1</v>
      </c>
      <c r="H702" t="n">
        <v>0</v>
      </c>
      <c r="I702" t="n">
        <v>0</v>
      </c>
      <c r="J702" t="n">
        <v>0</v>
      </c>
      <c r="K702" t="n">
        <v>0</v>
      </c>
      <c r="L702" t="n">
        <v>0</v>
      </c>
      <c r="M702" t="n">
        <v>0</v>
      </c>
      <c r="N702" t="n">
        <v>0</v>
      </c>
      <c r="O702" t="n">
        <v>0</v>
      </c>
      <c r="P702" t="n">
        <v>0</v>
      </c>
      <c r="Q702" t="n">
        <v>0</v>
      </c>
      <c r="R702" s="2" t="inlineStr"/>
    </row>
    <row r="703" ht="15" customHeight="1">
      <c r="A703" t="inlineStr">
        <is>
          <t>A 30484-2024</t>
        </is>
      </c>
      <c r="B703" s="1" t="n">
        <v>45491</v>
      </c>
      <c r="C703" s="1" t="n">
        <v>45932</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27510-2025</t>
        </is>
      </c>
      <c r="B704" s="1" t="n">
        <v>45813.42790509259</v>
      </c>
      <c r="C704" s="1" t="n">
        <v>45932</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19404-2025</t>
        </is>
      </c>
      <c r="B705" s="1" t="n">
        <v>45769.67802083334</v>
      </c>
      <c r="C705" s="1" t="n">
        <v>45932</v>
      </c>
      <c r="D705" t="inlineStr">
        <is>
          <t>JÄMTLANDS LÄN</t>
        </is>
      </c>
      <c r="E705" t="inlineStr">
        <is>
          <t>RAGUNDA</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58630-2024</t>
        </is>
      </c>
      <c r="B706" s="1" t="n">
        <v>45635.57331018519</v>
      </c>
      <c r="C706" s="1" t="n">
        <v>45932</v>
      </c>
      <c r="D706" t="inlineStr">
        <is>
          <t>JÄMTLANDS LÄN</t>
        </is>
      </c>
      <c r="E706" t="inlineStr">
        <is>
          <t>RAGUNDA</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46549-2023</t>
        </is>
      </c>
      <c r="B707" s="1" t="n">
        <v>45197.94171296297</v>
      </c>
      <c r="C707" s="1" t="n">
        <v>45932</v>
      </c>
      <c r="D707" t="inlineStr">
        <is>
          <t>JÄMTLANDS LÄN</t>
        </is>
      </c>
      <c r="E707" t="inlineStr">
        <is>
          <t>RAGUNDA</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14513-2025</t>
        </is>
      </c>
      <c r="B708" s="1" t="n">
        <v>45741.63675925926</v>
      </c>
      <c r="C708" s="1" t="n">
        <v>45932</v>
      </c>
      <c r="D708" t="inlineStr">
        <is>
          <t>JÄMTLANDS LÄN</t>
        </is>
      </c>
      <c r="E708" t="inlineStr">
        <is>
          <t>RAGUNDA</t>
        </is>
      </c>
      <c r="F708" t="inlineStr">
        <is>
          <t>SCA</t>
        </is>
      </c>
      <c r="G708" t="n">
        <v>6.8</v>
      </c>
      <c r="H708" t="n">
        <v>0</v>
      </c>
      <c r="I708" t="n">
        <v>0</v>
      </c>
      <c r="J708" t="n">
        <v>0</v>
      </c>
      <c r="K708" t="n">
        <v>0</v>
      </c>
      <c r="L708" t="n">
        <v>0</v>
      </c>
      <c r="M708" t="n">
        <v>0</v>
      </c>
      <c r="N708" t="n">
        <v>0</v>
      </c>
      <c r="O708" t="n">
        <v>0</v>
      </c>
      <c r="P708" t="n">
        <v>0</v>
      </c>
      <c r="Q708" t="n">
        <v>0</v>
      </c>
      <c r="R708" s="2" t="inlineStr"/>
    </row>
    <row r="709" ht="15" customHeight="1">
      <c r="A709" t="inlineStr">
        <is>
          <t>A 32258-2024</t>
        </is>
      </c>
      <c r="B709" s="1" t="n">
        <v>45511</v>
      </c>
      <c r="C709" s="1" t="n">
        <v>45932</v>
      </c>
      <c r="D709" t="inlineStr">
        <is>
          <t>JÄMTLANDS LÄN</t>
        </is>
      </c>
      <c r="E709" t="inlineStr">
        <is>
          <t>RAGUNDA</t>
        </is>
      </c>
      <c r="F709" t="inlineStr">
        <is>
          <t>SCA</t>
        </is>
      </c>
      <c r="G709" t="n">
        <v>5.5</v>
      </c>
      <c r="H709" t="n">
        <v>0</v>
      </c>
      <c r="I709" t="n">
        <v>0</v>
      </c>
      <c r="J709" t="n">
        <v>0</v>
      </c>
      <c r="K709" t="n">
        <v>0</v>
      </c>
      <c r="L709" t="n">
        <v>0</v>
      </c>
      <c r="M709" t="n">
        <v>0</v>
      </c>
      <c r="N709" t="n">
        <v>0</v>
      </c>
      <c r="O709" t="n">
        <v>0</v>
      </c>
      <c r="P709" t="n">
        <v>0</v>
      </c>
      <c r="Q709" t="n">
        <v>0</v>
      </c>
      <c r="R709" s="2" t="inlineStr"/>
    </row>
    <row r="710" ht="15" customHeight="1">
      <c r="A710" t="inlineStr">
        <is>
          <t>A 38270-2021</t>
        </is>
      </c>
      <c r="B710" s="1" t="n">
        <v>44405.92065972222</v>
      </c>
      <c r="C710" s="1" t="n">
        <v>45932</v>
      </c>
      <c r="D710" t="inlineStr">
        <is>
          <t>JÄMTLANDS LÄN</t>
        </is>
      </c>
      <c r="E710" t="inlineStr">
        <is>
          <t>RAGUNDA</t>
        </is>
      </c>
      <c r="G710" t="n">
        <v>1.3</v>
      </c>
      <c r="H710" t="n">
        <v>0</v>
      </c>
      <c r="I710" t="n">
        <v>0</v>
      </c>
      <c r="J710" t="n">
        <v>0</v>
      </c>
      <c r="K710" t="n">
        <v>0</v>
      </c>
      <c r="L710" t="n">
        <v>0</v>
      </c>
      <c r="M710" t="n">
        <v>0</v>
      </c>
      <c r="N710" t="n">
        <v>0</v>
      </c>
      <c r="O710" t="n">
        <v>0</v>
      </c>
      <c r="P710" t="n">
        <v>0</v>
      </c>
      <c r="Q710" t="n">
        <v>0</v>
      </c>
      <c r="R710" s="2" t="inlineStr"/>
    </row>
    <row r="711" ht="15" customHeight="1">
      <c r="A711" t="inlineStr">
        <is>
          <t>A 55904-2022</t>
        </is>
      </c>
      <c r="B711" s="1" t="n">
        <v>44888</v>
      </c>
      <c r="C711" s="1" t="n">
        <v>45932</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29257-2024</t>
        </is>
      </c>
      <c r="B712" s="1" t="n">
        <v>45482.94815972223</v>
      </c>
      <c r="C712" s="1" t="n">
        <v>45932</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27373-2023</t>
        </is>
      </c>
      <c r="B713" s="1" t="n">
        <v>45096.93866898148</v>
      </c>
      <c r="C713" s="1" t="n">
        <v>45932</v>
      </c>
      <c r="D713" t="inlineStr">
        <is>
          <t>JÄMTLANDS LÄN</t>
        </is>
      </c>
      <c r="E713" t="inlineStr">
        <is>
          <t>RAGUNDA</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62115-2024</t>
        </is>
      </c>
      <c r="B714" s="1" t="n">
        <v>45656</v>
      </c>
      <c r="C714" s="1" t="n">
        <v>45932</v>
      </c>
      <c r="D714" t="inlineStr">
        <is>
          <t>JÄMTLANDS LÄN</t>
        </is>
      </c>
      <c r="E714" t="inlineStr">
        <is>
          <t>RAGUNDA</t>
        </is>
      </c>
      <c r="G714" t="n">
        <v>3.3</v>
      </c>
      <c r="H714" t="n">
        <v>0</v>
      </c>
      <c r="I714" t="n">
        <v>0</v>
      </c>
      <c r="J714" t="n">
        <v>0</v>
      </c>
      <c r="K714" t="n">
        <v>0</v>
      </c>
      <c r="L714" t="n">
        <v>0</v>
      </c>
      <c r="M714" t="n">
        <v>0</v>
      </c>
      <c r="N714" t="n">
        <v>0</v>
      </c>
      <c r="O714" t="n">
        <v>0</v>
      </c>
      <c r="P714" t="n">
        <v>0</v>
      </c>
      <c r="Q714" t="n">
        <v>0</v>
      </c>
      <c r="R714" s="2" t="inlineStr"/>
    </row>
    <row r="715" ht="15" customHeight="1">
      <c r="A715" t="inlineStr">
        <is>
          <t>A 7281-2025</t>
        </is>
      </c>
      <c r="B715" s="1" t="n">
        <v>45702.63572916666</v>
      </c>
      <c r="C715" s="1" t="n">
        <v>45932</v>
      </c>
      <c r="D715" t="inlineStr">
        <is>
          <t>JÄMTLANDS LÄN</t>
        </is>
      </c>
      <c r="E715" t="inlineStr">
        <is>
          <t>RAGUNDA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48192-2024</t>
        </is>
      </c>
      <c r="B716" s="1" t="n">
        <v>45590</v>
      </c>
      <c r="C716" s="1" t="n">
        <v>45932</v>
      </c>
      <c r="D716" t="inlineStr">
        <is>
          <t>JÄMTLANDS LÄN</t>
        </is>
      </c>
      <c r="E716" t="inlineStr">
        <is>
          <t>RAGUNDA</t>
        </is>
      </c>
      <c r="G716" t="n">
        <v>2.3</v>
      </c>
      <c r="H716" t="n">
        <v>0</v>
      </c>
      <c r="I716" t="n">
        <v>0</v>
      </c>
      <c r="J716" t="n">
        <v>0</v>
      </c>
      <c r="K716" t="n">
        <v>0</v>
      </c>
      <c r="L716" t="n">
        <v>0</v>
      </c>
      <c r="M716" t="n">
        <v>0</v>
      </c>
      <c r="N716" t="n">
        <v>0</v>
      </c>
      <c r="O716" t="n">
        <v>0</v>
      </c>
      <c r="P716" t="n">
        <v>0</v>
      </c>
      <c r="Q716" t="n">
        <v>0</v>
      </c>
      <c r="R716" s="2" t="inlineStr"/>
    </row>
    <row r="717" ht="15" customHeight="1">
      <c r="A717" t="inlineStr">
        <is>
          <t>A 12653-2024</t>
        </is>
      </c>
      <c r="B717" s="1" t="n">
        <v>45384</v>
      </c>
      <c r="C717" s="1" t="n">
        <v>45932</v>
      </c>
      <c r="D717" t="inlineStr">
        <is>
          <t>JÄMTLANDS LÄN</t>
        </is>
      </c>
      <c r="E717" t="inlineStr">
        <is>
          <t>RAGUNDA</t>
        </is>
      </c>
      <c r="G717" t="n">
        <v>1.1</v>
      </c>
      <c r="H717" t="n">
        <v>0</v>
      </c>
      <c r="I717" t="n">
        <v>0</v>
      </c>
      <c r="J717" t="n">
        <v>0</v>
      </c>
      <c r="K717" t="n">
        <v>0</v>
      </c>
      <c r="L717" t="n">
        <v>0</v>
      </c>
      <c r="M717" t="n">
        <v>0</v>
      </c>
      <c r="N717" t="n">
        <v>0</v>
      </c>
      <c r="O717" t="n">
        <v>0</v>
      </c>
      <c r="P717" t="n">
        <v>0</v>
      </c>
      <c r="Q717" t="n">
        <v>0</v>
      </c>
      <c r="R717" s="2" t="inlineStr"/>
    </row>
    <row r="718" ht="15" customHeight="1">
      <c r="A718" t="inlineStr">
        <is>
          <t>A 50211-2023</t>
        </is>
      </c>
      <c r="B718" s="1" t="n">
        <v>45215.94657407407</v>
      </c>
      <c r="C718" s="1" t="n">
        <v>45932</v>
      </c>
      <c r="D718" t="inlineStr">
        <is>
          <t>JÄMTLANDS LÄN</t>
        </is>
      </c>
      <c r="E718" t="inlineStr">
        <is>
          <t>RAGUNDA</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2599-2023</t>
        </is>
      </c>
      <c r="B719" s="1" t="n">
        <v>44943.94802083333</v>
      </c>
      <c r="C719" s="1" t="n">
        <v>45932</v>
      </c>
      <c r="D719" t="inlineStr">
        <is>
          <t>JÄMTLANDS LÄN</t>
        </is>
      </c>
      <c r="E719" t="inlineStr">
        <is>
          <t>RAGUNDA</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9232-2025</t>
        </is>
      </c>
      <c r="B720" s="1" t="n">
        <v>45714.55064814815</v>
      </c>
      <c r="C720" s="1" t="n">
        <v>45932</v>
      </c>
      <c r="D720" t="inlineStr">
        <is>
          <t>JÄMTLANDS LÄN</t>
        </is>
      </c>
      <c r="E720" t="inlineStr">
        <is>
          <t>RAGUNDA</t>
        </is>
      </c>
      <c r="G720" t="n">
        <v>1.9</v>
      </c>
      <c r="H720" t="n">
        <v>0</v>
      </c>
      <c r="I720" t="n">
        <v>0</v>
      </c>
      <c r="J720" t="n">
        <v>0</v>
      </c>
      <c r="K720" t="n">
        <v>0</v>
      </c>
      <c r="L720" t="n">
        <v>0</v>
      </c>
      <c r="M720" t="n">
        <v>0</v>
      </c>
      <c r="N720" t="n">
        <v>0</v>
      </c>
      <c r="O720" t="n">
        <v>0</v>
      </c>
      <c r="P720" t="n">
        <v>0</v>
      </c>
      <c r="Q720" t="n">
        <v>0</v>
      </c>
      <c r="R720" s="2" t="inlineStr"/>
    </row>
    <row r="721" ht="15" customHeight="1">
      <c r="A721" t="inlineStr">
        <is>
          <t>A 29775-2023</t>
        </is>
      </c>
      <c r="B721" s="1" t="n">
        <v>45098</v>
      </c>
      <c r="C721" s="1" t="n">
        <v>45932</v>
      </c>
      <c r="D721" t="inlineStr">
        <is>
          <t>JÄMTLANDS LÄN</t>
        </is>
      </c>
      <c r="E721" t="inlineStr">
        <is>
          <t>RAGUNDA</t>
        </is>
      </c>
      <c r="G721" t="n">
        <v>3.6</v>
      </c>
      <c r="H721" t="n">
        <v>0</v>
      </c>
      <c r="I721" t="n">
        <v>0</v>
      </c>
      <c r="J721" t="n">
        <v>0</v>
      </c>
      <c r="K721" t="n">
        <v>0</v>
      </c>
      <c r="L721" t="n">
        <v>0</v>
      </c>
      <c r="M721" t="n">
        <v>0</v>
      </c>
      <c r="N721" t="n">
        <v>0</v>
      </c>
      <c r="O721" t="n">
        <v>0</v>
      </c>
      <c r="P721" t="n">
        <v>0</v>
      </c>
      <c r="Q721" t="n">
        <v>0</v>
      </c>
      <c r="R721" s="2" t="inlineStr"/>
    </row>
    <row r="722" ht="15" customHeight="1">
      <c r="A722" t="inlineStr">
        <is>
          <t>A 48249-2024</t>
        </is>
      </c>
      <c r="B722" s="1" t="n">
        <v>45590.40675925926</v>
      </c>
      <c r="C722" s="1" t="n">
        <v>45932</v>
      </c>
      <c r="D722" t="inlineStr">
        <is>
          <t>JÄMTLANDS LÄN</t>
        </is>
      </c>
      <c r="E722" t="inlineStr">
        <is>
          <t>RAGUNDA</t>
        </is>
      </c>
      <c r="F722" t="inlineStr">
        <is>
          <t>SCA</t>
        </is>
      </c>
      <c r="G722" t="n">
        <v>14.4</v>
      </c>
      <c r="H722" t="n">
        <v>0</v>
      </c>
      <c r="I722" t="n">
        <v>0</v>
      </c>
      <c r="J722" t="n">
        <v>0</v>
      </c>
      <c r="K722" t="n">
        <v>0</v>
      </c>
      <c r="L722" t="n">
        <v>0</v>
      </c>
      <c r="M722" t="n">
        <v>0</v>
      </c>
      <c r="N722" t="n">
        <v>0</v>
      </c>
      <c r="O722" t="n">
        <v>0</v>
      </c>
      <c r="P722" t="n">
        <v>0</v>
      </c>
      <c r="Q722" t="n">
        <v>0</v>
      </c>
      <c r="R722" s="2" t="inlineStr"/>
    </row>
    <row r="723" ht="15" customHeight="1">
      <c r="A723" t="inlineStr">
        <is>
          <t>A 64265-2023</t>
        </is>
      </c>
      <c r="B723" s="1" t="n">
        <v>45279.94572916667</v>
      </c>
      <c r="C723" s="1" t="n">
        <v>45932</v>
      </c>
      <c r="D723" t="inlineStr">
        <is>
          <t>JÄMTLANDS LÄN</t>
        </is>
      </c>
      <c r="E723" t="inlineStr">
        <is>
          <t>RAGUNDA</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18989-2025</t>
        </is>
      </c>
      <c r="B724" s="1" t="n">
        <v>45764</v>
      </c>
      <c r="C724" s="1" t="n">
        <v>45932</v>
      </c>
      <c r="D724" t="inlineStr">
        <is>
          <t>JÄMTLANDS LÄN</t>
        </is>
      </c>
      <c r="E724" t="inlineStr">
        <is>
          <t>RAGUNDA</t>
        </is>
      </c>
      <c r="G724" t="n">
        <v>0.9</v>
      </c>
      <c r="H724" t="n">
        <v>0</v>
      </c>
      <c r="I724" t="n">
        <v>0</v>
      </c>
      <c r="J724" t="n">
        <v>0</v>
      </c>
      <c r="K724" t="n">
        <v>0</v>
      </c>
      <c r="L724" t="n">
        <v>0</v>
      </c>
      <c r="M724" t="n">
        <v>0</v>
      </c>
      <c r="N724" t="n">
        <v>0</v>
      </c>
      <c r="O724" t="n">
        <v>0</v>
      </c>
      <c r="P724" t="n">
        <v>0</v>
      </c>
      <c r="Q724" t="n">
        <v>0</v>
      </c>
      <c r="R724" s="2" t="inlineStr"/>
    </row>
    <row r="725" ht="15" customHeight="1">
      <c r="A725" t="inlineStr">
        <is>
          <t>A 44494-2024</t>
        </is>
      </c>
      <c r="B725" s="1" t="n">
        <v>45574.39081018518</v>
      </c>
      <c r="C725" s="1" t="n">
        <v>45932</v>
      </c>
      <c r="D725" t="inlineStr">
        <is>
          <t>JÄMTLANDS LÄN</t>
        </is>
      </c>
      <c r="E725" t="inlineStr">
        <is>
          <t>RAGUNDA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66706-2021</t>
        </is>
      </c>
      <c r="B726" s="1" t="n">
        <v>44519.94440972222</v>
      </c>
      <c r="C726" s="1" t="n">
        <v>45932</v>
      </c>
      <c r="D726" t="inlineStr">
        <is>
          <t>JÄMTLANDS LÄN</t>
        </is>
      </c>
      <c r="E726" t="inlineStr">
        <is>
          <t>RAGUNDA</t>
        </is>
      </c>
      <c r="F726" t="inlineStr">
        <is>
          <t>SCA</t>
        </is>
      </c>
      <c r="G726" t="n">
        <v>5.3</v>
      </c>
      <c r="H726" t="n">
        <v>0</v>
      </c>
      <c r="I726" t="n">
        <v>0</v>
      </c>
      <c r="J726" t="n">
        <v>0</v>
      </c>
      <c r="K726" t="n">
        <v>0</v>
      </c>
      <c r="L726" t="n">
        <v>0</v>
      </c>
      <c r="M726" t="n">
        <v>0</v>
      </c>
      <c r="N726" t="n">
        <v>0</v>
      </c>
      <c r="O726" t="n">
        <v>0</v>
      </c>
      <c r="P726" t="n">
        <v>0</v>
      </c>
      <c r="Q726" t="n">
        <v>0</v>
      </c>
      <c r="R726" s="2" t="inlineStr"/>
    </row>
    <row r="727" ht="15" customHeight="1">
      <c r="A727" t="inlineStr">
        <is>
          <t>A 13898-2023</t>
        </is>
      </c>
      <c r="B727" s="1" t="n">
        <v>45008.01408564814</v>
      </c>
      <c r="C727" s="1" t="n">
        <v>45932</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55222-2024</t>
        </is>
      </c>
      <c r="B728" s="1" t="n">
        <v>45621.57395833333</v>
      </c>
      <c r="C728" s="1" t="n">
        <v>45932</v>
      </c>
      <c r="D728" t="inlineStr">
        <is>
          <t>JÄMTLANDS LÄN</t>
        </is>
      </c>
      <c r="E728" t="inlineStr">
        <is>
          <t>RAGUNDA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46211-2024</t>
        </is>
      </c>
      <c r="B729" s="1" t="n">
        <v>45581.55260416667</v>
      </c>
      <c r="C729" s="1" t="n">
        <v>45932</v>
      </c>
      <c r="D729" t="inlineStr">
        <is>
          <t>JÄMTLANDS LÄN</t>
        </is>
      </c>
      <c r="E729" t="inlineStr">
        <is>
          <t>RAGUNDA</t>
        </is>
      </c>
      <c r="G729" t="n">
        <v>7.3</v>
      </c>
      <c r="H729" t="n">
        <v>0</v>
      </c>
      <c r="I729" t="n">
        <v>0</v>
      </c>
      <c r="J729" t="n">
        <v>0</v>
      </c>
      <c r="K729" t="n">
        <v>0</v>
      </c>
      <c r="L729" t="n">
        <v>0</v>
      </c>
      <c r="M729" t="n">
        <v>0</v>
      </c>
      <c r="N729" t="n">
        <v>0</v>
      </c>
      <c r="O729" t="n">
        <v>0</v>
      </c>
      <c r="P729" t="n">
        <v>0</v>
      </c>
      <c r="Q729" t="n">
        <v>0</v>
      </c>
      <c r="R729" s="2" t="inlineStr"/>
    </row>
    <row r="730" ht="15" customHeight="1">
      <c r="A730" t="inlineStr">
        <is>
          <t>A 31435-2022</t>
        </is>
      </c>
      <c r="B730" s="1" t="n">
        <v>44774</v>
      </c>
      <c r="C730" s="1" t="n">
        <v>45932</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39608-2024</t>
        </is>
      </c>
      <c r="B731" s="1" t="n">
        <v>45552.39113425926</v>
      </c>
      <c r="C731" s="1" t="n">
        <v>45932</v>
      </c>
      <c r="D731" t="inlineStr">
        <is>
          <t>JÄMTLANDS LÄN</t>
        </is>
      </c>
      <c r="E731" t="inlineStr">
        <is>
          <t>RAGUNDA</t>
        </is>
      </c>
      <c r="G731" t="n">
        <v>3.2</v>
      </c>
      <c r="H731" t="n">
        <v>0</v>
      </c>
      <c r="I731" t="n">
        <v>0</v>
      </c>
      <c r="J731" t="n">
        <v>0</v>
      </c>
      <c r="K731" t="n">
        <v>0</v>
      </c>
      <c r="L731" t="n">
        <v>0</v>
      </c>
      <c r="M731" t="n">
        <v>0</v>
      </c>
      <c r="N731" t="n">
        <v>0</v>
      </c>
      <c r="O731" t="n">
        <v>0</v>
      </c>
      <c r="P731" t="n">
        <v>0</v>
      </c>
      <c r="Q731" t="n">
        <v>0</v>
      </c>
      <c r="R731" s="2" t="inlineStr"/>
    </row>
    <row r="732" ht="15" customHeight="1">
      <c r="A732" t="inlineStr">
        <is>
          <t>A 39626-2024</t>
        </is>
      </c>
      <c r="B732" s="1" t="n">
        <v>45552.44096064815</v>
      </c>
      <c r="C732" s="1" t="n">
        <v>45932</v>
      </c>
      <c r="D732" t="inlineStr">
        <is>
          <t>JÄMTLANDS LÄN</t>
        </is>
      </c>
      <c r="E732" t="inlineStr">
        <is>
          <t>RAGUNDA</t>
        </is>
      </c>
      <c r="G732" t="n">
        <v>23.5</v>
      </c>
      <c r="H732" t="n">
        <v>0</v>
      </c>
      <c r="I732" t="n">
        <v>0</v>
      </c>
      <c r="J732" t="n">
        <v>0</v>
      </c>
      <c r="K732" t="n">
        <v>0</v>
      </c>
      <c r="L732" t="n">
        <v>0</v>
      </c>
      <c r="M732" t="n">
        <v>0</v>
      </c>
      <c r="N732" t="n">
        <v>0</v>
      </c>
      <c r="O732" t="n">
        <v>0</v>
      </c>
      <c r="P732" t="n">
        <v>0</v>
      </c>
      <c r="Q732" t="n">
        <v>0</v>
      </c>
      <c r="R732" s="2" t="inlineStr"/>
    </row>
    <row r="733" ht="15" customHeight="1">
      <c r="A733" t="inlineStr">
        <is>
          <t>A 26026-2024</t>
        </is>
      </c>
      <c r="B733" s="1" t="n">
        <v>45467.96207175926</v>
      </c>
      <c r="C733" s="1" t="n">
        <v>45932</v>
      </c>
      <c r="D733" t="inlineStr">
        <is>
          <t>JÄMTLANDS LÄN</t>
        </is>
      </c>
      <c r="E733" t="inlineStr">
        <is>
          <t>RAGUNDA</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28637-2025</t>
        </is>
      </c>
      <c r="B734" s="1" t="n">
        <v>45819.6359375</v>
      </c>
      <c r="C734" s="1" t="n">
        <v>45932</v>
      </c>
      <c r="D734" t="inlineStr">
        <is>
          <t>JÄMTLANDS LÄN</t>
        </is>
      </c>
      <c r="E734" t="inlineStr">
        <is>
          <t>RAGUNDA</t>
        </is>
      </c>
      <c r="F734" t="inlineStr">
        <is>
          <t>SCA</t>
        </is>
      </c>
      <c r="G734" t="n">
        <v>6.6</v>
      </c>
      <c r="H734" t="n">
        <v>0</v>
      </c>
      <c r="I734" t="n">
        <v>0</v>
      </c>
      <c r="J734" t="n">
        <v>0</v>
      </c>
      <c r="K734" t="n">
        <v>0</v>
      </c>
      <c r="L734" t="n">
        <v>0</v>
      </c>
      <c r="M734" t="n">
        <v>0</v>
      </c>
      <c r="N734" t="n">
        <v>0</v>
      </c>
      <c r="O734" t="n">
        <v>0</v>
      </c>
      <c r="P734" t="n">
        <v>0</v>
      </c>
      <c r="Q734" t="n">
        <v>0</v>
      </c>
      <c r="R734" s="2" t="inlineStr"/>
    </row>
    <row r="735" ht="15" customHeight="1">
      <c r="A735" t="inlineStr">
        <is>
          <t>A 46710-2025</t>
        </is>
      </c>
      <c r="B735" s="1" t="n">
        <v>45926.57337962963</v>
      </c>
      <c r="C735" s="1" t="n">
        <v>45932</v>
      </c>
      <c r="D735" t="inlineStr">
        <is>
          <t>JÄMTLANDS LÄN</t>
        </is>
      </c>
      <c r="E735" t="inlineStr">
        <is>
          <t>RAGUNDA</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56984-2022</t>
        </is>
      </c>
      <c r="B736" s="1" t="n">
        <v>44894.79018518519</v>
      </c>
      <c r="C736" s="1" t="n">
        <v>45932</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28973-2025</t>
        </is>
      </c>
      <c r="B737" s="1" t="n">
        <v>45821.34513888889</v>
      </c>
      <c r="C737" s="1" t="n">
        <v>45932</v>
      </c>
      <c r="D737" t="inlineStr">
        <is>
          <t>JÄMTLANDS LÄN</t>
        </is>
      </c>
      <c r="E737" t="inlineStr">
        <is>
          <t>RAGUNDA</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5429-2024</t>
        </is>
      </c>
      <c r="B738" s="1" t="n">
        <v>45331.92746527777</v>
      </c>
      <c r="C738" s="1" t="n">
        <v>45932</v>
      </c>
      <c r="D738" t="inlineStr">
        <is>
          <t>JÄMTLANDS LÄN</t>
        </is>
      </c>
      <c r="E738" t="inlineStr">
        <is>
          <t>RAGUNDA</t>
        </is>
      </c>
      <c r="G738" t="n">
        <v>1.1</v>
      </c>
      <c r="H738" t="n">
        <v>0</v>
      </c>
      <c r="I738" t="n">
        <v>0</v>
      </c>
      <c r="J738" t="n">
        <v>0</v>
      </c>
      <c r="K738" t="n">
        <v>0</v>
      </c>
      <c r="L738" t="n">
        <v>0</v>
      </c>
      <c r="M738" t="n">
        <v>0</v>
      </c>
      <c r="N738" t="n">
        <v>0</v>
      </c>
      <c r="O738" t="n">
        <v>0</v>
      </c>
      <c r="P738" t="n">
        <v>0</v>
      </c>
      <c r="Q738" t="n">
        <v>0</v>
      </c>
      <c r="R738" s="2" t="inlineStr"/>
    </row>
    <row r="739" ht="15" customHeight="1">
      <c r="A739" t="inlineStr">
        <is>
          <t>A 46974-2025</t>
        </is>
      </c>
      <c r="B739" s="1" t="n">
        <v>45929.51104166666</v>
      </c>
      <c r="C739" s="1" t="n">
        <v>45932</v>
      </c>
      <c r="D739" t="inlineStr">
        <is>
          <t>JÄMTLANDS LÄN</t>
        </is>
      </c>
      <c r="E739" t="inlineStr">
        <is>
          <t>RAGUNDA</t>
        </is>
      </c>
      <c r="F739" t="inlineStr">
        <is>
          <t>SCA</t>
        </is>
      </c>
      <c r="G739" t="n">
        <v>12.1</v>
      </c>
      <c r="H739" t="n">
        <v>0</v>
      </c>
      <c r="I739" t="n">
        <v>0</v>
      </c>
      <c r="J739" t="n">
        <v>0</v>
      </c>
      <c r="K739" t="n">
        <v>0</v>
      </c>
      <c r="L739" t="n">
        <v>0</v>
      </c>
      <c r="M739" t="n">
        <v>0</v>
      </c>
      <c r="N739" t="n">
        <v>0</v>
      </c>
      <c r="O739" t="n">
        <v>0</v>
      </c>
      <c r="P739" t="n">
        <v>0</v>
      </c>
      <c r="Q739" t="n">
        <v>0</v>
      </c>
      <c r="R739" s="2" t="inlineStr"/>
    </row>
    <row r="740" ht="15" customHeight="1">
      <c r="A740" t="inlineStr">
        <is>
          <t>A 29714-2025</t>
        </is>
      </c>
      <c r="B740" s="1" t="n">
        <v>45825.56762731481</v>
      </c>
      <c r="C740" s="1" t="n">
        <v>45932</v>
      </c>
      <c r="D740" t="inlineStr">
        <is>
          <t>JÄMTLANDS LÄN</t>
        </is>
      </c>
      <c r="E740" t="inlineStr">
        <is>
          <t>RAGUNDA</t>
        </is>
      </c>
      <c r="G740" t="n">
        <v>2.7</v>
      </c>
      <c r="H740" t="n">
        <v>0</v>
      </c>
      <c r="I740" t="n">
        <v>0</v>
      </c>
      <c r="J740" t="n">
        <v>0</v>
      </c>
      <c r="K740" t="n">
        <v>0</v>
      </c>
      <c r="L740" t="n">
        <v>0</v>
      </c>
      <c r="M740" t="n">
        <v>0</v>
      </c>
      <c r="N740" t="n">
        <v>0</v>
      </c>
      <c r="O740" t="n">
        <v>0</v>
      </c>
      <c r="P740" t="n">
        <v>0</v>
      </c>
      <c r="Q740" t="n">
        <v>0</v>
      </c>
      <c r="R740" s="2" t="inlineStr"/>
    </row>
    <row r="741" ht="15" customHeight="1">
      <c r="A741" t="inlineStr">
        <is>
          <t>A 29731-2025</t>
        </is>
      </c>
      <c r="B741" s="1" t="n">
        <v>45825.58252314815</v>
      </c>
      <c r="C741" s="1" t="n">
        <v>45932</v>
      </c>
      <c r="D741" t="inlineStr">
        <is>
          <t>JÄMTLANDS LÄN</t>
        </is>
      </c>
      <c r="E741" t="inlineStr">
        <is>
          <t>RAGUNDA</t>
        </is>
      </c>
      <c r="G741" t="n">
        <v>2.3</v>
      </c>
      <c r="H741" t="n">
        <v>0</v>
      </c>
      <c r="I741" t="n">
        <v>0</v>
      </c>
      <c r="J741" t="n">
        <v>0</v>
      </c>
      <c r="K741" t="n">
        <v>0</v>
      </c>
      <c r="L741" t="n">
        <v>0</v>
      </c>
      <c r="M741" t="n">
        <v>0</v>
      </c>
      <c r="N741" t="n">
        <v>0</v>
      </c>
      <c r="O741" t="n">
        <v>0</v>
      </c>
      <c r="P741" t="n">
        <v>0</v>
      </c>
      <c r="Q741" t="n">
        <v>0</v>
      </c>
      <c r="R741" s="2" t="inlineStr"/>
    </row>
    <row r="742" ht="15" customHeight="1">
      <c r="A742" t="inlineStr">
        <is>
          <t>A 13264-2025</t>
        </is>
      </c>
      <c r="B742" s="1" t="n">
        <v>45735</v>
      </c>
      <c r="C742" s="1" t="n">
        <v>45932</v>
      </c>
      <c r="D742" t="inlineStr">
        <is>
          <t>JÄMTLANDS LÄN</t>
        </is>
      </c>
      <c r="E742" t="inlineStr">
        <is>
          <t>RAGUNDA</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29723-2025</t>
        </is>
      </c>
      <c r="B743" s="1" t="n">
        <v>45825.57675925926</v>
      </c>
      <c r="C743" s="1" t="n">
        <v>45932</v>
      </c>
      <c r="D743" t="inlineStr">
        <is>
          <t>JÄMTLANDS LÄN</t>
        </is>
      </c>
      <c r="E743" t="inlineStr">
        <is>
          <t>RAGUNDA</t>
        </is>
      </c>
      <c r="G743" t="n">
        <v>3.1</v>
      </c>
      <c r="H743" t="n">
        <v>0</v>
      </c>
      <c r="I743" t="n">
        <v>0</v>
      </c>
      <c r="J743" t="n">
        <v>0</v>
      </c>
      <c r="K743" t="n">
        <v>0</v>
      </c>
      <c r="L743" t="n">
        <v>0</v>
      </c>
      <c r="M743" t="n">
        <v>0</v>
      </c>
      <c r="N743" t="n">
        <v>0</v>
      </c>
      <c r="O743" t="n">
        <v>0</v>
      </c>
      <c r="P743" t="n">
        <v>0</v>
      </c>
      <c r="Q743" t="n">
        <v>0</v>
      </c>
      <c r="R743" s="2" t="inlineStr"/>
    </row>
    <row r="744" ht="15" customHeight="1">
      <c r="A744" t="inlineStr">
        <is>
          <t>A 3720-2025</t>
        </is>
      </c>
      <c r="B744" s="1" t="n">
        <v>45681.5315625</v>
      </c>
      <c r="C744" s="1" t="n">
        <v>45932</v>
      </c>
      <c r="D744" t="inlineStr">
        <is>
          <t>JÄMTLANDS LÄN</t>
        </is>
      </c>
      <c r="E744" t="inlineStr">
        <is>
          <t>RAGUNDA</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3770-2025</t>
        </is>
      </c>
      <c r="B745" s="1" t="n">
        <v>45681.6050925926</v>
      </c>
      <c r="C745" s="1" t="n">
        <v>45932</v>
      </c>
      <c r="D745" t="inlineStr">
        <is>
          <t>JÄMTLANDS LÄN</t>
        </is>
      </c>
      <c r="E745" t="inlineStr">
        <is>
          <t>RAGUNDA</t>
        </is>
      </c>
      <c r="G745" t="n">
        <v>2.7</v>
      </c>
      <c r="H745" t="n">
        <v>0</v>
      </c>
      <c r="I745" t="n">
        <v>0</v>
      </c>
      <c r="J745" t="n">
        <v>0</v>
      </c>
      <c r="K745" t="n">
        <v>0</v>
      </c>
      <c r="L745" t="n">
        <v>0</v>
      </c>
      <c r="M745" t="n">
        <v>0</v>
      </c>
      <c r="N745" t="n">
        <v>0</v>
      </c>
      <c r="O745" t="n">
        <v>0</v>
      </c>
      <c r="P745" t="n">
        <v>0</v>
      </c>
      <c r="Q745" t="n">
        <v>0</v>
      </c>
      <c r="R745" s="2" t="inlineStr"/>
    </row>
    <row r="746" ht="15" customHeight="1">
      <c r="A746" t="inlineStr">
        <is>
          <t>A 5307-2025</t>
        </is>
      </c>
      <c r="B746" s="1" t="n">
        <v>45692.48993055556</v>
      </c>
      <c r="C746" s="1" t="n">
        <v>45932</v>
      </c>
      <c r="D746" t="inlineStr">
        <is>
          <t>JÄMTLANDS LÄN</t>
        </is>
      </c>
      <c r="E746" t="inlineStr">
        <is>
          <t>RAGUNDA</t>
        </is>
      </c>
      <c r="F746" t="inlineStr">
        <is>
          <t>SCA</t>
        </is>
      </c>
      <c r="G746" t="n">
        <v>20.9</v>
      </c>
      <c r="H746" t="n">
        <v>0</v>
      </c>
      <c r="I746" t="n">
        <v>0</v>
      </c>
      <c r="J746" t="n">
        <v>0</v>
      </c>
      <c r="K746" t="n">
        <v>0</v>
      </c>
      <c r="L746" t="n">
        <v>0</v>
      </c>
      <c r="M746" t="n">
        <v>0</v>
      </c>
      <c r="N746" t="n">
        <v>0</v>
      </c>
      <c r="O746" t="n">
        <v>0</v>
      </c>
      <c r="P746" t="n">
        <v>0</v>
      </c>
      <c r="Q746" t="n">
        <v>0</v>
      </c>
      <c r="R746" s="2" t="inlineStr"/>
    </row>
    <row r="747" ht="15" customHeight="1">
      <c r="A747" t="inlineStr">
        <is>
          <t>A 38548-2024</t>
        </is>
      </c>
      <c r="B747" s="1" t="n">
        <v>45546</v>
      </c>
      <c r="C747" s="1" t="n">
        <v>45932</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2411-2023</t>
        </is>
      </c>
      <c r="B748" s="1" t="n">
        <v>44942</v>
      </c>
      <c r="C748" s="1" t="n">
        <v>45932</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13935-2024</t>
        </is>
      </c>
      <c r="B749" s="1" t="n">
        <v>45391.95329861111</v>
      </c>
      <c r="C749" s="1" t="n">
        <v>45932</v>
      </c>
      <c r="D749" t="inlineStr">
        <is>
          <t>JÄMTLANDS LÄN</t>
        </is>
      </c>
      <c r="E749" t="inlineStr">
        <is>
          <t>RAGUNDA</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30053-2024</t>
        </is>
      </c>
      <c r="B750" s="1" t="n">
        <v>45488.94747685185</v>
      </c>
      <c r="C750" s="1" t="n">
        <v>45932</v>
      </c>
      <c r="D750" t="inlineStr">
        <is>
          <t>JÄMTLANDS LÄN</t>
        </is>
      </c>
      <c r="E750" t="inlineStr">
        <is>
          <t>RAGUNDA</t>
        </is>
      </c>
      <c r="F750" t="inlineStr">
        <is>
          <t>SCA</t>
        </is>
      </c>
      <c r="G750" t="n">
        <v>9.6</v>
      </c>
      <c r="H750" t="n">
        <v>0</v>
      </c>
      <c r="I750" t="n">
        <v>0</v>
      </c>
      <c r="J750" t="n">
        <v>0</v>
      </c>
      <c r="K750" t="n">
        <v>0</v>
      </c>
      <c r="L750" t="n">
        <v>0</v>
      </c>
      <c r="M750" t="n">
        <v>0</v>
      </c>
      <c r="N750" t="n">
        <v>0</v>
      </c>
      <c r="O750" t="n">
        <v>0</v>
      </c>
      <c r="P750" t="n">
        <v>0</v>
      </c>
      <c r="Q750" t="n">
        <v>0</v>
      </c>
      <c r="R750" s="2" t="inlineStr"/>
    </row>
    <row r="751" ht="15" customHeight="1">
      <c r="A751" t="inlineStr">
        <is>
          <t>A 5308-2025</t>
        </is>
      </c>
      <c r="B751" s="1" t="n">
        <v>45692.49008101852</v>
      </c>
      <c r="C751" s="1" t="n">
        <v>45932</v>
      </c>
      <c r="D751" t="inlineStr">
        <is>
          <t>JÄMTLANDS LÄN</t>
        </is>
      </c>
      <c r="E751" t="inlineStr">
        <is>
          <t>RAGUNDA</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51579-2024</t>
        </is>
      </c>
      <c r="B752" s="1" t="n">
        <v>45604.63575231482</v>
      </c>
      <c r="C752" s="1" t="n">
        <v>45932</v>
      </c>
      <c r="D752" t="inlineStr">
        <is>
          <t>JÄMTLANDS LÄN</t>
        </is>
      </c>
      <c r="E752" t="inlineStr">
        <is>
          <t>RAGUNDA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58194-2022</t>
        </is>
      </c>
      <c r="B753" s="1" t="n">
        <v>44900</v>
      </c>
      <c r="C753" s="1" t="n">
        <v>45932</v>
      </c>
      <c r="D753" t="inlineStr">
        <is>
          <t>JÄMTLANDS LÄN</t>
        </is>
      </c>
      <c r="E753" t="inlineStr">
        <is>
          <t>RAGUNDA</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8775-2025</t>
        </is>
      </c>
      <c r="B754" s="1" t="n">
        <v>45712.61502314815</v>
      </c>
      <c r="C754" s="1" t="n">
        <v>45932</v>
      </c>
      <c r="D754" t="inlineStr">
        <is>
          <t>JÄMTLANDS LÄN</t>
        </is>
      </c>
      <c r="E754" t="inlineStr">
        <is>
          <t>RAGUNDA</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30088-2025</t>
        </is>
      </c>
      <c r="B755" s="1" t="n">
        <v>45826.65759259259</v>
      </c>
      <c r="C755" s="1" t="n">
        <v>45932</v>
      </c>
      <c r="D755" t="inlineStr">
        <is>
          <t>JÄMTLANDS LÄN</t>
        </is>
      </c>
      <c r="E755" t="inlineStr">
        <is>
          <t>RAGUNDA</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30348-2025</t>
        </is>
      </c>
      <c r="B756" s="1" t="n">
        <v>45827.53178240741</v>
      </c>
      <c r="C756" s="1" t="n">
        <v>45932</v>
      </c>
      <c r="D756" t="inlineStr">
        <is>
          <t>JÄMTLANDS LÄN</t>
        </is>
      </c>
      <c r="E756" t="inlineStr">
        <is>
          <t>RAGUNDA</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24171-2021</t>
        </is>
      </c>
      <c r="B757" s="1" t="n">
        <v>44336</v>
      </c>
      <c r="C757" s="1" t="n">
        <v>45932</v>
      </c>
      <c r="D757" t="inlineStr">
        <is>
          <t>JÄMTLANDS LÄN</t>
        </is>
      </c>
      <c r="E757" t="inlineStr">
        <is>
          <t>RAGUNDA</t>
        </is>
      </c>
      <c r="G757" t="n">
        <v>3.6</v>
      </c>
      <c r="H757" t="n">
        <v>0</v>
      </c>
      <c r="I757" t="n">
        <v>0</v>
      </c>
      <c r="J757" t="n">
        <v>0</v>
      </c>
      <c r="K757" t="n">
        <v>0</v>
      </c>
      <c r="L757" t="n">
        <v>0</v>
      </c>
      <c r="M757" t="n">
        <v>0</v>
      </c>
      <c r="N757" t="n">
        <v>0</v>
      </c>
      <c r="O757" t="n">
        <v>0</v>
      </c>
      <c r="P757" t="n">
        <v>0</v>
      </c>
      <c r="Q757" t="n">
        <v>0</v>
      </c>
      <c r="R757" s="2" t="inlineStr"/>
    </row>
    <row r="758" ht="15" customHeight="1">
      <c r="A758" t="inlineStr">
        <is>
          <t>A 58843-2024</t>
        </is>
      </c>
      <c r="B758" s="1" t="n">
        <v>45636.38599537037</v>
      </c>
      <c r="C758" s="1" t="n">
        <v>45932</v>
      </c>
      <c r="D758" t="inlineStr">
        <is>
          <t>JÄMTLANDS LÄN</t>
        </is>
      </c>
      <c r="E758" t="inlineStr">
        <is>
          <t>RAGUNDA</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30434-2025</t>
        </is>
      </c>
      <c r="B759" s="1" t="n">
        <v>45827.63582175926</v>
      </c>
      <c r="C759" s="1" t="n">
        <v>45932</v>
      </c>
      <c r="D759" t="inlineStr">
        <is>
          <t>JÄMTLANDS LÄN</t>
        </is>
      </c>
      <c r="E759" t="inlineStr">
        <is>
          <t>RAGUNDA</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2339-2025</t>
        </is>
      </c>
      <c r="B760" s="1" t="n">
        <v>45673.66358796296</v>
      </c>
      <c r="C760" s="1" t="n">
        <v>45932</v>
      </c>
      <c r="D760" t="inlineStr">
        <is>
          <t>JÄMTLANDS LÄN</t>
        </is>
      </c>
      <c r="E760" t="inlineStr">
        <is>
          <t>RAGUNDA</t>
        </is>
      </c>
      <c r="G760" t="n">
        <v>5</v>
      </c>
      <c r="H760" t="n">
        <v>0</v>
      </c>
      <c r="I760" t="n">
        <v>0</v>
      </c>
      <c r="J760" t="n">
        <v>0</v>
      </c>
      <c r="K760" t="n">
        <v>0</v>
      </c>
      <c r="L760" t="n">
        <v>0</v>
      </c>
      <c r="M760" t="n">
        <v>0</v>
      </c>
      <c r="N760" t="n">
        <v>0</v>
      </c>
      <c r="O760" t="n">
        <v>0</v>
      </c>
      <c r="P760" t="n">
        <v>0</v>
      </c>
      <c r="Q760" t="n">
        <v>0</v>
      </c>
      <c r="R760" s="2" t="inlineStr"/>
    </row>
    <row r="761" ht="15" customHeight="1">
      <c r="A761" t="inlineStr">
        <is>
          <t>A 27499-2024</t>
        </is>
      </c>
      <c r="B761" s="1" t="n">
        <v>45474.50608796296</v>
      </c>
      <c r="C761" s="1" t="n">
        <v>45932</v>
      </c>
      <c r="D761" t="inlineStr">
        <is>
          <t>JÄMTLANDS LÄN</t>
        </is>
      </c>
      <c r="E761" t="inlineStr">
        <is>
          <t>RAGUNDA</t>
        </is>
      </c>
      <c r="G761" t="n">
        <v>1.3</v>
      </c>
      <c r="H761" t="n">
        <v>0</v>
      </c>
      <c r="I761" t="n">
        <v>0</v>
      </c>
      <c r="J761" t="n">
        <v>0</v>
      </c>
      <c r="K761" t="n">
        <v>0</v>
      </c>
      <c r="L761" t="n">
        <v>0</v>
      </c>
      <c r="M761" t="n">
        <v>0</v>
      </c>
      <c r="N761" t="n">
        <v>0</v>
      </c>
      <c r="O761" t="n">
        <v>0</v>
      </c>
      <c r="P761" t="n">
        <v>0</v>
      </c>
      <c r="Q761" t="n">
        <v>0</v>
      </c>
      <c r="R761" s="2" t="inlineStr"/>
    </row>
    <row r="762" ht="15" customHeight="1">
      <c r="A762" t="inlineStr">
        <is>
          <t>A 31463-2024</t>
        </is>
      </c>
      <c r="B762" s="1" t="n">
        <v>45505</v>
      </c>
      <c r="C762" s="1" t="n">
        <v>45932</v>
      </c>
      <c r="D762" t="inlineStr">
        <is>
          <t>JÄMTLANDS LÄN</t>
        </is>
      </c>
      <c r="E762" t="inlineStr">
        <is>
          <t>RAGUNDA</t>
        </is>
      </c>
      <c r="F762" t="inlineStr">
        <is>
          <t>SCA</t>
        </is>
      </c>
      <c r="G762" t="n">
        <v>20.3</v>
      </c>
      <c r="H762" t="n">
        <v>0</v>
      </c>
      <c r="I762" t="n">
        <v>0</v>
      </c>
      <c r="J762" t="n">
        <v>0</v>
      </c>
      <c r="K762" t="n">
        <v>0</v>
      </c>
      <c r="L762" t="n">
        <v>0</v>
      </c>
      <c r="M762" t="n">
        <v>0</v>
      </c>
      <c r="N762" t="n">
        <v>0</v>
      </c>
      <c r="O762" t="n">
        <v>0</v>
      </c>
      <c r="P762" t="n">
        <v>0</v>
      </c>
      <c r="Q762" t="n">
        <v>0</v>
      </c>
      <c r="R762" s="2" t="inlineStr"/>
    </row>
    <row r="763" ht="15" customHeight="1">
      <c r="A763" t="inlineStr">
        <is>
          <t>A 57078-2023</t>
        </is>
      </c>
      <c r="B763" s="1" t="n">
        <v>45244.96774305555</v>
      </c>
      <c r="C763" s="1" t="n">
        <v>45932</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59368-2022</t>
        </is>
      </c>
      <c r="B764" s="1" t="n">
        <v>44904.94824074074</v>
      </c>
      <c r="C764" s="1" t="n">
        <v>45932</v>
      </c>
      <c r="D764" t="inlineStr">
        <is>
          <t>JÄMTLANDS LÄN</t>
        </is>
      </c>
      <c r="E764" t="inlineStr">
        <is>
          <t>RAGUNDA</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6801-2023</t>
        </is>
      </c>
      <c r="B765" s="1" t="n">
        <v>44966.95328703704</v>
      </c>
      <c r="C765" s="1" t="n">
        <v>45932</v>
      </c>
      <c r="D765" t="inlineStr">
        <is>
          <t>JÄMTLANDS LÄN</t>
        </is>
      </c>
      <c r="E765" t="inlineStr">
        <is>
          <t>RAGUNDA</t>
        </is>
      </c>
      <c r="F765" t="inlineStr">
        <is>
          <t>SCA</t>
        </is>
      </c>
      <c r="G765" t="n">
        <v>10.6</v>
      </c>
      <c r="H765" t="n">
        <v>0</v>
      </c>
      <c r="I765" t="n">
        <v>0</v>
      </c>
      <c r="J765" t="n">
        <v>0</v>
      </c>
      <c r="K765" t="n">
        <v>0</v>
      </c>
      <c r="L765" t="n">
        <v>0</v>
      </c>
      <c r="M765" t="n">
        <v>0</v>
      </c>
      <c r="N765" t="n">
        <v>0</v>
      </c>
      <c r="O765" t="n">
        <v>0</v>
      </c>
      <c r="P765" t="n">
        <v>0</v>
      </c>
      <c r="Q765" t="n">
        <v>0</v>
      </c>
      <c r="R765" s="2" t="inlineStr"/>
    </row>
    <row r="766" ht="15" customHeight="1">
      <c r="A766" t="inlineStr">
        <is>
          <t>A 53287-2022</t>
        </is>
      </c>
      <c r="B766" s="1" t="n">
        <v>44876</v>
      </c>
      <c r="C766" s="1" t="n">
        <v>45932</v>
      </c>
      <c r="D766" t="inlineStr">
        <is>
          <t>JÄMTLANDS LÄN</t>
        </is>
      </c>
      <c r="E766" t="inlineStr">
        <is>
          <t>RAGUNDA</t>
        </is>
      </c>
      <c r="F766" t="inlineStr">
        <is>
          <t>SCA</t>
        </is>
      </c>
      <c r="G766" t="n">
        <v>6.2</v>
      </c>
      <c r="H766" t="n">
        <v>0</v>
      </c>
      <c r="I766" t="n">
        <v>0</v>
      </c>
      <c r="J766" t="n">
        <v>0</v>
      </c>
      <c r="K766" t="n">
        <v>0</v>
      </c>
      <c r="L766" t="n">
        <v>0</v>
      </c>
      <c r="M766" t="n">
        <v>0</v>
      </c>
      <c r="N766" t="n">
        <v>0</v>
      </c>
      <c r="O766" t="n">
        <v>0</v>
      </c>
      <c r="P766" t="n">
        <v>0</v>
      </c>
      <c r="Q766" t="n">
        <v>0</v>
      </c>
      <c r="R766" s="2" t="inlineStr"/>
    </row>
    <row r="767" ht="15" customHeight="1">
      <c r="A767" t="inlineStr">
        <is>
          <t>A 41656-2023</t>
        </is>
      </c>
      <c r="B767" s="1" t="n">
        <v>45175</v>
      </c>
      <c r="C767" s="1" t="n">
        <v>45932</v>
      </c>
      <c r="D767" t="inlineStr">
        <is>
          <t>JÄMTLANDS LÄN</t>
        </is>
      </c>
      <c r="E767" t="inlineStr">
        <is>
          <t>RAGUNDA</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16320-2025</t>
        </is>
      </c>
      <c r="B768" s="1" t="n">
        <v>45751.34859953704</v>
      </c>
      <c r="C768" s="1" t="n">
        <v>45932</v>
      </c>
      <c r="D768" t="inlineStr">
        <is>
          <t>JÄMTLANDS LÄN</t>
        </is>
      </c>
      <c r="E768" t="inlineStr">
        <is>
          <t>RAGUNDA</t>
        </is>
      </c>
      <c r="F768" t="inlineStr">
        <is>
          <t>SCA</t>
        </is>
      </c>
      <c r="G768" t="n">
        <v>16.2</v>
      </c>
      <c r="H768" t="n">
        <v>0</v>
      </c>
      <c r="I768" t="n">
        <v>0</v>
      </c>
      <c r="J768" t="n">
        <v>0</v>
      </c>
      <c r="K768" t="n">
        <v>0</v>
      </c>
      <c r="L768" t="n">
        <v>0</v>
      </c>
      <c r="M768" t="n">
        <v>0</v>
      </c>
      <c r="N768" t="n">
        <v>0</v>
      </c>
      <c r="O768" t="n">
        <v>0</v>
      </c>
      <c r="P768" t="n">
        <v>0</v>
      </c>
      <c r="Q768" t="n">
        <v>0</v>
      </c>
      <c r="R768" s="2" t="inlineStr"/>
    </row>
    <row r="769" ht="15" customHeight="1">
      <c r="A769" t="inlineStr">
        <is>
          <t>A 16321-2025</t>
        </is>
      </c>
      <c r="B769" s="1" t="n">
        <v>45751.34873842593</v>
      </c>
      <c r="C769" s="1" t="n">
        <v>45932</v>
      </c>
      <c r="D769" t="inlineStr">
        <is>
          <t>JÄMTLANDS LÄN</t>
        </is>
      </c>
      <c r="E769" t="inlineStr">
        <is>
          <t>RAGUNDA</t>
        </is>
      </c>
      <c r="F769" t="inlineStr">
        <is>
          <t>SCA</t>
        </is>
      </c>
      <c r="G769" t="n">
        <v>63.3</v>
      </c>
      <c r="H769" t="n">
        <v>0</v>
      </c>
      <c r="I769" t="n">
        <v>0</v>
      </c>
      <c r="J769" t="n">
        <v>0</v>
      </c>
      <c r="K769" t="n">
        <v>0</v>
      </c>
      <c r="L769" t="n">
        <v>0</v>
      </c>
      <c r="M769" t="n">
        <v>0</v>
      </c>
      <c r="N769" t="n">
        <v>0</v>
      </c>
      <c r="O769" t="n">
        <v>0</v>
      </c>
      <c r="P769" t="n">
        <v>0</v>
      </c>
      <c r="Q769" t="n">
        <v>0</v>
      </c>
      <c r="R769" s="2" t="inlineStr"/>
    </row>
    <row r="770" ht="15" customHeight="1">
      <c r="A770" t="inlineStr">
        <is>
          <t>A 30887-2025</t>
        </is>
      </c>
      <c r="B770" s="1" t="n">
        <v>45832.3459375</v>
      </c>
      <c r="C770" s="1" t="n">
        <v>45932</v>
      </c>
      <c r="D770" t="inlineStr">
        <is>
          <t>JÄMTLANDS LÄN</t>
        </is>
      </c>
      <c r="E770" t="inlineStr">
        <is>
          <t>RAGUNDA</t>
        </is>
      </c>
      <c r="F770" t="inlineStr">
        <is>
          <t>SCA</t>
        </is>
      </c>
      <c r="G770" t="n">
        <v>10.1</v>
      </c>
      <c r="H770" t="n">
        <v>0</v>
      </c>
      <c r="I770" t="n">
        <v>0</v>
      </c>
      <c r="J770" t="n">
        <v>0</v>
      </c>
      <c r="K770" t="n">
        <v>0</v>
      </c>
      <c r="L770" t="n">
        <v>0</v>
      </c>
      <c r="M770" t="n">
        <v>0</v>
      </c>
      <c r="N770" t="n">
        <v>0</v>
      </c>
      <c r="O770" t="n">
        <v>0</v>
      </c>
      <c r="P770" t="n">
        <v>0</v>
      </c>
      <c r="Q770" t="n">
        <v>0</v>
      </c>
      <c r="R770" s="2" t="inlineStr"/>
    </row>
    <row r="771" ht="15" customHeight="1">
      <c r="A771" t="inlineStr">
        <is>
          <t>A 30883-2025</t>
        </is>
      </c>
      <c r="B771" s="1" t="n">
        <v>45832.34552083333</v>
      </c>
      <c r="C771" s="1" t="n">
        <v>45932</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51646-2023</t>
        </is>
      </c>
      <c r="B772" s="1" t="n">
        <v>45215</v>
      </c>
      <c r="C772" s="1" t="n">
        <v>45932</v>
      </c>
      <c r="D772" t="inlineStr">
        <is>
          <t>JÄMTLANDS LÄN</t>
        </is>
      </c>
      <c r="E772" t="inlineStr">
        <is>
          <t>RAGUNDA</t>
        </is>
      </c>
      <c r="G772" t="n">
        <v>0.7</v>
      </c>
      <c r="H772" t="n">
        <v>0</v>
      </c>
      <c r="I772" t="n">
        <v>0</v>
      </c>
      <c r="J772" t="n">
        <v>0</v>
      </c>
      <c r="K772" t="n">
        <v>0</v>
      </c>
      <c r="L772" t="n">
        <v>0</v>
      </c>
      <c r="M772" t="n">
        <v>0</v>
      </c>
      <c r="N772" t="n">
        <v>0</v>
      </c>
      <c r="O772" t="n">
        <v>0</v>
      </c>
      <c r="P772" t="n">
        <v>0</v>
      </c>
      <c r="Q772" t="n">
        <v>0</v>
      </c>
      <c r="R772" s="2" t="inlineStr"/>
    </row>
    <row r="773" ht="15" customHeight="1">
      <c r="A773" t="inlineStr">
        <is>
          <t>A 37268-2024</t>
        </is>
      </c>
      <c r="B773" s="1" t="n">
        <v>45540.38586805556</v>
      </c>
      <c r="C773" s="1" t="n">
        <v>45932</v>
      </c>
      <c r="D773" t="inlineStr">
        <is>
          <t>JÄMTLANDS LÄN</t>
        </is>
      </c>
      <c r="E773" t="inlineStr">
        <is>
          <t>RAGUNDA</t>
        </is>
      </c>
      <c r="F773" t="inlineStr">
        <is>
          <t>SCA</t>
        </is>
      </c>
      <c r="G773" t="n">
        <v>6.3</v>
      </c>
      <c r="H773" t="n">
        <v>0</v>
      </c>
      <c r="I773" t="n">
        <v>0</v>
      </c>
      <c r="J773" t="n">
        <v>0</v>
      </c>
      <c r="K773" t="n">
        <v>0</v>
      </c>
      <c r="L773" t="n">
        <v>0</v>
      </c>
      <c r="M773" t="n">
        <v>0</v>
      </c>
      <c r="N773" t="n">
        <v>0</v>
      </c>
      <c r="O773" t="n">
        <v>0</v>
      </c>
      <c r="P773" t="n">
        <v>0</v>
      </c>
      <c r="Q773" t="n">
        <v>0</v>
      </c>
      <c r="R773" s="2" t="inlineStr"/>
    </row>
    <row r="774" ht="15" customHeight="1">
      <c r="A774" t="inlineStr">
        <is>
          <t>A 14696-2022</t>
        </is>
      </c>
      <c r="B774" s="1" t="n">
        <v>44655</v>
      </c>
      <c r="C774" s="1" t="n">
        <v>45932</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55514-2024</t>
        </is>
      </c>
      <c r="B775" s="1" t="n">
        <v>45622.46910879629</v>
      </c>
      <c r="C775" s="1" t="n">
        <v>45932</v>
      </c>
      <c r="D775" t="inlineStr">
        <is>
          <t>JÄMTLANDS LÄN</t>
        </is>
      </c>
      <c r="E775" t="inlineStr">
        <is>
          <t>RAGUNDA</t>
        </is>
      </c>
      <c r="G775" t="n">
        <v>0.9</v>
      </c>
      <c r="H775" t="n">
        <v>0</v>
      </c>
      <c r="I775" t="n">
        <v>0</v>
      </c>
      <c r="J775" t="n">
        <v>0</v>
      </c>
      <c r="K775" t="n">
        <v>0</v>
      </c>
      <c r="L775" t="n">
        <v>0</v>
      </c>
      <c r="M775" t="n">
        <v>0</v>
      </c>
      <c r="N775" t="n">
        <v>0</v>
      </c>
      <c r="O775" t="n">
        <v>0</v>
      </c>
      <c r="P775" t="n">
        <v>0</v>
      </c>
      <c r="Q775" t="n">
        <v>0</v>
      </c>
      <c r="R775" s="2" t="inlineStr"/>
    </row>
    <row r="776" ht="15" customHeight="1">
      <c r="A776" t="inlineStr">
        <is>
          <t>A 18375-2022</t>
        </is>
      </c>
      <c r="B776" s="1" t="n">
        <v>44685</v>
      </c>
      <c r="C776" s="1" t="n">
        <v>45932</v>
      </c>
      <c r="D776" t="inlineStr">
        <is>
          <t>JÄMTLANDS LÄN</t>
        </is>
      </c>
      <c r="E776" t="inlineStr">
        <is>
          <t>RAGUNDA</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14512-2025</t>
        </is>
      </c>
      <c r="B777" s="1" t="n">
        <v>45741.63659722222</v>
      </c>
      <c r="C777" s="1" t="n">
        <v>45932</v>
      </c>
      <c r="D777" t="inlineStr">
        <is>
          <t>JÄMTLANDS LÄN</t>
        </is>
      </c>
      <c r="E777" t="inlineStr">
        <is>
          <t>RAGUNDA</t>
        </is>
      </c>
      <c r="F777" t="inlineStr">
        <is>
          <t>SCA</t>
        </is>
      </c>
      <c r="G777" t="n">
        <v>8.9</v>
      </c>
      <c r="H777" t="n">
        <v>0</v>
      </c>
      <c r="I777" t="n">
        <v>0</v>
      </c>
      <c r="J777" t="n">
        <v>0</v>
      </c>
      <c r="K777" t="n">
        <v>0</v>
      </c>
      <c r="L777" t="n">
        <v>0</v>
      </c>
      <c r="M777" t="n">
        <v>0</v>
      </c>
      <c r="N777" t="n">
        <v>0</v>
      </c>
      <c r="O777" t="n">
        <v>0</v>
      </c>
      <c r="P777" t="n">
        <v>0</v>
      </c>
      <c r="Q777" t="n">
        <v>0</v>
      </c>
      <c r="R777" s="2" t="inlineStr"/>
    </row>
    <row r="778" ht="15" customHeight="1">
      <c r="A778" t="inlineStr">
        <is>
          <t>A 17248-2023</t>
        </is>
      </c>
      <c r="B778" s="1" t="n">
        <v>45033</v>
      </c>
      <c r="C778" s="1" t="n">
        <v>45932</v>
      </c>
      <c r="D778" t="inlineStr">
        <is>
          <t>JÄMTLANDS LÄN</t>
        </is>
      </c>
      <c r="E778" t="inlineStr">
        <is>
          <t>RAGUNDA</t>
        </is>
      </c>
      <c r="G778" t="n">
        <v>3</v>
      </c>
      <c r="H778" t="n">
        <v>0</v>
      </c>
      <c r="I778" t="n">
        <v>0</v>
      </c>
      <c r="J778" t="n">
        <v>0</v>
      </c>
      <c r="K778" t="n">
        <v>0</v>
      </c>
      <c r="L778" t="n">
        <v>0</v>
      </c>
      <c r="M778" t="n">
        <v>0</v>
      </c>
      <c r="N778" t="n">
        <v>0</v>
      </c>
      <c r="O778" t="n">
        <v>0</v>
      </c>
      <c r="P778" t="n">
        <v>0</v>
      </c>
      <c r="Q778" t="n">
        <v>0</v>
      </c>
      <c r="R778" s="2" t="inlineStr"/>
    </row>
    <row r="779" ht="15" customHeight="1">
      <c r="A779" t="inlineStr">
        <is>
          <t>A 62011-2022</t>
        </is>
      </c>
      <c r="B779" s="1" t="n">
        <v>44914</v>
      </c>
      <c r="C779" s="1" t="n">
        <v>45932</v>
      </c>
      <c r="D779" t="inlineStr">
        <is>
          <t>JÄMTLANDS LÄN</t>
        </is>
      </c>
      <c r="E779" t="inlineStr">
        <is>
          <t>RAGUNDA</t>
        </is>
      </c>
      <c r="G779" t="n">
        <v>0.3</v>
      </c>
      <c r="H779" t="n">
        <v>0</v>
      </c>
      <c r="I779" t="n">
        <v>0</v>
      </c>
      <c r="J779" t="n">
        <v>0</v>
      </c>
      <c r="K779" t="n">
        <v>0</v>
      </c>
      <c r="L779" t="n">
        <v>0</v>
      </c>
      <c r="M779" t="n">
        <v>0</v>
      </c>
      <c r="N779" t="n">
        <v>0</v>
      </c>
      <c r="O779" t="n">
        <v>0</v>
      </c>
      <c r="P779" t="n">
        <v>0</v>
      </c>
      <c r="Q779" t="n">
        <v>0</v>
      </c>
      <c r="R779" s="2" t="inlineStr"/>
    </row>
    <row r="780" ht="15" customHeight="1">
      <c r="A780" t="inlineStr">
        <is>
          <t>A 11557-2023</t>
        </is>
      </c>
      <c r="B780" s="1" t="n">
        <v>44993.94950231481</v>
      </c>
      <c r="C780" s="1" t="n">
        <v>45932</v>
      </c>
      <c r="D780" t="inlineStr">
        <is>
          <t>JÄMTLANDS LÄN</t>
        </is>
      </c>
      <c r="E780" t="inlineStr">
        <is>
          <t>RAGUNDA</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11562-2023</t>
        </is>
      </c>
      <c r="B781" s="1" t="n">
        <v>44993</v>
      </c>
      <c r="C781" s="1" t="n">
        <v>45932</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22131-2021</t>
        </is>
      </c>
      <c r="B782" s="1" t="n">
        <v>44323</v>
      </c>
      <c r="C782" s="1" t="n">
        <v>45932</v>
      </c>
      <c r="D782" t="inlineStr">
        <is>
          <t>JÄMTLANDS LÄN</t>
        </is>
      </c>
      <c r="E782" t="inlineStr">
        <is>
          <t>RAGUNDA</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5971-2025</t>
        </is>
      </c>
      <c r="B783" s="1" t="n">
        <v>45695.51070601852</v>
      </c>
      <c r="C783" s="1" t="n">
        <v>45932</v>
      </c>
      <c r="D783" t="inlineStr">
        <is>
          <t>JÄMTLANDS LÄN</t>
        </is>
      </c>
      <c r="E783" t="inlineStr">
        <is>
          <t>RAGUNDA</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30563-2023</t>
        </is>
      </c>
      <c r="B784" s="1" t="n">
        <v>45111.92793981481</v>
      </c>
      <c r="C784" s="1" t="n">
        <v>45932</v>
      </c>
      <c r="D784" t="inlineStr">
        <is>
          <t>JÄMTLANDS LÄN</t>
        </is>
      </c>
      <c r="E784" t="inlineStr">
        <is>
          <t>RAGUNDA</t>
        </is>
      </c>
      <c r="F784" t="inlineStr">
        <is>
          <t>Övriga Aktiebolag</t>
        </is>
      </c>
      <c r="G784" t="n">
        <v>2.3</v>
      </c>
      <c r="H784" t="n">
        <v>0</v>
      </c>
      <c r="I784" t="n">
        <v>0</v>
      </c>
      <c r="J784" t="n">
        <v>0</v>
      </c>
      <c r="K784" t="n">
        <v>0</v>
      </c>
      <c r="L784" t="n">
        <v>0</v>
      </c>
      <c r="M784" t="n">
        <v>0</v>
      </c>
      <c r="N784" t="n">
        <v>0</v>
      </c>
      <c r="O784" t="n">
        <v>0</v>
      </c>
      <c r="P784" t="n">
        <v>0</v>
      </c>
      <c r="Q784" t="n">
        <v>0</v>
      </c>
      <c r="R784" s="2" t="inlineStr"/>
    </row>
    <row r="785" ht="15" customHeight="1">
      <c r="A785" t="inlineStr">
        <is>
          <t>A 50649-2022</t>
        </is>
      </c>
      <c r="B785" s="1" t="n">
        <v>44866</v>
      </c>
      <c r="C785" s="1" t="n">
        <v>45932</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36212-2023</t>
        </is>
      </c>
      <c r="B786" s="1" t="n">
        <v>45149.95241898148</v>
      </c>
      <c r="C786" s="1" t="n">
        <v>45932</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59759-2024</t>
        </is>
      </c>
      <c r="B787" s="1" t="n">
        <v>45639.55240740741</v>
      </c>
      <c r="C787" s="1" t="n">
        <v>45932</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35537-2021</t>
        </is>
      </c>
      <c r="B788" s="1" t="n">
        <v>44384</v>
      </c>
      <c r="C788" s="1" t="n">
        <v>45932</v>
      </c>
      <c r="D788" t="inlineStr">
        <is>
          <t>JÄMTLANDS LÄN</t>
        </is>
      </c>
      <c r="E788" t="inlineStr">
        <is>
          <t>RAGUNDA</t>
        </is>
      </c>
      <c r="G788" t="n">
        <v>3.1</v>
      </c>
      <c r="H788" t="n">
        <v>0</v>
      </c>
      <c r="I788" t="n">
        <v>0</v>
      </c>
      <c r="J788" t="n">
        <v>0</v>
      </c>
      <c r="K788" t="n">
        <v>0</v>
      </c>
      <c r="L788" t="n">
        <v>0</v>
      </c>
      <c r="M788" t="n">
        <v>0</v>
      </c>
      <c r="N788" t="n">
        <v>0</v>
      </c>
      <c r="O788" t="n">
        <v>0</v>
      </c>
      <c r="P788" t="n">
        <v>0</v>
      </c>
      <c r="Q788" t="n">
        <v>0</v>
      </c>
      <c r="R788" s="2" t="inlineStr"/>
    </row>
    <row r="789" ht="15" customHeight="1">
      <c r="A789" t="inlineStr">
        <is>
          <t>A 2819-2023</t>
        </is>
      </c>
      <c r="B789" s="1" t="n">
        <v>44944</v>
      </c>
      <c r="C789" s="1" t="n">
        <v>45932</v>
      </c>
      <c r="D789" t="inlineStr">
        <is>
          <t>JÄMTLANDS LÄN</t>
        </is>
      </c>
      <c r="E789" t="inlineStr">
        <is>
          <t>RAGUNDA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12768-2022</t>
        </is>
      </c>
      <c r="B790" s="1" t="n">
        <v>44641</v>
      </c>
      <c r="C790" s="1" t="n">
        <v>45932</v>
      </c>
      <c r="D790" t="inlineStr">
        <is>
          <t>JÄMTLANDS LÄN</t>
        </is>
      </c>
      <c r="E790" t="inlineStr">
        <is>
          <t>RAGUNDA</t>
        </is>
      </c>
      <c r="F790" t="inlineStr">
        <is>
          <t>SCA</t>
        </is>
      </c>
      <c r="G790" t="n">
        <v>8</v>
      </c>
      <c r="H790" t="n">
        <v>0</v>
      </c>
      <c r="I790" t="n">
        <v>0</v>
      </c>
      <c r="J790" t="n">
        <v>0</v>
      </c>
      <c r="K790" t="n">
        <v>0</v>
      </c>
      <c r="L790" t="n">
        <v>0</v>
      </c>
      <c r="M790" t="n">
        <v>0</v>
      </c>
      <c r="N790" t="n">
        <v>0</v>
      </c>
      <c r="O790" t="n">
        <v>0</v>
      </c>
      <c r="P790" t="n">
        <v>0</v>
      </c>
      <c r="Q790" t="n">
        <v>0</v>
      </c>
      <c r="R790" s="2" t="inlineStr"/>
    </row>
    <row r="791" ht="15" customHeight="1">
      <c r="A791" t="inlineStr">
        <is>
          <t>A 12773-2022</t>
        </is>
      </c>
      <c r="B791" s="1" t="n">
        <v>44641</v>
      </c>
      <c r="C791" s="1" t="n">
        <v>45932</v>
      </c>
      <c r="D791" t="inlineStr">
        <is>
          <t>JÄMTLANDS LÄN</t>
        </is>
      </c>
      <c r="E791" t="inlineStr">
        <is>
          <t>RAGUNDA</t>
        </is>
      </c>
      <c r="F791" t="inlineStr">
        <is>
          <t>SCA</t>
        </is>
      </c>
      <c r="G791" t="n">
        <v>14.7</v>
      </c>
      <c r="H791" t="n">
        <v>0</v>
      </c>
      <c r="I791" t="n">
        <v>0</v>
      </c>
      <c r="J791" t="n">
        <v>0</v>
      </c>
      <c r="K791" t="n">
        <v>0</v>
      </c>
      <c r="L791" t="n">
        <v>0</v>
      </c>
      <c r="M791" t="n">
        <v>0</v>
      </c>
      <c r="N791" t="n">
        <v>0</v>
      </c>
      <c r="O791" t="n">
        <v>0</v>
      </c>
      <c r="P791" t="n">
        <v>0</v>
      </c>
      <c r="Q791" t="n">
        <v>0</v>
      </c>
      <c r="R791" s="2" t="inlineStr"/>
    </row>
    <row r="792" ht="15" customHeight="1">
      <c r="A792" t="inlineStr">
        <is>
          <t>A 30880-2025</t>
        </is>
      </c>
      <c r="B792" s="1" t="n">
        <v>45832.34524305556</v>
      </c>
      <c r="C792" s="1" t="n">
        <v>45932</v>
      </c>
      <c r="D792" t="inlineStr">
        <is>
          <t>JÄMTLANDS LÄN</t>
        </is>
      </c>
      <c r="E792" t="inlineStr">
        <is>
          <t>RAGUNDA</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44536-2022</t>
        </is>
      </c>
      <c r="B793" s="1" t="n">
        <v>44839</v>
      </c>
      <c r="C793" s="1" t="n">
        <v>45932</v>
      </c>
      <c r="D793" t="inlineStr">
        <is>
          <t>JÄMTLANDS LÄN</t>
        </is>
      </c>
      <c r="E793" t="inlineStr">
        <is>
          <t>RAGUNDA</t>
        </is>
      </c>
      <c r="G793" t="n">
        <v>4</v>
      </c>
      <c r="H793" t="n">
        <v>0</v>
      </c>
      <c r="I793" t="n">
        <v>0</v>
      </c>
      <c r="J793" t="n">
        <v>0</v>
      </c>
      <c r="K793" t="n">
        <v>0</v>
      </c>
      <c r="L793" t="n">
        <v>0</v>
      </c>
      <c r="M793" t="n">
        <v>0</v>
      </c>
      <c r="N793" t="n">
        <v>0</v>
      </c>
      <c r="O793" t="n">
        <v>0</v>
      </c>
      <c r="P793" t="n">
        <v>0</v>
      </c>
      <c r="Q793" t="n">
        <v>0</v>
      </c>
      <c r="R793" s="2" t="inlineStr"/>
    </row>
    <row r="794" ht="15" customHeight="1">
      <c r="A794" t="inlineStr">
        <is>
          <t>A 5067-2024</t>
        </is>
      </c>
      <c r="B794" s="1" t="n">
        <v>45329.95806712963</v>
      </c>
      <c r="C794" s="1" t="n">
        <v>45932</v>
      </c>
      <c r="D794" t="inlineStr">
        <is>
          <t>JÄMTLANDS LÄN</t>
        </is>
      </c>
      <c r="E794" t="inlineStr">
        <is>
          <t>RAGUNDA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32096-2025</t>
        </is>
      </c>
      <c r="B795" s="1" t="n">
        <v>45835.46334490741</v>
      </c>
      <c r="C795" s="1" t="n">
        <v>45932</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32151-2025</t>
        </is>
      </c>
      <c r="B796" s="1" t="n">
        <v>45835.53166666667</v>
      </c>
      <c r="C796" s="1" t="n">
        <v>45932</v>
      </c>
      <c r="D796" t="inlineStr">
        <is>
          <t>JÄMTLANDS LÄN</t>
        </is>
      </c>
      <c r="E796" t="inlineStr">
        <is>
          <t>RAGUNDA</t>
        </is>
      </c>
      <c r="F796" t="inlineStr">
        <is>
          <t>SCA</t>
        </is>
      </c>
      <c r="G796" t="n">
        <v>12.3</v>
      </c>
      <c r="H796" t="n">
        <v>0</v>
      </c>
      <c r="I796" t="n">
        <v>0</v>
      </c>
      <c r="J796" t="n">
        <v>0</v>
      </c>
      <c r="K796" t="n">
        <v>0</v>
      </c>
      <c r="L796" t="n">
        <v>0</v>
      </c>
      <c r="M796" t="n">
        <v>0</v>
      </c>
      <c r="N796" t="n">
        <v>0</v>
      </c>
      <c r="O796" t="n">
        <v>0</v>
      </c>
      <c r="P796" t="n">
        <v>0</v>
      </c>
      <c r="Q796" t="n">
        <v>0</v>
      </c>
      <c r="R796" s="2" t="inlineStr"/>
    </row>
    <row r="797" ht="15" customHeight="1">
      <c r="A797" t="inlineStr">
        <is>
          <t>A 32306-2025</t>
        </is>
      </c>
      <c r="B797" s="1" t="n">
        <v>45835.72046296296</v>
      </c>
      <c r="C797" s="1" t="n">
        <v>45932</v>
      </c>
      <c r="D797" t="inlineStr">
        <is>
          <t>JÄMTLANDS LÄN</t>
        </is>
      </c>
      <c r="E797" t="inlineStr">
        <is>
          <t>RAGUNDA</t>
        </is>
      </c>
      <c r="G797" t="n">
        <v>10.2</v>
      </c>
      <c r="H797" t="n">
        <v>0</v>
      </c>
      <c r="I797" t="n">
        <v>0</v>
      </c>
      <c r="J797" t="n">
        <v>0</v>
      </c>
      <c r="K797" t="n">
        <v>0</v>
      </c>
      <c r="L797" t="n">
        <v>0</v>
      </c>
      <c r="M797" t="n">
        <v>0</v>
      </c>
      <c r="N797" t="n">
        <v>0</v>
      </c>
      <c r="O797" t="n">
        <v>0</v>
      </c>
      <c r="P797" t="n">
        <v>0</v>
      </c>
      <c r="Q797" t="n">
        <v>0</v>
      </c>
      <c r="R797" s="2" t="inlineStr"/>
    </row>
    <row r="798" ht="15" customHeight="1">
      <c r="A798" t="inlineStr">
        <is>
          <t>A 32021-2025</t>
        </is>
      </c>
      <c r="B798" s="1" t="n">
        <v>45835.40668981482</v>
      </c>
      <c r="C798" s="1" t="n">
        <v>45932</v>
      </c>
      <c r="D798" t="inlineStr">
        <is>
          <t>JÄMTLANDS LÄN</t>
        </is>
      </c>
      <c r="E798" t="inlineStr">
        <is>
          <t>RAGUNDA</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31882-2025</t>
        </is>
      </c>
      <c r="B799" s="1" t="n">
        <v>45834.65662037037</v>
      </c>
      <c r="C799" s="1" t="n">
        <v>45932</v>
      </c>
      <c r="D799" t="inlineStr">
        <is>
          <t>JÄMTLANDS LÄN</t>
        </is>
      </c>
      <c r="E799" t="inlineStr">
        <is>
          <t>RAGUNDA</t>
        </is>
      </c>
      <c r="F799" t="inlineStr">
        <is>
          <t>SCA</t>
        </is>
      </c>
      <c r="G799" t="n">
        <v>5.5</v>
      </c>
      <c r="H799" t="n">
        <v>0</v>
      </c>
      <c r="I799" t="n">
        <v>0</v>
      </c>
      <c r="J799" t="n">
        <v>0</v>
      </c>
      <c r="K799" t="n">
        <v>0</v>
      </c>
      <c r="L799" t="n">
        <v>0</v>
      </c>
      <c r="M799" t="n">
        <v>0</v>
      </c>
      <c r="N799" t="n">
        <v>0</v>
      </c>
      <c r="O799" t="n">
        <v>0</v>
      </c>
      <c r="P799" t="n">
        <v>0</v>
      </c>
      <c r="Q799" t="n">
        <v>0</v>
      </c>
      <c r="R799" s="2" t="inlineStr"/>
    </row>
    <row r="800" ht="15" customHeight="1">
      <c r="A800" t="inlineStr">
        <is>
          <t>A 14905-2022</t>
        </is>
      </c>
      <c r="B800" s="1" t="n">
        <v>44656.94708333333</v>
      </c>
      <c r="C800" s="1" t="n">
        <v>45932</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47037-2025</t>
        </is>
      </c>
      <c r="B801" s="1" t="n">
        <v>45929.59456018519</v>
      </c>
      <c r="C801" s="1" t="n">
        <v>45932</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30459-2021</t>
        </is>
      </c>
      <c r="B802" s="1" t="n">
        <v>44362</v>
      </c>
      <c r="C802" s="1" t="n">
        <v>45932</v>
      </c>
      <c r="D802" t="inlineStr">
        <is>
          <t>JÄMTLANDS LÄN</t>
        </is>
      </c>
      <c r="E802" t="inlineStr">
        <is>
          <t>RAGUNDA</t>
        </is>
      </c>
      <c r="G802" t="n">
        <v>1</v>
      </c>
      <c r="H802" t="n">
        <v>0</v>
      </c>
      <c r="I802" t="n">
        <v>0</v>
      </c>
      <c r="J802" t="n">
        <v>0</v>
      </c>
      <c r="K802" t="n">
        <v>0</v>
      </c>
      <c r="L802" t="n">
        <v>0</v>
      </c>
      <c r="M802" t="n">
        <v>0</v>
      </c>
      <c r="N802" t="n">
        <v>0</v>
      </c>
      <c r="O802" t="n">
        <v>0</v>
      </c>
      <c r="P802" t="n">
        <v>0</v>
      </c>
      <c r="Q802" t="n">
        <v>0</v>
      </c>
      <c r="R802" s="2" t="inlineStr"/>
    </row>
    <row r="803" ht="15" customHeight="1">
      <c r="A803" t="inlineStr">
        <is>
          <t>A 47075-2025</t>
        </is>
      </c>
      <c r="B803" s="1" t="n">
        <v>45929.63728009259</v>
      </c>
      <c r="C803" s="1" t="n">
        <v>45932</v>
      </c>
      <c r="D803" t="inlineStr">
        <is>
          <t>JÄMTLANDS LÄN</t>
        </is>
      </c>
      <c r="E803" t="inlineStr">
        <is>
          <t>RAGUNDA</t>
        </is>
      </c>
      <c r="F803" t="inlineStr">
        <is>
          <t>SCA</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32796-2025</t>
        </is>
      </c>
      <c r="B804" s="1" t="n">
        <v>45839.49082175926</v>
      </c>
      <c r="C804" s="1" t="n">
        <v>45932</v>
      </c>
      <c r="D804" t="inlineStr">
        <is>
          <t>JÄMTLANDS LÄN</t>
        </is>
      </c>
      <c r="E804" t="inlineStr">
        <is>
          <t>RAGUNDA</t>
        </is>
      </c>
      <c r="G804" t="n">
        <v>1.7</v>
      </c>
      <c r="H804" t="n">
        <v>0</v>
      </c>
      <c r="I804" t="n">
        <v>0</v>
      </c>
      <c r="J804" t="n">
        <v>0</v>
      </c>
      <c r="K804" t="n">
        <v>0</v>
      </c>
      <c r="L804" t="n">
        <v>0</v>
      </c>
      <c r="M804" t="n">
        <v>0</v>
      </c>
      <c r="N804" t="n">
        <v>0</v>
      </c>
      <c r="O804" t="n">
        <v>0</v>
      </c>
      <c r="P804" t="n">
        <v>0</v>
      </c>
      <c r="Q804" t="n">
        <v>0</v>
      </c>
      <c r="R804" s="2" t="inlineStr"/>
    </row>
    <row r="805" ht="15" customHeight="1">
      <c r="A805" t="inlineStr">
        <is>
          <t>A 32655-2025</t>
        </is>
      </c>
      <c r="B805" s="1" t="n">
        <v>45838.67800925926</v>
      </c>
      <c r="C805" s="1" t="n">
        <v>45932</v>
      </c>
      <c r="D805" t="inlineStr">
        <is>
          <t>JÄMTLANDS LÄN</t>
        </is>
      </c>
      <c r="E805" t="inlineStr">
        <is>
          <t>RAGUNDA</t>
        </is>
      </c>
      <c r="G805" t="n">
        <v>2.8</v>
      </c>
      <c r="H805" t="n">
        <v>0</v>
      </c>
      <c r="I805" t="n">
        <v>0</v>
      </c>
      <c r="J805" t="n">
        <v>0</v>
      </c>
      <c r="K805" t="n">
        <v>0</v>
      </c>
      <c r="L805" t="n">
        <v>0</v>
      </c>
      <c r="M805" t="n">
        <v>0</v>
      </c>
      <c r="N805" t="n">
        <v>0</v>
      </c>
      <c r="O805" t="n">
        <v>0</v>
      </c>
      <c r="P805" t="n">
        <v>0</v>
      </c>
      <c r="Q805" t="n">
        <v>0</v>
      </c>
      <c r="R805" s="2" t="inlineStr"/>
    </row>
    <row r="806" ht="15" customHeight="1">
      <c r="A806" t="inlineStr">
        <is>
          <t>A 32751-2025</t>
        </is>
      </c>
      <c r="B806" s="1" t="n">
        <v>45839.42864583333</v>
      </c>
      <c r="C806" s="1" t="n">
        <v>45932</v>
      </c>
      <c r="D806" t="inlineStr">
        <is>
          <t>JÄMTLANDS LÄN</t>
        </is>
      </c>
      <c r="E806" t="inlineStr">
        <is>
          <t>RAGUNDA</t>
        </is>
      </c>
      <c r="F806" t="inlineStr">
        <is>
          <t>SCA</t>
        </is>
      </c>
      <c r="G806" t="n">
        <v>10</v>
      </c>
      <c r="H806" t="n">
        <v>0</v>
      </c>
      <c r="I806" t="n">
        <v>0</v>
      </c>
      <c r="J806" t="n">
        <v>0</v>
      </c>
      <c r="K806" t="n">
        <v>0</v>
      </c>
      <c r="L806" t="n">
        <v>0</v>
      </c>
      <c r="M806" t="n">
        <v>0</v>
      </c>
      <c r="N806" t="n">
        <v>0</v>
      </c>
      <c r="O806" t="n">
        <v>0</v>
      </c>
      <c r="P806" t="n">
        <v>0</v>
      </c>
      <c r="Q806" t="n">
        <v>0</v>
      </c>
      <c r="R806" s="2" t="inlineStr"/>
    </row>
    <row r="807" ht="15" customHeight="1">
      <c r="A807" t="inlineStr">
        <is>
          <t>A 29766-2023</t>
        </is>
      </c>
      <c r="B807" s="1" t="n">
        <v>45098</v>
      </c>
      <c r="C807" s="1" t="n">
        <v>45932</v>
      </c>
      <c r="D807" t="inlineStr">
        <is>
          <t>JÄMTLANDS LÄN</t>
        </is>
      </c>
      <c r="E807" t="inlineStr">
        <is>
          <t>RAGUNDA</t>
        </is>
      </c>
      <c r="G807" t="n">
        <v>2.7</v>
      </c>
      <c r="H807" t="n">
        <v>0</v>
      </c>
      <c r="I807" t="n">
        <v>0</v>
      </c>
      <c r="J807" t="n">
        <v>0</v>
      </c>
      <c r="K807" t="n">
        <v>0</v>
      </c>
      <c r="L807" t="n">
        <v>0</v>
      </c>
      <c r="M807" t="n">
        <v>0</v>
      </c>
      <c r="N807" t="n">
        <v>0</v>
      </c>
      <c r="O807" t="n">
        <v>0</v>
      </c>
      <c r="P807" t="n">
        <v>0</v>
      </c>
      <c r="Q807" t="n">
        <v>0</v>
      </c>
      <c r="R807" s="2" t="inlineStr"/>
    </row>
    <row r="808" ht="15" customHeight="1">
      <c r="A808" t="inlineStr">
        <is>
          <t>A 61107-2024</t>
        </is>
      </c>
      <c r="B808" s="1" t="n">
        <v>45645.55665509259</v>
      </c>
      <c r="C808" s="1" t="n">
        <v>45932</v>
      </c>
      <c r="D808" t="inlineStr">
        <is>
          <t>JÄMTLANDS LÄN</t>
        </is>
      </c>
      <c r="E808" t="inlineStr">
        <is>
          <t>RAGUNDA</t>
        </is>
      </c>
      <c r="G808" t="n">
        <v>3.2</v>
      </c>
      <c r="H808" t="n">
        <v>0</v>
      </c>
      <c r="I808" t="n">
        <v>0</v>
      </c>
      <c r="J808" t="n">
        <v>0</v>
      </c>
      <c r="K808" t="n">
        <v>0</v>
      </c>
      <c r="L808" t="n">
        <v>0</v>
      </c>
      <c r="M808" t="n">
        <v>0</v>
      </c>
      <c r="N808" t="n">
        <v>0</v>
      </c>
      <c r="O808" t="n">
        <v>0</v>
      </c>
      <c r="P808" t="n">
        <v>0</v>
      </c>
      <c r="Q808" t="n">
        <v>0</v>
      </c>
      <c r="R808" s="2" t="inlineStr"/>
    </row>
    <row r="809" ht="15" customHeight="1">
      <c r="A809" t="inlineStr">
        <is>
          <t>A 23287-2024</t>
        </is>
      </c>
      <c r="B809" s="1" t="n">
        <v>45453.42041666667</v>
      </c>
      <c r="C809" s="1" t="n">
        <v>45932</v>
      </c>
      <c r="D809" t="inlineStr">
        <is>
          <t>JÄMTLANDS LÄN</t>
        </is>
      </c>
      <c r="E809" t="inlineStr">
        <is>
          <t>RAGUNDA</t>
        </is>
      </c>
      <c r="G809" t="n">
        <v>3.1</v>
      </c>
      <c r="H809" t="n">
        <v>0</v>
      </c>
      <c r="I809" t="n">
        <v>0</v>
      </c>
      <c r="J809" t="n">
        <v>0</v>
      </c>
      <c r="K809" t="n">
        <v>0</v>
      </c>
      <c r="L809" t="n">
        <v>0</v>
      </c>
      <c r="M809" t="n">
        <v>0</v>
      </c>
      <c r="N809" t="n">
        <v>0</v>
      </c>
      <c r="O809" t="n">
        <v>0</v>
      </c>
      <c r="P809" t="n">
        <v>0</v>
      </c>
      <c r="Q809" t="n">
        <v>0</v>
      </c>
      <c r="R809" s="2" t="inlineStr"/>
    </row>
    <row r="810" ht="15" customHeight="1">
      <c r="A810" t="inlineStr">
        <is>
          <t>A 36922-2022</t>
        </is>
      </c>
      <c r="B810" s="1" t="n">
        <v>44805.94592592592</v>
      </c>
      <c r="C810" s="1" t="n">
        <v>45932</v>
      </c>
      <c r="D810" t="inlineStr">
        <is>
          <t>JÄMTLANDS LÄN</t>
        </is>
      </c>
      <c r="E810" t="inlineStr">
        <is>
          <t>RAGUNDA</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26347-2023</t>
        </is>
      </c>
      <c r="B811" s="1" t="n">
        <v>45091</v>
      </c>
      <c r="C811" s="1" t="n">
        <v>45932</v>
      </c>
      <c r="D811" t="inlineStr">
        <is>
          <t>JÄMTLANDS LÄN</t>
        </is>
      </c>
      <c r="E811" t="inlineStr">
        <is>
          <t>RAGUNDA</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34483-2023</t>
        </is>
      </c>
      <c r="B812" s="1" t="n">
        <v>45139.94681712963</v>
      </c>
      <c r="C812" s="1" t="n">
        <v>45932</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32777-2025</t>
        </is>
      </c>
      <c r="B813" s="1" t="n">
        <v>45839.46915509259</v>
      </c>
      <c r="C813" s="1" t="n">
        <v>45932</v>
      </c>
      <c r="D813" t="inlineStr">
        <is>
          <t>JÄMTLANDS LÄN</t>
        </is>
      </c>
      <c r="E813" t="inlineStr">
        <is>
          <t>RAGUNDA</t>
        </is>
      </c>
      <c r="F813" t="inlineStr">
        <is>
          <t>SCA</t>
        </is>
      </c>
      <c r="G813" t="n">
        <v>21.7</v>
      </c>
      <c r="H813" t="n">
        <v>0</v>
      </c>
      <c r="I813" t="n">
        <v>0</v>
      </c>
      <c r="J813" t="n">
        <v>0</v>
      </c>
      <c r="K813" t="n">
        <v>0</v>
      </c>
      <c r="L813" t="n">
        <v>0</v>
      </c>
      <c r="M813" t="n">
        <v>0</v>
      </c>
      <c r="N813" t="n">
        <v>0</v>
      </c>
      <c r="O813" t="n">
        <v>0</v>
      </c>
      <c r="P813" t="n">
        <v>0</v>
      </c>
      <c r="Q813" t="n">
        <v>0</v>
      </c>
      <c r="R813" s="2" t="inlineStr"/>
    </row>
    <row r="814" ht="15" customHeight="1">
      <c r="A814" t="inlineStr">
        <is>
          <t>A 32430-2025</t>
        </is>
      </c>
      <c r="B814" s="1" t="n">
        <v>45838.36532407408</v>
      </c>
      <c r="C814" s="1" t="n">
        <v>45932</v>
      </c>
      <c r="D814" t="inlineStr">
        <is>
          <t>JÄMTLANDS LÄN</t>
        </is>
      </c>
      <c r="E814" t="inlineStr">
        <is>
          <t>RAGUNDA</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32747-2025</t>
        </is>
      </c>
      <c r="B815" s="1" t="n">
        <v>45839.42810185185</v>
      </c>
      <c r="C815" s="1" t="n">
        <v>45932</v>
      </c>
      <c r="D815" t="inlineStr">
        <is>
          <t>JÄMTLANDS LÄN</t>
        </is>
      </c>
      <c r="E815" t="inlineStr">
        <is>
          <t>RAGUNDA</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32757-2025</t>
        </is>
      </c>
      <c r="B816" s="1" t="n">
        <v>45838</v>
      </c>
      <c r="C816" s="1" t="n">
        <v>45932</v>
      </c>
      <c r="D816" t="inlineStr">
        <is>
          <t>JÄMTLANDS LÄN</t>
        </is>
      </c>
      <c r="E816" t="inlineStr">
        <is>
          <t>RAGUNDA</t>
        </is>
      </c>
      <c r="G816" t="n">
        <v>4.5</v>
      </c>
      <c r="H816" t="n">
        <v>0</v>
      </c>
      <c r="I816" t="n">
        <v>0</v>
      </c>
      <c r="J816" t="n">
        <v>0</v>
      </c>
      <c r="K816" t="n">
        <v>0</v>
      </c>
      <c r="L816" t="n">
        <v>0</v>
      </c>
      <c r="M816" t="n">
        <v>0</v>
      </c>
      <c r="N816" t="n">
        <v>0</v>
      </c>
      <c r="O816" t="n">
        <v>0</v>
      </c>
      <c r="P816" t="n">
        <v>0</v>
      </c>
      <c r="Q816" t="n">
        <v>0</v>
      </c>
      <c r="R816" s="2" t="inlineStr"/>
    </row>
    <row r="817" ht="15" customHeight="1">
      <c r="A817" t="inlineStr">
        <is>
          <t>A 32846-2025</t>
        </is>
      </c>
      <c r="B817" s="1" t="n">
        <v>45839.57331018519</v>
      </c>
      <c r="C817" s="1" t="n">
        <v>45932</v>
      </c>
      <c r="D817" t="inlineStr">
        <is>
          <t>JÄMTLANDS LÄN</t>
        </is>
      </c>
      <c r="E817" t="inlineStr">
        <is>
          <t>RAGUNDA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37543-2023</t>
        </is>
      </c>
      <c r="B818" s="1" t="n">
        <v>45158.94231481481</v>
      </c>
      <c r="C818" s="1" t="n">
        <v>45932</v>
      </c>
      <c r="D818" t="inlineStr">
        <is>
          <t>JÄMTLANDS LÄN</t>
        </is>
      </c>
      <c r="E818" t="inlineStr">
        <is>
          <t>RAGUNDA</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22948-2024</t>
        </is>
      </c>
      <c r="B819" s="1" t="n">
        <v>45448.94600694445</v>
      </c>
      <c r="C819" s="1" t="n">
        <v>45932</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32748-2025</t>
        </is>
      </c>
      <c r="B820" s="1" t="n">
        <v>45839.42822916667</v>
      </c>
      <c r="C820" s="1" t="n">
        <v>45932</v>
      </c>
      <c r="D820" t="inlineStr">
        <is>
          <t>JÄMTLANDS LÄN</t>
        </is>
      </c>
      <c r="E820" t="inlineStr">
        <is>
          <t>RAGUNDA</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32762-2025</t>
        </is>
      </c>
      <c r="B821" s="1" t="n">
        <v>45838</v>
      </c>
      <c r="C821" s="1" t="n">
        <v>45932</v>
      </c>
      <c r="D821" t="inlineStr">
        <is>
          <t>JÄMTLANDS LÄN</t>
        </is>
      </c>
      <c r="E821" t="inlineStr">
        <is>
          <t>RAGUNDA</t>
        </is>
      </c>
      <c r="G821" t="n">
        <v>0.6</v>
      </c>
      <c r="H821" t="n">
        <v>0</v>
      </c>
      <c r="I821" t="n">
        <v>0</v>
      </c>
      <c r="J821" t="n">
        <v>0</v>
      </c>
      <c r="K821" t="n">
        <v>0</v>
      </c>
      <c r="L821" t="n">
        <v>0</v>
      </c>
      <c r="M821" t="n">
        <v>0</v>
      </c>
      <c r="N821" t="n">
        <v>0</v>
      </c>
      <c r="O821" t="n">
        <v>0</v>
      </c>
      <c r="P821" t="n">
        <v>0</v>
      </c>
      <c r="Q821" t="n">
        <v>0</v>
      </c>
      <c r="R821" s="2" t="inlineStr"/>
    </row>
    <row r="822" ht="15" customHeight="1">
      <c r="A822" t="inlineStr">
        <is>
          <t>A 32660-2025</t>
        </is>
      </c>
      <c r="B822" s="1" t="n">
        <v>45838.67887731481</v>
      </c>
      <c r="C822" s="1" t="n">
        <v>45932</v>
      </c>
      <c r="D822" t="inlineStr">
        <is>
          <t>JÄMTLANDS LÄN</t>
        </is>
      </c>
      <c r="E822" t="inlineStr">
        <is>
          <t>RAGUNDA</t>
        </is>
      </c>
      <c r="F822" t="inlineStr">
        <is>
          <t>SCA</t>
        </is>
      </c>
      <c r="G822" t="n">
        <v>10.3</v>
      </c>
      <c r="H822" t="n">
        <v>0</v>
      </c>
      <c r="I822" t="n">
        <v>0</v>
      </c>
      <c r="J822" t="n">
        <v>0</v>
      </c>
      <c r="K822" t="n">
        <v>0</v>
      </c>
      <c r="L822" t="n">
        <v>0</v>
      </c>
      <c r="M822" t="n">
        <v>0</v>
      </c>
      <c r="N822" t="n">
        <v>0</v>
      </c>
      <c r="O822" t="n">
        <v>0</v>
      </c>
      <c r="P822" t="n">
        <v>0</v>
      </c>
      <c r="Q822" t="n">
        <v>0</v>
      </c>
      <c r="R822" s="2" t="inlineStr"/>
    </row>
    <row r="823" ht="15" customHeight="1">
      <c r="A823" t="inlineStr">
        <is>
          <t>A 32527-2025</t>
        </is>
      </c>
      <c r="B823" s="1" t="n">
        <v>45838.48996527777</v>
      </c>
      <c r="C823" s="1" t="n">
        <v>45932</v>
      </c>
      <c r="D823" t="inlineStr">
        <is>
          <t>JÄMTLANDS LÄN</t>
        </is>
      </c>
      <c r="E823" t="inlineStr">
        <is>
          <t>RAGUNDA</t>
        </is>
      </c>
      <c r="G823" t="n">
        <v>5</v>
      </c>
      <c r="H823" t="n">
        <v>0</v>
      </c>
      <c r="I823" t="n">
        <v>0</v>
      </c>
      <c r="J823" t="n">
        <v>0</v>
      </c>
      <c r="K823" t="n">
        <v>0</v>
      </c>
      <c r="L823" t="n">
        <v>0</v>
      </c>
      <c r="M823" t="n">
        <v>0</v>
      </c>
      <c r="N823" t="n">
        <v>0</v>
      </c>
      <c r="O823" t="n">
        <v>0</v>
      </c>
      <c r="P823" t="n">
        <v>0</v>
      </c>
      <c r="Q823" t="n">
        <v>0</v>
      </c>
      <c r="R823" s="2" t="inlineStr"/>
    </row>
    <row r="824" ht="15" customHeight="1">
      <c r="A824" t="inlineStr">
        <is>
          <t>A 33140-2025</t>
        </is>
      </c>
      <c r="B824" s="1" t="n">
        <v>45840.52225694444</v>
      </c>
      <c r="C824" s="1" t="n">
        <v>45932</v>
      </c>
      <c r="D824" t="inlineStr">
        <is>
          <t>JÄMTLANDS LÄN</t>
        </is>
      </c>
      <c r="E824" t="inlineStr">
        <is>
          <t>RAGUNDA</t>
        </is>
      </c>
      <c r="G824" t="n">
        <v>2</v>
      </c>
      <c r="H824" t="n">
        <v>0</v>
      </c>
      <c r="I824" t="n">
        <v>0</v>
      </c>
      <c r="J824" t="n">
        <v>0</v>
      </c>
      <c r="K824" t="n">
        <v>0</v>
      </c>
      <c r="L824" t="n">
        <v>0</v>
      </c>
      <c r="M824" t="n">
        <v>0</v>
      </c>
      <c r="N824" t="n">
        <v>0</v>
      </c>
      <c r="O824" t="n">
        <v>0</v>
      </c>
      <c r="P824" t="n">
        <v>0</v>
      </c>
      <c r="Q824" t="n">
        <v>0</v>
      </c>
      <c r="R824" s="2" t="inlineStr"/>
    </row>
    <row r="825" ht="15" customHeight="1">
      <c r="A825" t="inlineStr">
        <is>
          <t>A 7668-2025</t>
        </is>
      </c>
      <c r="B825" s="1" t="n">
        <v>45706.34450231482</v>
      </c>
      <c r="C825" s="1" t="n">
        <v>45932</v>
      </c>
      <c r="D825" t="inlineStr">
        <is>
          <t>JÄMTLANDS LÄN</t>
        </is>
      </c>
      <c r="E825" t="inlineStr">
        <is>
          <t>RAGUNDA</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33556-2025</t>
        </is>
      </c>
      <c r="B826" s="1" t="n">
        <v>45841.57427083333</v>
      </c>
      <c r="C826" s="1" t="n">
        <v>45932</v>
      </c>
      <c r="D826" t="inlineStr">
        <is>
          <t>JÄMTLANDS LÄN</t>
        </is>
      </c>
      <c r="E826" t="inlineStr">
        <is>
          <t>RAGUNDA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36046-2023</t>
        </is>
      </c>
      <c r="B827" s="1" t="n">
        <v>45148</v>
      </c>
      <c r="C827" s="1" t="n">
        <v>45932</v>
      </c>
      <c r="D827" t="inlineStr">
        <is>
          <t>JÄMTLANDS LÄN</t>
        </is>
      </c>
      <c r="E827" t="inlineStr">
        <is>
          <t>RAGUNDA</t>
        </is>
      </c>
      <c r="G827" t="n">
        <v>1.9</v>
      </c>
      <c r="H827" t="n">
        <v>0</v>
      </c>
      <c r="I827" t="n">
        <v>0</v>
      </c>
      <c r="J827" t="n">
        <v>0</v>
      </c>
      <c r="K827" t="n">
        <v>0</v>
      </c>
      <c r="L827" t="n">
        <v>0</v>
      </c>
      <c r="M827" t="n">
        <v>0</v>
      </c>
      <c r="N827" t="n">
        <v>0</v>
      </c>
      <c r="O827" t="n">
        <v>0</v>
      </c>
      <c r="P827" t="n">
        <v>0</v>
      </c>
      <c r="Q827" t="n">
        <v>0</v>
      </c>
      <c r="R827" s="2" t="inlineStr"/>
    </row>
    <row r="828" ht="15" customHeight="1">
      <c r="A828" t="inlineStr">
        <is>
          <t>A 23304-2023</t>
        </is>
      </c>
      <c r="B828" s="1" t="n">
        <v>45075.945</v>
      </c>
      <c r="C828" s="1" t="n">
        <v>45932</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46689-2025</t>
        </is>
      </c>
      <c r="B829" s="1" t="n">
        <v>45926.55307870371</v>
      </c>
      <c r="C829" s="1" t="n">
        <v>45932</v>
      </c>
      <c r="D829" t="inlineStr">
        <is>
          <t>JÄMTLANDS LÄN</t>
        </is>
      </c>
      <c r="E829" t="inlineStr">
        <is>
          <t>RAGUNDA</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46753-2025</t>
        </is>
      </c>
      <c r="B830" s="1" t="n">
        <v>45926.61552083334</v>
      </c>
      <c r="C830" s="1" t="n">
        <v>45932</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36226-2023</t>
        </is>
      </c>
      <c r="B831" s="1" t="n">
        <v>45149.95372685185</v>
      </c>
      <c r="C831" s="1" t="n">
        <v>45932</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18615-2024</t>
        </is>
      </c>
      <c r="B832" s="1" t="n">
        <v>45425.96275462963</v>
      </c>
      <c r="C832" s="1" t="n">
        <v>45932</v>
      </c>
      <c r="D832" t="inlineStr">
        <is>
          <t>JÄMTLANDS LÄN</t>
        </is>
      </c>
      <c r="E832" t="inlineStr">
        <is>
          <t>RAGUNDA</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40269-2022</t>
        </is>
      </c>
      <c r="B833" s="1" t="n">
        <v>44820</v>
      </c>
      <c r="C833" s="1" t="n">
        <v>45932</v>
      </c>
      <c r="D833" t="inlineStr">
        <is>
          <t>JÄMTLANDS LÄN</t>
        </is>
      </c>
      <c r="E833" t="inlineStr">
        <is>
          <t>RAGUNDA</t>
        </is>
      </c>
      <c r="F833" t="inlineStr">
        <is>
          <t>SCA</t>
        </is>
      </c>
      <c r="G833" t="n">
        <v>77.8</v>
      </c>
      <c r="H833" t="n">
        <v>0</v>
      </c>
      <c r="I833" t="n">
        <v>0</v>
      </c>
      <c r="J833" t="n">
        <v>0</v>
      </c>
      <c r="K833" t="n">
        <v>0</v>
      </c>
      <c r="L833" t="n">
        <v>0</v>
      </c>
      <c r="M833" t="n">
        <v>0</v>
      </c>
      <c r="N833" t="n">
        <v>0</v>
      </c>
      <c r="O833" t="n">
        <v>0</v>
      </c>
      <c r="P833" t="n">
        <v>0</v>
      </c>
      <c r="Q833" t="n">
        <v>0</v>
      </c>
      <c r="R833" s="2" t="inlineStr"/>
    </row>
    <row r="834" ht="15" customHeight="1">
      <c r="A834" t="inlineStr">
        <is>
          <t>A 37242-2024</t>
        </is>
      </c>
      <c r="B834" s="1" t="n">
        <v>45540.34428240741</v>
      </c>
      <c r="C834" s="1" t="n">
        <v>45932</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46825-2025</t>
        </is>
      </c>
      <c r="B835" s="1" t="n">
        <v>45926.92506944444</v>
      </c>
      <c r="C835" s="1" t="n">
        <v>45932</v>
      </c>
      <c r="D835" t="inlineStr">
        <is>
          <t>JÄMTLANDS LÄN</t>
        </is>
      </c>
      <c r="E835" t="inlineStr">
        <is>
          <t>RAGUNDA</t>
        </is>
      </c>
      <c r="G835" t="n">
        <v>1.4</v>
      </c>
      <c r="H835" t="n">
        <v>0</v>
      </c>
      <c r="I835" t="n">
        <v>0</v>
      </c>
      <c r="J835" t="n">
        <v>0</v>
      </c>
      <c r="K835" t="n">
        <v>0</v>
      </c>
      <c r="L835" t="n">
        <v>0</v>
      </c>
      <c r="M835" t="n">
        <v>0</v>
      </c>
      <c r="N835" t="n">
        <v>0</v>
      </c>
      <c r="O835" t="n">
        <v>0</v>
      </c>
      <c r="P835" t="n">
        <v>0</v>
      </c>
      <c r="Q835" t="n">
        <v>0</v>
      </c>
      <c r="R835" s="2" t="inlineStr"/>
    </row>
    <row r="836" ht="15" customHeight="1">
      <c r="A836" t="inlineStr">
        <is>
          <t>A 33763-2025</t>
        </is>
      </c>
      <c r="B836" s="1" t="n">
        <v>45842.38579861111</v>
      </c>
      <c r="C836" s="1" t="n">
        <v>45932</v>
      </c>
      <c r="D836" t="inlineStr">
        <is>
          <t>JÄMTLANDS LÄN</t>
        </is>
      </c>
      <c r="E836" t="inlineStr">
        <is>
          <t>RAGUNDA</t>
        </is>
      </c>
      <c r="F836" t="inlineStr">
        <is>
          <t>SCA</t>
        </is>
      </c>
      <c r="G836" t="n">
        <v>13.4</v>
      </c>
      <c r="H836" t="n">
        <v>0</v>
      </c>
      <c r="I836" t="n">
        <v>0</v>
      </c>
      <c r="J836" t="n">
        <v>0</v>
      </c>
      <c r="K836" t="n">
        <v>0</v>
      </c>
      <c r="L836" t="n">
        <v>0</v>
      </c>
      <c r="M836" t="n">
        <v>0</v>
      </c>
      <c r="N836" t="n">
        <v>0</v>
      </c>
      <c r="O836" t="n">
        <v>0</v>
      </c>
      <c r="P836" t="n">
        <v>0</v>
      </c>
      <c r="Q836" t="n">
        <v>0</v>
      </c>
      <c r="R836" s="2" t="inlineStr"/>
    </row>
    <row r="837" ht="15" customHeight="1">
      <c r="A837" t="inlineStr">
        <is>
          <t>A 45438-2022</t>
        </is>
      </c>
      <c r="B837" s="1" t="n">
        <v>44844.95368055555</v>
      </c>
      <c r="C837" s="1" t="n">
        <v>45932</v>
      </c>
      <c r="D837" t="inlineStr">
        <is>
          <t>JÄMTLANDS LÄN</t>
        </is>
      </c>
      <c r="E837" t="inlineStr">
        <is>
          <t>RAGUNDA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56191-2022</t>
        </is>
      </c>
      <c r="B838" s="1" t="n">
        <v>44889.95015046297</v>
      </c>
      <c r="C838" s="1" t="n">
        <v>45932</v>
      </c>
      <c r="D838" t="inlineStr">
        <is>
          <t>JÄMTLANDS LÄN</t>
        </is>
      </c>
      <c r="E838" t="inlineStr">
        <is>
          <t>RAGUNDA</t>
        </is>
      </c>
      <c r="F838" t="inlineStr">
        <is>
          <t>Sveaskog</t>
        </is>
      </c>
      <c r="G838" t="n">
        <v>3</v>
      </c>
      <c r="H838" t="n">
        <v>0</v>
      </c>
      <c r="I838" t="n">
        <v>0</v>
      </c>
      <c r="J838" t="n">
        <v>0</v>
      </c>
      <c r="K838" t="n">
        <v>0</v>
      </c>
      <c r="L838" t="n">
        <v>0</v>
      </c>
      <c r="M838" t="n">
        <v>0</v>
      </c>
      <c r="N838" t="n">
        <v>0</v>
      </c>
      <c r="O838" t="n">
        <v>0</v>
      </c>
      <c r="P838" t="n">
        <v>0</v>
      </c>
      <c r="Q838" t="n">
        <v>0</v>
      </c>
      <c r="R838" s="2" t="inlineStr"/>
    </row>
    <row r="839" ht="15" customHeight="1">
      <c r="A839" t="inlineStr">
        <is>
          <t>A 33790-2025</t>
        </is>
      </c>
      <c r="B839" s="1" t="n">
        <v>45842.42608796297</v>
      </c>
      <c r="C839" s="1" t="n">
        <v>45932</v>
      </c>
      <c r="D839" t="inlineStr">
        <is>
          <t>JÄMTLANDS LÄN</t>
        </is>
      </c>
      <c r="E839" t="inlineStr">
        <is>
          <t>RAGUNDA</t>
        </is>
      </c>
      <c r="G839" t="n">
        <v>0.3</v>
      </c>
      <c r="H839" t="n">
        <v>0</v>
      </c>
      <c r="I839" t="n">
        <v>0</v>
      </c>
      <c r="J839" t="n">
        <v>0</v>
      </c>
      <c r="K839" t="n">
        <v>0</v>
      </c>
      <c r="L839" t="n">
        <v>0</v>
      </c>
      <c r="M839" t="n">
        <v>0</v>
      </c>
      <c r="N839" t="n">
        <v>0</v>
      </c>
      <c r="O839" t="n">
        <v>0</v>
      </c>
      <c r="P839" t="n">
        <v>0</v>
      </c>
      <c r="Q839" t="n">
        <v>0</v>
      </c>
      <c r="R839" s="2" t="inlineStr"/>
    </row>
    <row r="840" ht="15" customHeight="1">
      <c r="A840" t="inlineStr">
        <is>
          <t>A 30823-2023</t>
        </is>
      </c>
      <c r="B840" s="1" t="n">
        <v>45112</v>
      </c>
      <c r="C840" s="1" t="n">
        <v>45932</v>
      </c>
      <c r="D840" t="inlineStr">
        <is>
          <t>JÄMTLANDS LÄN</t>
        </is>
      </c>
      <c r="E840" t="inlineStr">
        <is>
          <t>RAGUNDA</t>
        </is>
      </c>
      <c r="F840" t="inlineStr">
        <is>
          <t>SCA</t>
        </is>
      </c>
      <c r="G840" t="n">
        <v>9</v>
      </c>
      <c r="H840" t="n">
        <v>0</v>
      </c>
      <c r="I840" t="n">
        <v>0</v>
      </c>
      <c r="J840" t="n">
        <v>0</v>
      </c>
      <c r="K840" t="n">
        <v>0</v>
      </c>
      <c r="L840" t="n">
        <v>0</v>
      </c>
      <c r="M840" t="n">
        <v>0</v>
      </c>
      <c r="N840" t="n">
        <v>0</v>
      </c>
      <c r="O840" t="n">
        <v>0</v>
      </c>
      <c r="P840" t="n">
        <v>0</v>
      </c>
      <c r="Q840" t="n">
        <v>0</v>
      </c>
      <c r="R840" s="2" t="inlineStr"/>
    </row>
    <row r="841" ht="15" customHeight="1">
      <c r="A841" t="inlineStr">
        <is>
          <t>A 34607-2025</t>
        </is>
      </c>
      <c r="B841" s="1" t="n">
        <v>45847.65703703704</v>
      </c>
      <c r="C841" s="1" t="n">
        <v>45932</v>
      </c>
      <c r="D841" t="inlineStr">
        <is>
          <t>JÄMTLANDS LÄN</t>
        </is>
      </c>
      <c r="E841" t="inlineStr">
        <is>
          <t>RAGUNDA</t>
        </is>
      </c>
      <c r="F841" t="inlineStr">
        <is>
          <t>SCA</t>
        </is>
      </c>
      <c r="G841" t="n">
        <v>31.4</v>
      </c>
      <c r="H841" t="n">
        <v>0</v>
      </c>
      <c r="I841" t="n">
        <v>0</v>
      </c>
      <c r="J841" t="n">
        <v>0</v>
      </c>
      <c r="K841" t="n">
        <v>0</v>
      </c>
      <c r="L841" t="n">
        <v>0</v>
      </c>
      <c r="M841" t="n">
        <v>0</v>
      </c>
      <c r="N841" t="n">
        <v>0</v>
      </c>
      <c r="O841" t="n">
        <v>0</v>
      </c>
      <c r="P841" t="n">
        <v>0</v>
      </c>
      <c r="Q841" t="n">
        <v>0</v>
      </c>
      <c r="R841" s="2" t="inlineStr"/>
    </row>
    <row r="842" ht="15" customHeight="1">
      <c r="A842" t="inlineStr">
        <is>
          <t>A 34461-2025</t>
        </is>
      </c>
      <c r="B842" s="1" t="n">
        <v>45847.34474537037</v>
      </c>
      <c r="C842" s="1" t="n">
        <v>45932</v>
      </c>
      <c r="D842" t="inlineStr">
        <is>
          <t>JÄMTLANDS LÄN</t>
        </is>
      </c>
      <c r="E842" t="inlineStr">
        <is>
          <t>RAGUNDA</t>
        </is>
      </c>
      <c r="F842" t="inlineStr">
        <is>
          <t>SCA</t>
        </is>
      </c>
      <c r="G842" t="n">
        <v>44.8</v>
      </c>
      <c r="H842" t="n">
        <v>0</v>
      </c>
      <c r="I842" t="n">
        <v>0</v>
      </c>
      <c r="J842" t="n">
        <v>0</v>
      </c>
      <c r="K842" t="n">
        <v>0</v>
      </c>
      <c r="L842" t="n">
        <v>0</v>
      </c>
      <c r="M842" t="n">
        <v>0</v>
      </c>
      <c r="N842" t="n">
        <v>0</v>
      </c>
      <c r="O842" t="n">
        <v>0</v>
      </c>
      <c r="P842" t="n">
        <v>0</v>
      </c>
      <c r="Q842" t="n">
        <v>0</v>
      </c>
      <c r="R842" s="2" t="inlineStr"/>
    </row>
    <row r="843" ht="15" customHeight="1">
      <c r="A843" t="inlineStr">
        <is>
          <t>A 34464-2025</t>
        </is>
      </c>
      <c r="B843" s="1" t="n">
        <v>45847.34528935186</v>
      </c>
      <c r="C843" s="1" t="n">
        <v>45932</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34468-2025</t>
        </is>
      </c>
      <c r="B844" s="1" t="n">
        <v>45847.34597222223</v>
      </c>
      <c r="C844" s="1" t="n">
        <v>45932</v>
      </c>
      <c r="D844" t="inlineStr">
        <is>
          <t>JÄMTLANDS LÄN</t>
        </is>
      </c>
      <c r="E844" t="inlineStr">
        <is>
          <t>RAGUNDA</t>
        </is>
      </c>
      <c r="F844" t="inlineStr">
        <is>
          <t>SCA</t>
        </is>
      </c>
      <c r="G844" t="n">
        <v>10</v>
      </c>
      <c r="H844" t="n">
        <v>0</v>
      </c>
      <c r="I844" t="n">
        <v>0</v>
      </c>
      <c r="J844" t="n">
        <v>0</v>
      </c>
      <c r="K844" t="n">
        <v>0</v>
      </c>
      <c r="L844" t="n">
        <v>0</v>
      </c>
      <c r="M844" t="n">
        <v>0</v>
      </c>
      <c r="N844" t="n">
        <v>0</v>
      </c>
      <c r="O844" t="n">
        <v>0</v>
      </c>
      <c r="P844" t="n">
        <v>0</v>
      </c>
      <c r="Q844" t="n">
        <v>0</v>
      </c>
      <c r="R844" s="2" t="inlineStr"/>
    </row>
    <row r="845" ht="15" customHeight="1">
      <c r="A845" t="inlineStr">
        <is>
          <t>A 34466-2025</t>
        </is>
      </c>
      <c r="B845" s="1" t="n">
        <v>45847.34565972222</v>
      </c>
      <c r="C845" s="1" t="n">
        <v>45932</v>
      </c>
      <c r="D845" t="inlineStr">
        <is>
          <t>JÄMTLANDS LÄN</t>
        </is>
      </c>
      <c r="E845" t="inlineStr">
        <is>
          <t>RAGUNDA</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34463-2025</t>
        </is>
      </c>
      <c r="B846" s="1" t="n">
        <v>45847.34515046296</v>
      </c>
      <c r="C846" s="1" t="n">
        <v>45932</v>
      </c>
      <c r="D846" t="inlineStr">
        <is>
          <t>JÄMTLANDS LÄN</t>
        </is>
      </c>
      <c r="E846" t="inlineStr">
        <is>
          <t>RAGUNDA</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8654-2024</t>
        </is>
      </c>
      <c r="B847" s="1" t="n">
        <v>45356.03784722222</v>
      </c>
      <c r="C847" s="1" t="n">
        <v>45932</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25304-2023</t>
        </is>
      </c>
      <c r="B848" s="1" t="n">
        <v>45086</v>
      </c>
      <c r="C848" s="1" t="n">
        <v>45932</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43339-2024</t>
        </is>
      </c>
      <c r="B849" s="1" t="n">
        <v>45568.51075231482</v>
      </c>
      <c r="C849" s="1" t="n">
        <v>45932</v>
      </c>
      <c r="D849" t="inlineStr">
        <is>
          <t>JÄMTLANDS LÄN</t>
        </is>
      </c>
      <c r="E849" t="inlineStr">
        <is>
          <t>RAGUNDA</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6902-2024</t>
        </is>
      </c>
      <c r="B850" s="1" t="n">
        <v>45342</v>
      </c>
      <c r="C850" s="1" t="n">
        <v>45932</v>
      </c>
      <c r="D850" t="inlineStr">
        <is>
          <t>JÄMTLANDS LÄN</t>
        </is>
      </c>
      <c r="E850" t="inlineStr">
        <is>
          <t>RAGUNDA</t>
        </is>
      </c>
      <c r="F850" t="inlineStr">
        <is>
          <t>SCA</t>
        </is>
      </c>
      <c r="G850" t="n">
        <v>18.7</v>
      </c>
      <c r="H850" t="n">
        <v>0</v>
      </c>
      <c r="I850" t="n">
        <v>0</v>
      </c>
      <c r="J850" t="n">
        <v>0</v>
      </c>
      <c r="K850" t="n">
        <v>0</v>
      </c>
      <c r="L850" t="n">
        <v>0</v>
      </c>
      <c r="M850" t="n">
        <v>0</v>
      </c>
      <c r="N850" t="n">
        <v>0</v>
      </c>
      <c r="O850" t="n">
        <v>0</v>
      </c>
      <c r="P850" t="n">
        <v>0</v>
      </c>
      <c r="Q850" t="n">
        <v>0</v>
      </c>
      <c r="R850" s="2" t="inlineStr"/>
    </row>
    <row r="851" ht="15" customHeight="1">
      <c r="A851" t="inlineStr">
        <is>
          <t>A 6905-2024</t>
        </is>
      </c>
      <c r="B851" s="1" t="n">
        <v>45342.9462037037</v>
      </c>
      <c r="C851" s="1" t="n">
        <v>45932</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43102-2023</t>
        </is>
      </c>
      <c r="B852" s="1" t="n">
        <v>45182</v>
      </c>
      <c r="C852" s="1" t="n">
        <v>45932</v>
      </c>
      <c r="D852" t="inlineStr">
        <is>
          <t>JÄMTLANDS LÄN</t>
        </is>
      </c>
      <c r="E852" t="inlineStr">
        <is>
          <t>RAGUNDA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34586-2025</t>
        </is>
      </c>
      <c r="B853" s="1" t="n">
        <v>45847.61513888889</v>
      </c>
      <c r="C853" s="1" t="n">
        <v>45932</v>
      </c>
      <c r="D853" t="inlineStr">
        <is>
          <t>JÄMTLANDS LÄN</t>
        </is>
      </c>
      <c r="E853" t="inlineStr">
        <is>
          <t>RAGUNDA</t>
        </is>
      </c>
      <c r="G853" t="n">
        <v>1.6</v>
      </c>
      <c r="H853" t="n">
        <v>0</v>
      </c>
      <c r="I853" t="n">
        <v>0</v>
      </c>
      <c r="J853" t="n">
        <v>0</v>
      </c>
      <c r="K853" t="n">
        <v>0</v>
      </c>
      <c r="L853" t="n">
        <v>0</v>
      </c>
      <c r="M853" t="n">
        <v>0</v>
      </c>
      <c r="N853" t="n">
        <v>0</v>
      </c>
      <c r="O853" t="n">
        <v>0</v>
      </c>
      <c r="P853" t="n">
        <v>0</v>
      </c>
      <c r="Q853" t="n">
        <v>0</v>
      </c>
      <c r="R853" s="2" t="inlineStr"/>
    </row>
    <row r="854" ht="15" customHeight="1">
      <c r="A854" t="inlineStr">
        <is>
          <t>A 22731-2023</t>
        </is>
      </c>
      <c r="B854" s="1" t="n">
        <v>45071</v>
      </c>
      <c r="C854" s="1" t="n">
        <v>45932</v>
      </c>
      <c r="D854" t="inlineStr">
        <is>
          <t>JÄMTLANDS LÄN</t>
        </is>
      </c>
      <c r="E854" t="inlineStr">
        <is>
          <t>RAGUNDA</t>
        </is>
      </c>
      <c r="G854" t="n">
        <v>1.5</v>
      </c>
      <c r="H854" t="n">
        <v>0</v>
      </c>
      <c r="I854" t="n">
        <v>0</v>
      </c>
      <c r="J854" t="n">
        <v>0</v>
      </c>
      <c r="K854" t="n">
        <v>0</v>
      </c>
      <c r="L854" t="n">
        <v>0</v>
      </c>
      <c r="M854" t="n">
        <v>0</v>
      </c>
      <c r="N854" t="n">
        <v>0</v>
      </c>
      <c r="O854" t="n">
        <v>0</v>
      </c>
      <c r="P854" t="n">
        <v>0</v>
      </c>
      <c r="Q854" t="n">
        <v>0</v>
      </c>
      <c r="R854" s="2" t="inlineStr"/>
    </row>
    <row r="855" ht="15" customHeight="1">
      <c r="A855" t="inlineStr">
        <is>
          <t>A 34588-2025</t>
        </is>
      </c>
      <c r="B855" s="1" t="n">
        <v>45847.61548611111</v>
      </c>
      <c r="C855" s="1" t="n">
        <v>45932</v>
      </c>
      <c r="D855" t="inlineStr">
        <is>
          <t>JÄMTLANDS LÄN</t>
        </is>
      </c>
      <c r="E855" t="inlineStr">
        <is>
          <t>RAGUNDA</t>
        </is>
      </c>
      <c r="G855" t="n">
        <v>32.3</v>
      </c>
      <c r="H855" t="n">
        <v>0</v>
      </c>
      <c r="I855" t="n">
        <v>0</v>
      </c>
      <c r="J855" t="n">
        <v>0</v>
      </c>
      <c r="K855" t="n">
        <v>0</v>
      </c>
      <c r="L855" t="n">
        <v>0</v>
      </c>
      <c r="M855" t="n">
        <v>0</v>
      </c>
      <c r="N855" t="n">
        <v>0</v>
      </c>
      <c r="O855" t="n">
        <v>0</v>
      </c>
      <c r="P855" t="n">
        <v>0</v>
      </c>
      <c r="Q855" t="n">
        <v>0</v>
      </c>
      <c r="R855" s="2" t="inlineStr"/>
    </row>
    <row r="856" ht="15" customHeight="1">
      <c r="A856" t="inlineStr">
        <is>
          <t>A 34296-2025</t>
        </is>
      </c>
      <c r="B856" s="1" t="n">
        <v>45846.34454861111</v>
      </c>
      <c r="C856" s="1" t="n">
        <v>45932</v>
      </c>
      <c r="D856" t="inlineStr">
        <is>
          <t>JÄMTLANDS LÄN</t>
        </is>
      </c>
      <c r="E856" t="inlineStr">
        <is>
          <t>RAGUNDA</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34709-2025</t>
        </is>
      </c>
      <c r="B857" s="1" t="n">
        <v>45848.49761574074</v>
      </c>
      <c r="C857" s="1" t="n">
        <v>45932</v>
      </c>
      <c r="D857" t="inlineStr">
        <is>
          <t>JÄMTLANDS LÄN</t>
        </is>
      </c>
      <c r="E857" t="inlineStr">
        <is>
          <t>RAGUNDA</t>
        </is>
      </c>
      <c r="G857" t="n">
        <v>3.1</v>
      </c>
      <c r="H857" t="n">
        <v>0</v>
      </c>
      <c r="I857" t="n">
        <v>0</v>
      </c>
      <c r="J857" t="n">
        <v>0</v>
      </c>
      <c r="K857" t="n">
        <v>0</v>
      </c>
      <c r="L857" t="n">
        <v>0</v>
      </c>
      <c r="M857" t="n">
        <v>0</v>
      </c>
      <c r="N857" t="n">
        <v>0</v>
      </c>
      <c r="O857" t="n">
        <v>0</v>
      </c>
      <c r="P857" t="n">
        <v>0</v>
      </c>
      <c r="Q857" t="n">
        <v>0</v>
      </c>
      <c r="R857" s="2" t="inlineStr"/>
    </row>
    <row r="858" ht="15" customHeight="1">
      <c r="A858" t="inlineStr">
        <is>
          <t>A 11245-2025</t>
        </is>
      </c>
      <c r="B858" s="1" t="n">
        <v>45726.38575231482</v>
      </c>
      <c r="C858" s="1" t="n">
        <v>45932</v>
      </c>
      <c r="D858" t="inlineStr">
        <is>
          <t>JÄMTLANDS LÄN</t>
        </is>
      </c>
      <c r="E858" t="inlineStr">
        <is>
          <t>RAGUNDA</t>
        </is>
      </c>
      <c r="G858" t="n">
        <v>2.3</v>
      </c>
      <c r="H858" t="n">
        <v>0</v>
      </c>
      <c r="I858" t="n">
        <v>0</v>
      </c>
      <c r="J858" t="n">
        <v>0</v>
      </c>
      <c r="K858" t="n">
        <v>0</v>
      </c>
      <c r="L858" t="n">
        <v>0</v>
      </c>
      <c r="M858" t="n">
        <v>0</v>
      </c>
      <c r="N858" t="n">
        <v>0</v>
      </c>
      <c r="O858" t="n">
        <v>0</v>
      </c>
      <c r="P858" t="n">
        <v>0</v>
      </c>
      <c r="Q858" t="n">
        <v>0</v>
      </c>
      <c r="R858" s="2" t="inlineStr"/>
    </row>
    <row r="859" ht="15" customHeight="1">
      <c r="A859" t="inlineStr">
        <is>
          <t>A 34772-2025</t>
        </is>
      </c>
      <c r="B859" s="1" t="n">
        <v>45848.65658564815</v>
      </c>
      <c r="C859" s="1" t="n">
        <v>45932</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61923-2024</t>
        </is>
      </c>
      <c r="B860" s="1" t="n">
        <v>45653.44836805556</v>
      </c>
      <c r="C860" s="1" t="n">
        <v>45932</v>
      </c>
      <c r="D860" t="inlineStr">
        <is>
          <t>JÄMTLANDS LÄN</t>
        </is>
      </c>
      <c r="E860" t="inlineStr">
        <is>
          <t>RAGUNDA</t>
        </is>
      </c>
      <c r="F860" t="inlineStr">
        <is>
          <t>SCA</t>
        </is>
      </c>
      <c r="G860" t="n">
        <v>11.1</v>
      </c>
      <c r="H860" t="n">
        <v>0</v>
      </c>
      <c r="I860" t="n">
        <v>0</v>
      </c>
      <c r="J860" t="n">
        <v>0</v>
      </c>
      <c r="K860" t="n">
        <v>0</v>
      </c>
      <c r="L860" t="n">
        <v>0</v>
      </c>
      <c r="M860" t="n">
        <v>0</v>
      </c>
      <c r="N860" t="n">
        <v>0</v>
      </c>
      <c r="O860" t="n">
        <v>0</v>
      </c>
      <c r="P860" t="n">
        <v>0</v>
      </c>
      <c r="Q860" t="n">
        <v>0</v>
      </c>
      <c r="R860" s="2" t="inlineStr"/>
    </row>
    <row r="861" ht="15" customHeight="1">
      <c r="A861" t="inlineStr">
        <is>
          <t>A 9823-2025</t>
        </is>
      </c>
      <c r="B861" s="1" t="n">
        <v>45716</v>
      </c>
      <c r="C861" s="1" t="n">
        <v>45932</v>
      </c>
      <c r="D861" t="inlineStr">
        <is>
          <t>JÄMTLANDS LÄN</t>
        </is>
      </c>
      <c r="E861" t="inlineStr">
        <is>
          <t>RAGUNDA</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13917-2023</t>
        </is>
      </c>
      <c r="B862" s="1" t="n">
        <v>45007</v>
      </c>
      <c r="C862" s="1" t="n">
        <v>45932</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23567-2024</t>
        </is>
      </c>
      <c r="B863" s="1" t="n">
        <v>45453.95538194444</v>
      </c>
      <c r="C863" s="1" t="n">
        <v>45932</v>
      </c>
      <c r="D863" t="inlineStr">
        <is>
          <t>JÄMTLANDS LÄN</t>
        </is>
      </c>
      <c r="E863" t="inlineStr">
        <is>
          <t>RAGUNDA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19246-2023</t>
        </is>
      </c>
      <c r="B864" s="1" t="n">
        <v>45048.94340277778</v>
      </c>
      <c r="C864" s="1" t="n">
        <v>45932</v>
      </c>
      <c r="D864" t="inlineStr">
        <is>
          <t>JÄMTLANDS LÄN</t>
        </is>
      </c>
      <c r="E864" t="inlineStr">
        <is>
          <t>RAGUNDA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53019-2023</t>
        </is>
      </c>
      <c r="B865" s="1" t="n">
        <v>45222</v>
      </c>
      <c r="C865" s="1" t="n">
        <v>45932</v>
      </c>
      <c r="D865" t="inlineStr">
        <is>
          <t>JÄMTLANDS LÄN</t>
        </is>
      </c>
      <c r="E865" t="inlineStr">
        <is>
          <t>RAGUNDA</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61109-2024</t>
        </is>
      </c>
      <c r="B866" s="1" t="n">
        <v>45645.55672453704</v>
      </c>
      <c r="C866" s="1" t="n">
        <v>45932</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34710-2025</t>
        </is>
      </c>
      <c r="B867" s="1" t="n">
        <v>45848.49774305556</v>
      </c>
      <c r="C867" s="1" t="n">
        <v>45932</v>
      </c>
      <c r="D867" t="inlineStr">
        <is>
          <t>JÄMTLANDS LÄN</t>
        </is>
      </c>
      <c r="E867" t="inlineStr">
        <is>
          <t>RAGUNDA</t>
        </is>
      </c>
      <c r="G867" t="n">
        <v>4.1</v>
      </c>
      <c r="H867" t="n">
        <v>0</v>
      </c>
      <c r="I867" t="n">
        <v>0</v>
      </c>
      <c r="J867" t="n">
        <v>0</v>
      </c>
      <c r="K867" t="n">
        <v>0</v>
      </c>
      <c r="L867" t="n">
        <v>0</v>
      </c>
      <c r="M867" t="n">
        <v>0</v>
      </c>
      <c r="N867" t="n">
        <v>0</v>
      </c>
      <c r="O867" t="n">
        <v>0</v>
      </c>
      <c r="P867" t="n">
        <v>0</v>
      </c>
      <c r="Q867" t="n">
        <v>0</v>
      </c>
      <c r="R867" s="2" t="inlineStr"/>
    </row>
    <row r="868" ht="15" customHeight="1">
      <c r="A868" t="inlineStr">
        <is>
          <t>A 14212-2023</t>
        </is>
      </c>
      <c r="B868" s="1" t="n">
        <v>45009</v>
      </c>
      <c r="C868" s="1" t="n">
        <v>45932</v>
      </c>
      <c r="D868" t="inlineStr">
        <is>
          <t>JÄMTLANDS LÄN</t>
        </is>
      </c>
      <c r="E868" t="inlineStr">
        <is>
          <t>RAGUNDA</t>
        </is>
      </c>
      <c r="G868" t="n">
        <v>0.8</v>
      </c>
      <c r="H868" t="n">
        <v>0</v>
      </c>
      <c r="I868" t="n">
        <v>0</v>
      </c>
      <c r="J868" t="n">
        <v>0</v>
      </c>
      <c r="K868" t="n">
        <v>0</v>
      </c>
      <c r="L868" t="n">
        <v>0</v>
      </c>
      <c r="M868" t="n">
        <v>0</v>
      </c>
      <c r="N868" t="n">
        <v>0</v>
      </c>
      <c r="O868" t="n">
        <v>0</v>
      </c>
      <c r="P868" t="n">
        <v>0</v>
      </c>
      <c r="Q868" t="n">
        <v>0</v>
      </c>
      <c r="R868" s="2" t="inlineStr"/>
    </row>
    <row r="869" ht="15" customHeight="1">
      <c r="A869" t="inlineStr">
        <is>
          <t>A 58955-2024</t>
        </is>
      </c>
      <c r="B869" s="1" t="n">
        <v>45636.57329861111</v>
      </c>
      <c r="C869" s="1" t="n">
        <v>45932</v>
      </c>
      <c r="D869" t="inlineStr">
        <is>
          <t>JÄMTLANDS LÄN</t>
        </is>
      </c>
      <c r="E869" t="inlineStr">
        <is>
          <t>RAGUNDA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59996-2023</t>
        </is>
      </c>
      <c r="B870" s="1" t="n">
        <v>45257.92826388889</v>
      </c>
      <c r="C870" s="1" t="n">
        <v>45932</v>
      </c>
      <c r="D870" t="inlineStr">
        <is>
          <t>JÄMTLANDS LÄN</t>
        </is>
      </c>
      <c r="E870" t="inlineStr">
        <is>
          <t>RAGUNDA</t>
        </is>
      </c>
      <c r="G870" t="n">
        <v>2.7</v>
      </c>
      <c r="H870" t="n">
        <v>0</v>
      </c>
      <c r="I870" t="n">
        <v>0</v>
      </c>
      <c r="J870" t="n">
        <v>0</v>
      </c>
      <c r="K870" t="n">
        <v>0</v>
      </c>
      <c r="L870" t="n">
        <v>0</v>
      </c>
      <c r="M870" t="n">
        <v>0</v>
      </c>
      <c r="N870" t="n">
        <v>0</v>
      </c>
      <c r="O870" t="n">
        <v>0</v>
      </c>
      <c r="P870" t="n">
        <v>0</v>
      </c>
      <c r="Q870" t="n">
        <v>0</v>
      </c>
      <c r="R870" s="2" t="inlineStr"/>
    </row>
    <row r="871" ht="15" customHeight="1">
      <c r="A871" t="inlineStr">
        <is>
          <t>A 44980-2023</t>
        </is>
      </c>
      <c r="B871" s="1" t="n">
        <v>45190</v>
      </c>
      <c r="C871" s="1" t="n">
        <v>45932</v>
      </c>
      <c r="D871" t="inlineStr">
        <is>
          <t>JÄMTLANDS LÄN</t>
        </is>
      </c>
      <c r="E871" t="inlineStr">
        <is>
          <t>RAGUNDA</t>
        </is>
      </c>
      <c r="F871" t="inlineStr">
        <is>
          <t>SCA</t>
        </is>
      </c>
      <c r="G871" t="n">
        <v>5.2</v>
      </c>
      <c r="H871" t="n">
        <v>0</v>
      </c>
      <c r="I871" t="n">
        <v>0</v>
      </c>
      <c r="J871" t="n">
        <v>0</v>
      </c>
      <c r="K871" t="n">
        <v>0</v>
      </c>
      <c r="L871" t="n">
        <v>0</v>
      </c>
      <c r="M871" t="n">
        <v>0</v>
      </c>
      <c r="N871" t="n">
        <v>0</v>
      </c>
      <c r="O871" t="n">
        <v>0</v>
      </c>
      <c r="P871" t="n">
        <v>0</v>
      </c>
      <c r="Q871" t="n">
        <v>0</v>
      </c>
      <c r="R871" s="2" t="inlineStr"/>
    </row>
    <row r="872" ht="15" customHeight="1">
      <c r="A872" t="inlineStr">
        <is>
          <t>A 34968-2025</t>
        </is>
      </c>
      <c r="B872" s="1" t="n">
        <v>45849.65663194445</v>
      </c>
      <c r="C872" s="1" t="n">
        <v>45932</v>
      </c>
      <c r="D872" t="inlineStr">
        <is>
          <t>JÄMTLANDS LÄN</t>
        </is>
      </c>
      <c r="E872" t="inlineStr">
        <is>
          <t>RAGUNDA</t>
        </is>
      </c>
      <c r="F872" t="inlineStr">
        <is>
          <t>SCA</t>
        </is>
      </c>
      <c r="G872" t="n">
        <v>20.2</v>
      </c>
      <c r="H872" t="n">
        <v>0</v>
      </c>
      <c r="I872" t="n">
        <v>0</v>
      </c>
      <c r="J872" t="n">
        <v>0</v>
      </c>
      <c r="K872" t="n">
        <v>0</v>
      </c>
      <c r="L872" t="n">
        <v>0</v>
      </c>
      <c r="M872" t="n">
        <v>0</v>
      </c>
      <c r="N872" t="n">
        <v>0</v>
      </c>
      <c r="O872" t="n">
        <v>0</v>
      </c>
      <c r="P872" t="n">
        <v>0</v>
      </c>
      <c r="Q872" t="n">
        <v>0</v>
      </c>
      <c r="R872" s="2" t="inlineStr"/>
    </row>
    <row r="873" ht="15" customHeight="1">
      <c r="A873" t="inlineStr">
        <is>
          <t>A 14076-2023</t>
        </is>
      </c>
      <c r="B873" s="1" t="n">
        <v>45009.0897337963</v>
      </c>
      <c r="C873" s="1" t="n">
        <v>45932</v>
      </c>
      <c r="D873" t="inlineStr">
        <is>
          <t>JÄMTLANDS LÄN</t>
        </is>
      </c>
      <c r="E873" t="inlineStr">
        <is>
          <t>RAGUNDA</t>
        </is>
      </c>
      <c r="F873" t="inlineStr">
        <is>
          <t>SCA</t>
        </is>
      </c>
      <c r="G873" t="n">
        <v>6.4</v>
      </c>
      <c r="H873" t="n">
        <v>0</v>
      </c>
      <c r="I873" t="n">
        <v>0</v>
      </c>
      <c r="J873" t="n">
        <v>0</v>
      </c>
      <c r="K873" t="n">
        <v>0</v>
      </c>
      <c r="L873" t="n">
        <v>0</v>
      </c>
      <c r="M873" t="n">
        <v>0</v>
      </c>
      <c r="N873" t="n">
        <v>0</v>
      </c>
      <c r="O873" t="n">
        <v>0</v>
      </c>
      <c r="P873" t="n">
        <v>0</v>
      </c>
      <c r="Q873" t="n">
        <v>0</v>
      </c>
      <c r="R873" s="2" t="inlineStr"/>
    </row>
    <row r="874" ht="15" customHeight="1">
      <c r="A874" t="inlineStr">
        <is>
          <t>A 39946-2025</t>
        </is>
      </c>
      <c r="B874" s="1" t="n">
        <v>45892.34423611111</v>
      </c>
      <c r="C874" s="1" t="n">
        <v>45932</v>
      </c>
      <c r="D874" t="inlineStr">
        <is>
          <t>JÄMTLANDS LÄN</t>
        </is>
      </c>
      <c r="E874" t="inlineStr">
        <is>
          <t>RAGUNDA</t>
        </is>
      </c>
      <c r="G874" t="n">
        <v>4.7</v>
      </c>
      <c r="H874" t="n">
        <v>0</v>
      </c>
      <c r="I874" t="n">
        <v>0</v>
      </c>
      <c r="J874" t="n">
        <v>0</v>
      </c>
      <c r="K874" t="n">
        <v>0</v>
      </c>
      <c r="L874" t="n">
        <v>0</v>
      </c>
      <c r="M874" t="n">
        <v>0</v>
      </c>
      <c r="N874" t="n">
        <v>0</v>
      </c>
      <c r="O874" t="n">
        <v>0</v>
      </c>
      <c r="P874" t="n">
        <v>0</v>
      </c>
      <c r="Q874" t="n">
        <v>0</v>
      </c>
      <c r="R874" s="2" t="inlineStr"/>
    </row>
    <row r="875" ht="15" customHeight="1">
      <c r="A875" t="inlineStr">
        <is>
          <t>A 39948-2025</t>
        </is>
      </c>
      <c r="B875" s="1" t="n">
        <v>45892.38591435185</v>
      </c>
      <c r="C875" s="1" t="n">
        <v>45932</v>
      </c>
      <c r="D875" t="inlineStr">
        <is>
          <t>JÄMTLANDS LÄN</t>
        </is>
      </c>
      <c r="E875" t="inlineStr">
        <is>
          <t>RAGUNDA</t>
        </is>
      </c>
      <c r="G875" t="n">
        <v>5</v>
      </c>
      <c r="H875" t="n">
        <v>0</v>
      </c>
      <c r="I875" t="n">
        <v>0</v>
      </c>
      <c r="J875" t="n">
        <v>0</v>
      </c>
      <c r="K875" t="n">
        <v>0</v>
      </c>
      <c r="L875" t="n">
        <v>0</v>
      </c>
      <c r="M875" t="n">
        <v>0</v>
      </c>
      <c r="N875" t="n">
        <v>0</v>
      </c>
      <c r="O875" t="n">
        <v>0</v>
      </c>
      <c r="P875" t="n">
        <v>0</v>
      </c>
      <c r="Q875" t="n">
        <v>0</v>
      </c>
      <c r="R875" s="2" t="inlineStr"/>
    </row>
    <row r="876" ht="15" customHeight="1">
      <c r="A876" t="inlineStr">
        <is>
          <t>A 39951-2025</t>
        </is>
      </c>
      <c r="B876" s="1" t="n">
        <v>45892.38657407407</v>
      </c>
      <c r="C876" s="1" t="n">
        <v>45932</v>
      </c>
      <c r="D876" t="inlineStr">
        <is>
          <t>JÄMTLANDS LÄN</t>
        </is>
      </c>
      <c r="E876" t="inlineStr">
        <is>
          <t>RAGUNDA</t>
        </is>
      </c>
      <c r="G876" t="n">
        <v>2.3</v>
      </c>
      <c r="H876" t="n">
        <v>0</v>
      </c>
      <c r="I876" t="n">
        <v>0</v>
      </c>
      <c r="J876" t="n">
        <v>0</v>
      </c>
      <c r="K876" t="n">
        <v>0</v>
      </c>
      <c r="L876" t="n">
        <v>0</v>
      </c>
      <c r="M876" t="n">
        <v>0</v>
      </c>
      <c r="N876" t="n">
        <v>0</v>
      </c>
      <c r="O876" t="n">
        <v>0</v>
      </c>
      <c r="P876" t="n">
        <v>0</v>
      </c>
      <c r="Q876" t="n">
        <v>0</v>
      </c>
      <c r="R876" s="2" t="inlineStr"/>
    </row>
    <row r="877" ht="15" customHeight="1">
      <c r="A877" t="inlineStr">
        <is>
          <t>A 34998-2025</t>
        </is>
      </c>
      <c r="B877" s="1" t="n">
        <v>45850.34434027778</v>
      </c>
      <c r="C877" s="1" t="n">
        <v>45932</v>
      </c>
      <c r="D877" t="inlineStr">
        <is>
          <t>JÄMTLANDS LÄN</t>
        </is>
      </c>
      <c r="E877" t="inlineStr">
        <is>
          <t>RAGUNDA</t>
        </is>
      </c>
      <c r="G877" t="n">
        <v>1.4</v>
      </c>
      <c r="H877" t="n">
        <v>0</v>
      </c>
      <c r="I877" t="n">
        <v>0</v>
      </c>
      <c r="J877" t="n">
        <v>0</v>
      </c>
      <c r="K877" t="n">
        <v>0</v>
      </c>
      <c r="L877" t="n">
        <v>0</v>
      </c>
      <c r="M877" t="n">
        <v>0</v>
      </c>
      <c r="N877" t="n">
        <v>0</v>
      </c>
      <c r="O877" t="n">
        <v>0</v>
      </c>
      <c r="P877" t="n">
        <v>0</v>
      </c>
      <c r="Q877" t="n">
        <v>0</v>
      </c>
      <c r="R877" s="2" t="inlineStr"/>
    </row>
    <row r="878" ht="15" customHeight="1">
      <c r="A878" t="inlineStr">
        <is>
          <t>A 34999-2025</t>
        </is>
      </c>
      <c r="B878" s="1" t="n">
        <v>45850.34450231482</v>
      </c>
      <c r="C878" s="1" t="n">
        <v>45932</v>
      </c>
      <c r="D878" t="inlineStr">
        <is>
          <t>JÄMTLANDS LÄN</t>
        </is>
      </c>
      <c r="E878" t="inlineStr">
        <is>
          <t>RAGUNDA</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33877-2023</t>
        </is>
      </c>
      <c r="B879" s="1" t="n">
        <v>45133</v>
      </c>
      <c r="C879" s="1" t="n">
        <v>45932</v>
      </c>
      <c r="D879" t="inlineStr">
        <is>
          <t>JÄMTLANDS LÄN</t>
        </is>
      </c>
      <c r="E879" t="inlineStr">
        <is>
          <t>RAGUNDA</t>
        </is>
      </c>
      <c r="F879" t="inlineStr">
        <is>
          <t>SCA</t>
        </is>
      </c>
      <c r="G879" t="n">
        <v>4.3</v>
      </c>
      <c r="H879" t="n">
        <v>0</v>
      </c>
      <c r="I879" t="n">
        <v>0</v>
      </c>
      <c r="J879" t="n">
        <v>0</v>
      </c>
      <c r="K879" t="n">
        <v>0</v>
      </c>
      <c r="L879" t="n">
        <v>0</v>
      </c>
      <c r="M879" t="n">
        <v>0</v>
      </c>
      <c r="N879" t="n">
        <v>0</v>
      </c>
      <c r="O879" t="n">
        <v>0</v>
      </c>
      <c r="P879" t="n">
        <v>0</v>
      </c>
      <c r="Q879" t="n">
        <v>0</v>
      </c>
      <c r="R879" s="2" t="inlineStr"/>
    </row>
    <row r="880" ht="15" customHeight="1">
      <c r="A880" t="inlineStr">
        <is>
          <t>A 39956-2025</t>
        </is>
      </c>
      <c r="B880" s="1" t="n">
        <v>45892.44840277778</v>
      </c>
      <c r="C880" s="1" t="n">
        <v>45932</v>
      </c>
      <c r="D880" t="inlineStr">
        <is>
          <t>JÄMTLANDS LÄN</t>
        </is>
      </c>
      <c r="E880" t="inlineStr">
        <is>
          <t>RAGUNDA</t>
        </is>
      </c>
      <c r="G880" t="n">
        <v>3.6</v>
      </c>
      <c r="H880" t="n">
        <v>0</v>
      </c>
      <c r="I880" t="n">
        <v>0</v>
      </c>
      <c r="J880" t="n">
        <v>0</v>
      </c>
      <c r="K880" t="n">
        <v>0</v>
      </c>
      <c r="L880" t="n">
        <v>0</v>
      </c>
      <c r="M880" t="n">
        <v>0</v>
      </c>
      <c r="N880" t="n">
        <v>0</v>
      </c>
      <c r="O880" t="n">
        <v>0</v>
      </c>
      <c r="P880" t="n">
        <v>0</v>
      </c>
      <c r="Q880" t="n">
        <v>0</v>
      </c>
      <c r="R880" s="2" t="inlineStr"/>
    </row>
    <row r="881" ht="15" customHeight="1">
      <c r="A881" t="inlineStr">
        <is>
          <t>A 35092-2025</t>
        </is>
      </c>
      <c r="B881" s="1" t="n">
        <v>45852.53185185185</v>
      </c>
      <c r="C881" s="1" t="n">
        <v>45932</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62541-2022</t>
        </is>
      </c>
      <c r="B882" s="1" t="n">
        <v>44917</v>
      </c>
      <c r="C882" s="1" t="n">
        <v>45932</v>
      </c>
      <c r="D882" t="inlineStr">
        <is>
          <t>JÄMTLANDS LÄN</t>
        </is>
      </c>
      <c r="E882" t="inlineStr">
        <is>
          <t>RAGUNDA</t>
        </is>
      </c>
      <c r="G882" t="n">
        <v>2.6</v>
      </c>
      <c r="H882" t="n">
        <v>0</v>
      </c>
      <c r="I882" t="n">
        <v>0</v>
      </c>
      <c r="J882" t="n">
        <v>0</v>
      </c>
      <c r="K882" t="n">
        <v>0</v>
      </c>
      <c r="L882" t="n">
        <v>0</v>
      </c>
      <c r="M882" t="n">
        <v>0</v>
      </c>
      <c r="N882" t="n">
        <v>0</v>
      </c>
      <c r="O882" t="n">
        <v>0</v>
      </c>
      <c r="P882" t="n">
        <v>0</v>
      </c>
      <c r="Q882" t="n">
        <v>0</v>
      </c>
      <c r="R882" s="2" t="inlineStr"/>
    </row>
    <row r="883" ht="15" customHeight="1">
      <c r="A883" t="inlineStr">
        <is>
          <t>A 12805-2025</t>
        </is>
      </c>
      <c r="B883" s="1" t="n">
        <v>45733.61497685185</v>
      </c>
      <c r="C883" s="1" t="n">
        <v>45932</v>
      </c>
      <c r="D883" t="inlineStr">
        <is>
          <t>JÄMTLANDS LÄN</t>
        </is>
      </c>
      <c r="E883" t="inlineStr">
        <is>
          <t>RAGUNDA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12808-2025</t>
        </is>
      </c>
      <c r="B884" s="1" t="n">
        <v>45733.61554398148</v>
      </c>
      <c r="C884" s="1" t="n">
        <v>45932</v>
      </c>
      <c r="D884" t="inlineStr">
        <is>
          <t>JÄMTLANDS LÄN</t>
        </is>
      </c>
      <c r="E884" t="inlineStr">
        <is>
          <t>RAGUNDA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39947-2025</t>
        </is>
      </c>
      <c r="B885" s="1" t="n">
        <v>45892.34438657408</v>
      </c>
      <c r="C885" s="1" t="n">
        <v>45932</v>
      </c>
      <c r="D885" t="inlineStr">
        <is>
          <t>JÄMTLANDS LÄN</t>
        </is>
      </c>
      <c r="E885" t="inlineStr">
        <is>
          <t>RAGUNDA</t>
        </is>
      </c>
      <c r="G885" t="n">
        <v>6.6</v>
      </c>
      <c r="H885" t="n">
        <v>0</v>
      </c>
      <c r="I885" t="n">
        <v>0</v>
      </c>
      <c r="J885" t="n">
        <v>0</v>
      </c>
      <c r="K885" t="n">
        <v>0</v>
      </c>
      <c r="L885" t="n">
        <v>0</v>
      </c>
      <c r="M885" t="n">
        <v>0</v>
      </c>
      <c r="N885" t="n">
        <v>0</v>
      </c>
      <c r="O885" t="n">
        <v>0</v>
      </c>
      <c r="P885" t="n">
        <v>0</v>
      </c>
      <c r="Q885" t="n">
        <v>0</v>
      </c>
      <c r="R885" s="2" t="inlineStr"/>
    </row>
    <row r="886" ht="15" customHeight="1">
      <c r="A886" t="inlineStr">
        <is>
          <t>A 39950-2025</t>
        </is>
      </c>
      <c r="B886" s="1" t="n">
        <v>45892.38641203703</v>
      </c>
      <c r="C886" s="1" t="n">
        <v>45932</v>
      </c>
      <c r="D886" t="inlineStr">
        <is>
          <t>JÄMTLANDS LÄN</t>
        </is>
      </c>
      <c r="E886" t="inlineStr">
        <is>
          <t>RAGUNDA</t>
        </is>
      </c>
      <c r="G886" t="n">
        <v>1.1</v>
      </c>
      <c r="H886" t="n">
        <v>0</v>
      </c>
      <c r="I886" t="n">
        <v>0</v>
      </c>
      <c r="J886" t="n">
        <v>0</v>
      </c>
      <c r="K886" t="n">
        <v>0</v>
      </c>
      <c r="L886" t="n">
        <v>0</v>
      </c>
      <c r="M886" t="n">
        <v>0</v>
      </c>
      <c r="N886" t="n">
        <v>0</v>
      </c>
      <c r="O886" t="n">
        <v>0</v>
      </c>
      <c r="P886" t="n">
        <v>0</v>
      </c>
      <c r="Q886" t="n">
        <v>0</v>
      </c>
      <c r="R886" s="2" t="inlineStr"/>
    </row>
    <row r="887" ht="15" customHeight="1">
      <c r="A887" t="inlineStr">
        <is>
          <t>A 4615-2023</t>
        </is>
      </c>
      <c r="B887" s="1" t="n">
        <v>44956.93924768519</v>
      </c>
      <c r="C887" s="1" t="n">
        <v>45932</v>
      </c>
      <c r="D887" t="inlineStr">
        <is>
          <t>JÄMTLANDS LÄN</t>
        </is>
      </c>
      <c r="E887" t="inlineStr">
        <is>
          <t>RAGUNDA</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9567-2025</t>
        </is>
      </c>
      <c r="B888" s="1" t="n">
        <v>45715.61523148148</v>
      </c>
      <c r="C888" s="1" t="n">
        <v>45932</v>
      </c>
      <c r="D888" t="inlineStr">
        <is>
          <t>JÄMTLANDS LÄN</t>
        </is>
      </c>
      <c r="E888" t="inlineStr">
        <is>
          <t>RAGUNDA</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5938-2025</t>
        </is>
      </c>
      <c r="B889" s="1" t="n">
        <v>45695.45868055556</v>
      </c>
      <c r="C889" s="1" t="n">
        <v>45932</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21661-2023</t>
        </is>
      </c>
      <c r="B890" s="1" t="n">
        <v>45063</v>
      </c>
      <c r="C890" s="1" t="n">
        <v>45932</v>
      </c>
      <c r="D890" t="inlineStr">
        <is>
          <t>JÄMTLANDS LÄN</t>
        </is>
      </c>
      <c r="E890" t="inlineStr">
        <is>
          <t>RAGUNDA</t>
        </is>
      </c>
      <c r="G890" t="n">
        <v>1.5</v>
      </c>
      <c r="H890" t="n">
        <v>0</v>
      </c>
      <c r="I890" t="n">
        <v>0</v>
      </c>
      <c r="J890" t="n">
        <v>0</v>
      </c>
      <c r="K890" t="n">
        <v>0</v>
      </c>
      <c r="L890" t="n">
        <v>0</v>
      </c>
      <c r="M890" t="n">
        <v>0</v>
      </c>
      <c r="N890" t="n">
        <v>0</v>
      </c>
      <c r="O890" t="n">
        <v>0</v>
      </c>
      <c r="P890" t="n">
        <v>0</v>
      </c>
      <c r="Q890" t="n">
        <v>0</v>
      </c>
      <c r="R890" s="2" t="inlineStr"/>
    </row>
    <row r="891" ht="15" customHeight="1">
      <c r="A891" t="inlineStr">
        <is>
          <t>A 4125-2024</t>
        </is>
      </c>
      <c r="B891" s="1" t="n">
        <v>45323</v>
      </c>
      <c r="C891" s="1" t="n">
        <v>45932</v>
      </c>
      <c r="D891" t="inlineStr">
        <is>
          <t>JÄMTLANDS LÄN</t>
        </is>
      </c>
      <c r="E891" t="inlineStr">
        <is>
          <t>RAGUNDA</t>
        </is>
      </c>
      <c r="G891" t="n">
        <v>1</v>
      </c>
      <c r="H891" t="n">
        <v>0</v>
      </c>
      <c r="I891" t="n">
        <v>0</v>
      </c>
      <c r="J891" t="n">
        <v>0</v>
      </c>
      <c r="K891" t="n">
        <v>0</v>
      </c>
      <c r="L891" t="n">
        <v>0</v>
      </c>
      <c r="M891" t="n">
        <v>0</v>
      </c>
      <c r="N891" t="n">
        <v>0</v>
      </c>
      <c r="O891" t="n">
        <v>0</v>
      </c>
      <c r="P891" t="n">
        <v>0</v>
      </c>
      <c r="Q891" t="n">
        <v>0</v>
      </c>
      <c r="R891" s="2" t="inlineStr"/>
    </row>
    <row r="892" ht="15" customHeight="1">
      <c r="A892" t="inlineStr">
        <is>
          <t>A 35091-2025</t>
        </is>
      </c>
      <c r="B892" s="1" t="n">
        <v>45852.53168981482</v>
      </c>
      <c r="C892" s="1" t="n">
        <v>45932</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53549-2024</t>
        </is>
      </c>
      <c r="B893" s="1" t="n">
        <v>45614.63869212963</v>
      </c>
      <c r="C893" s="1" t="n">
        <v>45932</v>
      </c>
      <c r="D893" t="inlineStr">
        <is>
          <t>JÄMTLANDS LÄN</t>
        </is>
      </c>
      <c r="E893" t="inlineStr">
        <is>
          <t>RAGUNDA</t>
        </is>
      </c>
      <c r="F893" t="inlineStr">
        <is>
          <t>Kyrkan</t>
        </is>
      </c>
      <c r="G893" t="n">
        <v>1.7</v>
      </c>
      <c r="H893" t="n">
        <v>0</v>
      </c>
      <c r="I893" t="n">
        <v>0</v>
      </c>
      <c r="J893" t="n">
        <v>0</v>
      </c>
      <c r="K893" t="n">
        <v>0</v>
      </c>
      <c r="L893" t="n">
        <v>0</v>
      </c>
      <c r="M893" t="n">
        <v>0</v>
      </c>
      <c r="N893" t="n">
        <v>0</v>
      </c>
      <c r="O893" t="n">
        <v>0</v>
      </c>
      <c r="P893" t="n">
        <v>0</v>
      </c>
      <c r="Q893" t="n">
        <v>0</v>
      </c>
      <c r="R893" s="2" t="inlineStr"/>
    </row>
    <row r="894" ht="15" customHeight="1">
      <c r="A894" t="inlineStr">
        <is>
          <t>A 39949-2025</t>
        </is>
      </c>
      <c r="B894" s="1" t="n">
        <v>45892.38619212963</v>
      </c>
      <c r="C894" s="1" t="n">
        <v>45932</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39955-2025</t>
        </is>
      </c>
      <c r="B895" s="1" t="n">
        <v>45892.44824074074</v>
      </c>
      <c r="C895" s="1" t="n">
        <v>45932</v>
      </c>
      <c r="D895" t="inlineStr">
        <is>
          <t>JÄMTLANDS LÄN</t>
        </is>
      </c>
      <c r="E895" t="inlineStr">
        <is>
          <t>RAGUNDA</t>
        </is>
      </c>
      <c r="G895" t="n">
        <v>1.4</v>
      </c>
      <c r="H895" t="n">
        <v>0</v>
      </c>
      <c r="I895" t="n">
        <v>0</v>
      </c>
      <c r="J895" t="n">
        <v>0</v>
      </c>
      <c r="K895" t="n">
        <v>0</v>
      </c>
      <c r="L895" t="n">
        <v>0</v>
      </c>
      <c r="M895" t="n">
        <v>0</v>
      </c>
      <c r="N895" t="n">
        <v>0</v>
      </c>
      <c r="O895" t="n">
        <v>0</v>
      </c>
      <c r="P895" t="n">
        <v>0</v>
      </c>
      <c r="Q895" t="n">
        <v>0</v>
      </c>
      <c r="R895" s="2" t="inlineStr"/>
    </row>
    <row r="896" ht="15" customHeight="1">
      <c r="A896" t="inlineStr">
        <is>
          <t>A 40586-2025</t>
        </is>
      </c>
      <c r="B896" s="1" t="n">
        <v>45896.52478009259</v>
      </c>
      <c r="C896" s="1" t="n">
        <v>45932</v>
      </c>
      <c r="D896" t="inlineStr">
        <is>
          <t>JÄMTLANDS LÄN</t>
        </is>
      </c>
      <c r="E896" t="inlineStr">
        <is>
          <t>RAGUNDA</t>
        </is>
      </c>
      <c r="G896" t="n">
        <v>1.2</v>
      </c>
      <c r="H896" t="n">
        <v>0</v>
      </c>
      <c r="I896" t="n">
        <v>0</v>
      </c>
      <c r="J896" t="n">
        <v>0</v>
      </c>
      <c r="K896" t="n">
        <v>0</v>
      </c>
      <c r="L896" t="n">
        <v>0</v>
      </c>
      <c r="M896" t="n">
        <v>0</v>
      </c>
      <c r="N896" t="n">
        <v>0</v>
      </c>
      <c r="O896" t="n">
        <v>0</v>
      </c>
      <c r="P896" t="n">
        <v>0</v>
      </c>
      <c r="Q896" t="n">
        <v>0</v>
      </c>
      <c r="R896" s="2" t="inlineStr"/>
    </row>
    <row r="897" ht="15" customHeight="1">
      <c r="A897" t="inlineStr">
        <is>
          <t>A 7284-2025</t>
        </is>
      </c>
      <c r="B897" s="1" t="n">
        <v>45702.63604166666</v>
      </c>
      <c r="C897" s="1" t="n">
        <v>45932</v>
      </c>
      <c r="D897" t="inlineStr">
        <is>
          <t>JÄMTLANDS LÄN</t>
        </is>
      </c>
      <c r="E897" t="inlineStr">
        <is>
          <t>RAGUNDA</t>
        </is>
      </c>
      <c r="F897" t="inlineStr">
        <is>
          <t>SCA</t>
        </is>
      </c>
      <c r="G897" t="n">
        <v>0.3</v>
      </c>
      <c r="H897" t="n">
        <v>0</v>
      </c>
      <c r="I897" t="n">
        <v>0</v>
      </c>
      <c r="J897" t="n">
        <v>0</v>
      </c>
      <c r="K897" t="n">
        <v>0</v>
      </c>
      <c r="L897" t="n">
        <v>0</v>
      </c>
      <c r="M897" t="n">
        <v>0</v>
      </c>
      <c r="N897" t="n">
        <v>0</v>
      </c>
      <c r="O897" t="n">
        <v>0</v>
      </c>
      <c r="P897" t="n">
        <v>0</v>
      </c>
      <c r="Q897" t="n">
        <v>0</v>
      </c>
      <c r="R897" s="2" t="inlineStr"/>
    </row>
    <row r="898" ht="15" customHeight="1">
      <c r="A898" t="inlineStr">
        <is>
          <t>A 31506-2024</t>
        </is>
      </c>
      <c r="B898" s="1" t="n">
        <v>45505</v>
      </c>
      <c r="C898" s="1" t="n">
        <v>45932</v>
      </c>
      <c r="D898" t="inlineStr">
        <is>
          <t>JÄMTLANDS LÄN</t>
        </is>
      </c>
      <c r="E898" t="inlineStr">
        <is>
          <t>RAGUNDA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35462-2025</t>
        </is>
      </c>
      <c r="B899" s="1" t="n">
        <v>45855.61523148148</v>
      </c>
      <c r="C899" s="1" t="n">
        <v>45932</v>
      </c>
      <c r="D899" t="inlineStr">
        <is>
          <t>JÄMTLANDS LÄN</t>
        </is>
      </c>
      <c r="E899" t="inlineStr">
        <is>
          <t>RAGUNDA</t>
        </is>
      </c>
      <c r="F899" t="inlineStr">
        <is>
          <t>SCA</t>
        </is>
      </c>
      <c r="G899" t="n">
        <v>5.7</v>
      </c>
      <c r="H899" t="n">
        <v>0</v>
      </c>
      <c r="I899" t="n">
        <v>0</v>
      </c>
      <c r="J899" t="n">
        <v>0</v>
      </c>
      <c r="K899" t="n">
        <v>0</v>
      </c>
      <c r="L899" t="n">
        <v>0</v>
      </c>
      <c r="M899" t="n">
        <v>0</v>
      </c>
      <c r="N899" t="n">
        <v>0</v>
      </c>
      <c r="O899" t="n">
        <v>0</v>
      </c>
      <c r="P899" t="n">
        <v>0</v>
      </c>
      <c r="Q899" t="n">
        <v>0</v>
      </c>
      <c r="R899" s="2" t="inlineStr"/>
    </row>
    <row r="900" ht="15" customHeight="1">
      <c r="A900" t="inlineStr">
        <is>
          <t>A 19382-2025</t>
        </is>
      </c>
      <c r="B900" s="1" t="n">
        <v>45769.65659722222</v>
      </c>
      <c r="C900" s="1" t="n">
        <v>45932</v>
      </c>
      <c r="D900" t="inlineStr">
        <is>
          <t>JÄMTLANDS LÄN</t>
        </is>
      </c>
      <c r="E900" t="inlineStr">
        <is>
          <t>RAGUNDA</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35355-2025</t>
        </is>
      </c>
      <c r="B901" s="1" t="n">
        <v>45854.65663194445</v>
      </c>
      <c r="C901" s="1" t="n">
        <v>45932</v>
      </c>
      <c r="D901" t="inlineStr">
        <is>
          <t>JÄMTLANDS LÄN</t>
        </is>
      </c>
      <c r="E901" t="inlineStr">
        <is>
          <t>RAGUNDA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35477-2025</t>
        </is>
      </c>
      <c r="B902" s="1" t="n">
        <v>45855.67899305555</v>
      </c>
      <c r="C902" s="1" t="n">
        <v>45932</v>
      </c>
      <c r="D902" t="inlineStr">
        <is>
          <t>JÄMTLANDS LÄN</t>
        </is>
      </c>
      <c r="E902" t="inlineStr">
        <is>
          <t>RAGUNDA</t>
        </is>
      </c>
      <c r="G902" t="n">
        <v>3.6</v>
      </c>
      <c r="H902" t="n">
        <v>0</v>
      </c>
      <c r="I902" t="n">
        <v>0</v>
      </c>
      <c r="J902" t="n">
        <v>0</v>
      </c>
      <c r="K902" t="n">
        <v>0</v>
      </c>
      <c r="L902" t="n">
        <v>0</v>
      </c>
      <c r="M902" t="n">
        <v>0</v>
      </c>
      <c r="N902" t="n">
        <v>0</v>
      </c>
      <c r="O902" t="n">
        <v>0</v>
      </c>
      <c r="P902" t="n">
        <v>0</v>
      </c>
      <c r="Q902" t="n">
        <v>0</v>
      </c>
      <c r="R902" s="2" t="inlineStr"/>
    </row>
    <row r="903" ht="15" customHeight="1">
      <c r="A903" t="inlineStr">
        <is>
          <t>A 37479-2023</t>
        </is>
      </c>
      <c r="B903" s="1" t="n">
        <v>45156</v>
      </c>
      <c r="C903" s="1" t="n">
        <v>45932</v>
      </c>
      <c r="D903" t="inlineStr">
        <is>
          <t>JÄMTLANDS LÄN</t>
        </is>
      </c>
      <c r="E903" t="inlineStr">
        <is>
          <t>RAGUNDA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5958-2021</t>
        </is>
      </c>
      <c r="B904" s="1" t="n">
        <v>44231</v>
      </c>
      <c r="C904" s="1" t="n">
        <v>45932</v>
      </c>
      <c r="D904" t="inlineStr">
        <is>
          <t>JÄMTLANDS LÄN</t>
        </is>
      </c>
      <c r="E904" t="inlineStr">
        <is>
          <t>RAGUNDA</t>
        </is>
      </c>
      <c r="G904" t="n">
        <v>3.1</v>
      </c>
      <c r="H904" t="n">
        <v>0</v>
      </c>
      <c r="I904" t="n">
        <v>0</v>
      </c>
      <c r="J904" t="n">
        <v>0</v>
      </c>
      <c r="K904" t="n">
        <v>0</v>
      </c>
      <c r="L904" t="n">
        <v>0</v>
      </c>
      <c r="M904" t="n">
        <v>0</v>
      </c>
      <c r="N904" t="n">
        <v>0</v>
      </c>
      <c r="O904" t="n">
        <v>0</v>
      </c>
      <c r="P904" t="n">
        <v>0</v>
      </c>
      <c r="Q904" t="n">
        <v>0</v>
      </c>
      <c r="R904" s="2" t="inlineStr"/>
    </row>
    <row r="905" ht="15" customHeight="1">
      <c r="A905" t="inlineStr">
        <is>
          <t>A 41161-2025</t>
        </is>
      </c>
      <c r="B905" s="1" t="n">
        <v>45898.53193287037</v>
      </c>
      <c r="C905" s="1" t="n">
        <v>45932</v>
      </c>
      <c r="D905" t="inlineStr">
        <is>
          <t>JÄMTLANDS LÄN</t>
        </is>
      </c>
      <c r="E905" t="inlineStr">
        <is>
          <t>RAGUNDA</t>
        </is>
      </c>
      <c r="F905" t="inlineStr">
        <is>
          <t>SCA</t>
        </is>
      </c>
      <c r="G905" t="n">
        <v>4.4</v>
      </c>
      <c r="H905" t="n">
        <v>0</v>
      </c>
      <c r="I905" t="n">
        <v>0</v>
      </c>
      <c r="J905" t="n">
        <v>0</v>
      </c>
      <c r="K905" t="n">
        <v>0</v>
      </c>
      <c r="L905" t="n">
        <v>0</v>
      </c>
      <c r="M905" t="n">
        <v>0</v>
      </c>
      <c r="N905" t="n">
        <v>0</v>
      </c>
      <c r="O905" t="n">
        <v>0</v>
      </c>
      <c r="P905" t="n">
        <v>0</v>
      </c>
      <c r="Q905" t="n">
        <v>0</v>
      </c>
      <c r="R905" s="2" t="inlineStr"/>
    </row>
    <row r="906" ht="15" customHeight="1">
      <c r="A906" t="inlineStr">
        <is>
          <t>A 4866-2025</t>
        </is>
      </c>
      <c r="B906" s="1" t="n">
        <v>45688.67542824074</v>
      </c>
      <c r="C906" s="1" t="n">
        <v>45932</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41423-2025</t>
        </is>
      </c>
      <c r="B907" s="1" t="n">
        <v>45901.38578703703</v>
      </c>
      <c r="C907" s="1" t="n">
        <v>45932</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35541-2025</t>
        </is>
      </c>
      <c r="B908" s="1" t="n">
        <v>45856.46931712963</v>
      </c>
      <c r="C908" s="1" t="n">
        <v>45932</v>
      </c>
      <c r="D908" t="inlineStr">
        <is>
          <t>JÄMTLANDS LÄN</t>
        </is>
      </c>
      <c r="E908" t="inlineStr">
        <is>
          <t>RAGUNDA</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41140-2025</t>
        </is>
      </c>
      <c r="B909" s="1" t="n">
        <v>45898.49012731481</v>
      </c>
      <c r="C909" s="1" t="n">
        <v>45932</v>
      </c>
      <c r="D909" t="inlineStr">
        <is>
          <t>JÄMTLANDS LÄN</t>
        </is>
      </c>
      <c r="E909" t="inlineStr">
        <is>
          <t>RAGUNDA</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41262-2025</t>
        </is>
      </c>
      <c r="B910" s="1" t="n">
        <v>45898.61502314815</v>
      </c>
      <c r="C910" s="1" t="n">
        <v>45932</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11780-2024</t>
        </is>
      </c>
      <c r="B911" s="1" t="n">
        <v>45374</v>
      </c>
      <c r="C911" s="1" t="n">
        <v>45932</v>
      </c>
      <c r="D911" t="inlineStr">
        <is>
          <t>JÄMTLANDS LÄN</t>
        </is>
      </c>
      <c r="E911" t="inlineStr">
        <is>
          <t>RAGUNDA</t>
        </is>
      </c>
      <c r="G911" t="n">
        <v>14.6</v>
      </c>
      <c r="H911" t="n">
        <v>0</v>
      </c>
      <c r="I911" t="n">
        <v>0</v>
      </c>
      <c r="J911" t="n">
        <v>0</v>
      </c>
      <c r="K911" t="n">
        <v>0</v>
      </c>
      <c r="L911" t="n">
        <v>0</v>
      </c>
      <c r="M911" t="n">
        <v>0</v>
      </c>
      <c r="N911" t="n">
        <v>0</v>
      </c>
      <c r="O911" t="n">
        <v>0</v>
      </c>
      <c r="P911" t="n">
        <v>0</v>
      </c>
      <c r="Q911" t="n">
        <v>0</v>
      </c>
      <c r="R911" s="2" t="inlineStr"/>
    </row>
    <row r="912" ht="15" customHeight="1">
      <c r="A912" t="inlineStr">
        <is>
          <t>A 46909-2025</t>
        </is>
      </c>
      <c r="B912" s="1" t="n">
        <v>45929.40673611111</v>
      </c>
      <c r="C912" s="1" t="n">
        <v>45932</v>
      </c>
      <c r="D912" t="inlineStr">
        <is>
          <t>JÄMTLANDS LÄN</t>
        </is>
      </c>
      <c r="E912" t="inlineStr">
        <is>
          <t>RAGUNDA</t>
        </is>
      </c>
      <c r="G912" t="n">
        <v>5.7</v>
      </c>
      <c r="H912" t="n">
        <v>0</v>
      </c>
      <c r="I912" t="n">
        <v>0</v>
      </c>
      <c r="J912" t="n">
        <v>0</v>
      </c>
      <c r="K912" t="n">
        <v>0</v>
      </c>
      <c r="L912" t="n">
        <v>0</v>
      </c>
      <c r="M912" t="n">
        <v>0</v>
      </c>
      <c r="N912" t="n">
        <v>0</v>
      </c>
      <c r="O912" t="n">
        <v>0</v>
      </c>
      <c r="P912" t="n">
        <v>0</v>
      </c>
      <c r="Q912" t="n">
        <v>0</v>
      </c>
      <c r="R912" s="2" t="inlineStr"/>
    </row>
    <row r="913" ht="15" customHeight="1">
      <c r="A913" t="inlineStr">
        <is>
          <t>A 41233-2025</t>
        </is>
      </c>
      <c r="B913" s="1" t="n">
        <v>45898.59295138889</v>
      </c>
      <c r="C913" s="1" t="n">
        <v>45932</v>
      </c>
      <c r="D913" t="inlineStr">
        <is>
          <t>JÄMTLANDS LÄN</t>
        </is>
      </c>
      <c r="E913" t="inlineStr">
        <is>
          <t>RAGUNDA</t>
        </is>
      </c>
      <c r="G913" t="n">
        <v>1.7</v>
      </c>
      <c r="H913" t="n">
        <v>0</v>
      </c>
      <c r="I913" t="n">
        <v>0</v>
      </c>
      <c r="J913" t="n">
        <v>0</v>
      </c>
      <c r="K913" t="n">
        <v>0</v>
      </c>
      <c r="L913" t="n">
        <v>0</v>
      </c>
      <c r="M913" t="n">
        <v>0</v>
      </c>
      <c r="N913" t="n">
        <v>0</v>
      </c>
      <c r="O913" t="n">
        <v>0</v>
      </c>
      <c r="P913" t="n">
        <v>0</v>
      </c>
      <c r="Q913" t="n">
        <v>0</v>
      </c>
      <c r="R913" s="2" t="inlineStr"/>
    </row>
    <row r="914" ht="15" customHeight="1">
      <c r="A914" t="inlineStr">
        <is>
          <t>A 11288-2022</t>
        </is>
      </c>
      <c r="B914" s="1" t="n">
        <v>44629</v>
      </c>
      <c r="C914" s="1" t="n">
        <v>45932</v>
      </c>
      <c r="D914" t="inlineStr">
        <is>
          <t>JÄMTLANDS LÄN</t>
        </is>
      </c>
      <c r="E914" t="inlineStr">
        <is>
          <t>RAGUNDA</t>
        </is>
      </c>
      <c r="G914" t="n">
        <v>4.9</v>
      </c>
      <c r="H914" t="n">
        <v>0</v>
      </c>
      <c r="I914" t="n">
        <v>0</v>
      </c>
      <c r="J914" t="n">
        <v>0</v>
      </c>
      <c r="K914" t="n">
        <v>0</v>
      </c>
      <c r="L914" t="n">
        <v>0</v>
      </c>
      <c r="M914" t="n">
        <v>0</v>
      </c>
      <c r="N914" t="n">
        <v>0</v>
      </c>
      <c r="O914" t="n">
        <v>0</v>
      </c>
      <c r="P914" t="n">
        <v>0</v>
      </c>
      <c r="Q914" t="n">
        <v>0</v>
      </c>
      <c r="R914" s="2" t="inlineStr"/>
    </row>
    <row r="915" ht="15" customHeight="1">
      <c r="A915" t="inlineStr">
        <is>
          <t>A 69153-2021</t>
        </is>
      </c>
      <c r="B915" s="1" t="n">
        <v>44530.94694444445</v>
      </c>
      <c r="C915" s="1" t="n">
        <v>45932</v>
      </c>
      <c r="D915" t="inlineStr">
        <is>
          <t>JÄMTLANDS LÄN</t>
        </is>
      </c>
      <c r="E915" t="inlineStr">
        <is>
          <t>RAGUNDA</t>
        </is>
      </c>
      <c r="F915" t="inlineStr">
        <is>
          <t>SCA</t>
        </is>
      </c>
      <c r="G915" t="n">
        <v>5</v>
      </c>
      <c r="H915" t="n">
        <v>0</v>
      </c>
      <c r="I915" t="n">
        <v>0</v>
      </c>
      <c r="J915" t="n">
        <v>0</v>
      </c>
      <c r="K915" t="n">
        <v>0</v>
      </c>
      <c r="L915" t="n">
        <v>0</v>
      </c>
      <c r="M915" t="n">
        <v>0</v>
      </c>
      <c r="N915" t="n">
        <v>0</v>
      </c>
      <c r="O915" t="n">
        <v>0</v>
      </c>
      <c r="P915" t="n">
        <v>0</v>
      </c>
      <c r="Q915" t="n">
        <v>0</v>
      </c>
      <c r="R915" s="2" t="inlineStr"/>
    </row>
    <row r="916" ht="15" customHeight="1">
      <c r="A916" t="inlineStr">
        <is>
          <t>A 18984-2023</t>
        </is>
      </c>
      <c r="B916" s="1" t="n">
        <v>45044</v>
      </c>
      <c r="C916" s="1" t="n">
        <v>45932</v>
      </c>
      <c r="D916" t="inlineStr">
        <is>
          <t>JÄMTLANDS LÄN</t>
        </is>
      </c>
      <c r="E916" t="inlineStr">
        <is>
          <t>RAGUNDA</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66011-2021</t>
        </is>
      </c>
      <c r="B917" s="1" t="n">
        <v>44517.58137731482</v>
      </c>
      <c r="C917" s="1" t="n">
        <v>45932</v>
      </c>
      <c r="D917" t="inlineStr">
        <is>
          <t>JÄMTLANDS LÄN</t>
        </is>
      </c>
      <c r="E917" t="inlineStr">
        <is>
          <t>RAGUNDA</t>
        </is>
      </c>
      <c r="G917" t="n">
        <v>1.1</v>
      </c>
      <c r="H917" t="n">
        <v>0</v>
      </c>
      <c r="I917" t="n">
        <v>0</v>
      </c>
      <c r="J917" t="n">
        <v>0</v>
      </c>
      <c r="K917" t="n">
        <v>0</v>
      </c>
      <c r="L917" t="n">
        <v>0</v>
      </c>
      <c r="M917" t="n">
        <v>0</v>
      </c>
      <c r="N917" t="n">
        <v>0</v>
      </c>
      <c r="O917" t="n">
        <v>0</v>
      </c>
      <c r="P917" t="n">
        <v>0</v>
      </c>
      <c r="Q917" t="n">
        <v>0</v>
      </c>
      <c r="R917" s="2" t="inlineStr"/>
    </row>
    <row r="918" ht="15" customHeight="1">
      <c r="A918" t="inlineStr">
        <is>
          <t>A 41422-2025</t>
        </is>
      </c>
      <c r="B918" s="1" t="n">
        <v>45901.38572916666</v>
      </c>
      <c r="C918" s="1" t="n">
        <v>45932</v>
      </c>
      <c r="D918" t="inlineStr">
        <is>
          <t>JÄMTLANDS LÄN</t>
        </is>
      </c>
      <c r="E918" t="inlineStr">
        <is>
          <t>RAGUNDA</t>
        </is>
      </c>
      <c r="G918" t="n">
        <v>4.3</v>
      </c>
      <c r="H918" t="n">
        <v>0</v>
      </c>
      <c r="I918" t="n">
        <v>0</v>
      </c>
      <c r="J918" t="n">
        <v>0</v>
      </c>
      <c r="K918" t="n">
        <v>0</v>
      </c>
      <c r="L918" t="n">
        <v>0</v>
      </c>
      <c r="M918" t="n">
        <v>0</v>
      </c>
      <c r="N918" t="n">
        <v>0</v>
      </c>
      <c r="O918" t="n">
        <v>0</v>
      </c>
      <c r="P918" t="n">
        <v>0</v>
      </c>
      <c r="Q918" t="n">
        <v>0</v>
      </c>
      <c r="R918" s="2" t="inlineStr"/>
    </row>
    <row r="919" ht="15" customHeight="1">
      <c r="A919" t="inlineStr">
        <is>
          <t>A 41424-2025</t>
        </is>
      </c>
      <c r="B919" s="1" t="n">
        <v>45901.38584490741</v>
      </c>
      <c r="C919" s="1" t="n">
        <v>45932</v>
      </c>
      <c r="D919" t="inlineStr">
        <is>
          <t>JÄMTLANDS LÄN</t>
        </is>
      </c>
      <c r="E919" t="inlineStr">
        <is>
          <t>RAGUNDA</t>
        </is>
      </c>
      <c r="G919" t="n">
        <v>3</v>
      </c>
      <c r="H919" t="n">
        <v>0</v>
      </c>
      <c r="I919" t="n">
        <v>0</v>
      </c>
      <c r="J919" t="n">
        <v>0</v>
      </c>
      <c r="K919" t="n">
        <v>0</v>
      </c>
      <c r="L919" t="n">
        <v>0</v>
      </c>
      <c r="M919" t="n">
        <v>0</v>
      </c>
      <c r="N919" t="n">
        <v>0</v>
      </c>
      <c r="O919" t="n">
        <v>0</v>
      </c>
      <c r="P919" t="n">
        <v>0</v>
      </c>
      <c r="Q919" t="n">
        <v>0</v>
      </c>
      <c r="R919" s="2" t="inlineStr"/>
    </row>
    <row r="920" ht="15" customHeight="1">
      <c r="A920" t="inlineStr">
        <is>
          <t>A 12585-2024</t>
        </is>
      </c>
      <c r="B920" s="1" t="n">
        <v>45379.93637731481</v>
      </c>
      <c r="C920" s="1" t="n">
        <v>45932</v>
      </c>
      <c r="D920" t="inlineStr">
        <is>
          <t>JÄMTLANDS LÄN</t>
        </is>
      </c>
      <c r="E920" t="inlineStr">
        <is>
          <t>RAGUNDA</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55489-2024</t>
        </is>
      </c>
      <c r="B921" s="1" t="n">
        <v>45622.44774305556</v>
      </c>
      <c r="C921" s="1" t="n">
        <v>45932</v>
      </c>
      <c r="D921" t="inlineStr">
        <is>
          <t>JÄMTLANDS LÄN</t>
        </is>
      </c>
      <c r="E921" t="inlineStr">
        <is>
          <t>RAGUNDA</t>
        </is>
      </c>
      <c r="G921" t="n">
        <v>1.6</v>
      </c>
      <c r="H921" t="n">
        <v>0</v>
      </c>
      <c r="I921" t="n">
        <v>0</v>
      </c>
      <c r="J921" t="n">
        <v>0</v>
      </c>
      <c r="K921" t="n">
        <v>0</v>
      </c>
      <c r="L921" t="n">
        <v>0</v>
      </c>
      <c r="M921" t="n">
        <v>0</v>
      </c>
      <c r="N921" t="n">
        <v>0</v>
      </c>
      <c r="O921" t="n">
        <v>0</v>
      </c>
      <c r="P921" t="n">
        <v>0</v>
      </c>
      <c r="Q921" t="n">
        <v>0</v>
      </c>
      <c r="R921" s="2" t="inlineStr"/>
    </row>
    <row r="922" ht="15" customHeight="1">
      <c r="A922" t="inlineStr">
        <is>
          <t>A 18631-2024</t>
        </is>
      </c>
      <c r="B922" s="1" t="n">
        <v>45425.96494212963</v>
      </c>
      <c r="C922" s="1" t="n">
        <v>45932</v>
      </c>
      <c r="D922" t="inlineStr">
        <is>
          <t>JÄMTLANDS LÄN</t>
        </is>
      </c>
      <c r="E922" t="inlineStr">
        <is>
          <t>RAGUNDA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42509-2023</t>
        </is>
      </c>
      <c r="B923" s="1" t="n">
        <v>45180</v>
      </c>
      <c r="C923" s="1" t="n">
        <v>45932</v>
      </c>
      <c r="D923" t="inlineStr">
        <is>
          <t>JÄMTLANDS LÄN</t>
        </is>
      </c>
      <c r="E923" t="inlineStr">
        <is>
          <t>RAGUNDA</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35658-2025</t>
        </is>
      </c>
      <c r="B924" s="1" t="n">
        <v>45859.594375</v>
      </c>
      <c r="C924" s="1" t="n">
        <v>45932</v>
      </c>
      <c r="D924" t="inlineStr">
        <is>
          <t>JÄMTLANDS LÄN</t>
        </is>
      </c>
      <c r="E924" t="inlineStr">
        <is>
          <t>RAGUNDA</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26646-2023</t>
        </is>
      </c>
      <c r="B925" s="1" t="n">
        <v>45092</v>
      </c>
      <c r="C925" s="1" t="n">
        <v>45932</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33615-2023</t>
        </is>
      </c>
      <c r="B926" s="1" t="n">
        <v>45119</v>
      </c>
      <c r="C926" s="1" t="n">
        <v>45932</v>
      </c>
      <c r="D926" t="inlineStr">
        <is>
          <t>JÄMTLANDS LÄN</t>
        </is>
      </c>
      <c r="E926" t="inlineStr">
        <is>
          <t>RAGUNDA</t>
        </is>
      </c>
      <c r="G926" t="n">
        <v>0.9</v>
      </c>
      <c r="H926" t="n">
        <v>0</v>
      </c>
      <c r="I926" t="n">
        <v>0</v>
      </c>
      <c r="J926" t="n">
        <v>0</v>
      </c>
      <c r="K926" t="n">
        <v>0</v>
      </c>
      <c r="L926" t="n">
        <v>0</v>
      </c>
      <c r="M926" t="n">
        <v>0</v>
      </c>
      <c r="N926" t="n">
        <v>0</v>
      </c>
      <c r="O926" t="n">
        <v>0</v>
      </c>
      <c r="P926" t="n">
        <v>0</v>
      </c>
      <c r="Q926" t="n">
        <v>0</v>
      </c>
      <c r="R926" s="2" t="inlineStr"/>
    </row>
    <row r="927" ht="15" customHeight="1">
      <c r="A927" t="inlineStr">
        <is>
          <t>A 41876-2025</t>
        </is>
      </c>
      <c r="B927" s="1" t="n">
        <v>45903.34555555556</v>
      </c>
      <c r="C927" s="1" t="n">
        <v>45932</v>
      </c>
      <c r="D927" t="inlineStr">
        <is>
          <t>JÄMTLANDS LÄN</t>
        </is>
      </c>
      <c r="E927" t="inlineStr">
        <is>
          <t>RAGUNDA</t>
        </is>
      </c>
      <c r="G927" t="n">
        <v>2</v>
      </c>
      <c r="H927" t="n">
        <v>0</v>
      </c>
      <c r="I927" t="n">
        <v>0</v>
      </c>
      <c r="J927" t="n">
        <v>0</v>
      </c>
      <c r="K927" t="n">
        <v>0</v>
      </c>
      <c r="L927" t="n">
        <v>0</v>
      </c>
      <c r="M927" t="n">
        <v>0</v>
      </c>
      <c r="N927" t="n">
        <v>0</v>
      </c>
      <c r="O927" t="n">
        <v>0</v>
      </c>
      <c r="P927" t="n">
        <v>0</v>
      </c>
      <c r="Q927" t="n">
        <v>0</v>
      </c>
      <c r="R927" s="2" t="inlineStr"/>
    </row>
    <row r="928" ht="15" customHeight="1">
      <c r="A928" t="inlineStr">
        <is>
          <t>A 42510-2023</t>
        </is>
      </c>
      <c r="B928" s="1" t="n">
        <v>45180.95927083334</v>
      </c>
      <c r="C928" s="1" t="n">
        <v>45932</v>
      </c>
      <c r="D928" t="inlineStr">
        <is>
          <t>JÄMTLANDS LÄN</t>
        </is>
      </c>
      <c r="E928" t="inlineStr">
        <is>
          <t>RAGUNDA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19401-2025</t>
        </is>
      </c>
      <c r="B929" s="1" t="n">
        <v>45769.67767361111</v>
      </c>
      <c r="C929" s="1" t="n">
        <v>45932</v>
      </c>
      <c r="D929" t="inlineStr">
        <is>
          <t>JÄMTLANDS LÄN</t>
        </is>
      </c>
      <c r="E929" t="inlineStr">
        <is>
          <t>RAGUNDA</t>
        </is>
      </c>
      <c r="F929" t="inlineStr">
        <is>
          <t>SCA</t>
        </is>
      </c>
      <c r="G929" t="n">
        <v>4.3</v>
      </c>
      <c r="H929" t="n">
        <v>0</v>
      </c>
      <c r="I929" t="n">
        <v>0</v>
      </c>
      <c r="J929" t="n">
        <v>0</v>
      </c>
      <c r="K929" t="n">
        <v>0</v>
      </c>
      <c r="L929" t="n">
        <v>0</v>
      </c>
      <c r="M929" t="n">
        <v>0</v>
      </c>
      <c r="N929" t="n">
        <v>0</v>
      </c>
      <c r="O929" t="n">
        <v>0</v>
      </c>
      <c r="P929" t="n">
        <v>0</v>
      </c>
      <c r="Q929" t="n">
        <v>0</v>
      </c>
      <c r="R929" s="2" t="inlineStr"/>
    </row>
    <row r="930" ht="15" customHeight="1">
      <c r="A930" t="inlineStr">
        <is>
          <t>A 53860-2023</t>
        </is>
      </c>
      <c r="B930" s="1" t="n">
        <v>45224</v>
      </c>
      <c r="C930" s="1" t="n">
        <v>45932</v>
      </c>
      <c r="D930" t="inlineStr">
        <is>
          <t>JÄMTLANDS LÄN</t>
        </is>
      </c>
      <c r="E930" t="inlineStr">
        <is>
          <t>RAGUNDA</t>
        </is>
      </c>
      <c r="G930" t="n">
        <v>3.3</v>
      </c>
      <c r="H930" t="n">
        <v>0</v>
      </c>
      <c r="I930" t="n">
        <v>0</v>
      </c>
      <c r="J930" t="n">
        <v>0</v>
      </c>
      <c r="K930" t="n">
        <v>0</v>
      </c>
      <c r="L930" t="n">
        <v>0</v>
      </c>
      <c r="M930" t="n">
        <v>0</v>
      </c>
      <c r="N930" t="n">
        <v>0</v>
      </c>
      <c r="O930" t="n">
        <v>0</v>
      </c>
      <c r="P930" t="n">
        <v>0</v>
      </c>
      <c r="Q930" t="n">
        <v>0</v>
      </c>
      <c r="R930" s="2" t="inlineStr"/>
    </row>
    <row r="931" ht="15" customHeight="1">
      <c r="A931" t="inlineStr">
        <is>
          <t>A 65898-2020</t>
        </is>
      </c>
      <c r="B931" s="1" t="n">
        <v>44174</v>
      </c>
      <c r="C931" s="1" t="n">
        <v>45932</v>
      </c>
      <c r="D931" t="inlineStr">
        <is>
          <t>JÄMTLANDS LÄN</t>
        </is>
      </c>
      <c r="E931" t="inlineStr">
        <is>
          <t>RAGUNDA</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43405-2023</t>
        </is>
      </c>
      <c r="B932" s="1" t="n">
        <v>45183.95563657407</v>
      </c>
      <c r="C932" s="1" t="n">
        <v>45932</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59496-2024</t>
        </is>
      </c>
      <c r="B933" s="1" t="n">
        <v>45638</v>
      </c>
      <c r="C933" s="1" t="n">
        <v>45932</v>
      </c>
      <c r="D933" t="inlineStr">
        <is>
          <t>JÄMTLANDS LÄN</t>
        </is>
      </c>
      <c r="E933" t="inlineStr">
        <is>
          <t>RAGUNDA</t>
        </is>
      </c>
      <c r="G933" t="n">
        <v>13.1</v>
      </c>
      <c r="H933" t="n">
        <v>0</v>
      </c>
      <c r="I933" t="n">
        <v>0</v>
      </c>
      <c r="J933" t="n">
        <v>0</v>
      </c>
      <c r="K933" t="n">
        <v>0</v>
      </c>
      <c r="L933" t="n">
        <v>0</v>
      </c>
      <c r="M933" t="n">
        <v>0</v>
      </c>
      <c r="N933" t="n">
        <v>0</v>
      </c>
      <c r="O933" t="n">
        <v>0</v>
      </c>
      <c r="P933" t="n">
        <v>0</v>
      </c>
      <c r="Q933" t="n">
        <v>0</v>
      </c>
      <c r="R933" s="2" t="inlineStr"/>
    </row>
    <row r="934" ht="15" customHeight="1">
      <c r="A934" t="inlineStr">
        <is>
          <t>A 12039-2023</t>
        </is>
      </c>
      <c r="B934" s="1" t="n">
        <v>44995.98341435185</v>
      </c>
      <c r="C934" s="1" t="n">
        <v>45932</v>
      </c>
      <c r="D934" t="inlineStr">
        <is>
          <t>JÄMTLANDS LÄN</t>
        </is>
      </c>
      <c r="E934" t="inlineStr">
        <is>
          <t>RAGUNDA</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26991-2023</t>
        </is>
      </c>
      <c r="B935" s="1" t="n">
        <v>45093.92207175926</v>
      </c>
      <c r="C935" s="1" t="n">
        <v>45932</v>
      </c>
      <c r="D935" t="inlineStr">
        <is>
          <t>JÄMTLANDS LÄN</t>
        </is>
      </c>
      <c r="E935" t="inlineStr">
        <is>
          <t>RAGUNDA</t>
        </is>
      </c>
      <c r="G935" t="n">
        <v>1.4</v>
      </c>
      <c r="H935" t="n">
        <v>0</v>
      </c>
      <c r="I935" t="n">
        <v>0</v>
      </c>
      <c r="J935" t="n">
        <v>0</v>
      </c>
      <c r="K935" t="n">
        <v>0</v>
      </c>
      <c r="L935" t="n">
        <v>0</v>
      </c>
      <c r="M935" t="n">
        <v>0</v>
      </c>
      <c r="N935" t="n">
        <v>0</v>
      </c>
      <c r="O935" t="n">
        <v>0</v>
      </c>
      <c r="P935" t="n">
        <v>0</v>
      </c>
      <c r="Q935" t="n">
        <v>0</v>
      </c>
      <c r="R935" s="2" t="inlineStr"/>
    </row>
    <row r="936" ht="15" customHeight="1">
      <c r="A936" t="inlineStr">
        <is>
          <t>A 35689-2025</t>
        </is>
      </c>
      <c r="B936" s="1" t="n">
        <v>45860.30229166667</v>
      </c>
      <c r="C936" s="1" t="n">
        <v>45932</v>
      </c>
      <c r="D936" t="inlineStr">
        <is>
          <t>JÄMTLANDS LÄN</t>
        </is>
      </c>
      <c r="E936" t="inlineStr">
        <is>
          <t>RAGUNDA</t>
        </is>
      </c>
      <c r="G936" t="n">
        <v>1.9</v>
      </c>
      <c r="H936" t="n">
        <v>0</v>
      </c>
      <c r="I936" t="n">
        <v>0</v>
      </c>
      <c r="J936" t="n">
        <v>0</v>
      </c>
      <c r="K936" t="n">
        <v>0</v>
      </c>
      <c r="L936" t="n">
        <v>0</v>
      </c>
      <c r="M936" t="n">
        <v>0</v>
      </c>
      <c r="N936" t="n">
        <v>0</v>
      </c>
      <c r="O936" t="n">
        <v>0</v>
      </c>
      <c r="P936" t="n">
        <v>0</v>
      </c>
      <c r="Q936" t="n">
        <v>0</v>
      </c>
      <c r="R936" s="2" t="inlineStr"/>
    </row>
    <row r="937" ht="15" customHeight="1">
      <c r="A937" t="inlineStr">
        <is>
          <t>A 62106-2023</t>
        </is>
      </c>
      <c r="B937" s="1" t="n">
        <v>45266.95082175926</v>
      </c>
      <c r="C937" s="1" t="n">
        <v>45932</v>
      </c>
      <c r="D937" t="inlineStr">
        <is>
          <t>JÄMTLANDS LÄN</t>
        </is>
      </c>
      <c r="E937" t="inlineStr">
        <is>
          <t>RAGUNDA</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13302-2022</t>
        </is>
      </c>
      <c r="B938" s="1" t="n">
        <v>44644</v>
      </c>
      <c r="C938" s="1" t="n">
        <v>45932</v>
      </c>
      <c r="D938" t="inlineStr">
        <is>
          <t>JÄMTLANDS LÄN</t>
        </is>
      </c>
      <c r="E938" t="inlineStr">
        <is>
          <t>RAGUNDA</t>
        </is>
      </c>
      <c r="F938" t="inlineStr">
        <is>
          <t>SCA</t>
        </is>
      </c>
      <c r="G938" t="n">
        <v>35.6</v>
      </c>
      <c r="H938" t="n">
        <v>0</v>
      </c>
      <c r="I938" t="n">
        <v>0</v>
      </c>
      <c r="J938" t="n">
        <v>0</v>
      </c>
      <c r="K938" t="n">
        <v>0</v>
      </c>
      <c r="L938" t="n">
        <v>0</v>
      </c>
      <c r="M938" t="n">
        <v>0</v>
      </c>
      <c r="N938" t="n">
        <v>0</v>
      </c>
      <c r="O938" t="n">
        <v>0</v>
      </c>
      <c r="P938" t="n">
        <v>0</v>
      </c>
      <c r="Q938" t="n">
        <v>0</v>
      </c>
      <c r="R938" s="2" t="inlineStr"/>
    </row>
    <row r="939" ht="15" customHeight="1">
      <c r="A939" t="inlineStr">
        <is>
          <t>A 26651-2024</t>
        </is>
      </c>
      <c r="B939" s="1" t="n">
        <v>45469.94876157407</v>
      </c>
      <c r="C939" s="1" t="n">
        <v>45932</v>
      </c>
      <c r="D939" t="inlineStr">
        <is>
          <t>JÄMTLANDS LÄN</t>
        </is>
      </c>
      <c r="E939" t="inlineStr">
        <is>
          <t>RAGUNDA</t>
        </is>
      </c>
      <c r="F939" t="inlineStr">
        <is>
          <t>SCA</t>
        </is>
      </c>
      <c r="G939" t="n">
        <v>10.4</v>
      </c>
      <c r="H939" t="n">
        <v>0</v>
      </c>
      <c r="I939" t="n">
        <v>0</v>
      </c>
      <c r="J939" t="n">
        <v>0</v>
      </c>
      <c r="K939" t="n">
        <v>0</v>
      </c>
      <c r="L939" t="n">
        <v>0</v>
      </c>
      <c r="M939" t="n">
        <v>0</v>
      </c>
      <c r="N939" t="n">
        <v>0</v>
      </c>
      <c r="O939" t="n">
        <v>0</v>
      </c>
      <c r="P939" t="n">
        <v>0</v>
      </c>
      <c r="Q939" t="n">
        <v>0</v>
      </c>
      <c r="R939" s="2" t="inlineStr"/>
    </row>
    <row r="940" ht="15" customHeight="1">
      <c r="A940" t="inlineStr">
        <is>
          <t>A 18781-2024</t>
        </is>
      </c>
      <c r="B940" s="1" t="n">
        <v>45426</v>
      </c>
      <c r="C940" s="1" t="n">
        <v>45932</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41656-2025</t>
        </is>
      </c>
      <c r="B941" s="1" t="n">
        <v>45902.34423611111</v>
      </c>
      <c r="C941" s="1" t="n">
        <v>45932</v>
      </c>
      <c r="D941" t="inlineStr">
        <is>
          <t>JÄMTLANDS LÄN</t>
        </is>
      </c>
      <c r="E941" t="inlineStr">
        <is>
          <t>RAGUNDA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45932</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40919-2024</t>
        </is>
      </c>
      <c r="B943" s="1" t="n">
        <v>45558.63575231482</v>
      </c>
      <c r="C943" s="1" t="n">
        <v>45932</v>
      </c>
      <c r="D943" t="inlineStr">
        <is>
          <t>JÄMTLANDS LÄN</t>
        </is>
      </c>
      <c r="E943" t="inlineStr">
        <is>
          <t>RAGUNDA</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3186-2025</t>
        </is>
      </c>
      <c r="B944" s="1" t="n">
        <v>45679.40362268518</v>
      </c>
      <c r="C944" s="1" t="n">
        <v>45932</v>
      </c>
      <c r="D944" t="inlineStr">
        <is>
          <t>JÄMTLANDS LÄN</t>
        </is>
      </c>
      <c r="E944" t="inlineStr">
        <is>
          <t>RAGUNDA</t>
        </is>
      </c>
      <c r="G944" t="n">
        <v>5.2</v>
      </c>
      <c r="H944" t="n">
        <v>0</v>
      </c>
      <c r="I944" t="n">
        <v>0</v>
      </c>
      <c r="J944" t="n">
        <v>0</v>
      </c>
      <c r="K944" t="n">
        <v>0</v>
      </c>
      <c r="L944" t="n">
        <v>0</v>
      </c>
      <c r="M944" t="n">
        <v>0</v>
      </c>
      <c r="N944" t="n">
        <v>0</v>
      </c>
      <c r="O944" t="n">
        <v>0</v>
      </c>
      <c r="P944" t="n">
        <v>0</v>
      </c>
      <c r="Q944" t="n">
        <v>0</v>
      </c>
      <c r="R944" s="2" t="inlineStr"/>
    </row>
    <row r="945" ht="15" customHeight="1">
      <c r="A945" t="inlineStr">
        <is>
          <t>A 465-2023</t>
        </is>
      </c>
      <c r="B945" s="1" t="n">
        <v>44929</v>
      </c>
      <c r="C945" s="1" t="n">
        <v>45932</v>
      </c>
      <c r="D945" t="inlineStr">
        <is>
          <t>JÄMTLANDS LÄN</t>
        </is>
      </c>
      <c r="E945" t="inlineStr">
        <is>
          <t>RAGUNDA</t>
        </is>
      </c>
      <c r="G945" t="n">
        <v>0.8</v>
      </c>
      <c r="H945" t="n">
        <v>0</v>
      </c>
      <c r="I945" t="n">
        <v>0</v>
      </c>
      <c r="J945" t="n">
        <v>0</v>
      </c>
      <c r="K945" t="n">
        <v>0</v>
      </c>
      <c r="L945" t="n">
        <v>0</v>
      </c>
      <c r="M945" t="n">
        <v>0</v>
      </c>
      <c r="N945" t="n">
        <v>0</v>
      </c>
      <c r="O945" t="n">
        <v>0</v>
      </c>
      <c r="P945" t="n">
        <v>0</v>
      </c>
      <c r="Q945" t="n">
        <v>0</v>
      </c>
      <c r="R945" s="2" t="inlineStr"/>
    </row>
    <row r="946" ht="15" customHeight="1">
      <c r="A946" t="inlineStr">
        <is>
          <t>A 26455-2023</t>
        </is>
      </c>
      <c r="B946" s="1" t="n">
        <v>45092</v>
      </c>
      <c r="C946" s="1" t="n">
        <v>45932</v>
      </c>
      <c r="D946" t="inlineStr">
        <is>
          <t>JÄMTLANDS LÄN</t>
        </is>
      </c>
      <c r="E946" t="inlineStr">
        <is>
          <t>RAGUNDA</t>
        </is>
      </c>
      <c r="G946" t="n">
        <v>3.8</v>
      </c>
      <c r="H946" t="n">
        <v>0</v>
      </c>
      <c r="I946" t="n">
        <v>0</v>
      </c>
      <c r="J946" t="n">
        <v>0</v>
      </c>
      <c r="K946" t="n">
        <v>0</v>
      </c>
      <c r="L946" t="n">
        <v>0</v>
      </c>
      <c r="M946" t="n">
        <v>0</v>
      </c>
      <c r="N946" t="n">
        <v>0</v>
      </c>
      <c r="O946" t="n">
        <v>0</v>
      </c>
      <c r="P946" t="n">
        <v>0</v>
      </c>
      <c r="Q946" t="n">
        <v>0</v>
      </c>
      <c r="R946" s="2" t="inlineStr"/>
    </row>
    <row r="947" ht="15" customHeight="1">
      <c r="A947" t="inlineStr">
        <is>
          <t>A 10639-2024</t>
        </is>
      </c>
      <c r="B947" s="1" t="n">
        <v>45367.67256944445</v>
      </c>
      <c r="C947" s="1" t="n">
        <v>45932</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2751-2024</t>
        </is>
      </c>
      <c r="B948" s="1" t="n">
        <v>45314</v>
      </c>
      <c r="C948" s="1" t="n">
        <v>45932</v>
      </c>
      <c r="D948" t="inlineStr">
        <is>
          <t>JÄMTLANDS LÄN</t>
        </is>
      </c>
      <c r="E948" t="inlineStr">
        <is>
          <t>RAGUNDA</t>
        </is>
      </c>
      <c r="G948" t="n">
        <v>1.8</v>
      </c>
      <c r="H948" t="n">
        <v>0</v>
      </c>
      <c r="I948" t="n">
        <v>0</v>
      </c>
      <c r="J948" t="n">
        <v>0</v>
      </c>
      <c r="K948" t="n">
        <v>0</v>
      </c>
      <c r="L948" t="n">
        <v>0</v>
      </c>
      <c r="M948" t="n">
        <v>0</v>
      </c>
      <c r="N948" t="n">
        <v>0</v>
      </c>
      <c r="O948" t="n">
        <v>0</v>
      </c>
      <c r="P948" t="n">
        <v>0</v>
      </c>
      <c r="Q948" t="n">
        <v>0</v>
      </c>
      <c r="R948" s="2" t="inlineStr"/>
    </row>
    <row r="949" ht="15" customHeight="1">
      <c r="A949" t="inlineStr">
        <is>
          <t>A 30826-2023</t>
        </is>
      </c>
      <c r="B949" s="1" t="n">
        <v>45112</v>
      </c>
      <c r="C949" s="1" t="n">
        <v>45932</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46751-2025</t>
        </is>
      </c>
      <c r="B950" s="1" t="n">
        <v>45926.6153125</v>
      </c>
      <c r="C950" s="1" t="n">
        <v>45932</v>
      </c>
      <c r="D950" t="inlineStr">
        <is>
          <t>JÄMTLANDS LÄN</t>
        </is>
      </c>
      <c r="E950" t="inlineStr">
        <is>
          <t>RAGUNDA</t>
        </is>
      </c>
      <c r="F950" t="inlineStr">
        <is>
          <t>SCA</t>
        </is>
      </c>
      <c r="G950" t="n">
        <v>7.8</v>
      </c>
      <c r="H950" t="n">
        <v>0</v>
      </c>
      <c r="I950" t="n">
        <v>0</v>
      </c>
      <c r="J950" t="n">
        <v>0</v>
      </c>
      <c r="K950" t="n">
        <v>0</v>
      </c>
      <c r="L950" t="n">
        <v>0</v>
      </c>
      <c r="M950" t="n">
        <v>0</v>
      </c>
      <c r="N950" t="n">
        <v>0</v>
      </c>
      <c r="O950" t="n">
        <v>0</v>
      </c>
      <c r="P950" t="n">
        <v>0</v>
      </c>
      <c r="Q950" t="n">
        <v>0</v>
      </c>
      <c r="R950" s="2" t="inlineStr"/>
    </row>
    <row r="951" ht="15" customHeight="1">
      <c r="A951" t="inlineStr">
        <is>
          <t>A 42269-2025</t>
        </is>
      </c>
      <c r="B951" s="1" t="n">
        <v>45904.60431712963</v>
      </c>
      <c r="C951" s="1" t="n">
        <v>45932</v>
      </c>
      <c r="D951" t="inlineStr">
        <is>
          <t>JÄMTLANDS LÄN</t>
        </is>
      </c>
      <c r="E951" t="inlineStr">
        <is>
          <t>RAGUNDA</t>
        </is>
      </c>
      <c r="G951" t="n">
        <v>4.3</v>
      </c>
      <c r="H951" t="n">
        <v>0</v>
      </c>
      <c r="I951" t="n">
        <v>0</v>
      </c>
      <c r="J951" t="n">
        <v>0</v>
      </c>
      <c r="K951" t="n">
        <v>0</v>
      </c>
      <c r="L951" t="n">
        <v>0</v>
      </c>
      <c r="M951" t="n">
        <v>0</v>
      </c>
      <c r="N951" t="n">
        <v>0</v>
      </c>
      <c r="O951" t="n">
        <v>0</v>
      </c>
      <c r="P951" t="n">
        <v>0</v>
      </c>
      <c r="Q951" t="n">
        <v>0</v>
      </c>
      <c r="R951" s="2" t="inlineStr"/>
    </row>
    <row r="952" ht="15" customHeight="1">
      <c r="A952" t="inlineStr">
        <is>
          <t>A 53263-2024</t>
        </is>
      </c>
      <c r="B952" s="1" t="n">
        <v>45614.34541666666</v>
      </c>
      <c r="C952" s="1" t="n">
        <v>45932</v>
      </c>
      <c r="D952" t="inlineStr">
        <is>
          <t>JÄMTLANDS LÄN</t>
        </is>
      </c>
      <c r="E952" t="inlineStr">
        <is>
          <t>RAGUNDA</t>
        </is>
      </c>
      <c r="G952" t="n">
        <v>1.9</v>
      </c>
      <c r="H952" t="n">
        <v>0</v>
      </c>
      <c r="I952" t="n">
        <v>0</v>
      </c>
      <c r="J952" t="n">
        <v>0</v>
      </c>
      <c r="K952" t="n">
        <v>0</v>
      </c>
      <c r="L952" t="n">
        <v>0</v>
      </c>
      <c r="M952" t="n">
        <v>0</v>
      </c>
      <c r="N952" t="n">
        <v>0</v>
      </c>
      <c r="O952" t="n">
        <v>0</v>
      </c>
      <c r="P952" t="n">
        <v>0</v>
      </c>
      <c r="Q952" t="n">
        <v>0</v>
      </c>
      <c r="R952" s="2" t="inlineStr"/>
    </row>
    <row r="953" ht="15" customHeight="1">
      <c r="A953" t="inlineStr">
        <is>
          <t>A 36317-2024</t>
        </is>
      </c>
      <c r="B953" s="1" t="n">
        <v>45534.63537037037</v>
      </c>
      <c r="C953" s="1" t="n">
        <v>45932</v>
      </c>
      <c r="D953" t="inlineStr">
        <is>
          <t>JÄMTLANDS LÄN</t>
        </is>
      </c>
      <c r="E953" t="inlineStr">
        <is>
          <t>RAGUNDA</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21401-2024</t>
        </is>
      </c>
      <c r="B954" s="1" t="n">
        <v>45441.33313657407</v>
      </c>
      <c r="C954" s="1" t="n">
        <v>45932</v>
      </c>
      <c r="D954" t="inlineStr">
        <is>
          <t>JÄMTLANDS LÄN</t>
        </is>
      </c>
      <c r="E954" t="inlineStr">
        <is>
          <t>RAGUNDA</t>
        </is>
      </c>
      <c r="G954" t="n">
        <v>3.7</v>
      </c>
      <c r="H954" t="n">
        <v>0</v>
      </c>
      <c r="I954" t="n">
        <v>0</v>
      </c>
      <c r="J954" t="n">
        <v>0</v>
      </c>
      <c r="K954" t="n">
        <v>0</v>
      </c>
      <c r="L954" t="n">
        <v>0</v>
      </c>
      <c r="M954" t="n">
        <v>0</v>
      </c>
      <c r="N954" t="n">
        <v>0</v>
      </c>
      <c r="O954" t="n">
        <v>0</v>
      </c>
      <c r="P954" t="n">
        <v>0</v>
      </c>
      <c r="Q954" t="n">
        <v>0</v>
      </c>
      <c r="R954" s="2" t="inlineStr"/>
    </row>
    <row r="955" ht="15" customHeight="1">
      <c r="A955" t="inlineStr">
        <is>
          <t>A 26645-2024</t>
        </is>
      </c>
      <c r="B955" s="1" t="n">
        <v>45469.94667824074</v>
      </c>
      <c r="C955" s="1" t="n">
        <v>45932</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39192-2025</t>
        </is>
      </c>
      <c r="B956" s="1" t="n">
        <v>45888.6775</v>
      </c>
      <c r="C956" s="1" t="n">
        <v>45932</v>
      </c>
      <c r="D956" t="inlineStr">
        <is>
          <t>JÄMTLANDS LÄN</t>
        </is>
      </c>
      <c r="E956" t="inlineStr">
        <is>
          <t>RAGUNDA</t>
        </is>
      </c>
      <c r="F956" t="inlineStr">
        <is>
          <t>Naturvårdsverket</t>
        </is>
      </c>
      <c r="G956" t="n">
        <v>2.3</v>
      </c>
      <c r="H956" t="n">
        <v>0</v>
      </c>
      <c r="I956" t="n">
        <v>0</v>
      </c>
      <c r="J956" t="n">
        <v>0</v>
      </c>
      <c r="K956" t="n">
        <v>0</v>
      </c>
      <c r="L956" t="n">
        <v>0</v>
      </c>
      <c r="M956" t="n">
        <v>0</v>
      </c>
      <c r="N956" t="n">
        <v>0</v>
      </c>
      <c r="O956" t="n">
        <v>0</v>
      </c>
      <c r="P956" t="n">
        <v>0</v>
      </c>
      <c r="Q956" t="n">
        <v>0</v>
      </c>
      <c r="R956" s="2" t="inlineStr"/>
    </row>
    <row r="957" ht="15" customHeight="1">
      <c r="A957" t="inlineStr">
        <is>
          <t>A 18614-2024</t>
        </is>
      </c>
      <c r="B957" s="1" t="n">
        <v>45425.96263888889</v>
      </c>
      <c r="C957" s="1" t="n">
        <v>45932</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8787-2022</t>
        </is>
      </c>
      <c r="B958" s="1" t="n">
        <v>44614</v>
      </c>
      <c r="C958" s="1" t="n">
        <v>45932</v>
      </c>
      <c r="D958" t="inlineStr">
        <is>
          <t>JÄMTLANDS LÄN</t>
        </is>
      </c>
      <c r="E958" t="inlineStr">
        <is>
          <t>RAGUNDA</t>
        </is>
      </c>
      <c r="G958" t="n">
        <v>6.4</v>
      </c>
      <c r="H958" t="n">
        <v>0</v>
      </c>
      <c r="I958" t="n">
        <v>0</v>
      </c>
      <c r="J958" t="n">
        <v>0</v>
      </c>
      <c r="K958" t="n">
        <v>0</v>
      </c>
      <c r="L958" t="n">
        <v>0</v>
      </c>
      <c r="M958" t="n">
        <v>0</v>
      </c>
      <c r="N958" t="n">
        <v>0</v>
      </c>
      <c r="O958" t="n">
        <v>0</v>
      </c>
      <c r="P958" t="n">
        <v>0</v>
      </c>
      <c r="Q958" t="n">
        <v>0</v>
      </c>
      <c r="R958" s="2" t="inlineStr"/>
    </row>
    <row r="959" ht="15" customHeight="1">
      <c r="A959" t="inlineStr">
        <is>
          <t>A 47228-2025</t>
        </is>
      </c>
      <c r="B959" s="1" t="n">
        <v>45930.3990162037</v>
      </c>
      <c r="C959" s="1" t="n">
        <v>45932</v>
      </c>
      <c r="D959" t="inlineStr">
        <is>
          <t>JÄMTLANDS LÄN</t>
        </is>
      </c>
      <c r="E959" t="inlineStr">
        <is>
          <t>RAGUNDA</t>
        </is>
      </c>
      <c r="G959" t="n">
        <v>2.6</v>
      </c>
      <c r="H959" t="n">
        <v>0</v>
      </c>
      <c r="I959" t="n">
        <v>0</v>
      </c>
      <c r="J959" t="n">
        <v>0</v>
      </c>
      <c r="K959" t="n">
        <v>0</v>
      </c>
      <c r="L959" t="n">
        <v>0</v>
      </c>
      <c r="M959" t="n">
        <v>0</v>
      </c>
      <c r="N959" t="n">
        <v>0</v>
      </c>
      <c r="O959" t="n">
        <v>0</v>
      </c>
      <c r="P959" t="n">
        <v>0</v>
      </c>
      <c r="Q959" t="n">
        <v>0</v>
      </c>
      <c r="R959" s="2" t="inlineStr"/>
    </row>
    <row r="960" ht="15" customHeight="1">
      <c r="A960" t="inlineStr">
        <is>
          <t>A 5967-2021</t>
        </is>
      </c>
      <c r="B960" s="1" t="n">
        <v>44231</v>
      </c>
      <c r="C960" s="1" t="n">
        <v>45932</v>
      </c>
      <c r="D960" t="inlineStr">
        <is>
          <t>JÄMTLANDS LÄN</t>
        </is>
      </c>
      <c r="E960" t="inlineStr">
        <is>
          <t>RAGUNDA</t>
        </is>
      </c>
      <c r="G960" t="n">
        <v>3.6</v>
      </c>
      <c r="H960" t="n">
        <v>0</v>
      </c>
      <c r="I960" t="n">
        <v>0</v>
      </c>
      <c r="J960" t="n">
        <v>0</v>
      </c>
      <c r="K960" t="n">
        <v>0</v>
      </c>
      <c r="L960" t="n">
        <v>0</v>
      </c>
      <c r="M960" t="n">
        <v>0</v>
      </c>
      <c r="N960" t="n">
        <v>0</v>
      </c>
      <c r="O960" t="n">
        <v>0</v>
      </c>
      <c r="P960" t="n">
        <v>0</v>
      </c>
      <c r="Q960" t="n">
        <v>0</v>
      </c>
      <c r="R960" s="2" t="inlineStr"/>
    </row>
    <row r="961" ht="15" customHeight="1">
      <c r="A961" t="inlineStr">
        <is>
          <t>A 893-2025</t>
        </is>
      </c>
      <c r="B961" s="1" t="n">
        <v>45665.65684027778</v>
      </c>
      <c r="C961" s="1" t="n">
        <v>45932</v>
      </c>
      <c r="D961" t="inlineStr">
        <is>
          <t>JÄMTLANDS LÄN</t>
        </is>
      </c>
      <c r="E961" t="inlineStr">
        <is>
          <t>RAGUNDA</t>
        </is>
      </c>
      <c r="F961" t="inlineStr">
        <is>
          <t>SCA</t>
        </is>
      </c>
      <c r="G961" t="n">
        <v>45.1</v>
      </c>
      <c r="H961" t="n">
        <v>0</v>
      </c>
      <c r="I961" t="n">
        <v>0</v>
      </c>
      <c r="J961" t="n">
        <v>0</v>
      </c>
      <c r="K961" t="n">
        <v>0</v>
      </c>
      <c r="L961" t="n">
        <v>0</v>
      </c>
      <c r="M961" t="n">
        <v>0</v>
      </c>
      <c r="N961" t="n">
        <v>0</v>
      </c>
      <c r="O961" t="n">
        <v>0</v>
      </c>
      <c r="P961" t="n">
        <v>0</v>
      </c>
      <c r="Q961" t="n">
        <v>0</v>
      </c>
      <c r="R961" s="2" t="inlineStr"/>
    </row>
    <row r="962" ht="15" customHeight="1">
      <c r="A962" t="inlineStr">
        <is>
          <t>A 50431-2024</t>
        </is>
      </c>
      <c r="B962" s="1" t="n">
        <v>45601.40686342592</v>
      </c>
      <c r="C962" s="1" t="n">
        <v>45932</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31135-2023</t>
        </is>
      </c>
      <c r="B963" s="1" t="n">
        <v>45103</v>
      </c>
      <c r="C963" s="1" t="n">
        <v>45932</v>
      </c>
      <c r="D963" t="inlineStr">
        <is>
          <t>JÄMTLANDS LÄN</t>
        </is>
      </c>
      <c r="E963" t="inlineStr">
        <is>
          <t>RAGUNDA</t>
        </is>
      </c>
      <c r="G963" t="n">
        <v>0.9</v>
      </c>
      <c r="H963" t="n">
        <v>0</v>
      </c>
      <c r="I963" t="n">
        <v>0</v>
      </c>
      <c r="J963" t="n">
        <v>0</v>
      </c>
      <c r="K963" t="n">
        <v>0</v>
      </c>
      <c r="L963" t="n">
        <v>0</v>
      </c>
      <c r="M963" t="n">
        <v>0</v>
      </c>
      <c r="N963" t="n">
        <v>0</v>
      </c>
      <c r="O963" t="n">
        <v>0</v>
      </c>
      <c r="P963" t="n">
        <v>0</v>
      </c>
      <c r="Q963" t="n">
        <v>0</v>
      </c>
      <c r="R963" s="2" t="inlineStr"/>
    </row>
    <row r="964" ht="15" customHeight="1">
      <c r="A964" t="inlineStr">
        <is>
          <t>A 54092-2024</t>
        </is>
      </c>
      <c r="B964" s="1" t="n">
        <v>45616.5108912037</v>
      </c>
      <c r="C964" s="1" t="n">
        <v>45932</v>
      </c>
      <c r="D964" t="inlineStr">
        <is>
          <t>JÄMTLANDS LÄN</t>
        </is>
      </c>
      <c r="E964" t="inlineStr">
        <is>
          <t>RAGUNDA</t>
        </is>
      </c>
      <c r="F964" t="inlineStr">
        <is>
          <t>Naturvårdsverket</t>
        </is>
      </c>
      <c r="G964" t="n">
        <v>1.3</v>
      </c>
      <c r="H964" t="n">
        <v>0</v>
      </c>
      <c r="I964" t="n">
        <v>0</v>
      </c>
      <c r="J964" t="n">
        <v>0</v>
      </c>
      <c r="K964" t="n">
        <v>0</v>
      </c>
      <c r="L964" t="n">
        <v>0</v>
      </c>
      <c r="M964" t="n">
        <v>0</v>
      </c>
      <c r="N964" t="n">
        <v>0</v>
      </c>
      <c r="O964" t="n">
        <v>0</v>
      </c>
      <c r="P964" t="n">
        <v>0</v>
      </c>
      <c r="Q964" t="n">
        <v>0</v>
      </c>
      <c r="R964" s="2" t="inlineStr"/>
    </row>
    <row r="965" ht="15" customHeight="1">
      <c r="A965" t="inlineStr">
        <is>
          <t>A 42393-2025</t>
        </is>
      </c>
      <c r="B965" s="1" t="n">
        <v>45905</v>
      </c>
      <c r="C965" s="1" t="n">
        <v>45932</v>
      </c>
      <c r="D965" t="inlineStr">
        <is>
          <t>JÄMTLANDS LÄN</t>
        </is>
      </c>
      <c r="E965" t="inlineStr">
        <is>
          <t>RAGUNDA</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42776-2025</t>
        </is>
      </c>
      <c r="B966" s="1" t="n">
        <v>45908.48993055556</v>
      </c>
      <c r="C966" s="1" t="n">
        <v>45932</v>
      </c>
      <c r="D966" t="inlineStr">
        <is>
          <t>JÄMTLANDS LÄN</t>
        </is>
      </c>
      <c r="E966" t="inlineStr">
        <is>
          <t>RAGUNDA</t>
        </is>
      </c>
      <c r="G966" t="n">
        <v>11.6</v>
      </c>
      <c r="H966" t="n">
        <v>0</v>
      </c>
      <c r="I966" t="n">
        <v>0</v>
      </c>
      <c r="J966" t="n">
        <v>0</v>
      </c>
      <c r="K966" t="n">
        <v>0</v>
      </c>
      <c r="L966" t="n">
        <v>0</v>
      </c>
      <c r="M966" t="n">
        <v>0</v>
      </c>
      <c r="N966" t="n">
        <v>0</v>
      </c>
      <c r="O966" t="n">
        <v>0</v>
      </c>
      <c r="P966" t="n">
        <v>0</v>
      </c>
      <c r="Q966" t="n">
        <v>0</v>
      </c>
      <c r="R966" s="2" t="inlineStr"/>
    </row>
    <row r="967" ht="15" customHeight="1">
      <c r="A967" t="inlineStr">
        <is>
          <t>A 60936-2024</t>
        </is>
      </c>
      <c r="B967" s="1" t="n">
        <v>45645.36743055555</v>
      </c>
      <c r="C967" s="1" t="n">
        <v>45932</v>
      </c>
      <c r="D967" t="inlineStr">
        <is>
          <t>JÄMTLANDS LÄN</t>
        </is>
      </c>
      <c r="E967" t="inlineStr">
        <is>
          <t>RAGUNDA</t>
        </is>
      </c>
      <c r="G967" t="n">
        <v>1.2</v>
      </c>
      <c r="H967" t="n">
        <v>0</v>
      </c>
      <c r="I967" t="n">
        <v>0</v>
      </c>
      <c r="J967" t="n">
        <v>0</v>
      </c>
      <c r="K967" t="n">
        <v>0</v>
      </c>
      <c r="L967" t="n">
        <v>0</v>
      </c>
      <c r="M967" t="n">
        <v>0</v>
      </c>
      <c r="N967" t="n">
        <v>0</v>
      </c>
      <c r="O967" t="n">
        <v>0</v>
      </c>
      <c r="P967" t="n">
        <v>0</v>
      </c>
      <c r="Q967" t="n">
        <v>0</v>
      </c>
      <c r="R967" s="2" t="inlineStr"/>
    </row>
    <row r="968" ht="15" customHeight="1">
      <c r="A968" t="inlineStr">
        <is>
          <t>A 47748-2025</t>
        </is>
      </c>
      <c r="B968" s="1" t="n">
        <v>45931.65693287037</v>
      </c>
      <c r="C968" s="1" t="n">
        <v>45932</v>
      </c>
      <c r="D968" t="inlineStr">
        <is>
          <t>JÄMTLANDS LÄN</t>
        </is>
      </c>
      <c r="E968" t="inlineStr">
        <is>
          <t>RAGUNDA</t>
        </is>
      </c>
      <c r="F968" t="inlineStr">
        <is>
          <t>SCA</t>
        </is>
      </c>
      <c r="G968" t="n">
        <v>8.6</v>
      </c>
      <c r="H968" t="n">
        <v>0</v>
      </c>
      <c r="I968" t="n">
        <v>0</v>
      </c>
      <c r="J968" t="n">
        <v>0</v>
      </c>
      <c r="K968" t="n">
        <v>0</v>
      </c>
      <c r="L968" t="n">
        <v>0</v>
      </c>
      <c r="M968" t="n">
        <v>0</v>
      </c>
      <c r="N968" t="n">
        <v>0</v>
      </c>
      <c r="O968" t="n">
        <v>0</v>
      </c>
      <c r="P968" t="n">
        <v>0</v>
      </c>
      <c r="Q968" t="n">
        <v>0</v>
      </c>
      <c r="R968" s="2" t="inlineStr"/>
    </row>
    <row r="969" ht="15" customHeight="1">
      <c r="A969" t="inlineStr">
        <is>
          <t>A 47749-2025</t>
        </is>
      </c>
      <c r="B969" s="1" t="n">
        <v>45931.65711805555</v>
      </c>
      <c r="C969" s="1" t="n">
        <v>45932</v>
      </c>
      <c r="D969" t="inlineStr">
        <is>
          <t>JÄMTLANDS LÄN</t>
        </is>
      </c>
      <c r="E969" t="inlineStr">
        <is>
          <t>RAGUNDA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47229-2025</t>
        </is>
      </c>
      <c r="B970" s="1" t="n">
        <v>45930.40166666666</v>
      </c>
      <c r="C970" s="1" t="n">
        <v>45932</v>
      </c>
      <c r="D970" t="inlineStr">
        <is>
          <t>JÄMTLANDS LÄN</t>
        </is>
      </c>
      <c r="E970" t="inlineStr">
        <is>
          <t>RAGUNDA</t>
        </is>
      </c>
      <c r="G970" t="n">
        <v>1.8</v>
      </c>
      <c r="H970" t="n">
        <v>0</v>
      </c>
      <c r="I970" t="n">
        <v>0</v>
      </c>
      <c r="J970" t="n">
        <v>0</v>
      </c>
      <c r="K970" t="n">
        <v>0</v>
      </c>
      <c r="L970" t="n">
        <v>0</v>
      </c>
      <c r="M970" t="n">
        <v>0</v>
      </c>
      <c r="N970" t="n">
        <v>0</v>
      </c>
      <c r="O970" t="n">
        <v>0</v>
      </c>
      <c r="P970" t="n">
        <v>0</v>
      </c>
      <c r="Q970" t="n">
        <v>0</v>
      </c>
      <c r="R970" s="2" t="inlineStr"/>
    </row>
    <row r="971" ht="15" customHeight="1">
      <c r="A971" t="inlineStr">
        <is>
          <t>A 4212-2024</t>
        </is>
      </c>
      <c r="B971" s="1" t="n">
        <v>45324</v>
      </c>
      <c r="C971" s="1" t="n">
        <v>45932</v>
      </c>
      <c r="D971" t="inlineStr">
        <is>
          <t>JÄMTLANDS LÄN</t>
        </is>
      </c>
      <c r="E971" t="inlineStr">
        <is>
          <t>RAGUNDA</t>
        </is>
      </c>
      <c r="G971" t="n">
        <v>2</v>
      </c>
      <c r="H971" t="n">
        <v>0</v>
      </c>
      <c r="I971" t="n">
        <v>0</v>
      </c>
      <c r="J971" t="n">
        <v>0</v>
      </c>
      <c r="K971" t="n">
        <v>0</v>
      </c>
      <c r="L971" t="n">
        <v>0</v>
      </c>
      <c r="M971" t="n">
        <v>0</v>
      </c>
      <c r="N971" t="n">
        <v>0</v>
      </c>
      <c r="O971" t="n">
        <v>0</v>
      </c>
      <c r="P971" t="n">
        <v>0</v>
      </c>
      <c r="Q971" t="n">
        <v>0</v>
      </c>
      <c r="R971" s="2" t="inlineStr"/>
    </row>
    <row r="972" ht="15" customHeight="1">
      <c r="A972" t="inlineStr">
        <is>
          <t>A 9262-2025</t>
        </is>
      </c>
      <c r="B972" s="1" t="n">
        <v>45714.60649305556</v>
      </c>
      <c r="C972" s="1" t="n">
        <v>45932</v>
      </c>
      <c r="D972" t="inlineStr">
        <is>
          <t>JÄMTLANDS LÄN</t>
        </is>
      </c>
      <c r="E972" t="inlineStr">
        <is>
          <t>RAGUNDA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39384-2025</t>
        </is>
      </c>
      <c r="B973" s="1" t="n">
        <v>45889.61517361111</v>
      </c>
      <c r="C973" s="1" t="n">
        <v>45932</v>
      </c>
      <c r="D973" t="inlineStr">
        <is>
          <t>JÄMTLANDS LÄN</t>
        </is>
      </c>
      <c r="E973" t="inlineStr">
        <is>
          <t>RAGUNDA</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28216-2025</t>
        </is>
      </c>
      <c r="B974" s="1" t="n">
        <v>45818.46898148148</v>
      </c>
      <c r="C974" s="1" t="n">
        <v>45932</v>
      </c>
      <c r="D974" t="inlineStr">
        <is>
          <t>JÄMTLANDS LÄN</t>
        </is>
      </c>
      <c r="E974" t="inlineStr">
        <is>
          <t>RAGUNDA</t>
        </is>
      </c>
      <c r="G974" t="n">
        <v>6.6</v>
      </c>
      <c r="H974" t="n">
        <v>0</v>
      </c>
      <c r="I974" t="n">
        <v>0</v>
      </c>
      <c r="J974" t="n">
        <v>0</v>
      </c>
      <c r="K974" t="n">
        <v>0</v>
      </c>
      <c r="L974" t="n">
        <v>0</v>
      </c>
      <c r="M974" t="n">
        <v>0</v>
      </c>
      <c r="N974" t="n">
        <v>0</v>
      </c>
      <c r="O974" t="n">
        <v>0</v>
      </c>
      <c r="P974" t="n">
        <v>0</v>
      </c>
      <c r="Q974" t="n">
        <v>0</v>
      </c>
      <c r="R974" s="2" t="inlineStr"/>
    </row>
    <row r="975" ht="15" customHeight="1">
      <c r="A975" t="inlineStr">
        <is>
          <t>A 43330-2025</t>
        </is>
      </c>
      <c r="B975" s="1" t="n">
        <v>45910.67766203704</v>
      </c>
      <c r="C975" s="1" t="n">
        <v>45932</v>
      </c>
      <c r="D975" t="inlineStr">
        <is>
          <t>JÄMTLANDS LÄN</t>
        </is>
      </c>
      <c r="E975" t="inlineStr">
        <is>
          <t>RAGUNDA</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43132-2023</t>
        </is>
      </c>
      <c r="B976" s="1" t="n">
        <v>45182</v>
      </c>
      <c r="C976" s="1" t="n">
        <v>45932</v>
      </c>
      <c r="D976" t="inlineStr">
        <is>
          <t>JÄMTLANDS LÄN</t>
        </is>
      </c>
      <c r="E976" t="inlineStr">
        <is>
          <t>RAGUNDA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33650-2025</t>
        </is>
      </c>
      <c r="B977" s="1" t="n">
        <v>45841.6571412037</v>
      </c>
      <c r="C977" s="1" t="n">
        <v>45932</v>
      </c>
      <c r="D977" t="inlineStr">
        <is>
          <t>JÄMTLANDS LÄN</t>
        </is>
      </c>
      <c r="E977" t="inlineStr">
        <is>
          <t>RAGUNDA</t>
        </is>
      </c>
      <c r="G977" t="n">
        <v>1.4</v>
      </c>
      <c r="H977" t="n">
        <v>0</v>
      </c>
      <c r="I977" t="n">
        <v>0</v>
      </c>
      <c r="J977" t="n">
        <v>0</v>
      </c>
      <c r="K977" t="n">
        <v>0</v>
      </c>
      <c r="L977" t="n">
        <v>0</v>
      </c>
      <c r="M977" t="n">
        <v>0</v>
      </c>
      <c r="N977" t="n">
        <v>0</v>
      </c>
      <c r="O977" t="n">
        <v>0</v>
      </c>
      <c r="P977" t="n">
        <v>0</v>
      </c>
      <c r="Q977" t="n">
        <v>0</v>
      </c>
      <c r="R977" s="2" t="inlineStr"/>
    </row>
    <row r="978" ht="15" customHeight="1">
      <c r="A978" t="inlineStr">
        <is>
          <t>A 56284-2023</t>
        </is>
      </c>
      <c r="B978" s="1" t="n">
        <v>45241.95724537037</v>
      </c>
      <c r="C978" s="1" t="n">
        <v>45932</v>
      </c>
      <c r="D978" t="inlineStr">
        <is>
          <t>JÄMTLANDS LÄN</t>
        </is>
      </c>
      <c r="E978" t="inlineStr">
        <is>
          <t>RAGUNDA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36541-2025</t>
        </is>
      </c>
      <c r="B979" s="1" t="n">
        <v>45869.65666666667</v>
      </c>
      <c r="C979" s="1" t="n">
        <v>45932</v>
      </c>
      <c r="D979" t="inlineStr">
        <is>
          <t>JÄMTLANDS LÄN</t>
        </is>
      </c>
      <c r="E979" t="inlineStr">
        <is>
          <t>RAGUNDA</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36544-2025</t>
        </is>
      </c>
      <c r="B980" s="1" t="n">
        <v>45869.67744212963</v>
      </c>
      <c r="C980" s="1" t="n">
        <v>45932</v>
      </c>
      <c r="D980" t="inlineStr">
        <is>
          <t>JÄMTLANDS LÄN</t>
        </is>
      </c>
      <c r="E980" t="inlineStr">
        <is>
          <t>RAGUNDA</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60012-2023</t>
        </is>
      </c>
      <c r="B981" s="1" t="n">
        <v>45257</v>
      </c>
      <c r="C981" s="1" t="n">
        <v>45932</v>
      </c>
      <c r="D981" t="inlineStr">
        <is>
          <t>JÄMTLANDS LÄN</t>
        </is>
      </c>
      <c r="E981" t="inlineStr">
        <is>
          <t>RAGUNDA</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53676-2022</t>
        </is>
      </c>
      <c r="B982" s="1" t="n">
        <v>44879</v>
      </c>
      <c r="C982" s="1" t="n">
        <v>45932</v>
      </c>
      <c r="D982" t="inlineStr">
        <is>
          <t>JÄMTLANDS LÄN</t>
        </is>
      </c>
      <c r="E982" t="inlineStr">
        <is>
          <t>RAGUNDA</t>
        </is>
      </c>
      <c r="F982" t="inlineStr">
        <is>
          <t>Sveaskog</t>
        </is>
      </c>
      <c r="G982" t="n">
        <v>2.5</v>
      </c>
      <c r="H982" t="n">
        <v>0</v>
      </c>
      <c r="I982" t="n">
        <v>0</v>
      </c>
      <c r="J982" t="n">
        <v>0</v>
      </c>
      <c r="K982" t="n">
        <v>0</v>
      </c>
      <c r="L982" t="n">
        <v>0</v>
      </c>
      <c r="M982" t="n">
        <v>0</v>
      </c>
      <c r="N982" t="n">
        <v>0</v>
      </c>
      <c r="O982" t="n">
        <v>0</v>
      </c>
      <c r="P982" t="n">
        <v>0</v>
      </c>
      <c r="Q982" t="n">
        <v>0</v>
      </c>
      <c r="R982" s="2" t="inlineStr"/>
    </row>
    <row r="983" ht="15" customHeight="1">
      <c r="A983" t="inlineStr">
        <is>
          <t>A 61045-2022</t>
        </is>
      </c>
      <c r="B983" s="1" t="n">
        <v>44914</v>
      </c>
      <c r="C983" s="1" t="n">
        <v>45932</v>
      </c>
      <c r="D983" t="inlineStr">
        <is>
          <t>JÄMTLANDS LÄN</t>
        </is>
      </c>
      <c r="E983" t="inlineStr">
        <is>
          <t>RAGUNDA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61197-2023</t>
        </is>
      </c>
      <c r="B984" s="1" t="n">
        <v>45260</v>
      </c>
      <c r="C984" s="1" t="n">
        <v>45932</v>
      </c>
      <c r="D984" t="inlineStr">
        <is>
          <t>JÄMTLANDS LÄN</t>
        </is>
      </c>
      <c r="E984" t="inlineStr">
        <is>
          <t>RAGUNDA</t>
        </is>
      </c>
      <c r="G984" t="n">
        <v>2.5</v>
      </c>
      <c r="H984" t="n">
        <v>0</v>
      </c>
      <c r="I984" t="n">
        <v>0</v>
      </c>
      <c r="J984" t="n">
        <v>0</v>
      </c>
      <c r="K984" t="n">
        <v>0</v>
      </c>
      <c r="L984" t="n">
        <v>0</v>
      </c>
      <c r="M984" t="n">
        <v>0</v>
      </c>
      <c r="N984" t="n">
        <v>0</v>
      </c>
      <c r="O984" t="n">
        <v>0</v>
      </c>
      <c r="P984" t="n">
        <v>0</v>
      </c>
      <c r="Q984" t="n">
        <v>0</v>
      </c>
      <c r="R984" s="2" t="inlineStr"/>
    </row>
    <row r="985" ht="15" customHeight="1">
      <c r="A985" t="inlineStr">
        <is>
          <t>A 13263-2025</t>
        </is>
      </c>
      <c r="B985" s="1" t="n">
        <v>45735.53177083333</v>
      </c>
      <c r="C985" s="1" t="n">
        <v>45932</v>
      </c>
      <c r="D985" t="inlineStr">
        <is>
          <t>JÄMTLANDS LÄN</t>
        </is>
      </c>
      <c r="E985" t="inlineStr">
        <is>
          <t>RAGUNDA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48066-2022</t>
        </is>
      </c>
      <c r="B986" s="1" t="n">
        <v>44855</v>
      </c>
      <c r="C986" s="1" t="n">
        <v>45932</v>
      </c>
      <c r="D986" t="inlineStr">
        <is>
          <t>JÄMTLANDS LÄN</t>
        </is>
      </c>
      <c r="E986" t="inlineStr">
        <is>
          <t>RAGUNDA</t>
        </is>
      </c>
      <c r="F986" t="inlineStr">
        <is>
          <t>SCA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64415-2023</t>
        </is>
      </c>
      <c r="B987" s="1" t="n">
        <v>45280</v>
      </c>
      <c r="C987" s="1" t="n">
        <v>45932</v>
      </c>
      <c r="D987" t="inlineStr">
        <is>
          <t>JÄMTLANDS LÄN</t>
        </is>
      </c>
      <c r="E987" t="inlineStr">
        <is>
          <t>RAGUNDA</t>
        </is>
      </c>
      <c r="G987" t="n">
        <v>5.1</v>
      </c>
      <c r="H987" t="n">
        <v>0</v>
      </c>
      <c r="I987" t="n">
        <v>0</v>
      </c>
      <c r="J987" t="n">
        <v>0</v>
      </c>
      <c r="K987" t="n">
        <v>0</v>
      </c>
      <c r="L987" t="n">
        <v>0</v>
      </c>
      <c r="M987" t="n">
        <v>0</v>
      </c>
      <c r="N987" t="n">
        <v>0</v>
      </c>
      <c r="O987" t="n">
        <v>0</v>
      </c>
      <c r="P987" t="n">
        <v>0</v>
      </c>
      <c r="Q987" t="n">
        <v>0</v>
      </c>
      <c r="R987" s="2" t="inlineStr"/>
    </row>
    <row r="988" ht="15" customHeight="1">
      <c r="A988" t="inlineStr">
        <is>
          <t>A 60225-2022</t>
        </is>
      </c>
      <c r="B988" s="1" t="n">
        <v>44903</v>
      </c>
      <c r="C988" s="1" t="n">
        <v>45932</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15864-2024</t>
        </is>
      </c>
      <c r="B989" s="1" t="n">
        <v>45404.99792824074</v>
      </c>
      <c r="C989" s="1" t="n">
        <v>45932</v>
      </c>
      <c r="D989" t="inlineStr">
        <is>
          <t>JÄMTLANDS LÄN</t>
        </is>
      </c>
      <c r="E989" t="inlineStr">
        <is>
          <t>RAGUNDA</t>
        </is>
      </c>
      <c r="F989" t="inlineStr">
        <is>
          <t>SCA</t>
        </is>
      </c>
      <c r="G989" t="n">
        <v>1.1</v>
      </c>
      <c r="H989" t="n">
        <v>0</v>
      </c>
      <c r="I989" t="n">
        <v>0</v>
      </c>
      <c r="J989" t="n">
        <v>0</v>
      </c>
      <c r="K989" t="n">
        <v>0</v>
      </c>
      <c r="L989" t="n">
        <v>0</v>
      </c>
      <c r="M989" t="n">
        <v>0</v>
      </c>
      <c r="N989" t="n">
        <v>0</v>
      </c>
      <c r="O989" t="n">
        <v>0</v>
      </c>
      <c r="P989" t="n">
        <v>0</v>
      </c>
      <c r="Q989" t="n">
        <v>0</v>
      </c>
      <c r="R989" s="2" t="inlineStr"/>
      <c r="U989">
        <f>HYPERLINK("https://klasma.github.io/Logging_2303/knärot/A 15864-2024 karta knärot.png", "A 15864-2024")</f>
        <v/>
      </c>
      <c r="V989">
        <f>HYPERLINK("https://klasma.github.io/Logging_2303/klagomål/A 15864-2024 FSC-klagomål.docx", "A 15864-2024")</f>
        <v/>
      </c>
      <c r="W989">
        <f>HYPERLINK("https://klasma.github.io/Logging_2303/klagomålsmail/A 15864-2024 FSC-klagomål mail.docx", "A 15864-2024")</f>
        <v/>
      </c>
      <c r="X989">
        <f>HYPERLINK("https://klasma.github.io/Logging_2303/tillsyn/A 15864-2024 tillsynsbegäran.docx", "A 15864-2024")</f>
        <v/>
      </c>
      <c r="Y989">
        <f>HYPERLINK("https://klasma.github.io/Logging_2303/tillsynsmail/A 15864-2024 tillsynsbegäran mail.docx", "A 15864-2024")</f>
        <v/>
      </c>
    </row>
    <row r="990" ht="15" customHeight="1">
      <c r="A990" t="inlineStr">
        <is>
          <t>A 43177-2025</t>
        </is>
      </c>
      <c r="B990" s="1" t="n">
        <v>45910.40667824074</v>
      </c>
      <c r="C990" s="1" t="n">
        <v>45932</v>
      </c>
      <c r="D990" t="inlineStr">
        <is>
          <t>JÄMTLANDS LÄN</t>
        </is>
      </c>
      <c r="E990" t="inlineStr">
        <is>
          <t>RAGUNDA</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43181-2025</t>
        </is>
      </c>
      <c r="B991" s="1" t="n">
        <v>45910.40721064815</v>
      </c>
      <c r="C991" s="1" t="n">
        <v>45932</v>
      </c>
      <c r="D991" t="inlineStr">
        <is>
          <t>JÄMTLANDS LÄN</t>
        </is>
      </c>
      <c r="E991" t="inlineStr">
        <is>
          <t>RAGUNDA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56504-2024</t>
        </is>
      </c>
      <c r="B992" s="1" t="n">
        <v>45625.51068287037</v>
      </c>
      <c r="C992" s="1" t="n">
        <v>45932</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934-2023</t>
        </is>
      </c>
      <c r="B993" s="1" t="n">
        <v>44932.93927083333</v>
      </c>
      <c r="C993" s="1" t="n">
        <v>45932</v>
      </c>
      <c r="D993" t="inlineStr">
        <is>
          <t>JÄMTLANDS LÄN</t>
        </is>
      </c>
      <c r="E993" t="inlineStr">
        <is>
          <t>RAGUNDA</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36106-2022</t>
        </is>
      </c>
      <c r="B994" s="1" t="n">
        <v>44802.94811342593</v>
      </c>
      <c r="C994" s="1" t="n">
        <v>45932</v>
      </c>
      <c r="D994" t="inlineStr">
        <is>
          <t>JÄMTLANDS LÄN</t>
        </is>
      </c>
      <c r="E994" t="inlineStr">
        <is>
          <t>RAGUNDA</t>
        </is>
      </c>
      <c r="F994" t="inlineStr">
        <is>
          <t>SCA</t>
        </is>
      </c>
      <c r="G994" t="n">
        <v>7.3</v>
      </c>
      <c r="H994" t="n">
        <v>0</v>
      </c>
      <c r="I994" t="n">
        <v>0</v>
      </c>
      <c r="J994" t="n">
        <v>0</v>
      </c>
      <c r="K994" t="n">
        <v>0</v>
      </c>
      <c r="L994" t="n">
        <v>0</v>
      </c>
      <c r="M994" t="n">
        <v>0</v>
      </c>
      <c r="N994" t="n">
        <v>0</v>
      </c>
      <c r="O994" t="n">
        <v>0</v>
      </c>
      <c r="P994" t="n">
        <v>0</v>
      </c>
      <c r="Q994" t="n">
        <v>0</v>
      </c>
      <c r="R994" s="2" t="inlineStr"/>
    </row>
    <row r="995" ht="15" customHeight="1">
      <c r="A995" t="inlineStr">
        <is>
          <t>A 57839-2022</t>
        </is>
      </c>
      <c r="B995" s="1" t="n">
        <v>44897</v>
      </c>
      <c r="C995" s="1" t="n">
        <v>45932</v>
      </c>
      <c r="D995" t="inlineStr">
        <is>
          <t>JÄMTLANDS LÄN</t>
        </is>
      </c>
      <c r="E995" t="inlineStr">
        <is>
          <t>RAGUNDA</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57749-2024</t>
        </is>
      </c>
      <c r="B996" s="1" t="n">
        <v>45630.7862037037</v>
      </c>
      <c r="C996" s="1" t="n">
        <v>45932</v>
      </c>
      <c r="D996" t="inlineStr">
        <is>
          <t>JÄMTLANDS LÄN</t>
        </is>
      </c>
      <c r="E996" t="inlineStr">
        <is>
          <t>RAGUNDA</t>
        </is>
      </c>
      <c r="G996" t="n">
        <v>1.3</v>
      </c>
      <c r="H996" t="n">
        <v>0</v>
      </c>
      <c r="I996" t="n">
        <v>0</v>
      </c>
      <c r="J996" t="n">
        <v>0</v>
      </c>
      <c r="K996" t="n">
        <v>0</v>
      </c>
      <c r="L996" t="n">
        <v>0</v>
      </c>
      <c r="M996" t="n">
        <v>0</v>
      </c>
      <c r="N996" t="n">
        <v>0</v>
      </c>
      <c r="O996" t="n">
        <v>0</v>
      </c>
      <c r="P996" t="n">
        <v>0</v>
      </c>
      <c r="Q996" t="n">
        <v>0</v>
      </c>
      <c r="R996" s="2" t="inlineStr"/>
    </row>
    <row r="997" ht="15" customHeight="1">
      <c r="A997" t="inlineStr">
        <is>
          <t>A 24280-2021</t>
        </is>
      </c>
      <c r="B997" s="1" t="n">
        <v>44336</v>
      </c>
      <c r="C997" s="1" t="n">
        <v>45932</v>
      </c>
      <c r="D997" t="inlineStr">
        <is>
          <t>JÄMTLANDS LÄN</t>
        </is>
      </c>
      <c r="E997" t="inlineStr">
        <is>
          <t>RAGUNDA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8886-2024</t>
        </is>
      </c>
      <c r="B998" s="1" t="n">
        <v>45357.05300925926</v>
      </c>
      <c r="C998" s="1" t="n">
        <v>45932</v>
      </c>
      <c r="D998" t="inlineStr">
        <is>
          <t>JÄMTLANDS LÄN</t>
        </is>
      </c>
      <c r="E998" t="inlineStr">
        <is>
          <t>RAGUNDA</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41693-2023</t>
        </is>
      </c>
      <c r="B999" s="1" t="n">
        <v>45176</v>
      </c>
      <c r="C999" s="1" t="n">
        <v>45932</v>
      </c>
      <c r="D999" t="inlineStr">
        <is>
          <t>JÄMTLANDS LÄN</t>
        </is>
      </c>
      <c r="E999" t="inlineStr">
        <is>
          <t>RAGUNDA</t>
        </is>
      </c>
      <c r="G999" t="n">
        <v>5.5</v>
      </c>
      <c r="H999" t="n">
        <v>0</v>
      </c>
      <c r="I999" t="n">
        <v>0</v>
      </c>
      <c r="J999" t="n">
        <v>0</v>
      </c>
      <c r="K999" t="n">
        <v>0</v>
      </c>
      <c r="L999" t="n">
        <v>0</v>
      </c>
      <c r="M999" t="n">
        <v>0</v>
      </c>
      <c r="N999" t="n">
        <v>0</v>
      </c>
      <c r="O999" t="n">
        <v>0</v>
      </c>
      <c r="P999" t="n">
        <v>0</v>
      </c>
      <c r="Q999" t="n">
        <v>0</v>
      </c>
      <c r="R999" s="2" t="inlineStr"/>
    </row>
    <row r="1000" ht="15" customHeight="1">
      <c r="A1000" t="inlineStr">
        <is>
          <t>A 28596-2021</t>
        </is>
      </c>
      <c r="B1000" s="1" t="n">
        <v>44356</v>
      </c>
      <c r="C1000" s="1" t="n">
        <v>45932</v>
      </c>
      <c r="D1000" t="inlineStr">
        <is>
          <t>JÄMTLANDS LÄN</t>
        </is>
      </c>
      <c r="E1000" t="inlineStr">
        <is>
          <t>RAGUNDA</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11058-2025</t>
        </is>
      </c>
      <c r="B1001" s="1" t="n">
        <v>45723.51079861111</v>
      </c>
      <c r="C1001" s="1" t="n">
        <v>45932</v>
      </c>
      <c r="D1001" t="inlineStr">
        <is>
          <t>JÄMTLANDS LÄN</t>
        </is>
      </c>
      <c r="E1001" t="inlineStr">
        <is>
          <t>RAGUNDA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36553-2025</t>
        </is>
      </c>
      <c r="B1002" s="1" t="n">
        <v>45870.34439814815</v>
      </c>
      <c r="C1002" s="1" t="n">
        <v>45932</v>
      </c>
      <c r="D1002" t="inlineStr">
        <is>
          <t>JÄMTLANDS LÄN</t>
        </is>
      </c>
      <c r="E1002" t="inlineStr">
        <is>
          <t>RAGUNDA</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53678-2022</t>
        </is>
      </c>
      <c r="B1003" s="1" t="n">
        <v>44879.95768518518</v>
      </c>
      <c r="C1003" s="1" t="n">
        <v>45932</v>
      </c>
      <c r="D1003" t="inlineStr">
        <is>
          <t>JÄMTLANDS LÄN</t>
        </is>
      </c>
      <c r="E1003" t="inlineStr">
        <is>
          <t>RAGUNDA</t>
        </is>
      </c>
      <c r="F1003" t="inlineStr">
        <is>
          <t>Sveaskog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38664-2022</t>
        </is>
      </c>
      <c r="B1004" s="1" t="n">
        <v>44813</v>
      </c>
      <c r="C1004" s="1" t="n">
        <v>45932</v>
      </c>
      <c r="D1004" t="inlineStr">
        <is>
          <t>JÄMTLANDS LÄN</t>
        </is>
      </c>
      <c r="E1004" t="inlineStr">
        <is>
          <t>RAGUNDA</t>
        </is>
      </c>
      <c r="F1004" t="inlineStr">
        <is>
          <t>SCA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43776-2025</t>
        </is>
      </c>
      <c r="B1005" s="1" t="n">
        <v>45912.51086805556</v>
      </c>
      <c r="C1005" s="1" t="n">
        <v>45932</v>
      </c>
      <c r="D1005" t="inlineStr">
        <is>
          <t>JÄMTLANDS LÄN</t>
        </is>
      </c>
      <c r="E1005" t="inlineStr">
        <is>
          <t>RAGUNDA</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43971-2025</t>
        </is>
      </c>
      <c r="B1006" s="1" t="n">
        <v>45915.40694444445</v>
      </c>
      <c r="C1006" s="1" t="n">
        <v>45932</v>
      </c>
      <c r="D1006" t="inlineStr">
        <is>
          <t>JÄMTLANDS LÄN</t>
        </is>
      </c>
      <c r="E1006" t="inlineStr">
        <is>
          <t>RAGUNDA</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23305-2023</t>
        </is>
      </c>
      <c r="B1007" s="1" t="n">
        <v>45075.94506944445</v>
      </c>
      <c r="C1007" s="1" t="n">
        <v>45932</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43812-2025</t>
        </is>
      </c>
      <c r="B1008" s="1" t="n">
        <v>45912.59417824074</v>
      </c>
      <c r="C1008" s="1" t="n">
        <v>45932</v>
      </c>
      <c r="D1008" t="inlineStr">
        <is>
          <t>JÄMTLANDS LÄN</t>
        </is>
      </c>
      <c r="E1008" t="inlineStr">
        <is>
          <t>RAGUNDA</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24441-2024</t>
        </is>
      </c>
      <c r="B1009" s="1" t="n">
        <v>45457.96372685185</v>
      </c>
      <c r="C1009" s="1" t="n">
        <v>45932</v>
      </c>
      <c r="D1009" t="inlineStr">
        <is>
          <t>JÄMTLANDS LÄN</t>
        </is>
      </c>
      <c r="E1009" t="inlineStr">
        <is>
          <t>RAGUNDA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43526-2025</t>
        </is>
      </c>
      <c r="B1010" s="1" t="n">
        <v>45911</v>
      </c>
      <c r="C1010" s="1" t="n">
        <v>45932</v>
      </c>
      <c r="D1010" t="inlineStr">
        <is>
          <t>JÄMTLANDS LÄN</t>
        </is>
      </c>
      <c r="E1010" t="inlineStr">
        <is>
          <t>RAGUNDA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18194-2025</t>
        </is>
      </c>
      <c r="B1011" s="1" t="n">
        <v>45761.67744212963</v>
      </c>
      <c r="C1011" s="1" t="n">
        <v>45932</v>
      </c>
      <c r="D1011" t="inlineStr">
        <is>
          <t>JÄMTLANDS LÄN</t>
        </is>
      </c>
      <c r="E1011" t="inlineStr">
        <is>
          <t>RAGUNDA</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40801-2023</t>
        </is>
      </c>
      <c r="B1012" s="1" t="n">
        <v>45170</v>
      </c>
      <c r="C1012" s="1" t="n">
        <v>45932</v>
      </c>
      <c r="D1012" t="inlineStr">
        <is>
          <t>JÄMTLANDS LÄN</t>
        </is>
      </c>
      <c r="E1012" t="inlineStr">
        <is>
          <t>RAGUNDA</t>
        </is>
      </c>
      <c r="F1012" t="inlineStr">
        <is>
          <t>SCA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18225-2024</t>
        </is>
      </c>
      <c r="B1013" s="1" t="n">
        <v>45420</v>
      </c>
      <c r="C1013" s="1" t="n">
        <v>45932</v>
      </c>
      <c r="D1013" t="inlineStr">
        <is>
          <t>JÄMTLANDS LÄN</t>
        </is>
      </c>
      <c r="E1013" t="inlineStr">
        <is>
          <t>RAGUNDA</t>
        </is>
      </c>
      <c r="F1013" t="inlineStr">
        <is>
          <t>SCA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54764-2024</t>
        </is>
      </c>
      <c r="B1014" s="1" t="n">
        <v>45618.46921296296</v>
      </c>
      <c r="C1014" s="1" t="n">
        <v>45932</v>
      </c>
      <c r="D1014" t="inlineStr">
        <is>
          <t>JÄMTLANDS LÄN</t>
        </is>
      </c>
      <c r="E1014" t="inlineStr">
        <is>
          <t>RAGUNDA</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43804-2025</t>
        </is>
      </c>
      <c r="B1015" s="1" t="n">
        <v>45912.57373842593</v>
      </c>
      <c r="C1015" s="1" t="n">
        <v>45932</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32904-2024</t>
        </is>
      </c>
      <c r="B1016" s="1" t="n">
        <v>45516.94732638889</v>
      </c>
      <c r="C1016" s="1" t="n">
        <v>45932</v>
      </c>
      <c r="D1016" t="inlineStr">
        <is>
          <t>JÄMTLANDS LÄN</t>
        </is>
      </c>
      <c r="E1016" t="inlineStr">
        <is>
          <t>RAGUNDA</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12976-2025</t>
        </is>
      </c>
      <c r="B1017" s="1" t="n">
        <v>45734.45268518518</v>
      </c>
      <c r="C1017" s="1" t="n">
        <v>45932</v>
      </c>
      <c r="D1017" t="inlineStr">
        <is>
          <t>JÄMTLANDS LÄN</t>
        </is>
      </c>
      <c r="E1017" t="inlineStr">
        <is>
          <t>RAGUNDA</t>
        </is>
      </c>
      <c r="G1017" t="n">
        <v>24.2</v>
      </c>
      <c r="H1017" t="n">
        <v>0</v>
      </c>
      <c r="I1017" t="n">
        <v>0</v>
      </c>
      <c r="J1017" t="n">
        <v>0</v>
      </c>
      <c r="K1017" t="n">
        <v>0</v>
      </c>
      <c r="L1017" t="n">
        <v>0</v>
      </c>
      <c r="M1017" t="n">
        <v>0</v>
      </c>
      <c r="N1017" t="n">
        <v>0</v>
      </c>
      <c r="O1017" t="n">
        <v>0</v>
      </c>
      <c r="P1017" t="n">
        <v>0</v>
      </c>
      <c r="Q1017" t="n">
        <v>0</v>
      </c>
      <c r="R1017" s="2" t="inlineStr"/>
    </row>
    <row r="1018" ht="15" customHeight="1">
      <c r="A1018" t="inlineStr">
        <is>
          <t>A 59286-2023</t>
        </is>
      </c>
      <c r="B1018" s="1" t="n">
        <v>45253</v>
      </c>
      <c r="C1018" s="1" t="n">
        <v>45932</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15672-2021</t>
        </is>
      </c>
      <c r="B1019" s="1" t="n">
        <v>44286</v>
      </c>
      <c r="C1019" s="1" t="n">
        <v>45932</v>
      </c>
      <c r="D1019" t="inlineStr">
        <is>
          <t>JÄMTLANDS LÄN</t>
        </is>
      </c>
      <c r="E1019" t="inlineStr">
        <is>
          <t>RAGUNDA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6688-2024</t>
        </is>
      </c>
      <c r="B1020" s="1" t="n">
        <v>45341</v>
      </c>
      <c r="C1020" s="1" t="n">
        <v>45932</v>
      </c>
      <c r="D1020" t="inlineStr">
        <is>
          <t>JÄMTLANDS LÄN</t>
        </is>
      </c>
      <c r="E1020" t="inlineStr">
        <is>
          <t>RAGUNDA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43533-2025</t>
        </is>
      </c>
      <c r="B1021" s="1" t="n">
        <v>45911</v>
      </c>
      <c r="C1021" s="1" t="n">
        <v>45932</v>
      </c>
      <c r="D1021" t="inlineStr">
        <is>
          <t>JÄMTLANDS LÄN</t>
        </is>
      </c>
      <c r="E1021" t="inlineStr">
        <is>
          <t>RAGUNDA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61088-2020</t>
        </is>
      </c>
      <c r="B1022" s="1" t="n">
        <v>44153</v>
      </c>
      <c r="C1022" s="1" t="n">
        <v>45932</v>
      </c>
      <c r="D1022" t="inlineStr">
        <is>
          <t>JÄMTLANDS LÄN</t>
        </is>
      </c>
      <c r="E1022" t="inlineStr">
        <is>
          <t>RAGUNDA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48065-2023</t>
        </is>
      </c>
      <c r="B1023" s="1" t="n">
        <v>45204.94399305555</v>
      </c>
      <c r="C1023" s="1" t="n">
        <v>45932</v>
      </c>
      <c r="D1023" t="inlineStr">
        <is>
          <t>JÄMTLANDS LÄN</t>
        </is>
      </c>
      <c r="E1023" t="inlineStr">
        <is>
          <t>RAGUNDA</t>
        </is>
      </c>
      <c r="F1023" t="inlineStr">
        <is>
          <t>SCA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50650-2023</t>
        </is>
      </c>
      <c r="B1024" s="1" t="n">
        <v>45210</v>
      </c>
      <c r="C1024" s="1" t="n">
        <v>45932</v>
      </c>
      <c r="D1024" t="inlineStr">
        <is>
          <t>JÄMTLANDS LÄN</t>
        </is>
      </c>
      <c r="E1024" t="inlineStr">
        <is>
          <t>RAGUNDA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32075-2025</t>
        </is>
      </c>
      <c r="B1025" s="1" t="n">
        <v>45835.4506712963</v>
      </c>
      <c r="C1025" s="1" t="n">
        <v>45932</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41344-2024</t>
        </is>
      </c>
      <c r="B1026" s="1" t="n">
        <v>45559.67759259259</v>
      </c>
      <c r="C1026" s="1" t="n">
        <v>45932</v>
      </c>
      <c r="D1026" t="inlineStr">
        <is>
          <t>JÄMTLANDS LÄN</t>
        </is>
      </c>
      <c r="E1026" t="inlineStr">
        <is>
          <t>RAGUNDA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4592-2024</t>
        </is>
      </c>
      <c r="B1027" s="1" t="n">
        <v>45327.94443287037</v>
      </c>
      <c r="C1027" s="1" t="n">
        <v>45932</v>
      </c>
      <c r="D1027" t="inlineStr">
        <is>
          <t>JÄMTLANDS LÄN</t>
        </is>
      </c>
      <c r="E1027" t="inlineStr">
        <is>
          <t>RAGUNDA</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60195-2023</t>
        </is>
      </c>
      <c r="B1028" s="1" t="n">
        <v>45257</v>
      </c>
      <c r="C1028" s="1" t="n">
        <v>45932</v>
      </c>
      <c r="D1028" t="inlineStr">
        <is>
          <t>JÄMTLANDS LÄN</t>
        </is>
      </c>
      <c r="E1028" t="inlineStr">
        <is>
          <t>RAGUNDA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22981-2023</t>
        </is>
      </c>
      <c r="B1029" s="1" t="n">
        <v>45072.92737268518</v>
      </c>
      <c r="C1029" s="1" t="n">
        <v>45932</v>
      </c>
      <c r="D1029" t="inlineStr">
        <is>
          <t>JÄMTLANDS LÄN</t>
        </is>
      </c>
      <c r="E1029" t="inlineStr">
        <is>
          <t>RAGUNDA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32874-2025</t>
        </is>
      </c>
      <c r="B1030" s="1" t="n">
        <v>45839</v>
      </c>
      <c r="C1030" s="1" t="n">
        <v>45932</v>
      </c>
      <c r="D1030" t="inlineStr">
        <is>
          <t>JÄMTLANDS LÄN</t>
        </is>
      </c>
      <c r="E1030" t="inlineStr">
        <is>
          <t>RAGUNDA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36994-2025</t>
        </is>
      </c>
      <c r="B1031" s="1" t="n">
        <v>45874.67746527777</v>
      </c>
      <c r="C1031" s="1" t="n">
        <v>45932</v>
      </c>
      <c r="D1031" t="inlineStr">
        <is>
          <t>JÄMTLANDS LÄN</t>
        </is>
      </c>
      <c r="E1031" t="inlineStr">
        <is>
          <t>RAGUNDA</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59670-2023</t>
        </is>
      </c>
      <c r="B1032" s="1" t="n">
        <v>45254.96516203704</v>
      </c>
      <c r="C1032" s="1" t="n">
        <v>45932</v>
      </c>
      <c r="D1032" t="inlineStr">
        <is>
          <t>JÄMTLANDS LÄN</t>
        </is>
      </c>
      <c r="E1032" t="inlineStr">
        <is>
          <t>RAGUNDA</t>
        </is>
      </c>
      <c r="F1032" t="inlineStr">
        <is>
          <t>SCA</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37008-2025</t>
        </is>
      </c>
      <c r="B1033" s="1" t="n">
        <v>45874.69844907407</v>
      </c>
      <c r="C1033" s="1" t="n">
        <v>45932</v>
      </c>
      <c r="D1033" t="inlineStr">
        <is>
          <t>JÄMTLANDS LÄN</t>
        </is>
      </c>
      <c r="E1033" t="inlineStr">
        <is>
          <t>RAGUNDA</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55508-2024</t>
        </is>
      </c>
      <c r="B1034" s="1" t="n">
        <v>45622.46200231482</v>
      </c>
      <c r="C1034" s="1" t="n">
        <v>45932</v>
      </c>
      <c r="D1034" t="inlineStr">
        <is>
          <t>JÄMTLANDS LÄN</t>
        </is>
      </c>
      <c r="E1034" t="inlineStr">
        <is>
          <t>RAGUNDA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26942-2021</t>
        </is>
      </c>
      <c r="B1035" s="1" t="n">
        <v>44349.91978009259</v>
      </c>
      <c r="C1035" s="1" t="n">
        <v>45932</v>
      </c>
      <c r="D1035" t="inlineStr">
        <is>
          <t>JÄMTLANDS LÄN</t>
        </is>
      </c>
      <c r="E1035" t="inlineStr">
        <is>
          <t>RAGUNDA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36947-2025</t>
        </is>
      </c>
      <c r="B1036" s="1" t="n">
        <v>45874.59496527778</v>
      </c>
      <c r="C1036" s="1" t="n">
        <v>45932</v>
      </c>
      <c r="D1036" t="inlineStr">
        <is>
          <t>JÄMTLANDS LÄN</t>
        </is>
      </c>
      <c r="E1036" t="inlineStr">
        <is>
          <t>RAGUNDA</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59492-2024</t>
        </is>
      </c>
      <c r="B1037" s="1" t="n">
        <v>45638</v>
      </c>
      <c r="C1037" s="1" t="n">
        <v>45932</v>
      </c>
      <c r="D1037" t="inlineStr">
        <is>
          <t>JÄMTLANDS LÄN</t>
        </is>
      </c>
      <c r="E1037" t="inlineStr">
        <is>
          <t>RAGUNDA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20772-2024</t>
        </is>
      </c>
      <c r="B1038" s="1" t="n">
        <v>45436.94628472222</v>
      </c>
      <c r="C1038" s="1" t="n">
        <v>45932</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46546-2023</t>
        </is>
      </c>
      <c r="B1039" s="1" t="n">
        <v>45197.94152777778</v>
      </c>
      <c r="C1039" s="1" t="n">
        <v>45932</v>
      </c>
      <c r="D1039" t="inlineStr">
        <is>
          <t>JÄMTLANDS LÄN</t>
        </is>
      </c>
      <c r="E1039" t="inlineStr">
        <is>
          <t>RAGUNDA</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53757-2024</t>
        </is>
      </c>
      <c r="B1040" s="1" t="n">
        <v>45615.50034722222</v>
      </c>
      <c r="C1040" s="1" t="n">
        <v>45932</v>
      </c>
      <c r="D1040" t="inlineStr">
        <is>
          <t>JÄMTLANDS LÄN</t>
        </is>
      </c>
      <c r="E1040" t="inlineStr">
        <is>
          <t>RAGUNDA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19865-2023</t>
        </is>
      </c>
      <c r="B1041" s="1" t="n">
        <v>45053.94305555556</v>
      </c>
      <c r="C1041" s="1" t="n">
        <v>45932</v>
      </c>
      <c r="D1041" t="inlineStr">
        <is>
          <t>JÄMTLANDS LÄN</t>
        </is>
      </c>
      <c r="E1041" t="inlineStr">
        <is>
          <t>RAGUNDA</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6716-2025</t>
        </is>
      </c>
      <c r="B1042" s="1" t="n">
        <v>45700.57324074074</v>
      </c>
      <c r="C1042" s="1" t="n">
        <v>45932</v>
      </c>
      <c r="D1042" t="inlineStr">
        <is>
          <t>JÄMTLANDS LÄN</t>
        </is>
      </c>
      <c r="E1042" t="inlineStr">
        <is>
          <t>RAGUNDA</t>
        </is>
      </c>
      <c r="F1042" t="inlineStr">
        <is>
          <t>SCA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37292-2025</t>
        </is>
      </c>
      <c r="B1043" s="1" t="n">
        <v>45876.53188657408</v>
      </c>
      <c r="C1043" s="1" t="n">
        <v>45932</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45279-2025</t>
        </is>
      </c>
      <c r="B1044" s="1" t="n">
        <v>45919.71912037037</v>
      </c>
      <c r="C1044" s="1" t="n">
        <v>45932</v>
      </c>
      <c r="D1044" t="inlineStr">
        <is>
          <t>JÄMTLANDS LÄN</t>
        </is>
      </c>
      <c r="E1044" t="inlineStr">
        <is>
          <t>RAGUNDA</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19866-2023</t>
        </is>
      </c>
      <c r="B1045" s="1" t="n">
        <v>45053.94313657407</v>
      </c>
      <c r="C1045" s="1" t="n">
        <v>45932</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21853-2024</t>
        </is>
      </c>
      <c r="B1046" s="1" t="n">
        <v>45442.96296296296</v>
      </c>
      <c r="C1046" s="1" t="n">
        <v>45932</v>
      </c>
      <c r="D1046" t="inlineStr">
        <is>
          <t>JÄMTLANDS LÄN</t>
        </is>
      </c>
      <c r="E1046" t="inlineStr">
        <is>
          <t>RAGUNDA</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8241-2024</t>
        </is>
      </c>
      <c r="B1047" s="1" t="n">
        <v>45351.98496527778</v>
      </c>
      <c r="C1047" s="1" t="n">
        <v>45932</v>
      </c>
      <c r="D1047" t="inlineStr">
        <is>
          <t>JÄMTLANDS LÄN</t>
        </is>
      </c>
      <c r="E1047" t="inlineStr">
        <is>
          <t>RAGUNDA</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40365-2024</t>
        </is>
      </c>
      <c r="B1048" s="1" t="n">
        <v>45555.38509259259</v>
      </c>
      <c r="C1048" s="1" t="n">
        <v>45932</v>
      </c>
      <c r="D1048" t="inlineStr">
        <is>
          <t>JÄMTLANDS LÄN</t>
        </is>
      </c>
      <c r="E1048" t="inlineStr">
        <is>
          <t>RAGUNDA</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20770-2024</t>
        </is>
      </c>
      <c r="B1049" s="1" t="n">
        <v>45436.94613425926</v>
      </c>
      <c r="C1049" s="1" t="n">
        <v>45932</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44954-2025</t>
        </is>
      </c>
      <c r="B1050" s="1" t="n">
        <v>45918.61203703703</v>
      </c>
      <c r="C1050" s="1" t="n">
        <v>45932</v>
      </c>
      <c r="D1050" t="inlineStr">
        <is>
          <t>JÄMTLANDS LÄN</t>
        </is>
      </c>
      <c r="E1050" t="inlineStr">
        <is>
          <t>RAGUNDA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564-2025</t>
        </is>
      </c>
      <c r="B1051" s="1" t="n">
        <v>45664.55241898148</v>
      </c>
      <c r="C1051" s="1" t="n">
        <v>45932</v>
      </c>
      <c r="D1051" t="inlineStr">
        <is>
          <t>JÄMTLANDS LÄN</t>
        </is>
      </c>
      <c r="E1051" t="inlineStr">
        <is>
          <t>RAGUNDA</t>
        </is>
      </c>
      <c r="F1051" t="inlineStr">
        <is>
          <t>SCA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50555-2024</t>
        </is>
      </c>
      <c r="B1052" s="1" t="n">
        <v>45601.59518518519</v>
      </c>
      <c r="C1052" s="1" t="n">
        <v>45932</v>
      </c>
      <c r="D1052" t="inlineStr">
        <is>
          <t>JÄMTLANDS LÄN</t>
        </is>
      </c>
      <c r="E1052" t="inlineStr">
        <is>
          <t>RAGUNDA</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7281-2024</t>
        </is>
      </c>
      <c r="B1053" s="1" t="n">
        <v>45344</v>
      </c>
      <c r="C1053" s="1" t="n">
        <v>45932</v>
      </c>
      <c r="D1053" t="inlineStr">
        <is>
          <t>JÄMTLANDS LÄN</t>
        </is>
      </c>
      <c r="E1053" t="inlineStr">
        <is>
          <t>RAGUNDA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7284-2024</t>
        </is>
      </c>
      <c r="B1054" s="1" t="n">
        <v>45344.92865740741</v>
      </c>
      <c r="C1054" s="1" t="n">
        <v>45932</v>
      </c>
      <c r="D1054" t="inlineStr">
        <is>
          <t>JÄMTLANDS LÄN</t>
        </is>
      </c>
      <c r="E1054" t="inlineStr">
        <is>
          <t>RAGUNDA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7285-2024</t>
        </is>
      </c>
      <c r="B1055" s="1" t="n">
        <v>45344.92873842592</v>
      </c>
      <c r="C1055" s="1" t="n">
        <v>45932</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59658-2023</t>
        </is>
      </c>
      <c r="B1056" s="1" t="n">
        <v>45254.96402777778</v>
      </c>
      <c r="C1056" s="1" t="n">
        <v>45932</v>
      </c>
      <c r="D1056" t="inlineStr">
        <is>
          <t>JÄMTLANDS LÄN</t>
        </is>
      </c>
      <c r="E1056" t="inlineStr">
        <is>
          <t>RAGUNDA</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49649-2024</t>
        </is>
      </c>
      <c r="B1057" s="1" t="n">
        <v>45596.61553240741</v>
      </c>
      <c r="C1057" s="1" t="n">
        <v>45932</v>
      </c>
      <c r="D1057" t="inlineStr">
        <is>
          <t>JÄMTLANDS LÄN</t>
        </is>
      </c>
      <c r="E1057" t="inlineStr">
        <is>
          <t>RAGUNDA</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53347-2023</t>
        </is>
      </c>
      <c r="B1058" s="1" t="n">
        <v>45223</v>
      </c>
      <c r="C1058" s="1" t="n">
        <v>45932</v>
      </c>
      <c r="D1058" t="inlineStr">
        <is>
          <t>JÄMTLANDS LÄN</t>
        </is>
      </c>
      <c r="E1058" t="inlineStr">
        <is>
          <t>RAGUNDA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2831-2024</t>
        </is>
      </c>
      <c r="B1059" s="1" t="n">
        <v>45314.92758101852</v>
      </c>
      <c r="C1059" s="1" t="n">
        <v>45932</v>
      </c>
      <c r="D1059" t="inlineStr">
        <is>
          <t>JÄMTLANDS LÄN</t>
        </is>
      </c>
      <c r="E1059" t="inlineStr">
        <is>
          <t>RAGUNDA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45894-2025</t>
        </is>
      </c>
      <c r="B1060" s="1" t="n">
        <v>45923.67765046296</v>
      </c>
      <c r="C1060" s="1" t="n">
        <v>45932</v>
      </c>
      <c r="D1060" t="inlineStr">
        <is>
          <t>JÄMTLANDS LÄN</t>
        </is>
      </c>
      <c r="E1060" t="inlineStr">
        <is>
          <t>RAGUNDA</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60838-2023</t>
        </is>
      </c>
      <c r="B1061" s="1" t="n">
        <v>45260.92561342593</v>
      </c>
      <c r="C1061" s="1" t="n">
        <v>45932</v>
      </c>
      <c r="D1061" t="inlineStr">
        <is>
          <t>JÄMTLANDS LÄN</t>
        </is>
      </c>
      <c r="E1061" t="inlineStr">
        <is>
          <t>RAGUNDA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9548-2025</t>
        </is>
      </c>
      <c r="B1062" s="1" t="n">
        <v>45715.59405092592</v>
      </c>
      <c r="C1062" s="1" t="n">
        <v>45932</v>
      </c>
      <c r="D1062" t="inlineStr">
        <is>
          <t>JÄMTLANDS LÄN</t>
        </is>
      </c>
      <c r="E1062" t="inlineStr">
        <is>
          <t>RAGUNDA</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12024-2022</t>
        </is>
      </c>
      <c r="B1063" s="1" t="n">
        <v>44635</v>
      </c>
      <c r="C1063" s="1" t="n">
        <v>45932</v>
      </c>
      <c r="D1063" t="inlineStr">
        <is>
          <t>JÄMTLANDS LÄN</t>
        </is>
      </c>
      <c r="E1063" t="inlineStr">
        <is>
          <t>RAGUNDA</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53740-2024</t>
        </is>
      </c>
      <c r="B1064" s="1" t="n">
        <v>45615.47091435185</v>
      </c>
      <c r="C1064" s="1" t="n">
        <v>45932</v>
      </c>
      <c r="D1064" t="inlineStr">
        <is>
          <t>JÄMTLANDS LÄN</t>
        </is>
      </c>
      <c r="E1064" t="inlineStr">
        <is>
          <t>RAGUNDA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59372-2024</t>
        </is>
      </c>
      <c r="B1065" s="1" t="n">
        <v>45638.34431712963</v>
      </c>
      <c r="C1065" s="1" t="n">
        <v>45932</v>
      </c>
      <c r="D1065" t="inlineStr">
        <is>
          <t>JÄMTLANDS LÄN</t>
        </is>
      </c>
      <c r="E1065" t="inlineStr">
        <is>
          <t>RAGUNDA</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53989-2024</t>
        </is>
      </c>
      <c r="B1066" s="1" t="n">
        <v>45616.34479166667</v>
      </c>
      <c r="C1066" s="1" t="n">
        <v>45932</v>
      </c>
      <c r="D1066" t="inlineStr">
        <is>
          <t>JÄMTLANDS LÄN</t>
        </is>
      </c>
      <c r="E1066" t="inlineStr">
        <is>
          <t>RAGUNDA</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15581-2024</t>
        </is>
      </c>
      <c r="B1067" s="1" t="n">
        <v>45401</v>
      </c>
      <c r="C1067" s="1" t="n">
        <v>45932</v>
      </c>
      <c r="D1067" t="inlineStr">
        <is>
          <t>JÄMTLANDS LÄN</t>
        </is>
      </c>
      <c r="E1067" t="inlineStr">
        <is>
          <t>RAGUNDA</t>
        </is>
      </c>
      <c r="F1067" t="inlineStr">
        <is>
          <t>Kommuner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15611-2024</t>
        </is>
      </c>
      <c r="B1068" s="1" t="n">
        <v>45401</v>
      </c>
      <c r="C1068" s="1" t="n">
        <v>45932</v>
      </c>
      <c r="D1068" t="inlineStr">
        <is>
          <t>JÄMTLANDS LÄN</t>
        </is>
      </c>
      <c r="E1068" t="inlineStr">
        <is>
          <t>RAGUNDA</t>
        </is>
      </c>
      <c r="F1068" t="inlineStr">
        <is>
          <t>SCA</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46275-2025</t>
        </is>
      </c>
      <c r="B1069" s="1" t="n">
        <v>45925.3711574074</v>
      </c>
      <c r="C1069" s="1" t="n">
        <v>45932</v>
      </c>
      <c r="D1069" t="inlineStr">
        <is>
          <t>JÄMTLANDS LÄN</t>
        </is>
      </c>
      <c r="E1069" t="inlineStr">
        <is>
          <t>RAGUNDA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23528-2024</t>
        </is>
      </c>
      <c r="B1070" s="1" t="n">
        <v>45453.95016203704</v>
      </c>
      <c r="C1070" s="1" t="n">
        <v>45932</v>
      </c>
      <c r="D1070" t="inlineStr">
        <is>
          <t>JÄMTLANDS LÄN</t>
        </is>
      </c>
      <c r="E1070" t="inlineStr">
        <is>
          <t>RAGUNDA</t>
        </is>
      </c>
      <c r="F1070" t="inlineStr">
        <is>
          <t>SCA</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4594-2024</t>
        </is>
      </c>
      <c r="B1071" s="1" t="n">
        <v>45327.94459490741</v>
      </c>
      <c r="C1071" s="1" t="n">
        <v>45932</v>
      </c>
      <c r="D1071" t="inlineStr">
        <is>
          <t>JÄMTLANDS LÄN</t>
        </is>
      </c>
      <c r="E1071" t="inlineStr">
        <is>
          <t>RAGUNDA</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30824-2023</t>
        </is>
      </c>
      <c r="B1072" s="1" t="n">
        <v>45112.94303240741</v>
      </c>
      <c r="C1072" s="1" t="n">
        <v>45932</v>
      </c>
      <c r="D1072" t="inlineStr">
        <is>
          <t>JÄMTLANDS LÄN</t>
        </is>
      </c>
      <c r="E1072" t="inlineStr">
        <is>
          <t>RAGUNDA</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9504-2025</t>
        </is>
      </c>
      <c r="B1073" s="1" t="n">
        <v>45714</v>
      </c>
      <c r="C1073" s="1" t="n">
        <v>45932</v>
      </c>
      <c r="D1073" t="inlineStr">
        <is>
          <t>JÄMTLANDS LÄN</t>
        </is>
      </c>
      <c r="E1073" t="inlineStr">
        <is>
          <t>RAGUNDA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12522-2023</t>
        </is>
      </c>
      <c r="B1074" s="1" t="n">
        <v>45000</v>
      </c>
      <c r="C1074" s="1" t="n">
        <v>45932</v>
      </c>
      <c r="D1074" t="inlineStr">
        <is>
          <t>JÄMTLANDS LÄN</t>
        </is>
      </c>
      <c r="E1074" t="inlineStr">
        <is>
          <t>RAGUNDA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12523-2023</t>
        </is>
      </c>
      <c r="B1075" s="1" t="n">
        <v>45000</v>
      </c>
      <c r="C1075" s="1" t="n">
        <v>45932</v>
      </c>
      <c r="D1075" t="inlineStr">
        <is>
          <t>JÄMTLANDS LÄN</t>
        </is>
      </c>
      <c r="E1075" t="inlineStr">
        <is>
          <t>RAGUNDA</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46192-2025</t>
        </is>
      </c>
      <c r="B1076" s="1" t="n">
        <v>45924.67789351852</v>
      </c>
      <c r="C1076" s="1" t="n">
        <v>45932</v>
      </c>
      <c r="D1076" t="inlineStr">
        <is>
          <t>JÄMTLANDS LÄN</t>
        </is>
      </c>
      <c r="E1076" t="inlineStr">
        <is>
          <t>RAGUNDA</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24861-2023</t>
        </is>
      </c>
      <c r="B1077" s="1" t="n">
        <v>45078</v>
      </c>
      <c r="C1077" s="1" t="n">
        <v>45932</v>
      </c>
      <c r="D1077" t="inlineStr">
        <is>
          <t>JÄMTLANDS LÄN</t>
        </is>
      </c>
      <c r="E1077" t="inlineStr">
        <is>
          <t>RAGUNDA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13905-2025</t>
        </is>
      </c>
      <c r="B1078" s="1" t="n">
        <v>45737.63574074074</v>
      </c>
      <c r="C1078" s="1" t="n">
        <v>45932</v>
      </c>
      <c r="D1078" t="inlineStr">
        <is>
          <t>JÄMTLANDS LÄN</t>
        </is>
      </c>
      <c r="E1078" t="inlineStr">
        <is>
          <t>RAGUNDA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13941-2025</t>
        </is>
      </c>
      <c r="B1079" s="1" t="n">
        <v>45737.69822916666</v>
      </c>
      <c r="C1079" s="1" t="n">
        <v>45932</v>
      </c>
      <c r="D1079" t="inlineStr">
        <is>
          <t>JÄMTLANDS LÄN</t>
        </is>
      </c>
      <c r="E1079" t="inlineStr">
        <is>
          <t>RAGUNDA</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50160-2023</t>
        </is>
      </c>
      <c r="B1080" s="1" t="n">
        <v>45208</v>
      </c>
      <c r="C1080" s="1" t="n">
        <v>45932</v>
      </c>
      <c r="D1080" t="inlineStr">
        <is>
          <t>JÄMTLANDS LÄN</t>
        </is>
      </c>
      <c r="E1080" t="inlineStr">
        <is>
          <t>RAGUNDA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47122-2025</t>
        </is>
      </c>
      <c r="B1081" s="1" t="n">
        <v>45929.67878472222</v>
      </c>
      <c r="C1081" s="1" t="n">
        <v>45932</v>
      </c>
      <c r="D1081" t="inlineStr">
        <is>
          <t>JÄMTLANDS LÄN</t>
        </is>
      </c>
      <c r="E1081" t="inlineStr">
        <is>
          <t>RAGUNDA</t>
        </is>
      </c>
      <c r="F1081" t="inlineStr">
        <is>
          <t>SCA</t>
        </is>
      </c>
      <c r="G1081" t="n">
        <v>31.1</v>
      </c>
      <c r="H1081" t="n">
        <v>0</v>
      </c>
      <c r="I1081" t="n">
        <v>0</v>
      </c>
      <c r="J1081" t="n">
        <v>0</v>
      </c>
      <c r="K1081" t="n">
        <v>0</v>
      </c>
      <c r="L1081" t="n">
        <v>0</v>
      </c>
      <c r="M1081" t="n">
        <v>0</v>
      </c>
      <c r="N1081" t="n">
        <v>0</v>
      </c>
      <c r="O1081" t="n">
        <v>0</v>
      </c>
      <c r="P1081" t="n">
        <v>0</v>
      </c>
      <c r="Q1081" t="n">
        <v>0</v>
      </c>
      <c r="R1081" s="2" t="inlineStr"/>
    </row>
    <row r="1082" ht="15" customHeight="1">
      <c r="A1082" t="inlineStr">
        <is>
          <t>A 51245-2024</t>
        </is>
      </c>
      <c r="B1082" s="1" t="n">
        <v>45603.67850694444</v>
      </c>
      <c r="C1082" s="1" t="n">
        <v>45932</v>
      </c>
      <c r="D1082" t="inlineStr">
        <is>
          <t>JÄMTLANDS LÄN</t>
        </is>
      </c>
      <c r="E1082" t="inlineStr">
        <is>
          <t>RAGUNDA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53955-2022</t>
        </is>
      </c>
      <c r="B1083" s="1" t="n">
        <v>44880.95741898148</v>
      </c>
      <c r="C1083" s="1" t="n">
        <v>45932</v>
      </c>
      <c r="D1083" t="inlineStr">
        <is>
          <t>JÄMTLANDS LÄN</t>
        </is>
      </c>
      <c r="E1083" t="inlineStr">
        <is>
          <t>RAGUNDA</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41772-2024</t>
        </is>
      </c>
      <c r="B1084" s="1" t="n">
        <v>45561.34663194444</v>
      </c>
      <c r="C1084" s="1" t="n">
        <v>45932</v>
      </c>
      <c r="D1084" t="inlineStr">
        <is>
          <t>JÄMTLANDS LÄN</t>
        </is>
      </c>
      <c r="E1084" t="inlineStr">
        <is>
          <t>RAGUNDA</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10972-2022</t>
        </is>
      </c>
      <c r="B1085" s="1" t="n">
        <v>44628</v>
      </c>
      <c r="C1085" s="1" t="n">
        <v>45932</v>
      </c>
      <c r="D1085" t="inlineStr">
        <is>
          <t>JÄMTLANDS LÄN</t>
        </is>
      </c>
      <c r="E1085" t="inlineStr">
        <is>
          <t>RAGUNDA</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11834-2023</t>
        </is>
      </c>
      <c r="B1086" s="1" t="n">
        <v>44994.94296296296</v>
      </c>
      <c r="C1086" s="1" t="n">
        <v>45932</v>
      </c>
      <c r="D1086" t="inlineStr">
        <is>
          <t>JÄMTLANDS LÄN</t>
        </is>
      </c>
      <c r="E1086" t="inlineStr">
        <is>
          <t>RAGUNDA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17559-2023</t>
        </is>
      </c>
      <c r="B1087" s="1" t="n">
        <v>45034</v>
      </c>
      <c r="C1087" s="1" t="n">
        <v>45932</v>
      </c>
      <c r="D1087" t="inlineStr">
        <is>
          <t>JÄMTLANDS LÄN</t>
        </is>
      </c>
      <c r="E1087" t="inlineStr">
        <is>
          <t>RAGUNDA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38312-2024</t>
        </is>
      </c>
      <c r="B1088" s="1" t="n">
        <v>45545.64957175926</v>
      </c>
      <c r="C1088" s="1" t="n">
        <v>45932</v>
      </c>
      <c r="D1088" t="inlineStr">
        <is>
          <t>JÄMTLANDS LÄN</t>
        </is>
      </c>
      <c r="E1088" t="inlineStr">
        <is>
          <t>RAGUNDA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32832-2021</t>
        </is>
      </c>
      <c r="B1089" s="1" t="n">
        <v>44375</v>
      </c>
      <c r="C1089" s="1" t="n">
        <v>45932</v>
      </c>
      <c r="D1089" t="inlineStr">
        <is>
          <t>JÄMTLANDS LÄN</t>
        </is>
      </c>
      <c r="E1089" t="inlineStr">
        <is>
          <t>RAGUNDA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22011-2023</t>
        </is>
      </c>
      <c r="B1090" s="1" t="n">
        <v>45068</v>
      </c>
      <c r="C1090" s="1" t="n">
        <v>45932</v>
      </c>
      <c r="D1090" t="inlineStr">
        <is>
          <t>JÄMTLANDS LÄN</t>
        </is>
      </c>
      <c r="E1090" t="inlineStr">
        <is>
          <t>RAGUNDA</t>
        </is>
      </c>
      <c r="F1090" t="inlineStr">
        <is>
          <t>SCA</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14158-2024</t>
        </is>
      </c>
      <c r="B1091" s="1" t="n">
        <v>45392</v>
      </c>
      <c r="C1091" s="1" t="n">
        <v>45932</v>
      </c>
      <c r="D1091" t="inlineStr">
        <is>
          <t>JÄMTLANDS LÄN</t>
        </is>
      </c>
      <c r="E1091" t="inlineStr">
        <is>
          <t>RAGUNDA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42508-2023</t>
        </is>
      </c>
      <c r="B1092" s="1" t="n">
        <v>45180.95907407408</v>
      </c>
      <c r="C1092" s="1" t="n">
        <v>45932</v>
      </c>
      <c r="D1092" t="inlineStr">
        <is>
          <t>JÄMTLANDS LÄN</t>
        </is>
      </c>
      <c r="E1092" t="inlineStr">
        <is>
          <t>RAGUNDA</t>
        </is>
      </c>
      <c r="F1092" t="inlineStr">
        <is>
          <t>SCA</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35274-2023</t>
        </is>
      </c>
      <c r="B1093" s="1" t="n">
        <v>45145</v>
      </c>
      <c r="C1093" s="1" t="n">
        <v>45932</v>
      </c>
      <c r="D1093" t="inlineStr">
        <is>
          <t>JÄMTLANDS LÄN</t>
        </is>
      </c>
      <c r="E1093" t="inlineStr">
        <is>
          <t>RAGUNDA</t>
        </is>
      </c>
      <c r="F1093" t="inlineStr">
        <is>
          <t>SCA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12983-2025</t>
        </is>
      </c>
      <c r="B1094" s="1" t="n">
        <v>45734.4633912037</v>
      </c>
      <c r="C1094" s="1" t="n">
        <v>45932</v>
      </c>
      <c r="D1094" t="inlineStr">
        <is>
          <t>JÄMTLANDS LÄN</t>
        </is>
      </c>
      <c r="E1094" t="inlineStr">
        <is>
          <t>RAGUNDA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17598-2021</t>
        </is>
      </c>
      <c r="B1095" s="1" t="n">
        <v>44299</v>
      </c>
      <c r="C1095" s="1" t="n">
        <v>45932</v>
      </c>
      <c r="D1095" t="inlineStr">
        <is>
          <t>JÄMTLANDS LÄN</t>
        </is>
      </c>
      <c r="E1095" t="inlineStr">
        <is>
          <t>RAGUNDA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3938-2024</t>
        </is>
      </c>
      <c r="B1096" s="1" t="n">
        <v>45322</v>
      </c>
      <c r="C1096" s="1" t="n">
        <v>45932</v>
      </c>
      <c r="D1096" t="inlineStr">
        <is>
          <t>JÄMTLANDS LÄN</t>
        </is>
      </c>
      <c r="E1096" t="inlineStr">
        <is>
          <t>RAGUNDA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53144-2024</t>
        </is>
      </c>
      <c r="B1097" s="1" t="n">
        <v>45611</v>
      </c>
      <c r="C1097" s="1" t="n">
        <v>45932</v>
      </c>
      <c r="D1097" t="inlineStr">
        <is>
          <t>JÄMTLANDS LÄN</t>
        </is>
      </c>
      <c r="E1097" t="inlineStr">
        <is>
          <t>RAGUNDA</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22311-2024</t>
        </is>
      </c>
      <c r="B1098" s="1" t="n">
        <v>45446.57052083333</v>
      </c>
      <c r="C1098" s="1" t="n">
        <v>45932</v>
      </c>
      <c r="D1098" t="inlineStr">
        <is>
          <t>JÄMTLANDS LÄN</t>
        </is>
      </c>
      <c r="E1098" t="inlineStr">
        <is>
          <t>RAGUNDA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19403-2025</t>
        </is>
      </c>
      <c r="B1099" s="1" t="n">
        <v>45769.67790509259</v>
      </c>
      <c r="C1099" s="1" t="n">
        <v>45932</v>
      </c>
      <c r="D1099" t="inlineStr">
        <is>
          <t>JÄMTLANDS LÄN</t>
        </is>
      </c>
      <c r="E1099" t="inlineStr">
        <is>
          <t>RAGUNDA</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11147-2025</t>
        </is>
      </c>
      <c r="B1100" s="1" t="n">
        <v>45723.67777777778</v>
      </c>
      <c r="C1100" s="1" t="n">
        <v>45932</v>
      </c>
      <c r="D1100" t="inlineStr">
        <is>
          <t>JÄMTLANDS LÄN</t>
        </is>
      </c>
      <c r="E1100" t="inlineStr">
        <is>
          <t>RAGUNDA</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9847-2025</t>
        </is>
      </c>
      <c r="B1101" s="1" t="n">
        <v>45716.61487268518</v>
      </c>
      <c r="C1101" s="1" t="n">
        <v>45932</v>
      </c>
      <c r="D1101" t="inlineStr">
        <is>
          <t>JÄMTLANDS LÄN</t>
        </is>
      </c>
      <c r="E1101" t="inlineStr">
        <is>
          <t>RAGUNDA</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28173-2024</t>
        </is>
      </c>
      <c r="B1102" s="1" t="n">
        <v>45476.94533564815</v>
      </c>
      <c r="C1102" s="1" t="n">
        <v>45932</v>
      </c>
      <c r="D1102" t="inlineStr">
        <is>
          <t>JÄMTLANDS LÄN</t>
        </is>
      </c>
      <c r="E1102" t="inlineStr">
        <is>
          <t>RAGUNDA</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23734-2024</t>
        </is>
      </c>
      <c r="B1103" s="1" t="n">
        <v>45454.95960648148</v>
      </c>
      <c r="C1103" s="1" t="n">
        <v>45932</v>
      </c>
      <c r="D1103" t="inlineStr">
        <is>
          <t>JÄMTLANDS LÄN</t>
        </is>
      </c>
      <c r="E1103" t="inlineStr">
        <is>
          <t>RAGUNDA</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38425-2022</t>
        </is>
      </c>
      <c r="B1104" s="1" t="n">
        <v>44812.94709490741</v>
      </c>
      <c r="C1104" s="1" t="n">
        <v>45932</v>
      </c>
      <c r="D1104" t="inlineStr">
        <is>
          <t>JÄMTLANDS LÄN</t>
        </is>
      </c>
      <c r="E1104" t="inlineStr">
        <is>
          <t>RAGUNDA</t>
        </is>
      </c>
      <c r="F1104" t="inlineStr">
        <is>
          <t>SCA</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12995-2023</t>
        </is>
      </c>
      <c r="B1105" s="1" t="n">
        <v>45002.0328125</v>
      </c>
      <c r="C1105" s="1" t="n">
        <v>45932</v>
      </c>
      <c r="D1105" t="inlineStr">
        <is>
          <t>JÄMTLANDS LÄN</t>
        </is>
      </c>
      <c r="E1105" t="inlineStr">
        <is>
          <t>RAGUNDA</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44755-2024</t>
        </is>
      </c>
      <c r="B1106" s="1" t="n">
        <v>45574.61184027778</v>
      </c>
      <c r="C1106" s="1" t="n">
        <v>45932</v>
      </c>
      <c r="D1106" t="inlineStr">
        <is>
          <t>JÄMTLANDS LÄN</t>
        </is>
      </c>
      <c r="E1106" t="inlineStr">
        <is>
          <t>RAGUNDA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44766-2024</t>
        </is>
      </c>
      <c r="B1107" s="1" t="n">
        <v>45574.62297453704</v>
      </c>
      <c r="C1107" s="1" t="n">
        <v>45932</v>
      </c>
      <c r="D1107" t="inlineStr">
        <is>
          <t>JÄMTLANDS LÄN</t>
        </is>
      </c>
      <c r="E1107" t="inlineStr">
        <is>
          <t>RAGUNDA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16676-2022</t>
        </is>
      </c>
      <c r="B1108" s="1" t="n">
        <v>44672.94018518519</v>
      </c>
      <c r="C1108" s="1" t="n">
        <v>45932</v>
      </c>
      <c r="D1108" t="inlineStr">
        <is>
          <t>JÄMTLANDS LÄN</t>
        </is>
      </c>
      <c r="E1108" t="inlineStr">
        <is>
          <t>RAGUNDA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55536-2024</t>
        </is>
      </c>
      <c r="B1109" s="1" t="n">
        <v>45622</v>
      </c>
      <c r="C1109" s="1" t="n">
        <v>45932</v>
      </c>
      <c r="D1109" t="inlineStr">
        <is>
          <t>JÄMTLANDS LÄN</t>
        </is>
      </c>
      <c r="E1109" t="inlineStr">
        <is>
          <t>RAGUNDA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44597-2024</t>
        </is>
      </c>
      <c r="B1110" s="1" t="n">
        <v>45574.51087962963</v>
      </c>
      <c r="C1110" s="1" t="n">
        <v>45932</v>
      </c>
      <c r="D1110" t="inlineStr">
        <is>
          <t>JÄMTLANDS LÄN</t>
        </is>
      </c>
      <c r="E1110" t="inlineStr">
        <is>
          <t>RAGUNDA</t>
        </is>
      </c>
      <c r="F1110" t="inlineStr">
        <is>
          <t>SCA</t>
        </is>
      </c>
      <c r="G1110" t="n">
        <v>2.8</v>
      </c>
      <c r="H1110" t="n">
        <v>0</v>
      </c>
      <c r="I1110" t="n">
        <v>0</v>
      </c>
      <c r="J1110" t="n">
        <v>0</v>
      </c>
      <c r="K1110" t="n">
        <v>0</v>
      </c>
      <c r="L1110" t="n">
        <v>0</v>
      </c>
      <c r="M1110" t="n">
        <v>0</v>
      </c>
      <c r="N1110" t="n">
        <v>0</v>
      </c>
      <c r="O1110" t="n">
        <v>0</v>
      </c>
      <c r="P1110" t="n">
        <v>0</v>
      </c>
      <c r="Q1110" t="n">
        <v>0</v>
      </c>
      <c r="R1110" s="2" t="inlineStr"/>
    </row>
    <row r="1111">
      <c r="A1111" t="inlineStr">
        <is>
          <t>A 44598-2024</t>
        </is>
      </c>
      <c r="B1111" s="1" t="n">
        <v>45574.51090277778</v>
      </c>
      <c r="C1111" s="1" t="n">
        <v>45932</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2025-10-02T12:42:10Z</dcterms:created>
  <dcterms:modified xmlns:dcterms="http://purl.org/dc/terms/" xmlns:xsi="http://www.w3.org/2001/XMLSchema-instance" xsi:type="dcterms:W3CDTF">2025-10-02T12:42:11Z</dcterms:modified>
</cp:coreProperties>
</file>