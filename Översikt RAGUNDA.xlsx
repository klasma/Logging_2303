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45991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45991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45991</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45991</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45991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45991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45991</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45991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45991</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45991</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45991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45991</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45991</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45991</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45991</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45991</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45991</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45991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45991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45991</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45991</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45991</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45991</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45991</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45991</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45991</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45991</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45991</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45991</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45991</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45991</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45991</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45991</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45991</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45991</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45991</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45991</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45991</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45991</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45991</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45991</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45991</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45991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45991</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30335-2025</t>
        </is>
      </c>
      <c r="B50" s="1" t="n">
        <v>45827.5110300926</v>
      </c>
      <c r="C50" s="1" t="n">
        <v>45991</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45991</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51037-2025</t>
        </is>
      </c>
      <c r="B52" s="1" t="n">
        <v>45947.40729166667</v>
      </c>
      <c r="C52" s="1" t="n">
        <v>45991</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15665-2022</t>
        </is>
      </c>
      <c r="B53" s="1" t="n">
        <v>44662</v>
      </c>
      <c r="C53" s="1" t="n">
        <v>45991</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45991</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20397-2024</t>
        </is>
      </c>
      <c r="B55" s="1" t="n">
        <v>45435.54734953704</v>
      </c>
      <c r="C55" s="1" t="n">
        <v>45991</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11829-2023</t>
        </is>
      </c>
      <c r="B56" s="1" t="n">
        <v>44994</v>
      </c>
      <c r="C56" s="1" t="n">
        <v>45991</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26750-2025</t>
        </is>
      </c>
      <c r="B57" s="1" t="n">
        <v>45810.55061342593</v>
      </c>
      <c r="C57" s="1" t="n">
        <v>45991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33806-2023</t>
        </is>
      </c>
      <c r="B58" s="1" t="n">
        <v>45121</v>
      </c>
      <c r="C58" s="1" t="n">
        <v>45991</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19399-2025</t>
        </is>
      </c>
      <c r="B59" s="1" t="n">
        <v>45769.67740740741</v>
      </c>
      <c r="C59" s="1" t="n">
        <v>45991</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41929-2023</t>
        </is>
      </c>
      <c r="B60" s="1" t="n">
        <v>45176</v>
      </c>
      <c r="C60" s="1" t="n">
        <v>45991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45991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27913-2024</t>
        </is>
      </c>
      <c r="B62" s="1" t="n">
        <v>45475.94796296296</v>
      </c>
      <c r="C62" s="1" t="n">
        <v>45991</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24169-2021</t>
        </is>
      </c>
      <c r="B63" s="1" t="n">
        <v>44336</v>
      </c>
      <c r="C63" s="1" t="n">
        <v>45991</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45991</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45991</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1762-2021</t>
        </is>
      </c>
      <c r="B66" s="1" t="n">
        <v>44209</v>
      </c>
      <c r="C66" s="1" t="n">
        <v>45991</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933-2023</t>
        </is>
      </c>
      <c r="B67" s="1" t="n">
        <v>44932</v>
      </c>
      <c r="C67" s="1" t="n">
        <v>45991</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39973-2025</t>
        </is>
      </c>
      <c r="B68" s="1" t="n">
        <v>45893.38584490741</v>
      </c>
      <c r="C68" s="1" t="n">
        <v>45991</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55646-2023</t>
        </is>
      </c>
      <c r="B69" s="1" t="n">
        <v>45238</v>
      </c>
      <c r="C69" s="1" t="n">
        <v>45991</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34317-2025</t>
        </is>
      </c>
      <c r="B70" s="1" t="n">
        <v>45846.41361111111</v>
      </c>
      <c r="C70" s="1" t="n">
        <v>45991</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19402-2025</t>
        </is>
      </c>
      <c r="B71" s="1" t="n">
        <v>45769.67778935185</v>
      </c>
      <c r="C71" s="1" t="n">
        <v>45991</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45991</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53021-2022</t>
        </is>
      </c>
      <c r="B73" s="1" t="n">
        <v>44875</v>
      </c>
      <c r="C73" s="1" t="n">
        <v>45991</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36276-2025</t>
        </is>
      </c>
      <c r="B74" s="1" t="n">
        <v>45867.63619212963</v>
      </c>
      <c r="C74" s="1" t="n">
        <v>45991</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45991</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49291-2025</t>
        </is>
      </c>
      <c r="B76" s="1" t="n">
        <v>45938.53188657408</v>
      </c>
      <c r="C76" s="1" t="n">
        <v>45991</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45991</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45991</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45991</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45991</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45991</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14908-2022</t>
        </is>
      </c>
      <c r="B82" s="1" t="n">
        <v>44656</v>
      </c>
      <c r="C82" s="1" t="n">
        <v>45991</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45991</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45991</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39365-2024</t>
        </is>
      </c>
      <c r="B85" s="1" t="n">
        <v>45551.46912037037</v>
      </c>
      <c r="C85" s="1" t="n">
        <v>45991</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45991</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39974-2025</t>
        </is>
      </c>
      <c r="B87" s="1" t="n">
        <v>45893.38599537037</v>
      </c>
      <c r="C87" s="1" t="n">
        <v>45991</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27313-2024</t>
        </is>
      </c>
      <c r="B88" s="1" t="n">
        <v>45471.94623842592</v>
      </c>
      <c r="C88" s="1" t="n">
        <v>45991</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30886-2025</t>
        </is>
      </c>
      <c r="B89" s="1" t="n">
        <v>45832.34578703704</v>
      </c>
      <c r="C89" s="1" t="n">
        <v>45991</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35344-2025</t>
        </is>
      </c>
      <c r="B90" s="1" t="n">
        <v>45854.61494212963</v>
      </c>
      <c r="C90" s="1" t="n">
        <v>45991</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45991</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57073-2023</t>
        </is>
      </c>
      <c r="B92" s="1" t="n">
        <v>45244</v>
      </c>
      <c r="C92" s="1" t="n">
        <v>45991</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45991</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45991</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45991</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43106-2023</t>
        </is>
      </c>
      <c r="B96" s="1" t="n">
        <v>45182</v>
      </c>
      <c r="C96" s="1" t="n">
        <v>45991</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60683-2022</t>
        </is>
      </c>
      <c r="B97" s="1" t="n">
        <v>44911</v>
      </c>
      <c r="C97" s="1" t="n">
        <v>45991</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45991</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45991</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8636-2021</t>
        </is>
      </c>
      <c r="B100" s="1" t="n">
        <v>44245</v>
      </c>
      <c r="C100" s="1" t="n">
        <v>45991</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19851-2022</t>
        </is>
      </c>
      <c r="B101" s="1" t="n">
        <v>44696</v>
      </c>
      <c r="C101" s="1" t="n">
        <v>45991</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45991</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45991</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45991</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45991</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26082-2025</t>
        </is>
      </c>
      <c r="B106" s="1" t="n">
        <v>45805.34415509259</v>
      </c>
      <c r="C106" s="1" t="n">
        <v>45991</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23682-2021</t>
        </is>
      </c>
      <c r="B107" s="1" t="n">
        <v>44334</v>
      </c>
      <c r="C107" s="1" t="n">
        <v>45991</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45991</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30483-2024</t>
        </is>
      </c>
      <c r="B109" s="1" t="n">
        <v>45491</v>
      </c>
      <c r="C109" s="1" t="n">
        <v>45991</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45991</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45991</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52168-2025</t>
        </is>
      </c>
      <c r="B112" s="1" t="n">
        <v>45953.365625</v>
      </c>
      <c r="C112" s="1" t="n">
        <v>45991</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32067-2024</t>
        </is>
      </c>
      <c r="B113" s="1" t="n">
        <v>45510</v>
      </c>
      <c r="C113" s="1" t="n">
        <v>45991</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30465-2024</t>
        </is>
      </c>
      <c r="B114" s="1" t="n">
        <v>45491</v>
      </c>
      <c r="C114" s="1" t="n">
        <v>45991</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15836-2024</t>
        </is>
      </c>
      <c r="B115" s="1" t="n">
        <v>45404</v>
      </c>
      <c r="C115" s="1" t="n">
        <v>45991</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50342-2025</t>
        </is>
      </c>
      <c r="B116" s="1" t="n">
        <v>45944.53186342592</v>
      </c>
      <c r="C116" s="1" t="n">
        <v>45991</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52644-2024</t>
        </is>
      </c>
      <c r="B117" s="1" t="n">
        <v>45610.34415509259</v>
      </c>
      <c r="C117" s="1" t="n">
        <v>45991</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19401-2025</t>
        </is>
      </c>
      <c r="B118" s="1" t="n">
        <v>45769.67767361111</v>
      </c>
      <c r="C118" s="1" t="n">
        <v>45991</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17092-2022</t>
        </is>
      </c>
      <c r="B119" s="1" t="n">
        <v>44677</v>
      </c>
      <c r="C119" s="1" t="n">
        <v>45991</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21372-2025</t>
        </is>
      </c>
      <c r="B120" s="1" t="n">
        <v>45782.44871527778</v>
      </c>
      <c r="C120" s="1" t="n">
        <v>45991</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45991</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45991</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48052-2022</t>
        </is>
      </c>
      <c r="B123" s="1" t="n">
        <v>44855</v>
      </c>
      <c r="C123" s="1" t="n">
        <v>45991</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45991</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58368-2024</t>
        </is>
      </c>
      <c r="B125" s="1" t="n">
        <v>45632.69822916666</v>
      </c>
      <c r="C125" s="1" t="n">
        <v>45991</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18616-2024</t>
        </is>
      </c>
      <c r="B126" s="1" t="n">
        <v>45425.96285879629</v>
      </c>
      <c r="C126" s="1" t="n">
        <v>45991</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52345-2024</t>
        </is>
      </c>
      <c r="B127" s="1" t="n">
        <v>45609.34412037037</v>
      </c>
      <c r="C127" s="1" t="n">
        <v>45991</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53022-2022</t>
        </is>
      </c>
      <c r="B128" s="1" t="n">
        <v>44875</v>
      </c>
      <c r="C128" s="1" t="n">
        <v>45991</v>
      </c>
      <c r="D128" t="inlineStr">
        <is>
          <t>JÄMTLANDS LÄN</t>
        </is>
      </c>
      <c r="E128" t="inlineStr">
        <is>
          <t>RAGUNDA</t>
        </is>
      </c>
      <c r="F128" t="inlineStr">
        <is>
          <t>SCA</t>
        </is>
      </c>
      <c r="G128" t="n">
        <v>2.7</v>
      </c>
      <c r="H128" t="n">
        <v>0</v>
      </c>
      <c r="I128" t="n">
        <v>1</v>
      </c>
      <c r="J128" t="n">
        <v>2</v>
      </c>
      <c r="K128" t="n">
        <v>0</v>
      </c>
      <c r="L128" t="n">
        <v>0</v>
      </c>
      <c r="M128" t="n">
        <v>0</v>
      </c>
      <c r="N128" t="n">
        <v>0</v>
      </c>
      <c r="O128" t="n">
        <v>2</v>
      </c>
      <c r="P128" t="n">
        <v>0</v>
      </c>
      <c r="Q128" t="n">
        <v>3</v>
      </c>
      <c r="R128" s="2" t="inlineStr">
        <is>
          <t>Garnlav
Lunglav
Dropptaggsvamp</t>
        </is>
      </c>
      <c r="S128">
        <f>HYPERLINK("https://klasma.github.io/Logging_2303/artfynd/A 53022-2022 artfynd.xlsx", "A 53022-2022")</f>
        <v/>
      </c>
      <c r="T128">
        <f>HYPERLINK("https://klasma.github.io/Logging_2303/kartor/A 53022-2022 karta.png", "A 53022-2022")</f>
        <v/>
      </c>
      <c r="V128">
        <f>HYPERLINK("https://klasma.github.io/Logging_2303/klagomål/A 53022-2022 FSC-klagomål.docx", "A 53022-2022")</f>
        <v/>
      </c>
      <c r="W128">
        <f>HYPERLINK("https://klasma.github.io/Logging_2303/klagomålsmail/A 53022-2022 FSC-klagomål mail.docx", "A 53022-2022")</f>
        <v/>
      </c>
      <c r="X128">
        <f>HYPERLINK("https://klasma.github.io/Logging_2303/tillsyn/A 53022-2022 tillsynsbegäran.docx", "A 53022-2022")</f>
        <v/>
      </c>
      <c r="Y128">
        <f>HYPERLINK("https://klasma.github.io/Logging_2303/tillsynsmail/A 53022-2022 tillsynsbegäran mail.docx", "A 53022-2022")</f>
        <v/>
      </c>
    </row>
    <row r="129" ht="15" customHeight="1">
      <c r="A129" t="inlineStr">
        <is>
          <t>A 25769-2025</t>
        </is>
      </c>
      <c r="B129" s="1" t="n">
        <v>45804.34474537037</v>
      </c>
      <c r="C129" s="1" t="n">
        <v>45991</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30470-2024</t>
        </is>
      </c>
      <c r="B130" s="1" t="n">
        <v>45491.94715277778</v>
      </c>
      <c r="C130" s="1" t="n">
        <v>45991</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57941-2024</t>
        </is>
      </c>
      <c r="B131" s="1" t="n">
        <v>45631</v>
      </c>
      <c r="C131" s="1" t="n">
        <v>45991</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58737-2022</t>
        </is>
      </c>
      <c r="B132" s="1" t="n">
        <v>44902</v>
      </c>
      <c r="C132" s="1" t="n">
        <v>45991</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45991</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28178-2023</t>
        </is>
      </c>
      <c r="B134" s="1" t="n">
        <v>45093</v>
      </c>
      <c r="C134" s="1" t="n">
        <v>45991</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34585-2025</t>
        </is>
      </c>
      <c r="B135" s="1" t="n">
        <v>45847.61498842593</v>
      </c>
      <c r="C135" s="1" t="n">
        <v>45991</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34585-2025 artfynd.xlsx", "A 34585-2025")</f>
        <v/>
      </c>
      <c r="T135">
        <f>HYPERLINK("https://klasma.github.io/Logging_2303/kartor/A 34585-2025 karta.png", "A 34585-2025")</f>
        <v/>
      </c>
      <c r="V135">
        <f>HYPERLINK("https://klasma.github.io/Logging_2303/klagomål/A 34585-2025 FSC-klagomål.docx", "A 34585-2025")</f>
        <v/>
      </c>
      <c r="W135">
        <f>HYPERLINK("https://klasma.github.io/Logging_2303/klagomålsmail/A 34585-2025 FSC-klagomål mail.docx", "A 34585-2025")</f>
        <v/>
      </c>
      <c r="X135">
        <f>HYPERLINK("https://klasma.github.io/Logging_2303/tillsyn/A 34585-2025 tillsynsbegäran.docx", "A 34585-2025")</f>
        <v/>
      </c>
      <c r="Y135">
        <f>HYPERLINK("https://klasma.github.io/Logging_2303/tillsynsmail/A 34585-2025 tillsynsbegäran mail.docx", "A 34585-2025")</f>
        <v/>
      </c>
    </row>
    <row r="136" ht="15" customHeight="1">
      <c r="A136" t="inlineStr">
        <is>
          <t>A 32416-2025</t>
        </is>
      </c>
      <c r="B136" s="1" t="n">
        <v>45838</v>
      </c>
      <c r="C136" s="1" t="n">
        <v>45991</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49047-2023</t>
        </is>
      </c>
      <c r="B137" s="1" t="n">
        <v>45209</v>
      </c>
      <c r="C137" s="1" t="n">
        <v>45991</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14814-2024</t>
        </is>
      </c>
      <c r="B138" s="1" t="n">
        <v>45397.95748842593</v>
      </c>
      <c r="C138" s="1" t="n">
        <v>45991</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45991</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45991</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57667-2025</t>
        </is>
      </c>
      <c r="B141" s="1" t="n">
        <v>45981.42767361111</v>
      </c>
      <c r="C141" s="1" t="n">
        <v>45991</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12737-2025</t>
        </is>
      </c>
      <c r="B142" s="1" t="n">
        <v>45733</v>
      </c>
      <c r="C142" s="1" t="n">
        <v>45991</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45991</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59179-2025</t>
        </is>
      </c>
      <c r="B144" s="1" t="n">
        <v>45988.57350694444</v>
      </c>
      <c r="C144" s="1" t="n">
        <v>45991</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61790-2023</t>
        </is>
      </c>
      <c r="B145" s="1" t="n">
        <v>45265</v>
      </c>
      <c r="C145" s="1" t="n">
        <v>45991</v>
      </c>
      <c r="D145" t="inlineStr">
        <is>
          <t>JÄMTLANDS LÄN</t>
        </is>
      </c>
      <c r="E145" t="inlineStr">
        <is>
          <t>RAGUNDA</t>
        </is>
      </c>
      <c r="F145" t="inlineStr">
        <is>
          <t>SCA</t>
        </is>
      </c>
      <c r="G145" t="n">
        <v>6.1</v>
      </c>
      <c r="H145" t="n">
        <v>0</v>
      </c>
      <c r="I145" t="n">
        <v>0</v>
      </c>
      <c r="J145" t="n">
        <v>3</v>
      </c>
      <c r="K145" t="n">
        <v>0</v>
      </c>
      <c r="L145" t="n">
        <v>0</v>
      </c>
      <c r="M145" t="n">
        <v>0</v>
      </c>
      <c r="N145" t="n">
        <v>0</v>
      </c>
      <c r="O145" t="n">
        <v>3</v>
      </c>
      <c r="P145" t="n">
        <v>0</v>
      </c>
      <c r="Q145" t="n">
        <v>3</v>
      </c>
      <c r="R145" s="2" t="inlineStr">
        <is>
          <t>Gammelgransskål
Lunglav
Skrovellav</t>
        </is>
      </c>
      <c r="S145">
        <f>HYPERLINK("https://klasma.github.io/Logging_2303/artfynd/A 61790-2023 artfynd.xlsx", "A 61790-2023")</f>
        <v/>
      </c>
      <c r="T145">
        <f>HYPERLINK("https://klasma.github.io/Logging_2303/kartor/A 61790-2023 karta.png", "A 61790-2023")</f>
        <v/>
      </c>
      <c r="V145">
        <f>HYPERLINK("https://klasma.github.io/Logging_2303/klagomål/A 61790-2023 FSC-klagomål.docx", "A 61790-2023")</f>
        <v/>
      </c>
      <c r="W145">
        <f>HYPERLINK("https://klasma.github.io/Logging_2303/klagomålsmail/A 61790-2023 FSC-klagomål mail.docx", "A 61790-2023")</f>
        <v/>
      </c>
      <c r="X145">
        <f>HYPERLINK("https://klasma.github.io/Logging_2303/tillsyn/A 61790-2023 tillsynsbegäran.docx", "A 61790-2023")</f>
        <v/>
      </c>
      <c r="Y145">
        <f>HYPERLINK("https://klasma.github.io/Logging_2303/tillsynsmail/A 61790-2023 tillsynsbegäran mail.docx", "A 61790-2023")</f>
        <v/>
      </c>
    </row>
    <row r="146" ht="15" customHeight="1">
      <c r="A146" t="inlineStr">
        <is>
          <t>A 48054-2022</t>
        </is>
      </c>
      <c r="B146" s="1" t="n">
        <v>44855</v>
      </c>
      <c r="C146" s="1" t="n">
        <v>45991</v>
      </c>
      <c r="D146" t="inlineStr">
        <is>
          <t>JÄMTLANDS LÄN</t>
        </is>
      </c>
      <c r="E146" t="inlineStr">
        <is>
          <t>RAGUNDA</t>
        </is>
      </c>
      <c r="F146" t="inlineStr">
        <is>
          <t>SCA</t>
        </is>
      </c>
      <c r="G146" t="n">
        <v>1.5</v>
      </c>
      <c r="H146" t="n">
        <v>2</v>
      </c>
      <c r="I146" t="n">
        <v>0</v>
      </c>
      <c r="J146" t="n">
        <v>1</v>
      </c>
      <c r="K146" t="n">
        <v>1</v>
      </c>
      <c r="L146" t="n">
        <v>0</v>
      </c>
      <c r="M146" t="n">
        <v>0</v>
      </c>
      <c r="N146" t="n">
        <v>0</v>
      </c>
      <c r="O146" t="n">
        <v>2</v>
      </c>
      <c r="P146" t="n">
        <v>1</v>
      </c>
      <c r="Q146" t="n">
        <v>3</v>
      </c>
      <c r="R146" s="2" t="inlineStr">
        <is>
          <t>Knärot
Lunglav
Blåsippa</t>
        </is>
      </c>
      <c r="S146">
        <f>HYPERLINK("https://klasma.github.io/Logging_2303/artfynd/A 48054-2022 artfynd.xlsx", "A 48054-2022")</f>
        <v/>
      </c>
      <c r="T146">
        <f>HYPERLINK("https://klasma.github.io/Logging_2303/kartor/A 48054-2022 karta.png", "A 48054-2022")</f>
        <v/>
      </c>
      <c r="U146">
        <f>HYPERLINK("https://klasma.github.io/Logging_2303/knärot/A 48054-2022 karta knärot.png", "A 48054-2022")</f>
        <v/>
      </c>
      <c r="V146">
        <f>HYPERLINK("https://klasma.github.io/Logging_2303/klagomål/A 48054-2022 FSC-klagomål.docx", "A 48054-2022")</f>
        <v/>
      </c>
      <c r="W146">
        <f>HYPERLINK("https://klasma.github.io/Logging_2303/klagomålsmail/A 48054-2022 FSC-klagomål mail.docx", "A 48054-2022")</f>
        <v/>
      </c>
      <c r="X146">
        <f>HYPERLINK("https://klasma.github.io/Logging_2303/tillsyn/A 48054-2022 tillsynsbegäran.docx", "A 48054-2022")</f>
        <v/>
      </c>
      <c r="Y146">
        <f>HYPERLINK("https://klasma.github.io/Logging_2303/tillsynsmail/A 48054-2022 tillsynsbegäran mail.docx", "A 48054-2022")</f>
        <v/>
      </c>
    </row>
    <row r="147" ht="15" customHeight="1">
      <c r="A147" t="inlineStr">
        <is>
          <t>A 20776-2024</t>
        </is>
      </c>
      <c r="B147" s="1" t="n">
        <v>45436.94686342592</v>
      </c>
      <c r="C147" s="1" t="n">
        <v>45991</v>
      </c>
      <c r="D147" t="inlineStr">
        <is>
          <t>JÄMTLANDS LÄN</t>
        </is>
      </c>
      <c r="E147" t="inlineStr">
        <is>
          <t>RAGUNDA</t>
        </is>
      </c>
      <c r="F147" t="inlineStr">
        <is>
          <t>SCA</t>
        </is>
      </c>
      <c r="G147" t="n">
        <v>5.2</v>
      </c>
      <c r="H147" t="n">
        <v>0</v>
      </c>
      <c r="I147" t="n">
        <v>0</v>
      </c>
      <c r="J147" t="n">
        <v>2</v>
      </c>
      <c r="K147" t="n">
        <v>1</v>
      </c>
      <c r="L147" t="n">
        <v>0</v>
      </c>
      <c r="M147" t="n">
        <v>0</v>
      </c>
      <c r="N147" t="n">
        <v>0</v>
      </c>
      <c r="O147" t="n">
        <v>3</v>
      </c>
      <c r="P147" t="n">
        <v>1</v>
      </c>
      <c r="Q147" t="n">
        <v>3</v>
      </c>
      <c r="R147" s="2" t="inlineStr">
        <is>
          <t>Liten hornflikmossa
Garnlav
Vedtrappmossa</t>
        </is>
      </c>
      <c r="S147">
        <f>HYPERLINK("https://klasma.github.io/Logging_2303/artfynd/A 20776-2024 artfynd.xlsx", "A 20776-2024")</f>
        <v/>
      </c>
      <c r="T147">
        <f>HYPERLINK("https://klasma.github.io/Logging_2303/kartor/A 20776-2024 karta.png", "A 20776-2024")</f>
        <v/>
      </c>
      <c r="V147">
        <f>HYPERLINK("https://klasma.github.io/Logging_2303/klagomål/A 20776-2024 FSC-klagomål.docx", "A 20776-2024")</f>
        <v/>
      </c>
      <c r="W147">
        <f>HYPERLINK("https://klasma.github.io/Logging_2303/klagomålsmail/A 20776-2024 FSC-klagomål mail.docx", "A 20776-2024")</f>
        <v/>
      </c>
      <c r="X147">
        <f>HYPERLINK("https://klasma.github.io/Logging_2303/tillsyn/A 20776-2024 tillsynsbegäran.docx", "A 20776-2024")</f>
        <v/>
      </c>
      <c r="Y147">
        <f>HYPERLINK("https://klasma.github.io/Logging_2303/tillsynsmail/A 20776-2024 tillsynsbegäran mail.docx", "A 20776-2024")</f>
        <v/>
      </c>
    </row>
    <row r="148" ht="15" customHeight="1">
      <c r="A148" t="inlineStr">
        <is>
          <t>A 36504-2023</t>
        </is>
      </c>
      <c r="B148" s="1" t="n">
        <v>45152</v>
      </c>
      <c r="C148" s="1" t="n">
        <v>45991</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16305-2025</t>
        </is>
      </c>
      <c r="B149" s="1" t="n">
        <v>45751.34650462963</v>
      </c>
      <c r="C149" s="1" t="n">
        <v>45991</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45991</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21248-2025</t>
        </is>
      </c>
      <c r="B151" s="1" t="n">
        <v>45779.57392361111</v>
      </c>
      <c r="C151" s="1" t="n">
        <v>45991</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17043-2022</t>
        </is>
      </c>
      <c r="B152" s="1" t="n">
        <v>44676</v>
      </c>
      <c r="C152" s="1" t="n">
        <v>45991</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45991</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45991</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45991</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25155-2025</t>
        </is>
      </c>
      <c r="B156" s="1" t="n">
        <v>45800.42782407408</v>
      </c>
      <c r="C156" s="1" t="n">
        <v>45991</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Leptoporus mollis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45991</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57940-2024</t>
        </is>
      </c>
      <c r="B158" s="1" t="n">
        <v>45631</v>
      </c>
      <c r="C158" s="1" t="n">
        <v>45991</v>
      </c>
      <c r="D158" t="inlineStr">
        <is>
          <t>JÄMTLANDS LÄN</t>
        </is>
      </c>
      <c r="E158" t="inlineStr">
        <is>
          <t>RAGUNDA</t>
        </is>
      </c>
      <c r="F158" t="inlineStr">
        <is>
          <t>SCA</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HYPERLINK("https://klasma.github.io/Logging_2303/artfynd/A 57940-2024 artfynd.xlsx", "A 57940-2024")</f>
        <v/>
      </c>
      <c r="T158">
        <f>HYPERLINK("https://klasma.github.io/Logging_2303/kartor/A 57940-2024 karta.png", "A 57940-2024")</f>
        <v/>
      </c>
      <c r="V158">
        <f>HYPERLINK("https://klasma.github.io/Logging_2303/klagomål/A 57940-2024 FSC-klagomål.docx", "A 57940-2024")</f>
        <v/>
      </c>
      <c r="W158">
        <f>HYPERLINK("https://klasma.github.io/Logging_2303/klagomålsmail/A 57940-2024 FSC-klagomål mail.docx", "A 57940-2024")</f>
        <v/>
      </c>
      <c r="X158">
        <f>HYPERLINK("https://klasma.github.io/Logging_2303/tillsyn/A 57940-2024 tillsynsbegäran.docx", "A 57940-2024")</f>
        <v/>
      </c>
      <c r="Y158">
        <f>HYPERLINK("https://klasma.github.io/Logging_2303/tillsynsmail/A 57940-2024 tillsynsbegäran mail.docx", "A 57940-2024")</f>
        <v/>
      </c>
      <c r="Z158">
        <f>HYPERLINK("https://klasma.github.io/Logging_2303/fåglar/A 57940-2024 prioriterade fågelarter.docx", "A 57940-2024")</f>
        <v/>
      </c>
    </row>
    <row r="159" ht="15" customHeight="1">
      <c r="A159" t="inlineStr">
        <is>
          <t>A 55647-2023</t>
        </is>
      </c>
      <c r="B159" s="1" t="n">
        <v>45238</v>
      </c>
      <c r="C159" s="1" t="n">
        <v>45991</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45991</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45991</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48427-2023</t>
        </is>
      </c>
      <c r="B162" s="1" t="n">
        <v>45205</v>
      </c>
      <c r="C162" s="1" t="n">
        <v>45991</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31960-2025</t>
        </is>
      </c>
      <c r="B163" s="1" t="n">
        <v>45835.344375</v>
      </c>
      <c r="C163" s="1" t="n">
        <v>45991</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35131-2025</t>
        </is>
      </c>
      <c r="B164" s="1" t="n">
        <v>45852.63597222222</v>
      </c>
      <c r="C164" s="1" t="n">
        <v>45991</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45991</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45991</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45991</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47850-2025</t>
        </is>
      </c>
      <c r="B168" s="1" t="n">
        <v>45932.38626157407</v>
      </c>
      <c r="C168" s="1" t="n">
        <v>45991</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40826-2023</t>
        </is>
      </c>
      <c r="B169" s="1" t="n">
        <v>45171</v>
      </c>
      <c r="C169" s="1" t="n">
        <v>45991</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56634-2025</t>
        </is>
      </c>
      <c r="B170" s="1" t="n">
        <v>45975.61619212963</v>
      </c>
      <c r="C170" s="1" t="n">
        <v>45991</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41490-2022</t>
        </is>
      </c>
      <c r="B171" s="1" t="n">
        <v>44826.94976851852</v>
      </c>
      <c r="C171" s="1" t="n">
        <v>45991</v>
      </c>
      <c r="D171" t="inlineStr">
        <is>
          <t>JÄMTLANDS LÄN</t>
        </is>
      </c>
      <c r="E171" t="inlineStr">
        <is>
          <t>RAGUNDA</t>
        </is>
      </c>
      <c r="F171" t="inlineStr">
        <is>
          <t>SCA</t>
        </is>
      </c>
      <c r="G171" t="n">
        <v>2.7</v>
      </c>
      <c r="H171" t="n">
        <v>0</v>
      </c>
      <c r="I171" t="n">
        <v>1</v>
      </c>
      <c r="J171" t="n">
        <v>1</v>
      </c>
      <c r="K171" t="n">
        <v>0</v>
      </c>
      <c r="L171" t="n">
        <v>0</v>
      </c>
      <c r="M171" t="n">
        <v>0</v>
      </c>
      <c r="N171" t="n">
        <v>0</v>
      </c>
      <c r="O171" t="n">
        <v>1</v>
      </c>
      <c r="P171" t="n">
        <v>0</v>
      </c>
      <c r="Q171" t="n">
        <v>2</v>
      </c>
      <c r="R171" s="2" t="inlineStr">
        <is>
          <t>Lunglav
Skinnlav</t>
        </is>
      </c>
      <c r="S171">
        <f>HYPERLINK("https://klasma.github.io/Logging_2303/artfynd/A 41490-2022 artfynd.xlsx", "A 41490-2022")</f>
        <v/>
      </c>
      <c r="T171">
        <f>HYPERLINK("https://klasma.github.io/Logging_2303/kartor/A 41490-2022 karta.png", "A 41490-2022")</f>
        <v/>
      </c>
      <c r="V171">
        <f>HYPERLINK("https://klasma.github.io/Logging_2303/klagomål/A 41490-2022 FSC-klagomål.docx", "A 41490-2022")</f>
        <v/>
      </c>
      <c r="W171">
        <f>HYPERLINK("https://klasma.github.io/Logging_2303/klagomålsmail/A 41490-2022 FSC-klagomål mail.docx", "A 41490-2022")</f>
        <v/>
      </c>
      <c r="X171">
        <f>HYPERLINK("https://klasma.github.io/Logging_2303/tillsyn/A 41490-2022 tillsynsbegäran.docx", "A 41490-2022")</f>
        <v/>
      </c>
      <c r="Y171">
        <f>HYPERLINK("https://klasma.github.io/Logging_2303/tillsynsmail/A 41490-2022 tillsynsbegäran mail.docx", "A 41490-2022")</f>
        <v/>
      </c>
    </row>
    <row r="172" ht="15" customHeight="1">
      <c r="A172" t="inlineStr">
        <is>
          <t>A 14502-2024</t>
        </is>
      </c>
      <c r="B172" s="1" t="n">
        <v>45394</v>
      </c>
      <c r="C172" s="1" t="n">
        <v>45991</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45991</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45991</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45991</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45991</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10866-2025</t>
        </is>
      </c>
      <c r="B177" s="1" t="n">
        <v>45722.61543981481</v>
      </c>
      <c r="C177" s="1" t="n">
        <v>45991</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10884-2025</t>
        </is>
      </c>
      <c r="B178" s="1" t="n">
        <v>45722.65670138889</v>
      </c>
      <c r="C178" s="1" t="n">
        <v>45991</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3838-2024</t>
        </is>
      </c>
      <c r="B179" s="1" t="n">
        <v>45321</v>
      </c>
      <c r="C179" s="1" t="n">
        <v>45991</v>
      </c>
      <c r="D179" t="inlineStr">
        <is>
          <t>JÄMTLANDS LÄN</t>
        </is>
      </c>
      <c r="E179" t="inlineStr">
        <is>
          <t>RAGUNDA</t>
        </is>
      </c>
      <c r="F179" t="inlineStr">
        <is>
          <t>SCA</t>
        </is>
      </c>
      <c r="G179" t="n">
        <v>2</v>
      </c>
      <c r="H179" t="n">
        <v>1</v>
      </c>
      <c r="I179" t="n">
        <v>1</v>
      </c>
      <c r="J179" t="n">
        <v>1</v>
      </c>
      <c r="K179" t="n">
        <v>0</v>
      </c>
      <c r="L179" t="n">
        <v>0</v>
      </c>
      <c r="M179" t="n">
        <v>0</v>
      </c>
      <c r="N179" t="n">
        <v>0</v>
      </c>
      <c r="O179" t="n">
        <v>1</v>
      </c>
      <c r="P179" t="n">
        <v>0</v>
      </c>
      <c r="Q179" t="n">
        <v>2</v>
      </c>
      <c r="R179" s="2" t="inlineStr">
        <is>
          <t>Garnlav
Guckusko</t>
        </is>
      </c>
      <c r="S179">
        <f>HYPERLINK("https://klasma.github.io/Logging_2303/artfynd/A 3838-2024 artfynd.xlsx", "A 3838-2024")</f>
        <v/>
      </c>
      <c r="T179">
        <f>HYPERLINK("https://klasma.github.io/Logging_2303/kartor/A 3838-2024 karta.png", "A 3838-2024")</f>
        <v/>
      </c>
      <c r="V179">
        <f>HYPERLINK("https://klasma.github.io/Logging_2303/klagomål/A 3838-2024 FSC-klagomål.docx", "A 3838-2024")</f>
        <v/>
      </c>
      <c r="W179">
        <f>HYPERLINK("https://klasma.github.io/Logging_2303/klagomålsmail/A 3838-2024 FSC-klagomål mail.docx", "A 3838-2024")</f>
        <v/>
      </c>
      <c r="X179">
        <f>HYPERLINK("https://klasma.github.io/Logging_2303/tillsyn/A 3838-2024 tillsynsbegäran.docx", "A 3838-2024")</f>
        <v/>
      </c>
      <c r="Y179">
        <f>HYPERLINK("https://klasma.github.io/Logging_2303/tillsynsmail/A 3838-2024 tillsynsbegäran mail.docx", "A 3838-2024")</f>
        <v/>
      </c>
    </row>
    <row r="180" ht="15" customHeight="1">
      <c r="A180" t="inlineStr">
        <is>
          <t>A 36756-2023</t>
        </is>
      </c>
      <c r="B180" s="1" t="n">
        <v>45153</v>
      </c>
      <c r="C180" s="1" t="n">
        <v>45991</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56285-2023</t>
        </is>
      </c>
      <c r="B181" s="1" t="n">
        <v>45241</v>
      </c>
      <c r="C181" s="1" t="n">
        <v>45991</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39495-2024</t>
        </is>
      </c>
      <c r="B182" s="1" t="n">
        <v>45551.65726851852</v>
      </c>
      <c r="C182" s="1" t="n">
        <v>45991</v>
      </c>
      <c r="D182" t="inlineStr">
        <is>
          <t>JÄMTLANDS LÄN</t>
        </is>
      </c>
      <c r="E182" t="inlineStr">
        <is>
          <t>RAGUNDA</t>
        </is>
      </c>
      <c r="F182" t="inlineStr">
        <is>
          <t>SCA</t>
        </is>
      </c>
      <c r="G182" t="n">
        <v>6.6</v>
      </c>
      <c r="H182" t="n">
        <v>0</v>
      </c>
      <c r="I182" t="n">
        <v>0</v>
      </c>
      <c r="J182" t="n">
        <v>2</v>
      </c>
      <c r="K182" t="n">
        <v>0</v>
      </c>
      <c r="L182" t="n">
        <v>0</v>
      </c>
      <c r="M182" t="n">
        <v>0</v>
      </c>
      <c r="N182" t="n">
        <v>0</v>
      </c>
      <c r="O182" t="n">
        <v>2</v>
      </c>
      <c r="P182" t="n">
        <v>0</v>
      </c>
      <c r="Q182" t="n">
        <v>2</v>
      </c>
      <c r="R182" s="2" t="inlineStr">
        <is>
          <t>Garnlav
Ullticka</t>
        </is>
      </c>
      <c r="S182">
        <f>HYPERLINK("https://klasma.github.io/Logging_2303/artfynd/A 39495-2024 artfynd.xlsx", "A 39495-2024")</f>
        <v/>
      </c>
      <c r="T182">
        <f>HYPERLINK("https://klasma.github.io/Logging_2303/kartor/A 39495-2024 karta.png", "A 39495-2024")</f>
        <v/>
      </c>
      <c r="V182">
        <f>HYPERLINK("https://klasma.github.io/Logging_2303/klagomål/A 39495-2024 FSC-klagomål.docx", "A 39495-2024")</f>
        <v/>
      </c>
      <c r="W182">
        <f>HYPERLINK("https://klasma.github.io/Logging_2303/klagomålsmail/A 39495-2024 FSC-klagomål mail.docx", "A 39495-2024")</f>
        <v/>
      </c>
      <c r="X182">
        <f>HYPERLINK("https://klasma.github.io/Logging_2303/tillsyn/A 39495-2024 tillsynsbegäran.docx", "A 39495-2024")</f>
        <v/>
      </c>
      <c r="Y182">
        <f>HYPERLINK("https://klasma.github.io/Logging_2303/tillsynsmail/A 39495-2024 tillsynsbegäran mail.docx", "A 39495-2024")</f>
        <v/>
      </c>
    </row>
    <row r="183" ht="15" customHeight="1">
      <c r="A183" t="inlineStr">
        <is>
          <t>A 19728-2025</t>
        </is>
      </c>
      <c r="B183" s="1" t="n">
        <v>45771.36548611111</v>
      </c>
      <c r="C183" s="1" t="n">
        <v>45991</v>
      </c>
      <c r="D183" t="inlineStr">
        <is>
          <t>JÄMTLANDS LÄN</t>
        </is>
      </c>
      <c r="E183" t="inlineStr">
        <is>
          <t>RAGUNDA</t>
        </is>
      </c>
      <c r="F183" t="inlineStr">
        <is>
          <t>SCA</t>
        </is>
      </c>
      <c r="G183" t="n">
        <v>6.2</v>
      </c>
      <c r="H183" t="n">
        <v>1</v>
      </c>
      <c r="I183" t="n">
        <v>0</v>
      </c>
      <c r="J183" t="n">
        <v>2</v>
      </c>
      <c r="K183" t="n">
        <v>0</v>
      </c>
      <c r="L183" t="n">
        <v>0</v>
      </c>
      <c r="M183" t="n">
        <v>0</v>
      </c>
      <c r="N183" t="n">
        <v>0</v>
      </c>
      <c r="O183" t="n">
        <v>2</v>
      </c>
      <c r="P183" t="n">
        <v>0</v>
      </c>
      <c r="Q183" t="n">
        <v>2</v>
      </c>
      <c r="R183" s="2" t="inlineStr">
        <is>
          <t>Stjärntagging
Tretåig hackspett</t>
        </is>
      </c>
      <c r="S183">
        <f>HYPERLINK("https://klasma.github.io/Logging_2303/artfynd/A 19728-2025 artfynd.xlsx", "A 19728-2025")</f>
        <v/>
      </c>
      <c r="T183">
        <f>HYPERLINK("https://klasma.github.io/Logging_2303/kartor/A 19728-2025 karta.png", "A 19728-2025")</f>
        <v/>
      </c>
      <c r="V183">
        <f>HYPERLINK("https://klasma.github.io/Logging_2303/klagomål/A 19728-2025 FSC-klagomål.docx", "A 19728-2025")</f>
        <v/>
      </c>
      <c r="W183">
        <f>HYPERLINK("https://klasma.github.io/Logging_2303/klagomålsmail/A 19728-2025 FSC-klagomål mail.docx", "A 19728-2025")</f>
        <v/>
      </c>
      <c r="X183">
        <f>HYPERLINK("https://klasma.github.io/Logging_2303/tillsyn/A 19728-2025 tillsynsbegäran.docx", "A 19728-2025")</f>
        <v/>
      </c>
      <c r="Y183">
        <f>HYPERLINK("https://klasma.github.io/Logging_2303/tillsynsmail/A 19728-2025 tillsynsbegäran mail.docx", "A 19728-2025")</f>
        <v/>
      </c>
      <c r="Z183">
        <f>HYPERLINK("https://klasma.github.io/Logging_2303/fåglar/A 19728-2025 prioriterade fågelarter.docx", "A 19728-2025")</f>
        <v/>
      </c>
    </row>
    <row r="184" ht="15" customHeight="1">
      <c r="A184" t="inlineStr">
        <is>
          <t>A 45035-2023</t>
        </is>
      </c>
      <c r="B184" s="1" t="n">
        <v>45191</v>
      </c>
      <c r="C184" s="1" t="n">
        <v>45991</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11544-2024</t>
        </is>
      </c>
      <c r="B185" s="1" t="n">
        <v>45372.95680555556</v>
      </c>
      <c r="C185" s="1" t="n">
        <v>45991</v>
      </c>
      <c r="D185" t="inlineStr">
        <is>
          <t>JÄMTLANDS LÄN</t>
        </is>
      </c>
      <c r="E185" t="inlineStr">
        <is>
          <t>RAGUNDA</t>
        </is>
      </c>
      <c r="F185" t="inlineStr">
        <is>
          <t>SCA</t>
        </is>
      </c>
      <c r="G185" t="n">
        <v>15.5</v>
      </c>
      <c r="H185" t="n">
        <v>0</v>
      </c>
      <c r="I185" t="n">
        <v>0</v>
      </c>
      <c r="J185" t="n">
        <v>2</v>
      </c>
      <c r="K185" t="n">
        <v>0</v>
      </c>
      <c r="L185" t="n">
        <v>0</v>
      </c>
      <c r="M185" t="n">
        <v>0</v>
      </c>
      <c r="N185" t="n">
        <v>0</v>
      </c>
      <c r="O185" t="n">
        <v>2</v>
      </c>
      <c r="P185" t="n">
        <v>0</v>
      </c>
      <c r="Q185" t="n">
        <v>2</v>
      </c>
      <c r="R185" s="2" t="inlineStr">
        <is>
          <t>Granticka
Mörk kolflarnlav</t>
        </is>
      </c>
      <c r="S185">
        <f>HYPERLINK("https://klasma.github.io/Logging_2303/artfynd/A 11544-2024 artfynd.xlsx", "A 11544-2024")</f>
        <v/>
      </c>
      <c r="T185">
        <f>HYPERLINK("https://klasma.github.io/Logging_2303/kartor/A 11544-2024 karta.png", "A 11544-2024")</f>
        <v/>
      </c>
      <c r="V185">
        <f>HYPERLINK("https://klasma.github.io/Logging_2303/klagomål/A 11544-2024 FSC-klagomål.docx", "A 11544-2024")</f>
        <v/>
      </c>
      <c r="W185">
        <f>HYPERLINK("https://klasma.github.io/Logging_2303/klagomålsmail/A 11544-2024 FSC-klagomål mail.docx", "A 11544-2024")</f>
        <v/>
      </c>
      <c r="X185">
        <f>HYPERLINK("https://klasma.github.io/Logging_2303/tillsyn/A 11544-2024 tillsynsbegäran.docx", "A 11544-2024")</f>
        <v/>
      </c>
      <c r="Y185">
        <f>HYPERLINK("https://klasma.github.io/Logging_2303/tillsynsmail/A 11544-2024 tillsynsbegäran mail.docx", "A 11544-2024")</f>
        <v/>
      </c>
    </row>
    <row r="186" ht="15" customHeight="1">
      <c r="A186" t="inlineStr">
        <is>
          <t>A 11843-2023</t>
        </is>
      </c>
      <c r="B186" s="1" t="n">
        <v>44993</v>
      </c>
      <c r="C186" s="1" t="n">
        <v>45991</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17733-2022</t>
        </is>
      </c>
      <c r="B187" s="1" t="n">
        <v>44680</v>
      </c>
      <c r="C187" s="1" t="n">
        <v>45991</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45991</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45991</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45991</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45991</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45991</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45991</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45991</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45991</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45991</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45991</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45991</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45991</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20575-2025</t>
        </is>
      </c>
      <c r="B200" s="1" t="n">
        <v>45775.67769675926</v>
      </c>
      <c r="C200" s="1" t="n">
        <v>45991</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16316-2025</t>
        </is>
      </c>
      <c r="B201" s="1" t="n">
        <v>45751.34795138889</v>
      </c>
      <c r="C201" s="1" t="n">
        <v>45991</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25694-2023</t>
        </is>
      </c>
      <c r="B202" s="1" t="n">
        <v>45089</v>
      </c>
      <c r="C202" s="1" t="n">
        <v>45991</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45991</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45991</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45991</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59104-2023</t>
        </is>
      </c>
      <c r="B206" s="1" t="n">
        <v>45252</v>
      </c>
      <c r="C206" s="1" t="n">
        <v>45991</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50233-2024</t>
        </is>
      </c>
      <c r="B207" s="1" t="n">
        <v>45600.55265046296</v>
      </c>
      <c r="C207" s="1" t="n">
        <v>45991</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36224-2023</t>
        </is>
      </c>
      <c r="B208" s="1" t="n">
        <v>45149</v>
      </c>
      <c r="C208" s="1" t="n">
        <v>45991</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43404-2023</t>
        </is>
      </c>
      <c r="B209" s="1" t="n">
        <v>45183</v>
      </c>
      <c r="C209" s="1" t="n">
        <v>45991</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24443-2024</t>
        </is>
      </c>
      <c r="B210" s="1" t="n">
        <v>45457.9640625</v>
      </c>
      <c r="C210" s="1" t="n">
        <v>45991</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23930-2024</t>
        </is>
      </c>
      <c r="B211" s="1" t="n">
        <v>45455.96184027778</v>
      </c>
      <c r="C211" s="1" t="n">
        <v>45991</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40841-2025</t>
        </is>
      </c>
      <c r="B212" s="1" t="n">
        <v>45897.531875</v>
      </c>
      <c r="C212" s="1" t="n">
        <v>45991</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27573-2025</t>
        </is>
      </c>
      <c r="B213" s="1" t="n">
        <v>45813.49061342593</v>
      </c>
      <c r="C213" s="1" t="n">
        <v>45991</v>
      </c>
      <c r="D213" t="inlineStr">
        <is>
          <t>JÄMTLANDS LÄN</t>
        </is>
      </c>
      <c r="E213" t="inlineStr">
        <is>
          <t>RAGUNDA</t>
        </is>
      </c>
      <c r="F213" t="inlineStr">
        <is>
          <t>SCA</t>
        </is>
      </c>
      <c r="G213" t="n">
        <v>14.9</v>
      </c>
      <c r="H213" t="n">
        <v>0</v>
      </c>
      <c r="I213" t="n">
        <v>1</v>
      </c>
      <c r="J213" t="n">
        <v>0</v>
      </c>
      <c r="K213" t="n">
        <v>0</v>
      </c>
      <c r="L213" t="n">
        <v>0</v>
      </c>
      <c r="M213" t="n">
        <v>0</v>
      </c>
      <c r="N213" t="n">
        <v>0</v>
      </c>
      <c r="O213" t="n">
        <v>0</v>
      </c>
      <c r="P213" t="n">
        <v>0</v>
      </c>
      <c r="Q213" t="n">
        <v>1</v>
      </c>
      <c r="R213" s="2" t="inlineStr">
        <is>
          <t>Skinnlav</t>
        </is>
      </c>
      <c r="S213">
        <f>HYPERLINK("https://klasma.github.io/Logging_2303/artfynd/A 27573-2025 artfynd.xlsx", "A 27573-2025")</f>
        <v/>
      </c>
      <c r="T213">
        <f>HYPERLINK("https://klasma.github.io/Logging_2303/kartor/A 27573-2025 karta.png", "A 27573-2025")</f>
        <v/>
      </c>
      <c r="U213">
        <f>HYPERLINK("https://klasma.github.io/Logging_2303/knärot/A 27573-2025 karta knärot.png", "A 27573-2025")</f>
        <v/>
      </c>
      <c r="V213">
        <f>HYPERLINK("https://klasma.github.io/Logging_2303/klagomål/A 27573-2025 FSC-klagomål.docx", "A 27573-2025")</f>
        <v/>
      </c>
      <c r="W213">
        <f>HYPERLINK("https://klasma.github.io/Logging_2303/klagomålsmail/A 27573-2025 FSC-klagomål mail.docx", "A 27573-2025")</f>
        <v/>
      </c>
      <c r="X213">
        <f>HYPERLINK("https://klasma.github.io/Logging_2303/tillsyn/A 27573-2025 tillsynsbegäran.docx", "A 27573-2025")</f>
        <v/>
      </c>
      <c r="Y213">
        <f>HYPERLINK("https://klasma.github.io/Logging_2303/tillsynsmail/A 27573-2025 tillsynsbegäran mail.docx", "A 27573-2025")</f>
        <v/>
      </c>
    </row>
    <row r="214" ht="15" customHeight="1">
      <c r="A214" t="inlineStr">
        <is>
          <t>A 30390-2025</t>
        </is>
      </c>
      <c r="B214" s="1" t="n">
        <v>45827.57371527778</v>
      </c>
      <c r="C214" s="1" t="n">
        <v>45991</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22054-2025</t>
        </is>
      </c>
      <c r="B215" s="1" t="n">
        <v>45785.36525462963</v>
      </c>
      <c r="C215" s="1" t="n">
        <v>45991</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978-2024</t>
        </is>
      </c>
      <c r="B216" s="1" t="n">
        <v>45301</v>
      </c>
      <c r="C216" s="1" t="n">
        <v>45991</v>
      </c>
      <c r="D216" t="inlineStr">
        <is>
          <t>JÄMTLANDS LÄN</t>
        </is>
      </c>
      <c r="E216" t="inlineStr">
        <is>
          <t>RAGUNDA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978-2024 artfynd.xlsx", "A 978-2024")</f>
        <v/>
      </c>
      <c r="T216">
        <f>HYPERLINK("https://klasma.github.io/Logging_2303/kartor/A 978-2024 karta.png", "A 978-2024")</f>
        <v/>
      </c>
      <c r="V216">
        <f>HYPERLINK("https://klasma.github.io/Logging_2303/klagomål/A 978-2024 FSC-klagomål.docx", "A 978-2024")</f>
        <v/>
      </c>
      <c r="W216">
        <f>HYPERLINK("https://klasma.github.io/Logging_2303/klagomålsmail/A 978-2024 FSC-klagomål mail.docx", "A 978-2024")</f>
        <v/>
      </c>
      <c r="X216">
        <f>HYPERLINK("https://klasma.github.io/Logging_2303/tillsyn/A 978-2024 tillsynsbegäran.docx", "A 978-2024")</f>
        <v/>
      </c>
      <c r="Y216">
        <f>HYPERLINK("https://klasma.github.io/Logging_2303/tillsynsmail/A 978-2024 tillsynsbegäran mail.docx", "A 978-2024")</f>
        <v/>
      </c>
      <c r="Z216">
        <f>HYPERLINK("https://klasma.github.io/Logging_2303/fåglar/A 978-2024 prioriterade fågelarter.docx", "A 978-2024")</f>
        <v/>
      </c>
    </row>
    <row r="217" ht="15" customHeight="1">
      <c r="A217" t="inlineStr">
        <is>
          <t>A 1057-2024</t>
        </is>
      </c>
      <c r="B217" s="1" t="n">
        <v>45301</v>
      </c>
      <c r="C217" s="1" t="n">
        <v>45991</v>
      </c>
      <c r="D217" t="inlineStr">
        <is>
          <t>JÄMTLANDS LÄN</t>
        </is>
      </c>
      <c r="E217" t="inlineStr">
        <is>
          <t>RAGUNDA</t>
        </is>
      </c>
      <c r="F217" t="inlineStr">
        <is>
          <t>SCA</t>
        </is>
      </c>
      <c r="G217" t="n">
        <v>6.8</v>
      </c>
      <c r="H217" t="n">
        <v>0</v>
      </c>
      <c r="I217" t="n">
        <v>1</v>
      </c>
      <c r="J217" t="n">
        <v>0</v>
      </c>
      <c r="K217" t="n">
        <v>0</v>
      </c>
      <c r="L217" t="n">
        <v>0</v>
      </c>
      <c r="M217" t="n">
        <v>0</v>
      </c>
      <c r="N217" t="n">
        <v>0</v>
      </c>
      <c r="O217" t="n">
        <v>0</v>
      </c>
      <c r="P217" t="n">
        <v>0</v>
      </c>
      <c r="Q217" t="n">
        <v>1</v>
      </c>
      <c r="R217" s="2" t="inlineStr">
        <is>
          <t>Stor aspticka</t>
        </is>
      </c>
      <c r="S217">
        <f>HYPERLINK("https://klasma.github.io/Logging_2303/artfynd/A 1057-2024 artfynd.xlsx", "A 1057-2024")</f>
        <v/>
      </c>
      <c r="T217">
        <f>HYPERLINK("https://klasma.github.io/Logging_2303/kartor/A 1057-2024 karta.png", "A 1057-2024")</f>
        <v/>
      </c>
      <c r="V217">
        <f>HYPERLINK("https://klasma.github.io/Logging_2303/klagomål/A 1057-2024 FSC-klagomål.docx", "A 1057-2024")</f>
        <v/>
      </c>
      <c r="W217">
        <f>HYPERLINK("https://klasma.github.io/Logging_2303/klagomålsmail/A 1057-2024 FSC-klagomål mail.docx", "A 1057-2024")</f>
        <v/>
      </c>
      <c r="X217">
        <f>HYPERLINK("https://klasma.github.io/Logging_2303/tillsyn/A 1057-2024 tillsynsbegäran.docx", "A 1057-2024")</f>
        <v/>
      </c>
      <c r="Y217">
        <f>HYPERLINK("https://klasma.github.io/Logging_2303/tillsynsmail/A 1057-2024 tillsynsbegäran mail.docx", "A 1057-2024")</f>
        <v/>
      </c>
    </row>
    <row r="218" ht="15" customHeight="1">
      <c r="A218" t="inlineStr">
        <is>
          <t>A 51912-2025</t>
        </is>
      </c>
      <c r="B218" s="1" t="n">
        <v>45952.46939814815</v>
      </c>
      <c r="C218" s="1" t="n">
        <v>45991</v>
      </c>
      <c r="D218" t="inlineStr">
        <is>
          <t>JÄMTLANDS LÄN</t>
        </is>
      </c>
      <c r="E218" t="inlineStr">
        <is>
          <t>RAGUNDA</t>
        </is>
      </c>
      <c r="F218" t="inlineStr">
        <is>
          <t>SCA</t>
        </is>
      </c>
      <c r="G218" t="n">
        <v>24.2</v>
      </c>
      <c r="H218" t="n">
        <v>1</v>
      </c>
      <c r="I218" t="n">
        <v>0</v>
      </c>
      <c r="J218" t="n">
        <v>0</v>
      </c>
      <c r="K218" t="n">
        <v>1</v>
      </c>
      <c r="L218" t="n">
        <v>0</v>
      </c>
      <c r="M218" t="n">
        <v>0</v>
      </c>
      <c r="N218" t="n">
        <v>0</v>
      </c>
      <c r="O218" t="n">
        <v>1</v>
      </c>
      <c r="P218" t="n">
        <v>1</v>
      </c>
      <c r="Q218" t="n">
        <v>1</v>
      </c>
      <c r="R218" s="2" t="inlineStr">
        <is>
          <t>Norna</t>
        </is>
      </c>
      <c r="S218">
        <f>HYPERLINK("https://klasma.github.io/Logging_2303/artfynd/A 51912-2025 artfynd.xlsx", "A 51912-2025")</f>
        <v/>
      </c>
      <c r="T218">
        <f>HYPERLINK("https://klasma.github.io/Logging_2303/kartor/A 51912-2025 karta.png", "A 51912-2025")</f>
        <v/>
      </c>
      <c r="V218">
        <f>HYPERLINK("https://klasma.github.io/Logging_2303/klagomål/A 51912-2025 FSC-klagomål.docx", "A 51912-2025")</f>
        <v/>
      </c>
      <c r="W218">
        <f>HYPERLINK("https://klasma.github.io/Logging_2303/klagomålsmail/A 51912-2025 FSC-klagomål mail.docx", "A 51912-2025")</f>
        <v/>
      </c>
      <c r="X218">
        <f>HYPERLINK("https://klasma.github.io/Logging_2303/tillsyn/A 51912-2025 tillsynsbegäran.docx", "A 51912-2025")</f>
        <v/>
      </c>
      <c r="Y218">
        <f>HYPERLINK("https://klasma.github.io/Logging_2303/tillsynsmail/A 51912-2025 tillsynsbegäran mail.docx", "A 51912-2025")</f>
        <v/>
      </c>
    </row>
    <row r="219" ht="15" customHeight="1">
      <c r="A219" t="inlineStr">
        <is>
          <t>A 43526-2025</t>
        </is>
      </c>
      <c r="B219" s="1" t="n">
        <v>45911</v>
      </c>
      <c r="C219" s="1" t="n">
        <v>45991</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32445-2025</t>
        </is>
      </c>
      <c r="B220" s="1" t="n">
        <v>45838.38627314815</v>
      </c>
      <c r="C220" s="1" t="n">
        <v>45991</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31773-2021</t>
        </is>
      </c>
      <c r="B221" s="1" t="n">
        <v>44369</v>
      </c>
      <c r="C221" s="1" t="n">
        <v>45991</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34474-2025</t>
        </is>
      </c>
      <c r="B222" s="1" t="n">
        <v>45847.36528935185</v>
      </c>
      <c r="C222" s="1" t="n">
        <v>45991</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26317-2024</t>
        </is>
      </c>
      <c r="B223" s="1" t="n">
        <v>45468</v>
      </c>
      <c r="C223" s="1" t="n">
        <v>45991</v>
      </c>
      <c r="D223" t="inlineStr">
        <is>
          <t>JÄMTLANDS LÄN</t>
        </is>
      </c>
      <c r="E223" t="inlineStr">
        <is>
          <t>RAGUNDA</t>
        </is>
      </c>
      <c r="F223" t="inlineStr">
        <is>
          <t>SCA</t>
        </is>
      </c>
      <c r="G223" t="n">
        <v>3.8</v>
      </c>
      <c r="H223" t="n">
        <v>0</v>
      </c>
      <c r="I223" t="n">
        <v>0</v>
      </c>
      <c r="J223" t="n">
        <v>1</v>
      </c>
      <c r="K223" t="n">
        <v>0</v>
      </c>
      <c r="L223" t="n">
        <v>0</v>
      </c>
      <c r="M223" t="n">
        <v>0</v>
      </c>
      <c r="N223" t="n">
        <v>0</v>
      </c>
      <c r="O223" t="n">
        <v>1</v>
      </c>
      <c r="P223" t="n">
        <v>0</v>
      </c>
      <c r="Q223" t="n">
        <v>1</v>
      </c>
      <c r="R223" s="2" t="inlineStr">
        <is>
          <t>Kortskaftad ärgspik</t>
        </is>
      </c>
      <c r="S223">
        <f>HYPERLINK("https://klasma.github.io/Logging_2303/artfynd/A 26317-2024 artfynd.xlsx", "A 26317-2024")</f>
        <v/>
      </c>
      <c r="T223">
        <f>HYPERLINK("https://klasma.github.io/Logging_2303/kartor/A 26317-2024 karta.png", "A 26317-2024")</f>
        <v/>
      </c>
      <c r="V223">
        <f>HYPERLINK("https://klasma.github.io/Logging_2303/klagomål/A 26317-2024 FSC-klagomål.docx", "A 26317-2024")</f>
        <v/>
      </c>
      <c r="W223">
        <f>HYPERLINK("https://klasma.github.io/Logging_2303/klagomålsmail/A 26317-2024 FSC-klagomål mail.docx", "A 26317-2024")</f>
        <v/>
      </c>
      <c r="X223">
        <f>HYPERLINK("https://klasma.github.io/Logging_2303/tillsyn/A 26317-2024 tillsynsbegäran.docx", "A 26317-2024")</f>
        <v/>
      </c>
      <c r="Y223">
        <f>HYPERLINK("https://klasma.github.io/Logging_2303/tillsynsmail/A 26317-2024 tillsynsbegäran mail.docx", "A 26317-2024")</f>
        <v/>
      </c>
    </row>
    <row r="224" ht="15" customHeight="1">
      <c r="A224" t="inlineStr">
        <is>
          <t>A 49091-2022</t>
        </is>
      </c>
      <c r="B224" s="1" t="n">
        <v>44860</v>
      </c>
      <c r="C224" s="1" t="n">
        <v>45991</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50164-2023</t>
        </is>
      </c>
      <c r="B225" s="1" t="n">
        <v>45208</v>
      </c>
      <c r="C225" s="1" t="n">
        <v>45991</v>
      </c>
      <c r="D225" t="inlineStr">
        <is>
          <t>JÄMTLANDS LÄN</t>
        </is>
      </c>
      <c r="E225" t="inlineStr">
        <is>
          <t>RAGUNDA</t>
        </is>
      </c>
      <c r="G225" t="n">
        <v>2.9</v>
      </c>
      <c r="H225" t="n">
        <v>0</v>
      </c>
      <c r="I225" t="n">
        <v>0</v>
      </c>
      <c r="J225" t="n">
        <v>0</v>
      </c>
      <c r="K225" t="n">
        <v>1</v>
      </c>
      <c r="L225" t="n">
        <v>0</v>
      </c>
      <c r="M225" t="n">
        <v>0</v>
      </c>
      <c r="N225" t="n">
        <v>0</v>
      </c>
      <c r="O225" t="n">
        <v>1</v>
      </c>
      <c r="P225" t="n">
        <v>1</v>
      </c>
      <c r="Q225" t="n">
        <v>1</v>
      </c>
      <c r="R225" s="2" t="inlineStr">
        <is>
          <t>Mindre barkplattbagge</t>
        </is>
      </c>
      <c r="S225">
        <f>HYPERLINK("https://klasma.github.io/Logging_2303/artfynd/A 50164-2023 artfynd.xlsx", "A 50164-2023")</f>
        <v/>
      </c>
      <c r="T225">
        <f>HYPERLINK("https://klasma.github.io/Logging_2303/kartor/A 50164-2023 karta.png", "A 50164-2023")</f>
        <v/>
      </c>
      <c r="V225">
        <f>HYPERLINK("https://klasma.github.io/Logging_2303/klagomål/A 50164-2023 FSC-klagomål.docx", "A 50164-2023")</f>
        <v/>
      </c>
      <c r="W225">
        <f>HYPERLINK("https://klasma.github.io/Logging_2303/klagomålsmail/A 50164-2023 FSC-klagomål mail.docx", "A 50164-2023")</f>
        <v/>
      </c>
      <c r="X225">
        <f>HYPERLINK("https://klasma.github.io/Logging_2303/tillsyn/A 50164-2023 tillsynsbegäran.docx", "A 50164-2023")</f>
        <v/>
      </c>
      <c r="Y225">
        <f>HYPERLINK("https://klasma.github.io/Logging_2303/tillsynsmail/A 50164-2023 tillsynsbegäran mail.docx", "A 50164-2023")</f>
        <v/>
      </c>
    </row>
    <row r="226" ht="15" customHeight="1">
      <c r="A226" t="inlineStr">
        <is>
          <t>A 48429-2023</t>
        </is>
      </c>
      <c r="B226" s="1" t="n">
        <v>45205</v>
      </c>
      <c r="C226" s="1" t="n">
        <v>45991</v>
      </c>
      <c r="D226" t="inlineStr">
        <is>
          <t>JÄMTLANDS LÄN</t>
        </is>
      </c>
      <c r="E226" t="inlineStr">
        <is>
          <t>RAGUNDA</t>
        </is>
      </c>
      <c r="F226" t="inlineStr">
        <is>
          <t>SCA</t>
        </is>
      </c>
      <c r="G226" t="n">
        <v>1.8</v>
      </c>
      <c r="H226" t="n">
        <v>0</v>
      </c>
      <c r="I226" t="n">
        <v>1</v>
      </c>
      <c r="J226" t="n">
        <v>0</v>
      </c>
      <c r="K226" t="n">
        <v>0</v>
      </c>
      <c r="L226" t="n">
        <v>0</v>
      </c>
      <c r="M226" t="n">
        <v>0</v>
      </c>
      <c r="N226" t="n">
        <v>0</v>
      </c>
      <c r="O226" t="n">
        <v>0</v>
      </c>
      <c r="P226" t="n">
        <v>0</v>
      </c>
      <c r="Q226" t="n">
        <v>1</v>
      </c>
      <c r="R226" s="2" t="inlineStr">
        <is>
          <t>Dropptaggsvamp</t>
        </is>
      </c>
      <c r="S226">
        <f>HYPERLINK("https://klasma.github.io/Logging_2303/artfynd/A 48429-2023 artfynd.xlsx", "A 48429-2023")</f>
        <v/>
      </c>
      <c r="T226">
        <f>HYPERLINK("https://klasma.github.io/Logging_2303/kartor/A 48429-2023 karta.png", "A 48429-2023")</f>
        <v/>
      </c>
      <c r="V226">
        <f>HYPERLINK("https://klasma.github.io/Logging_2303/klagomål/A 48429-2023 FSC-klagomål.docx", "A 48429-2023")</f>
        <v/>
      </c>
      <c r="W226">
        <f>HYPERLINK("https://klasma.github.io/Logging_2303/klagomålsmail/A 48429-2023 FSC-klagomål mail.docx", "A 48429-2023")</f>
        <v/>
      </c>
      <c r="X226">
        <f>HYPERLINK("https://klasma.github.io/Logging_2303/tillsyn/A 48429-2023 tillsynsbegäran.docx", "A 48429-2023")</f>
        <v/>
      </c>
      <c r="Y226">
        <f>HYPERLINK("https://klasma.github.io/Logging_2303/tillsynsmail/A 48429-2023 tillsynsbegäran mail.docx", "A 48429-2023")</f>
        <v/>
      </c>
    </row>
    <row r="227" ht="15" customHeight="1">
      <c r="A227" t="inlineStr">
        <is>
          <t>A 55756-2025</t>
        </is>
      </c>
      <c r="B227" s="1" t="n">
        <v>45972.59438657408</v>
      </c>
      <c r="C227" s="1" t="n">
        <v>45991</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56599-2025</t>
        </is>
      </c>
      <c r="B228" s="1" t="n">
        <v>45975.5734837963</v>
      </c>
      <c r="C228" s="1" t="n">
        <v>45991</v>
      </c>
      <c r="D228" t="inlineStr">
        <is>
          <t>JÄMTLANDS LÄN</t>
        </is>
      </c>
      <c r="E228" t="inlineStr">
        <is>
          <t>RAGUNDA</t>
        </is>
      </c>
      <c r="F228" t="inlineStr">
        <is>
          <t>SCA</t>
        </is>
      </c>
      <c r="G228" t="n">
        <v>2.4</v>
      </c>
      <c r="H228" t="n">
        <v>0</v>
      </c>
      <c r="I228" t="n">
        <v>0</v>
      </c>
      <c r="J228" t="n">
        <v>1</v>
      </c>
      <c r="K228" t="n">
        <v>0</v>
      </c>
      <c r="L228" t="n">
        <v>0</v>
      </c>
      <c r="M228" t="n">
        <v>0</v>
      </c>
      <c r="N228" t="n">
        <v>0</v>
      </c>
      <c r="O228" t="n">
        <v>1</v>
      </c>
      <c r="P228" t="n">
        <v>0</v>
      </c>
      <c r="Q228" t="n">
        <v>1</v>
      </c>
      <c r="R228" s="2" t="inlineStr">
        <is>
          <t>Lunglav</t>
        </is>
      </c>
      <c r="S228">
        <f>HYPERLINK("https://klasma.github.io/Logging_2303/artfynd/A 56599-2025 artfynd.xlsx", "A 56599-2025")</f>
        <v/>
      </c>
      <c r="T228">
        <f>HYPERLINK("https://klasma.github.io/Logging_2303/kartor/A 56599-2025 karta.png", "A 56599-2025")</f>
        <v/>
      </c>
      <c r="V228">
        <f>HYPERLINK("https://klasma.github.io/Logging_2303/klagomål/A 56599-2025 FSC-klagomål.docx", "A 56599-2025")</f>
        <v/>
      </c>
      <c r="W228">
        <f>HYPERLINK("https://klasma.github.io/Logging_2303/klagomålsmail/A 56599-2025 FSC-klagomål mail.docx", "A 56599-2025")</f>
        <v/>
      </c>
      <c r="X228">
        <f>HYPERLINK("https://klasma.github.io/Logging_2303/tillsyn/A 56599-2025 tillsynsbegäran.docx", "A 56599-2025")</f>
        <v/>
      </c>
      <c r="Y228">
        <f>HYPERLINK("https://klasma.github.io/Logging_2303/tillsynsmail/A 56599-2025 tillsynsbegäran mail.docx", "A 56599-2025")</f>
        <v/>
      </c>
    </row>
    <row r="229" ht="15" customHeight="1">
      <c r="A229" t="inlineStr">
        <is>
          <t>A 17340-2023</t>
        </is>
      </c>
      <c r="B229" s="1" t="n">
        <v>45033</v>
      </c>
      <c r="C229" s="1" t="n">
        <v>45991</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57253-2025</t>
        </is>
      </c>
      <c r="B230" s="1" t="n">
        <v>45979.64381944444</v>
      </c>
      <c r="C230" s="1" t="n">
        <v>45991</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45991</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26322-2024</t>
        </is>
      </c>
      <c r="B232" s="1" t="n">
        <v>45468.97461805555</v>
      </c>
      <c r="C232" s="1" t="n">
        <v>45991</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57478-2025</t>
        </is>
      </c>
      <c r="B233" s="1" t="n">
        <v>45980.57349537037</v>
      </c>
      <c r="C233" s="1" t="n">
        <v>45991</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49053-2025</t>
        </is>
      </c>
      <c r="B234" s="1" t="n">
        <v>45937.64009259259</v>
      </c>
      <c r="C234" s="1" t="n">
        <v>45991</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48477-2023</t>
        </is>
      </c>
      <c r="B235" s="1" t="n">
        <v>45206</v>
      </c>
      <c r="C235" s="1" t="n">
        <v>45991</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16724-2025</t>
        </is>
      </c>
      <c r="B236" s="1" t="n">
        <v>45754.51064814815</v>
      </c>
      <c r="C236" s="1" t="n">
        <v>45991</v>
      </c>
      <c r="D236" t="inlineStr">
        <is>
          <t>JÄMTLANDS LÄN</t>
        </is>
      </c>
      <c r="E236" t="inlineStr">
        <is>
          <t>RAGUNDA</t>
        </is>
      </c>
      <c r="G236" t="n">
        <v>3.5</v>
      </c>
      <c r="H236" t="n">
        <v>0</v>
      </c>
      <c r="I236" t="n">
        <v>0</v>
      </c>
      <c r="J236" t="n">
        <v>1</v>
      </c>
      <c r="K236" t="n">
        <v>0</v>
      </c>
      <c r="L236" t="n">
        <v>0</v>
      </c>
      <c r="M236" t="n">
        <v>0</v>
      </c>
      <c r="N236" t="n">
        <v>0</v>
      </c>
      <c r="O236" t="n">
        <v>1</v>
      </c>
      <c r="P236" t="n">
        <v>0</v>
      </c>
      <c r="Q236" t="n">
        <v>1</v>
      </c>
      <c r="R236" s="2" t="inlineStr">
        <is>
          <t>Kolflarnlav</t>
        </is>
      </c>
      <c r="S236">
        <f>HYPERLINK("https://klasma.github.io/Logging_2303/artfynd/A 16724-2025 artfynd.xlsx", "A 16724-2025")</f>
        <v/>
      </c>
      <c r="T236">
        <f>HYPERLINK("https://klasma.github.io/Logging_2303/kartor/A 16724-2025 karta.png", "A 16724-2025")</f>
        <v/>
      </c>
      <c r="V236">
        <f>HYPERLINK("https://klasma.github.io/Logging_2303/klagomål/A 16724-2025 FSC-klagomål.docx", "A 16724-2025")</f>
        <v/>
      </c>
      <c r="W236">
        <f>HYPERLINK("https://klasma.github.io/Logging_2303/klagomålsmail/A 16724-2025 FSC-klagomål mail.docx", "A 16724-2025")</f>
        <v/>
      </c>
      <c r="X236">
        <f>HYPERLINK("https://klasma.github.io/Logging_2303/tillsyn/A 16724-2025 tillsynsbegäran.docx", "A 16724-2025")</f>
        <v/>
      </c>
      <c r="Y236">
        <f>HYPERLINK("https://klasma.github.io/Logging_2303/tillsynsmail/A 16724-2025 tillsynsbegäran mail.docx", "A 16724-2025")</f>
        <v/>
      </c>
    </row>
    <row r="237" ht="15" customHeight="1">
      <c r="A237" t="inlineStr">
        <is>
          <t>A 49770-2024</t>
        </is>
      </c>
      <c r="B237" s="1" t="n">
        <v>45597.34461805555</v>
      </c>
      <c r="C237" s="1" t="n">
        <v>45991</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59107-2025</t>
        </is>
      </c>
      <c r="B238" s="1" t="n">
        <v>45988.46924768519</v>
      </c>
      <c r="C238" s="1" t="n">
        <v>45991</v>
      </c>
      <c r="D238" t="inlineStr">
        <is>
          <t>JÄMTLANDS LÄN</t>
        </is>
      </c>
      <c r="E238" t="inlineStr">
        <is>
          <t>RAGUNDA</t>
        </is>
      </c>
      <c r="F238" t="inlineStr">
        <is>
          <t>SCA</t>
        </is>
      </c>
      <c r="G238" t="n">
        <v>22.6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59107-2025 artfynd.xlsx", "A 59107-2025")</f>
        <v/>
      </c>
      <c r="T238">
        <f>HYPERLINK("https://klasma.github.io/Logging_2303/kartor/A 59107-2025 karta.png", "A 59107-2025")</f>
        <v/>
      </c>
      <c r="V238">
        <f>HYPERLINK("https://klasma.github.io/Logging_2303/klagomål/A 59107-2025 FSC-klagomål.docx", "A 59107-2025")</f>
        <v/>
      </c>
      <c r="W238">
        <f>HYPERLINK("https://klasma.github.io/Logging_2303/klagomålsmail/A 59107-2025 FSC-klagomål mail.docx", "A 59107-2025")</f>
        <v/>
      </c>
      <c r="X238">
        <f>HYPERLINK("https://klasma.github.io/Logging_2303/tillsyn/A 59107-2025 tillsynsbegäran.docx", "A 59107-2025")</f>
        <v/>
      </c>
      <c r="Y238">
        <f>HYPERLINK("https://klasma.github.io/Logging_2303/tillsynsmail/A 59107-2025 tillsynsbegäran mail.docx", "A 59107-2025")</f>
        <v/>
      </c>
      <c r="Z238">
        <f>HYPERLINK("https://klasma.github.io/Logging_2303/fåglar/A 59107-2025 prioriterade fågelarter.docx", "A 59107-2025")</f>
        <v/>
      </c>
    </row>
    <row r="239" ht="15" customHeight="1">
      <c r="A239" t="inlineStr">
        <is>
          <t>A 61324-2024</t>
        </is>
      </c>
      <c r="B239" s="1" t="n">
        <v>45646.34438657408</v>
      </c>
      <c r="C239" s="1" t="n">
        <v>45991</v>
      </c>
      <c r="D239" t="inlineStr">
        <is>
          <t>JÄMTLANDS LÄN</t>
        </is>
      </c>
      <c r="E239" t="inlineStr">
        <is>
          <t>RAGUNDA</t>
        </is>
      </c>
      <c r="F239" t="inlineStr">
        <is>
          <t>SCA</t>
        </is>
      </c>
      <c r="G239" t="n">
        <v>11.2</v>
      </c>
      <c r="H239" t="n">
        <v>1</v>
      </c>
      <c r="I239" t="n">
        <v>0</v>
      </c>
      <c r="J239" t="n">
        <v>0</v>
      </c>
      <c r="K239" t="n">
        <v>0</v>
      </c>
      <c r="L239" t="n">
        <v>0</v>
      </c>
      <c r="M239" t="n">
        <v>0</v>
      </c>
      <c r="N239" t="n">
        <v>0</v>
      </c>
      <c r="O239" t="n">
        <v>0</v>
      </c>
      <c r="P239" t="n">
        <v>0</v>
      </c>
      <c r="Q239" t="n">
        <v>1</v>
      </c>
      <c r="R239" s="2" t="inlineStr">
        <is>
          <t>Trana</t>
        </is>
      </c>
      <c r="S239">
        <f>HYPERLINK("https://klasma.github.io/Logging_2303/artfynd/A 61324-2024 artfynd.xlsx", "A 61324-2024")</f>
        <v/>
      </c>
      <c r="T239">
        <f>HYPERLINK("https://klasma.github.io/Logging_2303/kartor/A 61324-2024 karta.png", "A 61324-2024")</f>
        <v/>
      </c>
      <c r="V239">
        <f>HYPERLINK("https://klasma.github.io/Logging_2303/klagomål/A 61324-2024 FSC-klagomål.docx", "A 61324-2024")</f>
        <v/>
      </c>
      <c r="W239">
        <f>HYPERLINK("https://klasma.github.io/Logging_2303/klagomålsmail/A 61324-2024 FSC-klagomål mail.docx", "A 61324-2024")</f>
        <v/>
      </c>
      <c r="X239">
        <f>HYPERLINK("https://klasma.github.io/Logging_2303/tillsyn/A 61324-2024 tillsynsbegäran.docx", "A 61324-2024")</f>
        <v/>
      </c>
      <c r="Y239">
        <f>HYPERLINK("https://klasma.github.io/Logging_2303/tillsynsmail/A 61324-2024 tillsynsbegäran mail.docx", "A 61324-2024")</f>
        <v/>
      </c>
      <c r="Z239">
        <f>HYPERLINK("https://klasma.github.io/Logging_2303/fåglar/A 61324-2024 prioriterade fågelarter.docx", "A 61324-2024")</f>
        <v/>
      </c>
    </row>
    <row r="240" ht="15" customHeight="1">
      <c r="A240" t="inlineStr">
        <is>
          <t>A 32069-2024</t>
        </is>
      </c>
      <c r="B240" s="1" t="n">
        <v>45510</v>
      </c>
      <c r="C240" s="1" t="n">
        <v>45991</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19751-2025</t>
        </is>
      </c>
      <c r="B241" s="1" t="n">
        <v>45771.3859837963</v>
      </c>
      <c r="C241" s="1" t="n">
        <v>45991</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19387-2025</t>
        </is>
      </c>
      <c r="B242" s="1" t="n">
        <v>45769.65736111111</v>
      </c>
      <c r="C242" s="1" t="n">
        <v>45991</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45991</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58846-2024</t>
        </is>
      </c>
      <c r="B244" s="1" t="n">
        <v>45636.3863425926</v>
      </c>
      <c r="C244" s="1" t="n">
        <v>45991</v>
      </c>
      <c r="D244" t="inlineStr">
        <is>
          <t>JÄMTLANDS LÄN</t>
        </is>
      </c>
      <c r="E244" t="inlineStr">
        <is>
          <t>RAGUNDA</t>
        </is>
      </c>
      <c r="F244" t="inlineStr">
        <is>
          <t>SCA</t>
        </is>
      </c>
      <c r="G244" t="n">
        <v>1.5</v>
      </c>
      <c r="H244" t="n">
        <v>0</v>
      </c>
      <c r="I244" t="n">
        <v>0</v>
      </c>
      <c r="J244" t="n">
        <v>0</v>
      </c>
      <c r="K244" t="n">
        <v>1</v>
      </c>
      <c r="L244" t="n">
        <v>0</v>
      </c>
      <c r="M244" t="n">
        <v>0</v>
      </c>
      <c r="N244" t="n">
        <v>0</v>
      </c>
      <c r="O244" t="n">
        <v>1</v>
      </c>
      <c r="P244" t="n">
        <v>1</v>
      </c>
      <c r="Q244" t="n">
        <v>1</v>
      </c>
      <c r="R244" s="2" t="inlineStr">
        <is>
          <t>Rynkskinn</t>
        </is>
      </c>
      <c r="S244">
        <f>HYPERLINK("https://klasma.github.io/Logging_2303/artfynd/A 58846-2024 artfynd.xlsx", "A 58846-2024")</f>
        <v/>
      </c>
      <c r="T244">
        <f>HYPERLINK("https://klasma.github.io/Logging_2303/kartor/A 58846-2024 karta.png", "A 58846-2024")</f>
        <v/>
      </c>
      <c r="V244">
        <f>HYPERLINK("https://klasma.github.io/Logging_2303/klagomål/A 58846-2024 FSC-klagomål.docx", "A 58846-2024")</f>
        <v/>
      </c>
      <c r="W244">
        <f>HYPERLINK("https://klasma.github.io/Logging_2303/klagomålsmail/A 58846-2024 FSC-klagomål mail.docx", "A 58846-2024")</f>
        <v/>
      </c>
      <c r="X244">
        <f>HYPERLINK("https://klasma.github.io/Logging_2303/tillsyn/A 58846-2024 tillsynsbegäran.docx", "A 58846-2024")</f>
        <v/>
      </c>
      <c r="Y244">
        <f>HYPERLINK("https://klasma.github.io/Logging_2303/tillsynsmail/A 58846-2024 tillsynsbegäran mail.docx", "A 58846-2024")</f>
        <v/>
      </c>
    </row>
    <row r="245" ht="15" customHeight="1">
      <c r="A245" t="inlineStr">
        <is>
          <t>A 36854-2023</t>
        </is>
      </c>
      <c r="B245" s="1" t="n">
        <v>45153</v>
      </c>
      <c r="C245" s="1" t="n">
        <v>45991</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18985-2023</t>
        </is>
      </c>
      <c r="B246" s="1" t="n">
        <v>45044</v>
      </c>
      <c r="C246" s="1" t="n">
        <v>45991</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30485-2024</t>
        </is>
      </c>
      <c r="B247" s="1" t="n">
        <v>45491.95008101852</v>
      </c>
      <c r="C247" s="1" t="n">
        <v>45991</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35750-2023</t>
        </is>
      </c>
      <c r="B248" s="1" t="n">
        <v>45147</v>
      </c>
      <c r="C248" s="1" t="n">
        <v>45991</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62072-2023</t>
        </is>
      </c>
      <c r="B249" s="1" t="n">
        <v>45266</v>
      </c>
      <c r="C249" s="1" t="n">
        <v>45991</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20774-2024</t>
        </is>
      </c>
      <c r="B250" s="1" t="n">
        <v>45436.94644675926</v>
      </c>
      <c r="C250" s="1" t="n">
        <v>45991</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33432-2023</t>
        </is>
      </c>
      <c r="B251" s="1" t="n">
        <v>45128</v>
      </c>
      <c r="C251" s="1" t="n">
        <v>45991</v>
      </c>
      <c r="D251" t="inlineStr">
        <is>
          <t>JÄMTLANDS LÄN</t>
        </is>
      </c>
      <c r="E251" t="inlineStr">
        <is>
          <t>RAGUNDA</t>
        </is>
      </c>
      <c r="F251" t="inlineStr">
        <is>
          <t>SCA</t>
        </is>
      </c>
      <c r="G251" t="n">
        <v>10</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33432-2023 artfynd.xlsx", "A 33432-2023")</f>
        <v/>
      </c>
      <c r="T251">
        <f>HYPERLINK("https://klasma.github.io/Logging_2303/kartor/A 33432-2023 karta.png", "A 33432-2023")</f>
        <v/>
      </c>
      <c r="V251">
        <f>HYPERLINK("https://klasma.github.io/Logging_2303/klagomål/A 33432-2023 FSC-klagomål.docx", "A 33432-2023")</f>
        <v/>
      </c>
      <c r="W251">
        <f>HYPERLINK("https://klasma.github.io/Logging_2303/klagomålsmail/A 33432-2023 FSC-klagomål mail.docx", "A 33432-2023")</f>
        <v/>
      </c>
      <c r="X251">
        <f>HYPERLINK("https://klasma.github.io/Logging_2303/tillsyn/A 33432-2023 tillsynsbegäran.docx", "A 33432-2023")</f>
        <v/>
      </c>
      <c r="Y251">
        <f>HYPERLINK("https://klasma.github.io/Logging_2303/tillsynsmail/A 33432-2023 tillsynsbegäran mail.docx", "A 33432-2023")</f>
        <v/>
      </c>
      <c r="Z251">
        <f>HYPERLINK("https://klasma.github.io/Logging_2303/fåglar/A 33432-2023 prioriterade fågelarter.docx", "A 33432-2023")</f>
        <v/>
      </c>
    </row>
    <row r="252" ht="15" customHeight="1">
      <c r="A252" t="inlineStr">
        <is>
          <t>A 36757-2023</t>
        </is>
      </c>
      <c r="B252" s="1" t="n">
        <v>45153</v>
      </c>
      <c r="C252" s="1" t="n">
        <v>45991</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45991</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45991</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69618-2020</t>
        </is>
      </c>
      <c r="B255" s="1" t="n">
        <v>44195</v>
      </c>
      <c r="C255" s="1" t="n">
        <v>45991</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45991</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45991</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45991</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45991</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45991</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45991</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45991</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45991</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45991</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45991</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45991</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45991</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45991</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45991</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45991</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45991</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45991</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45991</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45991</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45991</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45991</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45991</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45991</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45991</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45991</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45991</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45991</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45991</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45991</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45991</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45991</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45991</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45991</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45991</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45991</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45991</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45991</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45991</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45991</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45991</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69481-2020</t>
        </is>
      </c>
      <c r="B296" s="1" t="n">
        <v>44194</v>
      </c>
      <c r="C296" s="1" t="n">
        <v>45991</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45991</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45991</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45991</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45991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45991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45991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45991</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45991</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45991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45991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45991</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45991</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45991</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45991</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45991</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45991</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45991</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45991</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45991</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45991</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45991</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45991</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45991</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45991</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45991</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45991</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45991</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45991</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45991</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45991</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45991</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45991</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45991</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45991</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45991</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45991</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45991</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45991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45991</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45991</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45991</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45991</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45991</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45991</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45991</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45991</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45991</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45991</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45991</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45991</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45991</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45991</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45991</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45991</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45991</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45991</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45991</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45991</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45991</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45991</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45991</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45991</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45991</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45991</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45991</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45991</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45991</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45991</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45991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45991</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45991</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45991</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45991</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45991</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45991</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45991</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45991</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45991</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45991</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45991</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45991</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45991</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45991</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45991</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45991</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45991</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45991</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45991</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45991</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45991</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45991</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45991</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45991</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26948-2021</t>
        </is>
      </c>
      <c r="B392" s="1" t="n">
        <v>44349.92013888889</v>
      </c>
      <c r="C392" s="1" t="n">
        <v>45991</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45991</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45991</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45991</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45991</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45991</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45991</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45991</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45991</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45991</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45991</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45991</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45991</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45991</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45991</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45991</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45991</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58537-2022</t>
        </is>
      </c>
      <c r="B409" s="1" t="n">
        <v>44894</v>
      </c>
      <c r="C409" s="1" t="n">
        <v>45991</v>
      </c>
      <c r="D409" t="inlineStr">
        <is>
          <t>JÄMTLANDS LÄN</t>
        </is>
      </c>
      <c r="E409" t="inlineStr">
        <is>
          <t>RAGUNDA</t>
        </is>
      </c>
      <c r="G409" t="n">
        <v>1.2</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45991</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45991</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45991</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35153-2024</t>
        </is>
      </c>
      <c r="B413" s="1" t="n">
        <v>45530</v>
      </c>
      <c r="C413" s="1" t="n">
        <v>45991</v>
      </c>
      <c r="D413" t="inlineStr">
        <is>
          <t>JÄMTLANDS LÄN</t>
        </is>
      </c>
      <c r="E413" t="inlineStr">
        <is>
          <t>RAGUNDA</t>
        </is>
      </c>
      <c r="G413" t="n">
        <v>2.7</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45991</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45991</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45991</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52148-2024</t>
        </is>
      </c>
      <c r="B417" s="1" t="n">
        <v>45608.52354166667</v>
      </c>
      <c r="C417" s="1" t="n">
        <v>45991</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20088-2023</t>
        </is>
      </c>
      <c r="B418" s="1" t="n">
        <v>45054</v>
      </c>
      <c r="C418" s="1" t="n">
        <v>45991</v>
      </c>
      <c r="D418" t="inlineStr">
        <is>
          <t>JÄMTLANDS LÄN</t>
        </is>
      </c>
      <c r="E418" t="inlineStr">
        <is>
          <t>RAGUNDA</t>
        </is>
      </c>
      <c r="F418" t="inlineStr">
        <is>
          <t>SCA</t>
        </is>
      </c>
      <c r="G418" t="n">
        <v>23.4</v>
      </c>
      <c r="H418" t="n">
        <v>0</v>
      </c>
      <c r="I418" t="n">
        <v>0</v>
      </c>
      <c r="J418" t="n">
        <v>0</v>
      </c>
      <c r="K418" t="n">
        <v>0</v>
      </c>
      <c r="L418" t="n">
        <v>0</v>
      </c>
      <c r="M418" t="n">
        <v>0</v>
      </c>
      <c r="N418" t="n">
        <v>0</v>
      </c>
      <c r="O418" t="n">
        <v>0</v>
      </c>
      <c r="P418" t="n">
        <v>0</v>
      </c>
      <c r="Q418" t="n">
        <v>0</v>
      </c>
      <c r="R418" s="2" t="inlineStr"/>
    </row>
    <row r="419" ht="15" customHeight="1">
      <c r="A419" t="inlineStr">
        <is>
          <t>A 13767-2022</t>
        </is>
      </c>
      <c r="B419" s="1" t="n">
        <v>44649.47048611111</v>
      </c>
      <c r="C419" s="1" t="n">
        <v>45991</v>
      </c>
      <c r="D419" t="inlineStr">
        <is>
          <t>JÄMTLANDS LÄN</t>
        </is>
      </c>
      <c r="E419" t="inlineStr">
        <is>
          <t>RAGUNDA</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55487-2023</t>
        </is>
      </c>
      <c r="B420" s="1" t="n">
        <v>45238</v>
      </c>
      <c r="C420" s="1" t="n">
        <v>45991</v>
      </c>
      <c r="D420" t="inlineStr">
        <is>
          <t>JÄMTLANDS LÄN</t>
        </is>
      </c>
      <c r="E420" t="inlineStr">
        <is>
          <t>RAGUNDA</t>
        </is>
      </c>
      <c r="G420" t="n">
        <v>3</v>
      </c>
      <c r="H420" t="n">
        <v>0</v>
      </c>
      <c r="I420" t="n">
        <v>0</v>
      </c>
      <c r="J420" t="n">
        <v>0</v>
      </c>
      <c r="K420" t="n">
        <v>0</v>
      </c>
      <c r="L420" t="n">
        <v>0</v>
      </c>
      <c r="M420" t="n">
        <v>0</v>
      </c>
      <c r="N420" t="n">
        <v>0</v>
      </c>
      <c r="O420" t="n">
        <v>0</v>
      </c>
      <c r="P420" t="n">
        <v>0</v>
      </c>
      <c r="Q420" t="n">
        <v>0</v>
      </c>
      <c r="R420" s="2" t="inlineStr"/>
    </row>
    <row r="421" ht="15" customHeight="1">
      <c r="A421" t="inlineStr">
        <is>
          <t>A 13276-2025</t>
        </is>
      </c>
      <c r="B421" s="1" t="n">
        <v>45735.5517824074</v>
      </c>
      <c r="C421" s="1" t="n">
        <v>45991</v>
      </c>
      <c r="D421" t="inlineStr">
        <is>
          <t>JÄMTLANDS LÄN</t>
        </is>
      </c>
      <c r="E421" t="inlineStr">
        <is>
          <t>RAGUNDA</t>
        </is>
      </c>
      <c r="G421" t="n">
        <v>16.6</v>
      </c>
      <c r="H421" t="n">
        <v>0</v>
      </c>
      <c r="I421" t="n">
        <v>0</v>
      </c>
      <c r="J421" t="n">
        <v>0</v>
      </c>
      <c r="K421" t="n">
        <v>0</v>
      </c>
      <c r="L421" t="n">
        <v>0</v>
      </c>
      <c r="M421" t="n">
        <v>0</v>
      </c>
      <c r="N421" t="n">
        <v>0</v>
      </c>
      <c r="O421" t="n">
        <v>0</v>
      </c>
      <c r="P421" t="n">
        <v>0</v>
      </c>
      <c r="Q421" t="n">
        <v>0</v>
      </c>
      <c r="R421" s="2" t="inlineStr"/>
    </row>
    <row r="422" ht="15" customHeight="1">
      <c r="A422" t="inlineStr">
        <is>
          <t>A 36246-2024</t>
        </is>
      </c>
      <c r="B422" s="1" t="n">
        <v>45534</v>
      </c>
      <c r="C422" s="1" t="n">
        <v>45991</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18454-2021</t>
        </is>
      </c>
      <c r="B423" s="1" t="n">
        <v>44305.92047453704</v>
      </c>
      <c r="C423" s="1" t="n">
        <v>45991</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45991</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45991</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45991</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45335-2023</t>
        </is>
      </c>
      <c r="B427" s="1" t="n">
        <v>45191</v>
      </c>
      <c r="C427" s="1" t="n">
        <v>45991</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45991</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45991</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45991</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7280-2024</t>
        </is>
      </c>
      <c r="B431" s="1" t="n">
        <v>45344</v>
      </c>
      <c r="C431" s="1" t="n">
        <v>45991</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55524-2024</t>
        </is>
      </c>
      <c r="B432" s="1" t="n">
        <v>45622.47435185185</v>
      </c>
      <c r="C432" s="1" t="n">
        <v>45991</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57064-2024</t>
        </is>
      </c>
      <c r="B433" s="1" t="n">
        <v>45629.35326388889</v>
      </c>
      <c r="C433" s="1" t="n">
        <v>45991</v>
      </c>
      <c r="D433" t="inlineStr">
        <is>
          <t>JÄMTLANDS LÄN</t>
        </is>
      </c>
      <c r="E433" t="inlineStr">
        <is>
          <t>RAGUNDA</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25332-2023</t>
        </is>
      </c>
      <c r="B434" s="1" t="n">
        <v>45086.94010416666</v>
      </c>
      <c r="C434" s="1" t="n">
        <v>45991</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29920-2024</t>
        </is>
      </c>
      <c r="B435" s="1" t="n">
        <v>45487.92856481481</v>
      </c>
      <c r="C435" s="1" t="n">
        <v>45991</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24196-2024</t>
        </is>
      </c>
      <c r="B436" s="1" t="n">
        <v>45456.96569444444</v>
      </c>
      <c r="C436" s="1" t="n">
        <v>45991</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44778-2024</t>
        </is>
      </c>
      <c r="B437" s="1" t="n">
        <v>45574.63355324074</v>
      </c>
      <c r="C437" s="1" t="n">
        <v>45991</v>
      </c>
      <c r="D437" t="inlineStr">
        <is>
          <t>JÄMTLANDS LÄN</t>
        </is>
      </c>
      <c r="E437" t="inlineStr">
        <is>
          <t>RAGUNDA</t>
        </is>
      </c>
      <c r="G437" t="n">
        <v>5.5</v>
      </c>
      <c r="H437" t="n">
        <v>0</v>
      </c>
      <c r="I437" t="n">
        <v>0</v>
      </c>
      <c r="J437" t="n">
        <v>0</v>
      </c>
      <c r="K437" t="n">
        <v>0</v>
      </c>
      <c r="L437" t="n">
        <v>0</v>
      </c>
      <c r="M437" t="n">
        <v>0</v>
      </c>
      <c r="N437" t="n">
        <v>0</v>
      </c>
      <c r="O437" t="n">
        <v>0</v>
      </c>
      <c r="P437" t="n">
        <v>0</v>
      </c>
      <c r="Q437" t="n">
        <v>0</v>
      </c>
      <c r="R437" s="2" t="inlineStr"/>
    </row>
    <row r="438" ht="15" customHeight="1">
      <c r="A438" t="inlineStr">
        <is>
          <t>A 3767-2025</t>
        </is>
      </c>
      <c r="B438" s="1" t="n">
        <v>45681.60203703704</v>
      </c>
      <c r="C438" s="1" t="n">
        <v>45991</v>
      </c>
      <c r="D438" t="inlineStr">
        <is>
          <t>JÄMTLANDS LÄN</t>
        </is>
      </c>
      <c r="E438" t="inlineStr">
        <is>
          <t>RAGUNDA</t>
        </is>
      </c>
      <c r="G438" t="n">
        <v>4.9</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45991</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45991</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45991</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12783-2023</t>
        </is>
      </c>
      <c r="B442" s="1" t="n">
        <v>45000</v>
      </c>
      <c r="C442" s="1" t="n">
        <v>45991</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45991</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7279-2024</t>
        </is>
      </c>
      <c r="B444" s="1" t="n">
        <v>45344.92822916667</v>
      </c>
      <c r="C444" s="1" t="n">
        <v>45991</v>
      </c>
      <c r="D444" t="inlineStr">
        <is>
          <t>JÄMTLANDS LÄN</t>
        </is>
      </c>
      <c r="E444" t="inlineStr">
        <is>
          <t>RAGUNDA</t>
        </is>
      </c>
      <c r="G444" t="n">
        <v>2.1</v>
      </c>
      <c r="H444" t="n">
        <v>0</v>
      </c>
      <c r="I444" t="n">
        <v>0</v>
      </c>
      <c r="J444" t="n">
        <v>0</v>
      </c>
      <c r="K444" t="n">
        <v>0</v>
      </c>
      <c r="L444" t="n">
        <v>0</v>
      </c>
      <c r="M444" t="n">
        <v>0</v>
      </c>
      <c r="N444" t="n">
        <v>0</v>
      </c>
      <c r="O444" t="n">
        <v>0</v>
      </c>
      <c r="P444" t="n">
        <v>0</v>
      </c>
      <c r="Q444" t="n">
        <v>0</v>
      </c>
      <c r="R444" s="2" t="inlineStr"/>
    </row>
    <row r="445" ht="15" customHeight="1">
      <c r="A445" t="inlineStr">
        <is>
          <t>A 11558-2023</t>
        </is>
      </c>
      <c r="B445" s="1" t="n">
        <v>44993.94958333333</v>
      </c>
      <c r="C445" s="1" t="n">
        <v>45991</v>
      </c>
      <c r="D445" t="inlineStr">
        <is>
          <t>JÄMTLANDS LÄN</t>
        </is>
      </c>
      <c r="E445" t="inlineStr">
        <is>
          <t>RAGUNDA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12660-2024</t>
        </is>
      </c>
      <c r="B446" s="1" t="n">
        <v>45384</v>
      </c>
      <c r="C446" s="1" t="n">
        <v>45991</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54599-2023</t>
        </is>
      </c>
      <c r="B447" s="1" t="n">
        <v>45233.92591435185</v>
      </c>
      <c r="C447" s="1" t="n">
        <v>45991</v>
      </c>
      <c r="D447" t="inlineStr">
        <is>
          <t>JÄMTLANDS LÄN</t>
        </is>
      </c>
      <c r="E447" t="inlineStr">
        <is>
          <t>RAGUNDA</t>
        </is>
      </c>
      <c r="G447" t="n">
        <v>3.7</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45991</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12521-2023</t>
        </is>
      </c>
      <c r="B449" s="1" t="n">
        <v>45000</v>
      </c>
      <c r="C449" s="1" t="n">
        <v>45991</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45991</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45991</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29265-2024</t>
        </is>
      </c>
      <c r="B452" s="1" t="n">
        <v>45482.9491087963</v>
      </c>
      <c r="C452" s="1" t="n">
        <v>45991</v>
      </c>
      <c r="D452" t="inlineStr">
        <is>
          <t>JÄMTLANDS LÄN</t>
        </is>
      </c>
      <c r="E452" t="inlineStr">
        <is>
          <t>RAGUNDA</t>
        </is>
      </c>
      <c r="F452" t="inlineStr">
        <is>
          <t>SCA</t>
        </is>
      </c>
      <c r="G452" t="n">
        <v>11.6</v>
      </c>
      <c r="H452" t="n">
        <v>0</v>
      </c>
      <c r="I452" t="n">
        <v>0</v>
      </c>
      <c r="J452" t="n">
        <v>0</v>
      </c>
      <c r="K452" t="n">
        <v>0</v>
      </c>
      <c r="L452" t="n">
        <v>0</v>
      </c>
      <c r="M452" t="n">
        <v>0</v>
      </c>
      <c r="N452" t="n">
        <v>0</v>
      </c>
      <c r="O452" t="n">
        <v>0</v>
      </c>
      <c r="P452" t="n">
        <v>0</v>
      </c>
      <c r="Q452" t="n">
        <v>0</v>
      </c>
      <c r="R452" s="2" t="inlineStr"/>
    </row>
    <row r="453" ht="15" customHeight="1">
      <c r="A453" t="inlineStr">
        <is>
          <t>A 19264-2025</t>
        </is>
      </c>
      <c r="B453" s="1" t="n">
        <v>45769.51087962963</v>
      </c>
      <c r="C453" s="1" t="n">
        <v>45991</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2242-2024</t>
        </is>
      </c>
      <c r="B454" s="1" t="n">
        <v>45309</v>
      </c>
      <c r="C454" s="1" t="n">
        <v>45991</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2248-2024</t>
        </is>
      </c>
      <c r="B455" s="1" t="n">
        <v>45309</v>
      </c>
      <c r="C455" s="1" t="n">
        <v>45991</v>
      </c>
      <c r="D455" t="inlineStr">
        <is>
          <t>JÄMTLANDS LÄN</t>
        </is>
      </c>
      <c r="E455" t="inlineStr">
        <is>
          <t>RAGUNDA</t>
        </is>
      </c>
      <c r="G455" t="n">
        <v>4.2</v>
      </c>
      <c r="H455" t="n">
        <v>0</v>
      </c>
      <c r="I455" t="n">
        <v>0</v>
      </c>
      <c r="J455" t="n">
        <v>0</v>
      </c>
      <c r="K455" t="n">
        <v>0</v>
      </c>
      <c r="L455" t="n">
        <v>0</v>
      </c>
      <c r="M455" t="n">
        <v>0</v>
      </c>
      <c r="N455" t="n">
        <v>0</v>
      </c>
      <c r="O455" t="n">
        <v>0</v>
      </c>
      <c r="P455" t="n">
        <v>0</v>
      </c>
      <c r="Q455" t="n">
        <v>0</v>
      </c>
      <c r="R455" s="2" t="inlineStr"/>
    </row>
    <row r="456" ht="15" customHeight="1">
      <c r="A456" t="inlineStr">
        <is>
          <t>A 27291-2022</t>
        </is>
      </c>
      <c r="B456" s="1" t="n">
        <v>44741.94070601852</v>
      </c>
      <c r="C456" s="1" t="n">
        <v>45991</v>
      </c>
      <c r="D456" t="inlineStr">
        <is>
          <t>JÄMTLANDS LÄN</t>
        </is>
      </c>
      <c r="E456" t="inlineStr">
        <is>
          <t>RAGUNDA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45991</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8776-2025</t>
        </is>
      </c>
      <c r="B458" s="1" t="n">
        <v>45712.61510416667</v>
      </c>
      <c r="C458" s="1" t="n">
        <v>45991</v>
      </c>
      <c r="D458" t="inlineStr">
        <is>
          <t>JÄMTLANDS LÄN</t>
        </is>
      </c>
      <c r="E458" t="inlineStr">
        <is>
          <t>RAGUNDA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45991</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45991</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14821-2025</t>
        </is>
      </c>
      <c r="B461" s="1" t="n">
        <v>45743.36</v>
      </c>
      <c r="C461" s="1" t="n">
        <v>45991</v>
      </c>
      <c r="D461" t="inlineStr">
        <is>
          <t>JÄMTLANDS LÄN</t>
        </is>
      </c>
      <c r="E461" t="inlineStr">
        <is>
          <t>RAGUNDA</t>
        </is>
      </c>
      <c r="F461" t="inlineStr">
        <is>
          <t>Kyrkan</t>
        </is>
      </c>
      <c r="G461" t="n">
        <v>6.4</v>
      </c>
      <c r="H461" t="n">
        <v>0</v>
      </c>
      <c r="I461" t="n">
        <v>0</v>
      </c>
      <c r="J461" t="n">
        <v>0</v>
      </c>
      <c r="K461" t="n">
        <v>0</v>
      </c>
      <c r="L461" t="n">
        <v>0</v>
      </c>
      <c r="M461" t="n">
        <v>0</v>
      </c>
      <c r="N461" t="n">
        <v>0</v>
      </c>
      <c r="O461" t="n">
        <v>0</v>
      </c>
      <c r="P461" t="n">
        <v>0</v>
      </c>
      <c r="Q461" t="n">
        <v>0</v>
      </c>
      <c r="R461" s="2" t="inlineStr"/>
    </row>
    <row r="462" ht="15" customHeight="1">
      <c r="A462" t="inlineStr">
        <is>
          <t>A 9325-2024</t>
        </is>
      </c>
      <c r="B462" s="1" t="n">
        <v>45358.95813657407</v>
      </c>
      <c r="C462" s="1" t="n">
        <v>45991</v>
      </c>
      <c r="D462" t="inlineStr">
        <is>
          <t>JÄMTLANDS LÄN</t>
        </is>
      </c>
      <c r="E462" t="inlineStr">
        <is>
          <t>RAGUNDA</t>
        </is>
      </c>
      <c r="G462" t="n">
        <v>3.1</v>
      </c>
      <c r="H462" t="n">
        <v>0</v>
      </c>
      <c r="I462" t="n">
        <v>0</v>
      </c>
      <c r="J462" t="n">
        <v>0</v>
      </c>
      <c r="K462" t="n">
        <v>0</v>
      </c>
      <c r="L462" t="n">
        <v>0</v>
      </c>
      <c r="M462" t="n">
        <v>0</v>
      </c>
      <c r="N462" t="n">
        <v>0</v>
      </c>
      <c r="O462" t="n">
        <v>0</v>
      </c>
      <c r="P462" t="n">
        <v>0</v>
      </c>
      <c r="Q462" t="n">
        <v>0</v>
      </c>
      <c r="R462" s="2" t="inlineStr"/>
    </row>
    <row r="463" ht="15" customHeight="1">
      <c r="A463" t="inlineStr">
        <is>
          <t>A 5930-2025</t>
        </is>
      </c>
      <c r="B463" s="1" t="n">
        <v>45695.44724537037</v>
      </c>
      <c r="C463" s="1" t="n">
        <v>45991</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36375-2022</t>
        </is>
      </c>
      <c r="B464" s="1" t="n">
        <v>44803.94351851852</v>
      </c>
      <c r="C464" s="1" t="n">
        <v>45991</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45991</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24159-2025</t>
        </is>
      </c>
      <c r="B466" s="1" t="n">
        <v>45796</v>
      </c>
      <c r="C466" s="1" t="n">
        <v>45991</v>
      </c>
      <c r="D466" t="inlineStr">
        <is>
          <t>JÄMTLANDS LÄN</t>
        </is>
      </c>
      <c r="E466" t="inlineStr">
        <is>
          <t>RAGUNDA</t>
        </is>
      </c>
      <c r="G466" t="n">
        <v>0.8</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45991</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8679-2023</t>
        </is>
      </c>
      <c r="B468" s="1" t="n">
        <v>44977.98670138889</v>
      </c>
      <c r="C468" s="1" t="n">
        <v>45991</v>
      </c>
      <c r="D468" t="inlineStr">
        <is>
          <t>JÄMTLANDS LÄN</t>
        </is>
      </c>
      <c r="E468" t="inlineStr">
        <is>
          <t>RAGUNDA</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53769-2023</t>
        </is>
      </c>
      <c r="B469" s="1" t="n">
        <v>45230</v>
      </c>
      <c r="C469" s="1" t="n">
        <v>45991</v>
      </c>
      <c r="D469" t="inlineStr">
        <is>
          <t>JÄMTLANDS LÄN</t>
        </is>
      </c>
      <c r="E469" t="inlineStr">
        <is>
          <t>RAGUNDA</t>
        </is>
      </c>
      <c r="F469" t="inlineStr">
        <is>
          <t>SCA</t>
        </is>
      </c>
      <c r="G469" t="n">
        <v>11.6</v>
      </c>
      <c r="H469" t="n">
        <v>0</v>
      </c>
      <c r="I469" t="n">
        <v>0</v>
      </c>
      <c r="J469" t="n">
        <v>0</v>
      </c>
      <c r="K469" t="n">
        <v>0</v>
      </c>
      <c r="L469" t="n">
        <v>0</v>
      </c>
      <c r="M469" t="n">
        <v>0</v>
      </c>
      <c r="N469" t="n">
        <v>0</v>
      </c>
      <c r="O469" t="n">
        <v>0</v>
      </c>
      <c r="P469" t="n">
        <v>0</v>
      </c>
      <c r="Q469" t="n">
        <v>0</v>
      </c>
      <c r="R469" s="2" t="inlineStr"/>
    </row>
    <row r="470" ht="15" customHeight="1">
      <c r="A470" t="inlineStr">
        <is>
          <t>A 52228-2024</t>
        </is>
      </c>
      <c r="B470" s="1" t="n">
        <v>45608.6078587963</v>
      </c>
      <c r="C470" s="1" t="n">
        <v>45991</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62407-2023</t>
        </is>
      </c>
      <c r="B471" s="1" t="n">
        <v>45266</v>
      </c>
      <c r="C471" s="1" t="n">
        <v>45991</v>
      </c>
      <c r="D471" t="inlineStr">
        <is>
          <t>JÄMTLANDS LÄN</t>
        </is>
      </c>
      <c r="E471" t="inlineStr">
        <is>
          <t>RAGUNDA</t>
        </is>
      </c>
      <c r="G471" t="n">
        <v>1.6</v>
      </c>
      <c r="H471" t="n">
        <v>0</v>
      </c>
      <c r="I471" t="n">
        <v>0</v>
      </c>
      <c r="J471" t="n">
        <v>0</v>
      </c>
      <c r="K471" t="n">
        <v>0</v>
      </c>
      <c r="L471" t="n">
        <v>0</v>
      </c>
      <c r="M471" t="n">
        <v>0</v>
      </c>
      <c r="N471" t="n">
        <v>0</v>
      </c>
      <c r="O471" t="n">
        <v>0</v>
      </c>
      <c r="P471" t="n">
        <v>0</v>
      </c>
      <c r="Q471" t="n">
        <v>0</v>
      </c>
      <c r="R471" s="2" t="inlineStr"/>
    </row>
    <row r="472" ht="15" customHeight="1">
      <c r="A472" t="inlineStr">
        <is>
          <t>A 65341-2020</t>
        </is>
      </c>
      <c r="B472" s="1" t="n">
        <v>44173</v>
      </c>
      <c r="C472" s="1" t="n">
        <v>45991</v>
      </c>
      <c r="D472" t="inlineStr">
        <is>
          <t>JÄMTLANDS LÄN</t>
        </is>
      </c>
      <c r="E472" t="inlineStr">
        <is>
          <t>RAGUNDA</t>
        </is>
      </c>
      <c r="G472" t="n">
        <v>2.6</v>
      </c>
      <c r="H472" t="n">
        <v>0</v>
      </c>
      <c r="I472" t="n">
        <v>0</v>
      </c>
      <c r="J472" t="n">
        <v>0</v>
      </c>
      <c r="K472" t="n">
        <v>0</v>
      </c>
      <c r="L472" t="n">
        <v>0</v>
      </c>
      <c r="M472" t="n">
        <v>0</v>
      </c>
      <c r="N472" t="n">
        <v>0</v>
      </c>
      <c r="O472" t="n">
        <v>0</v>
      </c>
      <c r="P472" t="n">
        <v>0</v>
      </c>
      <c r="Q472" t="n">
        <v>0</v>
      </c>
      <c r="R472" s="2" t="inlineStr"/>
    </row>
    <row r="473" ht="15" customHeight="1">
      <c r="A473" t="inlineStr">
        <is>
          <t>A 8795-2022</t>
        </is>
      </c>
      <c r="B473" s="1" t="n">
        <v>44614</v>
      </c>
      <c r="C473" s="1" t="n">
        <v>45991</v>
      </c>
      <c r="D473" t="inlineStr">
        <is>
          <t>JÄMTLANDS LÄN</t>
        </is>
      </c>
      <c r="E473" t="inlineStr">
        <is>
          <t>RAGUNDA</t>
        </is>
      </c>
      <c r="G473" t="n">
        <v>3.9</v>
      </c>
      <c r="H473" t="n">
        <v>0</v>
      </c>
      <c r="I473" t="n">
        <v>0</v>
      </c>
      <c r="J473" t="n">
        <v>0</v>
      </c>
      <c r="K473" t="n">
        <v>0</v>
      </c>
      <c r="L473" t="n">
        <v>0</v>
      </c>
      <c r="M473" t="n">
        <v>0</v>
      </c>
      <c r="N473" t="n">
        <v>0</v>
      </c>
      <c r="O473" t="n">
        <v>0</v>
      </c>
      <c r="P473" t="n">
        <v>0</v>
      </c>
      <c r="Q473" t="n">
        <v>0</v>
      </c>
      <c r="R473" s="2" t="inlineStr"/>
    </row>
    <row r="474" ht="15" customHeight="1">
      <c r="A474" t="inlineStr">
        <is>
          <t>A 21524-2024</t>
        </is>
      </c>
      <c r="B474" s="1" t="n">
        <v>45441</v>
      </c>
      <c r="C474" s="1" t="n">
        <v>45991</v>
      </c>
      <c r="D474" t="inlineStr">
        <is>
          <t>JÄMTLANDS LÄN</t>
        </is>
      </c>
      <c r="E474" t="inlineStr">
        <is>
          <t>RAGUNDA</t>
        </is>
      </c>
      <c r="G474" t="n">
        <v>1.6</v>
      </c>
      <c r="H474" t="n">
        <v>0</v>
      </c>
      <c r="I474" t="n">
        <v>0</v>
      </c>
      <c r="J474" t="n">
        <v>0</v>
      </c>
      <c r="K474" t="n">
        <v>0</v>
      </c>
      <c r="L474" t="n">
        <v>0</v>
      </c>
      <c r="M474" t="n">
        <v>0</v>
      </c>
      <c r="N474" t="n">
        <v>0</v>
      </c>
      <c r="O474" t="n">
        <v>0</v>
      </c>
      <c r="P474" t="n">
        <v>0</v>
      </c>
      <c r="Q474" t="n">
        <v>0</v>
      </c>
      <c r="R474" s="2" t="inlineStr"/>
    </row>
    <row r="475" ht="15" customHeight="1">
      <c r="A475" t="inlineStr">
        <is>
          <t>A 38191-2024</t>
        </is>
      </c>
      <c r="B475" s="1" t="n">
        <v>45545.49078703704</v>
      </c>
      <c r="C475" s="1" t="n">
        <v>45991</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35265-2023</t>
        </is>
      </c>
      <c r="B476" s="1" t="n">
        <v>45145.95326388889</v>
      </c>
      <c r="C476" s="1" t="n">
        <v>45991</v>
      </c>
      <c r="D476" t="inlineStr">
        <is>
          <t>JÄMTLANDS LÄN</t>
        </is>
      </c>
      <c r="E476" t="inlineStr">
        <is>
          <t>RAGUNDA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5148-2023</t>
        </is>
      </c>
      <c r="B477" s="1" t="n">
        <v>44958</v>
      </c>
      <c r="C477" s="1" t="n">
        <v>45991</v>
      </c>
      <c r="D477" t="inlineStr">
        <is>
          <t>JÄMTLANDS LÄN</t>
        </is>
      </c>
      <c r="E477" t="inlineStr">
        <is>
          <t>RAGUNDA</t>
        </is>
      </c>
      <c r="G477" t="n">
        <v>2.9</v>
      </c>
      <c r="H477" t="n">
        <v>0</v>
      </c>
      <c r="I477" t="n">
        <v>0</v>
      </c>
      <c r="J477" t="n">
        <v>0</v>
      </c>
      <c r="K477" t="n">
        <v>0</v>
      </c>
      <c r="L477" t="n">
        <v>0</v>
      </c>
      <c r="M477" t="n">
        <v>0</v>
      </c>
      <c r="N477" t="n">
        <v>0</v>
      </c>
      <c r="O477" t="n">
        <v>0</v>
      </c>
      <c r="P477" t="n">
        <v>0</v>
      </c>
      <c r="Q477" t="n">
        <v>0</v>
      </c>
      <c r="R477" s="2" t="inlineStr"/>
    </row>
    <row r="478" ht="15" customHeight="1">
      <c r="A478" t="inlineStr">
        <is>
          <t>A 66471-2021</t>
        </is>
      </c>
      <c r="B478" s="1" t="n">
        <v>44518</v>
      </c>
      <c r="C478" s="1" t="n">
        <v>45991</v>
      </c>
      <c r="D478" t="inlineStr">
        <is>
          <t>JÄMTLANDS LÄN</t>
        </is>
      </c>
      <c r="E478" t="inlineStr">
        <is>
          <t>RAGUNDA</t>
        </is>
      </c>
      <c r="G478" t="n">
        <v>13.4</v>
      </c>
      <c r="H478" t="n">
        <v>0</v>
      </c>
      <c r="I478" t="n">
        <v>0</v>
      </c>
      <c r="J478" t="n">
        <v>0</v>
      </c>
      <c r="K478" t="n">
        <v>0</v>
      </c>
      <c r="L478" t="n">
        <v>0</v>
      </c>
      <c r="M478" t="n">
        <v>0</v>
      </c>
      <c r="N478" t="n">
        <v>0</v>
      </c>
      <c r="O478" t="n">
        <v>0</v>
      </c>
      <c r="P478" t="n">
        <v>0</v>
      </c>
      <c r="Q478" t="n">
        <v>0</v>
      </c>
      <c r="R478" s="2" t="inlineStr"/>
    </row>
    <row r="479" ht="15" customHeight="1">
      <c r="A479" t="inlineStr">
        <is>
          <t>A 18778-2024</t>
        </is>
      </c>
      <c r="B479" s="1" t="n">
        <v>45426</v>
      </c>
      <c r="C479" s="1" t="n">
        <v>45991</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59556-2024</t>
        </is>
      </c>
      <c r="B480" s="1" t="n">
        <v>45638.63600694444</v>
      </c>
      <c r="C480" s="1" t="n">
        <v>45991</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25631-2025</t>
        </is>
      </c>
      <c r="B481" s="1" t="n">
        <v>45803.5946875</v>
      </c>
      <c r="C481" s="1" t="n">
        <v>45991</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16529-2022</t>
        </is>
      </c>
      <c r="B482" s="1" t="n">
        <v>44671</v>
      </c>
      <c r="C482" s="1" t="n">
        <v>45991</v>
      </c>
      <c r="D482" t="inlineStr">
        <is>
          <t>JÄMTLANDS LÄN</t>
        </is>
      </c>
      <c r="E482" t="inlineStr">
        <is>
          <t>RAGUNDA</t>
        </is>
      </c>
      <c r="G482" t="n">
        <v>1.5</v>
      </c>
      <c r="H482" t="n">
        <v>0</v>
      </c>
      <c r="I482" t="n">
        <v>0</v>
      </c>
      <c r="J482" t="n">
        <v>0</v>
      </c>
      <c r="K482" t="n">
        <v>0</v>
      </c>
      <c r="L482" t="n">
        <v>0</v>
      </c>
      <c r="M482" t="n">
        <v>0</v>
      </c>
      <c r="N482" t="n">
        <v>0</v>
      </c>
      <c r="O482" t="n">
        <v>0</v>
      </c>
      <c r="P482" t="n">
        <v>0</v>
      </c>
      <c r="Q482" t="n">
        <v>0</v>
      </c>
      <c r="R482" s="2" t="inlineStr"/>
    </row>
    <row r="483" ht="15" customHeight="1">
      <c r="A483" t="inlineStr">
        <is>
          <t>A 25376-2025</t>
        </is>
      </c>
      <c r="B483" s="1" t="n">
        <v>45800.63619212963</v>
      </c>
      <c r="C483" s="1" t="n">
        <v>45991</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25175-2025</t>
        </is>
      </c>
      <c r="B484" s="1" t="n">
        <v>45800.44822916666</v>
      </c>
      <c r="C484" s="1" t="n">
        <v>45991</v>
      </c>
      <c r="D484" t="inlineStr">
        <is>
          <t>JÄMTLANDS LÄN</t>
        </is>
      </c>
      <c r="E484" t="inlineStr">
        <is>
          <t>RAGUNDA</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25177-2025</t>
        </is>
      </c>
      <c r="B485" s="1" t="n">
        <v>45800.44862268519</v>
      </c>
      <c r="C485" s="1" t="n">
        <v>45991</v>
      </c>
      <c r="D485" t="inlineStr">
        <is>
          <t>JÄMTLANDS LÄN</t>
        </is>
      </c>
      <c r="E485" t="inlineStr">
        <is>
          <t>RAGUNDA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61934-2022</t>
        </is>
      </c>
      <c r="B486" s="1" t="n">
        <v>44917</v>
      </c>
      <c r="C486" s="1" t="n">
        <v>45991</v>
      </c>
      <c r="D486" t="inlineStr">
        <is>
          <t>JÄMTLANDS LÄN</t>
        </is>
      </c>
      <c r="E486" t="inlineStr">
        <is>
          <t>RAGUNDA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45991</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45991</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8678-2023</t>
        </is>
      </c>
      <c r="B489" s="1" t="n">
        <v>44977.98660879629</v>
      </c>
      <c r="C489" s="1" t="n">
        <v>45991</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25350-2025</t>
        </is>
      </c>
      <c r="B490" s="1" t="n">
        <v>45800</v>
      </c>
      <c r="C490" s="1" t="n">
        <v>45991</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25152-2025</t>
        </is>
      </c>
      <c r="B491" s="1" t="n">
        <v>45800.42743055556</v>
      </c>
      <c r="C491" s="1" t="n">
        <v>45991</v>
      </c>
      <c r="D491" t="inlineStr">
        <is>
          <t>JÄMTLANDS LÄN</t>
        </is>
      </c>
      <c r="E491" t="inlineStr">
        <is>
          <t>RAGUNDA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19613-2023</t>
        </is>
      </c>
      <c r="B492" s="1" t="n">
        <v>45050.94020833333</v>
      </c>
      <c r="C492" s="1" t="n">
        <v>45991</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45991</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25814-2025</t>
        </is>
      </c>
      <c r="B494" s="1" t="n">
        <v>45804.42642361111</v>
      </c>
      <c r="C494" s="1" t="n">
        <v>45991</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28742-2023</t>
        </is>
      </c>
      <c r="B495" s="1" t="n">
        <v>45103</v>
      </c>
      <c r="C495" s="1" t="n">
        <v>45991</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25944-2025</t>
        </is>
      </c>
      <c r="B496" s="1" t="n">
        <v>45804.59487268519</v>
      </c>
      <c r="C496" s="1" t="n">
        <v>45991</v>
      </c>
      <c r="D496" t="inlineStr">
        <is>
          <t>JÄMTLANDS LÄN</t>
        </is>
      </c>
      <c r="E496" t="inlineStr">
        <is>
          <t>RAGUNDA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17323-2025</t>
        </is>
      </c>
      <c r="B497" s="1" t="n">
        <v>45756.63601851852</v>
      </c>
      <c r="C497" s="1" t="n">
        <v>45991</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26283-2025</t>
        </is>
      </c>
      <c r="B498" s="1" t="n">
        <v>45805.61495370371</v>
      </c>
      <c r="C498" s="1" t="n">
        <v>45991</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10788-2025</t>
        </is>
      </c>
      <c r="B499" s="1" t="n">
        <v>45722.48982638889</v>
      </c>
      <c r="C499" s="1" t="n">
        <v>45991</v>
      </c>
      <c r="D499" t="inlineStr">
        <is>
          <t>JÄMTLANDS LÄN</t>
        </is>
      </c>
      <c r="E499" t="inlineStr">
        <is>
          <t>RAGUNDA</t>
        </is>
      </c>
      <c r="G499" t="n">
        <v>3.5</v>
      </c>
      <c r="H499" t="n">
        <v>0</v>
      </c>
      <c r="I499" t="n">
        <v>0</v>
      </c>
      <c r="J499" t="n">
        <v>0</v>
      </c>
      <c r="K499" t="n">
        <v>0</v>
      </c>
      <c r="L499" t="n">
        <v>0</v>
      </c>
      <c r="M499" t="n">
        <v>0</v>
      </c>
      <c r="N499" t="n">
        <v>0</v>
      </c>
      <c r="O499" t="n">
        <v>0</v>
      </c>
      <c r="P499" t="n">
        <v>0</v>
      </c>
      <c r="Q499" t="n">
        <v>0</v>
      </c>
      <c r="R499" s="2" t="inlineStr"/>
    </row>
    <row r="500" ht="15" customHeight="1">
      <c r="A500" t="inlineStr">
        <is>
          <t>A 24258-2025</t>
        </is>
      </c>
      <c r="B500" s="1" t="n">
        <v>45797.40800925926</v>
      </c>
      <c r="C500" s="1" t="n">
        <v>45991</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25994-2025</t>
        </is>
      </c>
      <c r="B501" s="1" t="n">
        <v>45804.65672453704</v>
      </c>
      <c r="C501" s="1" t="n">
        <v>45991</v>
      </c>
      <c r="D501" t="inlineStr">
        <is>
          <t>JÄMTLANDS LÄN</t>
        </is>
      </c>
      <c r="E501" t="inlineStr">
        <is>
          <t>RAGUNDA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16364-2023</t>
        </is>
      </c>
      <c r="B502" s="1" t="n">
        <v>45028</v>
      </c>
      <c r="C502" s="1" t="n">
        <v>45991</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39384-2025</t>
        </is>
      </c>
      <c r="B503" s="1" t="n">
        <v>45889.61517361111</v>
      </c>
      <c r="C503" s="1" t="n">
        <v>45991</v>
      </c>
      <c r="D503" t="inlineStr">
        <is>
          <t>JÄMTLANDS LÄN</t>
        </is>
      </c>
      <c r="E503" t="inlineStr">
        <is>
          <t>RAGUNDA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59136-2023</t>
        </is>
      </c>
      <c r="B504" s="1" t="n">
        <v>45251</v>
      </c>
      <c r="C504" s="1" t="n">
        <v>45991</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45991</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28216-2025</t>
        </is>
      </c>
      <c r="B506" s="1" t="n">
        <v>45818.46898148148</v>
      </c>
      <c r="C506" s="1" t="n">
        <v>45991</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26246-2025</t>
        </is>
      </c>
      <c r="B507" s="1" t="n">
        <v>45805.57390046296</v>
      </c>
      <c r="C507" s="1" t="n">
        <v>45991</v>
      </c>
      <c r="D507" t="inlineStr">
        <is>
          <t>JÄMTLANDS LÄN</t>
        </is>
      </c>
      <c r="E507" t="inlineStr">
        <is>
          <t>RAGUNDA</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49659-2023</t>
        </is>
      </c>
      <c r="B508" s="1" t="n">
        <v>45211.95134259259</v>
      </c>
      <c r="C508" s="1" t="n">
        <v>45991</v>
      </c>
      <c r="D508" t="inlineStr">
        <is>
          <t>JÄMTLANDS LÄN</t>
        </is>
      </c>
      <c r="E508" t="inlineStr">
        <is>
          <t>RAGUNDA</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73278-2021</t>
        </is>
      </c>
      <c r="B509" s="1" t="n">
        <v>44550.92168981482</v>
      </c>
      <c r="C509" s="1" t="n">
        <v>45991</v>
      </c>
      <c r="D509" t="inlineStr">
        <is>
          <t>JÄMTLANDS LÄN</t>
        </is>
      </c>
      <c r="E509" t="inlineStr">
        <is>
          <t>RAGUNDA</t>
        </is>
      </c>
      <c r="G509" t="n">
        <v>4.4</v>
      </c>
      <c r="H509" t="n">
        <v>0</v>
      </c>
      <c r="I509" t="n">
        <v>0</v>
      </c>
      <c r="J509" t="n">
        <v>0</v>
      </c>
      <c r="K509" t="n">
        <v>0</v>
      </c>
      <c r="L509" t="n">
        <v>0</v>
      </c>
      <c r="M509" t="n">
        <v>0</v>
      </c>
      <c r="N509" t="n">
        <v>0</v>
      </c>
      <c r="O509" t="n">
        <v>0</v>
      </c>
      <c r="P509" t="n">
        <v>0</v>
      </c>
      <c r="Q509" t="n">
        <v>0</v>
      </c>
      <c r="R509" s="2" t="inlineStr"/>
    </row>
    <row r="510" ht="15" customHeight="1">
      <c r="A510" t="inlineStr">
        <is>
          <t>A 50521-2024</t>
        </is>
      </c>
      <c r="B510" s="1" t="n">
        <v>45601.55331018518</v>
      </c>
      <c r="C510" s="1" t="n">
        <v>45991</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4916-2025</t>
        </is>
      </c>
      <c r="B511" s="1" t="n">
        <v>45688.68196759259</v>
      </c>
      <c r="C511" s="1" t="n">
        <v>45991</v>
      </c>
      <c r="D511" t="inlineStr">
        <is>
          <t>JÄMTLANDS LÄN</t>
        </is>
      </c>
      <c r="E511" t="inlineStr">
        <is>
          <t>RAGUNDA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51396-2024</t>
        </is>
      </c>
      <c r="B512" s="1" t="n">
        <v>45604.4190625</v>
      </c>
      <c r="C512" s="1" t="n">
        <v>45991</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59557-2023</t>
        </is>
      </c>
      <c r="B513" s="1" t="n">
        <v>45253</v>
      </c>
      <c r="C513" s="1" t="n">
        <v>45991</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26640-2025</t>
        </is>
      </c>
      <c r="B514" s="1" t="n">
        <v>45810.36495370371</v>
      </c>
      <c r="C514" s="1" t="n">
        <v>45991</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57112-2024</t>
        </is>
      </c>
      <c r="B515" s="1" t="n">
        <v>45629.36486111111</v>
      </c>
      <c r="C515" s="1" t="n">
        <v>45991</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53136-2024</t>
        </is>
      </c>
      <c r="B516" s="1" t="n">
        <v>45611.5953125</v>
      </c>
      <c r="C516" s="1" t="n">
        <v>45991</v>
      </c>
      <c r="D516" t="inlineStr">
        <is>
          <t>JÄMTLANDS LÄN</t>
        </is>
      </c>
      <c r="E516" t="inlineStr">
        <is>
          <t>RAGUNDA</t>
        </is>
      </c>
      <c r="G516" t="n">
        <v>3.8</v>
      </c>
      <c r="H516" t="n">
        <v>0</v>
      </c>
      <c r="I516" t="n">
        <v>0</v>
      </c>
      <c r="J516" t="n">
        <v>0</v>
      </c>
      <c r="K516" t="n">
        <v>0</v>
      </c>
      <c r="L516" t="n">
        <v>0</v>
      </c>
      <c r="M516" t="n">
        <v>0</v>
      </c>
      <c r="N516" t="n">
        <v>0</v>
      </c>
      <c r="O516" t="n">
        <v>0</v>
      </c>
      <c r="P516" t="n">
        <v>0</v>
      </c>
      <c r="Q516" t="n">
        <v>0</v>
      </c>
      <c r="R516" s="2" t="inlineStr"/>
    </row>
    <row r="517" ht="15" customHeight="1">
      <c r="A517" t="inlineStr">
        <is>
          <t>A 33621-2023</t>
        </is>
      </c>
      <c r="B517" s="1" t="n">
        <v>45119</v>
      </c>
      <c r="C517" s="1" t="n">
        <v>45991</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6694-2024</t>
        </is>
      </c>
      <c r="B518" s="1" t="n">
        <v>45341.95381944445</v>
      </c>
      <c r="C518" s="1" t="n">
        <v>45991</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39947-2025</t>
        </is>
      </c>
      <c r="B519" s="1" t="n">
        <v>45892.34438657408</v>
      </c>
      <c r="C519" s="1" t="n">
        <v>45991</v>
      </c>
      <c r="D519" t="inlineStr">
        <is>
          <t>JÄMTLANDS LÄN</t>
        </is>
      </c>
      <c r="E519" t="inlineStr">
        <is>
          <t>RAGUNDA</t>
        </is>
      </c>
      <c r="G519" t="n">
        <v>6.6</v>
      </c>
      <c r="H519" t="n">
        <v>0</v>
      </c>
      <c r="I519" t="n">
        <v>0</v>
      </c>
      <c r="J519" t="n">
        <v>0</v>
      </c>
      <c r="K519" t="n">
        <v>0</v>
      </c>
      <c r="L519" t="n">
        <v>0</v>
      </c>
      <c r="M519" t="n">
        <v>0</v>
      </c>
      <c r="N519" t="n">
        <v>0</v>
      </c>
      <c r="O519" t="n">
        <v>0</v>
      </c>
      <c r="P519" t="n">
        <v>0</v>
      </c>
      <c r="Q519" t="n">
        <v>0</v>
      </c>
      <c r="R519" s="2" t="inlineStr"/>
    </row>
    <row r="520" ht="15" customHeight="1">
      <c r="A520" t="inlineStr">
        <is>
          <t>A 39951-2025</t>
        </is>
      </c>
      <c r="B520" s="1" t="n">
        <v>45892.38657407407</v>
      </c>
      <c r="C520" s="1" t="n">
        <v>45991</v>
      </c>
      <c r="D520" t="inlineStr">
        <is>
          <t>JÄMTLANDS LÄN</t>
        </is>
      </c>
      <c r="E520" t="inlineStr">
        <is>
          <t>RAGUNDA</t>
        </is>
      </c>
      <c r="G520" t="n">
        <v>2.3</v>
      </c>
      <c r="H520" t="n">
        <v>0</v>
      </c>
      <c r="I520" t="n">
        <v>0</v>
      </c>
      <c r="J520" t="n">
        <v>0</v>
      </c>
      <c r="K520" t="n">
        <v>0</v>
      </c>
      <c r="L520" t="n">
        <v>0</v>
      </c>
      <c r="M520" t="n">
        <v>0</v>
      </c>
      <c r="N520" t="n">
        <v>0</v>
      </c>
      <c r="O520" t="n">
        <v>0</v>
      </c>
      <c r="P520" t="n">
        <v>0</v>
      </c>
      <c r="Q520" t="n">
        <v>0</v>
      </c>
      <c r="R520" s="2" t="inlineStr"/>
    </row>
    <row r="521" ht="15" customHeight="1">
      <c r="A521" t="inlineStr">
        <is>
          <t>A 39948-2025</t>
        </is>
      </c>
      <c r="B521" s="1" t="n">
        <v>45892.38591435185</v>
      </c>
      <c r="C521" s="1" t="n">
        <v>45991</v>
      </c>
      <c r="D521" t="inlineStr">
        <is>
          <t>JÄMTLANDS LÄN</t>
        </is>
      </c>
      <c r="E521" t="inlineStr">
        <is>
          <t>RAGUNDA</t>
        </is>
      </c>
      <c r="G521" t="n">
        <v>5</v>
      </c>
      <c r="H521" t="n">
        <v>0</v>
      </c>
      <c r="I521" t="n">
        <v>0</v>
      </c>
      <c r="J521" t="n">
        <v>0</v>
      </c>
      <c r="K521" t="n">
        <v>0</v>
      </c>
      <c r="L521" t="n">
        <v>0</v>
      </c>
      <c r="M521" t="n">
        <v>0</v>
      </c>
      <c r="N521" t="n">
        <v>0</v>
      </c>
      <c r="O521" t="n">
        <v>0</v>
      </c>
      <c r="P521" t="n">
        <v>0</v>
      </c>
      <c r="Q521" t="n">
        <v>0</v>
      </c>
      <c r="R521" s="2" t="inlineStr"/>
    </row>
    <row r="522" ht="15" customHeight="1">
      <c r="A522" t="inlineStr">
        <is>
          <t>A 39946-2025</t>
        </is>
      </c>
      <c r="B522" s="1" t="n">
        <v>45892.34423611111</v>
      </c>
      <c r="C522" s="1" t="n">
        <v>45991</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39950-2025</t>
        </is>
      </c>
      <c r="B523" s="1" t="n">
        <v>45892.38641203703</v>
      </c>
      <c r="C523" s="1" t="n">
        <v>45991</v>
      </c>
      <c r="D523" t="inlineStr">
        <is>
          <t>JÄMTLANDS LÄN</t>
        </is>
      </c>
      <c r="E523" t="inlineStr">
        <is>
          <t>RAGUNDA</t>
        </is>
      </c>
      <c r="G523" t="n">
        <v>1.1</v>
      </c>
      <c r="H523" t="n">
        <v>0</v>
      </c>
      <c r="I523" t="n">
        <v>0</v>
      </c>
      <c r="J523" t="n">
        <v>0</v>
      </c>
      <c r="K523" t="n">
        <v>0</v>
      </c>
      <c r="L523" t="n">
        <v>0</v>
      </c>
      <c r="M523" t="n">
        <v>0</v>
      </c>
      <c r="N523" t="n">
        <v>0</v>
      </c>
      <c r="O523" t="n">
        <v>0</v>
      </c>
      <c r="P523" t="n">
        <v>0</v>
      </c>
      <c r="Q523" t="n">
        <v>0</v>
      </c>
      <c r="R523" s="2" t="inlineStr"/>
    </row>
    <row r="524" ht="15" customHeight="1">
      <c r="A524" t="inlineStr">
        <is>
          <t>A 39955-2025</t>
        </is>
      </c>
      <c r="B524" s="1" t="n">
        <v>45892.44824074074</v>
      </c>
      <c r="C524" s="1" t="n">
        <v>45991</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39956-2025</t>
        </is>
      </c>
      <c r="B525" s="1" t="n">
        <v>45892.44840277778</v>
      </c>
      <c r="C525" s="1" t="n">
        <v>45991</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1537-2024</t>
        </is>
      </c>
      <c r="B526" s="1" t="n">
        <v>45306</v>
      </c>
      <c r="C526" s="1" t="n">
        <v>45991</v>
      </c>
      <c r="D526" t="inlineStr">
        <is>
          <t>JÄMTLANDS LÄN</t>
        </is>
      </c>
      <c r="E526" t="inlineStr">
        <is>
          <t>RAGUNDA</t>
        </is>
      </c>
      <c r="G526" t="n">
        <v>0.2</v>
      </c>
      <c r="H526" t="n">
        <v>0</v>
      </c>
      <c r="I526" t="n">
        <v>0</v>
      </c>
      <c r="J526" t="n">
        <v>0</v>
      </c>
      <c r="K526" t="n">
        <v>0</v>
      </c>
      <c r="L526" t="n">
        <v>0</v>
      </c>
      <c r="M526" t="n">
        <v>0</v>
      </c>
      <c r="N526" t="n">
        <v>0</v>
      </c>
      <c r="O526" t="n">
        <v>0</v>
      </c>
      <c r="P526" t="n">
        <v>0</v>
      </c>
      <c r="Q526" t="n">
        <v>0</v>
      </c>
      <c r="R526" s="2" t="inlineStr"/>
    </row>
    <row r="527" ht="15" customHeight="1">
      <c r="A527" t="inlineStr">
        <is>
          <t>A 60935-2024</t>
        </is>
      </c>
      <c r="B527" s="1" t="n">
        <v>45645.36740740741</v>
      </c>
      <c r="C527" s="1" t="n">
        <v>45991</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39949-2025</t>
        </is>
      </c>
      <c r="B528" s="1" t="n">
        <v>45892.38619212963</v>
      </c>
      <c r="C528" s="1" t="n">
        <v>45991</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2001-2025</t>
        </is>
      </c>
      <c r="B529" s="1" t="n">
        <v>45672.44898148148</v>
      </c>
      <c r="C529" s="1" t="n">
        <v>45991</v>
      </c>
      <c r="D529" t="inlineStr">
        <is>
          <t>JÄMTLANDS LÄN</t>
        </is>
      </c>
      <c r="E529" t="inlineStr">
        <is>
          <t>RAGUNDA</t>
        </is>
      </c>
      <c r="F529" t="inlineStr">
        <is>
          <t>SCA</t>
        </is>
      </c>
      <c r="G529" t="n">
        <v>16.2</v>
      </c>
      <c r="H529" t="n">
        <v>0</v>
      </c>
      <c r="I529" t="n">
        <v>0</v>
      </c>
      <c r="J529" t="n">
        <v>0</v>
      </c>
      <c r="K529" t="n">
        <v>0</v>
      </c>
      <c r="L529" t="n">
        <v>0</v>
      </c>
      <c r="M529" t="n">
        <v>0</v>
      </c>
      <c r="N529" t="n">
        <v>0</v>
      </c>
      <c r="O529" t="n">
        <v>0</v>
      </c>
      <c r="P529" t="n">
        <v>0</v>
      </c>
      <c r="Q529" t="n">
        <v>0</v>
      </c>
      <c r="R529" s="2" t="inlineStr"/>
    </row>
    <row r="530" ht="15" customHeight="1">
      <c r="A530" t="inlineStr">
        <is>
          <t>A 53762-2023</t>
        </is>
      </c>
      <c r="B530" s="1" t="n">
        <v>45230.96376157407</v>
      </c>
      <c r="C530" s="1" t="n">
        <v>45991</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6257-2025</t>
        </is>
      </c>
      <c r="B531" s="1" t="n">
        <v>45698.59409722222</v>
      </c>
      <c r="C531" s="1" t="n">
        <v>45991</v>
      </c>
      <c r="D531" t="inlineStr">
        <is>
          <t>JÄMTLANDS LÄN</t>
        </is>
      </c>
      <c r="E531" t="inlineStr">
        <is>
          <t>RAGUNDA</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14074-2023</t>
        </is>
      </c>
      <c r="B532" s="1" t="n">
        <v>45009.089375</v>
      </c>
      <c r="C532" s="1" t="n">
        <v>45991</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37265-2024</t>
        </is>
      </c>
      <c r="B533" s="1" t="n">
        <v>45540.38564814815</v>
      </c>
      <c r="C533" s="1" t="n">
        <v>45991</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19089-2024</t>
        </is>
      </c>
      <c r="B534" s="1" t="n">
        <v>45428.00471064815</v>
      </c>
      <c r="C534" s="1" t="n">
        <v>45991</v>
      </c>
      <c r="D534" t="inlineStr">
        <is>
          <t>JÄMTLANDS LÄN</t>
        </is>
      </c>
      <c r="E534" t="inlineStr">
        <is>
          <t>RAGUNDA</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40586-2025</t>
        </is>
      </c>
      <c r="B535" s="1" t="n">
        <v>45896.52478009259</v>
      </c>
      <c r="C535" s="1" t="n">
        <v>45991</v>
      </c>
      <c r="D535" t="inlineStr">
        <is>
          <t>JÄMTLANDS LÄN</t>
        </is>
      </c>
      <c r="E535" t="inlineStr">
        <is>
          <t>RAGUNDA</t>
        </is>
      </c>
      <c r="G535" t="n">
        <v>1.2</v>
      </c>
      <c r="H535" t="n">
        <v>0</v>
      </c>
      <c r="I535" t="n">
        <v>0</v>
      </c>
      <c r="J535" t="n">
        <v>0</v>
      </c>
      <c r="K535" t="n">
        <v>0</v>
      </c>
      <c r="L535" t="n">
        <v>0</v>
      </c>
      <c r="M535" t="n">
        <v>0</v>
      </c>
      <c r="N535" t="n">
        <v>0</v>
      </c>
      <c r="O535" t="n">
        <v>0</v>
      </c>
      <c r="P535" t="n">
        <v>0</v>
      </c>
      <c r="Q535" t="n">
        <v>0</v>
      </c>
      <c r="R535" s="2" t="inlineStr"/>
    </row>
    <row r="536" ht="15" customHeight="1">
      <c r="A536" t="inlineStr">
        <is>
          <t>A 18777-2024</t>
        </is>
      </c>
      <c r="B536" s="1" t="n">
        <v>45426</v>
      </c>
      <c r="C536" s="1" t="n">
        <v>45991</v>
      </c>
      <c r="D536" t="inlineStr">
        <is>
          <t>JÄMTLANDS LÄN</t>
        </is>
      </c>
      <c r="E536" t="inlineStr">
        <is>
          <t>RAGUNDA</t>
        </is>
      </c>
      <c r="G536" t="n">
        <v>1.9</v>
      </c>
      <c r="H536" t="n">
        <v>0</v>
      </c>
      <c r="I536" t="n">
        <v>0</v>
      </c>
      <c r="J536" t="n">
        <v>0</v>
      </c>
      <c r="K536" t="n">
        <v>0</v>
      </c>
      <c r="L536" t="n">
        <v>0</v>
      </c>
      <c r="M536" t="n">
        <v>0</v>
      </c>
      <c r="N536" t="n">
        <v>0</v>
      </c>
      <c r="O536" t="n">
        <v>0</v>
      </c>
      <c r="P536" t="n">
        <v>0</v>
      </c>
      <c r="Q536" t="n">
        <v>0</v>
      </c>
      <c r="R536" s="2" t="inlineStr"/>
    </row>
    <row r="537" ht="15" customHeight="1">
      <c r="A537" t="inlineStr">
        <is>
          <t>A 27510-2025</t>
        </is>
      </c>
      <c r="B537" s="1" t="n">
        <v>45813.42790509259</v>
      </c>
      <c r="C537" s="1" t="n">
        <v>45991</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19404-2025</t>
        </is>
      </c>
      <c r="B538" s="1" t="n">
        <v>45769.67802083334</v>
      </c>
      <c r="C538" s="1" t="n">
        <v>45991</v>
      </c>
      <c r="D538" t="inlineStr">
        <is>
          <t>JÄMTLANDS LÄN</t>
        </is>
      </c>
      <c r="E538" t="inlineStr">
        <is>
          <t>RAGUNDA</t>
        </is>
      </c>
      <c r="F538" t="inlineStr">
        <is>
          <t>SCA</t>
        </is>
      </c>
      <c r="G538" t="n">
        <v>3</v>
      </c>
      <c r="H538" t="n">
        <v>0</v>
      </c>
      <c r="I538" t="n">
        <v>0</v>
      </c>
      <c r="J538" t="n">
        <v>0</v>
      </c>
      <c r="K538" t="n">
        <v>0</v>
      </c>
      <c r="L538" t="n">
        <v>0</v>
      </c>
      <c r="M538" t="n">
        <v>0</v>
      </c>
      <c r="N538" t="n">
        <v>0</v>
      </c>
      <c r="O538" t="n">
        <v>0</v>
      </c>
      <c r="P538" t="n">
        <v>0</v>
      </c>
      <c r="Q538" t="n">
        <v>0</v>
      </c>
      <c r="R538" s="2" t="inlineStr"/>
      <c r="U538">
        <f>HYPERLINK("https://klasma.github.io/Logging_2303/knärot/A 19404-2025 karta knärot.png", "A 19404-2025")</f>
        <v/>
      </c>
      <c r="V538">
        <f>HYPERLINK("https://klasma.github.io/Logging_2303/klagomål/A 19404-2025 FSC-klagomål.docx", "A 19404-2025")</f>
        <v/>
      </c>
      <c r="W538">
        <f>HYPERLINK("https://klasma.github.io/Logging_2303/klagomålsmail/A 19404-2025 FSC-klagomål mail.docx", "A 19404-2025")</f>
        <v/>
      </c>
      <c r="X538">
        <f>HYPERLINK("https://klasma.github.io/Logging_2303/tillsyn/A 19404-2025 tillsynsbegäran.docx", "A 19404-2025")</f>
        <v/>
      </c>
      <c r="Y538">
        <f>HYPERLINK("https://klasma.github.io/Logging_2303/tillsynsmail/A 19404-2025 tillsynsbegäran mail.docx", "A 19404-2025")</f>
        <v/>
      </c>
    </row>
    <row r="539" ht="15" customHeight="1">
      <c r="A539" t="inlineStr">
        <is>
          <t>A 58564-2024</t>
        </is>
      </c>
      <c r="B539" s="1" t="n">
        <v>45635.47243055556</v>
      </c>
      <c r="C539" s="1" t="n">
        <v>45991</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8243-2024</t>
        </is>
      </c>
      <c r="B540" s="1" t="n">
        <v>45351.98532407408</v>
      </c>
      <c r="C540" s="1" t="n">
        <v>45991</v>
      </c>
      <c r="D540" t="inlineStr">
        <is>
          <t>JÄMTLANDS LÄN</t>
        </is>
      </c>
      <c r="E540" t="inlineStr">
        <is>
          <t>RAGUNDA</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1325-2025</t>
        </is>
      </c>
      <c r="B541" s="1" t="n">
        <v>45667.57342592593</v>
      </c>
      <c r="C541" s="1" t="n">
        <v>45991</v>
      </c>
      <c r="D541" t="inlineStr">
        <is>
          <t>JÄMTLANDS LÄN</t>
        </is>
      </c>
      <c r="E541" t="inlineStr">
        <is>
          <t>RAGUNDA</t>
        </is>
      </c>
      <c r="F541" t="inlineStr">
        <is>
          <t>SCA</t>
        </is>
      </c>
      <c r="G541" t="n">
        <v>20.2</v>
      </c>
      <c r="H541" t="n">
        <v>0</v>
      </c>
      <c r="I541" t="n">
        <v>0</v>
      </c>
      <c r="J541" t="n">
        <v>0</v>
      </c>
      <c r="K541" t="n">
        <v>0</v>
      </c>
      <c r="L541" t="n">
        <v>0</v>
      </c>
      <c r="M541" t="n">
        <v>0</v>
      </c>
      <c r="N541" t="n">
        <v>0</v>
      </c>
      <c r="O541" t="n">
        <v>0</v>
      </c>
      <c r="P541" t="n">
        <v>0</v>
      </c>
      <c r="Q541" t="n">
        <v>0</v>
      </c>
      <c r="R541" s="2" t="inlineStr"/>
    </row>
    <row r="542" ht="15" customHeight="1">
      <c r="A542" t="inlineStr">
        <is>
          <t>A 41161-2025</t>
        </is>
      </c>
      <c r="B542" s="1" t="n">
        <v>45898.53193287037</v>
      </c>
      <c r="C542" s="1" t="n">
        <v>45991</v>
      </c>
      <c r="D542" t="inlineStr">
        <is>
          <t>JÄMTLANDS LÄN</t>
        </is>
      </c>
      <c r="E542" t="inlineStr">
        <is>
          <t>RAGUNDA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41233-2025</t>
        </is>
      </c>
      <c r="B543" s="1" t="n">
        <v>45898.59295138889</v>
      </c>
      <c r="C543" s="1" t="n">
        <v>45991</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18159-2023</t>
        </is>
      </c>
      <c r="B544" s="1" t="n">
        <v>45040.94277777777</v>
      </c>
      <c r="C544" s="1" t="n">
        <v>45991</v>
      </c>
      <c r="D544" t="inlineStr">
        <is>
          <t>JÄMTLANDS LÄN</t>
        </is>
      </c>
      <c r="E544" t="inlineStr">
        <is>
          <t>RAGUNDA</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41262-2025</t>
        </is>
      </c>
      <c r="B545" s="1" t="n">
        <v>45898.61502314815</v>
      </c>
      <c r="C545" s="1" t="n">
        <v>45991</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18989-2025</t>
        </is>
      </c>
      <c r="B546" s="1" t="n">
        <v>45764</v>
      </c>
      <c r="C546" s="1" t="n">
        <v>45991</v>
      </c>
      <c r="D546" t="inlineStr">
        <is>
          <t>JÄMTLANDS LÄN</t>
        </is>
      </c>
      <c r="E546" t="inlineStr">
        <is>
          <t>RAGUNDA</t>
        </is>
      </c>
      <c r="G546" t="n">
        <v>0.9</v>
      </c>
      <c r="H546" t="n">
        <v>0</v>
      </c>
      <c r="I546" t="n">
        <v>0</v>
      </c>
      <c r="J546" t="n">
        <v>0</v>
      </c>
      <c r="K546" t="n">
        <v>0</v>
      </c>
      <c r="L546" t="n">
        <v>0</v>
      </c>
      <c r="M546" t="n">
        <v>0</v>
      </c>
      <c r="N546" t="n">
        <v>0</v>
      </c>
      <c r="O546" t="n">
        <v>0</v>
      </c>
      <c r="P546" t="n">
        <v>0</v>
      </c>
      <c r="Q546" t="n">
        <v>0</v>
      </c>
      <c r="R546" s="2" t="inlineStr"/>
    </row>
    <row r="547" ht="15" customHeight="1">
      <c r="A547" t="inlineStr">
        <is>
          <t>A 19486-2024</t>
        </is>
      </c>
      <c r="B547" s="1" t="n">
        <v>45429</v>
      </c>
      <c r="C547" s="1" t="n">
        <v>45991</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1326-2025</t>
        </is>
      </c>
      <c r="B548" s="1" t="n">
        <v>45667.57347222222</v>
      </c>
      <c r="C548" s="1" t="n">
        <v>45991</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30642-2024</t>
        </is>
      </c>
      <c r="B549" s="1" t="n">
        <v>45495.57677083334</v>
      </c>
      <c r="C549" s="1" t="n">
        <v>45991</v>
      </c>
      <c r="D549" t="inlineStr">
        <is>
          <t>JÄMTLANDS LÄN</t>
        </is>
      </c>
      <c r="E549" t="inlineStr">
        <is>
          <t>RAGUNDA</t>
        </is>
      </c>
      <c r="G549" t="n">
        <v>2.7</v>
      </c>
      <c r="H549" t="n">
        <v>0</v>
      </c>
      <c r="I549" t="n">
        <v>0</v>
      </c>
      <c r="J549" t="n">
        <v>0</v>
      </c>
      <c r="K549" t="n">
        <v>0</v>
      </c>
      <c r="L549" t="n">
        <v>0</v>
      </c>
      <c r="M549" t="n">
        <v>0</v>
      </c>
      <c r="N549" t="n">
        <v>0</v>
      </c>
      <c r="O549" t="n">
        <v>0</v>
      </c>
      <c r="P549" t="n">
        <v>0</v>
      </c>
      <c r="Q549" t="n">
        <v>0</v>
      </c>
      <c r="R549" s="2" t="inlineStr"/>
    </row>
    <row r="550" ht="15" customHeight="1">
      <c r="A550" t="inlineStr">
        <is>
          <t>A 41423-2025</t>
        </is>
      </c>
      <c r="B550" s="1" t="n">
        <v>45901.38578703703</v>
      </c>
      <c r="C550" s="1" t="n">
        <v>45991</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45991</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45991</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28081-2022</t>
        </is>
      </c>
      <c r="B553" s="1" t="n">
        <v>44746</v>
      </c>
      <c r="C553" s="1" t="n">
        <v>45991</v>
      </c>
      <c r="D553" t="inlineStr">
        <is>
          <t>JÄMTLANDS LÄN</t>
        </is>
      </c>
      <c r="E553" t="inlineStr">
        <is>
          <t>RAGUNDA</t>
        </is>
      </c>
      <c r="G553" t="n">
        <v>7.2</v>
      </c>
      <c r="H553" t="n">
        <v>0</v>
      </c>
      <c r="I553" t="n">
        <v>0</v>
      </c>
      <c r="J553" t="n">
        <v>0</v>
      </c>
      <c r="K553" t="n">
        <v>0</v>
      </c>
      <c r="L553" t="n">
        <v>0</v>
      </c>
      <c r="M553" t="n">
        <v>0</v>
      </c>
      <c r="N553" t="n">
        <v>0</v>
      </c>
      <c r="O553" t="n">
        <v>0</v>
      </c>
      <c r="P553" t="n">
        <v>0</v>
      </c>
      <c r="Q553" t="n">
        <v>0</v>
      </c>
      <c r="R553" s="2" t="inlineStr"/>
    </row>
    <row r="554" ht="15" customHeight="1">
      <c r="A554" t="inlineStr">
        <is>
          <t>A 41424-2025</t>
        </is>
      </c>
      <c r="B554" s="1" t="n">
        <v>45901.38584490741</v>
      </c>
      <c r="C554" s="1" t="n">
        <v>45991</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41140-2025</t>
        </is>
      </c>
      <c r="B555" s="1" t="n">
        <v>45898.49012731481</v>
      </c>
      <c r="C555" s="1" t="n">
        <v>45991</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41422-2025</t>
        </is>
      </c>
      <c r="B556" s="1" t="n">
        <v>45901.38572916666</v>
      </c>
      <c r="C556" s="1" t="n">
        <v>45991</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45991</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28637-2025</t>
        </is>
      </c>
      <c r="B558" s="1" t="n">
        <v>45819.6359375</v>
      </c>
      <c r="C558" s="1" t="n">
        <v>45991</v>
      </c>
      <c r="D558" t="inlineStr">
        <is>
          <t>JÄMTLANDS LÄN</t>
        </is>
      </c>
      <c r="E558" t="inlineStr">
        <is>
          <t>RAGUNDA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51049-2024</t>
        </is>
      </c>
      <c r="B559" s="1" t="n">
        <v>45603.44644675926</v>
      </c>
      <c r="C559" s="1" t="n">
        <v>45991</v>
      </c>
      <c r="D559" t="inlineStr">
        <is>
          <t>JÄMTLANDS LÄN</t>
        </is>
      </c>
      <c r="E559" t="inlineStr">
        <is>
          <t>RAGUNDA</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44759-2024</t>
        </is>
      </c>
      <c r="B560" s="1" t="n">
        <v>45574.61634259259</v>
      </c>
      <c r="C560" s="1" t="n">
        <v>45991</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37324-2022</t>
        </is>
      </c>
      <c r="B561" s="1" t="n">
        <v>44806</v>
      </c>
      <c r="C561" s="1" t="n">
        <v>45991</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28973-2025</t>
        </is>
      </c>
      <c r="B562" s="1" t="n">
        <v>45821.34513888889</v>
      </c>
      <c r="C562" s="1" t="n">
        <v>45991</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41656-2025</t>
        </is>
      </c>
      <c r="B563" s="1" t="n">
        <v>45902.34423611111</v>
      </c>
      <c r="C563" s="1" t="n">
        <v>45991</v>
      </c>
      <c r="D563" t="inlineStr">
        <is>
          <t>JÄMTLANDS LÄN</t>
        </is>
      </c>
      <c r="E563" t="inlineStr">
        <is>
          <t>RAGUNDA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41343-2024</t>
        </is>
      </c>
      <c r="B564" s="1" t="n">
        <v>45559.67745370371</v>
      </c>
      <c r="C564" s="1" t="n">
        <v>45991</v>
      </c>
      <c r="D564" t="inlineStr">
        <is>
          <t>JÄMTLANDS LÄN</t>
        </is>
      </c>
      <c r="E564" t="inlineStr">
        <is>
          <t>RAGUNDA</t>
        </is>
      </c>
      <c r="F564" t="inlineStr">
        <is>
          <t>SCA</t>
        </is>
      </c>
      <c r="G564" t="n">
        <v>25.1</v>
      </c>
      <c r="H564" t="n">
        <v>0</v>
      </c>
      <c r="I564" t="n">
        <v>0</v>
      </c>
      <c r="J564" t="n">
        <v>0</v>
      </c>
      <c r="K564" t="n">
        <v>0</v>
      </c>
      <c r="L564" t="n">
        <v>0</v>
      </c>
      <c r="M564" t="n">
        <v>0</v>
      </c>
      <c r="N564" t="n">
        <v>0</v>
      </c>
      <c r="O564" t="n">
        <v>0</v>
      </c>
      <c r="P564" t="n">
        <v>0</v>
      </c>
      <c r="Q564" t="n">
        <v>0</v>
      </c>
      <c r="R564" s="2" t="inlineStr"/>
    </row>
    <row r="565" ht="15" customHeight="1">
      <c r="A565" t="inlineStr">
        <is>
          <t>A 45953-2023</t>
        </is>
      </c>
      <c r="B565" s="1" t="n">
        <v>45195.94672453704</v>
      </c>
      <c r="C565" s="1" t="n">
        <v>45991</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16982-2024</t>
        </is>
      </c>
      <c r="B566" s="1" t="n">
        <v>45412.02506944445</v>
      </c>
      <c r="C566" s="1" t="n">
        <v>45991</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49650-2024</t>
        </is>
      </c>
      <c r="B567" s="1" t="n">
        <v>45596.61569444444</v>
      </c>
      <c r="C567" s="1" t="n">
        <v>45991</v>
      </c>
      <c r="D567" t="inlineStr">
        <is>
          <t>JÄMTLANDS LÄN</t>
        </is>
      </c>
      <c r="E567" t="inlineStr">
        <is>
          <t>RAGUNDA</t>
        </is>
      </c>
      <c r="F567" t="inlineStr">
        <is>
          <t>Naturvårdsverket</t>
        </is>
      </c>
      <c r="G567" t="n">
        <v>3</v>
      </c>
      <c r="H567" t="n">
        <v>0</v>
      </c>
      <c r="I567" t="n">
        <v>0</v>
      </c>
      <c r="J567" t="n">
        <v>0</v>
      </c>
      <c r="K567" t="n">
        <v>0</v>
      </c>
      <c r="L567" t="n">
        <v>0</v>
      </c>
      <c r="M567" t="n">
        <v>0</v>
      </c>
      <c r="N567" t="n">
        <v>0</v>
      </c>
      <c r="O567" t="n">
        <v>0</v>
      </c>
      <c r="P567" t="n">
        <v>0</v>
      </c>
      <c r="Q567" t="n">
        <v>0</v>
      </c>
      <c r="R567" s="2" t="inlineStr"/>
    </row>
    <row r="568" ht="15" customHeight="1">
      <c r="A568" t="inlineStr">
        <is>
          <t>A 49651-2024</t>
        </is>
      </c>
      <c r="B568" s="1" t="n">
        <v>45596.61582175926</v>
      </c>
      <c r="C568" s="1" t="n">
        <v>45991</v>
      </c>
      <c r="D568" t="inlineStr">
        <is>
          <t>JÄMTLANDS LÄN</t>
        </is>
      </c>
      <c r="E568" t="inlineStr">
        <is>
          <t>RAGUNDA</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29731-2025</t>
        </is>
      </c>
      <c r="B569" s="1" t="n">
        <v>45825.58252314815</v>
      </c>
      <c r="C569" s="1" t="n">
        <v>45991</v>
      </c>
      <c r="D569" t="inlineStr">
        <is>
          <t>JÄMTLANDS LÄN</t>
        </is>
      </c>
      <c r="E569" t="inlineStr">
        <is>
          <t>RAGUNDA</t>
        </is>
      </c>
      <c r="G569" t="n">
        <v>2.3</v>
      </c>
      <c r="H569" t="n">
        <v>0</v>
      </c>
      <c r="I569" t="n">
        <v>0</v>
      </c>
      <c r="J569" t="n">
        <v>0</v>
      </c>
      <c r="K569" t="n">
        <v>0</v>
      </c>
      <c r="L569" t="n">
        <v>0</v>
      </c>
      <c r="M569" t="n">
        <v>0</v>
      </c>
      <c r="N569" t="n">
        <v>0</v>
      </c>
      <c r="O569" t="n">
        <v>0</v>
      </c>
      <c r="P569" t="n">
        <v>0</v>
      </c>
      <c r="Q569" t="n">
        <v>0</v>
      </c>
      <c r="R569" s="2" t="inlineStr"/>
    </row>
    <row r="570" ht="15" customHeight="1">
      <c r="A570" t="inlineStr">
        <is>
          <t>A 29723-2025</t>
        </is>
      </c>
      <c r="B570" s="1" t="n">
        <v>45825.57675925926</v>
      </c>
      <c r="C570" s="1" t="n">
        <v>45991</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64264-2023</t>
        </is>
      </c>
      <c r="B571" s="1" t="n">
        <v>45279.94564814815</v>
      </c>
      <c r="C571" s="1" t="n">
        <v>45991</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45991</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42893-2022</t>
        </is>
      </c>
      <c r="B573" s="1" t="n">
        <v>44832</v>
      </c>
      <c r="C573" s="1" t="n">
        <v>45991</v>
      </c>
      <c r="D573" t="inlineStr">
        <is>
          <t>JÄMTLANDS LÄN</t>
        </is>
      </c>
      <c r="E573" t="inlineStr">
        <is>
          <t>RAGUNDA</t>
        </is>
      </c>
      <c r="F573" t="inlineStr">
        <is>
          <t>SCA</t>
        </is>
      </c>
      <c r="G573" t="n">
        <v>28.4</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45991</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30088-2025</t>
        </is>
      </c>
      <c r="B575" s="1" t="n">
        <v>45826.65759259259</v>
      </c>
      <c r="C575" s="1" t="n">
        <v>45991</v>
      </c>
      <c r="D575" t="inlineStr">
        <is>
          <t>JÄMTLANDS LÄN</t>
        </is>
      </c>
      <c r="E575" t="inlineStr">
        <is>
          <t>RAGUNDA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30348-2025</t>
        </is>
      </c>
      <c r="B576" s="1" t="n">
        <v>45827.53178240741</v>
      </c>
      <c r="C576" s="1" t="n">
        <v>45991</v>
      </c>
      <c r="D576" t="inlineStr">
        <is>
          <t>JÄMTLANDS LÄN</t>
        </is>
      </c>
      <c r="E576" t="inlineStr">
        <is>
          <t>RAGUNDA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51791-2025</t>
        </is>
      </c>
      <c r="B577" s="1" t="n">
        <v>45951.69833333333</v>
      </c>
      <c r="C577" s="1" t="n">
        <v>45991</v>
      </c>
      <c r="D577" t="inlineStr">
        <is>
          <t>JÄMTLANDS LÄN</t>
        </is>
      </c>
      <c r="E577" t="inlineStr">
        <is>
          <t>RAGUNDA</t>
        </is>
      </c>
      <c r="F577" t="inlineStr">
        <is>
          <t>SCA</t>
        </is>
      </c>
      <c r="G577" t="n">
        <v>43.3</v>
      </c>
      <c r="H577" t="n">
        <v>0</v>
      </c>
      <c r="I577" t="n">
        <v>0</v>
      </c>
      <c r="J577" t="n">
        <v>0</v>
      </c>
      <c r="K577" t="n">
        <v>0</v>
      </c>
      <c r="L577" t="n">
        <v>0</v>
      </c>
      <c r="M577" t="n">
        <v>0</v>
      </c>
      <c r="N577" t="n">
        <v>0</v>
      </c>
      <c r="O577" t="n">
        <v>0</v>
      </c>
      <c r="P577" t="n">
        <v>0</v>
      </c>
      <c r="Q577" t="n">
        <v>0</v>
      </c>
      <c r="R577" s="2" t="inlineStr"/>
    </row>
    <row r="578" ht="15" customHeight="1">
      <c r="A578" t="inlineStr">
        <is>
          <t>A 51484-2025</t>
        </is>
      </c>
      <c r="B578" s="1" t="n">
        <v>45950.62196759259</v>
      </c>
      <c r="C578" s="1" t="n">
        <v>45991</v>
      </c>
      <c r="D578" t="inlineStr">
        <is>
          <t>JÄMTLANDS LÄN</t>
        </is>
      </c>
      <c r="E578" t="inlineStr">
        <is>
          <t>RAGUNDA</t>
        </is>
      </c>
      <c r="F578" t="inlineStr">
        <is>
          <t>SCA</t>
        </is>
      </c>
      <c r="G578" t="n">
        <v>23.1</v>
      </c>
      <c r="H578" t="n">
        <v>0</v>
      </c>
      <c r="I578" t="n">
        <v>0</v>
      </c>
      <c r="J578" t="n">
        <v>0</v>
      </c>
      <c r="K578" t="n">
        <v>0</v>
      </c>
      <c r="L578" t="n">
        <v>0</v>
      </c>
      <c r="M578" t="n">
        <v>0</v>
      </c>
      <c r="N578" t="n">
        <v>0</v>
      </c>
      <c r="O578" t="n">
        <v>0</v>
      </c>
      <c r="P578" t="n">
        <v>0</v>
      </c>
      <c r="Q578" t="n">
        <v>0</v>
      </c>
      <c r="R578" s="2" t="inlineStr"/>
    </row>
    <row r="579" ht="15" customHeight="1">
      <c r="A579" t="inlineStr">
        <is>
          <t>A 30434-2025</t>
        </is>
      </c>
      <c r="B579" s="1" t="n">
        <v>45827.63582175926</v>
      </c>
      <c r="C579" s="1" t="n">
        <v>45991</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29940-2023</t>
        </is>
      </c>
      <c r="B580" s="1" t="n">
        <v>45107</v>
      </c>
      <c r="C580" s="1" t="n">
        <v>45991</v>
      </c>
      <c r="D580" t="inlineStr">
        <is>
          <t>JÄMTLANDS LÄN</t>
        </is>
      </c>
      <c r="E580" t="inlineStr">
        <is>
          <t>RAGUNDA</t>
        </is>
      </c>
      <c r="G580" t="n">
        <v>13.5</v>
      </c>
      <c r="H580" t="n">
        <v>0</v>
      </c>
      <c r="I580" t="n">
        <v>0</v>
      </c>
      <c r="J580" t="n">
        <v>0</v>
      </c>
      <c r="K580" t="n">
        <v>0</v>
      </c>
      <c r="L580" t="n">
        <v>0</v>
      </c>
      <c r="M580" t="n">
        <v>0</v>
      </c>
      <c r="N580" t="n">
        <v>0</v>
      </c>
      <c r="O580" t="n">
        <v>0</v>
      </c>
      <c r="P580" t="n">
        <v>0</v>
      </c>
      <c r="Q580" t="n">
        <v>0</v>
      </c>
      <c r="R580" s="2" t="inlineStr"/>
    </row>
    <row r="581" ht="15" customHeight="1">
      <c r="A581" t="inlineStr">
        <is>
          <t>A 51593-2025</t>
        </is>
      </c>
      <c r="B581" s="1" t="n">
        <v>45951.36548611111</v>
      </c>
      <c r="C581" s="1" t="n">
        <v>45991</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51592-2025</t>
        </is>
      </c>
      <c r="B582" s="1" t="n">
        <v>45951.36541666667</v>
      </c>
      <c r="C582" s="1" t="n">
        <v>45991</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31463-2024</t>
        </is>
      </c>
      <c r="B583" s="1" t="n">
        <v>45505</v>
      </c>
      <c r="C583" s="1" t="n">
        <v>45991</v>
      </c>
      <c r="D583" t="inlineStr">
        <is>
          <t>JÄMTLANDS LÄN</t>
        </is>
      </c>
      <c r="E583" t="inlineStr">
        <is>
          <t>RAGUNDA</t>
        </is>
      </c>
      <c r="F583" t="inlineStr">
        <is>
          <t>SCA</t>
        </is>
      </c>
      <c r="G583" t="n">
        <v>20.3</v>
      </c>
      <c r="H583" t="n">
        <v>0</v>
      </c>
      <c r="I583" t="n">
        <v>0</v>
      </c>
      <c r="J583" t="n">
        <v>0</v>
      </c>
      <c r="K583" t="n">
        <v>0</v>
      </c>
      <c r="L583" t="n">
        <v>0</v>
      </c>
      <c r="M583" t="n">
        <v>0</v>
      </c>
      <c r="N583" t="n">
        <v>0</v>
      </c>
      <c r="O583" t="n">
        <v>0</v>
      </c>
      <c r="P583" t="n">
        <v>0</v>
      </c>
      <c r="Q583" t="n">
        <v>0</v>
      </c>
      <c r="R583" s="2" t="inlineStr"/>
    </row>
    <row r="584" ht="15" customHeight="1">
      <c r="A584" t="inlineStr">
        <is>
          <t>A 51702-2025</t>
        </is>
      </c>
      <c r="B584" s="1" t="n">
        <v>45951.55305555555</v>
      </c>
      <c r="C584" s="1" t="n">
        <v>45991</v>
      </c>
      <c r="D584" t="inlineStr">
        <is>
          <t>JÄMTLANDS LÄN</t>
        </is>
      </c>
      <c r="E584" t="inlineStr">
        <is>
          <t>RAGUNDA</t>
        </is>
      </c>
      <c r="G584" t="n">
        <v>11.4</v>
      </c>
      <c r="H584" t="n">
        <v>0</v>
      </c>
      <c r="I584" t="n">
        <v>0</v>
      </c>
      <c r="J584" t="n">
        <v>0</v>
      </c>
      <c r="K584" t="n">
        <v>0</v>
      </c>
      <c r="L584" t="n">
        <v>0</v>
      </c>
      <c r="M584" t="n">
        <v>0</v>
      </c>
      <c r="N584" t="n">
        <v>0</v>
      </c>
      <c r="O584" t="n">
        <v>0</v>
      </c>
      <c r="P584" t="n">
        <v>0</v>
      </c>
      <c r="Q584" t="n">
        <v>0</v>
      </c>
      <c r="R584" s="2" t="inlineStr"/>
    </row>
    <row r="585" ht="15" customHeight="1">
      <c r="A585" t="inlineStr">
        <is>
          <t>A 23303-2024</t>
        </is>
      </c>
      <c r="B585" s="1" t="n">
        <v>45453.4444212963</v>
      </c>
      <c r="C585" s="1" t="n">
        <v>45991</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179-2025</t>
        </is>
      </c>
      <c r="B586" s="1" t="n">
        <v>45659.69822916666</v>
      </c>
      <c r="C586" s="1" t="n">
        <v>45991</v>
      </c>
      <c r="D586" t="inlineStr">
        <is>
          <t>JÄMTLANDS LÄN</t>
        </is>
      </c>
      <c r="E586" t="inlineStr">
        <is>
          <t>RAGUNDA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30887-2025</t>
        </is>
      </c>
      <c r="B587" s="1" t="n">
        <v>45832.3459375</v>
      </c>
      <c r="C587" s="1" t="n">
        <v>45991</v>
      </c>
      <c r="D587" t="inlineStr">
        <is>
          <t>JÄMTLANDS LÄN</t>
        </is>
      </c>
      <c r="E587" t="inlineStr">
        <is>
          <t>RAGUNDA</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22412-2024</t>
        </is>
      </c>
      <c r="B588" s="1" t="n">
        <v>45446.68947916666</v>
      </c>
      <c r="C588" s="1" t="n">
        <v>45991</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51395-2025</t>
        </is>
      </c>
      <c r="B589" s="1" t="n">
        <v>45950.46989583333</v>
      </c>
      <c r="C589" s="1" t="n">
        <v>45991</v>
      </c>
      <c r="D589" t="inlineStr">
        <is>
          <t>JÄMTLANDS LÄN</t>
        </is>
      </c>
      <c r="E589" t="inlineStr">
        <is>
          <t>RAGUNDA</t>
        </is>
      </c>
      <c r="F589" t="inlineStr">
        <is>
          <t>SCA</t>
        </is>
      </c>
      <c r="G589" t="n">
        <v>30.7</v>
      </c>
      <c r="H589" t="n">
        <v>0</v>
      </c>
      <c r="I589" t="n">
        <v>0</v>
      </c>
      <c r="J589" t="n">
        <v>0</v>
      </c>
      <c r="K589" t="n">
        <v>0</v>
      </c>
      <c r="L589" t="n">
        <v>0</v>
      </c>
      <c r="M589" t="n">
        <v>0</v>
      </c>
      <c r="N589" t="n">
        <v>0</v>
      </c>
      <c r="O589" t="n">
        <v>0</v>
      </c>
      <c r="P589" t="n">
        <v>0</v>
      </c>
      <c r="Q589" t="n">
        <v>0</v>
      </c>
      <c r="R589" s="2" t="inlineStr"/>
    </row>
    <row r="590" ht="15" customHeight="1">
      <c r="A590" t="inlineStr">
        <is>
          <t>A 33763-2025</t>
        </is>
      </c>
      <c r="B590" s="1" t="n">
        <v>45842.38579861111</v>
      </c>
      <c r="C590" s="1" t="n">
        <v>45991</v>
      </c>
      <c r="D590" t="inlineStr">
        <is>
          <t>JÄMTLANDS LÄN</t>
        </is>
      </c>
      <c r="E590" t="inlineStr">
        <is>
          <t>RAGUNDA</t>
        </is>
      </c>
      <c r="F590" t="inlineStr">
        <is>
          <t>SCA</t>
        </is>
      </c>
      <c r="G590" t="n">
        <v>13.4</v>
      </c>
      <c r="H590" t="n">
        <v>0</v>
      </c>
      <c r="I590" t="n">
        <v>0</v>
      </c>
      <c r="J590" t="n">
        <v>0</v>
      </c>
      <c r="K590" t="n">
        <v>0</v>
      </c>
      <c r="L590" t="n">
        <v>0</v>
      </c>
      <c r="M590" t="n">
        <v>0</v>
      </c>
      <c r="N590" t="n">
        <v>0</v>
      </c>
      <c r="O590" t="n">
        <v>0</v>
      </c>
      <c r="P590" t="n">
        <v>0</v>
      </c>
      <c r="Q590" t="n">
        <v>0</v>
      </c>
      <c r="R590" s="2" t="inlineStr"/>
    </row>
    <row r="591" ht="15" customHeight="1">
      <c r="A591" t="inlineStr">
        <is>
          <t>A 30883-2025</t>
        </is>
      </c>
      <c r="B591" s="1" t="n">
        <v>45832.34552083333</v>
      </c>
      <c r="C591" s="1" t="n">
        <v>45991</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13334-2024</t>
        </is>
      </c>
      <c r="B592" s="1" t="n">
        <v>45386</v>
      </c>
      <c r="C592" s="1" t="n">
        <v>45991</v>
      </c>
      <c r="D592" t="inlineStr">
        <is>
          <t>JÄMTLANDS LÄN</t>
        </is>
      </c>
      <c r="E592" t="inlineStr">
        <is>
          <t>RAGUNDA</t>
        </is>
      </c>
      <c r="G592" t="n">
        <v>8.6</v>
      </c>
      <c r="H592" t="n">
        <v>0</v>
      </c>
      <c r="I592" t="n">
        <v>0</v>
      </c>
      <c r="J592" t="n">
        <v>0</v>
      </c>
      <c r="K592" t="n">
        <v>0</v>
      </c>
      <c r="L592" t="n">
        <v>0</v>
      </c>
      <c r="M592" t="n">
        <v>0</v>
      </c>
      <c r="N592" t="n">
        <v>0</v>
      </c>
      <c r="O592" t="n">
        <v>0</v>
      </c>
      <c r="P592" t="n">
        <v>0</v>
      </c>
      <c r="Q592" t="n">
        <v>0</v>
      </c>
      <c r="R592" s="2" t="inlineStr"/>
    </row>
    <row r="593" ht="15" customHeight="1">
      <c r="A593" t="inlineStr">
        <is>
          <t>A 60443-2023</t>
        </is>
      </c>
      <c r="B593" s="1" t="n">
        <v>45258</v>
      </c>
      <c r="C593" s="1" t="n">
        <v>45991</v>
      </c>
      <c r="D593" t="inlineStr">
        <is>
          <t>JÄMTLANDS LÄN</t>
        </is>
      </c>
      <c r="E593" t="inlineStr">
        <is>
          <t>RAGUNDA</t>
        </is>
      </c>
      <c r="G593" t="n">
        <v>2.9</v>
      </c>
      <c r="H593" t="n">
        <v>0</v>
      </c>
      <c r="I593" t="n">
        <v>0</v>
      </c>
      <c r="J593" t="n">
        <v>0</v>
      </c>
      <c r="K593" t="n">
        <v>0</v>
      </c>
      <c r="L593" t="n">
        <v>0</v>
      </c>
      <c r="M593" t="n">
        <v>0</v>
      </c>
      <c r="N593" t="n">
        <v>0</v>
      </c>
      <c r="O593" t="n">
        <v>0</v>
      </c>
      <c r="P593" t="n">
        <v>0</v>
      </c>
      <c r="Q593" t="n">
        <v>0</v>
      </c>
      <c r="R593" s="2" t="inlineStr"/>
    </row>
    <row r="594" ht="15" customHeight="1">
      <c r="A594" t="inlineStr">
        <is>
          <t>A 21726-2023</t>
        </is>
      </c>
      <c r="B594" s="1" t="n">
        <v>45065.42894675926</v>
      </c>
      <c r="C594" s="1" t="n">
        <v>45991</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30880-2025</t>
        </is>
      </c>
      <c r="B595" s="1" t="n">
        <v>45832.34524305556</v>
      </c>
      <c r="C595" s="1" t="n">
        <v>45991</v>
      </c>
      <c r="D595" t="inlineStr">
        <is>
          <t>JÄMTLANDS LÄN</t>
        </is>
      </c>
      <c r="E595" t="inlineStr">
        <is>
          <t>RAGUNDA</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45952-2023</t>
        </is>
      </c>
      <c r="B596" s="1" t="n">
        <v>45195</v>
      </c>
      <c r="C596" s="1" t="n">
        <v>45991</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45954-2023</t>
        </is>
      </c>
      <c r="B597" s="1" t="n">
        <v>45195.94679398148</v>
      </c>
      <c r="C597" s="1" t="n">
        <v>45991</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45955-2023</t>
        </is>
      </c>
      <c r="B598" s="1" t="n">
        <v>45195.94685185186</v>
      </c>
      <c r="C598" s="1" t="n">
        <v>45991</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51394-2025</t>
        </is>
      </c>
      <c r="B599" s="1" t="n">
        <v>45950.46972222222</v>
      </c>
      <c r="C599" s="1" t="n">
        <v>45991</v>
      </c>
      <c r="D599" t="inlineStr">
        <is>
          <t>JÄMTLANDS LÄN</t>
        </is>
      </c>
      <c r="E599" t="inlineStr">
        <is>
          <t>RAGUNDA</t>
        </is>
      </c>
      <c r="F599" t="inlineStr">
        <is>
          <t>SCA</t>
        </is>
      </c>
      <c r="G599" t="n">
        <v>36.5</v>
      </c>
      <c r="H599" t="n">
        <v>0</v>
      </c>
      <c r="I599" t="n">
        <v>0</v>
      </c>
      <c r="J599" t="n">
        <v>0</v>
      </c>
      <c r="K599" t="n">
        <v>0</v>
      </c>
      <c r="L599" t="n">
        <v>0</v>
      </c>
      <c r="M599" t="n">
        <v>0</v>
      </c>
      <c r="N599" t="n">
        <v>0</v>
      </c>
      <c r="O599" t="n">
        <v>0</v>
      </c>
      <c r="P599" t="n">
        <v>0</v>
      </c>
      <c r="Q599" t="n">
        <v>0</v>
      </c>
      <c r="R599" s="2" t="inlineStr"/>
    </row>
    <row r="600" ht="15" customHeight="1">
      <c r="A600" t="inlineStr">
        <is>
          <t>A 60456-2023</t>
        </is>
      </c>
      <c r="B600" s="1" t="n">
        <v>45258</v>
      </c>
      <c r="C600" s="1" t="n">
        <v>45991</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16334-2025</t>
        </is>
      </c>
      <c r="B601" s="1" t="n">
        <v>45751.36490740741</v>
      </c>
      <c r="C601" s="1" t="n">
        <v>45991</v>
      </c>
      <c r="D601" t="inlineStr">
        <is>
          <t>JÄMTLANDS LÄN</t>
        </is>
      </c>
      <c r="E601" t="inlineStr">
        <is>
          <t>RAGUNDA</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58438-2022</t>
        </is>
      </c>
      <c r="B602" s="1" t="n">
        <v>44901</v>
      </c>
      <c r="C602" s="1" t="n">
        <v>45991</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58442-2022</t>
        </is>
      </c>
      <c r="B603" s="1" t="n">
        <v>44901</v>
      </c>
      <c r="C603" s="1" t="n">
        <v>45991</v>
      </c>
      <c r="D603" t="inlineStr">
        <is>
          <t>JÄMTLANDS LÄN</t>
        </is>
      </c>
      <c r="E603" t="inlineStr">
        <is>
          <t>RAGUNDA</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45991</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5806-2025</t>
        </is>
      </c>
      <c r="B605" s="1" t="n">
        <v>45694.69826388889</v>
      </c>
      <c r="C605" s="1" t="n">
        <v>45991</v>
      </c>
      <c r="D605" t="inlineStr">
        <is>
          <t>JÄMTLANDS LÄN</t>
        </is>
      </c>
      <c r="E605" t="inlineStr">
        <is>
          <t>RAGUNDA</t>
        </is>
      </c>
      <c r="F605" t="inlineStr">
        <is>
          <t>SCA</t>
        </is>
      </c>
      <c r="G605" t="n">
        <v>5.8</v>
      </c>
      <c r="H605" t="n">
        <v>0</v>
      </c>
      <c r="I605" t="n">
        <v>0</v>
      </c>
      <c r="J605" t="n">
        <v>0</v>
      </c>
      <c r="K605" t="n">
        <v>0</v>
      </c>
      <c r="L605" t="n">
        <v>0</v>
      </c>
      <c r="M605" t="n">
        <v>0</v>
      </c>
      <c r="N605" t="n">
        <v>0</v>
      </c>
      <c r="O605" t="n">
        <v>0</v>
      </c>
      <c r="P605" t="n">
        <v>0</v>
      </c>
      <c r="Q605" t="n">
        <v>0</v>
      </c>
      <c r="R605" s="2" t="inlineStr"/>
    </row>
    <row r="606" ht="15" customHeight="1">
      <c r="A606" t="inlineStr">
        <is>
          <t>A 32151-2025</t>
        </is>
      </c>
      <c r="B606" s="1" t="n">
        <v>45835.53166666667</v>
      </c>
      <c r="C606" s="1" t="n">
        <v>45991</v>
      </c>
      <c r="D606" t="inlineStr">
        <is>
          <t>JÄMTLANDS LÄN</t>
        </is>
      </c>
      <c r="E606" t="inlineStr">
        <is>
          <t>RAGUNDA</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32306-2025</t>
        </is>
      </c>
      <c r="B607" s="1" t="n">
        <v>45835.72046296296</v>
      </c>
      <c r="C607" s="1" t="n">
        <v>45991</v>
      </c>
      <c r="D607" t="inlineStr">
        <is>
          <t>JÄMTLANDS LÄN</t>
        </is>
      </c>
      <c r="E607" t="inlineStr">
        <is>
          <t>RAGUNDA</t>
        </is>
      </c>
      <c r="G607" t="n">
        <v>10.2</v>
      </c>
      <c r="H607" t="n">
        <v>0</v>
      </c>
      <c r="I607" t="n">
        <v>0</v>
      </c>
      <c r="J607" t="n">
        <v>0</v>
      </c>
      <c r="K607" t="n">
        <v>0</v>
      </c>
      <c r="L607" t="n">
        <v>0</v>
      </c>
      <c r="M607" t="n">
        <v>0</v>
      </c>
      <c r="N607" t="n">
        <v>0</v>
      </c>
      <c r="O607" t="n">
        <v>0</v>
      </c>
      <c r="P607" t="n">
        <v>0</v>
      </c>
      <c r="Q607" t="n">
        <v>0</v>
      </c>
      <c r="R607" s="2" t="inlineStr"/>
    </row>
    <row r="608" ht="15" customHeight="1">
      <c r="A608" t="inlineStr">
        <is>
          <t>A 41179-2022</t>
        </is>
      </c>
      <c r="B608" s="1" t="n">
        <v>44825</v>
      </c>
      <c r="C608" s="1" t="n">
        <v>45991</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51906-2025</t>
        </is>
      </c>
      <c r="B609" s="1" t="n">
        <v>45952.4615162037</v>
      </c>
      <c r="C609" s="1" t="n">
        <v>45991</v>
      </c>
      <c r="D609" t="inlineStr">
        <is>
          <t>JÄMTLANDS LÄN</t>
        </is>
      </c>
      <c r="E609" t="inlineStr">
        <is>
          <t>RAGUNDA</t>
        </is>
      </c>
      <c r="G609" t="n">
        <v>4.5</v>
      </c>
      <c r="H609" t="n">
        <v>0</v>
      </c>
      <c r="I609" t="n">
        <v>0</v>
      </c>
      <c r="J609" t="n">
        <v>0</v>
      </c>
      <c r="K609" t="n">
        <v>0</v>
      </c>
      <c r="L609" t="n">
        <v>0</v>
      </c>
      <c r="M609" t="n">
        <v>0</v>
      </c>
      <c r="N609" t="n">
        <v>0</v>
      </c>
      <c r="O609" t="n">
        <v>0</v>
      </c>
      <c r="P609" t="n">
        <v>0</v>
      </c>
      <c r="Q609" t="n">
        <v>0</v>
      </c>
      <c r="R609" s="2" t="inlineStr"/>
    </row>
    <row r="610" ht="15" customHeight="1">
      <c r="A610" t="inlineStr">
        <is>
          <t>A 51882-2025</t>
        </is>
      </c>
      <c r="B610" s="1" t="n">
        <v>45952.40685185185</v>
      </c>
      <c r="C610" s="1" t="n">
        <v>45991</v>
      </c>
      <c r="D610" t="inlineStr">
        <is>
          <t>JÄMTLANDS LÄN</t>
        </is>
      </c>
      <c r="E610" t="inlineStr">
        <is>
          <t>RAGUNDA</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32021-2025</t>
        </is>
      </c>
      <c r="B611" s="1" t="n">
        <v>45835.40668981482</v>
      </c>
      <c r="C611" s="1" t="n">
        <v>45991</v>
      </c>
      <c r="D611" t="inlineStr">
        <is>
          <t>JÄMTLANDS LÄN</t>
        </is>
      </c>
      <c r="E611" t="inlineStr">
        <is>
          <t>RAGUNDA</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52330-2025</t>
        </is>
      </c>
      <c r="B612" s="1" t="n">
        <v>45953.67752314815</v>
      </c>
      <c r="C612" s="1" t="n">
        <v>45991</v>
      </c>
      <c r="D612" t="inlineStr">
        <is>
          <t>JÄMTLANDS LÄN</t>
        </is>
      </c>
      <c r="E612" t="inlineStr">
        <is>
          <t>RAGUNDA</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31882-2025</t>
        </is>
      </c>
      <c r="B613" s="1" t="n">
        <v>45834.65662037037</v>
      </c>
      <c r="C613" s="1" t="n">
        <v>45991</v>
      </c>
      <c r="D613" t="inlineStr">
        <is>
          <t>JÄMTLANDS LÄN</t>
        </is>
      </c>
      <c r="E613" t="inlineStr">
        <is>
          <t>RAGUNDA</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51903-2025</t>
        </is>
      </c>
      <c r="B614" s="1" t="n">
        <v>45952.44857638889</v>
      </c>
      <c r="C614" s="1" t="n">
        <v>45991</v>
      </c>
      <c r="D614" t="inlineStr">
        <is>
          <t>JÄMTLANDS LÄN</t>
        </is>
      </c>
      <c r="E614" t="inlineStr">
        <is>
          <t>RAGUNDA</t>
        </is>
      </c>
      <c r="F614" t="inlineStr">
        <is>
          <t>SCA</t>
        </is>
      </c>
      <c r="G614" t="n">
        <v>20.8</v>
      </c>
      <c r="H614" t="n">
        <v>0</v>
      </c>
      <c r="I614" t="n">
        <v>0</v>
      </c>
      <c r="J614" t="n">
        <v>0</v>
      </c>
      <c r="K614" t="n">
        <v>0</v>
      </c>
      <c r="L614" t="n">
        <v>0</v>
      </c>
      <c r="M614" t="n">
        <v>0</v>
      </c>
      <c r="N614" t="n">
        <v>0</v>
      </c>
      <c r="O614" t="n">
        <v>0</v>
      </c>
      <c r="P614" t="n">
        <v>0</v>
      </c>
      <c r="Q614" t="n">
        <v>0</v>
      </c>
      <c r="R614" s="2" t="inlineStr"/>
    </row>
    <row r="615" ht="15" customHeight="1">
      <c r="A615" t="inlineStr">
        <is>
          <t>A 43177-2025</t>
        </is>
      </c>
      <c r="B615" s="1" t="n">
        <v>45910.40667824074</v>
      </c>
      <c r="C615" s="1" t="n">
        <v>45991</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52317-2025</t>
        </is>
      </c>
      <c r="B616" s="1" t="n">
        <v>45953.65675925926</v>
      </c>
      <c r="C616" s="1" t="n">
        <v>45991</v>
      </c>
      <c r="D616" t="inlineStr">
        <is>
          <t>JÄMTLANDS LÄN</t>
        </is>
      </c>
      <c r="E616" t="inlineStr">
        <is>
          <t>RAGUNDA</t>
        </is>
      </c>
      <c r="F616" t="inlineStr">
        <is>
          <t>SCA</t>
        </is>
      </c>
      <c r="G616" t="n">
        <v>27.2</v>
      </c>
      <c r="H616" t="n">
        <v>0</v>
      </c>
      <c r="I616" t="n">
        <v>0</v>
      </c>
      <c r="J616" t="n">
        <v>0</v>
      </c>
      <c r="K616" t="n">
        <v>0</v>
      </c>
      <c r="L616" t="n">
        <v>0</v>
      </c>
      <c r="M616" t="n">
        <v>0</v>
      </c>
      <c r="N616" t="n">
        <v>0</v>
      </c>
      <c r="O616" t="n">
        <v>0</v>
      </c>
      <c r="P616" t="n">
        <v>0</v>
      </c>
      <c r="Q616" t="n">
        <v>0</v>
      </c>
      <c r="R616" s="2" t="inlineStr"/>
    </row>
    <row r="617" ht="15" customHeight="1">
      <c r="A617" t="inlineStr">
        <is>
          <t>A 43181-2025</t>
        </is>
      </c>
      <c r="B617" s="1" t="n">
        <v>45910.40721064815</v>
      </c>
      <c r="C617" s="1" t="n">
        <v>45991</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61598-2024</t>
        </is>
      </c>
      <c r="B618" s="1" t="n">
        <v>45646.63605324074</v>
      </c>
      <c r="C618" s="1" t="n">
        <v>45991</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32796-2025</t>
        </is>
      </c>
      <c r="B619" s="1" t="n">
        <v>45839.49082175926</v>
      </c>
      <c r="C619" s="1" t="n">
        <v>45991</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17667-2025</t>
        </is>
      </c>
      <c r="B620" s="1" t="n">
        <v>45758.36487268518</v>
      </c>
      <c r="C620" s="1" t="n">
        <v>45991</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52093-2025</t>
        </is>
      </c>
      <c r="B621" s="1" t="n">
        <v>45952.67865740741</v>
      </c>
      <c r="C621" s="1" t="n">
        <v>45991</v>
      </c>
      <c r="D621" t="inlineStr">
        <is>
          <t>JÄMTLANDS LÄN</t>
        </is>
      </c>
      <c r="E621" t="inlineStr">
        <is>
          <t>RAGUNDA</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52122-2025</t>
        </is>
      </c>
      <c r="B622" s="1" t="n">
        <v>45952.71946759259</v>
      </c>
      <c r="C622" s="1" t="n">
        <v>45991</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32655-2025</t>
        </is>
      </c>
      <c r="B623" s="1" t="n">
        <v>45838.67800925926</v>
      </c>
      <c r="C623" s="1" t="n">
        <v>45991</v>
      </c>
      <c r="D623" t="inlineStr">
        <is>
          <t>JÄMTLANDS LÄN</t>
        </is>
      </c>
      <c r="E623" t="inlineStr">
        <is>
          <t>RAGUNDA</t>
        </is>
      </c>
      <c r="G623" t="n">
        <v>2.8</v>
      </c>
      <c r="H623" t="n">
        <v>0</v>
      </c>
      <c r="I623" t="n">
        <v>0</v>
      </c>
      <c r="J623" t="n">
        <v>0</v>
      </c>
      <c r="K623" t="n">
        <v>0</v>
      </c>
      <c r="L623" t="n">
        <v>0</v>
      </c>
      <c r="M623" t="n">
        <v>0</v>
      </c>
      <c r="N623" t="n">
        <v>0</v>
      </c>
      <c r="O623" t="n">
        <v>0</v>
      </c>
      <c r="P623" t="n">
        <v>0</v>
      </c>
      <c r="Q623" t="n">
        <v>0</v>
      </c>
      <c r="R623" s="2" t="inlineStr"/>
    </row>
    <row r="624" ht="15" customHeight="1">
      <c r="A624" t="inlineStr">
        <is>
          <t>A 32751-2025</t>
        </is>
      </c>
      <c r="B624" s="1" t="n">
        <v>45839.42864583333</v>
      </c>
      <c r="C624" s="1" t="n">
        <v>45991</v>
      </c>
      <c r="D624" t="inlineStr">
        <is>
          <t>JÄMTLANDS LÄN</t>
        </is>
      </c>
      <c r="E624" t="inlineStr">
        <is>
          <t>RAGUNDA</t>
        </is>
      </c>
      <c r="F624" t="inlineStr">
        <is>
          <t>SCA</t>
        </is>
      </c>
      <c r="G624" t="n">
        <v>10</v>
      </c>
      <c r="H624" t="n">
        <v>0</v>
      </c>
      <c r="I624" t="n">
        <v>0</v>
      </c>
      <c r="J624" t="n">
        <v>0</v>
      </c>
      <c r="K624" t="n">
        <v>0</v>
      </c>
      <c r="L624" t="n">
        <v>0</v>
      </c>
      <c r="M624" t="n">
        <v>0</v>
      </c>
      <c r="N624" t="n">
        <v>0</v>
      </c>
      <c r="O624" t="n">
        <v>0</v>
      </c>
      <c r="P624" t="n">
        <v>0</v>
      </c>
      <c r="Q624" t="n">
        <v>0</v>
      </c>
      <c r="R624" s="2" t="inlineStr"/>
    </row>
    <row r="625" ht="15" customHeight="1">
      <c r="A625" t="inlineStr">
        <is>
          <t>A 50157-2023</t>
        </is>
      </c>
      <c r="B625" s="1" t="n">
        <v>45208</v>
      </c>
      <c r="C625" s="1" t="n">
        <v>45991</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32777-2025</t>
        </is>
      </c>
      <c r="B626" s="1" t="n">
        <v>45839.46915509259</v>
      </c>
      <c r="C626" s="1" t="n">
        <v>45991</v>
      </c>
      <c r="D626" t="inlineStr">
        <is>
          <t>JÄMTLANDS LÄN</t>
        </is>
      </c>
      <c r="E626" t="inlineStr">
        <is>
          <t>RAGUNDA</t>
        </is>
      </c>
      <c r="F626" t="inlineStr">
        <is>
          <t>SCA</t>
        </is>
      </c>
      <c r="G626" t="n">
        <v>21.7</v>
      </c>
      <c r="H626" t="n">
        <v>0</v>
      </c>
      <c r="I626" t="n">
        <v>0</v>
      </c>
      <c r="J626" t="n">
        <v>0</v>
      </c>
      <c r="K626" t="n">
        <v>0</v>
      </c>
      <c r="L626" t="n">
        <v>0</v>
      </c>
      <c r="M626" t="n">
        <v>0</v>
      </c>
      <c r="N626" t="n">
        <v>0</v>
      </c>
      <c r="O626" t="n">
        <v>0</v>
      </c>
      <c r="P626" t="n">
        <v>0</v>
      </c>
      <c r="Q626" t="n">
        <v>0</v>
      </c>
      <c r="R626" s="2" t="inlineStr"/>
    </row>
    <row r="627" ht="15" customHeight="1">
      <c r="A627" t="inlineStr">
        <is>
          <t>A 32430-2025</t>
        </is>
      </c>
      <c r="B627" s="1" t="n">
        <v>45838.36532407408</v>
      </c>
      <c r="C627" s="1" t="n">
        <v>45991</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12405-2025</t>
        </is>
      </c>
      <c r="B628" s="1" t="n">
        <v>45730.42738425926</v>
      </c>
      <c r="C628" s="1" t="n">
        <v>45991</v>
      </c>
      <c r="D628" t="inlineStr">
        <is>
          <t>JÄMTLANDS LÄN</t>
        </is>
      </c>
      <c r="E628" t="inlineStr">
        <is>
          <t>RAGUNDA</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32747-2025</t>
        </is>
      </c>
      <c r="B629" s="1" t="n">
        <v>45839.42810185185</v>
      </c>
      <c r="C629" s="1" t="n">
        <v>45991</v>
      </c>
      <c r="D629" t="inlineStr">
        <is>
          <t>JÄMTLANDS LÄN</t>
        </is>
      </c>
      <c r="E629" t="inlineStr">
        <is>
          <t>RAGUNDA</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32757-2025</t>
        </is>
      </c>
      <c r="B630" s="1" t="n">
        <v>45838</v>
      </c>
      <c r="C630" s="1" t="n">
        <v>45991</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36986-2023</t>
        </is>
      </c>
      <c r="B631" s="1" t="n">
        <v>45154.95525462963</v>
      </c>
      <c r="C631" s="1" t="n">
        <v>45991</v>
      </c>
      <c r="D631" t="inlineStr">
        <is>
          <t>JÄMTLANDS LÄN</t>
        </is>
      </c>
      <c r="E631" t="inlineStr">
        <is>
          <t>RAGUNDA</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32846-2025</t>
        </is>
      </c>
      <c r="B632" s="1" t="n">
        <v>45839.57331018519</v>
      </c>
      <c r="C632" s="1" t="n">
        <v>45991</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43330-2025</t>
        </is>
      </c>
      <c r="B633" s="1" t="n">
        <v>45910.67766203704</v>
      </c>
      <c r="C633" s="1" t="n">
        <v>45991</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51932-2025</t>
        </is>
      </c>
      <c r="B634" s="1" t="n">
        <v>45952.51094907407</v>
      </c>
      <c r="C634" s="1" t="n">
        <v>45991</v>
      </c>
      <c r="D634" t="inlineStr">
        <is>
          <t>JÄMTLANDS LÄN</t>
        </is>
      </c>
      <c r="E634" t="inlineStr">
        <is>
          <t>RAGUNDA</t>
        </is>
      </c>
      <c r="F634" t="inlineStr">
        <is>
          <t>SCA</t>
        </is>
      </c>
      <c r="G634" t="n">
        <v>39.2</v>
      </c>
      <c r="H634" t="n">
        <v>0</v>
      </c>
      <c r="I634" t="n">
        <v>0</v>
      </c>
      <c r="J634" t="n">
        <v>0</v>
      </c>
      <c r="K634" t="n">
        <v>0</v>
      </c>
      <c r="L634" t="n">
        <v>0</v>
      </c>
      <c r="M634" t="n">
        <v>0</v>
      </c>
      <c r="N634" t="n">
        <v>0</v>
      </c>
      <c r="O634" t="n">
        <v>0</v>
      </c>
      <c r="P634" t="n">
        <v>0</v>
      </c>
      <c r="Q634" t="n">
        <v>0</v>
      </c>
      <c r="R634" s="2" t="inlineStr"/>
    </row>
    <row r="635" ht="15" customHeight="1">
      <c r="A635" t="inlineStr">
        <is>
          <t>A 32748-2025</t>
        </is>
      </c>
      <c r="B635" s="1" t="n">
        <v>45839.42822916667</v>
      </c>
      <c r="C635" s="1" t="n">
        <v>45991</v>
      </c>
      <c r="D635" t="inlineStr">
        <is>
          <t>JÄMTLANDS LÄN</t>
        </is>
      </c>
      <c r="E635" t="inlineStr">
        <is>
          <t>RAGUNDA</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32762-2025</t>
        </is>
      </c>
      <c r="B636" s="1" t="n">
        <v>45838</v>
      </c>
      <c r="C636" s="1" t="n">
        <v>45991</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32660-2025</t>
        </is>
      </c>
      <c r="B637" s="1" t="n">
        <v>45838.67887731481</v>
      </c>
      <c r="C637" s="1" t="n">
        <v>45991</v>
      </c>
      <c r="D637" t="inlineStr">
        <is>
          <t>JÄMTLANDS LÄN</t>
        </is>
      </c>
      <c r="E637" t="inlineStr">
        <is>
          <t>RAGUNDA</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52875-2025</t>
        </is>
      </c>
      <c r="B638" s="1" t="n">
        <v>45957.53211805555</v>
      </c>
      <c r="C638" s="1" t="n">
        <v>45991</v>
      </c>
      <c r="D638" t="inlineStr">
        <is>
          <t>JÄMTLANDS LÄN</t>
        </is>
      </c>
      <c r="E638" t="inlineStr">
        <is>
          <t>RAGUNDA</t>
        </is>
      </c>
      <c r="F638" t="inlineStr">
        <is>
          <t>SCA</t>
        </is>
      </c>
      <c r="G638" t="n">
        <v>34.3</v>
      </c>
      <c r="H638" t="n">
        <v>0</v>
      </c>
      <c r="I638" t="n">
        <v>0</v>
      </c>
      <c r="J638" t="n">
        <v>0</v>
      </c>
      <c r="K638" t="n">
        <v>0</v>
      </c>
      <c r="L638" t="n">
        <v>0</v>
      </c>
      <c r="M638" t="n">
        <v>0</v>
      </c>
      <c r="N638" t="n">
        <v>0</v>
      </c>
      <c r="O638" t="n">
        <v>0</v>
      </c>
      <c r="P638" t="n">
        <v>0</v>
      </c>
      <c r="Q638" t="n">
        <v>0</v>
      </c>
      <c r="R638" s="2" t="inlineStr"/>
    </row>
    <row r="639" ht="15" customHeight="1">
      <c r="A639" t="inlineStr">
        <is>
          <t>A 32527-2025</t>
        </is>
      </c>
      <c r="B639" s="1" t="n">
        <v>45838.48996527777</v>
      </c>
      <c r="C639" s="1" t="n">
        <v>45991</v>
      </c>
      <c r="D639" t="inlineStr">
        <is>
          <t>JÄMTLANDS LÄN</t>
        </is>
      </c>
      <c r="E639" t="inlineStr">
        <is>
          <t>RAGUNDA</t>
        </is>
      </c>
      <c r="G639" t="n">
        <v>5</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45991</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33140-2025</t>
        </is>
      </c>
      <c r="B641" s="1" t="n">
        <v>45840.52225694444</v>
      </c>
      <c r="C641" s="1" t="n">
        <v>45991</v>
      </c>
      <c r="D641" t="inlineStr">
        <is>
          <t>JÄMTLANDS LÄN</t>
        </is>
      </c>
      <c r="E641" t="inlineStr">
        <is>
          <t>RAGUNDA</t>
        </is>
      </c>
      <c r="G641" t="n">
        <v>2</v>
      </c>
      <c r="H641" t="n">
        <v>0</v>
      </c>
      <c r="I641" t="n">
        <v>0</v>
      </c>
      <c r="J641" t="n">
        <v>0</v>
      </c>
      <c r="K641" t="n">
        <v>0</v>
      </c>
      <c r="L641" t="n">
        <v>0</v>
      </c>
      <c r="M641" t="n">
        <v>0</v>
      </c>
      <c r="N641" t="n">
        <v>0</v>
      </c>
      <c r="O641" t="n">
        <v>0</v>
      </c>
      <c r="P641" t="n">
        <v>0</v>
      </c>
      <c r="Q641" t="n">
        <v>0</v>
      </c>
      <c r="R641" s="2" t="inlineStr"/>
    </row>
    <row r="642" ht="15" customHeight="1">
      <c r="A642" t="inlineStr">
        <is>
          <t>A 2224-2024</t>
        </is>
      </c>
      <c r="B642" s="1" t="n">
        <v>45309.92524305556</v>
      </c>
      <c r="C642" s="1" t="n">
        <v>45991</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1523-2024</t>
        </is>
      </c>
      <c r="B643" s="1" t="n">
        <v>45306</v>
      </c>
      <c r="C643" s="1" t="n">
        <v>45991</v>
      </c>
      <c r="D643" t="inlineStr">
        <is>
          <t>JÄMTLANDS LÄN</t>
        </is>
      </c>
      <c r="E643" t="inlineStr">
        <is>
          <t>RAGUNDA</t>
        </is>
      </c>
      <c r="G643" t="n">
        <v>4.1</v>
      </c>
      <c r="H643" t="n">
        <v>0</v>
      </c>
      <c r="I643" t="n">
        <v>0</v>
      </c>
      <c r="J643" t="n">
        <v>0</v>
      </c>
      <c r="K643" t="n">
        <v>0</v>
      </c>
      <c r="L643" t="n">
        <v>0</v>
      </c>
      <c r="M643" t="n">
        <v>0</v>
      </c>
      <c r="N643" t="n">
        <v>0</v>
      </c>
      <c r="O643" t="n">
        <v>0</v>
      </c>
      <c r="P643" t="n">
        <v>0</v>
      </c>
      <c r="Q643" t="n">
        <v>0</v>
      </c>
      <c r="R643" s="2" t="inlineStr"/>
    </row>
    <row r="644" ht="15" customHeight="1">
      <c r="A644" t="inlineStr">
        <is>
          <t>A 52578-2025</t>
        </is>
      </c>
      <c r="B644" s="1" t="n">
        <v>45954.61508101852</v>
      </c>
      <c r="C644" s="1" t="n">
        <v>45991</v>
      </c>
      <c r="D644" t="inlineStr">
        <is>
          <t>JÄMTLANDS LÄN</t>
        </is>
      </c>
      <c r="E644" t="inlineStr">
        <is>
          <t>RAGUNDA</t>
        </is>
      </c>
      <c r="F644" t="inlineStr">
        <is>
          <t>SCA</t>
        </is>
      </c>
      <c r="G644" t="n">
        <v>25.2</v>
      </c>
      <c r="H644" t="n">
        <v>0</v>
      </c>
      <c r="I644" t="n">
        <v>0</v>
      </c>
      <c r="J644" t="n">
        <v>0</v>
      </c>
      <c r="K644" t="n">
        <v>0</v>
      </c>
      <c r="L644" t="n">
        <v>0</v>
      </c>
      <c r="M644" t="n">
        <v>0</v>
      </c>
      <c r="N644" t="n">
        <v>0</v>
      </c>
      <c r="O644" t="n">
        <v>0</v>
      </c>
      <c r="P644" t="n">
        <v>0</v>
      </c>
      <c r="Q644" t="n">
        <v>0</v>
      </c>
      <c r="R644" s="2" t="inlineStr"/>
    </row>
    <row r="645" ht="15" customHeight="1">
      <c r="A645" t="inlineStr">
        <is>
          <t>A 33556-2025</t>
        </is>
      </c>
      <c r="B645" s="1" t="n">
        <v>45841.57427083333</v>
      </c>
      <c r="C645" s="1" t="n">
        <v>45991</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45991</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52394-2025</t>
        </is>
      </c>
      <c r="B647" s="1" t="n">
        <v>45954.34466435185</v>
      </c>
      <c r="C647" s="1" t="n">
        <v>45991</v>
      </c>
      <c r="D647" t="inlineStr">
        <is>
          <t>JÄMTLANDS LÄN</t>
        </is>
      </c>
      <c r="E647" t="inlineStr">
        <is>
          <t>RAGUNDA</t>
        </is>
      </c>
      <c r="F647" t="inlineStr">
        <is>
          <t>SCA</t>
        </is>
      </c>
      <c r="G647" t="n">
        <v>53.8</v>
      </c>
      <c r="H647" t="n">
        <v>0</v>
      </c>
      <c r="I647" t="n">
        <v>0</v>
      </c>
      <c r="J647" t="n">
        <v>0</v>
      </c>
      <c r="K647" t="n">
        <v>0</v>
      </c>
      <c r="L647" t="n">
        <v>0</v>
      </c>
      <c r="M647" t="n">
        <v>0</v>
      </c>
      <c r="N647" t="n">
        <v>0</v>
      </c>
      <c r="O647" t="n">
        <v>0</v>
      </c>
      <c r="P647" t="n">
        <v>0</v>
      </c>
      <c r="Q647" t="n">
        <v>0</v>
      </c>
      <c r="R647" s="2" t="inlineStr"/>
    </row>
    <row r="648" ht="15" customHeight="1">
      <c r="A648" t="inlineStr">
        <is>
          <t>A 52395-2025</t>
        </is>
      </c>
      <c r="B648" s="1" t="n">
        <v>45954.34487268519</v>
      </c>
      <c r="C648" s="1" t="n">
        <v>45991</v>
      </c>
      <c r="D648" t="inlineStr">
        <is>
          <t>JÄMTLANDS LÄN</t>
        </is>
      </c>
      <c r="E648" t="inlineStr">
        <is>
          <t>RAGUNDA</t>
        </is>
      </c>
      <c r="F648" t="inlineStr">
        <is>
          <t>SCA</t>
        </is>
      </c>
      <c r="G648" t="n">
        <v>14.2</v>
      </c>
      <c r="H648" t="n">
        <v>0</v>
      </c>
      <c r="I648" t="n">
        <v>0</v>
      </c>
      <c r="J648" t="n">
        <v>0</v>
      </c>
      <c r="K648" t="n">
        <v>0</v>
      </c>
      <c r="L648" t="n">
        <v>0</v>
      </c>
      <c r="M648" t="n">
        <v>0</v>
      </c>
      <c r="N648" t="n">
        <v>0</v>
      </c>
      <c r="O648" t="n">
        <v>0</v>
      </c>
      <c r="P648" t="n">
        <v>0</v>
      </c>
      <c r="Q648" t="n">
        <v>0</v>
      </c>
      <c r="R648" s="2" t="inlineStr"/>
    </row>
    <row r="649" ht="15" customHeight="1">
      <c r="A649" t="inlineStr">
        <is>
          <t>A 46549-2023</t>
        </is>
      </c>
      <c r="B649" s="1" t="n">
        <v>45197.94171296297</v>
      </c>
      <c r="C649" s="1" t="n">
        <v>45991</v>
      </c>
      <c r="D649" t="inlineStr">
        <is>
          <t>JÄMTLANDS LÄN</t>
        </is>
      </c>
      <c r="E649" t="inlineStr">
        <is>
          <t>RAGUNDA</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43812-2025</t>
        </is>
      </c>
      <c r="B650" s="1" t="n">
        <v>45912.59417824074</v>
      </c>
      <c r="C650" s="1" t="n">
        <v>45991</v>
      </c>
      <c r="D650" t="inlineStr">
        <is>
          <t>JÄMTLANDS LÄN</t>
        </is>
      </c>
      <c r="E650" t="inlineStr">
        <is>
          <t>RAGUNDA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52430-2025</t>
        </is>
      </c>
      <c r="B651" s="1" t="n">
        <v>45954.38592592593</v>
      </c>
      <c r="C651" s="1" t="n">
        <v>45991</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32258-2024</t>
        </is>
      </c>
      <c r="B652" s="1" t="n">
        <v>45511</v>
      </c>
      <c r="C652" s="1" t="n">
        <v>45991</v>
      </c>
      <c r="D652" t="inlineStr">
        <is>
          <t>JÄMTLANDS LÄN</t>
        </is>
      </c>
      <c r="E652" t="inlineStr">
        <is>
          <t>RAGUNDA</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38270-2021</t>
        </is>
      </c>
      <c r="B653" s="1" t="n">
        <v>44405.92065972222</v>
      </c>
      <c r="C653" s="1" t="n">
        <v>45991</v>
      </c>
      <c r="D653" t="inlineStr">
        <is>
          <t>JÄMTLANDS LÄN</t>
        </is>
      </c>
      <c r="E653" t="inlineStr">
        <is>
          <t>RAGUNDA</t>
        </is>
      </c>
      <c r="G653" t="n">
        <v>1.3</v>
      </c>
      <c r="H653" t="n">
        <v>0</v>
      </c>
      <c r="I653" t="n">
        <v>0</v>
      </c>
      <c r="J653" t="n">
        <v>0</v>
      </c>
      <c r="K653" t="n">
        <v>0</v>
      </c>
      <c r="L653" t="n">
        <v>0</v>
      </c>
      <c r="M653" t="n">
        <v>0</v>
      </c>
      <c r="N653" t="n">
        <v>0</v>
      </c>
      <c r="O653" t="n">
        <v>0</v>
      </c>
      <c r="P653" t="n">
        <v>0</v>
      </c>
      <c r="Q653" t="n">
        <v>0</v>
      </c>
      <c r="R653" s="2" t="inlineStr"/>
    </row>
    <row r="654" ht="15" customHeight="1">
      <c r="A654" t="inlineStr">
        <is>
          <t>A 29257-2024</t>
        </is>
      </c>
      <c r="B654" s="1" t="n">
        <v>45482.94815972223</v>
      </c>
      <c r="C654" s="1" t="n">
        <v>45991</v>
      </c>
      <c r="D654" t="inlineStr">
        <is>
          <t>JÄMTLANDS LÄN</t>
        </is>
      </c>
      <c r="E654" t="inlineStr">
        <is>
          <t>RAGUNDA</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27373-2023</t>
        </is>
      </c>
      <c r="B655" s="1" t="n">
        <v>45096.93866898148</v>
      </c>
      <c r="C655" s="1" t="n">
        <v>45991</v>
      </c>
      <c r="D655" t="inlineStr">
        <is>
          <t>JÄMTLANDS LÄN</t>
        </is>
      </c>
      <c r="E655" t="inlineStr">
        <is>
          <t>RAGUNDA</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43776-2025</t>
        </is>
      </c>
      <c r="B656" s="1" t="n">
        <v>45912.51086805556</v>
      </c>
      <c r="C656" s="1" t="n">
        <v>45991</v>
      </c>
      <c r="D656" t="inlineStr">
        <is>
          <t>JÄMTLANDS LÄN</t>
        </is>
      </c>
      <c r="E656" t="inlineStr">
        <is>
          <t>RAGUNDA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62115-2024</t>
        </is>
      </c>
      <c r="B657" s="1" t="n">
        <v>45656</v>
      </c>
      <c r="C657" s="1" t="n">
        <v>45991</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43971-2025</t>
        </is>
      </c>
      <c r="B658" s="1" t="n">
        <v>45915.40694444445</v>
      </c>
      <c r="C658" s="1" t="n">
        <v>45991</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12653-2024</t>
        </is>
      </c>
      <c r="B659" s="1" t="n">
        <v>45384</v>
      </c>
      <c r="C659" s="1" t="n">
        <v>45991</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43804-2025</t>
        </is>
      </c>
      <c r="B660" s="1" t="n">
        <v>45912.57373842593</v>
      </c>
      <c r="C660" s="1" t="n">
        <v>45991</v>
      </c>
      <c r="D660" t="inlineStr">
        <is>
          <t>JÄMTLANDS LÄN</t>
        </is>
      </c>
      <c r="E660" t="inlineStr">
        <is>
          <t>RAGUNDA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50211-2023</t>
        </is>
      </c>
      <c r="B661" s="1" t="n">
        <v>45215.94657407407</v>
      </c>
      <c r="C661" s="1" t="n">
        <v>45991</v>
      </c>
      <c r="D661" t="inlineStr">
        <is>
          <t>JÄMTLANDS LÄN</t>
        </is>
      </c>
      <c r="E661" t="inlineStr">
        <is>
          <t>RAGUNDA</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9232-2025</t>
        </is>
      </c>
      <c r="B662" s="1" t="n">
        <v>45714.55064814815</v>
      </c>
      <c r="C662" s="1" t="n">
        <v>45991</v>
      </c>
      <c r="D662" t="inlineStr">
        <is>
          <t>JÄMTLANDS LÄN</t>
        </is>
      </c>
      <c r="E662" t="inlineStr">
        <is>
          <t>RAGUNDA</t>
        </is>
      </c>
      <c r="G662" t="n">
        <v>1.9</v>
      </c>
      <c r="H662" t="n">
        <v>0</v>
      </c>
      <c r="I662" t="n">
        <v>0</v>
      </c>
      <c r="J662" t="n">
        <v>0</v>
      </c>
      <c r="K662" t="n">
        <v>0</v>
      </c>
      <c r="L662" t="n">
        <v>0</v>
      </c>
      <c r="M662" t="n">
        <v>0</v>
      </c>
      <c r="N662" t="n">
        <v>0</v>
      </c>
      <c r="O662" t="n">
        <v>0</v>
      </c>
      <c r="P662" t="n">
        <v>0</v>
      </c>
      <c r="Q662" t="n">
        <v>0</v>
      </c>
      <c r="R662" s="2" t="inlineStr"/>
    </row>
    <row r="663" ht="15" customHeight="1">
      <c r="A663" t="inlineStr">
        <is>
          <t>A 33790-2025</t>
        </is>
      </c>
      <c r="B663" s="1" t="n">
        <v>45842.42608796297</v>
      </c>
      <c r="C663" s="1" t="n">
        <v>45991</v>
      </c>
      <c r="D663" t="inlineStr">
        <is>
          <t>JÄMTLANDS LÄN</t>
        </is>
      </c>
      <c r="E663" t="inlineStr">
        <is>
          <t>RAGUNDA</t>
        </is>
      </c>
      <c r="G663" t="n">
        <v>0.3</v>
      </c>
      <c r="H663" t="n">
        <v>0</v>
      </c>
      <c r="I663" t="n">
        <v>0</v>
      </c>
      <c r="J663" t="n">
        <v>0</v>
      </c>
      <c r="K663" t="n">
        <v>0</v>
      </c>
      <c r="L663" t="n">
        <v>0</v>
      </c>
      <c r="M663" t="n">
        <v>0</v>
      </c>
      <c r="N663" t="n">
        <v>0</v>
      </c>
      <c r="O663" t="n">
        <v>0</v>
      </c>
      <c r="P663" t="n">
        <v>0</v>
      </c>
      <c r="Q663" t="n">
        <v>0</v>
      </c>
      <c r="R663" s="2" t="inlineStr"/>
    </row>
    <row r="664" ht="15" customHeight="1">
      <c r="A664" t="inlineStr">
        <is>
          <t>A 53075-2025</t>
        </is>
      </c>
      <c r="B664" s="1" t="n">
        <v>45958.38584490741</v>
      </c>
      <c r="C664" s="1" t="n">
        <v>45991</v>
      </c>
      <c r="D664" t="inlineStr">
        <is>
          <t>JÄMTLANDS LÄN</t>
        </is>
      </c>
      <c r="E664" t="inlineStr">
        <is>
          <t>RAGUNDA</t>
        </is>
      </c>
      <c r="F664" t="inlineStr">
        <is>
          <t>SCA</t>
        </is>
      </c>
      <c r="G664" t="n">
        <v>28.9</v>
      </c>
      <c r="H664" t="n">
        <v>0</v>
      </c>
      <c r="I664" t="n">
        <v>0</v>
      </c>
      <c r="J664" t="n">
        <v>0</v>
      </c>
      <c r="K664" t="n">
        <v>0</v>
      </c>
      <c r="L664" t="n">
        <v>0</v>
      </c>
      <c r="M664" t="n">
        <v>0</v>
      </c>
      <c r="N664" t="n">
        <v>0</v>
      </c>
      <c r="O664" t="n">
        <v>0</v>
      </c>
      <c r="P664" t="n">
        <v>0</v>
      </c>
      <c r="Q664" t="n">
        <v>0</v>
      </c>
      <c r="R664" s="2" t="inlineStr"/>
    </row>
    <row r="665" ht="15" customHeight="1">
      <c r="A665" t="inlineStr">
        <is>
          <t>A 29775-2023</t>
        </is>
      </c>
      <c r="B665" s="1" t="n">
        <v>45098</v>
      </c>
      <c r="C665" s="1" t="n">
        <v>45991</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34607-2025</t>
        </is>
      </c>
      <c r="B666" s="1" t="n">
        <v>45847.65703703704</v>
      </c>
      <c r="C666" s="1" t="n">
        <v>45991</v>
      </c>
      <c r="D666" t="inlineStr">
        <is>
          <t>JÄMTLANDS LÄN</t>
        </is>
      </c>
      <c r="E666" t="inlineStr">
        <is>
          <t>RAGUNDA</t>
        </is>
      </c>
      <c r="F666" t="inlineStr">
        <is>
          <t>SCA</t>
        </is>
      </c>
      <c r="G666" t="n">
        <v>31.4</v>
      </c>
      <c r="H666" t="n">
        <v>0</v>
      </c>
      <c r="I666" t="n">
        <v>0</v>
      </c>
      <c r="J666" t="n">
        <v>0</v>
      </c>
      <c r="K666" t="n">
        <v>0</v>
      </c>
      <c r="L666" t="n">
        <v>0</v>
      </c>
      <c r="M666" t="n">
        <v>0</v>
      </c>
      <c r="N666" t="n">
        <v>0</v>
      </c>
      <c r="O666" t="n">
        <v>0</v>
      </c>
      <c r="P666" t="n">
        <v>0</v>
      </c>
      <c r="Q666" t="n">
        <v>0</v>
      </c>
      <c r="R666" s="2" t="inlineStr"/>
    </row>
    <row r="667" ht="15" customHeight="1">
      <c r="A667" t="inlineStr">
        <is>
          <t>A 34461-2025</t>
        </is>
      </c>
      <c r="B667" s="1" t="n">
        <v>45847.34474537037</v>
      </c>
      <c r="C667" s="1" t="n">
        <v>45991</v>
      </c>
      <c r="D667" t="inlineStr">
        <is>
          <t>JÄMTLANDS LÄN</t>
        </is>
      </c>
      <c r="E667" t="inlineStr">
        <is>
          <t>RAGUNDA</t>
        </is>
      </c>
      <c r="F667" t="inlineStr">
        <is>
          <t>SCA</t>
        </is>
      </c>
      <c r="G667" t="n">
        <v>44.8</v>
      </c>
      <c r="H667" t="n">
        <v>0</v>
      </c>
      <c r="I667" t="n">
        <v>0</v>
      </c>
      <c r="J667" t="n">
        <v>0</v>
      </c>
      <c r="K667" t="n">
        <v>0</v>
      </c>
      <c r="L667" t="n">
        <v>0</v>
      </c>
      <c r="M667" t="n">
        <v>0</v>
      </c>
      <c r="N667" t="n">
        <v>0</v>
      </c>
      <c r="O667" t="n">
        <v>0</v>
      </c>
      <c r="P667" t="n">
        <v>0</v>
      </c>
      <c r="Q667" t="n">
        <v>0</v>
      </c>
      <c r="R667" s="2" t="inlineStr"/>
    </row>
    <row r="668" ht="15" customHeight="1">
      <c r="A668" t="inlineStr">
        <is>
          <t>A 34464-2025</t>
        </is>
      </c>
      <c r="B668" s="1" t="n">
        <v>45847.34528935186</v>
      </c>
      <c r="C668" s="1" t="n">
        <v>45991</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34468-2025</t>
        </is>
      </c>
      <c r="B669" s="1" t="n">
        <v>45847.34597222223</v>
      </c>
      <c r="C669" s="1" t="n">
        <v>45991</v>
      </c>
      <c r="D669" t="inlineStr">
        <is>
          <t>JÄMTLANDS LÄN</t>
        </is>
      </c>
      <c r="E669" t="inlineStr">
        <is>
          <t>RAGUNDA</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34466-2025</t>
        </is>
      </c>
      <c r="B670" s="1" t="n">
        <v>45847.34565972222</v>
      </c>
      <c r="C670" s="1" t="n">
        <v>45991</v>
      </c>
      <c r="D670" t="inlineStr">
        <is>
          <t>JÄMTLANDS LÄN</t>
        </is>
      </c>
      <c r="E670" t="inlineStr">
        <is>
          <t>RAGUNDA</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44494-2024</t>
        </is>
      </c>
      <c r="B671" s="1" t="n">
        <v>45574.39081018518</v>
      </c>
      <c r="C671" s="1" t="n">
        <v>45991</v>
      </c>
      <c r="D671" t="inlineStr">
        <is>
          <t>JÄMTLANDS LÄN</t>
        </is>
      </c>
      <c r="E671" t="inlineStr">
        <is>
          <t>RAGUNDA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34463-2025</t>
        </is>
      </c>
      <c r="B672" s="1" t="n">
        <v>45847.34515046296</v>
      </c>
      <c r="C672" s="1" t="n">
        <v>45991</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13898-2023</t>
        </is>
      </c>
      <c r="B673" s="1" t="n">
        <v>45008.01408564814</v>
      </c>
      <c r="C673" s="1" t="n">
        <v>45991</v>
      </c>
      <c r="D673" t="inlineStr">
        <is>
          <t>JÄMTLANDS LÄN</t>
        </is>
      </c>
      <c r="E673" t="inlineStr">
        <is>
          <t>RAGUNDA</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34586-2025</t>
        </is>
      </c>
      <c r="B674" s="1" t="n">
        <v>45847.61513888889</v>
      </c>
      <c r="C674" s="1" t="n">
        <v>45991</v>
      </c>
      <c r="D674" t="inlineStr">
        <is>
          <t>JÄMTLANDS LÄN</t>
        </is>
      </c>
      <c r="E674" t="inlineStr">
        <is>
          <t>RAGUNDA</t>
        </is>
      </c>
      <c r="G674" t="n">
        <v>1.6</v>
      </c>
      <c r="H674" t="n">
        <v>0</v>
      </c>
      <c r="I674" t="n">
        <v>0</v>
      </c>
      <c r="J674" t="n">
        <v>0</v>
      </c>
      <c r="K674" t="n">
        <v>0</v>
      </c>
      <c r="L674" t="n">
        <v>0</v>
      </c>
      <c r="M674" t="n">
        <v>0</v>
      </c>
      <c r="N674" t="n">
        <v>0</v>
      </c>
      <c r="O674" t="n">
        <v>0</v>
      </c>
      <c r="P674" t="n">
        <v>0</v>
      </c>
      <c r="Q674" t="n">
        <v>0</v>
      </c>
      <c r="R674" s="2" t="inlineStr"/>
    </row>
    <row r="675" ht="15" customHeight="1">
      <c r="A675" t="inlineStr">
        <is>
          <t>A 34588-2025</t>
        </is>
      </c>
      <c r="B675" s="1" t="n">
        <v>45847.61548611111</v>
      </c>
      <c r="C675" s="1" t="n">
        <v>45991</v>
      </c>
      <c r="D675" t="inlineStr">
        <is>
          <t>JÄMTLANDS LÄN</t>
        </is>
      </c>
      <c r="E675" t="inlineStr">
        <is>
          <t>RAGUNDA</t>
        </is>
      </c>
      <c r="G675" t="n">
        <v>32.3</v>
      </c>
      <c r="H675" t="n">
        <v>0</v>
      </c>
      <c r="I675" t="n">
        <v>0</v>
      </c>
      <c r="J675" t="n">
        <v>0</v>
      </c>
      <c r="K675" t="n">
        <v>0</v>
      </c>
      <c r="L675" t="n">
        <v>0</v>
      </c>
      <c r="M675" t="n">
        <v>0</v>
      </c>
      <c r="N675" t="n">
        <v>0</v>
      </c>
      <c r="O675" t="n">
        <v>0</v>
      </c>
      <c r="P675" t="n">
        <v>0</v>
      </c>
      <c r="Q675" t="n">
        <v>0</v>
      </c>
      <c r="R675" s="2" t="inlineStr"/>
    </row>
    <row r="676" ht="15" customHeight="1">
      <c r="A676" t="inlineStr">
        <is>
          <t>A 34296-2025</t>
        </is>
      </c>
      <c r="B676" s="1" t="n">
        <v>45846.34454861111</v>
      </c>
      <c r="C676" s="1" t="n">
        <v>45991</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34709-2025</t>
        </is>
      </c>
      <c r="B677" s="1" t="n">
        <v>45848.49761574074</v>
      </c>
      <c r="C677" s="1" t="n">
        <v>45991</v>
      </c>
      <c r="D677" t="inlineStr">
        <is>
          <t>JÄMTLANDS LÄN</t>
        </is>
      </c>
      <c r="E677" t="inlineStr">
        <is>
          <t>RAGUNDA</t>
        </is>
      </c>
      <c r="G677" t="n">
        <v>3.1</v>
      </c>
      <c r="H677" t="n">
        <v>0</v>
      </c>
      <c r="I677" t="n">
        <v>0</v>
      </c>
      <c r="J677" t="n">
        <v>0</v>
      </c>
      <c r="K677" t="n">
        <v>0</v>
      </c>
      <c r="L677" t="n">
        <v>0</v>
      </c>
      <c r="M677" t="n">
        <v>0</v>
      </c>
      <c r="N677" t="n">
        <v>0</v>
      </c>
      <c r="O677" t="n">
        <v>0</v>
      </c>
      <c r="P677" t="n">
        <v>0</v>
      </c>
      <c r="Q677" t="n">
        <v>0</v>
      </c>
      <c r="R677" s="2" t="inlineStr"/>
    </row>
    <row r="678" ht="15" customHeight="1">
      <c r="A678" t="inlineStr">
        <is>
          <t>A 34772-2025</t>
        </is>
      </c>
      <c r="B678" s="1" t="n">
        <v>45848.65658564815</v>
      </c>
      <c r="C678" s="1" t="n">
        <v>45991</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34710-2025</t>
        </is>
      </c>
      <c r="B679" s="1" t="n">
        <v>45848.49774305556</v>
      </c>
      <c r="C679" s="1" t="n">
        <v>45991</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53211-2025</t>
        </is>
      </c>
      <c r="B680" s="1" t="n">
        <v>45958.59490740741</v>
      </c>
      <c r="C680" s="1" t="n">
        <v>45991</v>
      </c>
      <c r="D680" t="inlineStr">
        <is>
          <t>JÄMTLANDS LÄN</t>
        </is>
      </c>
      <c r="E680" t="inlineStr">
        <is>
          <t>RAGUNDA</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34968-2025</t>
        </is>
      </c>
      <c r="B681" s="1" t="n">
        <v>45849.65663194445</v>
      </c>
      <c r="C681" s="1" t="n">
        <v>45991</v>
      </c>
      <c r="D681" t="inlineStr">
        <is>
          <t>JÄMTLANDS LÄN</t>
        </is>
      </c>
      <c r="E681" t="inlineStr">
        <is>
          <t>RAGUNDA</t>
        </is>
      </c>
      <c r="F681" t="inlineStr">
        <is>
          <t>SCA</t>
        </is>
      </c>
      <c r="G681" t="n">
        <v>20.2</v>
      </c>
      <c r="H681" t="n">
        <v>0</v>
      </c>
      <c r="I681" t="n">
        <v>0</v>
      </c>
      <c r="J681" t="n">
        <v>0</v>
      </c>
      <c r="K681" t="n">
        <v>0</v>
      </c>
      <c r="L681" t="n">
        <v>0</v>
      </c>
      <c r="M681" t="n">
        <v>0</v>
      </c>
      <c r="N681" t="n">
        <v>0</v>
      </c>
      <c r="O681" t="n">
        <v>0</v>
      </c>
      <c r="P681" t="n">
        <v>0</v>
      </c>
      <c r="Q681" t="n">
        <v>0</v>
      </c>
      <c r="R681" s="2" t="inlineStr"/>
    </row>
    <row r="682" ht="15" customHeight="1">
      <c r="A682" t="inlineStr">
        <is>
          <t>A 26026-2024</t>
        </is>
      </c>
      <c r="B682" s="1" t="n">
        <v>45467.96207175926</v>
      </c>
      <c r="C682" s="1" t="n">
        <v>45991</v>
      </c>
      <c r="D682" t="inlineStr">
        <is>
          <t>JÄMTLANDS LÄN</t>
        </is>
      </c>
      <c r="E682" t="inlineStr">
        <is>
          <t>RAGUNDA</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34998-2025</t>
        </is>
      </c>
      <c r="B683" s="1" t="n">
        <v>45850.34434027778</v>
      </c>
      <c r="C683" s="1" t="n">
        <v>45991</v>
      </c>
      <c r="D683" t="inlineStr">
        <is>
          <t>JÄMTLANDS LÄN</t>
        </is>
      </c>
      <c r="E683" t="inlineStr">
        <is>
          <t>RAGUNDA</t>
        </is>
      </c>
      <c r="G683" t="n">
        <v>1.4</v>
      </c>
      <c r="H683" t="n">
        <v>0</v>
      </c>
      <c r="I683" t="n">
        <v>0</v>
      </c>
      <c r="J683" t="n">
        <v>0</v>
      </c>
      <c r="K683" t="n">
        <v>0</v>
      </c>
      <c r="L683" t="n">
        <v>0</v>
      </c>
      <c r="M683" t="n">
        <v>0</v>
      </c>
      <c r="N683" t="n">
        <v>0</v>
      </c>
      <c r="O683" t="n">
        <v>0</v>
      </c>
      <c r="P683" t="n">
        <v>0</v>
      </c>
      <c r="Q683" t="n">
        <v>0</v>
      </c>
      <c r="R683" s="2" t="inlineStr"/>
    </row>
    <row r="684" ht="15" customHeight="1">
      <c r="A684" t="inlineStr">
        <is>
          <t>A 34999-2025</t>
        </is>
      </c>
      <c r="B684" s="1" t="n">
        <v>45850.34450231482</v>
      </c>
      <c r="C684" s="1" t="n">
        <v>45991</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53032-2025</t>
        </is>
      </c>
      <c r="B685" s="1" t="n">
        <v>45958.34462962963</v>
      </c>
      <c r="C685" s="1" t="n">
        <v>45991</v>
      </c>
      <c r="D685" t="inlineStr">
        <is>
          <t>JÄMTLANDS LÄN</t>
        </is>
      </c>
      <c r="E685" t="inlineStr">
        <is>
          <t>RAGUNDA</t>
        </is>
      </c>
      <c r="G685" t="n">
        <v>2.6</v>
      </c>
      <c r="H685" t="n">
        <v>0</v>
      </c>
      <c r="I685" t="n">
        <v>0</v>
      </c>
      <c r="J685" t="n">
        <v>0</v>
      </c>
      <c r="K685" t="n">
        <v>0</v>
      </c>
      <c r="L685" t="n">
        <v>0</v>
      </c>
      <c r="M685" t="n">
        <v>0</v>
      </c>
      <c r="N685" t="n">
        <v>0</v>
      </c>
      <c r="O685" t="n">
        <v>0</v>
      </c>
      <c r="P685" t="n">
        <v>0</v>
      </c>
      <c r="Q685" t="n">
        <v>0</v>
      </c>
      <c r="R685" s="2" t="inlineStr"/>
    </row>
    <row r="686" ht="15" customHeight="1">
      <c r="A686" t="inlineStr">
        <is>
          <t>A 53076-2025</t>
        </is>
      </c>
      <c r="B686" s="1" t="n">
        <v>45958.38604166666</v>
      </c>
      <c r="C686" s="1" t="n">
        <v>45991</v>
      </c>
      <c r="D686" t="inlineStr">
        <is>
          <t>JÄMTLANDS LÄN</t>
        </is>
      </c>
      <c r="E686" t="inlineStr">
        <is>
          <t>RAGUNDA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35092-2025</t>
        </is>
      </c>
      <c r="B687" s="1" t="n">
        <v>45852.53185185185</v>
      </c>
      <c r="C687" s="1" t="n">
        <v>45991</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5429-2024</t>
        </is>
      </c>
      <c r="B688" s="1" t="n">
        <v>45331.92746527777</v>
      </c>
      <c r="C688" s="1" t="n">
        <v>45991</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53765-2025</t>
        </is>
      </c>
      <c r="B689" s="1" t="n">
        <v>45960.67753472222</v>
      </c>
      <c r="C689" s="1" t="n">
        <v>45991</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53549-2025</t>
        </is>
      </c>
      <c r="B690" s="1" t="n">
        <v>45960.38576388889</v>
      </c>
      <c r="C690" s="1" t="n">
        <v>45991</v>
      </c>
      <c r="D690" t="inlineStr">
        <is>
          <t>JÄMTLANDS LÄN</t>
        </is>
      </c>
      <c r="E690" t="inlineStr">
        <is>
          <t>RAGUNDA</t>
        </is>
      </c>
      <c r="G690" t="n">
        <v>5.4</v>
      </c>
      <c r="H690" t="n">
        <v>0</v>
      </c>
      <c r="I690" t="n">
        <v>0</v>
      </c>
      <c r="J690" t="n">
        <v>0</v>
      </c>
      <c r="K690" t="n">
        <v>0</v>
      </c>
      <c r="L690" t="n">
        <v>0</v>
      </c>
      <c r="M690" t="n">
        <v>0</v>
      </c>
      <c r="N690" t="n">
        <v>0</v>
      </c>
      <c r="O690" t="n">
        <v>0</v>
      </c>
      <c r="P690" t="n">
        <v>0</v>
      </c>
      <c r="Q690" t="n">
        <v>0</v>
      </c>
      <c r="R690" s="2" t="inlineStr"/>
    </row>
    <row r="691" ht="15" customHeight="1">
      <c r="A691" t="inlineStr">
        <is>
          <t>A 53726-2025</t>
        </is>
      </c>
      <c r="B691" s="1" t="n">
        <v>45960.63597222222</v>
      </c>
      <c r="C691" s="1" t="n">
        <v>45991</v>
      </c>
      <c r="D691" t="inlineStr">
        <is>
          <t>JÄMTLANDS LÄN</t>
        </is>
      </c>
      <c r="E691" t="inlineStr">
        <is>
          <t>RAGUNDA</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35091-2025</t>
        </is>
      </c>
      <c r="B692" s="1" t="n">
        <v>45852.53168981482</v>
      </c>
      <c r="C692" s="1" t="n">
        <v>45991</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53948-2025</t>
        </is>
      </c>
      <c r="B693" s="1" t="n">
        <v>45961.50033564815</v>
      </c>
      <c r="C693" s="1" t="n">
        <v>45991</v>
      </c>
      <c r="D693" t="inlineStr">
        <is>
          <t>JÄMTLANDS LÄN</t>
        </is>
      </c>
      <c r="E693" t="inlineStr">
        <is>
          <t>RAGUNDA</t>
        </is>
      </c>
      <c r="G693" t="n">
        <v>7.9</v>
      </c>
      <c r="H693" t="n">
        <v>0</v>
      </c>
      <c r="I693" t="n">
        <v>0</v>
      </c>
      <c r="J693" t="n">
        <v>0</v>
      </c>
      <c r="K693" t="n">
        <v>0</v>
      </c>
      <c r="L693" t="n">
        <v>0</v>
      </c>
      <c r="M693" t="n">
        <v>0</v>
      </c>
      <c r="N693" t="n">
        <v>0</v>
      </c>
      <c r="O693" t="n">
        <v>0</v>
      </c>
      <c r="P693" t="n">
        <v>0</v>
      </c>
      <c r="Q693" t="n">
        <v>0</v>
      </c>
      <c r="R693" s="2" t="inlineStr"/>
    </row>
    <row r="694" ht="15" customHeight="1">
      <c r="A694" t="inlineStr">
        <is>
          <t>A 53986-2025</t>
        </is>
      </c>
      <c r="B694" s="1" t="n">
        <v>45961.57381944444</v>
      </c>
      <c r="C694" s="1" t="n">
        <v>45991</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35462-2025</t>
        </is>
      </c>
      <c r="B695" s="1" t="n">
        <v>45855.61523148148</v>
      </c>
      <c r="C695" s="1" t="n">
        <v>45991</v>
      </c>
      <c r="D695" t="inlineStr">
        <is>
          <t>JÄMTLANDS LÄN</t>
        </is>
      </c>
      <c r="E695" t="inlineStr">
        <is>
          <t>RAGUNDA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45279-2025</t>
        </is>
      </c>
      <c r="B696" s="1" t="n">
        <v>45919.71912037037</v>
      </c>
      <c r="C696" s="1" t="n">
        <v>45991</v>
      </c>
      <c r="D696" t="inlineStr">
        <is>
          <t>JÄMTLANDS LÄN</t>
        </is>
      </c>
      <c r="E696" t="inlineStr">
        <is>
          <t>RAGUNDA</t>
        </is>
      </c>
      <c r="F696" t="inlineStr">
        <is>
          <t>SCA</t>
        </is>
      </c>
      <c r="G696" t="n">
        <v>11.5</v>
      </c>
      <c r="H696" t="n">
        <v>0</v>
      </c>
      <c r="I696" t="n">
        <v>0</v>
      </c>
      <c r="J696" t="n">
        <v>0</v>
      </c>
      <c r="K696" t="n">
        <v>0</v>
      </c>
      <c r="L696" t="n">
        <v>0</v>
      </c>
      <c r="M696" t="n">
        <v>0</v>
      </c>
      <c r="N696" t="n">
        <v>0</v>
      </c>
      <c r="O696" t="n">
        <v>0</v>
      </c>
      <c r="P696" t="n">
        <v>0</v>
      </c>
      <c r="Q696" t="n">
        <v>0</v>
      </c>
      <c r="R696" s="2" t="inlineStr"/>
    </row>
    <row r="697" ht="15" customHeight="1">
      <c r="A697" t="inlineStr">
        <is>
          <t>A 3720-2025</t>
        </is>
      </c>
      <c r="B697" s="1" t="n">
        <v>45681.5315625</v>
      </c>
      <c r="C697" s="1" t="n">
        <v>45991</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35355-2025</t>
        </is>
      </c>
      <c r="B698" s="1" t="n">
        <v>45854.65663194445</v>
      </c>
      <c r="C698" s="1" t="n">
        <v>45991</v>
      </c>
      <c r="D698" t="inlineStr">
        <is>
          <t>JÄMTLANDS LÄN</t>
        </is>
      </c>
      <c r="E698" t="inlineStr">
        <is>
          <t>RAGUNDA</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3770-2025</t>
        </is>
      </c>
      <c r="B699" s="1" t="n">
        <v>45681.6050925926</v>
      </c>
      <c r="C699" s="1" t="n">
        <v>45991</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35477-2025</t>
        </is>
      </c>
      <c r="B700" s="1" t="n">
        <v>45855.67899305555</v>
      </c>
      <c r="C700" s="1" t="n">
        <v>45991</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53973-2025</t>
        </is>
      </c>
      <c r="B701" s="1" t="n">
        <v>45961.55246527777</v>
      </c>
      <c r="C701" s="1" t="n">
        <v>45991</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row>
    <row r="702" ht="15" customHeight="1">
      <c r="A702" t="inlineStr">
        <is>
          <t>A 51579-2024</t>
        </is>
      </c>
      <c r="B702" s="1" t="n">
        <v>45604.63575231482</v>
      </c>
      <c r="C702" s="1" t="n">
        <v>45991</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8775-2025</t>
        </is>
      </c>
      <c r="B703" s="1" t="n">
        <v>45712.61502314815</v>
      </c>
      <c r="C703" s="1" t="n">
        <v>45991</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35541-2025</t>
        </is>
      </c>
      <c r="B704" s="1" t="n">
        <v>45856.46931712963</v>
      </c>
      <c r="C704" s="1" t="n">
        <v>45991</v>
      </c>
      <c r="D704" t="inlineStr">
        <is>
          <t>JÄMTLANDS LÄN</t>
        </is>
      </c>
      <c r="E704" t="inlineStr">
        <is>
          <t>RAGUNDA</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35658-2025</t>
        </is>
      </c>
      <c r="B705" s="1" t="n">
        <v>45859.594375</v>
      </c>
      <c r="C705" s="1" t="n">
        <v>45991</v>
      </c>
      <c r="D705" t="inlineStr">
        <is>
          <t>JÄMTLANDS LÄN</t>
        </is>
      </c>
      <c r="E705" t="inlineStr">
        <is>
          <t>RAGUNDA</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44954-2025</t>
        </is>
      </c>
      <c r="B706" s="1" t="n">
        <v>45918.61203703703</v>
      </c>
      <c r="C706" s="1" t="n">
        <v>45991</v>
      </c>
      <c r="D706" t="inlineStr">
        <is>
          <t>JÄMTLANDS LÄN</t>
        </is>
      </c>
      <c r="E706" t="inlineStr">
        <is>
          <t>RAGUNDA</t>
        </is>
      </c>
      <c r="G706" t="n">
        <v>3</v>
      </c>
      <c r="H706" t="n">
        <v>0</v>
      </c>
      <c r="I706" t="n">
        <v>0</v>
      </c>
      <c r="J706" t="n">
        <v>0</v>
      </c>
      <c r="K706" t="n">
        <v>0</v>
      </c>
      <c r="L706" t="n">
        <v>0</v>
      </c>
      <c r="M706" t="n">
        <v>0</v>
      </c>
      <c r="N706" t="n">
        <v>0</v>
      </c>
      <c r="O706" t="n">
        <v>0</v>
      </c>
      <c r="P706" t="n">
        <v>0</v>
      </c>
      <c r="Q706" t="n">
        <v>0</v>
      </c>
      <c r="R706" s="2" t="inlineStr"/>
    </row>
    <row r="707" ht="15" customHeight="1">
      <c r="A707" t="inlineStr">
        <is>
          <t>A 2339-2025</t>
        </is>
      </c>
      <c r="B707" s="1" t="n">
        <v>45673.66358796296</v>
      </c>
      <c r="C707" s="1" t="n">
        <v>45991</v>
      </c>
      <c r="D707" t="inlineStr">
        <is>
          <t>JÄMTLANDS LÄN</t>
        </is>
      </c>
      <c r="E707" t="inlineStr">
        <is>
          <t>RAGUNDA</t>
        </is>
      </c>
      <c r="G707" t="n">
        <v>5</v>
      </c>
      <c r="H707" t="n">
        <v>0</v>
      </c>
      <c r="I707" t="n">
        <v>0</v>
      </c>
      <c r="J707" t="n">
        <v>0</v>
      </c>
      <c r="K707" t="n">
        <v>0</v>
      </c>
      <c r="L707" t="n">
        <v>0</v>
      </c>
      <c r="M707" t="n">
        <v>0</v>
      </c>
      <c r="N707" t="n">
        <v>0</v>
      </c>
      <c r="O707" t="n">
        <v>0</v>
      </c>
      <c r="P707" t="n">
        <v>0</v>
      </c>
      <c r="Q707" t="n">
        <v>0</v>
      </c>
      <c r="R707" s="2" t="inlineStr"/>
    </row>
    <row r="708" ht="15" customHeight="1">
      <c r="A708" t="inlineStr">
        <is>
          <t>A 53748-2025</t>
        </is>
      </c>
      <c r="B708" s="1" t="n">
        <v>45960.65673611111</v>
      </c>
      <c r="C708" s="1" t="n">
        <v>45991</v>
      </c>
      <c r="D708" t="inlineStr">
        <is>
          <t>JÄMTLANDS LÄN</t>
        </is>
      </c>
      <c r="E708" t="inlineStr">
        <is>
          <t>RAGUNDA</t>
        </is>
      </c>
      <c r="F708" t="inlineStr">
        <is>
          <t>SCA</t>
        </is>
      </c>
      <c r="G708" t="n">
        <v>14.9</v>
      </c>
      <c r="H708" t="n">
        <v>0</v>
      </c>
      <c r="I708" t="n">
        <v>0</v>
      </c>
      <c r="J708" t="n">
        <v>0</v>
      </c>
      <c r="K708" t="n">
        <v>0</v>
      </c>
      <c r="L708" t="n">
        <v>0</v>
      </c>
      <c r="M708" t="n">
        <v>0</v>
      </c>
      <c r="N708" t="n">
        <v>0</v>
      </c>
      <c r="O708" t="n">
        <v>0</v>
      </c>
      <c r="P708" t="n">
        <v>0</v>
      </c>
      <c r="Q708" t="n">
        <v>0</v>
      </c>
      <c r="R708" s="2" t="inlineStr"/>
    </row>
    <row r="709" ht="15" customHeight="1">
      <c r="A709" t="inlineStr">
        <is>
          <t>A 27499-2024</t>
        </is>
      </c>
      <c r="B709" s="1" t="n">
        <v>45474.50608796296</v>
      </c>
      <c r="C709" s="1" t="n">
        <v>45991</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57078-2023</t>
        </is>
      </c>
      <c r="B710" s="1" t="n">
        <v>45244.96774305555</v>
      </c>
      <c r="C710" s="1" t="n">
        <v>45991</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53727-2025</t>
        </is>
      </c>
      <c r="B711" s="1" t="n">
        <v>45960.63630787037</v>
      </c>
      <c r="C711" s="1" t="n">
        <v>45991</v>
      </c>
      <c r="D711" t="inlineStr">
        <is>
          <t>JÄMTLANDS LÄN</t>
        </is>
      </c>
      <c r="E711" t="inlineStr">
        <is>
          <t>RAGUNDA</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59368-2022</t>
        </is>
      </c>
      <c r="B712" s="1" t="n">
        <v>44904.94824074074</v>
      </c>
      <c r="C712" s="1" t="n">
        <v>45991</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53951-2025</t>
        </is>
      </c>
      <c r="B713" s="1" t="n">
        <v>45961.50200231482</v>
      </c>
      <c r="C713" s="1" t="n">
        <v>45991</v>
      </c>
      <c r="D713" t="inlineStr">
        <is>
          <t>JÄMTLANDS LÄN</t>
        </is>
      </c>
      <c r="E713" t="inlineStr">
        <is>
          <t>RAGUNDA</t>
        </is>
      </c>
      <c r="G713" t="n">
        <v>1.8</v>
      </c>
      <c r="H713" t="n">
        <v>0</v>
      </c>
      <c r="I713" t="n">
        <v>0</v>
      </c>
      <c r="J713" t="n">
        <v>0</v>
      </c>
      <c r="K713" t="n">
        <v>0</v>
      </c>
      <c r="L713" t="n">
        <v>0</v>
      </c>
      <c r="M713" t="n">
        <v>0</v>
      </c>
      <c r="N713" t="n">
        <v>0</v>
      </c>
      <c r="O713" t="n">
        <v>0</v>
      </c>
      <c r="P713" t="n">
        <v>0</v>
      </c>
      <c r="Q713" t="n">
        <v>0</v>
      </c>
      <c r="R713" s="2" t="inlineStr"/>
    </row>
    <row r="714" ht="15" customHeight="1">
      <c r="A714" t="inlineStr">
        <is>
          <t>A 53975-2025</t>
        </is>
      </c>
      <c r="B714" s="1" t="n">
        <v>45961.55277777778</v>
      </c>
      <c r="C714" s="1" t="n">
        <v>45991</v>
      </c>
      <c r="D714" t="inlineStr">
        <is>
          <t>JÄMTLANDS LÄN</t>
        </is>
      </c>
      <c r="E714" t="inlineStr">
        <is>
          <t>RAGUNDA</t>
        </is>
      </c>
      <c r="F714" t="inlineStr">
        <is>
          <t>SCA</t>
        </is>
      </c>
      <c r="G714" t="n">
        <v>21.9</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45991</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6801-2023</t>
        </is>
      </c>
      <c r="B716" s="1" t="n">
        <v>44966.95328703704</v>
      </c>
      <c r="C716" s="1" t="n">
        <v>45991</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54396-2025</t>
        </is>
      </c>
      <c r="B717" s="1" t="n">
        <v>45965.44849537037</v>
      </c>
      <c r="C717" s="1" t="n">
        <v>45991</v>
      </c>
      <c r="D717" t="inlineStr">
        <is>
          <t>JÄMTLANDS LÄN</t>
        </is>
      </c>
      <c r="E717" t="inlineStr">
        <is>
          <t>RAGUNDA</t>
        </is>
      </c>
      <c r="F717" t="inlineStr">
        <is>
          <t>SCA</t>
        </is>
      </c>
      <c r="G717" t="n">
        <v>35.2</v>
      </c>
      <c r="H717" t="n">
        <v>0</v>
      </c>
      <c r="I717" t="n">
        <v>0</v>
      </c>
      <c r="J717" t="n">
        <v>0</v>
      </c>
      <c r="K717" t="n">
        <v>0</v>
      </c>
      <c r="L717" t="n">
        <v>0</v>
      </c>
      <c r="M717" t="n">
        <v>0</v>
      </c>
      <c r="N717" t="n">
        <v>0</v>
      </c>
      <c r="O717" t="n">
        <v>0</v>
      </c>
      <c r="P717" t="n">
        <v>0</v>
      </c>
      <c r="Q717" t="n">
        <v>0</v>
      </c>
      <c r="R717" s="2" t="inlineStr"/>
    </row>
    <row r="718" ht="15" customHeight="1">
      <c r="A718" t="inlineStr">
        <is>
          <t>A 41656-2023</t>
        </is>
      </c>
      <c r="B718" s="1" t="n">
        <v>45175</v>
      </c>
      <c r="C718" s="1" t="n">
        <v>45991</v>
      </c>
      <c r="D718" t="inlineStr">
        <is>
          <t>JÄMTLANDS LÄN</t>
        </is>
      </c>
      <c r="E718" t="inlineStr">
        <is>
          <t>RAGUNDA</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21401-2024</t>
        </is>
      </c>
      <c r="B719" s="1" t="n">
        <v>45441.33313657407</v>
      </c>
      <c r="C719" s="1" t="n">
        <v>45991</v>
      </c>
      <c r="D719" t="inlineStr">
        <is>
          <t>JÄMTLANDS LÄN</t>
        </is>
      </c>
      <c r="E719" t="inlineStr">
        <is>
          <t>RAGUNDA</t>
        </is>
      </c>
      <c r="G719" t="n">
        <v>3.7</v>
      </c>
      <c r="H719" t="n">
        <v>0</v>
      </c>
      <c r="I719" t="n">
        <v>0</v>
      </c>
      <c r="J719" t="n">
        <v>0</v>
      </c>
      <c r="K719" t="n">
        <v>0</v>
      </c>
      <c r="L719" t="n">
        <v>0</v>
      </c>
      <c r="M719" t="n">
        <v>0</v>
      </c>
      <c r="N719" t="n">
        <v>0</v>
      </c>
      <c r="O719" t="n">
        <v>0</v>
      </c>
      <c r="P719" t="n">
        <v>0</v>
      </c>
      <c r="Q719" t="n">
        <v>0</v>
      </c>
      <c r="R719" s="2" t="inlineStr"/>
    </row>
    <row r="720" ht="15" customHeight="1">
      <c r="A720" t="inlineStr">
        <is>
          <t>A 51646-2023</t>
        </is>
      </c>
      <c r="B720" s="1" t="n">
        <v>45215</v>
      </c>
      <c r="C720" s="1" t="n">
        <v>45991</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37268-2024</t>
        </is>
      </c>
      <c r="B721" s="1" t="n">
        <v>45540.38586805556</v>
      </c>
      <c r="C721" s="1" t="n">
        <v>45991</v>
      </c>
      <c r="D721" t="inlineStr">
        <is>
          <t>JÄMTLANDS LÄN</t>
        </is>
      </c>
      <c r="E721" t="inlineStr">
        <is>
          <t>RAGUNDA</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54092-2024</t>
        </is>
      </c>
      <c r="B722" s="1" t="n">
        <v>45616.5108912037</v>
      </c>
      <c r="C722" s="1" t="n">
        <v>45991</v>
      </c>
      <c r="D722" t="inlineStr">
        <is>
          <t>JÄMTLANDS LÄN</t>
        </is>
      </c>
      <c r="E722" t="inlineStr">
        <is>
          <t>RAGUNDA</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14512-2025</t>
        </is>
      </c>
      <c r="B723" s="1" t="n">
        <v>45741.63659722222</v>
      </c>
      <c r="C723" s="1" t="n">
        <v>45991</v>
      </c>
      <c r="D723" t="inlineStr">
        <is>
          <t>JÄMTLANDS LÄN</t>
        </is>
      </c>
      <c r="E723" t="inlineStr">
        <is>
          <t>RAGUNDA</t>
        </is>
      </c>
      <c r="F723" t="inlineStr">
        <is>
          <t>SCA</t>
        </is>
      </c>
      <c r="G723" t="n">
        <v>8.9</v>
      </c>
      <c r="H723" t="n">
        <v>0</v>
      </c>
      <c r="I723" t="n">
        <v>0</v>
      </c>
      <c r="J723" t="n">
        <v>0</v>
      </c>
      <c r="K723" t="n">
        <v>0</v>
      </c>
      <c r="L723" t="n">
        <v>0</v>
      </c>
      <c r="M723" t="n">
        <v>0</v>
      </c>
      <c r="N723" t="n">
        <v>0</v>
      </c>
      <c r="O723" t="n">
        <v>0</v>
      </c>
      <c r="P723" t="n">
        <v>0</v>
      </c>
      <c r="Q723" t="n">
        <v>0</v>
      </c>
      <c r="R723" s="2" t="inlineStr"/>
    </row>
    <row r="724" ht="15" customHeight="1">
      <c r="A724" t="inlineStr">
        <is>
          <t>A 50649-2022</t>
        </is>
      </c>
      <c r="B724" s="1" t="n">
        <v>44866</v>
      </c>
      <c r="C724" s="1" t="n">
        <v>45991</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54195-2025</t>
        </is>
      </c>
      <c r="B725" s="1" t="n">
        <v>45964.57413194444</v>
      </c>
      <c r="C725" s="1" t="n">
        <v>45991</v>
      </c>
      <c r="D725" t="inlineStr">
        <is>
          <t>JÄMTLANDS LÄN</t>
        </is>
      </c>
      <c r="E725" t="inlineStr">
        <is>
          <t>RAGUNDA</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59759-2024</t>
        </is>
      </c>
      <c r="B726" s="1" t="n">
        <v>45639.55240740741</v>
      </c>
      <c r="C726" s="1" t="n">
        <v>45991</v>
      </c>
      <c r="D726" t="inlineStr">
        <is>
          <t>JÄMTLANDS LÄN</t>
        </is>
      </c>
      <c r="E726" t="inlineStr">
        <is>
          <t>RAGUNDA</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35537-2021</t>
        </is>
      </c>
      <c r="B727" s="1" t="n">
        <v>44384</v>
      </c>
      <c r="C727" s="1" t="n">
        <v>45991</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2819-2023</t>
        </is>
      </c>
      <c r="B728" s="1" t="n">
        <v>44944</v>
      </c>
      <c r="C728" s="1" t="n">
        <v>45991</v>
      </c>
      <c r="D728" t="inlineStr">
        <is>
          <t>JÄMTLANDS LÄN</t>
        </is>
      </c>
      <c r="E728" t="inlineStr">
        <is>
          <t>RAGUNDA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36541-2025</t>
        </is>
      </c>
      <c r="B729" s="1" t="n">
        <v>45869.65666666667</v>
      </c>
      <c r="C729" s="1" t="n">
        <v>45991</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36544-2025</t>
        </is>
      </c>
      <c r="B730" s="1" t="n">
        <v>45869.67744212963</v>
      </c>
      <c r="C730" s="1" t="n">
        <v>45991</v>
      </c>
      <c r="D730" t="inlineStr">
        <is>
          <t>JÄMTLANDS LÄN</t>
        </is>
      </c>
      <c r="E730" t="inlineStr">
        <is>
          <t>RAGUNDA</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44536-2022</t>
        </is>
      </c>
      <c r="B731" s="1" t="n">
        <v>44839</v>
      </c>
      <c r="C731" s="1" t="n">
        <v>45991</v>
      </c>
      <c r="D731" t="inlineStr">
        <is>
          <t>JÄMTLANDS LÄN</t>
        </is>
      </c>
      <c r="E731" t="inlineStr">
        <is>
          <t>RAGUNDA</t>
        </is>
      </c>
      <c r="G731" t="n">
        <v>4</v>
      </c>
      <c r="H731" t="n">
        <v>0</v>
      </c>
      <c r="I731" t="n">
        <v>0</v>
      </c>
      <c r="J731" t="n">
        <v>0</v>
      </c>
      <c r="K731" t="n">
        <v>0</v>
      </c>
      <c r="L731" t="n">
        <v>0</v>
      </c>
      <c r="M731" t="n">
        <v>0</v>
      </c>
      <c r="N731" t="n">
        <v>0</v>
      </c>
      <c r="O731" t="n">
        <v>0</v>
      </c>
      <c r="P731" t="n">
        <v>0</v>
      </c>
      <c r="Q731" t="n">
        <v>0</v>
      </c>
      <c r="R731" s="2" t="inlineStr"/>
    </row>
    <row r="732" ht="15" customHeight="1">
      <c r="A732" t="inlineStr">
        <is>
          <t>A 36553-2025</t>
        </is>
      </c>
      <c r="B732" s="1" t="n">
        <v>45870.34439814815</v>
      </c>
      <c r="C732" s="1" t="n">
        <v>45991</v>
      </c>
      <c r="D732" t="inlineStr">
        <is>
          <t>JÄMTLANDS LÄN</t>
        </is>
      </c>
      <c r="E732" t="inlineStr">
        <is>
          <t>RAGUNDA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45894-2025</t>
        </is>
      </c>
      <c r="B733" s="1" t="n">
        <v>45923.67765046296</v>
      </c>
      <c r="C733" s="1" t="n">
        <v>45991</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30459-2021</t>
        </is>
      </c>
      <c r="B734" s="1" t="n">
        <v>44362</v>
      </c>
      <c r="C734" s="1" t="n">
        <v>45991</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46192-2025</t>
        </is>
      </c>
      <c r="B735" s="1" t="n">
        <v>45924.67789351852</v>
      </c>
      <c r="C735" s="1" t="n">
        <v>45991</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37543-2023</t>
        </is>
      </c>
      <c r="B736" s="1" t="n">
        <v>45158.94231481481</v>
      </c>
      <c r="C736" s="1" t="n">
        <v>45991</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32075-2025</t>
        </is>
      </c>
      <c r="B737" s="1" t="n">
        <v>45835.4506712963</v>
      </c>
      <c r="C737" s="1" t="n">
        <v>45991</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54820-2025</t>
        </is>
      </c>
      <c r="B738" s="1" t="n">
        <v>45966.65728009259</v>
      </c>
      <c r="C738" s="1" t="n">
        <v>45991</v>
      </c>
      <c r="D738" t="inlineStr">
        <is>
          <t>JÄMTLANDS LÄN</t>
        </is>
      </c>
      <c r="E738" t="inlineStr">
        <is>
          <t>RAGUNDA</t>
        </is>
      </c>
      <c r="G738" t="n">
        <v>15.3</v>
      </c>
      <c r="H738" t="n">
        <v>0</v>
      </c>
      <c r="I738" t="n">
        <v>0</v>
      </c>
      <c r="J738" t="n">
        <v>0</v>
      </c>
      <c r="K738" t="n">
        <v>0</v>
      </c>
      <c r="L738" t="n">
        <v>0</v>
      </c>
      <c r="M738" t="n">
        <v>0</v>
      </c>
      <c r="N738" t="n">
        <v>0</v>
      </c>
      <c r="O738" t="n">
        <v>0</v>
      </c>
      <c r="P738" t="n">
        <v>0</v>
      </c>
      <c r="Q738" t="n">
        <v>0</v>
      </c>
      <c r="R738" s="2" t="inlineStr"/>
    </row>
    <row r="739" ht="15" customHeight="1">
      <c r="A739" t="inlineStr">
        <is>
          <t>A 32874-2025</t>
        </is>
      </c>
      <c r="B739" s="1" t="n">
        <v>45839</v>
      </c>
      <c r="C739" s="1" t="n">
        <v>45991</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36994-2025</t>
        </is>
      </c>
      <c r="B740" s="1" t="n">
        <v>45874.67746527777</v>
      </c>
      <c r="C740" s="1" t="n">
        <v>45991</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7668-2025</t>
        </is>
      </c>
      <c r="B741" s="1" t="n">
        <v>45706.34450231482</v>
      </c>
      <c r="C741" s="1" t="n">
        <v>45991</v>
      </c>
      <c r="D741" t="inlineStr">
        <is>
          <t>JÄMTLANDS LÄN</t>
        </is>
      </c>
      <c r="E741" t="inlineStr">
        <is>
          <t>RAGUNDA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36046-2023</t>
        </is>
      </c>
      <c r="B742" s="1" t="n">
        <v>45148</v>
      </c>
      <c r="C742" s="1" t="n">
        <v>45991</v>
      </c>
      <c r="D742" t="inlineStr">
        <is>
          <t>JÄMTLANDS LÄN</t>
        </is>
      </c>
      <c r="E742" t="inlineStr">
        <is>
          <t>RAGUNDA</t>
        </is>
      </c>
      <c r="G742" t="n">
        <v>1.9</v>
      </c>
      <c r="H742" t="n">
        <v>0</v>
      </c>
      <c r="I742" t="n">
        <v>0</v>
      </c>
      <c r="J742" t="n">
        <v>0</v>
      </c>
      <c r="K742" t="n">
        <v>0</v>
      </c>
      <c r="L742" t="n">
        <v>0</v>
      </c>
      <c r="M742" t="n">
        <v>0</v>
      </c>
      <c r="N742" t="n">
        <v>0</v>
      </c>
      <c r="O742" t="n">
        <v>0</v>
      </c>
      <c r="P742" t="n">
        <v>0</v>
      </c>
      <c r="Q742" t="n">
        <v>0</v>
      </c>
      <c r="R742" s="2" t="inlineStr"/>
    </row>
    <row r="743" ht="15" customHeight="1">
      <c r="A743" t="inlineStr">
        <is>
          <t>A 37008-2025</t>
        </is>
      </c>
      <c r="B743" s="1" t="n">
        <v>45874.69844907407</v>
      </c>
      <c r="C743" s="1" t="n">
        <v>45991</v>
      </c>
      <c r="D743" t="inlineStr">
        <is>
          <t>JÄMTLANDS LÄN</t>
        </is>
      </c>
      <c r="E743" t="inlineStr">
        <is>
          <t>RAGUNDA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46275-2025</t>
        </is>
      </c>
      <c r="B744" s="1" t="n">
        <v>45925.3711574074</v>
      </c>
      <c r="C744" s="1" t="n">
        <v>45991</v>
      </c>
      <c r="D744" t="inlineStr">
        <is>
          <t>JÄMTLANDS LÄN</t>
        </is>
      </c>
      <c r="E744" t="inlineStr">
        <is>
          <t>RAGUNDA</t>
        </is>
      </c>
      <c r="G744" t="n">
        <v>2.7</v>
      </c>
      <c r="H744" t="n">
        <v>0</v>
      </c>
      <c r="I744" t="n">
        <v>0</v>
      </c>
      <c r="J744" t="n">
        <v>0</v>
      </c>
      <c r="K744" t="n">
        <v>0</v>
      </c>
      <c r="L744" t="n">
        <v>0</v>
      </c>
      <c r="M744" t="n">
        <v>0</v>
      </c>
      <c r="N744" t="n">
        <v>0</v>
      </c>
      <c r="O744" t="n">
        <v>0</v>
      </c>
      <c r="P744" t="n">
        <v>0</v>
      </c>
      <c r="Q744" t="n">
        <v>0</v>
      </c>
      <c r="R744" s="2" t="inlineStr"/>
    </row>
    <row r="745" ht="15" customHeight="1">
      <c r="A745" t="inlineStr">
        <is>
          <t>A 36947-2025</t>
        </is>
      </c>
      <c r="B745" s="1" t="n">
        <v>45874.59496527778</v>
      </c>
      <c r="C745" s="1" t="n">
        <v>45991</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37292-2025</t>
        </is>
      </c>
      <c r="B746" s="1" t="n">
        <v>45876.53188657408</v>
      </c>
      <c r="C746" s="1" t="n">
        <v>45991</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54794-2025</t>
        </is>
      </c>
      <c r="B747" s="1" t="n">
        <v>45966.63592592593</v>
      </c>
      <c r="C747" s="1" t="n">
        <v>45991</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8654-2024</t>
        </is>
      </c>
      <c r="B748" s="1" t="n">
        <v>45356.03784722222</v>
      </c>
      <c r="C748" s="1" t="n">
        <v>45991</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25304-2023</t>
        </is>
      </c>
      <c r="B749" s="1" t="n">
        <v>45086</v>
      </c>
      <c r="C749" s="1" t="n">
        <v>45991</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6902-2024</t>
        </is>
      </c>
      <c r="B750" s="1" t="n">
        <v>45342</v>
      </c>
      <c r="C750" s="1" t="n">
        <v>45991</v>
      </c>
      <c r="D750" t="inlineStr">
        <is>
          <t>JÄMTLANDS LÄN</t>
        </is>
      </c>
      <c r="E750" t="inlineStr">
        <is>
          <t>RAGUNDA</t>
        </is>
      </c>
      <c r="F750" t="inlineStr">
        <is>
          <t>SCA</t>
        </is>
      </c>
      <c r="G750" t="n">
        <v>18.7</v>
      </c>
      <c r="H750" t="n">
        <v>0</v>
      </c>
      <c r="I750" t="n">
        <v>0</v>
      </c>
      <c r="J750" t="n">
        <v>0</v>
      </c>
      <c r="K750" t="n">
        <v>0</v>
      </c>
      <c r="L750" t="n">
        <v>0</v>
      </c>
      <c r="M750" t="n">
        <v>0</v>
      </c>
      <c r="N750" t="n">
        <v>0</v>
      </c>
      <c r="O750" t="n">
        <v>0</v>
      </c>
      <c r="P750" t="n">
        <v>0</v>
      </c>
      <c r="Q750" t="n">
        <v>0</v>
      </c>
      <c r="R750" s="2" t="inlineStr"/>
    </row>
    <row r="751" ht="15" customHeight="1">
      <c r="A751" t="inlineStr">
        <is>
          <t>A 6905-2024</t>
        </is>
      </c>
      <c r="B751" s="1" t="n">
        <v>45342.9462037037</v>
      </c>
      <c r="C751" s="1" t="n">
        <v>45991</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22731-2023</t>
        </is>
      </c>
      <c r="B752" s="1" t="n">
        <v>45071</v>
      </c>
      <c r="C752" s="1" t="n">
        <v>45991</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46825-2025</t>
        </is>
      </c>
      <c r="B753" s="1" t="n">
        <v>45926.92506944444</v>
      </c>
      <c r="C753" s="1" t="n">
        <v>45991</v>
      </c>
      <c r="D753" t="inlineStr">
        <is>
          <t>JÄMTLANDS LÄN</t>
        </is>
      </c>
      <c r="E753" t="inlineStr">
        <is>
          <t>RAGUNDA</t>
        </is>
      </c>
      <c r="G753" t="n">
        <v>1.4</v>
      </c>
      <c r="H753" t="n">
        <v>0</v>
      </c>
      <c r="I753" t="n">
        <v>0</v>
      </c>
      <c r="J753" t="n">
        <v>0</v>
      </c>
      <c r="K753" t="n">
        <v>0</v>
      </c>
      <c r="L753" t="n">
        <v>0</v>
      </c>
      <c r="M753" t="n">
        <v>0</v>
      </c>
      <c r="N753" t="n">
        <v>0</v>
      </c>
      <c r="O753" t="n">
        <v>0</v>
      </c>
      <c r="P753" t="n">
        <v>0</v>
      </c>
      <c r="Q753" t="n">
        <v>0</v>
      </c>
      <c r="R753" s="2" t="inlineStr"/>
    </row>
    <row r="754" ht="15" customHeight="1">
      <c r="A754" t="inlineStr">
        <is>
          <t>A 46710-2025</t>
        </is>
      </c>
      <c r="B754" s="1" t="n">
        <v>45926.57337962963</v>
      </c>
      <c r="C754" s="1" t="n">
        <v>45991</v>
      </c>
      <c r="D754" t="inlineStr">
        <is>
          <t>JÄMTLANDS LÄN</t>
        </is>
      </c>
      <c r="E754" t="inlineStr">
        <is>
          <t>RAGUNDA</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47075-2025</t>
        </is>
      </c>
      <c r="B755" s="1" t="n">
        <v>45929.63728009259</v>
      </c>
      <c r="C755" s="1" t="n">
        <v>45991</v>
      </c>
      <c r="D755" t="inlineStr">
        <is>
          <t>JÄMTLANDS LÄN</t>
        </is>
      </c>
      <c r="E755" t="inlineStr">
        <is>
          <t>RAGUNDA</t>
        </is>
      </c>
      <c r="F755" t="inlineStr">
        <is>
          <t>SCA</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11245-2025</t>
        </is>
      </c>
      <c r="B756" s="1" t="n">
        <v>45726.38575231482</v>
      </c>
      <c r="C756" s="1" t="n">
        <v>45991</v>
      </c>
      <c r="D756" t="inlineStr">
        <is>
          <t>JÄMTLANDS LÄN</t>
        </is>
      </c>
      <c r="E756" t="inlineStr">
        <is>
          <t>RAGUNDA</t>
        </is>
      </c>
      <c r="G756" t="n">
        <v>2.3</v>
      </c>
      <c r="H756" t="n">
        <v>0</v>
      </c>
      <c r="I756" t="n">
        <v>0</v>
      </c>
      <c r="J756" t="n">
        <v>0</v>
      </c>
      <c r="K756" t="n">
        <v>0</v>
      </c>
      <c r="L756" t="n">
        <v>0</v>
      </c>
      <c r="M756" t="n">
        <v>0</v>
      </c>
      <c r="N756" t="n">
        <v>0</v>
      </c>
      <c r="O756" t="n">
        <v>0</v>
      </c>
      <c r="P756" t="n">
        <v>0</v>
      </c>
      <c r="Q756" t="n">
        <v>0</v>
      </c>
      <c r="R756" s="2" t="inlineStr"/>
    </row>
    <row r="757" ht="15" customHeight="1">
      <c r="A757" t="inlineStr">
        <is>
          <t>A 61923-2024</t>
        </is>
      </c>
      <c r="B757" s="1" t="n">
        <v>45653.44836805556</v>
      </c>
      <c r="C757" s="1" t="n">
        <v>45991</v>
      </c>
      <c r="D757" t="inlineStr">
        <is>
          <t>JÄMTLANDS LÄN</t>
        </is>
      </c>
      <c r="E757" t="inlineStr">
        <is>
          <t>RAGUNDA</t>
        </is>
      </c>
      <c r="F757" t="inlineStr">
        <is>
          <t>SCA</t>
        </is>
      </c>
      <c r="G757" t="n">
        <v>11.1</v>
      </c>
      <c r="H757" t="n">
        <v>0</v>
      </c>
      <c r="I757" t="n">
        <v>0</v>
      </c>
      <c r="J757" t="n">
        <v>0</v>
      </c>
      <c r="K757" t="n">
        <v>0</v>
      </c>
      <c r="L757" t="n">
        <v>0</v>
      </c>
      <c r="M757" t="n">
        <v>0</v>
      </c>
      <c r="N757" t="n">
        <v>0</v>
      </c>
      <c r="O757" t="n">
        <v>0</v>
      </c>
      <c r="P757" t="n">
        <v>0</v>
      </c>
      <c r="Q757" t="n">
        <v>0</v>
      </c>
      <c r="R757" s="2" t="inlineStr"/>
    </row>
    <row r="758" ht="15" customHeight="1">
      <c r="A758" t="inlineStr">
        <is>
          <t>A 23567-2024</t>
        </is>
      </c>
      <c r="B758" s="1" t="n">
        <v>45453.95538194444</v>
      </c>
      <c r="C758" s="1" t="n">
        <v>45991</v>
      </c>
      <c r="D758" t="inlineStr">
        <is>
          <t>JÄMTLANDS LÄN</t>
        </is>
      </c>
      <c r="E758" t="inlineStr">
        <is>
          <t>RAGUNDA</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19246-2023</t>
        </is>
      </c>
      <c r="B759" s="1" t="n">
        <v>45048.94340277778</v>
      </c>
      <c r="C759" s="1" t="n">
        <v>45991</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61109-2024</t>
        </is>
      </c>
      <c r="B760" s="1" t="n">
        <v>45645.55672453704</v>
      </c>
      <c r="C760" s="1" t="n">
        <v>45991</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58955-2024</t>
        </is>
      </c>
      <c r="B761" s="1" t="n">
        <v>45636.57329861111</v>
      </c>
      <c r="C761" s="1" t="n">
        <v>45991</v>
      </c>
      <c r="D761" t="inlineStr">
        <is>
          <t>JÄMTLANDS LÄN</t>
        </is>
      </c>
      <c r="E761" t="inlineStr">
        <is>
          <t>RAGUNDA</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47119-2025</t>
        </is>
      </c>
      <c r="B762" s="1" t="n">
        <v>45929.67795138889</v>
      </c>
      <c r="C762" s="1" t="n">
        <v>45991</v>
      </c>
      <c r="D762" t="inlineStr">
        <is>
          <t>JÄMTLANDS LÄN</t>
        </is>
      </c>
      <c r="E762" t="inlineStr">
        <is>
          <t>RAGUNDA</t>
        </is>
      </c>
      <c r="F762" t="inlineStr">
        <is>
          <t>SCA</t>
        </is>
      </c>
      <c r="G762" t="n">
        <v>22.7</v>
      </c>
      <c r="H762" t="n">
        <v>0</v>
      </c>
      <c r="I762" t="n">
        <v>0</v>
      </c>
      <c r="J762" t="n">
        <v>0</v>
      </c>
      <c r="K762" t="n">
        <v>0</v>
      </c>
      <c r="L762" t="n">
        <v>0</v>
      </c>
      <c r="M762" t="n">
        <v>0</v>
      </c>
      <c r="N762" t="n">
        <v>0</v>
      </c>
      <c r="O762" t="n">
        <v>0</v>
      </c>
      <c r="P762" t="n">
        <v>0</v>
      </c>
      <c r="Q762" t="n">
        <v>0</v>
      </c>
      <c r="R762" s="2" t="inlineStr"/>
    </row>
    <row r="763" ht="15" customHeight="1">
      <c r="A763" t="inlineStr">
        <is>
          <t>A 33877-2023</t>
        </is>
      </c>
      <c r="B763" s="1" t="n">
        <v>45133</v>
      </c>
      <c r="C763" s="1" t="n">
        <v>45991</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62541-2022</t>
        </is>
      </c>
      <c r="B764" s="1" t="n">
        <v>44917</v>
      </c>
      <c r="C764" s="1" t="n">
        <v>45991</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46689-2025</t>
        </is>
      </c>
      <c r="B765" s="1" t="n">
        <v>45926.55307870371</v>
      </c>
      <c r="C765" s="1" t="n">
        <v>45991</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9567-2025</t>
        </is>
      </c>
      <c r="B766" s="1" t="n">
        <v>45715.61523148148</v>
      </c>
      <c r="C766" s="1" t="n">
        <v>45991</v>
      </c>
      <c r="D766" t="inlineStr">
        <is>
          <t>JÄMTLANDS LÄN</t>
        </is>
      </c>
      <c r="E766" t="inlineStr">
        <is>
          <t>RAGUNDA</t>
        </is>
      </c>
      <c r="F766" t="inlineStr">
        <is>
          <t>SCA</t>
        </is>
      </c>
      <c r="G766" t="n">
        <v>4.8</v>
      </c>
      <c r="H766" t="n">
        <v>0</v>
      </c>
      <c r="I766" t="n">
        <v>0</v>
      </c>
      <c r="J766" t="n">
        <v>0</v>
      </c>
      <c r="K766" t="n">
        <v>0</v>
      </c>
      <c r="L766" t="n">
        <v>0</v>
      </c>
      <c r="M766" t="n">
        <v>0</v>
      </c>
      <c r="N766" t="n">
        <v>0</v>
      </c>
      <c r="O766" t="n">
        <v>0</v>
      </c>
      <c r="P766" t="n">
        <v>0</v>
      </c>
      <c r="Q766" t="n">
        <v>0</v>
      </c>
      <c r="R766" s="2" t="inlineStr"/>
    </row>
    <row r="767" ht="15" customHeight="1">
      <c r="A767" t="inlineStr">
        <is>
          <t>A 46909-2025</t>
        </is>
      </c>
      <c r="B767" s="1" t="n">
        <v>45929.40673611111</v>
      </c>
      <c r="C767" s="1" t="n">
        <v>45991</v>
      </c>
      <c r="D767" t="inlineStr">
        <is>
          <t>JÄMTLANDS LÄN</t>
        </is>
      </c>
      <c r="E767" t="inlineStr">
        <is>
          <t>RAGUNDA</t>
        </is>
      </c>
      <c r="G767" t="n">
        <v>5.7</v>
      </c>
      <c r="H767" t="n">
        <v>0</v>
      </c>
      <c r="I767" t="n">
        <v>0</v>
      </c>
      <c r="J767" t="n">
        <v>0</v>
      </c>
      <c r="K767" t="n">
        <v>0</v>
      </c>
      <c r="L767" t="n">
        <v>0</v>
      </c>
      <c r="M767" t="n">
        <v>0</v>
      </c>
      <c r="N767" t="n">
        <v>0</v>
      </c>
      <c r="O767" t="n">
        <v>0</v>
      </c>
      <c r="P767" t="n">
        <v>0</v>
      </c>
      <c r="Q767" t="n">
        <v>0</v>
      </c>
      <c r="R767" s="2" t="inlineStr"/>
    </row>
    <row r="768" ht="15" customHeight="1">
      <c r="A768" t="inlineStr">
        <is>
          <t>A 21661-2023</t>
        </is>
      </c>
      <c r="B768" s="1" t="n">
        <v>45063</v>
      </c>
      <c r="C768" s="1" t="n">
        <v>45991</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47122-2025</t>
        </is>
      </c>
      <c r="B769" s="1" t="n">
        <v>45929.67878472222</v>
      </c>
      <c r="C769" s="1" t="n">
        <v>45991</v>
      </c>
      <c r="D769" t="inlineStr">
        <is>
          <t>JÄMTLANDS LÄN</t>
        </is>
      </c>
      <c r="E769" t="inlineStr">
        <is>
          <t>RAGUNDA</t>
        </is>
      </c>
      <c r="F769" t="inlineStr">
        <is>
          <t>SCA</t>
        </is>
      </c>
      <c r="G769" t="n">
        <v>31.1</v>
      </c>
      <c r="H769" t="n">
        <v>0</v>
      </c>
      <c r="I769" t="n">
        <v>0</v>
      </c>
      <c r="J769" t="n">
        <v>0</v>
      </c>
      <c r="K769" t="n">
        <v>0</v>
      </c>
      <c r="L769" t="n">
        <v>0</v>
      </c>
      <c r="M769" t="n">
        <v>0</v>
      </c>
      <c r="N769" t="n">
        <v>0</v>
      </c>
      <c r="O769" t="n">
        <v>0</v>
      </c>
      <c r="P769" t="n">
        <v>0</v>
      </c>
      <c r="Q769" t="n">
        <v>0</v>
      </c>
      <c r="R769" s="2" t="inlineStr"/>
    </row>
    <row r="770" ht="15" customHeight="1">
      <c r="A770" t="inlineStr">
        <is>
          <t>A 9504-2025</t>
        </is>
      </c>
      <c r="B770" s="1" t="n">
        <v>45714</v>
      </c>
      <c r="C770" s="1" t="n">
        <v>45991</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46974-2025</t>
        </is>
      </c>
      <c r="B771" s="1" t="n">
        <v>45929.51104166666</v>
      </c>
      <c r="C771" s="1" t="n">
        <v>45991</v>
      </c>
      <c r="D771" t="inlineStr">
        <is>
          <t>JÄMTLANDS LÄN</t>
        </is>
      </c>
      <c r="E771" t="inlineStr">
        <is>
          <t>RAGUNDA</t>
        </is>
      </c>
      <c r="F771" t="inlineStr">
        <is>
          <t>SCA</t>
        </is>
      </c>
      <c r="G771" t="n">
        <v>12.1</v>
      </c>
      <c r="H771" t="n">
        <v>0</v>
      </c>
      <c r="I771" t="n">
        <v>0</v>
      </c>
      <c r="J771" t="n">
        <v>0</v>
      </c>
      <c r="K771" t="n">
        <v>0</v>
      </c>
      <c r="L771" t="n">
        <v>0</v>
      </c>
      <c r="M771" t="n">
        <v>0</v>
      </c>
      <c r="N771" t="n">
        <v>0</v>
      </c>
      <c r="O771" t="n">
        <v>0</v>
      </c>
      <c r="P771" t="n">
        <v>0</v>
      </c>
      <c r="Q771" t="n">
        <v>0</v>
      </c>
      <c r="R771" s="2" t="inlineStr"/>
    </row>
    <row r="772" ht="15" customHeight="1">
      <c r="A772" t="inlineStr">
        <is>
          <t>A 46751-2025</t>
        </is>
      </c>
      <c r="B772" s="1" t="n">
        <v>45926.6153125</v>
      </c>
      <c r="C772" s="1" t="n">
        <v>45991</v>
      </c>
      <c r="D772" t="inlineStr">
        <is>
          <t>JÄMTLANDS LÄN</t>
        </is>
      </c>
      <c r="E772" t="inlineStr">
        <is>
          <t>RAGUNDA</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46753-2025</t>
        </is>
      </c>
      <c r="B773" s="1" t="n">
        <v>45926.61552083334</v>
      </c>
      <c r="C773" s="1" t="n">
        <v>45991</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47037-2025</t>
        </is>
      </c>
      <c r="B774" s="1" t="n">
        <v>45929.59456018519</v>
      </c>
      <c r="C774" s="1" t="n">
        <v>45991</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69153-2021</t>
        </is>
      </c>
      <c r="B775" s="1" t="n">
        <v>44530.94694444445</v>
      </c>
      <c r="C775" s="1" t="n">
        <v>45991</v>
      </c>
      <c r="D775" t="inlineStr">
        <is>
          <t>JÄMTLANDS LÄN</t>
        </is>
      </c>
      <c r="E775" t="inlineStr">
        <is>
          <t>RAGUNDA</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51678-2025</t>
        </is>
      </c>
      <c r="B776" s="1" t="n">
        <v>45951.51106481482</v>
      </c>
      <c r="C776" s="1" t="n">
        <v>45991</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45991</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12585-2024</t>
        </is>
      </c>
      <c r="B778" s="1" t="n">
        <v>45379.93637731481</v>
      </c>
      <c r="C778" s="1" t="n">
        <v>45991</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55489-2024</t>
        </is>
      </c>
      <c r="B779" s="1" t="n">
        <v>45622.44774305556</v>
      </c>
      <c r="C779" s="1" t="n">
        <v>45991</v>
      </c>
      <c r="D779" t="inlineStr">
        <is>
          <t>JÄMTLANDS LÄN</t>
        </is>
      </c>
      <c r="E779" t="inlineStr">
        <is>
          <t>RAGUNDA</t>
        </is>
      </c>
      <c r="G779" t="n">
        <v>1.6</v>
      </c>
      <c r="H779" t="n">
        <v>0</v>
      </c>
      <c r="I779" t="n">
        <v>0</v>
      </c>
      <c r="J779" t="n">
        <v>0</v>
      </c>
      <c r="K779" t="n">
        <v>0</v>
      </c>
      <c r="L779" t="n">
        <v>0</v>
      </c>
      <c r="M779" t="n">
        <v>0</v>
      </c>
      <c r="N779" t="n">
        <v>0</v>
      </c>
      <c r="O779" t="n">
        <v>0</v>
      </c>
      <c r="P779" t="n">
        <v>0</v>
      </c>
      <c r="Q779" t="n">
        <v>0</v>
      </c>
      <c r="R779" s="2" t="inlineStr"/>
    </row>
    <row r="780" ht="15" customHeight="1">
      <c r="A780" t="inlineStr">
        <is>
          <t>A 18631-2024</t>
        </is>
      </c>
      <c r="B780" s="1" t="n">
        <v>45425.96494212963</v>
      </c>
      <c r="C780" s="1" t="n">
        <v>45991</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47749-2025</t>
        </is>
      </c>
      <c r="B781" s="1" t="n">
        <v>45931.65711805555</v>
      </c>
      <c r="C781" s="1" t="n">
        <v>45991</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55671-2025</t>
        </is>
      </c>
      <c r="B782" s="1" t="n">
        <v>45972.406875</v>
      </c>
      <c r="C782" s="1" t="n">
        <v>45991</v>
      </c>
      <c r="D782" t="inlineStr">
        <is>
          <t>JÄMTLANDS LÄN</t>
        </is>
      </c>
      <c r="E782" t="inlineStr">
        <is>
          <t>RAGUNDA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47228-2025</t>
        </is>
      </c>
      <c r="B783" s="1" t="n">
        <v>45930.3990162037</v>
      </c>
      <c r="C783" s="1" t="n">
        <v>45991</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45991</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45991</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45991</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55633-2025</t>
        </is>
      </c>
      <c r="B787" s="1" t="n">
        <v>45972.3443287037</v>
      </c>
      <c r="C787" s="1" t="n">
        <v>45991</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62106-2023</t>
        </is>
      </c>
      <c r="B788" s="1" t="n">
        <v>45266.95082175926</v>
      </c>
      <c r="C788" s="1" t="n">
        <v>45991</v>
      </c>
      <c r="D788" t="inlineStr">
        <is>
          <t>JÄMTLANDS LÄN</t>
        </is>
      </c>
      <c r="E788" t="inlineStr">
        <is>
          <t>RAGUNDA</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18781-2024</t>
        </is>
      </c>
      <c r="B789" s="1" t="n">
        <v>45426</v>
      </c>
      <c r="C789" s="1" t="n">
        <v>45991</v>
      </c>
      <c r="D789" t="inlineStr">
        <is>
          <t>JÄMTLANDS LÄN</t>
        </is>
      </c>
      <c r="E789" t="inlineStr">
        <is>
          <t>RAGUNDA</t>
        </is>
      </c>
      <c r="G789" t="n">
        <v>0.9</v>
      </c>
      <c r="H789" t="n">
        <v>0</v>
      </c>
      <c r="I789" t="n">
        <v>0</v>
      </c>
      <c r="J789" t="n">
        <v>0</v>
      </c>
      <c r="K789" t="n">
        <v>0</v>
      </c>
      <c r="L789" t="n">
        <v>0</v>
      </c>
      <c r="M789" t="n">
        <v>0</v>
      </c>
      <c r="N789" t="n">
        <v>0</v>
      </c>
      <c r="O789" t="n">
        <v>0</v>
      </c>
      <c r="P789" t="n">
        <v>0</v>
      </c>
      <c r="Q789" t="n">
        <v>0</v>
      </c>
      <c r="R789" s="2" t="inlineStr"/>
    </row>
    <row r="790" ht="15" customHeight="1">
      <c r="A790" t="inlineStr">
        <is>
          <t>A 47229-2025</t>
        </is>
      </c>
      <c r="B790" s="1" t="n">
        <v>45930.40166666666</v>
      </c>
      <c r="C790" s="1" t="n">
        <v>45991</v>
      </c>
      <c r="D790" t="inlineStr">
        <is>
          <t>JÄMTLANDS LÄN</t>
        </is>
      </c>
      <c r="E790" t="inlineStr">
        <is>
          <t>RAGUNDA</t>
        </is>
      </c>
      <c r="G790" t="n">
        <v>1.8</v>
      </c>
      <c r="H790" t="n">
        <v>0</v>
      </c>
      <c r="I790" t="n">
        <v>0</v>
      </c>
      <c r="J790" t="n">
        <v>0</v>
      </c>
      <c r="K790" t="n">
        <v>0</v>
      </c>
      <c r="L790" t="n">
        <v>0</v>
      </c>
      <c r="M790" t="n">
        <v>0</v>
      </c>
      <c r="N790" t="n">
        <v>0</v>
      </c>
      <c r="O790" t="n">
        <v>0</v>
      </c>
      <c r="P790" t="n">
        <v>0</v>
      </c>
      <c r="Q790" t="n">
        <v>0</v>
      </c>
      <c r="R790" s="2" t="inlineStr"/>
    </row>
    <row r="791" ht="15" customHeight="1">
      <c r="A791" t="inlineStr">
        <is>
          <t>A 55797-2025</t>
        </is>
      </c>
      <c r="B791" s="1" t="n">
        <v>45972.65693287037</v>
      </c>
      <c r="C791" s="1" t="n">
        <v>45991</v>
      </c>
      <c r="D791" t="inlineStr">
        <is>
          <t>JÄMTLANDS LÄN</t>
        </is>
      </c>
      <c r="E791" t="inlineStr">
        <is>
          <t>RAGUNDA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62081-2022</t>
        </is>
      </c>
      <c r="B792" s="1" t="n">
        <v>44918</v>
      </c>
      <c r="C792" s="1" t="n">
        <v>45991</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47748-2025</t>
        </is>
      </c>
      <c r="B793" s="1" t="n">
        <v>45931.65693287037</v>
      </c>
      <c r="C793" s="1" t="n">
        <v>45991</v>
      </c>
      <c r="D793" t="inlineStr">
        <is>
          <t>JÄMTLANDS LÄN</t>
        </is>
      </c>
      <c r="E793" t="inlineStr">
        <is>
          <t>RAGUNDA</t>
        </is>
      </c>
      <c r="F793" t="inlineStr">
        <is>
          <t>SCA</t>
        </is>
      </c>
      <c r="G793" t="n">
        <v>8.6</v>
      </c>
      <c r="H793" t="n">
        <v>0</v>
      </c>
      <c r="I793" t="n">
        <v>0</v>
      </c>
      <c r="J793" t="n">
        <v>0</v>
      </c>
      <c r="K793" t="n">
        <v>0</v>
      </c>
      <c r="L793" t="n">
        <v>0</v>
      </c>
      <c r="M793" t="n">
        <v>0</v>
      </c>
      <c r="N793" t="n">
        <v>0</v>
      </c>
      <c r="O793" t="n">
        <v>0</v>
      </c>
      <c r="P793" t="n">
        <v>0</v>
      </c>
      <c r="Q793" t="n">
        <v>0</v>
      </c>
      <c r="R793" s="2" t="inlineStr"/>
    </row>
    <row r="794" ht="15" customHeight="1">
      <c r="A794" t="inlineStr">
        <is>
          <t>A 55897-2025</t>
        </is>
      </c>
      <c r="B794" s="1" t="n">
        <v>45973.38600694444</v>
      </c>
      <c r="C794" s="1" t="n">
        <v>45991</v>
      </c>
      <c r="D794" t="inlineStr">
        <is>
          <t>JÄMTLANDS LÄN</t>
        </is>
      </c>
      <c r="E794" t="inlineStr">
        <is>
          <t>RAGUNDA</t>
        </is>
      </c>
      <c r="F794" t="inlineStr">
        <is>
          <t>SCA</t>
        </is>
      </c>
      <c r="G794" t="n">
        <v>14.1</v>
      </c>
      <c r="H794" t="n">
        <v>0</v>
      </c>
      <c r="I794" t="n">
        <v>0</v>
      </c>
      <c r="J794" t="n">
        <v>0</v>
      </c>
      <c r="K794" t="n">
        <v>0</v>
      </c>
      <c r="L794" t="n">
        <v>0</v>
      </c>
      <c r="M794" t="n">
        <v>0</v>
      </c>
      <c r="N794" t="n">
        <v>0</v>
      </c>
      <c r="O794" t="n">
        <v>0</v>
      </c>
      <c r="P794" t="n">
        <v>0</v>
      </c>
      <c r="Q794" t="n">
        <v>0</v>
      </c>
      <c r="R794" s="2" t="inlineStr"/>
    </row>
    <row r="795" ht="15" customHeight="1">
      <c r="A795" t="inlineStr">
        <is>
          <t>A 30826-2023</t>
        </is>
      </c>
      <c r="B795" s="1" t="n">
        <v>45112</v>
      </c>
      <c r="C795" s="1" t="n">
        <v>45991</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55547-2025</t>
        </is>
      </c>
      <c r="B796" s="1" t="n">
        <v>45971.63657407407</v>
      </c>
      <c r="C796" s="1" t="n">
        <v>45991</v>
      </c>
      <c r="D796" t="inlineStr">
        <is>
          <t>JÄMTLANDS LÄN</t>
        </is>
      </c>
      <c r="E796" t="inlineStr">
        <is>
          <t>RAGUNDA</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53263-2024</t>
        </is>
      </c>
      <c r="B797" s="1" t="n">
        <v>45614.34541666666</v>
      </c>
      <c r="C797" s="1" t="n">
        <v>45991</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21332-2025</t>
        </is>
      </c>
      <c r="B798" s="1" t="n">
        <v>45782.36506944444</v>
      </c>
      <c r="C798" s="1" t="n">
        <v>45991</v>
      </c>
      <c r="D798" t="inlineStr">
        <is>
          <t>JÄMTLANDS LÄN</t>
        </is>
      </c>
      <c r="E798" t="inlineStr">
        <is>
          <t>RAGUNDA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45991</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893-2025</t>
        </is>
      </c>
      <c r="B800" s="1" t="n">
        <v>45665.65684027778</v>
      </c>
      <c r="C800" s="1" t="n">
        <v>45991</v>
      </c>
      <c r="D800" t="inlineStr">
        <is>
          <t>JÄMTLANDS LÄN</t>
        </is>
      </c>
      <c r="E800" t="inlineStr">
        <is>
          <t>RAGUNDA</t>
        </is>
      </c>
      <c r="F800" t="inlineStr">
        <is>
          <t>SCA</t>
        </is>
      </c>
      <c r="G800" t="n">
        <v>45.1</v>
      </c>
      <c r="H800" t="n">
        <v>0</v>
      </c>
      <c r="I800" t="n">
        <v>0</v>
      </c>
      <c r="J800" t="n">
        <v>0</v>
      </c>
      <c r="K800" t="n">
        <v>0</v>
      </c>
      <c r="L800" t="n">
        <v>0</v>
      </c>
      <c r="M800" t="n">
        <v>0</v>
      </c>
      <c r="N800" t="n">
        <v>0</v>
      </c>
      <c r="O800" t="n">
        <v>0</v>
      </c>
      <c r="P800" t="n">
        <v>0</v>
      </c>
      <c r="Q800" t="n">
        <v>0</v>
      </c>
      <c r="R800" s="2" t="inlineStr"/>
    </row>
    <row r="801" ht="15" customHeight="1">
      <c r="A801" t="inlineStr">
        <is>
          <t>A 31135-2023</t>
        </is>
      </c>
      <c r="B801" s="1" t="n">
        <v>45103</v>
      </c>
      <c r="C801" s="1" t="n">
        <v>45991</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56170-2025</t>
        </is>
      </c>
      <c r="B802" s="1" t="n">
        <v>45974.39398148148</v>
      </c>
      <c r="C802" s="1" t="n">
        <v>45991</v>
      </c>
      <c r="D802" t="inlineStr">
        <is>
          <t>JÄMTLANDS LÄN</t>
        </is>
      </c>
      <c r="E802" t="inlineStr">
        <is>
          <t>RAGUNDA</t>
        </is>
      </c>
      <c r="G802" t="n">
        <v>2</v>
      </c>
      <c r="H802" t="n">
        <v>0</v>
      </c>
      <c r="I802" t="n">
        <v>0</v>
      </c>
      <c r="J802" t="n">
        <v>0</v>
      </c>
      <c r="K802" t="n">
        <v>0</v>
      </c>
      <c r="L802" t="n">
        <v>0</v>
      </c>
      <c r="M802" t="n">
        <v>0</v>
      </c>
      <c r="N802" t="n">
        <v>0</v>
      </c>
      <c r="O802" t="n">
        <v>0</v>
      </c>
      <c r="P802" t="n">
        <v>0</v>
      </c>
      <c r="Q802" t="n">
        <v>0</v>
      </c>
      <c r="R802" s="2" t="inlineStr"/>
    </row>
    <row r="803" ht="15" customHeight="1">
      <c r="A803" t="inlineStr">
        <is>
          <t>A 43132-2023</t>
        </is>
      </c>
      <c r="B803" s="1" t="n">
        <v>45182</v>
      </c>
      <c r="C803" s="1" t="n">
        <v>45991</v>
      </c>
      <c r="D803" t="inlineStr">
        <is>
          <t>JÄMTLANDS LÄN</t>
        </is>
      </c>
      <c r="E803" t="inlineStr">
        <is>
          <t>RAGUNDA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45991</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56284-2023</t>
        </is>
      </c>
      <c r="B805" s="1" t="n">
        <v>45241.95724537037</v>
      </c>
      <c r="C805" s="1" t="n">
        <v>45991</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61045-2022</t>
        </is>
      </c>
      <c r="B806" s="1" t="n">
        <v>44914</v>
      </c>
      <c r="C806" s="1" t="n">
        <v>45991</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48748-2025</t>
        </is>
      </c>
      <c r="B807" s="1" t="n">
        <v>45936.67912037037</v>
      </c>
      <c r="C807" s="1" t="n">
        <v>45991</v>
      </c>
      <c r="D807" t="inlineStr">
        <is>
          <t>JÄMTLANDS LÄN</t>
        </is>
      </c>
      <c r="E807" t="inlineStr">
        <is>
          <t>RAGUNDA</t>
        </is>
      </c>
      <c r="F807" t="inlineStr">
        <is>
          <t>SCA</t>
        </is>
      </c>
      <c r="G807" t="n">
        <v>11.1</v>
      </c>
      <c r="H807" t="n">
        <v>0</v>
      </c>
      <c r="I807" t="n">
        <v>0</v>
      </c>
      <c r="J807" t="n">
        <v>0</v>
      </c>
      <c r="K807" t="n">
        <v>0</v>
      </c>
      <c r="L807" t="n">
        <v>0</v>
      </c>
      <c r="M807" t="n">
        <v>0</v>
      </c>
      <c r="N807" t="n">
        <v>0</v>
      </c>
      <c r="O807" t="n">
        <v>0</v>
      </c>
      <c r="P807" t="n">
        <v>0</v>
      </c>
      <c r="Q807" t="n">
        <v>0</v>
      </c>
      <c r="R807" s="2" t="inlineStr"/>
    </row>
    <row r="808" ht="15" customHeight="1">
      <c r="A808" t="inlineStr">
        <is>
          <t>A 61197-2023</t>
        </is>
      </c>
      <c r="B808" s="1" t="n">
        <v>45260</v>
      </c>
      <c r="C808" s="1" t="n">
        <v>45991</v>
      </c>
      <c r="D808" t="inlineStr">
        <is>
          <t>JÄMTLANDS LÄN</t>
        </is>
      </c>
      <c r="E808" t="inlineStr">
        <is>
          <t>RAGUNDA</t>
        </is>
      </c>
      <c r="G808" t="n">
        <v>2.5</v>
      </c>
      <c r="H808" t="n">
        <v>0</v>
      </c>
      <c r="I808" t="n">
        <v>0</v>
      </c>
      <c r="J808" t="n">
        <v>0</v>
      </c>
      <c r="K808" t="n">
        <v>0</v>
      </c>
      <c r="L808" t="n">
        <v>0</v>
      </c>
      <c r="M808" t="n">
        <v>0</v>
      </c>
      <c r="N808" t="n">
        <v>0</v>
      </c>
      <c r="O808" t="n">
        <v>0</v>
      </c>
      <c r="P808" t="n">
        <v>0</v>
      </c>
      <c r="Q808" t="n">
        <v>0</v>
      </c>
      <c r="R808" s="2" t="inlineStr"/>
    </row>
    <row r="809" ht="15" customHeight="1">
      <c r="A809" t="inlineStr">
        <is>
          <t>A 13263-2025</t>
        </is>
      </c>
      <c r="B809" s="1" t="n">
        <v>45735.53177083333</v>
      </c>
      <c r="C809" s="1" t="n">
        <v>45991</v>
      </c>
      <c r="D809" t="inlineStr">
        <is>
          <t>JÄMTLANDS LÄN</t>
        </is>
      </c>
      <c r="E809" t="inlineStr">
        <is>
          <t>RAGUNDA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48066-2022</t>
        </is>
      </c>
      <c r="B810" s="1" t="n">
        <v>44855</v>
      </c>
      <c r="C810" s="1" t="n">
        <v>45991</v>
      </c>
      <c r="D810" t="inlineStr">
        <is>
          <t>JÄMTLANDS LÄN</t>
        </is>
      </c>
      <c r="E810" t="inlineStr">
        <is>
          <t>RAGUNDA</t>
        </is>
      </c>
      <c r="F810" t="inlineStr">
        <is>
          <t>SCA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57117-2025</t>
        </is>
      </c>
      <c r="B811" s="1" t="n">
        <v>45978</v>
      </c>
      <c r="C811" s="1" t="n">
        <v>45991</v>
      </c>
      <c r="D811" t="inlineStr">
        <is>
          <t>JÄMTLANDS LÄN</t>
        </is>
      </c>
      <c r="E811" t="inlineStr">
        <is>
          <t>RAGUNDA</t>
        </is>
      </c>
      <c r="G811" t="n">
        <v>4.2</v>
      </c>
      <c r="H811" t="n">
        <v>0</v>
      </c>
      <c r="I811" t="n">
        <v>0</v>
      </c>
      <c r="J811" t="n">
        <v>0</v>
      </c>
      <c r="K811" t="n">
        <v>0</v>
      </c>
      <c r="L811" t="n">
        <v>0</v>
      </c>
      <c r="M811" t="n">
        <v>0</v>
      </c>
      <c r="N811" t="n">
        <v>0</v>
      </c>
      <c r="O811" t="n">
        <v>0</v>
      </c>
      <c r="P811" t="n">
        <v>0</v>
      </c>
      <c r="Q811" t="n">
        <v>0</v>
      </c>
      <c r="R811" s="2" t="inlineStr"/>
    </row>
    <row r="812" ht="15" customHeight="1">
      <c r="A812" t="inlineStr">
        <is>
          <t>A 64415-2023</t>
        </is>
      </c>
      <c r="B812" s="1" t="n">
        <v>45280</v>
      </c>
      <c r="C812" s="1" t="n">
        <v>45991</v>
      </c>
      <c r="D812" t="inlineStr">
        <is>
          <t>JÄMTLANDS LÄN</t>
        </is>
      </c>
      <c r="E812" t="inlineStr">
        <is>
          <t>RAGUNDA</t>
        </is>
      </c>
      <c r="G812" t="n">
        <v>5.1</v>
      </c>
      <c r="H812" t="n">
        <v>0</v>
      </c>
      <c r="I812" t="n">
        <v>0</v>
      </c>
      <c r="J812" t="n">
        <v>0</v>
      </c>
      <c r="K812" t="n">
        <v>0</v>
      </c>
      <c r="L812" t="n">
        <v>0</v>
      </c>
      <c r="M812" t="n">
        <v>0</v>
      </c>
      <c r="N812" t="n">
        <v>0</v>
      </c>
      <c r="O812" t="n">
        <v>0</v>
      </c>
      <c r="P812" t="n">
        <v>0</v>
      </c>
      <c r="Q812" t="n">
        <v>0</v>
      </c>
      <c r="R812" s="2" t="inlineStr"/>
    </row>
    <row r="813" ht="15" customHeight="1">
      <c r="A813" t="inlineStr">
        <is>
          <t>A 60225-2022</t>
        </is>
      </c>
      <c r="B813" s="1" t="n">
        <v>44903</v>
      </c>
      <c r="C813" s="1" t="n">
        <v>45991</v>
      </c>
      <c r="D813" t="inlineStr">
        <is>
          <t>JÄMTLANDS LÄN</t>
        </is>
      </c>
      <c r="E813" t="inlineStr">
        <is>
          <t>RAGUNDA</t>
        </is>
      </c>
      <c r="G813" t="n">
        <v>1</v>
      </c>
      <c r="H813" t="n">
        <v>0</v>
      </c>
      <c r="I813" t="n">
        <v>0</v>
      </c>
      <c r="J813" t="n">
        <v>0</v>
      </c>
      <c r="K813" t="n">
        <v>0</v>
      </c>
      <c r="L813" t="n">
        <v>0</v>
      </c>
      <c r="M813" t="n">
        <v>0</v>
      </c>
      <c r="N813" t="n">
        <v>0</v>
      </c>
      <c r="O813" t="n">
        <v>0</v>
      </c>
      <c r="P813" t="n">
        <v>0</v>
      </c>
      <c r="Q813" t="n">
        <v>0</v>
      </c>
      <c r="R813" s="2" t="inlineStr"/>
    </row>
    <row r="814" ht="15" customHeight="1">
      <c r="A814" t="inlineStr">
        <is>
          <t>A 48528-2025</t>
        </is>
      </c>
      <c r="B814" s="1" t="n">
        <v>45936.40758101852</v>
      </c>
      <c r="C814" s="1" t="n">
        <v>45991</v>
      </c>
      <c r="D814" t="inlineStr">
        <is>
          <t>JÄMTLANDS LÄN</t>
        </is>
      </c>
      <c r="E814" t="inlineStr">
        <is>
          <t>RAGUNDA</t>
        </is>
      </c>
      <c r="F814" t="inlineStr">
        <is>
          <t>SCA</t>
        </is>
      </c>
      <c r="G814" t="n">
        <v>6.8</v>
      </c>
      <c r="H814" t="n">
        <v>0</v>
      </c>
      <c r="I814" t="n">
        <v>0</v>
      </c>
      <c r="J814" t="n">
        <v>0</v>
      </c>
      <c r="K814" t="n">
        <v>0</v>
      </c>
      <c r="L814" t="n">
        <v>0</v>
      </c>
      <c r="M814" t="n">
        <v>0</v>
      </c>
      <c r="N814" t="n">
        <v>0</v>
      </c>
      <c r="O814" t="n">
        <v>0</v>
      </c>
      <c r="P814" t="n">
        <v>0</v>
      </c>
      <c r="Q814" t="n">
        <v>0</v>
      </c>
      <c r="R814" s="2" t="inlineStr"/>
    </row>
    <row r="815" ht="15" customHeight="1">
      <c r="A815" t="inlineStr">
        <is>
          <t>A 15864-2024</t>
        </is>
      </c>
      <c r="B815" s="1" t="n">
        <v>45404.99792824074</v>
      </c>
      <c r="C815" s="1" t="n">
        <v>45991</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c r="U815">
        <f>HYPERLINK("https://klasma.github.io/Logging_2303/knärot/A 15864-2024 karta knärot.png", "A 15864-2024")</f>
        <v/>
      </c>
      <c r="V815">
        <f>HYPERLINK("https://klasma.github.io/Logging_2303/klagomål/A 15864-2024 FSC-klagomål.docx", "A 15864-2024")</f>
        <v/>
      </c>
      <c r="W815">
        <f>HYPERLINK("https://klasma.github.io/Logging_2303/klagomålsmail/A 15864-2024 FSC-klagomål mail.docx", "A 15864-2024")</f>
        <v/>
      </c>
      <c r="X815">
        <f>HYPERLINK("https://klasma.github.io/Logging_2303/tillsyn/A 15864-2024 tillsynsbegäran.docx", "A 15864-2024")</f>
        <v/>
      </c>
      <c r="Y815">
        <f>HYPERLINK("https://klasma.github.io/Logging_2303/tillsynsmail/A 15864-2024 tillsynsbegäran mail.docx", "A 15864-2024")</f>
        <v/>
      </c>
    </row>
    <row r="816" ht="15" customHeight="1">
      <c r="A816" t="inlineStr">
        <is>
          <t>A 48742-2025</t>
        </is>
      </c>
      <c r="B816" s="1" t="n">
        <v>45936.67810185185</v>
      </c>
      <c r="C816" s="1" t="n">
        <v>45991</v>
      </c>
      <c r="D816" t="inlineStr">
        <is>
          <t>JÄMTLANDS LÄN</t>
        </is>
      </c>
      <c r="E816" t="inlineStr">
        <is>
          <t>RAGUNDA</t>
        </is>
      </c>
      <c r="F816" t="inlineStr">
        <is>
          <t>SCA</t>
        </is>
      </c>
      <c r="G816" t="n">
        <v>8.9</v>
      </c>
      <c r="H816" t="n">
        <v>0</v>
      </c>
      <c r="I816" t="n">
        <v>0</v>
      </c>
      <c r="J816" t="n">
        <v>0</v>
      </c>
      <c r="K816" t="n">
        <v>0</v>
      </c>
      <c r="L816" t="n">
        <v>0</v>
      </c>
      <c r="M816" t="n">
        <v>0</v>
      </c>
      <c r="N816" t="n">
        <v>0</v>
      </c>
      <c r="O816" t="n">
        <v>0</v>
      </c>
      <c r="P816" t="n">
        <v>0</v>
      </c>
      <c r="Q816" t="n">
        <v>0</v>
      </c>
      <c r="R816" s="2" t="inlineStr"/>
    </row>
    <row r="817" ht="15" customHeight="1">
      <c r="A817" t="inlineStr">
        <is>
          <t>A 57749-2024</t>
        </is>
      </c>
      <c r="B817" s="1" t="n">
        <v>45630.7862037037</v>
      </c>
      <c r="C817" s="1" t="n">
        <v>45991</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24280-2021</t>
        </is>
      </c>
      <c r="B818" s="1" t="n">
        <v>44336</v>
      </c>
      <c r="C818" s="1" t="n">
        <v>45991</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8886-2024</t>
        </is>
      </c>
      <c r="B819" s="1" t="n">
        <v>45357.05300925926</v>
      </c>
      <c r="C819" s="1" t="n">
        <v>45991</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56751-2025</t>
        </is>
      </c>
      <c r="B820" s="1" t="n">
        <v>45978.36538194444</v>
      </c>
      <c r="C820" s="1" t="n">
        <v>45991</v>
      </c>
      <c r="D820" t="inlineStr">
        <is>
          <t>JÄMTLANDS LÄN</t>
        </is>
      </c>
      <c r="E820" t="inlineStr">
        <is>
          <t>RAGUNDA</t>
        </is>
      </c>
      <c r="F820" t="inlineStr">
        <is>
          <t>SCA</t>
        </is>
      </c>
      <c r="G820" t="n">
        <v>34.5</v>
      </c>
      <c r="H820" t="n">
        <v>0</v>
      </c>
      <c r="I820" t="n">
        <v>0</v>
      </c>
      <c r="J820" t="n">
        <v>0</v>
      </c>
      <c r="K820" t="n">
        <v>0</v>
      </c>
      <c r="L820" t="n">
        <v>0</v>
      </c>
      <c r="M820" t="n">
        <v>0</v>
      </c>
      <c r="N820" t="n">
        <v>0</v>
      </c>
      <c r="O820" t="n">
        <v>0</v>
      </c>
      <c r="P820" t="n">
        <v>0</v>
      </c>
      <c r="Q820" t="n">
        <v>0</v>
      </c>
      <c r="R820" s="2" t="inlineStr"/>
    </row>
    <row r="821" ht="15" customHeight="1">
      <c r="A821" t="inlineStr">
        <is>
          <t>A 57184-2025</t>
        </is>
      </c>
      <c r="B821" s="1" t="n">
        <v>45979.57361111111</v>
      </c>
      <c r="C821" s="1" t="n">
        <v>45991</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28596-2021</t>
        </is>
      </c>
      <c r="B822" s="1" t="n">
        <v>44356</v>
      </c>
      <c r="C822" s="1" t="n">
        <v>45991</v>
      </c>
      <c r="D822" t="inlineStr">
        <is>
          <t>JÄMTLANDS LÄN</t>
        </is>
      </c>
      <c r="E822" t="inlineStr">
        <is>
          <t>RAGUNDA</t>
        </is>
      </c>
      <c r="G822" t="n">
        <v>5.4</v>
      </c>
      <c r="H822" t="n">
        <v>0</v>
      </c>
      <c r="I822" t="n">
        <v>0</v>
      </c>
      <c r="J822" t="n">
        <v>0</v>
      </c>
      <c r="K822" t="n">
        <v>0</v>
      </c>
      <c r="L822" t="n">
        <v>0</v>
      </c>
      <c r="M822" t="n">
        <v>0</v>
      </c>
      <c r="N822" t="n">
        <v>0</v>
      </c>
      <c r="O822" t="n">
        <v>0</v>
      </c>
      <c r="P822" t="n">
        <v>0</v>
      </c>
      <c r="Q822" t="n">
        <v>0</v>
      </c>
      <c r="R822" s="2" t="inlineStr"/>
    </row>
    <row r="823" ht="15" customHeight="1">
      <c r="A823" t="inlineStr">
        <is>
          <t>A 56806-2025</t>
        </is>
      </c>
      <c r="B823" s="1" t="n">
        <v>45978.44842592593</v>
      </c>
      <c r="C823" s="1" t="n">
        <v>45991</v>
      </c>
      <c r="D823" t="inlineStr">
        <is>
          <t>JÄMTLANDS LÄN</t>
        </is>
      </c>
      <c r="E823" t="inlineStr">
        <is>
          <t>RAGUNDA</t>
        </is>
      </c>
      <c r="F823" t="inlineStr">
        <is>
          <t>SCA</t>
        </is>
      </c>
      <c r="G823" t="n">
        <v>7.5</v>
      </c>
      <c r="H823" t="n">
        <v>0</v>
      </c>
      <c r="I823" t="n">
        <v>0</v>
      </c>
      <c r="J823" t="n">
        <v>0</v>
      </c>
      <c r="K823" t="n">
        <v>0</v>
      </c>
      <c r="L823" t="n">
        <v>0</v>
      </c>
      <c r="M823" t="n">
        <v>0</v>
      </c>
      <c r="N823" t="n">
        <v>0</v>
      </c>
      <c r="O823" t="n">
        <v>0</v>
      </c>
      <c r="P823" t="n">
        <v>0</v>
      </c>
      <c r="Q823" t="n">
        <v>0</v>
      </c>
      <c r="R823" s="2" t="inlineStr"/>
    </row>
    <row r="824" ht="15" customHeight="1">
      <c r="A824" t="inlineStr">
        <is>
          <t>A 11058-2025</t>
        </is>
      </c>
      <c r="B824" s="1" t="n">
        <v>45723.51079861111</v>
      </c>
      <c r="C824" s="1" t="n">
        <v>45991</v>
      </c>
      <c r="D824" t="inlineStr">
        <is>
          <t>JÄMTLANDS LÄN</t>
        </is>
      </c>
      <c r="E824" t="inlineStr">
        <is>
          <t>RAGUNDA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57111-2025</t>
        </is>
      </c>
      <c r="B825" s="1" t="n">
        <v>45978</v>
      </c>
      <c r="C825" s="1" t="n">
        <v>45991</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48746-2025</t>
        </is>
      </c>
      <c r="B826" s="1" t="n">
        <v>45936.67878472222</v>
      </c>
      <c r="C826" s="1" t="n">
        <v>45991</v>
      </c>
      <c r="D826" t="inlineStr">
        <is>
          <t>JÄMTLANDS LÄN</t>
        </is>
      </c>
      <c r="E826" t="inlineStr">
        <is>
          <t>RAGUNDA</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38664-2022</t>
        </is>
      </c>
      <c r="B827" s="1" t="n">
        <v>44813</v>
      </c>
      <c r="C827" s="1" t="n">
        <v>45991</v>
      </c>
      <c r="D827" t="inlineStr">
        <is>
          <t>JÄMTLANDS LÄN</t>
        </is>
      </c>
      <c r="E827" t="inlineStr">
        <is>
          <t>RAGUNDA</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24441-2024</t>
        </is>
      </c>
      <c r="B828" s="1" t="n">
        <v>45457.96372685185</v>
      </c>
      <c r="C828" s="1" t="n">
        <v>45991</v>
      </c>
      <c r="D828" t="inlineStr">
        <is>
          <t>JÄMTLANDS LÄN</t>
        </is>
      </c>
      <c r="E828" t="inlineStr">
        <is>
          <t>RAGUNDA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40801-2023</t>
        </is>
      </c>
      <c r="B829" s="1" t="n">
        <v>45170</v>
      </c>
      <c r="C829" s="1" t="n">
        <v>45991</v>
      </c>
      <c r="D829" t="inlineStr">
        <is>
          <t>JÄMTLANDS LÄN</t>
        </is>
      </c>
      <c r="E829" t="inlineStr">
        <is>
          <t>RAGUNDA</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57833-2025</t>
        </is>
      </c>
      <c r="B830" s="1" t="n">
        <v>45981.61541666667</v>
      </c>
      <c r="C830" s="1" t="n">
        <v>45991</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49639-2025</t>
        </is>
      </c>
      <c r="B831" s="1" t="n">
        <v>45939.61253472222</v>
      </c>
      <c r="C831" s="1" t="n">
        <v>45991</v>
      </c>
      <c r="D831" t="inlineStr">
        <is>
          <t>JÄMTLANDS LÄN</t>
        </is>
      </c>
      <c r="E831" t="inlineStr">
        <is>
          <t>RAGUNDA</t>
        </is>
      </c>
      <c r="F831" t="inlineStr">
        <is>
          <t>Kommuner</t>
        </is>
      </c>
      <c r="G831" t="n">
        <v>13.6</v>
      </c>
      <c r="H831" t="n">
        <v>0</v>
      </c>
      <c r="I831" t="n">
        <v>0</v>
      </c>
      <c r="J831" t="n">
        <v>0</v>
      </c>
      <c r="K831" t="n">
        <v>0</v>
      </c>
      <c r="L831" t="n">
        <v>0</v>
      </c>
      <c r="M831" t="n">
        <v>0</v>
      </c>
      <c r="N831" t="n">
        <v>0</v>
      </c>
      <c r="O831" t="n">
        <v>0</v>
      </c>
      <c r="P831" t="n">
        <v>0</v>
      </c>
      <c r="Q831" t="n">
        <v>0</v>
      </c>
      <c r="R831" s="2" t="inlineStr"/>
    </row>
    <row r="832" ht="15" customHeight="1">
      <c r="A832" t="inlineStr">
        <is>
          <t>A 48065-2023</t>
        </is>
      </c>
      <c r="B832" s="1" t="n">
        <v>45204.94399305555</v>
      </c>
      <c r="C832" s="1" t="n">
        <v>45991</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49059-2025</t>
        </is>
      </c>
      <c r="B833" s="1" t="n">
        <v>45937.64123842592</v>
      </c>
      <c r="C833" s="1" t="n">
        <v>45991</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4592-2024</t>
        </is>
      </c>
      <c r="B834" s="1" t="n">
        <v>45327.94443287037</v>
      </c>
      <c r="C834" s="1" t="n">
        <v>45991</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60195-2023</t>
        </is>
      </c>
      <c r="B835" s="1" t="n">
        <v>45257</v>
      </c>
      <c r="C835" s="1" t="n">
        <v>45991</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57332-2025</t>
        </is>
      </c>
      <c r="B836" s="1" t="n">
        <v>45980.34467592592</v>
      </c>
      <c r="C836" s="1" t="n">
        <v>45991</v>
      </c>
      <c r="D836" t="inlineStr">
        <is>
          <t>JÄMTLANDS LÄN</t>
        </is>
      </c>
      <c r="E836" t="inlineStr">
        <is>
          <t>RAGUNDA</t>
        </is>
      </c>
      <c r="F836" t="inlineStr">
        <is>
          <t>SCA</t>
        </is>
      </c>
      <c r="G836" t="n">
        <v>22.6</v>
      </c>
      <c r="H836" t="n">
        <v>0</v>
      </c>
      <c r="I836" t="n">
        <v>0</v>
      </c>
      <c r="J836" t="n">
        <v>0</v>
      </c>
      <c r="K836" t="n">
        <v>0</v>
      </c>
      <c r="L836" t="n">
        <v>0</v>
      </c>
      <c r="M836" t="n">
        <v>0</v>
      </c>
      <c r="N836" t="n">
        <v>0</v>
      </c>
      <c r="O836" t="n">
        <v>0</v>
      </c>
      <c r="P836" t="n">
        <v>0</v>
      </c>
      <c r="Q836" t="n">
        <v>0</v>
      </c>
      <c r="R836" s="2" t="inlineStr"/>
    </row>
    <row r="837" ht="15" customHeight="1">
      <c r="A837" t="inlineStr">
        <is>
          <t>A 49193-2025</t>
        </is>
      </c>
      <c r="B837" s="1" t="n">
        <v>45938.40831018519</v>
      </c>
      <c r="C837" s="1" t="n">
        <v>45991</v>
      </c>
      <c r="D837" t="inlineStr">
        <is>
          <t>JÄMTLANDS LÄN</t>
        </is>
      </c>
      <c r="E837" t="inlineStr">
        <is>
          <t>RAGUNDA</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22981-2023</t>
        </is>
      </c>
      <c r="B838" s="1" t="n">
        <v>45072.92737268518</v>
      </c>
      <c r="C838" s="1" t="n">
        <v>45991</v>
      </c>
      <c r="D838" t="inlineStr">
        <is>
          <t>JÄMTLANDS LÄN</t>
        </is>
      </c>
      <c r="E838" t="inlineStr">
        <is>
          <t>RAGUNDA</t>
        </is>
      </c>
      <c r="G838" t="n">
        <v>3.8</v>
      </c>
      <c r="H838" t="n">
        <v>0</v>
      </c>
      <c r="I838" t="n">
        <v>0</v>
      </c>
      <c r="J838" t="n">
        <v>0</v>
      </c>
      <c r="K838" t="n">
        <v>0</v>
      </c>
      <c r="L838" t="n">
        <v>0</v>
      </c>
      <c r="M838" t="n">
        <v>0</v>
      </c>
      <c r="N838" t="n">
        <v>0</v>
      </c>
      <c r="O838" t="n">
        <v>0</v>
      </c>
      <c r="P838" t="n">
        <v>0</v>
      </c>
      <c r="Q838" t="n">
        <v>0</v>
      </c>
      <c r="R838" s="2" t="inlineStr"/>
    </row>
    <row r="839" ht="15" customHeight="1">
      <c r="A839" t="inlineStr">
        <is>
          <t>A 57560-2025</t>
        </is>
      </c>
      <c r="B839" s="1" t="n">
        <v>45980.6987962963</v>
      </c>
      <c r="C839" s="1" t="n">
        <v>45991</v>
      </c>
      <c r="D839" t="inlineStr">
        <is>
          <t>JÄMTLANDS LÄN</t>
        </is>
      </c>
      <c r="E839" t="inlineStr">
        <is>
          <t>RAGUNDA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57785-2025</t>
        </is>
      </c>
      <c r="B840" s="1" t="n">
        <v>45981.57393518519</v>
      </c>
      <c r="C840" s="1" t="n">
        <v>45991</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26942-2021</t>
        </is>
      </c>
      <c r="B841" s="1" t="n">
        <v>44349.91978009259</v>
      </c>
      <c r="C841" s="1" t="n">
        <v>45991</v>
      </c>
      <c r="D841" t="inlineStr">
        <is>
          <t>JÄMTLANDS LÄN</t>
        </is>
      </c>
      <c r="E841" t="inlineStr">
        <is>
          <t>RAGUNDA</t>
        </is>
      </c>
      <c r="G841" t="n">
        <v>6.2</v>
      </c>
      <c r="H841" t="n">
        <v>0</v>
      </c>
      <c r="I841" t="n">
        <v>0</v>
      </c>
      <c r="J841" t="n">
        <v>0</v>
      </c>
      <c r="K841" t="n">
        <v>0</v>
      </c>
      <c r="L841" t="n">
        <v>0</v>
      </c>
      <c r="M841" t="n">
        <v>0</v>
      </c>
      <c r="N841" t="n">
        <v>0</v>
      </c>
      <c r="O841" t="n">
        <v>0</v>
      </c>
      <c r="P841" t="n">
        <v>0</v>
      </c>
      <c r="Q841" t="n">
        <v>0</v>
      </c>
      <c r="R841" s="2" t="inlineStr"/>
    </row>
    <row r="842" ht="15" customHeight="1">
      <c r="A842" t="inlineStr">
        <is>
          <t>A 57561-2025</t>
        </is>
      </c>
      <c r="B842" s="1" t="n">
        <v>45980.69885416667</v>
      </c>
      <c r="C842" s="1" t="n">
        <v>45991</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46546-2023</t>
        </is>
      </c>
      <c r="B843" s="1" t="n">
        <v>45197.94152777778</v>
      </c>
      <c r="C843" s="1" t="n">
        <v>45991</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45991</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49238-2025</t>
        </is>
      </c>
      <c r="B845" s="1" t="n">
        <v>45938.48231481481</v>
      </c>
      <c r="C845" s="1" t="n">
        <v>45991</v>
      </c>
      <c r="D845" t="inlineStr">
        <is>
          <t>JÄMTLANDS LÄN</t>
        </is>
      </c>
      <c r="E845" t="inlineStr">
        <is>
          <t>RAGUNDA</t>
        </is>
      </c>
      <c r="G845" t="n">
        <v>4.7</v>
      </c>
      <c r="H845" t="n">
        <v>0</v>
      </c>
      <c r="I845" t="n">
        <v>0</v>
      </c>
      <c r="J845" t="n">
        <v>0</v>
      </c>
      <c r="K845" t="n">
        <v>0</v>
      </c>
      <c r="L845" t="n">
        <v>0</v>
      </c>
      <c r="M845" t="n">
        <v>0</v>
      </c>
      <c r="N845" t="n">
        <v>0</v>
      </c>
      <c r="O845" t="n">
        <v>0</v>
      </c>
      <c r="P845" t="n">
        <v>0</v>
      </c>
      <c r="Q845" t="n">
        <v>0</v>
      </c>
      <c r="R845" s="2" t="inlineStr"/>
    </row>
    <row r="846" ht="15" customHeight="1">
      <c r="A846" t="inlineStr">
        <is>
          <t>A 49290-2025</t>
        </is>
      </c>
      <c r="B846" s="1" t="n">
        <v>45938.53168981482</v>
      </c>
      <c r="C846" s="1" t="n">
        <v>45991</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49092-2025</t>
        </is>
      </c>
      <c r="B847" s="1" t="n">
        <v>45937.67792824074</v>
      </c>
      <c r="C847" s="1" t="n">
        <v>45991</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34088-2025</t>
        </is>
      </c>
      <c r="B848" s="1" t="n">
        <v>45845</v>
      </c>
      <c r="C848" s="1" t="n">
        <v>45991</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50215-2025</t>
        </is>
      </c>
      <c r="B849" s="1" t="n">
        <v>45943.67842592593</v>
      </c>
      <c r="C849" s="1" t="n">
        <v>45991</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58093-2025</t>
        </is>
      </c>
      <c r="B850" s="1" t="n">
        <v>45982.5741087963</v>
      </c>
      <c r="C850" s="1" t="n">
        <v>45991</v>
      </c>
      <c r="D850" t="inlineStr">
        <is>
          <t>JÄMTLANDS LÄN</t>
        </is>
      </c>
      <c r="E850" t="inlineStr">
        <is>
          <t>RAGUNDA</t>
        </is>
      </c>
      <c r="G850" t="n">
        <v>22.2</v>
      </c>
      <c r="H850" t="n">
        <v>0</v>
      </c>
      <c r="I850" t="n">
        <v>0</v>
      </c>
      <c r="J850" t="n">
        <v>0</v>
      </c>
      <c r="K850" t="n">
        <v>0</v>
      </c>
      <c r="L850" t="n">
        <v>0</v>
      </c>
      <c r="M850" t="n">
        <v>0</v>
      </c>
      <c r="N850" t="n">
        <v>0</v>
      </c>
      <c r="O850" t="n">
        <v>0</v>
      </c>
      <c r="P850" t="n">
        <v>0</v>
      </c>
      <c r="Q850" t="n">
        <v>0</v>
      </c>
      <c r="R850" s="2" t="inlineStr"/>
    </row>
    <row r="851" ht="15" customHeight="1">
      <c r="A851" t="inlineStr">
        <is>
          <t>A 564-2025</t>
        </is>
      </c>
      <c r="B851" s="1" t="n">
        <v>45664.55241898148</v>
      </c>
      <c r="C851" s="1" t="n">
        <v>45991</v>
      </c>
      <c r="D851" t="inlineStr">
        <is>
          <t>JÄMTLANDS LÄN</t>
        </is>
      </c>
      <c r="E851" t="inlineStr">
        <is>
          <t>RAGUNDA</t>
        </is>
      </c>
      <c r="F851" t="inlineStr">
        <is>
          <t>SCA</t>
        </is>
      </c>
      <c r="G851" t="n">
        <v>7</v>
      </c>
      <c r="H851" t="n">
        <v>0</v>
      </c>
      <c r="I851" t="n">
        <v>0</v>
      </c>
      <c r="J851" t="n">
        <v>0</v>
      </c>
      <c r="K851" t="n">
        <v>0</v>
      </c>
      <c r="L851" t="n">
        <v>0</v>
      </c>
      <c r="M851" t="n">
        <v>0</v>
      </c>
      <c r="N851" t="n">
        <v>0</v>
      </c>
      <c r="O851" t="n">
        <v>0</v>
      </c>
      <c r="P851" t="n">
        <v>0</v>
      </c>
      <c r="Q851" t="n">
        <v>0</v>
      </c>
      <c r="R851" s="2" t="inlineStr"/>
    </row>
    <row r="852" ht="15" customHeight="1">
      <c r="A852" t="inlineStr">
        <is>
          <t>A 50555-2024</t>
        </is>
      </c>
      <c r="B852" s="1" t="n">
        <v>45601.59518518519</v>
      </c>
      <c r="C852" s="1" t="n">
        <v>45991</v>
      </c>
      <c r="D852" t="inlineStr">
        <is>
          <t>JÄMTLANDS LÄN</t>
        </is>
      </c>
      <c r="E852" t="inlineStr">
        <is>
          <t>RAGUNDA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45991</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49991-2025</t>
        </is>
      </c>
      <c r="B854" s="1" t="n">
        <v>45942.91568287037</v>
      </c>
      <c r="C854" s="1" t="n">
        <v>45991</v>
      </c>
      <c r="D854" t="inlineStr">
        <is>
          <t>JÄMTLANDS LÄN</t>
        </is>
      </c>
      <c r="E854" t="inlineStr">
        <is>
          <t>RAGUNDA</t>
        </is>
      </c>
      <c r="G854" t="n">
        <v>9</v>
      </c>
      <c r="H854" t="n">
        <v>0</v>
      </c>
      <c r="I854" t="n">
        <v>0</v>
      </c>
      <c r="J854" t="n">
        <v>0</v>
      </c>
      <c r="K854" t="n">
        <v>0</v>
      </c>
      <c r="L854" t="n">
        <v>0</v>
      </c>
      <c r="M854" t="n">
        <v>0</v>
      </c>
      <c r="N854" t="n">
        <v>0</v>
      </c>
      <c r="O854" t="n">
        <v>0</v>
      </c>
      <c r="P854" t="n">
        <v>0</v>
      </c>
      <c r="Q854" t="n">
        <v>0</v>
      </c>
      <c r="R854" s="2" t="inlineStr"/>
    </row>
    <row r="855" ht="15" customHeight="1">
      <c r="A855" t="inlineStr">
        <is>
          <t>A 49993-2025</t>
        </is>
      </c>
      <c r="B855" s="1" t="n">
        <v>45942.94371527778</v>
      </c>
      <c r="C855" s="1" t="n">
        <v>45991</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57970-2025</t>
        </is>
      </c>
      <c r="B856" s="1" t="n">
        <v>45982.38582175926</v>
      </c>
      <c r="C856" s="1" t="n">
        <v>45991</v>
      </c>
      <c r="D856" t="inlineStr">
        <is>
          <t>JÄMTLANDS LÄN</t>
        </is>
      </c>
      <c r="E856" t="inlineStr">
        <is>
          <t>RAGUNDA</t>
        </is>
      </c>
      <c r="G856" t="n">
        <v>4.9</v>
      </c>
      <c r="H856" t="n">
        <v>0</v>
      </c>
      <c r="I856" t="n">
        <v>0</v>
      </c>
      <c r="J856" t="n">
        <v>0</v>
      </c>
      <c r="K856" t="n">
        <v>0</v>
      </c>
      <c r="L856" t="n">
        <v>0</v>
      </c>
      <c r="M856" t="n">
        <v>0</v>
      </c>
      <c r="N856" t="n">
        <v>0</v>
      </c>
      <c r="O856" t="n">
        <v>0</v>
      </c>
      <c r="P856" t="n">
        <v>0</v>
      </c>
      <c r="Q856" t="n">
        <v>0</v>
      </c>
      <c r="R856" s="2" t="inlineStr"/>
    </row>
    <row r="857" ht="15" customHeight="1">
      <c r="A857" t="inlineStr">
        <is>
          <t>A 59658-2023</t>
        </is>
      </c>
      <c r="B857" s="1" t="n">
        <v>45254.96402777778</v>
      </c>
      <c r="C857" s="1" t="n">
        <v>45991</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49994-2025</t>
        </is>
      </c>
      <c r="B858" s="1" t="n">
        <v>45942.96922453704</v>
      </c>
      <c r="C858" s="1" t="n">
        <v>45991</v>
      </c>
      <c r="D858" t="inlineStr">
        <is>
          <t>JÄMTLANDS LÄN</t>
        </is>
      </c>
      <c r="E858" t="inlineStr">
        <is>
          <t>RAGUNDA</t>
        </is>
      </c>
      <c r="G858" t="n">
        <v>4.5</v>
      </c>
      <c r="H858" t="n">
        <v>0</v>
      </c>
      <c r="I858" t="n">
        <v>0</v>
      </c>
      <c r="J858" t="n">
        <v>0</v>
      </c>
      <c r="K858" t="n">
        <v>0</v>
      </c>
      <c r="L858" t="n">
        <v>0</v>
      </c>
      <c r="M858" t="n">
        <v>0</v>
      </c>
      <c r="N858" t="n">
        <v>0</v>
      </c>
      <c r="O858" t="n">
        <v>0</v>
      </c>
      <c r="P858" t="n">
        <v>0</v>
      </c>
      <c r="Q858" t="n">
        <v>0</v>
      </c>
      <c r="R858" s="2" t="inlineStr"/>
    </row>
    <row r="859" ht="15" customHeight="1">
      <c r="A859" t="inlineStr">
        <is>
          <t>A 49995-2025</t>
        </is>
      </c>
      <c r="B859" s="1" t="n">
        <v>45943.00986111111</v>
      </c>
      <c r="C859" s="1" t="n">
        <v>45991</v>
      </c>
      <c r="D859" t="inlineStr">
        <is>
          <t>JÄMTLANDS LÄN</t>
        </is>
      </c>
      <c r="E859" t="inlineStr">
        <is>
          <t>RAGUNDA</t>
        </is>
      </c>
      <c r="G859" t="n">
        <v>2.5</v>
      </c>
      <c r="H859" t="n">
        <v>0</v>
      </c>
      <c r="I859" t="n">
        <v>0</v>
      </c>
      <c r="J859" t="n">
        <v>0</v>
      </c>
      <c r="K859" t="n">
        <v>0</v>
      </c>
      <c r="L859" t="n">
        <v>0</v>
      </c>
      <c r="M859" t="n">
        <v>0</v>
      </c>
      <c r="N859" t="n">
        <v>0</v>
      </c>
      <c r="O859" t="n">
        <v>0</v>
      </c>
      <c r="P859" t="n">
        <v>0</v>
      </c>
      <c r="Q859" t="n">
        <v>0</v>
      </c>
      <c r="R859" s="2" t="inlineStr"/>
    </row>
    <row r="860" ht="15" customHeight="1">
      <c r="A860" t="inlineStr">
        <is>
          <t>A 57963-2025</t>
        </is>
      </c>
      <c r="B860" s="1" t="n">
        <v>45982.37800925926</v>
      </c>
      <c r="C860" s="1" t="n">
        <v>45991</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49649-2024</t>
        </is>
      </c>
      <c r="B861" s="1" t="n">
        <v>45596.61553240741</v>
      </c>
      <c r="C861" s="1" t="n">
        <v>45991</v>
      </c>
      <c r="D861" t="inlineStr">
        <is>
          <t>JÄMTLANDS LÄN</t>
        </is>
      </c>
      <c r="E861" t="inlineStr">
        <is>
          <t>RAGUNDA</t>
        </is>
      </c>
      <c r="F861" t="inlineStr">
        <is>
          <t>SCA</t>
        </is>
      </c>
      <c r="G861" t="n">
        <v>4</v>
      </c>
      <c r="H861" t="n">
        <v>0</v>
      </c>
      <c r="I861" t="n">
        <v>0</v>
      </c>
      <c r="J861" t="n">
        <v>0</v>
      </c>
      <c r="K861" t="n">
        <v>0</v>
      </c>
      <c r="L861" t="n">
        <v>0</v>
      </c>
      <c r="M861" t="n">
        <v>0</v>
      </c>
      <c r="N861" t="n">
        <v>0</v>
      </c>
      <c r="O861" t="n">
        <v>0</v>
      </c>
      <c r="P861" t="n">
        <v>0</v>
      </c>
      <c r="Q861" t="n">
        <v>0</v>
      </c>
      <c r="R861" s="2" t="inlineStr"/>
    </row>
    <row r="862" ht="15" customHeight="1">
      <c r="A862" t="inlineStr">
        <is>
          <t>A 2831-2024</t>
        </is>
      </c>
      <c r="B862" s="1" t="n">
        <v>45314.92758101852</v>
      </c>
      <c r="C862" s="1" t="n">
        <v>45991</v>
      </c>
      <c r="D862" t="inlineStr">
        <is>
          <t>JÄMTLANDS LÄN</t>
        </is>
      </c>
      <c r="E862" t="inlineStr">
        <is>
          <t>RAGUNDA</t>
        </is>
      </c>
      <c r="G862" t="n">
        <v>0.6</v>
      </c>
      <c r="H862" t="n">
        <v>0</v>
      </c>
      <c r="I862" t="n">
        <v>0</v>
      </c>
      <c r="J862" t="n">
        <v>0</v>
      </c>
      <c r="K862" t="n">
        <v>0</v>
      </c>
      <c r="L862" t="n">
        <v>0</v>
      </c>
      <c r="M862" t="n">
        <v>0</v>
      </c>
      <c r="N862" t="n">
        <v>0</v>
      </c>
      <c r="O862" t="n">
        <v>0</v>
      </c>
      <c r="P862" t="n">
        <v>0</v>
      </c>
      <c r="Q862" t="n">
        <v>0</v>
      </c>
      <c r="R862" s="2" t="inlineStr"/>
    </row>
    <row r="863" ht="15" customHeight="1">
      <c r="A863" t="inlineStr">
        <is>
          <t>A 53740-2024</t>
        </is>
      </c>
      <c r="B863" s="1" t="n">
        <v>45615.47091435185</v>
      </c>
      <c r="C863" s="1" t="n">
        <v>45991</v>
      </c>
      <c r="D863" t="inlineStr">
        <is>
          <t>JÄMTLANDS LÄN</t>
        </is>
      </c>
      <c r="E863" t="inlineStr">
        <is>
          <t>RAGUNDA</t>
        </is>
      </c>
      <c r="G863" t="n">
        <v>2.7</v>
      </c>
      <c r="H863" t="n">
        <v>0</v>
      </c>
      <c r="I863" t="n">
        <v>0</v>
      </c>
      <c r="J863" t="n">
        <v>0</v>
      </c>
      <c r="K863" t="n">
        <v>0</v>
      </c>
      <c r="L863" t="n">
        <v>0</v>
      </c>
      <c r="M863" t="n">
        <v>0</v>
      </c>
      <c r="N863" t="n">
        <v>0</v>
      </c>
      <c r="O863" t="n">
        <v>0</v>
      </c>
      <c r="P863" t="n">
        <v>0</v>
      </c>
      <c r="Q863" t="n">
        <v>0</v>
      </c>
      <c r="R863" s="2" t="inlineStr"/>
    </row>
    <row r="864" ht="15" customHeight="1">
      <c r="A864" t="inlineStr">
        <is>
          <t>A 59372-2024</t>
        </is>
      </c>
      <c r="B864" s="1" t="n">
        <v>45638.34431712963</v>
      </c>
      <c r="C864" s="1" t="n">
        <v>45991</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50126-2025</t>
        </is>
      </c>
      <c r="B865" s="1" t="n">
        <v>45943.55271990741</v>
      </c>
      <c r="C865" s="1" t="n">
        <v>45991</v>
      </c>
      <c r="D865" t="inlineStr">
        <is>
          <t>JÄMTLANDS LÄN</t>
        </is>
      </c>
      <c r="E865" t="inlineStr">
        <is>
          <t>RAGUNDA</t>
        </is>
      </c>
      <c r="G865" t="n">
        <v>1</v>
      </c>
      <c r="H865" t="n">
        <v>0</v>
      </c>
      <c r="I865" t="n">
        <v>0</v>
      </c>
      <c r="J865" t="n">
        <v>0</v>
      </c>
      <c r="K865" t="n">
        <v>0</v>
      </c>
      <c r="L865" t="n">
        <v>0</v>
      </c>
      <c r="M865" t="n">
        <v>0</v>
      </c>
      <c r="N865" t="n">
        <v>0</v>
      </c>
      <c r="O865" t="n">
        <v>0</v>
      </c>
      <c r="P865" t="n">
        <v>0</v>
      </c>
      <c r="Q865" t="n">
        <v>0</v>
      </c>
      <c r="R865" s="2" t="inlineStr"/>
    </row>
    <row r="866" ht="15" customHeight="1">
      <c r="A866" t="inlineStr">
        <is>
          <t>A 50098-2025</t>
        </is>
      </c>
      <c r="B866" s="1" t="n">
        <v>45943.51086805556</v>
      </c>
      <c r="C866" s="1" t="n">
        <v>45991</v>
      </c>
      <c r="D866" t="inlineStr">
        <is>
          <t>JÄMTLANDS LÄN</t>
        </is>
      </c>
      <c r="E866" t="inlineStr">
        <is>
          <t>RAGUNDA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50125-2025</t>
        </is>
      </c>
      <c r="B867" s="1" t="n">
        <v>45943.55262731481</v>
      </c>
      <c r="C867" s="1" t="n">
        <v>45991</v>
      </c>
      <c r="D867" t="inlineStr">
        <is>
          <t>JÄMTLANDS LÄN</t>
        </is>
      </c>
      <c r="E867" t="inlineStr">
        <is>
          <t>RAGUNDA</t>
        </is>
      </c>
      <c r="F867" t="inlineStr">
        <is>
          <t>Sveaskog</t>
        </is>
      </c>
      <c r="G867" t="n">
        <v>23.2</v>
      </c>
      <c r="H867" t="n">
        <v>0</v>
      </c>
      <c r="I867" t="n">
        <v>0</v>
      </c>
      <c r="J867" t="n">
        <v>0</v>
      </c>
      <c r="K867" t="n">
        <v>0</v>
      </c>
      <c r="L867" t="n">
        <v>0</v>
      </c>
      <c r="M867" t="n">
        <v>0</v>
      </c>
      <c r="N867" t="n">
        <v>0</v>
      </c>
      <c r="O867" t="n">
        <v>0</v>
      </c>
      <c r="P867" t="n">
        <v>0</v>
      </c>
      <c r="Q867" t="n">
        <v>0</v>
      </c>
      <c r="R867" s="2" t="inlineStr"/>
    </row>
    <row r="868" ht="15" customHeight="1">
      <c r="A868" t="inlineStr">
        <is>
          <t>A 57916-2025</t>
        </is>
      </c>
      <c r="B868" s="1" t="n">
        <v>45981</v>
      </c>
      <c r="C868" s="1" t="n">
        <v>45991</v>
      </c>
      <c r="D868" t="inlineStr">
        <is>
          <t>JÄMTLANDS LÄN</t>
        </is>
      </c>
      <c r="E868" t="inlineStr">
        <is>
          <t>RAGUNDA</t>
        </is>
      </c>
      <c r="G868" t="n">
        <v>5.3</v>
      </c>
      <c r="H868" t="n">
        <v>0</v>
      </c>
      <c r="I868" t="n">
        <v>0</v>
      </c>
      <c r="J868" t="n">
        <v>0</v>
      </c>
      <c r="K868" t="n">
        <v>0</v>
      </c>
      <c r="L868" t="n">
        <v>0</v>
      </c>
      <c r="M868" t="n">
        <v>0</v>
      </c>
      <c r="N868" t="n">
        <v>0</v>
      </c>
      <c r="O868" t="n">
        <v>0</v>
      </c>
      <c r="P868" t="n">
        <v>0</v>
      </c>
      <c r="Q868" t="n">
        <v>0</v>
      </c>
      <c r="R868" s="2" t="inlineStr"/>
    </row>
    <row r="869" ht="15" customHeight="1">
      <c r="A869" t="inlineStr">
        <is>
          <t>A 50081-2025</t>
        </is>
      </c>
      <c r="B869" s="1" t="n">
        <v>45943.46954861111</v>
      </c>
      <c r="C869" s="1" t="n">
        <v>45991</v>
      </c>
      <c r="D869" t="inlineStr">
        <is>
          <t>JÄMTLANDS LÄN</t>
        </is>
      </c>
      <c r="E869" t="inlineStr">
        <is>
          <t>RAGUNDA</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12522-2023</t>
        </is>
      </c>
      <c r="B870" s="1" t="n">
        <v>45000</v>
      </c>
      <c r="C870" s="1" t="n">
        <v>45991</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12523-2023</t>
        </is>
      </c>
      <c r="B871" s="1" t="n">
        <v>45000</v>
      </c>
      <c r="C871" s="1" t="n">
        <v>45991</v>
      </c>
      <c r="D871" t="inlineStr">
        <is>
          <t>JÄMTLANDS LÄN</t>
        </is>
      </c>
      <c r="E871" t="inlineStr">
        <is>
          <t>RAGUNDA</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50055-2025</t>
        </is>
      </c>
      <c r="B872" s="1" t="n">
        <v>45943.43287037037</v>
      </c>
      <c r="C872" s="1" t="n">
        <v>45991</v>
      </c>
      <c r="D872" t="inlineStr">
        <is>
          <t>JÄMTLANDS LÄN</t>
        </is>
      </c>
      <c r="E872" t="inlineStr">
        <is>
          <t>RAGUNDA</t>
        </is>
      </c>
      <c r="G872" t="n">
        <v>17.6</v>
      </c>
      <c r="H872" t="n">
        <v>0</v>
      </c>
      <c r="I872" t="n">
        <v>0</v>
      </c>
      <c r="J872" t="n">
        <v>0</v>
      </c>
      <c r="K872" t="n">
        <v>0</v>
      </c>
      <c r="L872" t="n">
        <v>0</v>
      </c>
      <c r="M872" t="n">
        <v>0</v>
      </c>
      <c r="N872" t="n">
        <v>0</v>
      </c>
      <c r="O872" t="n">
        <v>0</v>
      </c>
      <c r="P872" t="n">
        <v>0</v>
      </c>
      <c r="Q872" t="n">
        <v>0</v>
      </c>
      <c r="R872" s="2" t="inlineStr"/>
    </row>
    <row r="873" ht="15" customHeight="1">
      <c r="A873" t="inlineStr">
        <is>
          <t>A 50080-2025</t>
        </is>
      </c>
      <c r="B873" s="1" t="n">
        <v>45943.469375</v>
      </c>
      <c r="C873" s="1" t="n">
        <v>45991</v>
      </c>
      <c r="D873" t="inlineStr">
        <is>
          <t>JÄMTLANDS LÄN</t>
        </is>
      </c>
      <c r="E873" t="inlineStr">
        <is>
          <t>RAGUNDA</t>
        </is>
      </c>
      <c r="F873" t="inlineStr">
        <is>
          <t>Naturvårdsverket</t>
        </is>
      </c>
      <c r="G873" t="n">
        <v>6.1</v>
      </c>
      <c r="H873" t="n">
        <v>0</v>
      </c>
      <c r="I873" t="n">
        <v>0</v>
      </c>
      <c r="J873" t="n">
        <v>0</v>
      </c>
      <c r="K873" t="n">
        <v>0</v>
      </c>
      <c r="L873" t="n">
        <v>0</v>
      </c>
      <c r="M873" t="n">
        <v>0</v>
      </c>
      <c r="N873" t="n">
        <v>0</v>
      </c>
      <c r="O873" t="n">
        <v>0</v>
      </c>
      <c r="P873" t="n">
        <v>0</v>
      </c>
      <c r="Q873" t="n">
        <v>0</v>
      </c>
      <c r="R873" s="2" t="inlineStr"/>
    </row>
    <row r="874" ht="15" customHeight="1">
      <c r="A874" t="inlineStr">
        <is>
          <t>A 24861-2023</t>
        </is>
      </c>
      <c r="B874" s="1" t="n">
        <v>45078</v>
      </c>
      <c r="C874" s="1" t="n">
        <v>45991</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50260-2025</t>
        </is>
      </c>
      <c r="B875" s="1" t="n">
        <v>45944.34515046296</v>
      </c>
      <c r="C875" s="1" t="n">
        <v>45991</v>
      </c>
      <c r="D875" t="inlineStr">
        <is>
          <t>JÄMTLANDS LÄN</t>
        </is>
      </c>
      <c r="E875" t="inlineStr">
        <is>
          <t>RAGUNDA</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13905-2025</t>
        </is>
      </c>
      <c r="B876" s="1" t="n">
        <v>45737.63574074074</v>
      </c>
      <c r="C876" s="1" t="n">
        <v>45991</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13941-2025</t>
        </is>
      </c>
      <c r="B877" s="1" t="n">
        <v>45737.69822916666</v>
      </c>
      <c r="C877" s="1" t="n">
        <v>45991</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50160-2023</t>
        </is>
      </c>
      <c r="B878" s="1" t="n">
        <v>45208</v>
      </c>
      <c r="C878" s="1" t="n">
        <v>45991</v>
      </c>
      <c r="D878" t="inlineStr">
        <is>
          <t>JÄMTLANDS LÄN</t>
        </is>
      </c>
      <c r="E878" t="inlineStr">
        <is>
          <t>RAGUNDA</t>
        </is>
      </c>
      <c r="G878" t="n">
        <v>4.6</v>
      </c>
      <c r="H878" t="n">
        <v>0</v>
      </c>
      <c r="I878" t="n">
        <v>0</v>
      </c>
      <c r="J878" t="n">
        <v>0</v>
      </c>
      <c r="K878" t="n">
        <v>0</v>
      </c>
      <c r="L878" t="n">
        <v>0</v>
      </c>
      <c r="M878" t="n">
        <v>0</v>
      </c>
      <c r="N878" t="n">
        <v>0</v>
      </c>
      <c r="O878" t="n">
        <v>0</v>
      </c>
      <c r="P878" t="n">
        <v>0</v>
      </c>
      <c r="Q878" t="n">
        <v>0</v>
      </c>
      <c r="R878" s="2" t="inlineStr"/>
    </row>
    <row r="879" ht="15" customHeight="1">
      <c r="A879" t="inlineStr">
        <is>
          <t>A 58638-2025</t>
        </is>
      </c>
      <c r="B879" s="1" t="n">
        <v>45986.49016203704</v>
      </c>
      <c r="C879" s="1" t="n">
        <v>45991</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50473-2025</t>
        </is>
      </c>
      <c r="B880" s="1" t="n">
        <v>45945.36520833334</v>
      </c>
      <c r="C880" s="1" t="n">
        <v>45991</v>
      </c>
      <c r="D880" t="inlineStr">
        <is>
          <t>JÄMTLANDS LÄN</t>
        </is>
      </c>
      <c r="E880" t="inlineStr">
        <is>
          <t>RAGUNDA</t>
        </is>
      </c>
      <c r="F880" t="inlineStr">
        <is>
          <t>SCA</t>
        </is>
      </c>
      <c r="G880" t="n">
        <v>11.2</v>
      </c>
      <c r="H880" t="n">
        <v>0</v>
      </c>
      <c r="I880" t="n">
        <v>0</v>
      </c>
      <c r="J880" t="n">
        <v>0</v>
      </c>
      <c r="K880" t="n">
        <v>0</v>
      </c>
      <c r="L880" t="n">
        <v>0</v>
      </c>
      <c r="M880" t="n">
        <v>0</v>
      </c>
      <c r="N880" t="n">
        <v>0</v>
      </c>
      <c r="O880" t="n">
        <v>0</v>
      </c>
      <c r="P880" t="n">
        <v>0</v>
      </c>
      <c r="Q880" t="n">
        <v>0</v>
      </c>
      <c r="R880" s="2" t="inlineStr"/>
    </row>
    <row r="881" ht="15" customHeight="1">
      <c r="A881" t="inlineStr">
        <is>
          <t>A 58918-2025</t>
        </is>
      </c>
      <c r="B881" s="1" t="n">
        <v>45987.52952546296</v>
      </c>
      <c r="C881" s="1" t="n">
        <v>45991</v>
      </c>
      <c r="D881" t="inlineStr">
        <is>
          <t>JÄMTLANDS LÄN</t>
        </is>
      </c>
      <c r="E881" t="inlineStr">
        <is>
          <t>RAGUNDA</t>
        </is>
      </c>
      <c r="G881" t="n">
        <v>2</v>
      </c>
      <c r="H881" t="n">
        <v>0</v>
      </c>
      <c r="I881" t="n">
        <v>0</v>
      </c>
      <c r="J881" t="n">
        <v>0</v>
      </c>
      <c r="K881" t="n">
        <v>0</v>
      </c>
      <c r="L881" t="n">
        <v>0</v>
      </c>
      <c r="M881" t="n">
        <v>0</v>
      </c>
      <c r="N881" t="n">
        <v>0</v>
      </c>
      <c r="O881" t="n">
        <v>0</v>
      </c>
      <c r="P881" t="n">
        <v>0</v>
      </c>
      <c r="Q881" t="n">
        <v>0</v>
      </c>
      <c r="R881" s="2" t="inlineStr"/>
    </row>
    <row r="882" ht="15" customHeight="1">
      <c r="A882" t="inlineStr">
        <is>
          <t>A 58559-2025</t>
        </is>
      </c>
      <c r="B882" s="1" t="n">
        <v>45986.34475694445</v>
      </c>
      <c r="C882" s="1" t="n">
        <v>45991</v>
      </c>
      <c r="D882" t="inlineStr">
        <is>
          <t>JÄMTLANDS LÄN</t>
        </is>
      </c>
      <c r="E882" t="inlineStr">
        <is>
          <t>RAGUNDA</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51245-2024</t>
        </is>
      </c>
      <c r="B883" s="1" t="n">
        <v>45603.67850694444</v>
      </c>
      <c r="C883" s="1" t="n">
        <v>45991</v>
      </c>
      <c r="D883" t="inlineStr">
        <is>
          <t>JÄMTLANDS LÄN</t>
        </is>
      </c>
      <c r="E883" t="inlineStr">
        <is>
          <t>RAGUNDA</t>
        </is>
      </c>
      <c r="G883" t="n">
        <v>0.9</v>
      </c>
      <c r="H883" t="n">
        <v>0</v>
      </c>
      <c r="I883" t="n">
        <v>0</v>
      </c>
      <c r="J883" t="n">
        <v>0</v>
      </c>
      <c r="K883" t="n">
        <v>0</v>
      </c>
      <c r="L883" t="n">
        <v>0</v>
      </c>
      <c r="M883" t="n">
        <v>0</v>
      </c>
      <c r="N883" t="n">
        <v>0</v>
      </c>
      <c r="O883" t="n">
        <v>0</v>
      </c>
      <c r="P883" t="n">
        <v>0</v>
      </c>
      <c r="Q883" t="n">
        <v>0</v>
      </c>
      <c r="R883" s="2" t="inlineStr"/>
    </row>
    <row r="884" ht="15" customHeight="1">
      <c r="A884" t="inlineStr">
        <is>
          <t>A 50504-2025</t>
        </is>
      </c>
      <c r="B884" s="1" t="n">
        <v>45945.4284837963</v>
      </c>
      <c r="C884" s="1" t="n">
        <v>45991</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53955-2022</t>
        </is>
      </c>
      <c r="B885" s="1" t="n">
        <v>44880.95741898148</v>
      </c>
      <c r="C885" s="1" t="n">
        <v>45991</v>
      </c>
      <c r="D885" t="inlineStr">
        <is>
          <t>JÄMTLANDS LÄN</t>
        </is>
      </c>
      <c r="E885" t="inlineStr">
        <is>
          <t>RAGUNDA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50503-2025</t>
        </is>
      </c>
      <c r="B886" s="1" t="n">
        <v>45945.42746527777</v>
      </c>
      <c r="C886" s="1" t="n">
        <v>45991</v>
      </c>
      <c r="D886" t="inlineStr">
        <is>
          <t>JÄMTLANDS LÄN</t>
        </is>
      </c>
      <c r="E886" t="inlineStr">
        <is>
          <t>RAGUNDA</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33650-2025</t>
        </is>
      </c>
      <c r="B887" s="1" t="n">
        <v>45841</v>
      </c>
      <c r="C887" s="1" t="n">
        <v>45991</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41772-2024</t>
        </is>
      </c>
      <c r="B888" s="1" t="n">
        <v>45561.34663194444</v>
      </c>
      <c r="C888" s="1" t="n">
        <v>45991</v>
      </c>
      <c r="D888" t="inlineStr">
        <is>
          <t>JÄMTLANDS LÄN</t>
        </is>
      </c>
      <c r="E888" t="inlineStr">
        <is>
          <t>RAGUNDA</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10972-2022</t>
        </is>
      </c>
      <c r="B889" s="1" t="n">
        <v>44628</v>
      </c>
      <c r="C889" s="1" t="n">
        <v>45991</v>
      </c>
      <c r="D889" t="inlineStr">
        <is>
          <t>JÄMTLANDS LÄN</t>
        </is>
      </c>
      <c r="E889" t="inlineStr">
        <is>
          <t>RAGUNDA</t>
        </is>
      </c>
      <c r="G889" t="n">
        <v>9.5</v>
      </c>
      <c r="H889" t="n">
        <v>0</v>
      </c>
      <c r="I889" t="n">
        <v>0</v>
      </c>
      <c r="J889" t="n">
        <v>0</v>
      </c>
      <c r="K889" t="n">
        <v>0</v>
      </c>
      <c r="L889" t="n">
        <v>0</v>
      </c>
      <c r="M889" t="n">
        <v>0</v>
      </c>
      <c r="N889" t="n">
        <v>0</v>
      </c>
      <c r="O889" t="n">
        <v>0</v>
      </c>
      <c r="P889" t="n">
        <v>0</v>
      </c>
      <c r="Q889" t="n">
        <v>0</v>
      </c>
      <c r="R889" s="2" t="inlineStr"/>
    </row>
    <row r="890" ht="15" customHeight="1">
      <c r="A890" t="inlineStr">
        <is>
          <t>A 11834-2023</t>
        </is>
      </c>
      <c r="B890" s="1" t="n">
        <v>44994.94296296296</v>
      </c>
      <c r="C890" s="1" t="n">
        <v>45991</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50711-2025</t>
        </is>
      </c>
      <c r="B891" s="1" t="n">
        <v>45946.34431712963</v>
      </c>
      <c r="C891" s="1" t="n">
        <v>45991</v>
      </c>
      <c r="D891" t="inlineStr">
        <is>
          <t>JÄMTLANDS LÄN</t>
        </is>
      </c>
      <c r="E891" t="inlineStr">
        <is>
          <t>RAGUNDA</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50716-2025</t>
        </is>
      </c>
      <c r="B892" s="1" t="n">
        <v>45946.34572916666</v>
      </c>
      <c r="C892" s="1" t="n">
        <v>45991</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17559-2023</t>
        </is>
      </c>
      <c r="B893" s="1" t="n">
        <v>45034</v>
      </c>
      <c r="C893" s="1" t="n">
        <v>45991</v>
      </c>
      <c r="D893" t="inlineStr">
        <is>
          <t>JÄMTLANDS LÄN</t>
        </is>
      </c>
      <c r="E893" t="inlineStr">
        <is>
          <t>RAGUNDA</t>
        </is>
      </c>
      <c r="G893" t="n">
        <v>7.5</v>
      </c>
      <c r="H893" t="n">
        <v>0</v>
      </c>
      <c r="I893" t="n">
        <v>0</v>
      </c>
      <c r="J893" t="n">
        <v>0</v>
      </c>
      <c r="K893" t="n">
        <v>0</v>
      </c>
      <c r="L893" t="n">
        <v>0</v>
      </c>
      <c r="M893" t="n">
        <v>0</v>
      </c>
      <c r="N893" t="n">
        <v>0</v>
      </c>
      <c r="O893" t="n">
        <v>0</v>
      </c>
      <c r="P893" t="n">
        <v>0</v>
      </c>
      <c r="Q893" t="n">
        <v>0</v>
      </c>
      <c r="R893" s="2" t="inlineStr"/>
    </row>
    <row r="894" ht="15" customHeight="1">
      <c r="A894" t="inlineStr">
        <is>
          <t>A 53109-2025</t>
        </is>
      </c>
      <c r="B894" s="1" t="n">
        <v>45958</v>
      </c>
      <c r="C894" s="1" t="n">
        <v>45991</v>
      </c>
      <c r="D894" t="inlineStr">
        <is>
          <t>JÄMTLANDS LÄN</t>
        </is>
      </c>
      <c r="E894" t="inlineStr">
        <is>
          <t>RAGUNDA</t>
        </is>
      </c>
      <c r="G894" t="n">
        <v>2.1</v>
      </c>
      <c r="H894" t="n">
        <v>0</v>
      </c>
      <c r="I894" t="n">
        <v>0</v>
      </c>
      <c r="J894" t="n">
        <v>0</v>
      </c>
      <c r="K894" t="n">
        <v>0</v>
      </c>
      <c r="L894" t="n">
        <v>0</v>
      </c>
      <c r="M894" t="n">
        <v>0</v>
      </c>
      <c r="N894" t="n">
        <v>0</v>
      </c>
      <c r="O894" t="n">
        <v>0</v>
      </c>
      <c r="P894" t="n">
        <v>0</v>
      </c>
      <c r="Q894" t="n">
        <v>0</v>
      </c>
      <c r="R894" s="2" t="inlineStr"/>
    </row>
    <row r="895" ht="15" customHeight="1">
      <c r="A895" t="inlineStr">
        <is>
          <t>A 38312-2024</t>
        </is>
      </c>
      <c r="B895" s="1" t="n">
        <v>45545.64957175926</v>
      </c>
      <c r="C895" s="1" t="n">
        <v>45991</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50719-2025</t>
        </is>
      </c>
      <c r="B896" s="1" t="n">
        <v>45946.34642361111</v>
      </c>
      <c r="C896" s="1" t="n">
        <v>45991</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59491-2025</t>
        </is>
      </c>
      <c r="B897" s="1" t="n">
        <v>45989.60376157407</v>
      </c>
      <c r="C897" s="1" t="n">
        <v>45991</v>
      </c>
      <c r="D897" t="inlineStr">
        <is>
          <t>JÄMTLANDS LÄN</t>
        </is>
      </c>
      <c r="E897" t="inlineStr">
        <is>
          <t>RAGUNDA</t>
        </is>
      </c>
      <c r="G897" t="n">
        <v>0.9</v>
      </c>
      <c r="H897" t="n">
        <v>0</v>
      </c>
      <c r="I897" t="n">
        <v>0</v>
      </c>
      <c r="J897" t="n">
        <v>0</v>
      </c>
      <c r="K897" t="n">
        <v>0</v>
      </c>
      <c r="L897" t="n">
        <v>0</v>
      </c>
      <c r="M897" t="n">
        <v>0</v>
      </c>
      <c r="N897" t="n">
        <v>0</v>
      </c>
      <c r="O897" t="n">
        <v>0</v>
      </c>
      <c r="P897" t="n">
        <v>0</v>
      </c>
      <c r="Q897" t="n">
        <v>0</v>
      </c>
      <c r="R897" s="2" t="inlineStr"/>
    </row>
    <row r="898" ht="15" customHeight="1">
      <c r="A898" t="inlineStr">
        <is>
          <t>A 32832-2021</t>
        </is>
      </c>
      <c r="B898" s="1" t="n">
        <v>44375</v>
      </c>
      <c r="C898" s="1" t="n">
        <v>45991</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22011-2023</t>
        </is>
      </c>
      <c r="B899" s="1" t="n">
        <v>45068</v>
      </c>
      <c r="C899" s="1" t="n">
        <v>45991</v>
      </c>
      <c r="D899" t="inlineStr">
        <is>
          <t>JÄMTLANDS LÄN</t>
        </is>
      </c>
      <c r="E899" t="inlineStr">
        <is>
          <t>RAGUNDA</t>
        </is>
      </c>
      <c r="F899" t="inlineStr">
        <is>
          <t>SCA</t>
        </is>
      </c>
      <c r="G899" t="n">
        <v>12.2</v>
      </c>
      <c r="H899" t="n">
        <v>0</v>
      </c>
      <c r="I899" t="n">
        <v>0</v>
      </c>
      <c r="J899" t="n">
        <v>0</v>
      </c>
      <c r="K899" t="n">
        <v>0</v>
      </c>
      <c r="L899" t="n">
        <v>0</v>
      </c>
      <c r="M899" t="n">
        <v>0</v>
      </c>
      <c r="N899" t="n">
        <v>0</v>
      </c>
      <c r="O899" t="n">
        <v>0</v>
      </c>
      <c r="P899" t="n">
        <v>0</v>
      </c>
      <c r="Q899" t="n">
        <v>0</v>
      </c>
      <c r="R899" s="2" t="inlineStr"/>
    </row>
    <row r="900" ht="15" customHeight="1">
      <c r="A900" t="inlineStr">
        <is>
          <t>A 59214-2025</t>
        </is>
      </c>
      <c r="B900" s="1" t="n">
        <v>45988.61623842592</v>
      </c>
      <c r="C900" s="1" t="n">
        <v>45991</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51019-2025</t>
        </is>
      </c>
      <c r="B901" s="1" t="n">
        <v>45947.38623842593</v>
      </c>
      <c r="C901" s="1" t="n">
        <v>45991</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14158-2024</t>
        </is>
      </c>
      <c r="B902" s="1" t="n">
        <v>45392</v>
      </c>
      <c r="C902" s="1" t="n">
        <v>45991</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59503-2025</t>
        </is>
      </c>
      <c r="B903" s="1" t="n">
        <v>45989.62703703704</v>
      </c>
      <c r="C903" s="1" t="n">
        <v>45991</v>
      </c>
      <c r="D903" t="inlineStr">
        <is>
          <t>JÄMTLANDS LÄN</t>
        </is>
      </c>
      <c r="E903" t="inlineStr">
        <is>
          <t>RAGUNDA</t>
        </is>
      </c>
      <c r="G903" t="n">
        <v>0.6</v>
      </c>
      <c r="H903" t="n">
        <v>0</v>
      </c>
      <c r="I903" t="n">
        <v>0</v>
      </c>
      <c r="J903" t="n">
        <v>0</v>
      </c>
      <c r="K903" t="n">
        <v>0</v>
      </c>
      <c r="L903" t="n">
        <v>0</v>
      </c>
      <c r="M903" t="n">
        <v>0</v>
      </c>
      <c r="N903" t="n">
        <v>0</v>
      </c>
      <c r="O903" t="n">
        <v>0</v>
      </c>
      <c r="P903" t="n">
        <v>0</v>
      </c>
      <c r="Q903" t="n">
        <v>0</v>
      </c>
      <c r="R903" s="2" t="inlineStr"/>
    </row>
    <row r="904" ht="15" customHeight="1">
      <c r="A904" t="inlineStr">
        <is>
          <t>A 58990-2025</t>
        </is>
      </c>
      <c r="B904" s="1" t="n">
        <v>45987</v>
      </c>
      <c r="C904" s="1" t="n">
        <v>45991</v>
      </c>
      <c r="D904" t="inlineStr">
        <is>
          <t>JÄMTLANDS LÄN</t>
        </is>
      </c>
      <c r="E904" t="inlineStr">
        <is>
          <t>RAGUNDA</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45991</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35274-2023</t>
        </is>
      </c>
      <c r="B906" s="1" t="n">
        <v>45145</v>
      </c>
      <c r="C906" s="1" t="n">
        <v>45991</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50985-2025</t>
        </is>
      </c>
      <c r="B907" s="1" t="n">
        <v>45947.34506944445</v>
      </c>
      <c r="C907" s="1" t="n">
        <v>45991</v>
      </c>
      <c r="D907" t="inlineStr">
        <is>
          <t>JÄMTLANDS LÄN</t>
        </is>
      </c>
      <c r="E907" t="inlineStr">
        <is>
          <t>RAGUNDA</t>
        </is>
      </c>
      <c r="F907" t="inlineStr">
        <is>
          <t>SCA</t>
        </is>
      </c>
      <c r="G907" t="n">
        <v>8</v>
      </c>
      <c r="H907" t="n">
        <v>0</v>
      </c>
      <c r="I907" t="n">
        <v>0</v>
      </c>
      <c r="J907" t="n">
        <v>0</v>
      </c>
      <c r="K907" t="n">
        <v>0</v>
      </c>
      <c r="L907" t="n">
        <v>0</v>
      </c>
      <c r="M907" t="n">
        <v>0</v>
      </c>
      <c r="N907" t="n">
        <v>0</v>
      </c>
      <c r="O907" t="n">
        <v>0</v>
      </c>
      <c r="P907" t="n">
        <v>0</v>
      </c>
      <c r="Q907" t="n">
        <v>0</v>
      </c>
      <c r="R907" s="2" t="inlineStr"/>
    </row>
    <row r="908" ht="15" customHeight="1">
      <c r="A908" t="inlineStr">
        <is>
          <t>A 51034-2025</t>
        </is>
      </c>
      <c r="B908" s="1" t="n">
        <v>45947.40670138889</v>
      </c>
      <c r="C908" s="1" t="n">
        <v>45991</v>
      </c>
      <c r="D908" t="inlineStr">
        <is>
          <t>JÄMTLANDS LÄN</t>
        </is>
      </c>
      <c r="E908" t="inlineStr">
        <is>
          <t>RAGUNDA</t>
        </is>
      </c>
      <c r="F908" t="inlineStr">
        <is>
          <t>SCA</t>
        </is>
      </c>
      <c r="G908" t="n">
        <v>44.1</v>
      </c>
      <c r="H908" t="n">
        <v>0</v>
      </c>
      <c r="I908" t="n">
        <v>0</v>
      </c>
      <c r="J908" t="n">
        <v>0</v>
      </c>
      <c r="K908" t="n">
        <v>0</v>
      </c>
      <c r="L908" t="n">
        <v>0</v>
      </c>
      <c r="M908" t="n">
        <v>0</v>
      </c>
      <c r="N908" t="n">
        <v>0</v>
      </c>
      <c r="O908" t="n">
        <v>0</v>
      </c>
      <c r="P908" t="n">
        <v>0</v>
      </c>
      <c r="Q908" t="n">
        <v>0</v>
      </c>
      <c r="R908" s="2" t="inlineStr"/>
    </row>
    <row r="909" ht="15" customHeight="1">
      <c r="A909" t="inlineStr">
        <is>
          <t>A 58909-2025</t>
        </is>
      </c>
      <c r="B909" s="1" t="n">
        <v>45987</v>
      </c>
      <c r="C909" s="1" t="n">
        <v>45991</v>
      </c>
      <c r="D909" t="inlineStr">
        <is>
          <t>JÄMTLANDS LÄN</t>
        </is>
      </c>
      <c r="E909" t="inlineStr">
        <is>
          <t>RAGUNDA</t>
        </is>
      </c>
      <c r="G909" t="n">
        <v>9.5</v>
      </c>
      <c r="H909" t="n">
        <v>0</v>
      </c>
      <c r="I909" t="n">
        <v>0</v>
      </c>
      <c r="J909" t="n">
        <v>0</v>
      </c>
      <c r="K909" t="n">
        <v>0</v>
      </c>
      <c r="L909" t="n">
        <v>0</v>
      </c>
      <c r="M909" t="n">
        <v>0</v>
      </c>
      <c r="N909" t="n">
        <v>0</v>
      </c>
      <c r="O909" t="n">
        <v>0</v>
      </c>
      <c r="P909" t="n">
        <v>0</v>
      </c>
      <c r="Q909" t="n">
        <v>0</v>
      </c>
      <c r="R909" s="2" t="inlineStr"/>
    </row>
    <row r="910" ht="15" customHeight="1">
      <c r="A910" t="inlineStr">
        <is>
          <t>A 59499-2025</t>
        </is>
      </c>
      <c r="B910" s="1" t="n">
        <v>45989.61846064815</v>
      </c>
      <c r="C910" s="1" t="n">
        <v>45991</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12983-2025</t>
        </is>
      </c>
      <c r="B911" s="1" t="n">
        <v>45734.4633912037</v>
      </c>
      <c r="C911" s="1" t="n">
        <v>45991</v>
      </c>
      <c r="D911" t="inlineStr">
        <is>
          <t>JÄMTLANDS LÄN</t>
        </is>
      </c>
      <c r="E911" t="inlineStr">
        <is>
          <t>RAGUNDA</t>
        </is>
      </c>
      <c r="G911" t="n">
        <v>5.2</v>
      </c>
      <c r="H911" t="n">
        <v>0</v>
      </c>
      <c r="I911" t="n">
        <v>0</v>
      </c>
      <c r="J911" t="n">
        <v>0</v>
      </c>
      <c r="K911" t="n">
        <v>0</v>
      </c>
      <c r="L911" t="n">
        <v>0</v>
      </c>
      <c r="M911" t="n">
        <v>0</v>
      </c>
      <c r="N911" t="n">
        <v>0</v>
      </c>
      <c r="O911" t="n">
        <v>0</v>
      </c>
      <c r="P911" t="n">
        <v>0</v>
      </c>
      <c r="Q911" t="n">
        <v>0</v>
      </c>
      <c r="R911" s="2" t="inlineStr"/>
    </row>
    <row r="912" ht="15" customHeight="1">
      <c r="A912" t="inlineStr">
        <is>
          <t>A 17598-2021</t>
        </is>
      </c>
      <c r="B912" s="1" t="n">
        <v>44299</v>
      </c>
      <c r="C912" s="1" t="n">
        <v>45991</v>
      </c>
      <c r="D912" t="inlineStr">
        <is>
          <t>JÄMTLANDS LÄN</t>
        </is>
      </c>
      <c r="E912" t="inlineStr">
        <is>
          <t>RAGUNDA</t>
        </is>
      </c>
      <c r="G912" t="n">
        <v>4.6</v>
      </c>
      <c r="H912" t="n">
        <v>0</v>
      </c>
      <c r="I912" t="n">
        <v>0</v>
      </c>
      <c r="J912" t="n">
        <v>0</v>
      </c>
      <c r="K912" t="n">
        <v>0</v>
      </c>
      <c r="L912" t="n">
        <v>0</v>
      </c>
      <c r="M912" t="n">
        <v>0</v>
      </c>
      <c r="N912" t="n">
        <v>0</v>
      </c>
      <c r="O912" t="n">
        <v>0</v>
      </c>
      <c r="P912" t="n">
        <v>0</v>
      </c>
      <c r="Q912" t="n">
        <v>0</v>
      </c>
      <c r="R912" s="2" t="inlineStr"/>
    </row>
    <row r="913" ht="15" customHeight="1">
      <c r="A913" t="inlineStr">
        <is>
          <t>A 3938-2024</t>
        </is>
      </c>
      <c r="B913" s="1" t="n">
        <v>45322</v>
      </c>
      <c r="C913" s="1" t="n">
        <v>45991</v>
      </c>
      <c r="D913" t="inlineStr">
        <is>
          <t>JÄMTLANDS LÄN</t>
        </is>
      </c>
      <c r="E913" t="inlineStr">
        <is>
          <t>RAGUNDA</t>
        </is>
      </c>
      <c r="G913" t="n">
        <v>3.2</v>
      </c>
      <c r="H913" t="n">
        <v>0</v>
      </c>
      <c r="I913" t="n">
        <v>0</v>
      </c>
      <c r="J913" t="n">
        <v>0</v>
      </c>
      <c r="K913" t="n">
        <v>0</v>
      </c>
      <c r="L913" t="n">
        <v>0</v>
      </c>
      <c r="M913" t="n">
        <v>0</v>
      </c>
      <c r="N913" t="n">
        <v>0</v>
      </c>
      <c r="O913" t="n">
        <v>0</v>
      </c>
      <c r="P913" t="n">
        <v>0</v>
      </c>
      <c r="Q913" t="n">
        <v>0</v>
      </c>
      <c r="R913" s="2" t="inlineStr"/>
    </row>
    <row r="914" ht="15" customHeight="1">
      <c r="A914" t="inlineStr">
        <is>
          <t>A 53144-2024</t>
        </is>
      </c>
      <c r="B914" s="1" t="n">
        <v>45611</v>
      </c>
      <c r="C914" s="1" t="n">
        <v>45991</v>
      </c>
      <c r="D914" t="inlineStr">
        <is>
          <t>JÄMTLANDS LÄN</t>
        </is>
      </c>
      <c r="E914" t="inlineStr">
        <is>
          <t>RAGUNDA</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22311-2024</t>
        </is>
      </c>
      <c r="B915" s="1" t="n">
        <v>45446.57052083333</v>
      </c>
      <c r="C915" s="1" t="n">
        <v>45991</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19403-2025</t>
        </is>
      </c>
      <c r="B916" s="1" t="n">
        <v>45769.67790509259</v>
      </c>
      <c r="C916" s="1" t="n">
        <v>45991</v>
      </c>
      <c r="D916" t="inlineStr">
        <is>
          <t>JÄMTLANDS LÄN</t>
        </is>
      </c>
      <c r="E916" t="inlineStr">
        <is>
          <t>RAGUNDA</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11147-2025</t>
        </is>
      </c>
      <c r="B917" s="1" t="n">
        <v>45723.67777777778</v>
      </c>
      <c r="C917" s="1" t="n">
        <v>45991</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9847-2025</t>
        </is>
      </c>
      <c r="B918" s="1" t="n">
        <v>45716.61487268518</v>
      </c>
      <c r="C918" s="1" t="n">
        <v>45991</v>
      </c>
      <c r="D918" t="inlineStr">
        <is>
          <t>JÄMTLANDS LÄN</t>
        </is>
      </c>
      <c r="E918" t="inlineStr">
        <is>
          <t>RAGUNDA</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28173-2024</t>
        </is>
      </c>
      <c r="B919" s="1" t="n">
        <v>45476.94533564815</v>
      </c>
      <c r="C919" s="1" t="n">
        <v>45991</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23734-2024</t>
        </is>
      </c>
      <c r="B920" s="1" t="n">
        <v>45454.95960648148</v>
      </c>
      <c r="C920" s="1" t="n">
        <v>45991</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38425-2022</t>
        </is>
      </c>
      <c r="B921" s="1" t="n">
        <v>44812.94709490741</v>
      </c>
      <c r="C921" s="1" t="n">
        <v>45991</v>
      </c>
      <c r="D921" t="inlineStr">
        <is>
          <t>JÄMTLANDS LÄN</t>
        </is>
      </c>
      <c r="E921" t="inlineStr">
        <is>
          <t>RAGUNDA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12995-2023</t>
        </is>
      </c>
      <c r="B922" s="1" t="n">
        <v>45002.0328125</v>
      </c>
      <c r="C922" s="1" t="n">
        <v>45991</v>
      </c>
      <c r="D922" t="inlineStr">
        <is>
          <t>JÄMTLANDS LÄN</t>
        </is>
      </c>
      <c r="E922" t="inlineStr">
        <is>
          <t>RAGUNDA</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44755-2024</t>
        </is>
      </c>
      <c r="B923" s="1" t="n">
        <v>45574.61184027778</v>
      </c>
      <c r="C923" s="1" t="n">
        <v>45991</v>
      </c>
      <c r="D923" t="inlineStr">
        <is>
          <t>JÄMTLANDS LÄN</t>
        </is>
      </c>
      <c r="E923" t="inlineStr">
        <is>
          <t>RAGUNDA</t>
        </is>
      </c>
      <c r="G923" t="n">
        <v>4.4</v>
      </c>
      <c r="H923" t="n">
        <v>0</v>
      </c>
      <c r="I923" t="n">
        <v>0</v>
      </c>
      <c r="J923" t="n">
        <v>0</v>
      </c>
      <c r="K923" t="n">
        <v>0</v>
      </c>
      <c r="L923" t="n">
        <v>0</v>
      </c>
      <c r="M923" t="n">
        <v>0</v>
      </c>
      <c r="N923" t="n">
        <v>0</v>
      </c>
      <c r="O923" t="n">
        <v>0</v>
      </c>
      <c r="P923" t="n">
        <v>0</v>
      </c>
      <c r="Q923" t="n">
        <v>0</v>
      </c>
      <c r="R923" s="2" t="inlineStr"/>
    </row>
    <row r="924" ht="15" customHeight="1">
      <c r="A924" t="inlineStr">
        <is>
          <t>A 44766-2024</t>
        </is>
      </c>
      <c r="B924" s="1" t="n">
        <v>45574.62297453704</v>
      </c>
      <c r="C924" s="1" t="n">
        <v>45991</v>
      </c>
      <c r="D924" t="inlineStr">
        <is>
          <t>JÄMTLANDS LÄN</t>
        </is>
      </c>
      <c r="E924" t="inlineStr">
        <is>
          <t>RAGUNDA</t>
        </is>
      </c>
      <c r="G924" t="n">
        <v>3.2</v>
      </c>
      <c r="H924" t="n">
        <v>0</v>
      </c>
      <c r="I924" t="n">
        <v>0</v>
      </c>
      <c r="J924" t="n">
        <v>0</v>
      </c>
      <c r="K924" t="n">
        <v>0</v>
      </c>
      <c r="L924" t="n">
        <v>0</v>
      </c>
      <c r="M924" t="n">
        <v>0</v>
      </c>
      <c r="N924" t="n">
        <v>0</v>
      </c>
      <c r="O924" t="n">
        <v>0</v>
      </c>
      <c r="P924" t="n">
        <v>0</v>
      </c>
      <c r="Q924" t="n">
        <v>0</v>
      </c>
      <c r="R924" s="2" t="inlineStr"/>
    </row>
    <row r="925" ht="15" customHeight="1">
      <c r="A925" t="inlineStr">
        <is>
          <t>A 16676-2022</t>
        </is>
      </c>
      <c r="B925" s="1" t="n">
        <v>44672.94018518519</v>
      </c>
      <c r="C925" s="1" t="n">
        <v>45991</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55536-2024</t>
        </is>
      </c>
      <c r="B926" s="1" t="n">
        <v>45622</v>
      </c>
      <c r="C926" s="1" t="n">
        <v>45991</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44597-2024</t>
        </is>
      </c>
      <c r="B927" s="1" t="n">
        <v>45574.51087962963</v>
      </c>
      <c r="C927" s="1" t="n">
        <v>45991</v>
      </c>
      <c r="D927" t="inlineStr">
        <is>
          <t>JÄMTLANDS LÄN</t>
        </is>
      </c>
      <c r="E927" t="inlineStr">
        <is>
          <t>RAGUNDA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44598-2024</t>
        </is>
      </c>
      <c r="B928" s="1" t="n">
        <v>45574.51090277778</v>
      </c>
      <c r="C928" s="1" t="n">
        <v>45991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18610-2024</t>
        </is>
      </c>
      <c r="B929" s="1" t="n">
        <v>45425.96230324074</v>
      </c>
      <c r="C929" s="1" t="n">
        <v>45991</v>
      </c>
      <c r="D929" t="inlineStr">
        <is>
          <t>JÄMTLANDS LÄN</t>
        </is>
      </c>
      <c r="E929" t="inlineStr">
        <is>
          <t>RAGUNDA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57116-2024</t>
        </is>
      </c>
      <c r="B930" s="1" t="n">
        <v>45629.36513888889</v>
      </c>
      <c r="C930" s="1" t="n">
        <v>45991</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3104-2025</t>
        </is>
      </c>
      <c r="B931" s="1" t="n">
        <v>45678.67761574074</v>
      </c>
      <c r="C931" s="1" t="n">
        <v>45991</v>
      </c>
      <c r="D931" t="inlineStr">
        <is>
          <t>JÄMTLANDS LÄN</t>
        </is>
      </c>
      <c r="E931" t="inlineStr">
        <is>
          <t>RAGUNDA</t>
        </is>
      </c>
      <c r="F931" t="inlineStr">
        <is>
          <t>SCA</t>
        </is>
      </c>
      <c r="G931" t="n">
        <v>46.2</v>
      </c>
      <c r="H931" t="n">
        <v>0</v>
      </c>
      <c r="I931" t="n">
        <v>0</v>
      </c>
      <c r="J931" t="n">
        <v>0</v>
      </c>
      <c r="K931" t="n">
        <v>0</v>
      </c>
      <c r="L931" t="n">
        <v>0</v>
      </c>
      <c r="M931" t="n">
        <v>0</v>
      </c>
      <c r="N931" t="n">
        <v>0</v>
      </c>
      <c r="O931" t="n">
        <v>0</v>
      </c>
      <c r="P931" t="n">
        <v>0</v>
      </c>
      <c r="Q931" t="n">
        <v>0</v>
      </c>
      <c r="R931" s="2" t="inlineStr"/>
    </row>
    <row r="932" ht="15" customHeight="1">
      <c r="A932" t="inlineStr">
        <is>
          <t>A 40246-2024</t>
        </is>
      </c>
      <c r="B932" s="1" t="n">
        <v>45554.61583333334</v>
      </c>
      <c r="C932" s="1" t="n">
        <v>45991</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4878-2022</t>
        </is>
      </c>
      <c r="B933" s="1" t="n">
        <v>44593</v>
      </c>
      <c r="C933" s="1" t="n">
        <v>45991</v>
      </c>
      <c r="D933" t="inlineStr">
        <is>
          <t>JÄMTLANDS LÄN</t>
        </is>
      </c>
      <c r="E933" t="inlineStr">
        <is>
          <t>RAGUNDA</t>
        </is>
      </c>
      <c r="G933" t="n">
        <v>21.7</v>
      </c>
      <c r="H933" t="n">
        <v>0</v>
      </c>
      <c r="I933" t="n">
        <v>0</v>
      </c>
      <c r="J933" t="n">
        <v>0</v>
      </c>
      <c r="K933" t="n">
        <v>0</v>
      </c>
      <c r="L933" t="n">
        <v>0</v>
      </c>
      <c r="M933" t="n">
        <v>0</v>
      </c>
      <c r="N933" t="n">
        <v>0</v>
      </c>
      <c r="O933" t="n">
        <v>0</v>
      </c>
      <c r="P933" t="n">
        <v>0</v>
      </c>
      <c r="Q933" t="n">
        <v>0</v>
      </c>
      <c r="R933" s="2" t="inlineStr"/>
    </row>
    <row r="934" ht="15" customHeight="1">
      <c r="A934" t="inlineStr">
        <is>
          <t>A 57237-2022</t>
        </is>
      </c>
      <c r="B934" s="1" t="n">
        <v>44889</v>
      </c>
      <c r="C934" s="1" t="n">
        <v>45991</v>
      </c>
      <c r="D934" t="inlineStr">
        <is>
          <t>JÄMTLANDS LÄN</t>
        </is>
      </c>
      <c r="E934" t="inlineStr">
        <is>
          <t>RAGUNDA</t>
        </is>
      </c>
      <c r="G934" t="n">
        <v>2.2</v>
      </c>
      <c r="H934" t="n">
        <v>0</v>
      </c>
      <c r="I934" t="n">
        <v>0</v>
      </c>
      <c r="J934" t="n">
        <v>0</v>
      </c>
      <c r="K934" t="n">
        <v>0</v>
      </c>
      <c r="L934" t="n">
        <v>0</v>
      </c>
      <c r="M934" t="n">
        <v>0</v>
      </c>
      <c r="N934" t="n">
        <v>0</v>
      </c>
      <c r="O934" t="n">
        <v>0</v>
      </c>
      <c r="P934" t="n">
        <v>0</v>
      </c>
      <c r="Q934" t="n">
        <v>0</v>
      </c>
      <c r="R934" s="2" t="inlineStr"/>
    </row>
    <row r="935" ht="15" customHeight="1">
      <c r="A935" t="inlineStr">
        <is>
          <t>A 2133-2023</t>
        </is>
      </c>
      <c r="B935" s="1" t="n">
        <v>44939</v>
      </c>
      <c r="C935" s="1" t="n">
        <v>45991</v>
      </c>
      <c r="D935" t="inlineStr">
        <is>
          <t>JÄMTLANDS LÄN</t>
        </is>
      </c>
      <c r="E935" t="inlineStr">
        <is>
          <t>RAGUNDA</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19419-2024</t>
        </is>
      </c>
      <c r="B936" s="1" t="n">
        <v>45429</v>
      </c>
      <c r="C936" s="1" t="n">
        <v>45991</v>
      </c>
      <c r="D936" t="inlineStr">
        <is>
          <t>JÄMTLANDS LÄN</t>
        </is>
      </c>
      <c r="E936" t="inlineStr">
        <is>
          <t>RAGUNDA</t>
        </is>
      </c>
      <c r="G936" t="n">
        <v>3.5</v>
      </c>
      <c r="H936" t="n">
        <v>0</v>
      </c>
      <c r="I936" t="n">
        <v>0</v>
      </c>
      <c r="J936" t="n">
        <v>0</v>
      </c>
      <c r="K936" t="n">
        <v>0</v>
      </c>
      <c r="L936" t="n">
        <v>0</v>
      </c>
      <c r="M936" t="n">
        <v>0</v>
      </c>
      <c r="N936" t="n">
        <v>0</v>
      </c>
      <c r="O936" t="n">
        <v>0</v>
      </c>
      <c r="P936" t="n">
        <v>0</v>
      </c>
      <c r="Q936" t="n">
        <v>0</v>
      </c>
      <c r="R936" s="2" t="inlineStr"/>
    </row>
    <row r="937" ht="15" customHeight="1">
      <c r="A937" t="inlineStr">
        <is>
          <t>A 19383-2025</t>
        </is>
      </c>
      <c r="B937" s="1" t="n">
        <v>45769.65688657408</v>
      </c>
      <c r="C937" s="1" t="n">
        <v>45991</v>
      </c>
      <c r="D937" t="inlineStr">
        <is>
          <t>JÄMTLANDS LÄN</t>
        </is>
      </c>
      <c r="E937" t="inlineStr">
        <is>
          <t>RAGUNDA</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49229-2024</t>
        </is>
      </c>
      <c r="B938" s="1" t="n">
        <v>45595.42738425926</v>
      </c>
      <c r="C938" s="1" t="n">
        <v>45991</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13700-2023</t>
        </is>
      </c>
      <c r="B939" s="1" t="n">
        <v>45006</v>
      </c>
      <c r="C939" s="1" t="n">
        <v>45991</v>
      </c>
      <c r="D939" t="inlineStr">
        <is>
          <t>JÄMTLANDS LÄN</t>
        </is>
      </c>
      <c r="E939" t="inlineStr">
        <is>
          <t>RAGUNDA</t>
        </is>
      </c>
      <c r="F939" t="inlineStr">
        <is>
          <t>SCA</t>
        </is>
      </c>
      <c r="G939" t="n">
        <v>50.3</v>
      </c>
      <c r="H939" t="n">
        <v>0</v>
      </c>
      <c r="I939" t="n">
        <v>0</v>
      </c>
      <c r="J939" t="n">
        <v>0</v>
      </c>
      <c r="K939" t="n">
        <v>0</v>
      </c>
      <c r="L939" t="n">
        <v>0</v>
      </c>
      <c r="M939" t="n">
        <v>0</v>
      </c>
      <c r="N939" t="n">
        <v>0</v>
      </c>
      <c r="O939" t="n">
        <v>0</v>
      </c>
      <c r="P939" t="n">
        <v>0</v>
      </c>
      <c r="Q939" t="n">
        <v>0</v>
      </c>
      <c r="R939" s="2" t="inlineStr"/>
    </row>
    <row r="940" ht="15" customHeight="1">
      <c r="A940" t="inlineStr">
        <is>
          <t>A 51389-2024</t>
        </is>
      </c>
      <c r="B940" s="1" t="n">
        <v>45604.40540509259</v>
      </c>
      <c r="C940" s="1" t="n">
        <v>45991</v>
      </c>
      <c r="D940" t="inlineStr">
        <is>
          <t>JÄMTLANDS LÄN</t>
        </is>
      </c>
      <c r="E940" t="inlineStr">
        <is>
          <t>RAGUNDA</t>
        </is>
      </c>
      <c r="G940" t="n">
        <v>1.7</v>
      </c>
      <c r="H940" t="n">
        <v>0</v>
      </c>
      <c r="I940" t="n">
        <v>0</v>
      </c>
      <c r="J940" t="n">
        <v>0</v>
      </c>
      <c r="K940" t="n">
        <v>0</v>
      </c>
      <c r="L940" t="n">
        <v>0</v>
      </c>
      <c r="M940" t="n">
        <v>0</v>
      </c>
      <c r="N940" t="n">
        <v>0</v>
      </c>
      <c r="O940" t="n">
        <v>0</v>
      </c>
      <c r="P940" t="n">
        <v>0</v>
      </c>
      <c r="Q940" t="n">
        <v>0</v>
      </c>
      <c r="R940" s="2" t="inlineStr"/>
    </row>
    <row r="941" ht="15" customHeight="1">
      <c r="A941" t="inlineStr">
        <is>
          <t>A 51393-2024</t>
        </is>
      </c>
      <c r="B941" s="1" t="n">
        <v>45604.41625</v>
      </c>
      <c r="C941" s="1" t="n">
        <v>45991</v>
      </c>
      <c r="D941" t="inlineStr">
        <is>
          <t>JÄMTLANDS LÄN</t>
        </is>
      </c>
      <c r="E941" t="inlineStr">
        <is>
          <t>RAGUNDA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20987-2023</t>
        </is>
      </c>
      <c r="B942" s="1" t="n">
        <v>45056</v>
      </c>
      <c r="C942" s="1" t="n">
        <v>45991</v>
      </c>
      <c r="D942" t="inlineStr">
        <is>
          <t>JÄMTLANDS LÄN</t>
        </is>
      </c>
      <c r="E942" t="inlineStr">
        <is>
          <t>RAGUNDA</t>
        </is>
      </c>
      <c r="G942" t="n">
        <v>1.1</v>
      </c>
      <c r="H942" t="n">
        <v>0</v>
      </c>
      <c r="I942" t="n">
        <v>0</v>
      </c>
      <c r="J942" t="n">
        <v>0</v>
      </c>
      <c r="K942" t="n">
        <v>0</v>
      </c>
      <c r="L942" t="n">
        <v>0</v>
      </c>
      <c r="M942" t="n">
        <v>0</v>
      </c>
      <c r="N942" t="n">
        <v>0</v>
      </c>
      <c r="O942" t="n">
        <v>0</v>
      </c>
      <c r="P942" t="n">
        <v>0</v>
      </c>
      <c r="Q942" t="n">
        <v>0</v>
      </c>
      <c r="R942" s="2" t="inlineStr"/>
    </row>
    <row r="943" ht="15" customHeight="1">
      <c r="A943" t="inlineStr">
        <is>
          <t>A 20994-2023</t>
        </is>
      </c>
      <c r="B943" s="1" t="n">
        <v>45056</v>
      </c>
      <c r="C943" s="1" t="n">
        <v>45991</v>
      </c>
      <c r="D943" t="inlineStr">
        <is>
          <t>JÄMTLANDS LÄN</t>
        </is>
      </c>
      <c r="E943" t="inlineStr">
        <is>
          <t>RAGUNDA</t>
        </is>
      </c>
      <c r="G943" t="n">
        <v>1.3</v>
      </c>
      <c r="H943" t="n">
        <v>0</v>
      </c>
      <c r="I943" t="n">
        <v>0</v>
      </c>
      <c r="J943" t="n">
        <v>0</v>
      </c>
      <c r="K943" t="n">
        <v>0</v>
      </c>
      <c r="L943" t="n">
        <v>0</v>
      </c>
      <c r="M943" t="n">
        <v>0</v>
      </c>
      <c r="N943" t="n">
        <v>0</v>
      </c>
      <c r="O943" t="n">
        <v>0</v>
      </c>
      <c r="P943" t="n">
        <v>0</v>
      </c>
      <c r="Q943" t="n">
        <v>0</v>
      </c>
      <c r="R943" s="2" t="inlineStr"/>
    </row>
    <row r="944" ht="15" customHeight="1">
      <c r="A944" t="inlineStr">
        <is>
          <t>A 55669-2023</t>
        </is>
      </c>
      <c r="B944" s="1" t="n">
        <v>45238.96797453704</v>
      </c>
      <c r="C944" s="1" t="n">
        <v>45991</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32063-2024</t>
        </is>
      </c>
      <c r="B945" s="1" t="n">
        <v>45510</v>
      </c>
      <c r="C945" s="1" t="n">
        <v>45991</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10641-2024</t>
        </is>
      </c>
      <c r="B946" s="1" t="n">
        <v>45367.69850694444</v>
      </c>
      <c r="C946" s="1" t="n">
        <v>45991</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10644-2024</t>
        </is>
      </c>
      <c r="B947" s="1" t="n">
        <v>45367.71348379629</v>
      </c>
      <c r="C947" s="1" t="n">
        <v>45991</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20426-2024</t>
        </is>
      </c>
      <c r="B948" s="1" t="n">
        <v>45435</v>
      </c>
      <c r="C948" s="1" t="n">
        <v>45991</v>
      </c>
      <c r="D948" t="inlineStr">
        <is>
          <t>JÄMTLANDS LÄN</t>
        </is>
      </c>
      <c r="E948" t="inlineStr">
        <is>
          <t>RAGUNDA</t>
        </is>
      </c>
      <c r="G948" t="n">
        <v>2.1</v>
      </c>
      <c r="H948" t="n">
        <v>0</v>
      </c>
      <c r="I948" t="n">
        <v>0</v>
      </c>
      <c r="J948" t="n">
        <v>0</v>
      </c>
      <c r="K948" t="n">
        <v>0</v>
      </c>
      <c r="L948" t="n">
        <v>0</v>
      </c>
      <c r="M948" t="n">
        <v>0</v>
      </c>
      <c r="N948" t="n">
        <v>0</v>
      </c>
      <c r="O948" t="n">
        <v>0</v>
      </c>
      <c r="P948" t="n">
        <v>0</v>
      </c>
      <c r="Q948" t="n">
        <v>0</v>
      </c>
      <c r="R948" s="2" t="inlineStr"/>
    </row>
    <row r="949" ht="15" customHeight="1">
      <c r="A949" t="inlineStr">
        <is>
          <t>A 17742-2022</t>
        </is>
      </c>
      <c r="B949" s="1" t="n">
        <v>44680.95246527778</v>
      </c>
      <c r="C949" s="1" t="n">
        <v>45991</v>
      </c>
      <c r="D949" t="inlineStr">
        <is>
          <t>JÄMTLANDS LÄN</t>
        </is>
      </c>
      <c r="E949" t="inlineStr">
        <is>
          <t>RAGUNDA</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30825-2023</t>
        </is>
      </c>
      <c r="B950" s="1" t="n">
        <v>45112.94310185185</v>
      </c>
      <c r="C950" s="1" t="n">
        <v>45991</v>
      </c>
      <c r="D950" t="inlineStr">
        <is>
          <t>JÄMTLANDS LÄN</t>
        </is>
      </c>
      <c r="E950" t="inlineStr">
        <is>
          <t>RAGUNDA</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9084-2023</t>
        </is>
      </c>
      <c r="B951" s="1" t="n">
        <v>44979</v>
      </c>
      <c r="C951" s="1" t="n">
        <v>45991</v>
      </c>
      <c r="D951" t="inlineStr">
        <is>
          <t>JÄMTLANDS LÄN</t>
        </is>
      </c>
      <c r="E951" t="inlineStr">
        <is>
          <t>RAGUNDA</t>
        </is>
      </c>
      <c r="G951" t="n">
        <v>1.9</v>
      </c>
      <c r="H951" t="n">
        <v>0</v>
      </c>
      <c r="I951" t="n">
        <v>0</v>
      </c>
      <c r="J951" t="n">
        <v>0</v>
      </c>
      <c r="K951" t="n">
        <v>0</v>
      </c>
      <c r="L951" t="n">
        <v>0</v>
      </c>
      <c r="M951" t="n">
        <v>0</v>
      </c>
      <c r="N951" t="n">
        <v>0</v>
      </c>
      <c r="O951" t="n">
        <v>0</v>
      </c>
      <c r="P951" t="n">
        <v>0</v>
      </c>
      <c r="Q951" t="n">
        <v>0</v>
      </c>
      <c r="R951" s="2" t="inlineStr"/>
    </row>
    <row r="952" ht="15" customHeight="1">
      <c r="A952" t="inlineStr">
        <is>
          <t>A 9326-2024</t>
        </is>
      </c>
      <c r="B952" s="1" t="n">
        <v>45358.95818287037</v>
      </c>
      <c r="C952" s="1" t="n">
        <v>45991</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7520-2023</t>
        </is>
      </c>
      <c r="B953" s="1" t="n">
        <v>44971</v>
      </c>
      <c r="C953" s="1" t="n">
        <v>45991</v>
      </c>
      <c r="D953" t="inlineStr">
        <is>
          <t>JÄMTLANDS LÄN</t>
        </is>
      </c>
      <c r="E953" t="inlineStr">
        <is>
          <t>RAGUNDA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21662-2023</t>
        </is>
      </c>
      <c r="B954" s="1" t="n">
        <v>45063</v>
      </c>
      <c r="C954" s="1" t="n">
        <v>45991</v>
      </c>
      <c r="D954" t="inlineStr">
        <is>
          <t>JÄMTLANDS LÄN</t>
        </is>
      </c>
      <c r="E954" t="inlineStr">
        <is>
          <t>RAGUNDA</t>
        </is>
      </c>
      <c r="G954" t="n">
        <v>1.8</v>
      </c>
      <c r="H954" t="n">
        <v>0</v>
      </c>
      <c r="I954" t="n">
        <v>0</v>
      </c>
      <c r="J954" t="n">
        <v>0</v>
      </c>
      <c r="K954" t="n">
        <v>0</v>
      </c>
      <c r="L954" t="n">
        <v>0</v>
      </c>
      <c r="M954" t="n">
        <v>0</v>
      </c>
      <c r="N954" t="n">
        <v>0</v>
      </c>
      <c r="O954" t="n">
        <v>0</v>
      </c>
      <c r="P954" t="n">
        <v>0</v>
      </c>
      <c r="Q954" t="n">
        <v>0</v>
      </c>
      <c r="R954" s="2" t="inlineStr"/>
    </row>
    <row r="955" ht="15" customHeight="1">
      <c r="A955" t="inlineStr">
        <is>
          <t>A 44727-2024</t>
        </is>
      </c>
      <c r="B955" s="1" t="n">
        <v>45574.57967592592</v>
      </c>
      <c r="C955" s="1" t="n">
        <v>45991</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21083-2024</t>
        </is>
      </c>
      <c r="B956" s="1" t="n">
        <v>45439.92752314815</v>
      </c>
      <c r="C956" s="1" t="n">
        <v>45991</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462-2023</t>
        </is>
      </c>
      <c r="B957" s="1" t="n">
        <v>44929</v>
      </c>
      <c r="C957" s="1" t="n">
        <v>45991</v>
      </c>
      <c r="D957" t="inlineStr">
        <is>
          <t>JÄMTLANDS LÄN</t>
        </is>
      </c>
      <c r="E957" t="inlineStr">
        <is>
          <t>RAGUNDA</t>
        </is>
      </c>
      <c r="G957" t="n">
        <v>4.5</v>
      </c>
      <c r="H957" t="n">
        <v>0</v>
      </c>
      <c r="I957" t="n">
        <v>0</v>
      </c>
      <c r="J957" t="n">
        <v>0</v>
      </c>
      <c r="K957" t="n">
        <v>0</v>
      </c>
      <c r="L957" t="n">
        <v>0</v>
      </c>
      <c r="M957" t="n">
        <v>0</v>
      </c>
      <c r="N957" t="n">
        <v>0</v>
      </c>
      <c r="O957" t="n">
        <v>0</v>
      </c>
      <c r="P957" t="n">
        <v>0</v>
      </c>
      <c r="Q957" t="n">
        <v>0</v>
      </c>
      <c r="R957" s="2" t="inlineStr"/>
    </row>
    <row r="958" ht="15" customHeight="1">
      <c r="A958" t="inlineStr">
        <is>
          <t>A 12050-2023</t>
        </is>
      </c>
      <c r="B958" s="1" t="n">
        <v>44995.98644675926</v>
      </c>
      <c r="C958" s="1" t="n">
        <v>45991</v>
      </c>
      <c r="D958" t="inlineStr">
        <is>
          <t>JÄMTLANDS LÄN</t>
        </is>
      </c>
      <c r="E958" t="inlineStr">
        <is>
          <t>RAGUNDA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62358-2023</t>
        </is>
      </c>
      <c r="B959" s="1" t="n">
        <v>45267</v>
      </c>
      <c r="C959" s="1" t="n">
        <v>45991</v>
      </c>
      <c r="D959" t="inlineStr">
        <is>
          <t>JÄMTLANDS LÄN</t>
        </is>
      </c>
      <c r="E959" t="inlineStr">
        <is>
          <t>RAGUNDA</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18820-2023</t>
        </is>
      </c>
      <c r="B960" s="1" t="n">
        <v>45042</v>
      </c>
      <c r="C960" s="1" t="n">
        <v>45991</v>
      </c>
      <c r="D960" t="inlineStr">
        <is>
          <t>JÄMTLANDS LÄN</t>
        </is>
      </c>
      <c r="E960" t="inlineStr">
        <is>
          <t>RAGUNDA</t>
        </is>
      </c>
      <c r="G960" t="n">
        <v>18.8</v>
      </c>
      <c r="H960" t="n">
        <v>0</v>
      </c>
      <c r="I960" t="n">
        <v>0</v>
      </c>
      <c r="J960" t="n">
        <v>0</v>
      </c>
      <c r="K960" t="n">
        <v>0</v>
      </c>
      <c r="L960" t="n">
        <v>0</v>
      </c>
      <c r="M960" t="n">
        <v>0</v>
      </c>
      <c r="N960" t="n">
        <v>0</v>
      </c>
      <c r="O960" t="n">
        <v>0</v>
      </c>
      <c r="P960" t="n">
        <v>0</v>
      </c>
      <c r="Q960" t="n">
        <v>0</v>
      </c>
      <c r="R960" s="2" t="inlineStr"/>
    </row>
    <row r="961" ht="15" customHeight="1">
      <c r="A961" t="inlineStr">
        <is>
          <t>A 49648-2023</t>
        </is>
      </c>
      <c r="B961" s="1" t="n">
        <v>45211.95061342593</v>
      </c>
      <c r="C961" s="1" t="n">
        <v>45991</v>
      </c>
      <c r="D961" t="inlineStr">
        <is>
          <t>JÄMTLANDS LÄN</t>
        </is>
      </c>
      <c r="E961" t="inlineStr">
        <is>
          <t>RAGUNDA</t>
        </is>
      </c>
      <c r="F961" t="inlineStr">
        <is>
          <t>SCA</t>
        </is>
      </c>
      <c r="G961" t="n">
        <v>4.3</v>
      </c>
      <c r="H961" t="n">
        <v>0</v>
      </c>
      <c r="I961" t="n">
        <v>0</v>
      </c>
      <c r="J961" t="n">
        <v>0</v>
      </c>
      <c r="K961" t="n">
        <v>0</v>
      </c>
      <c r="L961" t="n">
        <v>0</v>
      </c>
      <c r="M961" t="n">
        <v>0</v>
      </c>
      <c r="N961" t="n">
        <v>0</v>
      </c>
      <c r="O961" t="n">
        <v>0</v>
      </c>
      <c r="P961" t="n">
        <v>0</v>
      </c>
      <c r="Q961" t="n">
        <v>0</v>
      </c>
      <c r="R961" s="2" t="inlineStr"/>
    </row>
    <row r="962" ht="15" customHeight="1">
      <c r="A962" t="inlineStr">
        <is>
          <t>A 51537-2022</t>
        </is>
      </c>
      <c r="B962" s="1" t="n">
        <v>44869</v>
      </c>
      <c r="C962" s="1" t="n">
        <v>45991</v>
      </c>
      <c r="D962" t="inlineStr">
        <is>
          <t>JÄMTLANDS LÄN</t>
        </is>
      </c>
      <c r="E962" t="inlineStr">
        <is>
          <t>RAGUNDA</t>
        </is>
      </c>
      <c r="G962" t="n">
        <v>1.8</v>
      </c>
      <c r="H962" t="n">
        <v>0</v>
      </c>
      <c r="I962" t="n">
        <v>0</v>
      </c>
      <c r="J962" t="n">
        <v>0</v>
      </c>
      <c r="K962" t="n">
        <v>0</v>
      </c>
      <c r="L962" t="n">
        <v>0</v>
      </c>
      <c r="M962" t="n">
        <v>0</v>
      </c>
      <c r="N962" t="n">
        <v>0</v>
      </c>
      <c r="O962" t="n">
        <v>0</v>
      </c>
      <c r="P962" t="n">
        <v>0</v>
      </c>
      <c r="Q962" t="n">
        <v>0</v>
      </c>
      <c r="R962" s="2" t="inlineStr"/>
    </row>
    <row r="963" ht="15" customHeight="1">
      <c r="A963" t="inlineStr">
        <is>
          <t>A 59044-2022</t>
        </is>
      </c>
      <c r="B963" s="1" t="n">
        <v>44903</v>
      </c>
      <c r="C963" s="1" t="n">
        <v>45991</v>
      </c>
      <c r="D963" t="inlineStr">
        <is>
          <t>JÄMTLANDS LÄN</t>
        </is>
      </c>
      <c r="E963" t="inlineStr">
        <is>
          <t>RAGUNDA</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5958-2023</t>
        </is>
      </c>
      <c r="B964" s="1" t="n">
        <v>44963</v>
      </c>
      <c r="C964" s="1" t="n">
        <v>45991</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8779-2025</t>
        </is>
      </c>
      <c r="B965" s="1" t="n">
        <v>45712.61552083334</v>
      </c>
      <c r="C965" s="1" t="n">
        <v>45991</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61400-2022</t>
        </is>
      </c>
      <c r="B966" s="1" t="n">
        <v>44915</v>
      </c>
      <c r="C966" s="1" t="n">
        <v>45991</v>
      </c>
      <c r="D966" t="inlineStr">
        <is>
          <t>JÄMTLANDS LÄN</t>
        </is>
      </c>
      <c r="E966" t="inlineStr">
        <is>
          <t>RAGUNDA</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45991</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56286-2023</t>
        </is>
      </c>
      <c r="B968" s="1" t="n">
        <v>45241.95741898148</v>
      </c>
      <c r="C968" s="1" t="n">
        <v>45991</v>
      </c>
      <c r="D968" t="inlineStr">
        <is>
          <t>JÄMTLANDS LÄN</t>
        </is>
      </c>
      <c r="E968" t="inlineStr">
        <is>
          <t>RAGUNDA</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56287-2023</t>
        </is>
      </c>
      <c r="B969" s="1" t="n">
        <v>45241</v>
      </c>
      <c r="C969" s="1" t="n">
        <v>45991</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62135-2024</t>
        </is>
      </c>
      <c r="B970" s="1" t="n">
        <v>45656.64223379629</v>
      </c>
      <c r="C970" s="1" t="n">
        <v>45991</v>
      </c>
      <c r="D970" t="inlineStr">
        <is>
          <t>JÄMTLANDS LÄN</t>
        </is>
      </c>
      <c r="E970" t="inlineStr">
        <is>
          <t>RAGUNDA</t>
        </is>
      </c>
      <c r="G970" t="n">
        <v>1.5</v>
      </c>
      <c r="H970" t="n">
        <v>0</v>
      </c>
      <c r="I970" t="n">
        <v>0</v>
      </c>
      <c r="J970" t="n">
        <v>0</v>
      </c>
      <c r="K970" t="n">
        <v>0</v>
      </c>
      <c r="L970" t="n">
        <v>0</v>
      </c>
      <c r="M970" t="n">
        <v>0</v>
      </c>
      <c r="N970" t="n">
        <v>0</v>
      </c>
      <c r="O970" t="n">
        <v>0</v>
      </c>
      <c r="P970" t="n">
        <v>0</v>
      </c>
      <c r="Q970" t="n">
        <v>0</v>
      </c>
      <c r="R970" s="2" t="inlineStr"/>
    </row>
    <row r="971" ht="15" customHeight="1">
      <c r="A971" t="inlineStr">
        <is>
          <t>A 18248-2023</t>
        </is>
      </c>
      <c r="B971" s="1" t="n">
        <v>45040</v>
      </c>
      <c r="C971" s="1" t="n">
        <v>45991</v>
      </c>
      <c r="D971" t="inlineStr">
        <is>
          <t>JÄMTLANDS LÄN</t>
        </is>
      </c>
      <c r="E971" t="inlineStr">
        <is>
          <t>RAGUNDA</t>
        </is>
      </c>
      <c r="G971" t="n">
        <v>4.3</v>
      </c>
      <c r="H971" t="n">
        <v>0</v>
      </c>
      <c r="I971" t="n">
        <v>0</v>
      </c>
      <c r="J971" t="n">
        <v>0</v>
      </c>
      <c r="K971" t="n">
        <v>0</v>
      </c>
      <c r="L971" t="n">
        <v>0</v>
      </c>
      <c r="M971" t="n">
        <v>0</v>
      </c>
      <c r="N971" t="n">
        <v>0</v>
      </c>
      <c r="O971" t="n">
        <v>0</v>
      </c>
      <c r="P971" t="n">
        <v>0</v>
      </c>
      <c r="Q971" t="n">
        <v>0</v>
      </c>
      <c r="R971" s="2" t="inlineStr"/>
    </row>
    <row r="972" ht="15" customHeight="1">
      <c r="A972" t="inlineStr">
        <is>
          <t>A 8802-2022</t>
        </is>
      </c>
      <c r="B972" s="1" t="n">
        <v>44614</v>
      </c>
      <c r="C972" s="1" t="n">
        <v>45991</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39489-2023</t>
        </is>
      </c>
      <c r="B973" s="1" t="n">
        <v>45166</v>
      </c>
      <c r="C973" s="1" t="n">
        <v>45991</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55214-2022</t>
        </is>
      </c>
      <c r="B974" s="1" t="n">
        <v>44886</v>
      </c>
      <c r="C974" s="1" t="n">
        <v>45991</v>
      </c>
      <c r="D974" t="inlineStr">
        <is>
          <t>JÄMTLANDS LÄN</t>
        </is>
      </c>
      <c r="E974" t="inlineStr">
        <is>
          <t>RAGUNDA</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7722-2023</t>
        </is>
      </c>
      <c r="B975" s="1" t="n">
        <v>44972.94140046297</v>
      </c>
      <c r="C975" s="1" t="n">
        <v>45991</v>
      </c>
      <c r="D975" t="inlineStr">
        <is>
          <t>JÄMTLANDS LÄN</t>
        </is>
      </c>
      <c r="E975" t="inlineStr">
        <is>
          <t>RAGUNDA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12204-2025</t>
        </is>
      </c>
      <c r="B976" s="1" t="n">
        <v>45729.51074074074</v>
      </c>
      <c r="C976" s="1" t="n">
        <v>45991</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13299-2024</t>
        </is>
      </c>
      <c r="B977" s="1" t="n">
        <v>45386.68003472222</v>
      </c>
      <c r="C977" s="1" t="n">
        <v>45991</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15024-2022</t>
        </is>
      </c>
      <c r="B978" s="1" t="n">
        <v>44657</v>
      </c>
      <c r="C978" s="1" t="n">
        <v>45991</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891-2022</t>
        </is>
      </c>
      <c r="B979" s="1" t="n">
        <v>44571</v>
      </c>
      <c r="C979" s="1" t="n">
        <v>45991</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36371-2023</t>
        </is>
      </c>
      <c r="B980" s="1" t="n">
        <v>45149</v>
      </c>
      <c r="C980" s="1" t="n">
        <v>45991</v>
      </c>
      <c r="D980" t="inlineStr">
        <is>
          <t>JÄMTLANDS LÄN</t>
        </is>
      </c>
      <c r="E980" t="inlineStr">
        <is>
          <t>RAGUNDA</t>
        </is>
      </c>
      <c r="G980" t="n">
        <v>25.7</v>
      </c>
      <c r="H980" t="n">
        <v>0</v>
      </c>
      <c r="I980" t="n">
        <v>0</v>
      </c>
      <c r="J980" t="n">
        <v>0</v>
      </c>
      <c r="K980" t="n">
        <v>0</v>
      </c>
      <c r="L980" t="n">
        <v>0</v>
      </c>
      <c r="M980" t="n">
        <v>0</v>
      </c>
      <c r="N980" t="n">
        <v>0</v>
      </c>
      <c r="O980" t="n">
        <v>0</v>
      </c>
      <c r="P980" t="n">
        <v>0</v>
      </c>
      <c r="Q980" t="n">
        <v>0</v>
      </c>
      <c r="R980" s="2" t="inlineStr"/>
    </row>
    <row r="981" ht="15" customHeight="1">
      <c r="A981" t="inlineStr">
        <is>
          <t>A 56702-2023</t>
        </is>
      </c>
      <c r="B981" s="1" t="n">
        <v>45243</v>
      </c>
      <c r="C981" s="1" t="n">
        <v>45991</v>
      </c>
      <c r="D981" t="inlineStr">
        <is>
          <t>JÄMTLANDS LÄN</t>
        </is>
      </c>
      <c r="E981" t="inlineStr">
        <is>
          <t>RAGUNDA</t>
        </is>
      </c>
      <c r="F981" t="inlineStr">
        <is>
          <t>SCA</t>
        </is>
      </c>
      <c r="G981" t="n">
        <v>10.3</v>
      </c>
      <c r="H981" t="n">
        <v>0</v>
      </c>
      <c r="I981" t="n">
        <v>0</v>
      </c>
      <c r="J981" t="n">
        <v>0</v>
      </c>
      <c r="K981" t="n">
        <v>0</v>
      </c>
      <c r="L981" t="n">
        <v>0</v>
      </c>
      <c r="M981" t="n">
        <v>0</v>
      </c>
      <c r="N981" t="n">
        <v>0</v>
      </c>
      <c r="O981" t="n">
        <v>0</v>
      </c>
      <c r="P981" t="n">
        <v>0</v>
      </c>
      <c r="Q981" t="n">
        <v>0</v>
      </c>
      <c r="R981" s="2" t="inlineStr"/>
    </row>
    <row r="982" ht="15" customHeight="1">
      <c r="A982" t="inlineStr">
        <is>
          <t>A 32259-2024</t>
        </is>
      </c>
      <c r="B982" s="1" t="n">
        <v>45511</v>
      </c>
      <c r="C982" s="1" t="n">
        <v>45991</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5313-2025</t>
        </is>
      </c>
      <c r="B983" s="1" t="n">
        <v>45692.51069444444</v>
      </c>
      <c r="C983" s="1" t="n">
        <v>45991</v>
      </c>
      <c r="D983" t="inlineStr">
        <is>
          <t>JÄMTLANDS LÄN</t>
        </is>
      </c>
      <c r="E983" t="inlineStr">
        <is>
          <t>RAGUNDA</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5357-2025</t>
        </is>
      </c>
      <c r="B984" s="1" t="n">
        <v>45692.57326388889</v>
      </c>
      <c r="C984" s="1" t="n">
        <v>45991</v>
      </c>
      <c r="D984" t="inlineStr">
        <is>
          <t>JÄMTLANDS LÄN</t>
        </is>
      </c>
      <c r="E984" t="inlineStr">
        <is>
          <t>RAGUNDA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3018-2024</t>
        </is>
      </c>
      <c r="B985" s="1" t="n">
        <v>45315.9492824074</v>
      </c>
      <c r="C985" s="1" t="n">
        <v>45991</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44605-2024</t>
        </is>
      </c>
      <c r="B986" s="1" t="n">
        <v>45574.51185185185</v>
      </c>
      <c r="C986" s="1" t="n">
        <v>45991</v>
      </c>
      <c r="D986" t="inlineStr">
        <is>
          <t>JÄMTLANDS LÄN</t>
        </is>
      </c>
      <c r="E986" t="inlineStr">
        <is>
          <t>RAGUNDA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20773-2024</t>
        </is>
      </c>
      <c r="B987" s="1" t="n">
        <v>45436.94636574074</v>
      </c>
      <c r="C987" s="1" t="n">
        <v>45991</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34323-2023</t>
        </is>
      </c>
      <c r="B988" s="1" t="n">
        <v>45138.94925925926</v>
      </c>
      <c r="C988" s="1" t="n">
        <v>45991</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50486-2023</t>
        </is>
      </c>
      <c r="B989" s="1" t="n">
        <v>45216.92424768519</v>
      </c>
      <c r="C989" s="1" t="n">
        <v>45991</v>
      </c>
      <c r="D989" t="inlineStr">
        <is>
          <t>JÄMTLANDS LÄN</t>
        </is>
      </c>
      <c r="E989" t="inlineStr">
        <is>
          <t>RAGUNDA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51538-2022</t>
        </is>
      </c>
      <c r="B990" s="1" t="n">
        <v>44869</v>
      </c>
      <c r="C990" s="1" t="n">
        <v>45991</v>
      </c>
      <c r="D990" t="inlineStr">
        <is>
          <t>JÄMTLANDS LÄN</t>
        </is>
      </c>
      <c r="E990" t="inlineStr">
        <is>
          <t>RAGUNDA</t>
        </is>
      </c>
      <c r="G990" t="n">
        <v>6.8</v>
      </c>
      <c r="H990" t="n">
        <v>0</v>
      </c>
      <c r="I990" t="n">
        <v>0</v>
      </c>
      <c r="J990" t="n">
        <v>0</v>
      </c>
      <c r="K990" t="n">
        <v>0</v>
      </c>
      <c r="L990" t="n">
        <v>0</v>
      </c>
      <c r="M990" t="n">
        <v>0</v>
      </c>
      <c r="N990" t="n">
        <v>0</v>
      </c>
      <c r="O990" t="n">
        <v>0</v>
      </c>
      <c r="P990" t="n">
        <v>0</v>
      </c>
      <c r="Q990" t="n">
        <v>0</v>
      </c>
      <c r="R990" s="2" t="inlineStr"/>
    </row>
    <row r="991" ht="15" customHeight="1">
      <c r="A991" t="inlineStr">
        <is>
          <t>A 19854-2025</t>
        </is>
      </c>
      <c r="B991" s="1" t="n">
        <v>45771.51074074074</v>
      </c>
      <c r="C991" s="1" t="n">
        <v>45991</v>
      </c>
      <c r="D991" t="inlineStr">
        <is>
          <t>JÄMTLANDS LÄN</t>
        </is>
      </c>
      <c r="E991" t="inlineStr">
        <is>
          <t>RAGUNDA</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50503-2024</t>
        </is>
      </c>
      <c r="B992" s="1" t="n">
        <v>45601.5315625</v>
      </c>
      <c r="C992" s="1" t="n">
        <v>45991</v>
      </c>
      <c r="D992" t="inlineStr">
        <is>
          <t>JÄMTLANDS LÄN</t>
        </is>
      </c>
      <c r="E992" t="inlineStr">
        <is>
          <t>RAGUNDA</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10610-2024</t>
        </is>
      </c>
      <c r="B993" s="1" t="n">
        <v>45367.04693287037</v>
      </c>
      <c r="C993" s="1" t="n">
        <v>45991</v>
      </c>
      <c r="D993" t="inlineStr">
        <is>
          <t>JÄMTLANDS LÄN</t>
        </is>
      </c>
      <c r="E993" t="inlineStr">
        <is>
          <t>RAGUNDA</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45991</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63708-2023</t>
        </is>
      </c>
      <c r="B995" s="1" t="n">
        <v>45275.95060185185</v>
      </c>
      <c r="C995" s="1" t="n">
        <v>45991</v>
      </c>
      <c r="D995" t="inlineStr">
        <is>
          <t>JÄMTLANDS LÄN</t>
        </is>
      </c>
      <c r="E995" t="inlineStr">
        <is>
          <t>RAGUNDA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16250-2022</t>
        </is>
      </c>
      <c r="B996" s="1" t="n">
        <v>44670</v>
      </c>
      <c r="C996" s="1" t="n">
        <v>45991</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60663-2022</t>
        </is>
      </c>
      <c r="B997" s="1" t="n">
        <v>44911.93846064815</v>
      </c>
      <c r="C997" s="1" t="n">
        <v>45991</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58847-2024</t>
        </is>
      </c>
      <c r="B998" s="1" t="n">
        <v>45636.3864699074</v>
      </c>
      <c r="C998" s="1" t="n">
        <v>45991</v>
      </c>
      <c r="D998" t="inlineStr">
        <is>
          <t>JÄMTLANDS LÄN</t>
        </is>
      </c>
      <c r="E998" t="inlineStr">
        <is>
          <t>RAGUNDA</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27777-2022</t>
        </is>
      </c>
      <c r="B999" s="1" t="n">
        <v>44743</v>
      </c>
      <c r="C999" s="1" t="n">
        <v>45991</v>
      </c>
      <c r="D999" t="inlineStr">
        <is>
          <t>JÄMTLANDS LÄN</t>
        </is>
      </c>
      <c r="E999" t="inlineStr">
        <is>
          <t>RAGUNDA</t>
        </is>
      </c>
      <c r="G999" t="n">
        <v>1.5</v>
      </c>
      <c r="H999" t="n">
        <v>0</v>
      </c>
      <c r="I999" t="n">
        <v>0</v>
      </c>
      <c r="J999" t="n">
        <v>0</v>
      </c>
      <c r="K999" t="n">
        <v>0</v>
      </c>
      <c r="L999" t="n">
        <v>0</v>
      </c>
      <c r="M999" t="n">
        <v>0</v>
      </c>
      <c r="N999" t="n">
        <v>0</v>
      </c>
      <c r="O999" t="n">
        <v>0</v>
      </c>
      <c r="P999" t="n">
        <v>0</v>
      </c>
      <c r="Q999" t="n">
        <v>0</v>
      </c>
      <c r="R999" s="2" t="inlineStr"/>
    </row>
    <row r="1000" ht="15" customHeight="1">
      <c r="A1000" t="inlineStr">
        <is>
          <t>A 42875-2024</t>
        </is>
      </c>
      <c r="B1000" s="1" t="n">
        <v>45566.68125</v>
      </c>
      <c r="C1000" s="1" t="n">
        <v>45991</v>
      </c>
      <c r="D1000" t="inlineStr">
        <is>
          <t>JÄMTLANDS LÄN</t>
        </is>
      </c>
      <c r="E1000" t="inlineStr">
        <is>
          <t>RAGUNDA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53935-2022</t>
        </is>
      </c>
      <c r="B1001" s="1" t="n">
        <v>44880</v>
      </c>
      <c r="C1001" s="1" t="n">
        <v>45991</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45991</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45991</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45991</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8416-2023</t>
        </is>
      </c>
      <c r="B1005" s="1" t="n">
        <v>44977.44373842593</v>
      </c>
      <c r="C1005" s="1" t="n">
        <v>45991</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45253-2023</t>
        </is>
      </c>
      <c r="B1006" s="1" t="n">
        <v>45187</v>
      </c>
      <c r="C1006" s="1" t="n">
        <v>45991</v>
      </c>
      <c r="D1006" t="inlineStr">
        <is>
          <t>JÄMTLANDS LÄN</t>
        </is>
      </c>
      <c r="E1006" t="inlineStr">
        <is>
          <t>RAGUNDA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14369-2024</t>
        </is>
      </c>
      <c r="B1007" s="1" t="n">
        <v>45393.94459490741</v>
      </c>
      <c r="C1007" s="1" t="n">
        <v>45991</v>
      </c>
      <c r="D1007" t="inlineStr">
        <is>
          <t>JÄMTLANDS LÄN</t>
        </is>
      </c>
      <c r="E1007" t="inlineStr">
        <is>
          <t>RAGUNDA</t>
        </is>
      </c>
      <c r="F1007" t="inlineStr">
        <is>
          <t>Naturvårdsverket</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182-2023</t>
        </is>
      </c>
      <c r="B1008" s="1" t="n">
        <v>44922</v>
      </c>
      <c r="C1008" s="1" t="n">
        <v>45991</v>
      </c>
      <c r="D1008" t="inlineStr">
        <is>
          <t>JÄMTLANDS LÄN</t>
        </is>
      </c>
      <c r="E1008" t="inlineStr">
        <is>
          <t>RAGUNDA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6490-2022</t>
        </is>
      </c>
      <c r="B1009" s="1" t="n">
        <v>44601</v>
      </c>
      <c r="C1009" s="1" t="n">
        <v>45991</v>
      </c>
      <c r="D1009" t="inlineStr">
        <is>
          <t>JÄMTLANDS LÄN</t>
        </is>
      </c>
      <c r="E1009" t="inlineStr">
        <is>
          <t>RAGUNDA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6802-2021</t>
        </is>
      </c>
      <c r="B1010" s="1" t="n">
        <v>44236</v>
      </c>
      <c r="C1010" s="1" t="n">
        <v>45991</v>
      </c>
      <c r="D1010" t="inlineStr">
        <is>
          <t>JÄMTLANDS LÄN</t>
        </is>
      </c>
      <c r="E1010" t="inlineStr">
        <is>
          <t>RAGUNDA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6477-2024</t>
        </is>
      </c>
      <c r="B1011" s="1" t="n">
        <v>45338.95405092592</v>
      </c>
      <c r="C1011" s="1" t="n">
        <v>45991</v>
      </c>
      <c r="D1011" t="inlineStr">
        <is>
          <t>JÄMTLANDS LÄN</t>
        </is>
      </c>
      <c r="E1011" t="inlineStr">
        <is>
          <t>RAGUNDA</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18193-2022</t>
        </is>
      </c>
      <c r="B1012" s="1" t="n">
        <v>44684.94032407407</v>
      </c>
      <c r="C1012" s="1" t="n">
        <v>45991</v>
      </c>
      <c r="D1012" t="inlineStr">
        <is>
          <t>JÄMTLANDS LÄN</t>
        </is>
      </c>
      <c r="E1012" t="inlineStr">
        <is>
          <t>RAGUNDA</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11551-2024</t>
        </is>
      </c>
      <c r="B1013" s="1" t="n">
        <v>45372.95762731481</v>
      </c>
      <c r="C1013" s="1" t="n">
        <v>45991</v>
      </c>
      <c r="D1013" t="inlineStr">
        <is>
          <t>JÄMTLANDS LÄN</t>
        </is>
      </c>
      <c r="E1013" t="inlineStr">
        <is>
          <t>RAGUNDA</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49647-2024</t>
        </is>
      </c>
      <c r="B1014" s="1" t="n">
        <v>45596.61533564814</v>
      </c>
      <c r="C1014" s="1" t="n">
        <v>45991</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53264-2024</t>
        </is>
      </c>
      <c r="B1015" s="1" t="n">
        <v>45614.34545138889</v>
      </c>
      <c r="C1015" s="1" t="n">
        <v>45991</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13389-2025</t>
        </is>
      </c>
      <c r="B1016" s="1" t="n">
        <v>45735.69842592593</v>
      </c>
      <c r="C1016" s="1" t="n">
        <v>45991</v>
      </c>
      <c r="D1016" t="inlineStr">
        <is>
          <t>JÄMTLANDS LÄN</t>
        </is>
      </c>
      <c r="E1016" t="inlineStr">
        <is>
          <t>RAGUNDA</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45631-2024</t>
        </is>
      </c>
      <c r="B1017" s="1" t="n">
        <v>45579.47052083333</v>
      </c>
      <c r="C1017" s="1" t="n">
        <v>45991</v>
      </c>
      <c r="D1017" t="inlineStr">
        <is>
          <t>JÄMTLANDS LÄN</t>
        </is>
      </c>
      <c r="E1017" t="inlineStr">
        <is>
          <t>RAGUNDA</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55701-2021</t>
        </is>
      </c>
      <c r="B1018" s="1" t="n">
        <v>44475</v>
      </c>
      <c r="C1018" s="1" t="n">
        <v>45991</v>
      </c>
      <c r="D1018" t="inlineStr">
        <is>
          <t>JÄMTLANDS LÄN</t>
        </is>
      </c>
      <c r="E1018" t="inlineStr">
        <is>
          <t>RAGUNDA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30484-2024</t>
        </is>
      </c>
      <c r="B1019" s="1" t="n">
        <v>45491</v>
      </c>
      <c r="C1019" s="1" t="n">
        <v>45991</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14513-2025</t>
        </is>
      </c>
      <c r="B1020" s="1" t="n">
        <v>45741.63675925926</v>
      </c>
      <c r="C1020" s="1" t="n">
        <v>45991</v>
      </c>
      <c r="D1020" t="inlineStr">
        <is>
          <t>JÄMTLANDS LÄN</t>
        </is>
      </c>
      <c r="E1020" t="inlineStr">
        <is>
          <t>RAGUNDA</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55904-2022</t>
        </is>
      </c>
      <c r="B1021" s="1" t="n">
        <v>44888</v>
      </c>
      <c r="C1021" s="1" t="n">
        <v>45991</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7281-2025</t>
        </is>
      </c>
      <c r="B1022" s="1" t="n">
        <v>45702.63572916666</v>
      </c>
      <c r="C1022" s="1" t="n">
        <v>45991</v>
      </c>
      <c r="D1022" t="inlineStr">
        <is>
          <t>JÄMTLANDS LÄN</t>
        </is>
      </c>
      <c r="E1022" t="inlineStr">
        <is>
          <t>RAGUNDA</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48192-2024</t>
        </is>
      </c>
      <c r="B1023" s="1" t="n">
        <v>45590</v>
      </c>
      <c r="C1023" s="1" t="n">
        <v>45991</v>
      </c>
      <c r="D1023" t="inlineStr">
        <is>
          <t>JÄMTLANDS LÄN</t>
        </is>
      </c>
      <c r="E1023" t="inlineStr">
        <is>
          <t>RAGUNDA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2599-2023</t>
        </is>
      </c>
      <c r="B1024" s="1" t="n">
        <v>44943.94802083333</v>
      </c>
      <c r="C1024" s="1" t="n">
        <v>45991</v>
      </c>
      <c r="D1024" t="inlineStr">
        <is>
          <t>JÄMTLANDS LÄN</t>
        </is>
      </c>
      <c r="E1024" t="inlineStr">
        <is>
          <t>RAGUNDA</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48249-2024</t>
        </is>
      </c>
      <c r="B1025" s="1" t="n">
        <v>45590.40675925926</v>
      </c>
      <c r="C1025" s="1" t="n">
        <v>45991</v>
      </c>
      <c r="D1025" t="inlineStr">
        <is>
          <t>JÄMTLANDS LÄN</t>
        </is>
      </c>
      <c r="E1025" t="inlineStr">
        <is>
          <t>RAGUNDA</t>
        </is>
      </c>
      <c r="F1025" t="inlineStr">
        <is>
          <t>SCA</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64265-2023</t>
        </is>
      </c>
      <c r="B1026" s="1" t="n">
        <v>45279.94572916667</v>
      </c>
      <c r="C1026" s="1" t="n">
        <v>45991</v>
      </c>
      <c r="D1026" t="inlineStr">
        <is>
          <t>JÄMTLANDS LÄN</t>
        </is>
      </c>
      <c r="E1026" t="inlineStr">
        <is>
          <t>RAGUNDA</t>
        </is>
      </c>
      <c r="F1026" t="inlineStr">
        <is>
          <t>SCA</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66706-2021</t>
        </is>
      </c>
      <c r="B1027" s="1" t="n">
        <v>44519.94440972222</v>
      </c>
      <c r="C1027" s="1" t="n">
        <v>45991</v>
      </c>
      <c r="D1027" t="inlineStr">
        <is>
          <t>JÄMTLANDS LÄN</t>
        </is>
      </c>
      <c r="E1027" t="inlineStr">
        <is>
          <t>RAGUNDA</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55222-2024</t>
        </is>
      </c>
      <c r="B1028" s="1" t="n">
        <v>45621.57395833333</v>
      </c>
      <c r="C1028" s="1" t="n">
        <v>45991</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46211-2024</t>
        </is>
      </c>
      <c r="B1029" s="1" t="n">
        <v>45581.55260416667</v>
      </c>
      <c r="C1029" s="1" t="n">
        <v>45991</v>
      </c>
      <c r="D1029" t="inlineStr">
        <is>
          <t>JÄMTLANDS LÄN</t>
        </is>
      </c>
      <c r="E1029" t="inlineStr">
        <is>
          <t>RAGUNDA</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31435-2022</t>
        </is>
      </c>
      <c r="B1030" s="1" t="n">
        <v>44774</v>
      </c>
      <c r="C1030" s="1" t="n">
        <v>45991</v>
      </c>
      <c r="D1030" t="inlineStr">
        <is>
          <t>JÄMTLANDS LÄN</t>
        </is>
      </c>
      <c r="E1030" t="inlineStr">
        <is>
          <t>RAGUNDA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39608-2024</t>
        </is>
      </c>
      <c r="B1031" s="1" t="n">
        <v>45552.39113425926</v>
      </c>
      <c r="C1031" s="1" t="n">
        <v>45991</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39626-2024</t>
        </is>
      </c>
      <c r="B1032" s="1" t="n">
        <v>45552.44096064815</v>
      </c>
      <c r="C1032" s="1" t="n">
        <v>45991</v>
      </c>
      <c r="D1032" t="inlineStr">
        <is>
          <t>JÄMTLANDS LÄN</t>
        </is>
      </c>
      <c r="E1032" t="inlineStr">
        <is>
          <t>RAGUNDA</t>
        </is>
      </c>
      <c r="G1032" t="n">
        <v>23.5</v>
      </c>
      <c r="H1032" t="n">
        <v>0</v>
      </c>
      <c r="I1032" t="n">
        <v>0</v>
      </c>
      <c r="J1032" t="n">
        <v>0</v>
      </c>
      <c r="K1032" t="n">
        <v>0</v>
      </c>
      <c r="L1032" t="n">
        <v>0</v>
      </c>
      <c r="M1032" t="n">
        <v>0</v>
      </c>
      <c r="N1032" t="n">
        <v>0</v>
      </c>
      <c r="O1032" t="n">
        <v>0</v>
      </c>
      <c r="P1032" t="n">
        <v>0</v>
      </c>
      <c r="Q1032" t="n">
        <v>0</v>
      </c>
      <c r="R1032" s="2" t="inlineStr"/>
    </row>
    <row r="1033" ht="15" customHeight="1">
      <c r="A1033" t="inlineStr">
        <is>
          <t>A 56984-2022</t>
        </is>
      </c>
      <c r="B1033" s="1" t="n">
        <v>44894.79018518519</v>
      </c>
      <c r="C1033" s="1" t="n">
        <v>45991</v>
      </c>
      <c r="D1033" t="inlineStr">
        <is>
          <t>JÄMTLANDS LÄN</t>
        </is>
      </c>
      <c r="E1033" t="inlineStr">
        <is>
          <t>RAGUNDA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13264-2025</t>
        </is>
      </c>
      <c r="B1034" s="1" t="n">
        <v>45735</v>
      </c>
      <c r="C1034" s="1" t="n">
        <v>45991</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5307-2025</t>
        </is>
      </c>
      <c r="B1035" s="1" t="n">
        <v>45692.48993055556</v>
      </c>
      <c r="C1035" s="1" t="n">
        <v>45991</v>
      </c>
      <c r="D1035" t="inlineStr">
        <is>
          <t>JÄMTLANDS LÄN</t>
        </is>
      </c>
      <c r="E1035" t="inlineStr">
        <is>
          <t>RAGUNDA</t>
        </is>
      </c>
      <c r="F1035" t="inlineStr">
        <is>
          <t>SCA</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38548-2024</t>
        </is>
      </c>
      <c r="B1036" s="1" t="n">
        <v>45546</v>
      </c>
      <c r="C1036" s="1" t="n">
        <v>45991</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2411-2023</t>
        </is>
      </c>
      <c r="B1037" s="1" t="n">
        <v>44942</v>
      </c>
      <c r="C1037" s="1" t="n">
        <v>45991</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13935-2024</t>
        </is>
      </c>
      <c r="B1038" s="1" t="n">
        <v>45391.95329861111</v>
      </c>
      <c r="C1038" s="1" t="n">
        <v>45991</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45991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58194-2022</t>
        </is>
      </c>
      <c r="B1040" s="1" t="n">
        <v>44900</v>
      </c>
      <c r="C1040" s="1" t="n">
        <v>45991</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24171-2021</t>
        </is>
      </c>
      <c r="B1041" s="1" t="n">
        <v>44336</v>
      </c>
      <c r="C1041" s="1" t="n">
        <v>45991</v>
      </c>
      <c r="D1041" t="inlineStr">
        <is>
          <t>JÄMTLANDS LÄN</t>
        </is>
      </c>
      <c r="E1041" t="inlineStr">
        <is>
          <t>RAGUNDA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58843-2024</t>
        </is>
      </c>
      <c r="B1042" s="1" t="n">
        <v>45636.38599537037</v>
      </c>
      <c r="C1042" s="1" t="n">
        <v>45991</v>
      </c>
      <c r="D1042" t="inlineStr">
        <is>
          <t>JÄMTLANDS LÄN</t>
        </is>
      </c>
      <c r="E1042" t="inlineStr">
        <is>
          <t>RAGUNDA</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53287-2022</t>
        </is>
      </c>
      <c r="B1043" s="1" t="n">
        <v>44876</v>
      </c>
      <c r="C1043" s="1" t="n">
        <v>45991</v>
      </c>
      <c r="D1043" t="inlineStr">
        <is>
          <t>JÄMTLANDS LÄN</t>
        </is>
      </c>
      <c r="E1043" t="inlineStr">
        <is>
          <t>RAGUNDA</t>
        </is>
      </c>
      <c r="F1043" t="inlineStr">
        <is>
          <t>SCA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16320-2025</t>
        </is>
      </c>
      <c r="B1044" s="1" t="n">
        <v>45751.34859953704</v>
      </c>
      <c r="C1044" s="1" t="n">
        <v>45991</v>
      </c>
      <c r="D1044" t="inlineStr">
        <is>
          <t>JÄMTLANDS LÄN</t>
        </is>
      </c>
      <c r="E1044" t="inlineStr">
        <is>
          <t>RAGUNDA</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16321-2025</t>
        </is>
      </c>
      <c r="B1045" s="1" t="n">
        <v>45751.34873842593</v>
      </c>
      <c r="C1045" s="1" t="n">
        <v>45991</v>
      </c>
      <c r="D1045" t="inlineStr">
        <is>
          <t>JÄMTLANDS LÄN</t>
        </is>
      </c>
      <c r="E1045" t="inlineStr">
        <is>
          <t>RAGUNDA</t>
        </is>
      </c>
      <c r="F1045" t="inlineStr">
        <is>
          <t>SCA</t>
        </is>
      </c>
      <c r="G1045" t="n">
        <v>63.3</v>
      </c>
      <c r="H1045" t="n">
        <v>0</v>
      </c>
      <c r="I1045" t="n">
        <v>0</v>
      </c>
      <c r="J1045" t="n">
        <v>0</v>
      </c>
      <c r="K1045" t="n">
        <v>0</v>
      </c>
      <c r="L1045" t="n">
        <v>0</v>
      </c>
      <c r="M1045" t="n">
        <v>0</v>
      </c>
      <c r="N1045" t="n">
        <v>0</v>
      </c>
      <c r="O1045" t="n">
        <v>0</v>
      </c>
      <c r="P1045" t="n">
        <v>0</v>
      </c>
      <c r="Q1045" t="n">
        <v>0</v>
      </c>
      <c r="R1045" s="2" t="inlineStr"/>
    </row>
    <row r="1046" ht="15" customHeight="1">
      <c r="A1046" t="inlineStr">
        <is>
          <t>A 14696-2022</t>
        </is>
      </c>
      <c r="B1046" s="1" t="n">
        <v>44655</v>
      </c>
      <c r="C1046" s="1" t="n">
        <v>45991</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55514-2024</t>
        </is>
      </c>
      <c r="B1047" s="1" t="n">
        <v>45622.46910879629</v>
      </c>
      <c r="C1047" s="1" t="n">
        <v>45991</v>
      </c>
      <c r="D1047" t="inlineStr">
        <is>
          <t>JÄMTLANDS LÄN</t>
        </is>
      </c>
      <c r="E1047" t="inlineStr">
        <is>
          <t>RAGUNDA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18375-2022</t>
        </is>
      </c>
      <c r="B1048" s="1" t="n">
        <v>44685</v>
      </c>
      <c r="C1048" s="1" t="n">
        <v>45991</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45991</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62011-2022</t>
        </is>
      </c>
      <c r="B1050" s="1" t="n">
        <v>44914</v>
      </c>
      <c r="C1050" s="1" t="n">
        <v>45991</v>
      </c>
      <c r="D1050" t="inlineStr">
        <is>
          <t>JÄMTLANDS LÄN</t>
        </is>
      </c>
      <c r="E1050" t="inlineStr">
        <is>
          <t>RAGUNDA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11557-2023</t>
        </is>
      </c>
      <c r="B1051" s="1" t="n">
        <v>44993.94950231481</v>
      </c>
      <c r="C1051" s="1" t="n">
        <v>45991</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11562-2023</t>
        </is>
      </c>
      <c r="B1052" s="1" t="n">
        <v>44993</v>
      </c>
      <c r="C1052" s="1" t="n">
        <v>45991</v>
      </c>
      <c r="D1052" t="inlineStr">
        <is>
          <t>JÄMTLANDS LÄN</t>
        </is>
      </c>
      <c r="E1052" t="inlineStr">
        <is>
          <t>RAGUNDA</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22131-2021</t>
        </is>
      </c>
      <c r="B1053" s="1" t="n">
        <v>44323</v>
      </c>
      <c r="C1053" s="1" t="n">
        <v>45991</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5971-2025</t>
        </is>
      </c>
      <c r="B1054" s="1" t="n">
        <v>45695.51070601852</v>
      </c>
      <c r="C1054" s="1" t="n">
        <v>45991</v>
      </c>
      <c r="D1054" t="inlineStr">
        <is>
          <t>JÄMTLANDS LÄN</t>
        </is>
      </c>
      <c r="E1054" t="inlineStr">
        <is>
          <t>RAGUNDA</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30563-2023</t>
        </is>
      </c>
      <c r="B1055" s="1" t="n">
        <v>45111.92793981481</v>
      </c>
      <c r="C1055" s="1" t="n">
        <v>45991</v>
      </c>
      <c r="D1055" t="inlineStr">
        <is>
          <t>JÄMTLANDS LÄN</t>
        </is>
      </c>
      <c r="E1055" t="inlineStr">
        <is>
          <t>RAGUNDA</t>
        </is>
      </c>
      <c r="F1055" t="inlineStr">
        <is>
          <t>Övriga Aktiebolag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36212-2023</t>
        </is>
      </c>
      <c r="B1056" s="1" t="n">
        <v>45149.95241898148</v>
      </c>
      <c r="C1056" s="1" t="n">
        <v>45991</v>
      </c>
      <c r="D1056" t="inlineStr">
        <is>
          <t>JÄMTLANDS LÄN</t>
        </is>
      </c>
      <c r="E1056" t="inlineStr">
        <is>
          <t>RAGUNDA</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12768-2022</t>
        </is>
      </c>
      <c r="B1057" s="1" t="n">
        <v>44641</v>
      </c>
      <c r="C1057" s="1" t="n">
        <v>45991</v>
      </c>
      <c r="D1057" t="inlineStr">
        <is>
          <t>JÄMTLANDS LÄN</t>
        </is>
      </c>
      <c r="E1057" t="inlineStr">
        <is>
          <t>RAGUNDA</t>
        </is>
      </c>
      <c r="F1057" t="inlineStr">
        <is>
          <t>SCA</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12773-2022</t>
        </is>
      </c>
      <c r="B1058" s="1" t="n">
        <v>44641</v>
      </c>
      <c r="C1058" s="1" t="n">
        <v>45991</v>
      </c>
      <c r="D1058" t="inlineStr">
        <is>
          <t>JÄMTLANDS LÄN</t>
        </is>
      </c>
      <c r="E1058" t="inlineStr">
        <is>
          <t>RAGUNDA</t>
        </is>
      </c>
      <c r="F1058" t="inlineStr">
        <is>
          <t>SCA</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5067-2024</t>
        </is>
      </c>
      <c r="B1059" s="1" t="n">
        <v>45329.95806712963</v>
      </c>
      <c r="C1059" s="1" t="n">
        <v>45991</v>
      </c>
      <c r="D1059" t="inlineStr">
        <is>
          <t>JÄMTLANDS LÄN</t>
        </is>
      </c>
      <c r="E1059" t="inlineStr">
        <is>
          <t>RAGUNDA</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14905-2022</t>
        </is>
      </c>
      <c r="B1060" s="1" t="n">
        <v>44656.94708333333</v>
      </c>
      <c r="C1060" s="1" t="n">
        <v>45991</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29766-2023</t>
        </is>
      </c>
      <c r="B1061" s="1" t="n">
        <v>45098</v>
      </c>
      <c r="C1061" s="1" t="n">
        <v>45991</v>
      </c>
      <c r="D1061" t="inlineStr">
        <is>
          <t>JÄMTLANDS LÄN</t>
        </is>
      </c>
      <c r="E1061" t="inlineStr">
        <is>
          <t>RAGUNDA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61107-2024</t>
        </is>
      </c>
      <c r="B1062" s="1" t="n">
        <v>45645.55665509259</v>
      </c>
      <c r="C1062" s="1" t="n">
        <v>45991</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23287-2024</t>
        </is>
      </c>
      <c r="B1063" s="1" t="n">
        <v>45453.42041666667</v>
      </c>
      <c r="C1063" s="1" t="n">
        <v>45991</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36922-2022</t>
        </is>
      </c>
      <c r="B1064" s="1" t="n">
        <v>44805.94592592592</v>
      </c>
      <c r="C1064" s="1" t="n">
        <v>45991</v>
      </c>
      <c r="D1064" t="inlineStr">
        <is>
          <t>JÄMTLANDS LÄN</t>
        </is>
      </c>
      <c r="E1064" t="inlineStr">
        <is>
          <t>RAGUNDA</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26347-2023</t>
        </is>
      </c>
      <c r="B1065" s="1" t="n">
        <v>45091</v>
      </c>
      <c r="C1065" s="1" t="n">
        <v>45991</v>
      </c>
      <c r="D1065" t="inlineStr">
        <is>
          <t>JÄMTLANDS LÄN</t>
        </is>
      </c>
      <c r="E1065" t="inlineStr">
        <is>
          <t>RAGUNDA</t>
        </is>
      </c>
      <c r="F1065" t="inlineStr">
        <is>
          <t>SCA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34483-2023</t>
        </is>
      </c>
      <c r="B1066" s="1" t="n">
        <v>45139.94681712963</v>
      </c>
      <c r="C1066" s="1" t="n">
        <v>45991</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22948-2024</t>
        </is>
      </c>
      <c r="B1067" s="1" t="n">
        <v>45448.94600694445</v>
      </c>
      <c r="C1067" s="1" t="n">
        <v>45991</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23304-2023</t>
        </is>
      </c>
      <c r="B1068" s="1" t="n">
        <v>45075.945</v>
      </c>
      <c r="C1068" s="1" t="n">
        <v>45991</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36226-2023</t>
        </is>
      </c>
      <c r="B1069" s="1" t="n">
        <v>45149.95372685185</v>
      </c>
      <c r="C1069" s="1" t="n">
        <v>45991</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18615-2024</t>
        </is>
      </c>
      <c r="B1070" s="1" t="n">
        <v>45425.96275462963</v>
      </c>
      <c r="C1070" s="1" t="n">
        <v>45991</v>
      </c>
      <c r="D1070" t="inlineStr">
        <is>
          <t>JÄMTLANDS LÄN</t>
        </is>
      </c>
      <c r="E1070" t="inlineStr">
        <is>
          <t>RAGUNDA</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40269-2022</t>
        </is>
      </c>
      <c r="B1071" s="1" t="n">
        <v>44820</v>
      </c>
      <c r="C1071" s="1" t="n">
        <v>45991</v>
      </c>
      <c r="D1071" t="inlineStr">
        <is>
          <t>JÄMTLANDS LÄN</t>
        </is>
      </c>
      <c r="E1071" t="inlineStr">
        <is>
          <t>RAGUNDA</t>
        </is>
      </c>
      <c r="F1071" t="inlineStr">
        <is>
          <t>SCA</t>
        </is>
      </c>
      <c r="G1071" t="n">
        <v>77.8</v>
      </c>
      <c r="H1071" t="n">
        <v>0</v>
      </c>
      <c r="I1071" t="n">
        <v>0</v>
      </c>
      <c r="J1071" t="n">
        <v>0</v>
      </c>
      <c r="K1071" t="n">
        <v>0</v>
      </c>
      <c r="L1071" t="n">
        <v>0</v>
      </c>
      <c r="M1071" t="n">
        <v>0</v>
      </c>
      <c r="N1071" t="n">
        <v>0</v>
      </c>
      <c r="O1071" t="n">
        <v>0</v>
      </c>
      <c r="P1071" t="n">
        <v>0</v>
      </c>
      <c r="Q1071" t="n">
        <v>0</v>
      </c>
      <c r="R1071" s="2" t="inlineStr"/>
    </row>
    <row r="1072" ht="15" customHeight="1">
      <c r="A1072" t="inlineStr">
        <is>
          <t>A 37242-2024</t>
        </is>
      </c>
      <c r="B1072" s="1" t="n">
        <v>45540.34428240741</v>
      </c>
      <c r="C1072" s="1" t="n">
        <v>45991</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45438-2022</t>
        </is>
      </c>
      <c r="B1073" s="1" t="n">
        <v>44844.95368055555</v>
      </c>
      <c r="C1073" s="1" t="n">
        <v>45991</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56191-2022</t>
        </is>
      </c>
      <c r="B1074" s="1" t="n">
        <v>44889.95015046297</v>
      </c>
      <c r="C1074" s="1" t="n">
        <v>45991</v>
      </c>
      <c r="D1074" t="inlineStr">
        <is>
          <t>JÄMTLANDS LÄN</t>
        </is>
      </c>
      <c r="E1074" t="inlineStr">
        <is>
          <t>RAGUNDA</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30823-2023</t>
        </is>
      </c>
      <c r="B1075" s="1" t="n">
        <v>45112</v>
      </c>
      <c r="C1075" s="1" t="n">
        <v>45991</v>
      </c>
      <c r="D1075" t="inlineStr">
        <is>
          <t>JÄMTLANDS LÄN</t>
        </is>
      </c>
      <c r="E1075" t="inlineStr">
        <is>
          <t>RAGUNDA</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43339-2024</t>
        </is>
      </c>
      <c r="B1076" s="1" t="n">
        <v>45568.51075231482</v>
      </c>
      <c r="C1076" s="1" t="n">
        <v>45991</v>
      </c>
      <c r="D1076" t="inlineStr">
        <is>
          <t>JÄMTLANDS LÄN</t>
        </is>
      </c>
      <c r="E1076" t="inlineStr">
        <is>
          <t>RAGUNDA</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43102-2023</t>
        </is>
      </c>
      <c r="B1077" s="1" t="n">
        <v>45182</v>
      </c>
      <c r="C1077" s="1" t="n">
        <v>45991</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9823-2025</t>
        </is>
      </c>
      <c r="B1078" s="1" t="n">
        <v>45716</v>
      </c>
      <c r="C1078" s="1" t="n">
        <v>45991</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45991</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53019-2023</t>
        </is>
      </c>
      <c r="B1080" s="1" t="n">
        <v>45222</v>
      </c>
      <c r="C1080" s="1" t="n">
        <v>45991</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45991</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59996-2023</t>
        </is>
      </c>
      <c r="B1082" s="1" t="n">
        <v>45257.92826388889</v>
      </c>
      <c r="C1082" s="1" t="n">
        <v>45991</v>
      </c>
      <c r="D1082" t="inlineStr">
        <is>
          <t>JÄMTLANDS LÄN</t>
        </is>
      </c>
      <c r="E1082" t="inlineStr">
        <is>
          <t>RAGUNDA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44980-2023</t>
        </is>
      </c>
      <c r="B1083" s="1" t="n">
        <v>45190</v>
      </c>
      <c r="C1083" s="1" t="n">
        <v>45991</v>
      </c>
      <c r="D1083" t="inlineStr">
        <is>
          <t>JÄMTLANDS LÄN</t>
        </is>
      </c>
      <c r="E1083" t="inlineStr">
        <is>
          <t>RAGUNDA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45009.0897337963</v>
      </c>
      <c r="C1084" s="1" t="n">
        <v>45991</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12805-2025</t>
        </is>
      </c>
      <c r="B1085" s="1" t="n">
        <v>45733.61497685185</v>
      </c>
      <c r="C1085" s="1" t="n">
        <v>45991</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12808-2025</t>
        </is>
      </c>
      <c r="B1086" s="1" t="n">
        <v>45733.61554398148</v>
      </c>
      <c r="C1086" s="1" t="n">
        <v>45991</v>
      </c>
      <c r="D1086" t="inlineStr">
        <is>
          <t>JÄMTLANDS LÄN</t>
        </is>
      </c>
      <c r="E1086" t="inlineStr">
        <is>
          <t>RAGUNDA</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4615-2023</t>
        </is>
      </c>
      <c r="B1087" s="1" t="n">
        <v>44956.93924768519</v>
      </c>
      <c r="C1087" s="1" t="n">
        <v>45991</v>
      </c>
      <c r="D1087" t="inlineStr">
        <is>
          <t>JÄMTLANDS LÄN</t>
        </is>
      </c>
      <c r="E1087" t="inlineStr">
        <is>
          <t>RAGUNDA</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5938-2025</t>
        </is>
      </c>
      <c r="B1088" s="1" t="n">
        <v>45695.45868055556</v>
      </c>
      <c r="C1088" s="1" t="n">
        <v>45991</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4125-2024</t>
        </is>
      </c>
      <c r="B1089" s="1" t="n">
        <v>45323</v>
      </c>
      <c r="C1089" s="1" t="n">
        <v>45991</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53549-2024</t>
        </is>
      </c>
      <c r="B1090" s="1" t="n">
        <v>45614.63869212963</v>
      </c>
      <c r="C1090" s="1" t="n">
        <v>45991</v>
      </c>
      <c r="D1090" t="inlineStr">
        <is>
          <t>JÄMTLANDS LÄN</t>
        </is>
      </c>
      <c r="E1090" t="inlineStr">
        <is>
          <t>RAGUNDA</t>
        </is>
      </c>
      <c r="F1090" t="inlineStr">
        <is>
          <t>Kyrkan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7284-2025</t>
        </is>
      </c>
      <c r="B1091" s="1" t="n">
        <v>45702.63604166666</v>
      </c>
      <c r="C1091" s="1" t="n">
        <v>45991</v>
      </c>
      <c r="D1091" t="inlineStr">
        <is>
          <t>JÄMTLANDS LÄN</t>
        </is>
      </c>
      <c r="E1091" t="inlineStr">
        <is>
          <t>RAGUNDA</t>
        </is>
      </c>
      <c r="F1091" t="inlineStr">
        <is>
          <t>SCA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31506-2024</t>
        </is>
      </c>
      <c r="B1092" s="1" t="n">
        <v>45505</v>
      </c>
      <c r="C1092" s="1" t="n">
        <v>45991</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19382-2025</t>
        </is>
      </c>
      <c r="B1093" s="1" t="n">
        <v>45769.65659722222</v>
      </c>
      <c r="C1093" s="1" t="n">
        <v>45991</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37479-2023</t>
        </is>
      </c>
      <c r="B1094" s="1" t="n">
        <v>45156</v>
      </c>
      <c r="C1094" s="1" t="n">
        <v>45991</v>
      </c>
      <c r="D1094" t="inlineStr">
        <is>
          <t>JÄMTLANDS LÄN</t>
        </is>
      </c>
      <c r="E1094" t="inlineStr">
        <is>
          <t>RAGUNDA</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5958-2021</t>
        </is>
      </c>
      <c r="B1095" s="1" t="n">
        <v>44231</v>
      </c>
      <c r="C1095" s="1" t="n">
        <v>45991</v>
      </c>
      <c r="D1095" t="inlineStr">
        <is>
          <t>JÄMTLANDS LÄN</t>
        </is>
      </c>
      <c r="E1095" t="inlineStr">
        <is>
          <t>RAGUNDA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4866-2025</t>
        </is>
      </c>
      <c r="B1096" s="1" t="n">
        <v>45688.67542824074</v>
      </c>
      <c r="C1096" s="1" t="n">
        <v>45991</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11780-2024</t>
        </is>
      </c>
      <c r="B1097" s="1" t="n">
        <v>45374</v>
      </c>
      <c r="C1097" s="1" t="n">
        <v>45991</v>
      </c>
      <c r="D1097" t="inlineStr">
        <is>
          <t>JÄMTLANDS LÄN</t>
        </is>
      </c>
      <c r="E1097" t="inlineStr">
        <is>
          <t>RAGUNDA</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11288-2022</t>
        </is>
      </c>
      <c r="B1098" s="1" t="n">
        <v>44629</v>
      </c>
      <c r="C1098" s="1" t="n">
        <v>45991</v>
      </c>
      <c r="D1098" t="inlineStr">
        <is>
          <t>JÄMTLANDS LÄN</t>
        </is>
      </c>
      <c r="E1098" t="inlineStr">
        <is>
          <t>RAGUNDA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45991</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66011-2021</t>
        </is>
      </c>
      <c r="B1100" s="1" t="n">
        <v>44517.58137731482</v>
      </c>
      <c r="C1100" s="1" t="n">
        <v>45991</v>
      </c>
      <c r="D1100" t="inlineStr">
        <is>
          <t>JÄMTLANDS LÄN</t>
        </is>
      </c>
      <c r="E1100" t="inlineStr">
        <is>
          <t>RAGUNDA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42509-2023</t>
        </is>
      </c>
      <c r="B1101" s="1" t="n">
        <v>45180</v>
      </c>
      <c r="C1101" s="1" t="n">
        <v>45991</v>
      </c>
      <c r="D1101" t="inlineStr">
        <is>
          <t>JÄMTLANDS LÄN</t>
        </is>
      </c>
      <c r="E1101" t="inlineStr">
        <is>
          <t>RAGUNDA</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33615-2023</t>
        </is>
      </c>
      <c r="B1102" s="1" t="n">
        <v>45119</v>
      </c>
      <c r="C1102" s="1" t="n">
        <v>45991</v>
      </c>
      <c r="D1102" t="inlineStr">
        <is>
          <t>JÄMTLANDS LÄN</t>
        </is>
      </c>
      <c r="E1102" t="inlineStr">
        <is>
          <t>RAGUNDA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42510-2023</t>
        </is>
      </c>
      <c r="B1103" s="1" t="n">
        <v>45180.95927083334</v>
      </c>
      <c r="C1103" s="1" t="n">
        <v>45991</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53860-2023</t>
        </is>
      </c>
      <c r="B1104" s="1" t="n">
        <v>45224</v>
      </c>
      <c r="C1104" s="1" t="n">
        <v>45991</v>
      </c>
      <c r="D1104" t="inlineStr">
        <is>
          <t>JÄMTLANDS LÄN</t>
        </is>
      </c>
      <c r="E1104" t="inlineStr">
        <is>
          <t>RAGUNDA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65898-2020</t>
        </is>
      </c>
      <c r="B1105" s="1" t="n">
        <v>44174</v>
      </c>
      <c r="C1105" s="1" t="n">
        <v>45991</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12039-2023</t>
        </is>
      </c>
      <c r="B1106" s="1" t="n">
        <v>44995.98341435185</v>
      </c>
      <c r="C1106" s="1" t="n">
        <v>45991</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26991-2023</t>
        </is>
      </c>
      <c r="B1107" s="1" t="n">
        <v>45093.92207175926</v>
      </c>
      <c r="C1107" s="1" t="n">
        <v>45991</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13302-2022</t>
        </is>
      </c>
      <c r="B1108" s="1" t="n">
        <v>44644</v>
      </c>
      <c r="C1108" s="1" t="n">
        <v>45991</v>
      </c>
      <c r="D1108" t="inlineStr">
        <is>
          <t>JÄMTLANDS LÄN</t>
        </is>
      </c>
      <c r="E1108" t="inlineStr">
        <is>
          <t>RAGUNDA</t>
        </is>
      </c>
      <c r="F1108" t="inlineStr">
        <is>
          <t>SCA</t>
        </is>
      </c>
      <c r="G1108" t="n">
        <v>35.6</v>
      </c>
      <c r="H1108" t="n">
        <v>0</v>
      </c>
      <c r="I1108" t="n">
        <v>0</v>
      </c>
      <c r="J1108" t="n">
        <v>0</v>
      </c>
      <c r="K1108" t="n">
        <v>0</v>
      </c>
      <c r="L1108" t="n">
        <v>0</v>
      </c>
      <c r="M1108" t="n">
        <v>0</v>
      </c>
      <c r="N1108" t="n">
        <v>0</v>
      </c>
      <c r="O1108" t="n">
        <v>0</v>
      </c>
      <c r="P1108" t="n">
        <v>0</v>
      </c>
      <c r="Q1108" t="n">
        <v>0</v>
      </c>
      <c r="R1108" s="2" t="inlineStr"/>
    </row>
    <row r="1109" ht="15" customHeight="1">
      <c r="A1109" t="inlineStr">
        <is>
          <t>A 26651-2024</t>
        </is>
      </c>
      <c r="B1109" s="1" t="n">
        <v>45469.94876157407</v>
      </c>
      <c r="C1109" s="1" t="n">
        <v>45991</v>
      </c>
      <c r="D1109" t="inlineStr">
        <is>
          <t>JÄMTLANDS LÄN</t>
        </is>
      </c>
      <c r="E1109" t="inlineStr">
        <is>
          <t>RAGUNDA</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40919-2024</t>
        </is>
      </c>
      <c r="B1110" s="1" t="n">
        <v>45558.63575231482</v>
      </c>
      <c r="C1110" s="1" t="n">
        <v>45991</v>
      </c>
      <c r="D1110" t="inlineStr">
        <is>
          <t>JÄMTLANDS LÄN</t>
        </is>
      </c>
      <c r="E1110" t="inlineStr">
        <is>
          <t>RAGUNDA</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3186-2025</t>
        </is>
      </c>
      <c r="B1111" s="1" t="n">
        <v>45679.40362268518</v>
      </c>
      <c r="C1111" s="1" t="n">
        <v>45991</v>
      </c>
      <c r="D1111" t="inlineStr">
        <is>
          <t>JÄMTLANDS LÄN</t>
        </is>
      </c>
      <c r="E1111" t="inlineStr">
        <is>
          <t>RAGUNDA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465-2023</t>
        </is>
      </c>
      <c r="B1112" s="1" t="n">
        <v>44929</v>
      </c>
      <c r="C1112" s="1" t="n">
        <v>45991</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45991</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10639-2024</t>
        </is>
      </c>
      <c r="B1114" s="1" t="n">
        <v>45367.67256944445</v>
      </c>
      <c r="C1114" s="1" t="n">
        <v>45991</v>
      </c>
      <c r="D1114" t="inlineStr">
        <is>
          <t>JÄMTLANDS LÄN</t>
        </is>
      </c>
      <c r="E1114" t="inlineStr">
        <is>
          <t>RAGUNDA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2751-2024</t>
        </is>
      </c>
      <c r="B1115" s="1" t="n">
        <v>45314</v>
      </c>
      <c r="C1115" s="1" t="n">
        <v>45991</v>
      </c>
      <c r="D1115" t="inlineStr">
        <is>
          <t>JÄMTLANDS LÄN</t>
        </is>
      </c>
      <c r="E1115" t="inlineStr">
        <is>
          <t>RAGUNDA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36317-2024</t>
        </is>
      </c>
      <c r="B1116" s="1" t="n">
        <v>45534.63537037037</v>
      </c>
      <c r="C1116" s="1" t="n">
        <v>45991</v>
      </c>
      <c r="D1116" t="inlineStr">
        <is>
          <t>JÄMTLANDS LÄN</t>
        </is>
      </c>
      <c r="E1116" t="inlineStr">
        <is>
          <t>RAGUNDA</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18614-2024</t>
        </is>
      </c>
      <c r="B1117" s="1" t="n">
        <v>45425.96263888889</v>
      </c>
      <c r="C1117" s="1" t="n">
        <v>45991</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8787-2022</t>
        </is>
      </c>
      <c r="B1118" s="1" t="n">
        <v>44614</v>
      </c>
      <c r="C1118" s="1" t="n">
        <v>45991</v>
      </c>
      <c r="D1118" t="inlineStr">
        <is>
          <t>JÄMTLANDS LÄN</t>
        </is>
      </c>
      <c r="E1118" t="inlineStr">
        <is>
          <t>RAGUNDA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5967-2021</t>
        </is>
      </c>
      <c r="B1119" s="1" t="n">
        <v>44231</v>
      </c>
      <c r="C1119" s="1" t="n">
        <v>45991</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50431-2024</t>
        </is>
      </c>
      <c r="B1120" s="1" t="n">
        <v>45601.40686342592</v>
      </c>
      <c r="C1120" s="1" t="n">
        <v>45991</v>
      </c>
      <c r="D1120" t="inlineStr">
        <is>
          <t>JÄMTLANDS LÄN</t>
        </is>
      </c>
      <c r="E1120" t="inlineStr">
        <is>
          <t>RAGUNDA</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60936-2024</t>
        </is>
      </c>
      <c r="B1121" s="1" t="n">
        <v>45645.36743055555</v>
      </c>
      <c r="C1121" s="1" t="n">
        <v>45991</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4212-2024</t>
        </is>
      </c>
      <c r="B1122" s="1" t="n">
        <v>45324</v>
      </c>
      <c r="C1122" s="1" t="n">
        <v>45991</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9262-2025</t>
        </is>
      </c>
      <c r="B1123" s="1" t="n">
        <v>45714.60649305556</v>
      </c>
      <c r="C1123" s="1" t="n">
        <v>45991</v>
      </c>
      <c r="D1123" t="inlineStr">
        <is>
          <t>JÄMTLANDS LÄN</t>
        </is>
      </c>
      <c r="E1123" t="inlineStr">
        <is>
          <t>RAGUNDA</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60012-2023</t>
        </is>
      </c>
      <c r="B1124" s="1" t="n">
        <v>45257</v>
      </c>
      <c r="C1124" s="1" t="n">
        <v>45991</v>
      </c>
      <c r="D1124" t="inlineStr">
        <is>
          <t>JÄMTLANDS LÄN</t>
        </is>
      </c>
      <c r="E1124" t="inlineStr">
        <is>
          <t>RAGUNDA</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53676-2022</t>
        </is>
      </c>
      <c r="B1125" s="1" t="n">
        <v>44879</v>
      </c>
      <c r="C1125" s="1" t="n">
        <v>45991</v>
      </c>
      <c r="D1125" t="inlineStr">
        <is>
          <t>JÄMTLANDS LÄN</t>
        </is>
      </c>
      <c r="E1125" t="inlineStr">
        <is>
          <t>RAGUNDA</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56504-2024</t>
        </is>
      </c>
      <c r="B1126" s="1" t="n">
        <v>45625.51068287037</v>
      </c>
      <c r="C1126" s="1" t="n">
        <v>45991</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934-2023</t>
        </is>
      </c>
      <c r="B1127" s="1" t="n">
        <v>44932.93927083333</v>
      </c>
      <c r="C1127" s="1" t="n">
        <v>45991</v>
      </c>
      <c r="D1127" t="inlineStr">
        <is>
          <t>JÄMTLANDS LÄN</t>
        </is>
      </c>
      <c r="E1127" t="inlineStr">
        <is>
          <t>RAGUNDA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36106-2022</t>
        </is>
      </c>
      <c r="B1128" s="1" t="n">
        <v>44802.94811342593</v>
      </c>
      <c r="C1128" s="1" t="n">
        <v>45991</v>
      </c>
      <c r="D1128" t="inlineStr">
        <is>
          <t>JÄMTLANDS LÄN</t>
        </is>
      </c>
      <c r="E1128" t="inlineStr">
        <is>
          <t>RAGUNDA</t>
        </is>
      </c>
      <c r="F1128" t="inlineStr">
        <is>
          <t>SCA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57839-2022</t>
        </is>
      </c>
      <c r="B1129" s="1" t="n">
        <v>44897</v>
      </c>
      <c r="C1129" s="1" t="n">
        <v>45991</v>
      </c>
      <c r="D1129" t="inlineStr">
        <is>
          <t>JÄMTLANDS LÄN</t>
        </is>
      </c>
      <c r="E1129" t="inlineStr">
        <is>
          <t>RAGUNDA</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41693-2023</t>
        </is>
      </c>
      <c r="B1130" s="1" t="n">
        <v>45176</v>
      </c>
      <c r="C1130" s="1" t="n">
        <v>45991</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53678-2022</t>
        </is>
      </c>
      <c r="B1131" s="1" t="n">
        <v>44879.95768518518</v>
      </c>
      <c r="C1131" s="1" t="n">
        <v>45991</v>
      </c>
      <c r="D1131" t="inlineStr">
        <is>
          <t>JÄMTLANDS LÄN</t>
        </is>
      </c>
      <c r="E1131" t="inlineStr">
        <is>
          <t>RAGUNDA</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45075.94506944445</v>
      </c>
      <c r="C1132" s="1" t="n">
        <v>45991</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18194-2025</t>
        </is>
      </c>
      <c r="B1133" s="1" t="n">
        <v>45761.67744212963</v>
      </c>
      <c r="C1133" s="1" t="n">
        <v>45991</v>
      </c>
      <c r="D1133" t="inlineStr">
        <is>
          <t>JÄMTLANDS LÄN</t>
        </is>
      </c>
      <c r="E1133" t="inlineStr">
        <is>
          <t>RAGUNDA</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18225-2024</t>
        </is>
      </c>
      <c r="B1134" s="1" t="n">
        <v>45420</v>
      </c>
      <c r="C1134" s="1" t="n">
        <v>45991</v>
      </c>
      <c r="D1134" t="inlineStr">
        <is>
          <t>JÄMTLANDS LÄN</t>
        </is>
      </c>
      <c r="E1134" t="inlineStr">
        <is>
          <t>RAGUNDA</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54764-2024</t>
        </is>
      </c>
      <c r="B1135" s="1" t="n">
        <v>45618.46921296296</v>
      </c>
      <c r="C1135" s="1" t="n">
        <v>45991</v>
      </c>
      <c r="D1135" t="inlineStr">
        <is>
          <t>JÄMTLANDS LÄN</t>
        </is>
      </c>
      <c r="E1135" t="inlineStr">
        <is>
          <t>RAGUNDA</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32904-2024</t>
        </is>
      </c>
      <c r="B1136" s="1" t="n">
        <v>45516.94732638889</v>
      </c>
      <c r="C1136" s="1" t="n">
        <v>45991</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12976-2025</t>
        </is>
      </c>
      <c r="B1137" s="1" t="n">
        <v>45734.45268518518</v>
      </c>
      <c r="C1137" s="1" t="n">
        <v>45991</v>
      </c>
      <c r="D1137" t="inlineStr">
        <is>
          <t>JÄMTLANDS LÄN</t>
        </is>
      </c>
      <c r="E1137" t="inlineStr">
        <is>
          <t>RAGUNDA</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59286-2023</t>
        </is>
      </c>
      <c r="B1138" s="1" t="n">
        <v>45253</v>
      </c>
      <c r="C1138" s="1" t="n">
        <v>45991</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15672-2021</t>
        </is>
      </c>
      <c r="B1139" s="1" t="n">
        <v>44286</v>
      </c>
      <c r="C1139" s="1" t="n">
        <v>45991</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6688-2024</t>
        </is>
      </c>
      <c r="B1140" s="1" t="n">
        <v>45341</v>
      </c>
      <c r="C1140" s="1" t="n">
        <v>45991</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50650-2023</t>
        </is>
      </c>
      <c r="B1141" s="1" t="n">
        <v>45210</v>
      </c>
      <c r="C1141" s="1" t="n">
        <v>45991</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41344-2024</t>
        </is>
      </c>
      <c r="B1142" s="1" t="n">
        <v>45559.67759259259</v>
      </c>
      <c r="C1142" s="1" t="n">
        <v>45991</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59670-2023</t>
        </is>
      </c>
      <c r="B1143" s="1" t="n">
        <v>45254.96516203704</v>
      </c>
      <c r="C1143" s="1" t="n">
        <v>45991</v>
      </c>
      <c r="D1143" t="inlineStr">
        <is>
          <t>JÄMTLANDS LÄN</t>
        </is>
      </c>
      <c r="E1143" t="inlineStr">
        <is>
          <t>RAGUNDA</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55508-2024</t>
        </is>
      </c>
      <c r="B1144" s="1" t="n">
        <v>45622.46200231482</v>
      </c>
      <c r="C1144" s="1" t="n">
        <v>45991</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59492-2024</t>
        </is>
      </c>
      <c r="B1145" s="1" t="n">
        <v>45638</v>
      </c>
      <c r="C1145" s="1" t="n">
        <v>45991</v>
      </c>
      <c r="D1145" t="inlineStr">
        <is>
          <t>JÄMTLANDS LÄN</t>
        </is>
      </c>
      <c r="E1145" t="inlineStr">
        <is>
          <t>RAGUNDA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20772-2024</t>
        </is>
      </c>
      <c r="B1146" s="1" t="n">
        <v>45436.94628472222</v>
      </c>
      <c r="C1146" s="1" t="n">
        <v>45991</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53757-2024</t>
        </is>
      </c>
      <c r="B1147" s="1" t="n">
        <v>45615.50034722222</v>
      </c>
      <c r="C1147" s="1" t="n">
        <v>45991</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6716-2025</t>
        </is>
      </c>
      <c r="B1148" s="1" t="n">
        <v>45700.57324074074</v>
      </c>
      <c r="C1148" s="1" t="n">
        <v>45991</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19866-2023</t>
        </is>
      </c>
      <c r="B1149" s="1" t="n">
        <v>45053.94313657407</v>
      </c>
      <c r="C1149" s="1" t="n">
        <v>45991</v>
      </c>
      <c r="D1149" t="inlineStr">
        <is>
          <t>JÄMTLANDS LÄN</t>
        </is>
      </c>
      <c r="E1149" t="inlineStr">
        <is>
          <t>RAGUNDA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21853-2024</t>
        </is>
      </c>
      <c r="B1150" s="1" t="n">
        <v>45442.96296296296</v>
      </c>
      <c r="C1150" s="1" t="n">
        <v>45991</v>
      </c>
      <c r="D1150" t="inlineStr">
        <is>
          <t>JÄMTLANDS LÄN</t>
        </is>
      </c>
      <c r="E1150" t="inlineStr">
        <is>
          <t>RAGUNDA</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8241-2024</t>
        </is>
      </c>
      <c r="B1151" s="1" t="n">
        <v>45351.98496527778</v>
      </c>
      <c r="C1151" s="1" t="n">
        <v>45991</v>
      </c>
      <c r="D1151" t="inlineStr">
        <is>
          <t>JÄMTLANDS LÄN</t>
        </is>
      </c>
      <c r="E1151" t="inlineStr">
        <is>
          <t>RAGUNDA</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40365-2024</t>
        </is>
      </c>
      <c r="B1152" s="1" t="n">
        <v>45555.38509259259</v>
      </c>
      <c r="C1152" s="1" t="n">
        <v>45991</v>
      </c>
      <c r="D1152" t="inlineStr">
        <is>
          <t>JÄMTLANDS LÄN</t>
        </is>
      </c>
      <c r="E1152" t="inlineStr">
        <is>
          <t>RAGUNDA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20770-2024</t>
        </is>
      </c>
      <c r="B1153" s="1" t="n">
        <v>45436.94613425926</v>
      </c>
      <c r="C1153" s="1" t="n">
        <v>45991</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7281-2024</t>
        </is>
      </c>
      <c r="B1154" s="1" t="n">
        <v>45344</v>
      </c>
      <c r="C1154" s="1" t="n">
        <v>45991</v>
      </c>
      <c r="D1154" t="inlineStr">
        <is>
          <t>JÄMTLANDS LÄN</t>
        </is>
      </c>
      <c r="E1154" t="inlineStr">
        <is>
          <t>RAGUNDA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7284-2024</t>
        </is>
      </c>
      <c r="B1155" s="1" t="n">
        <v>45344.92865740741</v>
      </c>
      <c r="C1155" s="1" t="n">
        <v>45991</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7285-2024</t>
        </is>
      </c>
      <c r="B1156" s="1" t="n">
        <v>45344.92873842592</v>
      </c>
      <c r="C1156" s="1" t="n">
        <v>45991</v>
      </c>
      <c r="D1156" t="inlineStr">
        <is>
          <t>JÄMTLANDS LÄN</t>
        </is>
      </c>
      <c r="E1156" t="inlineStr">
        <is>
          <t>RAGUNDA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53347-2023</t>
        </is>
      </c>
      <c r="B1157" s="1" t="n">
        <v>45223</v>
      </c>
      <c r="C1157" s="1" t="n">
        <v>45991</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60838-2023</t>
        </is>
      </c>
      <c r="B1158" s="1" t="n">
        <v>45260.92561342593</v>
      </c>
      <c r="C1158" s="1" t="n">
        <v>45991</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9548-2025</t>
        </is>
      </c>
      <c r="B1159" s="1" t="n">
        <v>45715.59405092592</v>
      </c>
      <c r="C1159" s="1" t="n">
        <v>45991</v>
      </c>
      <c r="D1159" t="inlineStr">
        <is>
          <t>JÄMTLANDS LÄN</t>
        </is>
      </c>
      <c r="E1159" t="inlineStr">
        <is>
          <t>RAGUNDA</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53989-2024</t>
        </is>
      </c>
      <c r="B1160" s="1" t="n">
        <v>45616.34479166667</v>
      </c>
      <c r="C1160" s="1" t="n">
        <v>45991</v>
      </c>
      <c r="D1160" t="inlineStr">
        <is>
          <t>JÄMTLANDS LÄN</t>
        </is>
      </c>
      <c r="E1160" t="inlineStr">
        <is>
          <t>RAGUNDA</t>
        </is>
      </c>
      <c r="F1160" t="inlineStr">
        <is>
          <t>SCA</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15581-2024</t>
        </is>
      </c>
      <c r="B1161" s="1" t="n">
        <v>45401</v>
      </c>
      <c r="C1161" s="1" t="n">
        <v>45991</v>
      </c>
      <c r="D1161" t="inlineStr">
        <is>
          <t>JÄMTLANDS LÄN</t>
        </is>
      </c>
      <c r="E1161" t="inlineStr">
        <is>
          <t>RAGUNDA</t>
        </is>
      </c>
      <c r="F1161" t="inlineStr">
        <is>
          <t>Kommuner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15611-2024</t>
        </is>
      </c>
      <c r="B1162" s="1" t="n">
        <v>45401</v>
      </c>
      <c r="C1162" s="1" t="n">
        <v>45991</v>
      </c>
      <c r="D1162" t="inlineStr">
        <is>
          <t>JÄMTLANDS LÄN</t>
        </is>
      </c>
      <c r="E1162" t="inlineStr">
        <is>
          <t>RAGUNDA</t>
        </is>
      </c>
      <c r="F1162" t="inlineStr">
        <is>
          <t>SCA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23528-2024</t>
        </is>
      </c>
      <c r="B1163" s="1" t="n">
        <v>45453.95016203704</v>
      </c>
      <c r="C1163" s="1" t="n">
        <v>45991</v>
      </c>
      <c r="D1163" t="inlineStr">
        <is>
          <t>JÄMTLANDS LÄN</t>
        </is>
      </c>
      <c r="E1163" t="inlineStr">
        <is>
          <t>RAGUNDA</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4594-2024</t>
        </is>
      </c>
      <c r="B1164" s="1" t="n">
        <v>45327.94459490741</v>
      </c>
      <c r="C1164" s="1" t="n">
        <v>45991</v>
      </c>
      <c r="D1164" t="inlineStr">
        <is>
          <t>JÄMTLANDS LÄN</t>
        </is>
      </c>
      <c r="E1164" t="inlineStr">
        <is>
          <t>RAGUNDA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30824-2023</t>
        </is>
      </c>
      <c r="B1165" s="1" t="n">
        <v>45112.94303240741</v>
      </c>
      <c r="C1165" s="1" t="n">
        <v>45991</v>
      </c>
      <c r="D1165" t="inlineStr">
        <is>
          <t>JÄMTLANDS LÄN</t>
        </is>
      </c>
      <c r="E1165" t="inlineStr">
        <is>
          <t>RAGUNDA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16635-2025</t>
        </is>
      </c>
      <c r="B1166" s="1" t="n">
        <v>45754</v>
      </c>
      <c r="C1166" s="1" t="n">
        <v>45991</v>
      </c>
      <c r="D1166" t="inlineStr">
        <is>
          <t>JÄMTLANDS LÄN</t>
        </is>
      </c>
      <c r="E1166" t="inlineStr">
        <is>
          <t>RAGUNDA</t>
        </is>
      </c>
      <c r="F1166" t="inlineStr">
        <is>
          <t>SCA</t>
        </is>
      </c>
      <c r="G1166" t="n">
        <v>55.4</v>
      </c>
      <c r="H1166" t="n">
        <v>0</v>
      </c>
      <c r="I1166" t="n">
        <v>0</v>
      </c>
      <c r="J1166" t="n">
        <v>0</v>
      </c>
      <c r="K1166" t="n">
        <v>0</v>
      </c>
      <c r="L1166" t="n">
        <v>0</v>
      </c>
      <c r="M1166" t="n">
        <v>0</v>
      </c>
      <c r="N1166" t="n">
        <v>0</v>
      </c>
      <c r="O1166" t="n">
        <v>0</v>
      </c>
      <c r="P1166" t="n">
        <v>0</v>
      </c>
      <c r="Q1166" t="n">
        <v>0</v>
      </c>
      <c r="R1166" s="2" t="inlineStr"/>
    </row>
    <row r="1167" ht="15" customHeight="1">
      <c r="A1167" t="inlineStr">
        <is>
          <t>A 4014-2022</t>
        </is>
      </c>
      <c r="B1167" s="1" t="n">
        <v>44587.92144675926</v>
      </c>
      <c r="C1167" s="1" t="n">
        <v>45991</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1554-2024</t>
        </is>
      </c>
      <c r="B1168" s="1" t="n">
        <v>45306</v>
      </c>
      <c r="C1168" s="1" t="n">
        <v>45991</v>
      </c>
      <c r="D1168" t="inlineStr">
        <is>
          <t>JÄMTLANDS LÄN</t>
        </is>
      </c>
      <c r="E1168" t="inlineStr">
        <is>
          <t>RAGUNDA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38782-2021</t>
        </is>
      </c>
      <c r="B1169" s="1" t="n">
        <v>44410</v>
      </c>
      <c r="C1169" s="1" t="n">
        <v>45991</v>
      </c>
      <c r="D1169" t="inlineStr">
        <is>
          <t>JÄMTLANDS LÄN</t>
        </is>
      </c>
      <c r="E1169" t="inlineStr">
        <is>
          <t>RAGUNDA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20728-2025</t>
        </is>
      </c>
      <c r="B1170" s="1" t="n">
        <v>45776.51130787037</v>
      </c>
      <c r="C1170" s="1" t="n">
        <v>45991</v>
      </c>
      <c r="D1170" t="inlineStr">
        <is>
          <t>JÄMTLANDS LÄN</t>
        </is>
      </c>
      <c r="E1170" t="inlineStr">
        <is>
          <t>RAGUNDA</t>
        </is>
      </c>
      <c r="F1170" t="inlineStr">
        <is>
          <t>Kommuner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20653-2025</t>
        </is>
      </c>
      <c r="B1171" s="1" t="n">
        <v>45776.40311342593</v>
      </c>
      <c r="C1171" s="1" t="n">
        <v>45991</v>
      </c>
      <c r="D1171" t="inlineStr">
        <is>
          <t>JÄMTLANDS LÄN</t>
        </is>
      </c>
      <c r="E1171" t="inlineStr">
        <is>
          <t>RAGUNDA</t>
        </is>
      </c>
      <c r="G1171" t="n">
        <v>10.8</v>
      </c>
      <c r="H1171" t="n">
        <v>0</v>
      </c>
      <c r="I1171" t="n">
        <v>0</v>
      </c>
      <c r="J1171" t="n">
        <v>0</v>
      </c>
      <c r="K1171" t="n">
        <v>0</v>
      </c>
      <c r="L1171" t="n">
        <v>0</v>
      </c>
      <c r="M1171" t="n">
        <v>0</v>
      </c>
      <c r="N1171" t="n">
        <v>0</v>
      </c>
      <c r="O1171" t="n">
        <v>0</v>
      </c>
      <c r="P1171" t="n">
        <v>0</v>
      </c>
      <c r="Q1171" t="n">
        <v>0</v>
      </c>
      <c r="R1171" s="2" t="inlineStr"/>
    </row>
    <row r="1172" ht="15" customHeight="1">
      <c r="A1172" t="inlineStr">
        <is>
          <t>A 20722-2025</t>
        </is>
      </c>
      <c r="B1172" s="1" t="n">
        <v>45776.50651620371</v>
      </c>
      <c r="C1172" s="1" t="n">
        <v>45991</v>
      </c>
      <c r="D1172" t="inlineStr">
        <is>
          <t>JÄMTLANDS LÄN</t>
        </is>
      </c>
      <c r="E1172" t="inlineStr">
        <is>
          <t>RAGUNDA</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20777-2025</t>
        </is>
      </c>
      <c r="B1173" s="1" t="n">
        <v>45776.59422453704</v>
      </c>
      <c r="C1173" s="1" t="n">
        <v>45991</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21150-2025</t>
        </is>
      </c>
      <c r="B1174" s="1" t="n">
        <v>45779.34417824074</v>
      </c>
      <c r="C1174" s="1" t="n">
        <v>45991</v>
      </c>
      <c r="D1174" t="inlineStr">
        <is>
          <t>JÄMTLANDS LÄN</t>
        </is>
      </c>
      <c r="E1174" t="inlineStr">
        <is>
          <t>RAGUNDA</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21214-2025</t>
        </is>
      </c>
      <c r="B1175" s="1" t="n">
        <v>45779.49025462963</v>
      </c>
      <c r="C1175" s="1" t="n">
        <v>45991</v>
      </c>
      <c r="D1175" t="inlineStr">
        <is>
          <t>JÄMTLANDS LÄN</t>
        </is>
      </c>
      <c r="E1175" t="inlineStr">
        <is>
          <t>RAGUNDA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22941-2024</t>
        </is>
      </c>
      <c r="B1176" s="1" t="n">
        <v>45448.94520833333</v>
      </c>
      <c r="C1176" s="1" t="n">
        <v>45991</v>
      </c>
      <c r="D1176" t="inlineStr">
        <is>
          <t>JÄMTLANDS LÄN</t>
        </is>
      </c>
      <c r="E1176" t="inlineStr">
        <is>
          <t>RAGUNDA</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21430-2025</t>
        </is>
      </c>
      <c r="B1177" s="1" t="n">
        <v>45782.51099537037</v>
      </c>
      <c r="C1177" s="1" t="n">
        <v>45991</v>
      </c>
      <c r="D1177" t="inlineStr">
        <is>
          <t>JÄMTLANDS LÄN</t>
        </is>
      </c>
      <c r="E1177" t="inlineStr">
        <is>
          <t>RAGUNDA</t>
        </is>
      </c>
      <c r="F1177" t="inlineStr">
        <is>
          <t>SCA</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44881-2023</t>
        </is>
      </c>
      <c r="B1178" s="1" t="n">
        <v>45187</v>
      </c>
      <c r="C1178" s="1" t="n">
        <v>45991</v>
      </c>
      <c r="D1178" t="inlineStr">
        <is>
          <t>JÄMTLANDS LÄN</t>
        </is>
      </c>
      <c r="E1178" t="inlineStr">
        <is>
          <t>RAGUNDA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21451-2025</t>
        </is>
      </c>
      <c r="B1179" s="1" t="n">
        <v>45782.55287037037</v>
      </c>
      <c r="C1179" s="1" t="n">
        <v>45991</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21432-2025</t>
        </is>
      </c>
      <c r="B1180" s="1" t="n">
        <v>45782.51109953703</v>
      </c>
      <c r="C1180" s="1" t="n">
        <v>45991</v>
      </c>
      <c r="D1180" t="inlineStr">
        <is>
          <t>JÄMTLANDS LÄN</t>
        </is>
      </c>
      <c r="E1180" t="inlineStr">
        <is>
          <t>RAGUNDA</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21331-2025</t>
        </is>
      </c>
      <c r="B1181" s="1" t="n">
        <v>45782.36494212963</v>
      </c>
      <c r="C1181" s="1" t="n">
        <v>45991</v>
      </c>
      <c r="D1181" t="inlineStr">
        <is>
          <t>JÄMTLANDS LÄN</t>
        </is>
      </c>
      <c r="E1181" t="inlineStr">
        <is>
          <t>RAGUNDA</t>
        </is>
      </c>
      <c r="F1181" t="inlineStr">
        <is>
          <t>SCA</t>
        </is>
      </c>
      <c r="G1181" t="n">
        <v>23.1</v>
      </c>
      <c r="H1181" t="n">
        <v>0</v>
      </c>
      <c r="I1181" t="n">
        <v>0</v>
      </c>
      <c r="J1181" t="n">
        <v>0</v>
      </c>
      <c r="K1181" t="n">
        <v>0</v>
      </c>
      <c r="L1181" t="n">
        <v>0</v>
      </c>
      <c r="M1181" t="n">
        <v>0</v>
      </c>
      <c r="N1181" t="n">
        <v>0</v>
      </c>
      <c r="O1181" t="n">
        <v>0</v>
      </c>
      <c r="P1181" t="n">
        <v>0</v>
      </c>
      <c r="Q1181" t="n">
        <v>0</v>
      </c>
      <c r="R1181" s="2" t="inlineStr"/>
      <c r="U1181">
        <f>HYPERLINK("https://klasma.github.io/Logging_2303/knärot/A 21331-2025 karta knärot.png", "A 21331-2025")</f>
        <v/>
      </c>
      <c r="V1181">
        <f>HYPERLINK("https://klasma.github.io/Logging_2303/klagomål/A 21331-2025 FSC-klagomål.docx", "A 21331-2025")</f>
        <v/>
      </c>
      <c r="W1181">
        <f>HYPERLINK("https://klasma.github.io/Logging_2303/klagomålsmail/A 21331-2025 FSC-klagomål mail.docx", "A 21331-2025")</f>
        <v/>
      </c>
      <c r="X1181">
        <f>HYPERLINK("https://klasma.github.io/Logging_2303/tillsyn/A 21331-2025 tillsynsbegäran.docx", "A 21331-2025")</f>
        <v/>
      </c>
      <c r="Y1181">
        <f>HYPERLINK("https://klasma.github.io/Logging_2303/tillsynsmail/A 21331-2025 tillsynsbegäran mail.docx", "A 21331-2025")</f>
        <v/>
      </c>
    </row>
    <row r="1182" ht="15" customHeight="1">
      <c r="A1182" t="inlineStr">
        <is>
          <t>A 21550-2025</t>
        </is>
      </c>
      <c r="B1182" s="1" t="n">
        <v>45782.67758101852</v>
      </c>
      <c r="C1182" s="1" t="n">
        <v>45991</v>
      </c>
      <c r="D1182" t="inlineStr">
        <is>
          <t>JÄMTLANDS LÄN</t>
        </is>
      </c>
      <c r="E1182" t="inlineStr">
        <is>
          <t>RAGUNDA</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57889-2024</t>
        </is>
      </c>
      <c r="B1183" s="1" t="n">
        <v>45631.46665509259</v>
      </c>
      <c r="C1183" s="1" t="n">
        <v>45991</v>
      </c>
      <c r="D1183" t="inlineStr">
        <is>
          <t>JÄMTLANDS LÄN</t>
        </is>
      </c>
      <c r="E1183" t="inlineStr">
        <is>
          <t>RAGUNDA</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60629-2023</t>
        </is>
      </c>
      <c r="B1184" s="1" t="n">
        <v>45259</v>
      </c>
      <c r="C1184" s="1" t="n">
        <v>45991</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22388-2025</t>
        </is>
      </c>
      <c r="B1185" s="1" t="n">
        <v>45786.51077546296</v>
      </c>
      <c r="C1185" s="1" t="n">
        <v>45991</v>
      </c>
      <c r="D1185" t="inlineStr">
        <is>
          <t>JÄMTLANDS LÄN</t>
        </is>
      </c>
      <c r="E1185" t="inlineStr">
        <is>
          <t>RAGUNDA</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22898-2025</t>
        </is>
      </c>
      <c r="B1186" s="1" t="n">
        <v>45790.40670138889</v>
      </c>
      <c r="C1186" s="1" t="n">
        <v>45991</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23253-2025</t>
        </is>
      </c>
      <c r="B1187" s="1" t="n">
        <v>45791.53238425926</v>
      </c>
      <c r="C1187" s="1" t="n">
        <v>45991</v>
      </c>
      <c r="D1187" t="inlineStr">
        <is>
          <t>JÄMTLANDS LÄN</t>
        </is>
      </c>
      <c r="E1187" t="inlineStr">
        <is>
          <t>RAGUNDA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23413-2025</t>
        </is>
      </c>
      <c r="B1188" s="1" t="n">
        <v>45792.34606481482</v>
      </c>
      <c r="C1188" s="1" t="n">
        <v>45991</v>
      </c>
      <c r="D1188" t="inlineStr">
        <is>
          <t>JÄMTLANDS LÄN</t>
        </is>
      </c>
      <c r="E1188" t="inlineStr">
        <is>
          <t>RAGUNDA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23586-2025</t>
        </is>
      </c>
      <c r="B1189" s="1" t="n">
        <v>45792.63584490741</v>
      </c>
      <c r="C1189" s="1" t="n">
        <v>45991</v>
      </c>
      <c r="D1189" t="inlineStr">
        <is>
          <t>JÄMTLANDS LÄN</t>
        </is>
      </c>
      <c r="E1189" t="inlineStr">
        <is>
          <t>RAGUNDA</t>
        </is>
      </c>
      <c r="F1189" t="inlineStr">
        <is>
          <t>SCA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23841-2025</t>
        </is>
      </c>
      <c r="B1190" s="1" t="n">
        <v>45793.61523148148</v>
      </c>
      <c r="C1190" s="1" t="n">
        <v>45991</v>
      </c>
      <c r="D1190" t="inlineStr">
        <is>
          <t>JÄMTLANDS LÄN</t>
        </is>
      </c>
      <c r="E1190" t="inlineStr">
        <is>
          <t>RAGUNDA</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23507-2025</t>
        </is>
      </c>
      <c r="B1191" s="1" t="n">
        <v>45792.49023148148</v>
      </c>
      <c r="C1191" s="1" t="n">
        <v>45991</v>
      </c>
      <c r="D1191" t="inlineStr">
        <is>
          <t>JÄMTLANDS LÄN</t>
        </is>
      </c>
      <c r="E1191" t="inlineStr">
        <is>
          <t>RAGUNDA</t>
        </is>
      </c>
      <c r="F1191" t="inlineStr">
        <is>
          <t>SCA</t>
        </is>
      </c>
      <c r="G1191" t="n">
        <v>16.4</v>
      </c>
      <c r="H1191" t="n">
        <v>0</v>
      </c>
      <c r="I1191" t="n">
        <v>0</v>
      </c>
      <c r="J1191" t="n">
        <v>0</v>
      </c>
      <c r="K1191" t="n">
        <v>0</v>
      </c>
      <c r="L1191" t="n">
        <v>0</v>
      </c>
      <c r="M1191" t="n">
        <v>0</v>
      </c>
      <c r="N1191" t="n">
        <v>0</v>
      </c>
      <c r="O1191" t="n">
        <v>0</v>
      </c>
      <c r="P1191" t="n">
        <v>0</v>
      </c>
      <c r="Q1191" t="n">
        <v>0</v>
      </c>
      <c r="R1191" s="2" t="inlineStr"/>
    </row>
    <row r="1192" ht="15" customHeight="1">
      <c r="A1192" t="inlineStr">
        <is>
          <t>A 23840-2025</t>
        </is>
      </c>
      <c r="B1192" s="1" t="n">
        <v>45793</v>
      </c>
      <c r="C1192" s="1" t="n">
        <v>45991</v>
      </c>
      <c r="D1192" t="inlineStr">
        <is>
          <t>JÄMTLANDS LÄN</t>
        </is>
      </c>
      <c r="E1192" t="inlineStr">
        <is>
          <t>RAGUNDA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23654-2025</t>
        </is>
      </c>
      <c r="B1193" s="1" t="n">
        <v>45792.71905092592</v>
      </c>
      <c r="C1193" s="1" t="n">
        <v>45991</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23405-2025</t>
        </is>
      </c>
      <c r="B1194" s="1" t="n">
        <v>45792.34527777778</v>
      </c>
      <c r="C1194" s="1" t="n">
        <v>45991</v>
      </c>
      <c r="D1194" t="inlineStr">
        <is>
          <t>JÄMTLANDS LÄN</t>
        </is>
      </c>
      <c r="E1194" t="inlineStr">
        <is>
          <t>RAGUNDA</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18284-2025</t>
        </is>
      </c>
      <c r="B1195" s="1" t="n">
        <v>45762.39876157408</v>
      </c>
      <c r="C1195" s="1" t="n">
        <v>45991</v>
      </c>
      <c r="D1195" t="inlineStr">
        <is>
          <t>JÄMTLANDS LÄN</t>
        </is>
      </c>
      <c r="E1195" t="inlineStr">
        <is>
          <t>RAGUNDA</t>
        </is>
      </c>
      <c r="G1195" t="n">
        <v>0.2</v>
      </c>
      <c r="H1195" t="n">
        <v>0</v>
      </c>
      <c r="I1195" t="n">
        <v>0</v>
      </c>
      <c r="J1195" t="n">
        <v>0</v>
      </c>
      <c r="K1195" t="n">
        <v>0</v>
      </c>
      <c r="L1195" t="n">
        <v>0</v>
      </c>
      <c r="M1195" t="n">
        <v>0</v>
      </c>
      <c r="N1195" t="n">
        <v>0</v>
      </c>
      <c r="O1195" t="n">
        <v>0</v>
      </c>
      <c r="P1195" t="n">
        <v>0</v>
      </c>
      <c r="Q1195" t="n">
        <v>0</v>
      </c>
      <c r="R1195" s="2" t="inlineStr"/>
      <c r="U1195">
        <f>HYPERLINK("https://klasma.github.io/Logging_2303/knärot/A 18284-2025 karta knärot.png", "A 18284-2025")</f>
        <v/>
      </c>
      <c r="V1195">
        <f>HYPERLINK("https://klasma.github.io/Logging_2303/klagomål/A 18284-2025 FSC-klagomål.docx", "A 18284-2025")</f>
        <v/>
      </c>
      <c r="W1195">
        <f>HYPERLINK("https://klasma.github.io/Logging_2303/klagomålsmail/A 18284-2025 FSC-klagomål mail.docx", "A 18284-2025")</f>
        <v/>
      </c>
      <c r="X1195">
        <f>HYPERLINK("https://klasma.github.io/Logging_2303/tillsyn/A 18284-2025 tillsynsbegäran.docx", "A 18284-2025")</f>
        <v/>
      </c>
      <c r="Y1195">
        <f>HYPERLINK("https://klasma.github.io/Logging_2303/tillsynsmail/A 18284-2025 tillsynsbegäran mail.docx", "A 18284-2025")</f>
        <v/>
      </c>
    </row>
    <row r="1196" ht="15" customHeight="1">
      <c r="A1196" t="inlineStr">
        <is>
          <t>A 19263-2025</t>
        </is>
      </c>
      <c r="B1196" s="1" t="n">
        <v>45769.51075231482</v>
      </c>
      <c r="C1196" s="1" t="n">
        <v>45991</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24158-2025</t>
        </is>
      </c>
      <c r="B1197" s="1" t="n">
        <v>45796</v>
      </c>
      <c r="C1197" s="1" t="n">
        <v>45991</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c r="U1197">
        <f>HYPERLINK("https://klasma.github.io/Logging_2303/knärot/A 24158-2025 karta knärot.png", "A 24158-2025")</f>
        <v/>
      </c>
      <c r="V1197">
        <f>HYPERLINK("https://klasma.github.io/Logging_2303/klagomål/A 24158-2025 FSC-klagomål.docx", "A 24158-2025")</f>
        <v/>
      </c>
      <c r="W1197">
        <f>HYPERLINK("https://klasma.github.io/Logging_2303/klagomålsmail/A 24158-2025 FSC-klagomål mail.docx", "A 24158-2025")</f>
        <v/>
      </c>
      <c r="X1197">
        <f>HYPERLINK("https://klasma.github.io/Logging_2303/tillsyn/A 24158-2025 tillsynsbegäran.docx", "A 24158-2025")</f>
        <v/>
      </c>
      <c r="Y1197">
        <f>HYPERLINK("https://klasma.github.io/Logging_2303/tillsynsmail/A 24158-2025 tillsynsbegäran mail.docx", "A 24158-2025")</f>
        <v/>
      </c>
    </row>
    <row r="1198">
      <c r="A1198" t="inlineStr">
        <is>
          <t>A 24161-2025</t>
        </is>
      </c>
      <c r="B1198" s="1" t="n">
        <v>45796</v>
      </c>
      <c r="C1198" s="1" t="n">
        <v>45991</v>
      </c>
      <c r="D1198" t="inlineStr">
        <is>
          <t>JÄMTLANDS LÄN</t>
        </is>
      </c>
      <c r="E1198" t="inlineStr">
        <is>
          <t>RAGUNDA</t>
        </is>
      </c>
      <c r="G1198" t="n">
        <v>2.4</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2025-11-30T10:23:44Z</dcterms:created>
  <dcterms:modified xmlns:dcterms="http://purl.org/dc/terms/" xmlns:xsi="http://www.w3.org/2001/XMLSchema-instance" xsi:type="dcterms:W3CDTF">2025-11-30T10:23:45Z</dcterms:modified>
</cp:coreProperties>
</file>