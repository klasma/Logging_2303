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45642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45642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45642</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45642</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45642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45642</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45642</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45642</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45642</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45642</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45642</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45642</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45642</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45642</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45642</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45642</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45642</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45642</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45642</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45642</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45642</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45642</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45642</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45642</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45642</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45642</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45642</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45642</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45642</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45642</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45642</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45642</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45642</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45642</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45642</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45642</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45642</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45642</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45642</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45642</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45642</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45642</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45642</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45642</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45642</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45642</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45642</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45642</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45642</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45642</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45642</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45642</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45642</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45642</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45642</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45642</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45642</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45642</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45642</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45642</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45642</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45642</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45642</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45642</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45642</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45642</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45642</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45642</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45642</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45642</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45642</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45642</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45642</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45642</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45642</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45642</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45642</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45642</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45642</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45642</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45642</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45642</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45642</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45642</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45642</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45642</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45642</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45642</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45642</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45642</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45642</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45642</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45642</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45642</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45642</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45642</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45642</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45642</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45642</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45642</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45642</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45642</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45642</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45642</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45642</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45642</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45642</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45642</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45642</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45642</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45642</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45642</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45642</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45642</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45642</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45642</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45642</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45642</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45642</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45642</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45642</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45642</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45642</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45642</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45642</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45642</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45642</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45642</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45642</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45642</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45642</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45642</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45642</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45642</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45642</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45642</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45642</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45642</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45642</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45642</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45642</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45642</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45642</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45642</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45642</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45642</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45642</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45642</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45642</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45642</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45642</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45642</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45642</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45642</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45642</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45642</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45642</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45642</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45642</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45642</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45642</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45642</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45642</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45642</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45642</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45642</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45642</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45642</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45642</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45642</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45642</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45642</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45642</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45642</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45642</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45642</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45642</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45642</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45642</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45642</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45642</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45642</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45642</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45642</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45642</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45642</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45642</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20477-2020</t>
        </is>
      </c>
      <c r="B189" s="1" t="n">
        <v>43948</v>
      </c>
      <c r="C189" s="1" t="n">
        <v>45642</v>
      </c>
      <c r="D189" t="inlineStr">
        <is>
          <t>JÄMTLANDS LÄN</t>
        </is>
      </c>
      <c r="E189" t="inlineStr">
        <is>
          <t>RAGUNDA</t>
        </is>
      </c>
      <c r="G189" t="n">
        <v>33.6</v>
      </c>
      <c r="H189" t="n">
        <v>0</v>
      </c>
      <c r="I189" t="n">
        <v>1</v>
      </c>
      <c r="J189" t="n">
        <v>1</v>
      </c>
      <c r="K189" t="n">
        <v>0</v>
      </c>
      <c r="L189" t="n">
        <v>0</v>
      </c>
      <c r="M189" t="n">
        <v>0</v>
      </c>
      <c r="N189" t="n">
        <v>0</v>
      </c>
      <c r="O189" t="n">
        <v>1</v>
      </c>
      <c r="P189" t="n">
        <v>0</v>
      </c>
      <c r="Q189" t="n">
        <v>2</v>
      </c>
      <c r="R189" s="2" t="inlineStr">
        <is>
          <t>Lunglav
Luddlav</t>
        </is>
      </c>
      <c r="S189">
        <f>HYPERLINK("https://klasma.github.io/Logging_2303/artfynd/A 20477-2020 artfynd.xlsx", "A 20477-2020")</f>
        <v/>
      </c>
      <c r="T189">
        <f>HYPERLINK("https://klasma.github.io/Logging_2303/kartor/A 20477-2020 karta.png", "A 20477-2020")</f>
        <v/>
      </c>
      <c r="V189">
        <f>HYPERLINK("https://klasma.github.io/Logging_2303/klagomål/A 20477-2020 FSC-klagomål.docx", "A 20477-2020")</f>
        <v/>
      </c>
      <c r="W189">
        <f>HYPERLINK("https://klasma.github.io/Logging_2303/klagomålsmail/A 20477-2020 FSC-klagomål mail.docx", "A 20477-2020")</f>
        <v/>
      </c>
      <c r="X189">
        <f>HYPERLINK("https://klasma.github.io/Logging_2303/tillsyn/A 20477-2020 tillsynsbegäran.docx", "A 20477-2020")</f>
        <v/>
      </c>
      <c r="Y189">
        <f>HYPERLINK("https://klasma.github.io/Logging_2303/tillsynsmail/A 20477-2020 tillsynsbegäran mail.docx", "A 20477-2020")</f>
        <v/>
      </c>
    </row>
    <row r="190" ht="15" customHeight="1">
      <c r="A190" t="inlineStr">
        <is>
          <t>A 47164-2021</t>
        </is>
      </c>
      <c r="B190" s="1" t="n">
        <v>44447</v>
      </c>
      <c r="C190" s="1" t="n">
        <v>45642</v>
      </c>
      <c r="D190" t="inlineStr">
        <is>
          <t>JÄMTLANDS LÄN</t>
        </is>
      </c>
      <c r="E190" t="inlineStr">
        <is>
          <t>RAGUNDA</t>
        </is>
      </c>
      <c r="F190" t="inlineStr">
        <is>
          <t>SCA</t>
        </is>
      </c>
      <c r="G190" t="n">
        <v>8.5</v>
      </c>
      <c r="H190" t="n">
        <v>0</v>
      </c>
      <c r="I190" t="n">
        <v>0</v>
      </c>
      <c r="J190" t="n">
        <v>2</v>
      </c>
      <c r="K190" t="n">
        <v>0</v>
      </c>
      <c r="L190" t="n">
        <v>0</v>
      </c>
      <c r="M190" t="n">
        <v>0</v>
      </c>
      <c r="N190" t="n">
        <v>0</v>
      </c>
      <c r="O190" t="n">
        <v>2</v>
      </c>
      <c r="P190" t="n">
        <v>0</v>
      </c>
      <c r="Q190" t="n">
        <v>2</v>
      </c>
      <c r="R190" s="2" t="inlineStr">
        <is>
          <t>Lunglav
Mörk kolflarnlav</t>
        </is>
      </c>
      <c r="S190">
        <f>HYPERLINK("https://klasma.github.io/Logging_2303/artfynd/A 47164-2021 artfynd.xlsx", "A 47164-2021")</f>
        <v/>
      </c>
      <c r="T190">
        <f>HYPERLINK("https://klasma.github.io/Logging_2303/kartor/A 47164-2021 karta.png", "A 47164-2021")</f>
        <v/>
      </c>
      <c r="V190">
        <f>HYPERLINK("https://klasma.github.io/Logging_2303/klagomål/A 47164-2021 FSC-klagomål.docx", "A 47164-2021")</f>
        <v/>
      </c>
      <c r="W190">
        <f>HYPERLINK("https://klasma.github.io/Logging_2303/klagomålsmail/A 47164-2021 FSC-klagomål mail.docx", "A 47164-2021")</f>
        <v/>
      </c>
      <c r="X190">
        <f>HYPERLINK("https://klasma.github.io/Logging_2303/tillsyn/A 47164-2021 tillsynsbegäran.docx", "A 47164-2021")</f>
        <v/>
      </c>
      <c r="Y190">
        <f>HYPERLINK("https://klasma.github.io/Logging_2303/tillsynsmail/A 47164-2021 tillsynsbegäran mail.docx", "A 47164-2021")</f>
        <v/>
      </c>
    </row>
    <row r="191" ht="15" customHeight="1">
      <c r="A191" t="inlineStr">
        <is>
          <t>A 17043-2022</t>
        </is>
      </c>
      <c r="B191" s="1" t="n">
        <v>44676</v>
      </c>
      <c r="C191" s="1" t="n">
        <v>45642</v>
      </c>
      <c r="D191" t="inlineStr">
        <is>
          <t>JÄMTLANDS LÄN</t>
        </is>
      </c>
      <c r="E191" t="inlineStr">
        <is>
          <t>RAGUNDA</t>
        </is>
      </c>
      <c r="F191" t="inlineStr">
        <is>
          <t>SCA</t>
        </is>
      </c>
      <c r="G191" t="n">
        <v>3</v>
      </c>
      <c r="H191" t="n">
        <v>0</v>
      </c>
      <c r="I191" t="n">
        <v>2</v>
      </c>
      <c r="J191" t="n">
        <v>0</v>
      </c>
      <c r="K191" t="n">
        <v>0</v>
      </c>
      <c r="L191" t="n">
        <v>0</v>
      </c>
      <c r="M191" t="n">
        <v>0</v>
      </c>
      <c r="N191" t="n">
        <v>0</v>
      </c>
      <c r="O191" t="n">
        <v>0</v>
      </c>
      <c r="P191" t="n">
        <v>0</v>
      </c>
      <c r="Q191" t="n">
        <v>2</v>
      </c>
      <c r="R191" s="2" t="inlineStr">
        <is>
          <t>Skinnlav
Vedticka</t>
        </is>
      </c>
      <c r="S191">
        <f>HYPERLINK("https://klasma.github.io/Logging_2303/artfynd/A 17043-2022 artfynd.xlsx", "A 17043-2022")</f>
        <v/>
      </c>
      <c r="T191">
        <f>HYPERLINK("https://klasma.github.io/Logging_2303/kartor/A 17043-2022 karta.png", "A 17043-2022")</f>
        <v/>
      </c>
      <c r="V191">
        <f>HYPERLINK("https://klasma.github.io/Logging_2303/klagomål/A 17043-2022 FSC-klagomål.docx", "A 17043-2022")</f>
        <v/>
      </c>
      <c r="W191">
        <f>HYPERLINK("https://klasma.github.io/Logging_2303/klagomålsmail/A 17043-2022 FSC-klagomål mail.docx", "A 17043-2022")</f>
        <v/>
      </c>
      <c r="X191">
        <f>HYPERLINK("https://klasma.github.io/Logging_2303/tillsyn/A 17043-2022 tillsynsbegäran.docx", "A 17043-2022")</f>
        <v/>
      </c>
      <c r="Y191">
        <f>HYPERLINK("https://klasma.github.io/Logging_2303/tillsynsmail/A 17043-2022 tillsynsbegäran mail.docx", "A 17043-2022")</f>
        <v/>
      </c>
    </row>
    <row r="192" ht="15" customHeight="1">
      <c r="A192" t="inlineStr">
        <is>
          <t>A 17733-2022</t>
        </is>
      </c>
      <c r="B192" s="1" t="n">
        <v>44680</v>
      </c>
      <c r="C192" s="1" t="n">
        <v>45642</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18552-2022</t>
        </is>
      </c>
      <c r="B193" s="1" t="n">
        <v>44687</v>
      </c>
      <c r="C193" s="1" t="n">
        <v>45642</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Granticka
Vedtrappmossa</t>
        </is>
      </c>
      <c r="S193">
        <f>HYPERLINK("https://klasma.github.io/Logging_2303/artfynd/A 18552-2022 artfynd.xlsx", "A 18552-2022")</f>
        <v/>
      </c>
      <c r="T193">
        <f>HYPERLINK("https://klasma.github.io/Logging_2303/kartor/A 18552-2022 karta.png", "A 18552-2022")</f>
        <v/>
      </c>
      <c r="V193">
        <f>HYPERLINK("https://klasma.github.io/Logging_2303/klagomål/A 18552-2022 FSC-klagomål.docx", "A 18552-2022")</f>
        <v/>
      </c>
      <c r="W193">
        <f>HYPERLINK("https://klasma.github.io/Logging_2303/klagomålsmail/A 18552-2022 FSC-klagomål mail.docx", "A 18552-2022")</f>
        <v/>
      </c>
      <c r="X193">
        <f>HYPERLINK("https://klasma.github.io/Logging_2303/tillsyn/A 18552-2022 tillsynsbegäran.docx", "A 18552-2022")</f>
        <v/>
      </c>
      <c r="Y193">
        <f>HYPERLINK("https://klasma.github.io/Logging_2303/tillsynsmail/A 18552-2022 tillsynsbegäran mail.docx", "A 18552-2022")</f>
        <v/>
      </c>
    </row>
    <row r="194" ht="15" customHeight="1">
      <c r="A194" t="inlineStr">
        <is>
          <t>A 41490-2022</t>
        </is>
      </c>
      <c r="B194" s="1" t="n">
        <v>44827</v>
      </c>
      <c r="C194" s="1" t="n">
        <v>45642</v>
      </c>
      <c r="D194" t="inlineStr">
        <is>
          <t>JÄMTLANDS LÄN</t>
        </is>
      </c>
      <c r="E194" t="inlineStr">
        <is>
          <t>RAGUNDA</t>
        </is>
      </c>
      <c r="F194" t="inlineStr">
        <is>
          <t>SCA</t>
        </is>
      </c>
      <c r="G194" t="n">
        <v>2.7</v>
      </c>
      <c r="H194" t="n">
        <v>0</v>
      </c>
      <c r="I194" t="n">
        <v>1</v>
      </c>
      <c r="J194" t="n">
        <v>1</v>
      </c>
      <c r="K194" t="n">
        <v>0</v>
      </c>
      <c r="L194" t="n">
        <v>0</v>
      </c>
      <c r="M194" t="n">
        <v>0</v>
      </c>
      <c r="N194" t="n">
        <v>0</v>
      </c>
      <c r="O194" t="n">
        <v>1</v>
      </c>
      <c r="P194" t="n">
        <v>0</v>
      </c>
      <c r="Q194" t="n">
        <v>2</v>
      </c>
      <c r="R194" s="2" t="inlineStr">
        <is>
          <t>Lunglav
Skinnlav</t>
        </is>
      </c>
      <c r="S194">
        <f>HYPERLINK("https://klasma.github.io/Logging_2303/artfynd/A 41490-2022 artfynd.xlsx", "A 41490-2022")</f>
        <v/>
      </c>
      <c r="T194">
        <f>HYPERLINK("https://klasma.github.io/Logging_2303/kartor/A 41490-2022 karta.png", "A 41490-2022")</f>
        <v/>
      </c>
      <c r="V194">
        <f>HYPERLINK("https://klasma.github.io/Logging_2303/klagomål/A 41490-2022 FSC-klagomål.docx", "A 41490-2022")</f>
        <v/>
      </c>
      <c r="W194">
        <f>HYPERLINK("https://klasma.github.io/Logging_2303/klagomålsmail/A 41490-2022 FSC-klagomål mail.docx", "A 41490-2022")</f>
        <v/>
      </c>
      <c r="X194">
        <f>HYPERLINK("https://klasma.github.io/Logging_2303/tillsyn/A 41490-2022 tillsynsbegäran.docx", "A 41490-2022")</f>
        <v/>
      </c>
      <c r="Y194">
        <f>HYPERLINK("https://klasma.github.io/Logging_2303/tillsynsmail/A 41490-2022 tillsynsbegäran mail.docx", "A 41490-2022")</f>
        <v/>
      </c>
    </row>
    <row r="195" ht="15" customHeight="1">
      <c r="A195" t="inlineStr">
        <is>
          <t>A 47267-2022</t>
        </is>
      </c>
      <c r="B195" s="1" t="n">
        <v>44852</v>
      </c>
      <c r="C195" s="1" t="n">
        <v>45642</v>
      </c>
      <c r="D195" t="inlineStr">
        <is>
          <t>JÄMTLANDS LÄN</t>
        </is>
      </c>
      <c r="E195" t="inlineStr">
        <is>
          <t>RAGUNDA</t>
        </is>
      </c>
      <c r="F195" t="inlineStr">
        <is>
          <t>SCA</t>
        </is>
      </c>
      <c r="G195" t="n">
        <v>82.8</v>
      </c>
      <c r="H195" t="n">
        <v>0</v>
      </c>
      <c r="I195" t="n">
        <v>0</v>
      </c>
      <c r="J195" t="n">
        <v>2</v>
      </c>
      <c r="K195" t="n">
        <v>0</v>
      </c>
      <c r="L195" t="n">
        <v>0</v>
      </c>
      <c r="M195" t="n">
        <v>0</v>
      </c>
      <c r="N195" t="n">
        <v>0</v>
      </c>
      <c r="O195" t="n">
        <v>2</v>
      </c>
      <c r="P195" t="n">
        <v>0</v>
      </c>
      <c r="Q195" t="n">
        <v>2</v>
      </c>
      <c r="R195" s="2" t="inlineStr">
        <is>
          <t>Dvärgbägarlav
Garnlav</t>
        </is>
      </c>
      <c r="S195">
        <f>HYPERLINK("https://klasma.github.io/Logging_2303/artfynd/A 47267-2022 artfynd.xlsx", "A 47267-2022")</f>
        <v/>
      </c>
      <c r="T195">
        <f>HYPERLINK("https://klasma.github.io/Logging_2303/kartor/A 47267-2022 karta.png", "A 47267-2022")</f>
        <v/>
      </c>
      <c r="V195">
        <f>HYPERLINK("https://klasma.github.io/Logging_2303/klagomål/A 47267-2022 FSC-klagomål.docx", "A 47267-2022")</f>
        <v/>
      </c>
      <c r="W195">
        <f>HYPERLINK("https://klasma.github.io/Logging_2303/klagomålsmail/A 47267-2022 FSC-klagomål mail.docx", "A 47267-2022")</f>
        <v/>
      </c>
      <c r="X195">
        <f>HYPERLINK("https://klasma.github.io/Logging_2303/tillsyn/A 47267-2022 tillsynsbegäran.docx", "A 47267-2022")</f>
        <v/>
      </c>
      <c r="Y195">
        <f>HYPERLINK("https://klasma.github.io/Logging_2303/tillsynsmail/A 47267-2022 tillsynsbegäran mail.docx", "A 47267-2022")</f>
        <v/>
      </c>
    </row>
    <row r="196" ht="15" customHeight="1">
      <c r="A196" t="inlineStr">
        <is>
          <t>A 47583-2022</t>
        </is>
      </c>
      <c r="B196" s="1" t="n">
        <v>44854</v>
      </c>
      <c r="C196" s="1" t="n">
        <v>45642</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Garnlav
Lunglav</t>
        </is>
      </c>
      <c r="S196">
        <f>HYPERLINK("https://klasma.github.io/Logging_2303/artfynd/A 47583-2022 artfynd.xlsx", "A 47583-2022")</f>
        <v/>
      </c>
      <c r="T196">
        <f>HYPERLINK("https://klasma.github.io/Logging_2303/kartor/A 47583-2022 karta.png", "A 47583-2022")</f>
        <v/>
      </c>
      <c r="V196">
        <f>HYPERLINK("https://klasma.github.io/Logging_2303/klagomål/A 47583-2022 FSC-klagomål.docx", "A 47583-2022")</f>
        <v/>
      </c>
      <c r="W196">
        <f>HYPERLINK("https://klasma.github.io/Logging_2303/klagomålsmail/A 47583-2022 FSC-klagomål mail.docx", "A 47583-2022")</f>
        <v/>
      </c>
      <c r="X196">
        <f>HYPERLINK("https://klasma.github.io/Logging_2303/tillsyn/A 47583-2022 tillsynsbegäran.docx", "A 47583-2022")</f>
        <v/>
      </c>
      <c r="Y196">
        <f>HYPERLINK("https://klasma.github.io/Logging_2303/tillsynsmail/A 47583-2022 tillsynsbegäran mail.docx", "A 47583-2022")</f>
        <v/>
      </c>
    </row>
    <row r="197" ht="15" customHeight="1">
      <c r="A197" t="inlineStr">
        <is>
          <t>A 48059-2022</t>
        </is>
      </c>
      <c r="B197" s="1" t="n">
        <v>44855</v>
      </c>
      <c r="C197" s="1" t="n">
        <v>45642</v>
      </c>
      <c r="D197" t="inlineStr">
        <is>
          <t>JÄMTLANDS LÄN</t>
        </is>
      </c>
      <c r="E197" t="inlineStr">
        <is>
          <t>RAGUNDA</t>
        </is>
      </c>
      <c r="F197" t="inlineStr">
        <is>
          <t>SCA</t>
        </is>
      </c>
      <c r="G197" t="n">
        <v>3.2</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48059-2022 artfynd.xlsx", "A 48059-2022")</f>
        <v/>
      </c>
      <c r="T197">
        <f>HYPERLINK("https://klasma.github.io/Logging_2303/kartor/A 48059-2022 karta.png", "A 48059-2022")</f>
        <v/>
      </c>
      <c r="V197">
        <f>HYPERLINK("https://klasma.github.io/Logging_2303/klagomål/A 48059-2022 FSC-klagomål.docx", "A 48059-2022")</f>
        <v/>
      </c>
      <c r="W197">
        <f>HYPERLINK("https://klasma.github.io/Logging_2303/klagomålsmail/A 48059-2022 FSC-klagomål mail.docx", "A 48059-2022")</f>
        <v/>
      </c>
      <c r="X197">
        <f>HYPERLINK("https://klasma.github.io/Logging_2303/tillsyn/A 48059-2022 tillsynsbegäran.docx", "A 48059-2022")</f>
        <v/>
      </c>
      <c r="Y197">
        <f>HYPERLINK("https://klasma.github.io/Logging_2303/tillsynsmail/A 48059-2022 tillsynsbegäran mail.docx", "A 48059-2022")</f>
        <v/>
      </c>
    </row>
    <row r="198" ht="15" customHeight="1">
      <c r="A198" t="inlineStr">
        <is>
          <t>A 48084-2022</t>
        </is>
      </c>
      <c r="B198" s="1" t="n">
        <v>44855</v>
      </c>
      <c r="C198" s="1" t="n">
        <v>45642</v>
      </c>
      <c r="D198" t="inlineStr">
        <is>
          <t>JÄMTLANDS LÄN</t>
        </is>
      </c>
      <c r="E198" t="inlineStr">
        <is>
          <t>RAGUNDA</t>
        </is>
      </c>
      <c r="F198" t="inlineStr">
        <is>
          <t>SCA</t>
        </is>
      </c>
      <c r="G198" t="n">
        <v>4.7</v>
      </c>
      <c r="H198" t="n">
        <v>1</v>
      </c>
      <c r="I198" t="n">
        <v>0</v>
      </c>
      <c r="J198" t="n">
        <v>2</v>
      </c>
      <c r="K198" t="n">
        <v>0</v>
      </c>
      <c r="L198" t="n">
        <v>0</v>
      </c>
      <c r="M198" t="n">
        <v>0</v>
      </c>
      <c r="N198" t="n">
        <v>0</v>
      </c>
      <c r="O198" t="n">
        <v>2</v>
      </c>
      <c r="P198" t="n">
        <v>0</v>
      </c>
      <c r="Q198" t="n">
        <v>2</v>
      </c>
      <c r="R198" s="2" t="inlineStr">
        <is>
          <t>Rosenticka
Tretåig hackspett</t>
        </is>
      </c>
      <c r="S198">
        <f>HYPERLINK("https://klasma.github.io/Logging_2303/artfynd/A 48084-2022 artfynd.xlsx", "A 48084-2022")</f>
        <v/>
      </c>
      <c r="T198">
        <f>HYPERLINK("https://klasma.github.io/Logging_2303/kartor/A 48084-2022 karta.png", "A 48084-2022")</f>
        <v/>
      </c>
      <c r="V198">
        <f>HYPERLINK("https://klasma.github.io/Logging_2303/klagomål/A 48084-2022 FSC-klagomål.docx", "A 48084-2022")</f>
        <v/>
      </c>
      <c r="W198">
        <f>HYPERLINK("https://klasma.github.io/Logging_2303/klagomålsmail/A 48084-2022 FSC-klagomål mail.docx", "A 48084-2022")</f>
        <v/>
      </c>
      <c r="X198">
        <f>HYPERLINK("https://klasma.github.io/Logging_2303/tillsyn/A 48084-2022 tillsynsbegäran.docx", "A 48084-2022")</f>
        <v/>
      </c>
      <c r="Y198">
        <f>HYPERLINK("https://klasma.github.io/Logging_2303/tillsynsmail/A 48084-2022 tillsynsbegäran mail.docx", "A 48084-2022")</f>
        <v/>
      </c>
      <c r="Z198">
        <f>HYPERLINK("https://klasma.github.io/Logging_2303/fåglar/A 48084-2022 prioriterade fågelarter.docx", "A 48084-2022")</f>
        <v/>
      </c>
    </row>
    <row r="199" ht="15" customHeight="1">
      <c r="A199" t="inlineStr">
        <is>
          <t>A 49194-2022</t>
        </is>
      </c>
      <c r="B199" s="1" t="n">
        <v>44860</v>
      </c>
      <c r="C199" s="1" t="n">
        <v>45642</v>
      </c>
      <c r="D199" t="inlineStr">
        <is>
          <t>JÄMTLANDS LÄN</t>
        </is>
      </c>
      <c r="E199" t="inlineStr">
        <is>
          <t>RAGUNDA</t>
        </is>
      </c>
      <c r="F199" t="inlineStr">
        <is>
          <t>SCA</t>
        </is>
      </c>
      <c r="G199" t="n">
        <v>2</v>
      </c>
      <c r="H199" t="n">
        <v>1</v>
      </c>
      <c r="I199" t="n">
        <v>0</v>
      </c>
      <c r="J199" t="n">
        <v>1</v>
      </c>
      <c r="K199" t="n">
        <v>1</v>
      </c>
      <c r="L199" t="n">
        <v>0</v>
      </c>
      <c r="M199" t="n">
        <v>0</v>
      </c>
      <c r="N199" t="n">
        <v>0</v>
      </c>
      <c r="O199" t="n">
        <v>2</v>
      </c>
      <c r="P199" t="n">
        <v>1</v>
      </c>
      <c r="Q199" t="n">
        <v>2</v>
      </c>
      <c r="R199" s="2" t="inlineStr">
        <is>
          <t>Doftticka
Lunglav</t>
        </is>
      </c>
      <c r="S199">
        <f>HYPERLINK("https://klasma.github.io/Logging_2303/artfynd/A 49194-2022 artfynd.xlsx", "A 49194-2022")</f>
        <v/>
      </c>
      <c r="T199">
        <f>HYPERLINK("https://klasma.github.io/Logging_2303/kartor/A 49194-2022 karta.png", "A 49194-2022")</f>
        <v/>
      </c>
      <c r="V199">
        <f>HYPERLINK("https://klasma.github.io/Logging_2303/klagomål/A 49194-2022 FSC-klagomål.docx", "A 49194-2022")</f>
        <v/>
      </c>
      <c r="W199">
        <f>HYPERLINK("https://klasma.github.io/Logging_2303/klagomålsmail/A 49194-2022 FSC-klagomål mail.docx", "A 49194-2022")</f>
        <v/>
      </c>
      <c r="X199">
        <f>HYPERLINK("https://klasma.github.io/Logging_2303/tillsyn/A 49194-2022 tillsynsbegäran.docx", "A 49194-2022")</f>
        <v/>
      </c>
      <c r="Y199">
        <f>HYPERLINK("https://klasma.github.io/Logging_2303/tillsynsmail/A 49194-2022 tillsynsbegäran mail.docx", "A 49194-2022")</f>
        <v/>
      </c>
    </row>
    <row r="200" ht="15" customHeight="1">
      <c r="A200" t="inlineStr">
        <is>
          <t>A 8033-2023</t>
        </is>
      </c>
      <c r="B200" s="1" t="n">
        <v>44973</v>
      </c>
      <c r="C200" s="1" t="n">
        <v>45642</v>
      </c>
      <c r="D200" t="inlineStr">
        <is>
          <t>JÄMTLANDS LÄN</t>
        </is>
      </c>
      <c r="E200" t="inlineStr">
        <is>
          <t>RAGUNDA</t>
        </is>
      </c>
      <c r="F200" t="inlineStr">
        <is>
          <t>SCA</t>
        </is>
      </c>
      <c r="G200" t="n">
        <v>9.199999999999999</v>
      </c>
      <c r="H200" t="n">
        <v>0</v>
      </c>
      <c r="I200" t="n">
        <v>1</v>
      </c>
      <c r="J200" t="n">
        <v>1</v>
      </c>
      <c r="K200" t="n">
        <v>0</v>
      </c>
      <c r="L200" t="n">
        <v>0</v>
      </c>
      <c r="M200" t="n">
        <v>0</v>
      </c>
      <c r="N200" t="n">
        <v>0</v>
      </c>
      <c r="O200" t="n">
        <v>1</v>
      </c>
      <c r="P200" t="n">
        <v>0</v>
      </c>
      <c r="Q200" t="n">
        <v>2</v>
      </c>
      <c r="R200" s="2" t="inlineStr">
        <is>
          <t>Kolflarnlav
Grönpyrola</t>
        </is>
      </c>
      <c r="S200">
        <f>HYPERLINK("https://klasma.github.io/Logging_2303/artfynd/A 8033-2023 artfynd.xlsx", "A 8033-2023")</f>
        <v/>
      </c>
      <c r="T200">
        <f>HYPERLINK("https://klasma.github.io/Logging_2303/kartor/A 8033-2023 karta.png", "A 8033-2023")</f>
        <v/>
      </c>
      <c r="V200">
        <f>HYPERLINK("https://klasma.github.io/Logging_2303/klagomål/A 8033-2023 FSC-klagomål.docx", "A 8033-2023")</f>
        <v/>
      </c>
      <c r="W200">
        <f>HYPERLINK("https://klasma.github.io/Logging_2303/klagomålsmail/A 8033-2023 FSC-klagomål mail.docx", "A 8033-2023")</f>
        <v/>
      </c>
      <c r="X200">
        <f>HYPERLINK("https://klasma.github.io/Logging_2303/tillsyn/A 8033-2023 tillsynsbegäran.docx", "A 8033-2023")</f>
        <v/>
      </c>
      <c r="Y200">
        <f>HYPERLINK("https://klasma.github.io/Logging_2303/tillsynsmail/A 8033-2023 tillsynsbegäran mail.docx", "A 8033-2023")</f>
        <v/>
      </c>
    </row>
    <row r="201" ht="15" customHeight="1">
      <c r="A201" t="inlineStr">
        <is>
          <t>A 9340-2023</t>
        </is>
      </c>
      <c r="B201" s="1" t="n">
        <v>44980</v>
      </c>
      <c r="C201" s="1" t="n">
        <v>45642</v>
      </c>
      <c r="D201" t="inlineStr">
        <is>
          <t>JÄMTLANDS LÄN</t>
        </is>
      </c>
      <c r="E201" t="inlineStr">
        <is>
          <t>RAGUNDA</t>
        </is>
      </c>
      <c r="G201" t="n">
        <v>2.9</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9340-2023 artfynd.xlsx", "A 9340-2023")</f>
        <v/>
      </c>
      <c r="T201">
        <f>HYPERLINK("https://klasma.github.io/Logging_2303/kartor/A 9340-2023 karta.png", "A 9340-2023")</f>
        <v/>
      </c>
      <c r="V201">
        <f>HYPERLINK("https://klasma.github.io/Logging_2303/klagomål/A 9340-2023 FSC-klagomål.docx", "A 9340-2023")</f>
        <v/>
      </c>
      <c r="W201">
        <f>HYPERLINK("https://klasma.github.io/Logging_2303/klagomålsmail/A 9340-2023 FSC-klagomål mail.docx", "A 9340-2023")</f>
        <v/>
      </c>
      <c r="X201">
        <f>HYPERLINK("https://klasma.github.io/Logging_2303/tillsyn/A 9340-2023 tillsynsbegäran.docx", "A 9340-2023")</f>
        <v/>
      </c>
      <c r="Y201">
        <f>HYPERLINK("https://klasma.github.io/Logging_2303/tillsynsmail/A 9340-2023 tillsynsbegäran mail.docx", "A 9340-2023")</f>
        <v/>
      </c>
    </row>
    <row r="202" ht="15" customHeight="1">
      <c r="A202" t="inlineStr">
        <is>
          <t>A 11843-2023</t>
        </is>
      </c>
      <c r="B202" s="1" t="n">
        <v>44993</v>
      </c>
      <c r="C202" s="1" t="n">
        <v>45642</v>
      </c>
      <c r="D202" t="inlineStr">
        <is>
          <t>JÄMTLANDS LÄN</t>
        </is>
      </c>
      <c r="E202" t="inlineStr">
        <is>
          <t>RAGUNDA</t>
        </is>
      </c>
      <c r="G202" t="n">
        <v>6.4</v>
      </c>
      <c r="H202" t="n">
        <v>2</v>
      </c>
      <c r="I202" t="n">
        <v>0</v>
      </c>
      <c r="J202" t="n">
        <v>1</v>
      </c>
      <c r="K202" t="n">
        <v>0</v>
      </c>
      <c r="L202" t="n">
        <v>0</v>
      </c>
      <c r="M202" t="n">
        <v>0</v>
      </c>
      <c r="N202" t="n">
        <v>0</v>
      </c>
      <c r="O202" t="n">
        <v>1</v>
      </c>
      <c r="P202" t="n">
        <v>0</v>
      </c>
      <c r="Q202" t="n">
        <v>2</v>
      </c>
      <c r="R202" s="2" t="inlineStr">
        <is>
          <t>Spillkråka
Revlummer</t>
        </is>
      </c>
      <c r="S202">
        <f>HYPERLINK("https://klasma.github.io/Logging_2303/artfynd/A 11843-2023 artfynd.xlsx", "A 11843-2023")</f>
        <v/>
      </c>
      <c r="T202">
        <f>HYPERLINK("https://klasma.github.io/Logging_2303/kartor/A 11843-2023 karta.png", "A 11843-2023")</f>
        <v/>
      </c>
      <c r="V202">
        <f>HYPERLINK("https://klasma.github.io/Logging_2303/klagomål/A 11843-2023 FSC-klagomål.docx", "A 11843-2023")</f>
        <v/>
      </c>
      <c r="W202">
        <f>HYPERLINK("https://klasma.github.io/Logging_2303/klagomålsmail/A 11843-2023 FSC-klagomål mail.docx", "A 11843-2023")</f>
        <v/>
      </c>
      <c r="X202">
        <f>HYPERLINK("https://klasma.github.io/Logging_2303/tillsyn/A 11843-2023 tillsynsbegäran.docx", "A 11843-2023")</f>
        <v/>
      </c>
      <c r="Y202">
        <f>HYPERLINK("https://klasma.github.io/Logging_2303/tillsynsmail/A 11843-2023 tillsynsbegäran mail.docx", "A 11843-2023")</f>
        <v/>
      </c>
      <c r="Z202">
        <f>HYPERLINK("https://klasma.github.io/Logging_2303/fåglar/A 11843-2023 prioriterade fågelarter.docx", "A 11843-2023")</f>
        <v/>
      </c>
    </row>
    <row r="203" ht="15" customHeight="1">
      <c r="A203" t="inlineStr">
        <is>
          <t>A 13486-2023</t>
        </is>
      </c>
      <c r="B203" s="1" t="n">
        <v>45005</v>
      </c>
      <c r="C203" s="1" t="n">
        <v>45642</v>
      </c>
      <c r="D203" t="inlineStr">
        <is>
          <t>JÄMTLANDS LÄN</t>
        </is>
      </c>
      <c r="E203" t="inlineStr">
        <is>
          <t>RAGUNDA</t>
        </is>
      </c>
      <c r="F203" t="inlineStr">
        <is>
          <t>SCA</t>
        </is>
      </c>
      <c r="G203" t="n">
        <v>4</v>
      </c>
      <c r="H203" t="n">
        <v>0</v>
      </c>
      <c r="I203" t="n">
        <v>0</v>
      </c>
      <c r="J203" t="n">
        <v>2</v>
      </c>
      <c r="K203" t="n">
        <v>0</v>
      </c>
      <c r="L203" t="n">
        <v>0</v>
      </c>
      <c r="M203" t="n">
        <v>0</v>
      </c>
      <c r="N203" t="n">
        <v>0</v>
      </c>
      <c r="O203" t="n">
        <v>2</v>
      </c>
      <c r="P203" t="n">
        <v>0</v>
      </c>
      <c r="Q203" t="n">
        <v>2</v>
      </c>
      <c r="R203" s="2" t="inlineStr">
        <is>
          <t>Dvärgbägarlav
Lunglav</t>
        </is>
      </c>
      <c r="S203">
        <f>HYPERLINK("https://klasma.github.io/Logging_2303/artfynd/A 13486-2023 artfynd.xlsx", "A 13486-2023")</f>
        <v/>
      </c>
      <c r="T203">
        <f>HYPERLINK("https://klasma.github.io/Logging_2303/kartor/A 13486-2023 karta.png", "A 13486-2023")</f>
        <v/>
      </c>
      <c r="V203">
        <f>HYPERLINK("https://klasma.github.io/Logging_2303/klagomål/A 13486-2023 FSC-klagomål.docx", "A 13486-2023")</f>
        <v/>
      </c>
      <c r="W203">
        <f>HYPERLINK("https://klasma.github.io/Logging_2303/klagomålsmail/A 13486-2023 FSC-klagomål mail.docx", "A 13486-2023")</f>
        <v/>
      </c>
      <c r="X203">
        <f>HYPERLINK("https://klasma.github.io/Logging_2303/tillsyn/A 13486-2023 tillsynsbegäran.docx", "A 13486-2023")</f>
        <v/>
      </c>
      <c r="Y203">
        <f>HYPERLINK("https://klasma.github.io/Logging_2303/tillsynsmail/A 13486-2023 tillsynsbegäran mail.docx", "A 13486-2023")</f>
        <v/>
      </c>
    </row>
    <row r="204" ht="15" customHeight="1">
      <c r="A204" t="inlineStr">
        <is>
          <t>A 13899-2023</t>
        </is>
      </c>
      <c r="B204" s="1" t="n">
        <v>45008</v>
      </c>
      <c r="C204" s="1" t="n">
        <v>45642</v>
      </c>
      <c r="D204" t="inlineStr">
        <is>
          <t>JÄMTLANDS LÄN</t>
        </is>
      </c>
      <c r="E204" t="inlineStr">
        <is>
          <t>RAGUNDA</t>
        </is>
      </c>
      <c r="F204" t="inlineStr">
        <is>
          <t>SCA</t>
        </is>
      </c>
      <c r="G204" t="n">
        <v>3.6</v>
      </c>
      <c r="H204" t="n">
        <v>0</v>
      </c>
      <c r="I204" t="n">
        <v>1</v>
      </c>
      <c r="J204" t="n">
        <v>1</v>
      </c>
      <c r="K204" t="n">
        <v>0</v>
      </c>
      <c r="L204" t="n">
        <v>0</v>
      </c>
      <c r="M204" t="n">
        <v>0</v>
      </c>
      <c r="N204" t="n">
        <v>0</v>
      </c>
      <c r="O204" t="n">
        <v>1</v>
      </c>
      <c r="P204" t="n">
        <v>0</v>
      </c>
      <c r="Q204" t="n">
        <v>2</v>
      </c>
      <c r="R204" s="2" t="inlineStr">
        <is>
          <t>Garnlav
Källmossa</t>
        </is>
      </c>
      <c r="S204">
        <f>HYPERLINK("https://klasma.github.io/Logging_2303/artfynd/A 13899-2023 artfynd.xlsx", "A 13899-2023")</f>
        <v/>
      </c>
      <c r="T204">
        <f>HYPERLINK("https://klasma.github.io/Logging_2303/kartor/A 13899-2023 karta.png", "A 13899-2023")</f>
        <v/>
      </c>
      <c r="V204">
        <f>HYPERLINK("https://klasma.github.io/Logging_2303/klagomål/A 13899-2023 FSC-klagomål.docx", "A 13899-2023")</f>
        <v/>
      </c>
      <c r="W204">
        <f>HYPERLINK("https://klasma.github.io/Logging_2303/klagomålsmail/A 13899-2023 FSC-klagomål mail.docx", "A 13899-2023")</f>
        <v/>
      </c>
      <c r="X204">
        <f>HYPERLINK("https://klasma.github.io/Logging_2303/tillsyn/A 13899-2023 tillsynsbegäran.docx", "A 13899-2023")</f>
        <v/>
      </c>
      <c r="Y204">
        <f>HYPERLINK("https://klasma.github.io/Logging_2303/tillsynsmail/A 13899-2023 tillsynsbegäran mail.docx", "A 13899-2023")</f>
        <v/>
      </c>
    </row>
    <row r="205" ht="15" customHeight="1">
      <c r="A205" t="inlineStr">
        <is>
          <t>A 14075-2023</t>
        </is>
      </c>
      <c r="B205" s="1" t="n">
        <v>45009</v>
      </c>
      <c r="C205" s="1" t="n">
        <v>45642</v>
      </c>
      <c r="D205" t="inlineStr">
        <is>
          <t>JÄMTLANDS LÄN</t>
        </is>
      </c>
      <c r="E205" t="inlineStr">
        <is>
          <t>RAGUNDA</t>
        </is>
      </c>
      <c r="F205" t="inlineStr">
        <is>
          <t>SCA</t>
        </is>
      </c>
      <c r="G205" t="n">
        <v>9.5</v>
      </c>
      <c r="H205" t="n">
        <v>0</v>
      </c>
      <c r="I205" t="n">
        <v>0</v>
      </c>
      <c r="J205" t="n">
        <v>1</v>
      </c>
      <c r="K205" t="n">
        <v>1</v>
      </c>
      <c r="L205" t="n">
        <v>0</v>
      </c>
      <c r="M205" t="n">
        <v>0</v>
      </c>
      <c r="N205" t="n">
        <v>0</v>
      </c>
      <c r="O205" t="n">
        <v>2</v>
      </c>
      <c r="P205" t="n">
        <v>1</v>
      </c>
      <c r="Q205" t="n">
        <v>2</v>
      </c>
      <c r="R205" s="2" t="inlineStr">
        <is>
          <t>Gräddporing
Lunglav</t>
        </is>
      </c>
      <c r="S205">
        <f>HYPERLINK("https://klasma.github.io/Logging_2303/artfynd/A 14075-2023 artfynd.xlsx", "A 14075-2023")</f>
        <v/>
      </c>
      <c r="T205">
        <f>HYPERLINK("https://klasma.github.io/Logging_2303/kartor/A 14075-2023 karta.png", "A 14075-2023")</f>
        <v/>
      </c>
      <c r="V205">
        <f>HYPERLINK("https://klasma.github.io/Logging_2303/klagomål/A 14075-2023 FSC-klagomål.docx", "A 14075-2023")</f>
        <v/>
      </c>
      <c r="W205">
        <f>HYPERLINK("https://klasma.github.io/Logging_2303/klagomålsmail/A 14075-2023 FSC-klagomål mail.docx", "A 14075-2023")</f>
        <v/>
      </c>
      <c r="X205">
        <f>HYPERLINK("https://klasma.github.io/Logging_2303/tillsyn/A 14075-2023 tillsynsbegäran.docx", "A 14075-2023")</f>
        <v/>
      </c>
      <c r="Y205">
        <f>HYPERLINK("https://klasma.github.io/Logging_2303/tillsynsmail/A 14075-2023 tillsynsbegäran mail.docx", "A 14075-2023")</f>
        <v/>
      </c>
    </row>
    <row r="206" ht="15" customHeight="1">
      <c r="A206" t="inlineStr">
        <is>
          <t>A 22732-2023</t>
        </is>
      </c>
      <c r="B206" s="1" t="n">
        <v>45071</v>
      </c>
      <c r="C206" s="1" t="n">
        <v>45642</v>
      </c>
      <c r="D206" t="inlineStr">
        <is>
          <t>JÄMTLANDS LÄN</t>
        </is>
      </c>
      <c r="E206" t="inlineStr">
        <is>
          <t>RAGUNDA</t>
        </is>
      </c>
      <c r="G206" t="n">
        <v>3.8</v>
      </c>
      <c r="H206" t="n">
        <v>0</v>
      </c>
      <c r="I206" t="n">
        <v>1</v>
      </c>
      <c r="J206" t="n">
        <v>1</v>
      </c>
      <c r="K206" t="n">
        <v>0</v>
      </c>
      <c r="L206" t="n">
        <v>0</v>
      </c>
      <c r="M206" t="n">
        <v>0</v>
      </c>
      <c r="N206" t="n">
        <v>0</v>
      </c>
      <c r="O206" t="n">
        <v>1</v>
      </c>
      <c r="P206" t="n">
        <v>0</v>
      </c>
      <c r="Q206" t="n">
        <v>2</v>
      </c>
      <c r="R206" s="2" t="inlineStr">
        <is>
          <t>Lunglav
Stuplav</t>
        </is>
      </c>
      <c r="S206">
        <f>HYPERLINK("https://klasma.github.io/Logging_2303/artfynd/A 22732-2023 artfynd.xlsx", "A 22732-2023")</f>
        <v/>
      </c>
      <c r="T206">
        <f>HYPERLINK("https://klasma.github.io/Logging_2303/kartor/A 22732-2023 karta.png", "A 22732-2023")</f>
        <v/>
      </c>
      <c r="V206">
        <f>HYPERLINK("https://klasma.github.io/Logging_2303/klagomål/A 22732-2023 FSC-klagomål.docx", "A 22732-2023")</f>
        <v/>
      </c>
      <c r="W206">
        <f>HYPERLINK("https://klasma.github.io/Logging_2303/klagomålsmail/A 22732-2023 FSC-klagomål mail.docx", "A 22732-2023")</f>
        <v/>
      </c>
      <c r="X206">
        <f>HYPERLINK("https://klasma.github.io/Logging_2303/tillsyn/A 22732-2023 tillsynsbegäran.docx", "A 22732-2023")</f>
        <v/>
      </c>
      <c r="Y206">
        <f>HYPERLINK("https://klasma.github.io/Logging_2303/tillsynsmail/A 22732-2023 tillsynsbegäran mail.docx", "A 22732-2023")</f>
        <v/>
      </c>
    </row>
    <row r="207" ht="15" customHeight="1">
      <c r="A207" t="inlineStr">
        <is>
          <t>A 26482-2023</t>
        </is>
      </c>
      <c r="B207" s="1" t="n">
        <v>45089</v>
      </c>
      <c r="C207" s="1" t="n">
        <v>45642</v>
      </c>
      <c r="D207" t="inlineStr">
        <is>
          <t>JÄMTLANDS LÄN</t>
        </is>
      </c>
      <c r="E207" t="inlineStr">
        <is>
          <t>RAGUNDA</t>
        </is>
      </c>
      <c r="G207" t="n">
        <v>2</v>
      </c>
      <c r="H207" t="n">
        <v>1</v>
      </c>
      <c r="I207" t="n">
        <v>0</v>
      </c>
      <c r="J207" t="n">
        <v>2</v>
      </c>
      <c r="K207" t="n">
        <v>0</v>
      </c>
      <c r="L207" t="n">
        <v>0</v>
      </c>
      <c r="M207" t="n">
        <v>0</v>
      </c>
      <c r="N207" t="n">
        <v>0</v>
      </c>
      <c r="O207" t="n">
        <v>2</v>
      </c>
      <c r="P207" t="n">
        <v>0</v>
      </c>
      <c r="Q207" t="n">
        <v>2</v>
      </c>
      <c r="R207" s="2" t="inlineStr">
        <is>
          <t>Tretåig hackspett
Ullticka</t>
        </is>
      </c>
      <c r="S207">
        <f>HYPERLINK("https://klasma.github.io/Logging_2303/artfynd/A 26482-2023 artfynd.xlsx", "A 26482-2023")</f>
        <v/>
      </c>
      <c r="T207">
        <f>HYPERLINK("https://klasma.github.io/Logging_2303/kartor/A 26482-2023 karta.png", "A 26482-2023")</f>
        <v/>
      </c>
      <c r="V207">
        <f>HYPERLINK("https://klasma.github.io/Logging_2303/klagomål/A 26482-2023 FSC-klagomål.docx", "A 26482-2023")</f>
        <v/>
      </c>
      <c r="W207">
        <f>HYPERLINK("https://klasma.github.io/Logging_2303/klagomålsmail/A 26482-2023 FSC-klagomål mail.docx", "A 26482-2023")</f>
        <v/>
      </c>
      <c r="X207">
        <f>HYPERLINK("https://klasma.github.io/Logging_2303/tillsyn/A 26482-2023 tillsynsbegäran.docx", "A 26482-2023")</f>
        <v/>
      </c>
      <c r="Y207">
        <f>HYPERLINK("https://klasma.github.io/Logging_2303/tillsynsmail/A 26482-2023 tillsynsbegäran mail.docx", "A 26482-2023")</f>
        <v/>
      </c>
      <c r="Z207">
        <f>HYPERLINK("https://klasma.github.io/Logging_2303/fåglar/A 26482-2023 prioriterade fågelarter.docx", "A 26482-2023")</f>
        <v/>
      </c>
    </row>
    <row r="208" ht="15" customHeight="1">
      <c r="A208" t="inlineStr">
        <is>
          <t>A 32736-2023</t>
        </is>
      </c>
      <c r="B208" s="1" t="n">
        <v>45121</v>
      </c>
      <c r="C208" s="1" t="n">
        <v>45642</v>
      </c>
      <c r="D208" t="inlineStr">
        <is>
          <t>JÄMTLANDS LÄN</t>
        </is>
      </c>
      <c r="E208" t="inlineStr">
        <is>
          <t>RAGUNDA</t>
        </is>
      </c>
      <c r="F208" t="inlineStr">
        <is>
          <t>SCA</t>
        </is>
      </c>
      <c r="G208" t="n">
        <v>2.5</v>
      </c>
      <c r="H208" t="n">
        <v>0</v>
      </c>
      <c r="I208" t="n">
        <v>1</v>
      </c>
      <c r="J208" t="n">
        <v>1</v>
      </c>
      <c r="K208" t="n">
        <v>0</v>
      </c>
      <c r="L208" t="n">
        <v>0</v>
      </c>
      <c r="M208" t="n">
        <v>0</v>
      </c>
      <c r="N208" t="n">
        <v>0</v>
      </c>
      <c r="O208" t="n">
        <v>1</v>
      </c>
      <c r="P208" t="n">
        <v>0</v>
      </c>
      <c r="Q208" t="n">
        <v>2</v>
      </c>
      <c r="R208" s="2" t="inlineStr">
        <is>
          <t>Vedtrappmossa
Stor aspticka</t>
        </is>
      </c>
      <c r="S208">
        <f>HYPERLINK("https://klasma.github.io/Logging_2303/artfynd/A 32736-2023 artfynd.xlsx", "A 32736-2023")</f>
        <v/>
      </c>
      <c r="T208">
        <f>HYPERLINK("https://klasma.github.io/Logging_2303/kartor/A 32736-2023 karta.png", "A 32736-2023")</f>
        <v/>
      </c>
      <c r="V208">
        <f>HYPERLINK("https://klasma.github.io/Logging_2303/klagomål/A 32736-2023 FSC-klagomål.docx", "A 32736-2023")</f>
        <v/>
      </c>
      <c r="W208">
        <f>HYPERLINK("https://klasma.github.io/Logging_2303/klagomålsmail/A 32736-2023 FSC-klagomål mail.docx", "A 32736-2023")</f>
        <v/>
      </c>
      <c r="X208">
        <f>HYPERLINK("https://klasma.github.io/Logging_2303/tillsyn/A 32736-2023 tillsynsbegäran.docx", "A 32736-2023")</f>
        <v/>
      </c>
      <c r="Y208">
        <f>HYPERLINK("https://klasma.github.io/Logging_2303/tillsynsmail/A 32736-2023 tillsynsbegäran mail.docx", "A 32736-2023")</f>
        <v/>
      </c>
    </row>
    <row r="209" ht="15" customHeight="1">
      <c r="A209" t="inlineStr">
        <is>
          <t>A 37236-2023</t>
        </is>
      </c>
      <c r="B209" s="1" t="n">
        <v>45155</v>
      </c>
      <c r="C209" s="1" t="n">
        <v>45642</v>
      </c>
      <c r="D209" t="inlineStr">
        <is>
          <t>JÄMTLANDS LÄN</t>
        </is>
      </c>
      <c r="E209" t="inlineStr">
        <is>
          <t>RAGUNDA</t>
        </is>
      </c>
      <c r="F209" t="inlineStr">
        <is>
          <t>SCA</t>
        </is>
      </c>
      <c r="G209" t="n">
        <v>4.7</v>
      </c>
      <c r="H209" t="n">
        <v>0</v>
      </c>
      <c r="I209" t="n">
        <v>0</v>
      </c>
      <c r="J209" t="n">
        <v>2</v>
      </c>
      <c r="K209" t="n">
        <v>0</v>
      </c>
      <c r="L209" t="n">
        <v>0</v>
      </c>
      <c r="M209" t="n">
        <v>0</v>
      </c>
      <c r="N209" t="n">
        <v>0</v>
      </c>
      <c r="O209" t="n">
        <v>2</v>
      </c>
      <c r="P209" t="n">
        <v>0</v>
      </c>
      <c r="Q209" t="n">
        <v>2</v>
      </c>
      <c r="R209" s="2" t="inlineStr">
        <is>
          <t>Kolflarnlav
Lunglav</t>
        </is>
      </c>
      <c r="S209">
        <f>HYPERLINK("https://klasma.github.io/Logging_2303/artfynd/A 37236-2023 artfynd.xlsx", "A 37236-2023")</f>
        <v/>
      </c>
      <c r="T209">
        <f>HYPERLINK("https://klasma.github.io/Logging_2303/kartor/A 37236-2023 karta.png", "A 37236-2023")</f>
        <v/>
      </c>
      <c r="U209">
        <f>HYPERLINK("https://klasma.github.io/Logging_2303/knärot/A 37236-2023 karta knärot.png", "A 37236-2023")</f>
        <v/>
      </c>
      <c r="V209">
        <f>HYPERLINK("https://klasma.github.io/Logging_2303/klagomål/A 37236-2023 FSC-klagomål.docx", "A 37236-2023")</f>
        <v/>
      </c>
      <c r="W209">
        <f>HYPERLINK("https://klasma.github.io/Logging_2303/klagomålsmail/A 37236-2023 FSC-klagomål mail.docx", "A 37236-2023")</f>
        <v/>
      </c>
      <c r="X209">
        <f>HYPERLINK("https://klasma.github.io/Logging_2303/tillsyn/A 37236-2023 tillsynsbegäran.docx", "A 37236-2023")</f>
        <v/>
      </c>
      <c r="Y209">
        <f>HYPERLINK("https://klasma.github.io/Logging_2303/tillsynsmail/A 37236-2023 tillsynsbegäran mail.docx", "A 37236-2023")</f>
        <v/>
      </c>
    </row>
    <row r="210" ht="15" customHeight="1">
      <c r="A210" t="inlineStr">
        <is>
          <t>A 39818-2023</t>
        </is>
      </c>
      <c r="B210" s="1" t="n">
        <v>45167</v>
      </c>
      <c r="C210" s="1" t="n">
        <v>45642</v>
      </c>
      <c r="D210" t="inlineStr">
        <is>
          <t>JÄMTLANDS LÄN</t>
        </is>
      </c>
      <c r="E210" t="inlineStr">
        <is>
          <t>RAGUNDA</t>
        </is>
      </c>
      <c r="F210" t="inlineStr">
        <is>
          <t>SCA</t>
        </is>
      </c>
      <c r="G210" t="n">
        <v>13.6</v>
      </c>
      <c r="H210" t="n">
        <v>0</v>
      </c>
      <c r="I210" t="n">
        <v>0</v>
      </c>
      <c r="J210" t="n">
        <v>2</v>
      </c>
      <c r="K210" t="n">
        <v>0</v>
      </c>
      <c r="L210" t="n">
        <v>0</v>
      </c>
      <c r="M210" t="n">
        <v>0</v>
      </c>
      <c r="N210" t="n">
        <v>0</v>
      </c>
      <c r="O210" t="n">
        <v>2</v>
      </c>
      <c r="P210" t="n">
        <v>0</v>
      </c>
      <c r="Q210" t="n">
        <v>2</v>
      </c>
      <c r="R210" s="2" t="inlineStr">
        <is>
          <t>Lunglav
Ullticka</t>
        </is>
      </c>
      <c r="S210">
        <f>HYPERLINK("https://klasma.github.io/Logging_2303/artfynd/A 39818-2023 artfynd.xlsx", "A 39818-2023")</f>
        <v/>
      </c>
      <c r="T210">
        <f>HYPERLINK("https://klasma.github.io/Logging_2303/kartor/A 39818-2023 karta.png", "A 39818-2023")</f>
        <v/>
      </c>
      <c r="V210">
        <f>HYPERLINK("https://klasma.github.io/Logging_2303/klagomål/A 39818-2023 FSC-klagomål.docx", "A 39818-2023")</f>
        <v/>
      </c>
      <c r="W210">
        <f>HYPERLINK("https://klasma.github.io/Logging_2303/klagomålsmail/A 39818-2023 FSC-klagomål mail.docx", "A 39818-2023")</f>
        <v/>
      </c>
      <c r="X210">
        <f>HYPERLINK("https://klasma.github.io/Logging_2303/tillsyn/A 39818-2023 tillsynsbegäran.docx", "A 39818-2023")</f>
        <v/>
      </c>
      <c r="Y210">
        <f>HYPERLINK("https://klasma.github.io/Logging_2303/tillsynsmail/A 39818-2023 tillsynsbegäran mail.docx", "A 39818-2023")</f>
        <v/>
      </c>
    </row>
    <row r="211" ht="15" customHeight="1">
      <c r="A211" t="inlineStr">
        <is>
          <t>A 40826-2023</t>
        </is>
      </c>
      <c r="B211" s="1" t="n">
        <v>45171</v>
      </c>
      <c r="C211" s="1" t="n">
        <v>45642</v>
      </c>
      <c r="D211" t="inlineStr">
        <is>
          <t>JÄMTLANDS LÄN</t>
        </is>
      </c>
      <c r="E211" t="inlineStr">
        <is>
          <t>RAGUNDA</t>
        </is>
      </c>
      <c r="F211" t="inlineStr">
        <is>
          <t>SCA</t>
        </is>
      </c>
      <c r="G211" t="n">
        <v>4.5</v>
      </c>
      <c r="H211" t="n">
        <v>0</v>
      </c>
      <c r="I211" t="n">
        <v>1</v>
      </c>
      <c r="J211" t="n">
        <v>1</v>
      </c>
      <c r="K211" t="n">
        <v>0</v>
      </c>
      <c r="L211" t="n">
        <v>0</v>
      </c>
      <c r="M211" t="n">
        <v>0</v>
      </c>
      <c r="N211" t="n">
        <v>0</v>
      </c>
      <c r="O211" t="n">
        <v>1</v>
      </c>
      <c r="P211" t="n">
        <v>0</v>
      </c>
      <c r="Q211" t="n">
        <v>2</v>
      </c>
      <c r="R211" s="2" t="inlineStr">
        <is>
          <t>Lunglav
Stuplav</t>
        </is>
      </c>
      <c r="S211">
        <f>HYPERLINK("https://klasma.github.io/Logging_2303/artfynd/A 40826-2023 artfynd.xlsx", "A 40826-2023")</f>
        <v/>
      </c>
      <c r="T211">
        <f>HYPERLINK("https://klasma.github.io/Logging_2303/kartor/A 40826-2023 karta.png", "A 40826-2023")</f>
        <v/>
      </c>
      <c r="V211">
        <f>HYPERLINK("https://klasma.github.io/Logging_2303/klagomål/A 40826-2023 FSC-klagomål.docx", "A 40826-2023")</f>
        <v/>
      </c>
      <c r="W211">
        <f>HYPERLINK("https://klasma.github.io/Logging_2303/klagomålsmail/A 40826-2023 FSC-klagomål mail.docx", "A 40826-2023")</f>
        <v/>
      </c>
      <c r="X211">
        <f>HYPERLINK("https://klasma.github.io/Logging_2303/tillsyn/A 40826-2023 tillsynsbegäran.docx", "A 40826-2023")</f>
        <v/>
      </c>
      <c r="Y211">
        <f>HYPERLINK("https://klasma.github.io/Logging_2303/tillsynsmail/A 40826-2023 tillsynsbegäran mail.docx", "A 40826-2023")</f>
        <v/>
      </c>
    </row>
    <row r="212" ht="15" customHeight="1">
      <c r="A212" t="inlineStr">
        <is>
          <t>A 41407-2023</t>
        </is>
      </c>
      <c r="B212" s="1" t="n">
        <v>45174</v>
      </c>
      <c r="C212" s="1" t="n">
        <v>45642</v>
      </c>
      <c r="D212" t="inlineStr">
        <is>
          <t>JÄMTLANDS LÄN</t>
        </is>
      </c>
      <c r="E212" t="inlineStr">
        <is>
          <t>RAGUNDA</t>
        </is>
      </c>
      <c r="F212" t="inlineStr">
        <is>
          <t>SCA</t>
        </is>
      </c>
      <c r="G212" t="n">
        <v>1.4</v>
      </c>
      <c r="H212" t="n">
        <v>0</v>
      </c>
      <c r="I212" t="n">
        <v>0</v>
      </c>
      <c r="J212" t="n">
        <v>1</v>
      </c>
      <c r="K212" t="n">
        <v>1</v>
      </c>
      <c r="L212" t="n">
        <v>0</v>
      </c>
      <c r="M212" t="n">
        <v>0</v>
      </c>
      <c r="N212" t="n">
        <v>0</v>
      </c>
      <c r="O212" t="n">
        <v>2</v>
      </c>
      <c r="P212" t="n">
        <v>1</v>
      </c>
      <c r="Q212" t="n">
        <v>2</v>
      </c>
      <c r="R212" s="2" t="inlineStr">
        <is>
          <t>Gräddporing
Dvärgbägarlav</t>
        </is>
      </c>
      <c r="S212">
        <f>HYPERLINK("https://klasma.github.io/Logging_2303/artfynd/A 41407-2023 artfynd.xlsx", "A 41407-2023")</f>
        <v/>
      </c>
      <c r="T212">
        <f>HYPERLINK("https://klasma.github.io/Logging_2303/kartor/A 41407-2023 karta.png", "A 41407-2023")</f>
        <v/>
      </c>
      <c r="V212">
        <f>HYPERLINK("https://klasma.github.io/Logging_2303/klagomål/A 41407-2023 FSC-klagomål.docx", "A 41407-2023")</f>
        <v/>
      </c>
      <c r="W212">
        <f>HYPERLINK("https://klasma.github.io/Logging_2303/klagomålsmail/A 41407-2023 FSC-klagomål mail.docx", "A 41407-2023")</f>
        <v/>
      </c>
      <c r="X212">
        <f>HYPERLINK("https://klasma.github.io/Logging_2303/tillsyn/A 41407-2023 tillsynsbegäran.docx", "A 41407-2023")</f>
        <v/>
      </c>
      <c r="Y212">
        <f>HYPERLINK("https://klasma.github.io/Logging_2303/tillsynsmail/A 41407-2023 tillsynsbegäran mail.docx", "A 41407-2023")</f>
        <v/>
      </c>
    </row>
    <row r="213" ht="15" customHeight="1">
      <c r="A213" t="inlineStr">
        <is>
          <t>A 43232-2023</t>
        </is>
      </c>
      <c r="B213" s="1" t="n">
        <v>45180</v>
      </c>
      <c r="C213" s="1" t="n">
        <v>45642</v>
      </c>
      <c r="D213" t="inlineStr">
        <is>
          <t>JÄMTLANDS LÄN</t>
        </is>
      </c>
      <c r="E213" t="inlineStr">
        <is>
          <t>RAGUNDA</t>
        </is>
      </c>
      <c r="G213" t="n">
        <v>7.9</v>
      </c>
      <c r="H213" t="n">
        <v>0</v>
      </c>
      <c r="I213" t="n">
        <v>0</v>
      </c>
      <c r="J213" t="n">
        <v>2</v>
      </c>
      <c r="K213" t="n">
        <v>0</v>
      </c>
      <c r="L213" t="n">
        <v>0</v>
      </c>
      <c r="M213" t="n">
        <v>0</v>
      </c>
      <c r="N213" t="n">
        <v>0</v>
      </c>
      <c r="O213" t="n">
        <v>2</v>
      </c>
      <c r="P213" t="n">
        <v>0</v>
      </c>
      <c r="Q213" t="n">
        <v>2</v>
      </c>
      <c r="R213" s="2" t="inlineStr">
        <is>
          <t>Garnlav
Ullticka</t>
        </is>
      </c>
      <c r="S213">
        <f>HYPERLINK("https://klasma.github.io/Logging_2303/artfynd/A 43232-2023 artfynd.xlsx", "A 43232-2023")</f>
        <v/>
      </c>
      <c r="T213">
        <f>HYPERLINK("https://klasma.github.io/Logging_2303/kartor/A 43232-2023 karta.png", "A 43232-2023")</f>
        <v/>
      </c>
      <c r="V213">
        <f>HYPERLINK("https://klasma.github.io/Logging_2303/klagomål/A 43232-2023 FSC-klagomål.docx", "A 43232-2023")</f>
        <v/>
      </c>
      <c r="W213">
        <f>HYPERLINK("https://klasma.github.io/Logging_2303/klagomålsmail/A 43232-2023 FSC-klagomål mail.docx", "A 43232-2023")</f>
        <v/>
      </c>
      <c r="X213">
        <f>HYPERLINK("https://klasma.github.io/Logging_2303/tillsyn/A 43232-2023 tillsynsbegäran.docx", "A 43232-2023")</f>
        <v/>
      </c>
      <c r="Y213">
        <f>HYPERLINK("https://klasma.github.io/Logging_2303/tillsynsmail/A 43232-2023 tillsynsbegäran mail.docx", "A 43232-2023")</f>
        <v/>
      </c>
    </row>
    <row r="214" ht="15" customHeight="1">
      <c r="A214" t="inlineStr">
        <is>
          <t>A 44409-2023</t>
        </is>
      </c>
      <c r="B214" s="1" t="n">
        <v>45188</v>
      </c>
      <c r="C214" s="1" t="n">
        <v>45642</v>
      </c>
      <c r="D214" t="inlineStr">
        <is>
          <t>JÄMTLANDS LÄN</t>
        </is>
      </c>
      <c r="E214" t="inlineStr">
        <is>
          <t>RAGUNDA</t>
        </is>
      </c>
      <c r="F214" t="inlineStr">
        <is>
          <t>SCA</t>
        </is>
      </c>
      <c r="G214" t="n">
        <v>2.5</v>
      </c>
      <c r="H214" t="n">
        <v>0</v>
      </c>
      <c r="I214" t="n">
        <v>1</v>
      </c>
      <c r="J214" t="n">
        <v>1</v>
      </c>
      <c r="K214" t="n">
        <v>0</v>
      </c>
      <c r="L214" t="n">
        <v>0</v>
      </c>
      <c r="M214" t="n">
        <v>0</v>
      </c>
      <c r="N214" t="n">
        <v>0</v>
      </c>
      <c r="O214" t="n">
        <v>1</v>
      </c>
      <c r="P214" t="n">
        <v>0</v>
      </c>
      <c r="Q214" t="n">
        <v>2</v>
      </c>
      <c r="R214" s="2" t="inlineStr">
        <is>
          <t>Garnlav
Norrlandslav</t>
        </is>
      </c>
      <c r="S214">
        <f>HYPERLINK("https://klasma.github.io/Logging_2303/artfynd/A 44409-2023 artfynd.xlsx", "A 44409-2023")</f>
        <v/>
      </c>
      <c r="T214">
        <f>HYPERLINK("https://klasma.github.io/Logging_2303/kartor/A 44409-2023 karta.png", "A 44409-2023")</f>
        <v/>
      </c>
      <c r="V214">
        <f>HYPERLINK("https://klasma.github.io/Logging_2303/klagomål/A 44409-2023 FSC-klagomål.docx", "A 44409-2023")</f>
        <v/>
      </c>
      <c r="W214">
        <f>HYPERLINK("https://klasma.github.io/Logging_2303/klagomålsmail/A 44409-2023 FSC-klagomål mail.docx", "A 44409-2023")</f>
        <v/>
      </c>
      <c r="X214">
        <f>HYPERLINK("https://klasma.github.io/Logging_2303/tillsyn/A 44409-2023 tillsynsbegäran.docx", "A 44409-2023")</f>
        <v/>
      </c>
      <c r="Y214">
        <f>HYPERLINK("https://klasma.github.io/Logging_2303/tillsynsmail/A 44409-2023 tillsynsbegäran mail.docx", "A 44409-2023")</f>
        <v/>
      </c>
    </row>
    <row r="215" ht="15" customHeight="1">
      <c r="A215" t="inlineStr">
        <is>
          <t>A 45021-2023</t>
        </is>
      </c>
      <c r="B215" s="1" t="n">
        <v>45190</v>
      </c>
      <c r="C215" s="1" t="n">
        <v>45642</v>
      </c>
      <c r="D215" t="inlineStr">
        <is>
          <t>JÄMTLANDS LÄN</t>
        </is>
      </c>
      <c r="E215" t="inlineStr">
        <is>
          <t>RAGUNDA</t>
        </is>
      </c>
      <c r="F215" t="inlineStr">
        <is>
          <t>SCA</t>
        </is>
      </c>
      <c r="G215" t="n">
        <v>1.6</v>
      </c>
      <c r="H215" t="n">
        <v>1</v>
      </c>
      <c r="I215" t="n">
        <v>0</v>
      </c>
      <c r="J215" t="n">
        <v>1</v>
      </c>
      <c r="K215" t="n">
        <v>0</v>
      </c>
      <c r="L215" t="n">
        <v>0</v>
      </c>
      <c r="M215" t="n">
        <v>0</v>
      </c>
      <c r="N215" t="n">
        <v>0</v>
      </c>
      <c r="O215" t="n">
        <v>1</v>
      </c>
      <c r="P215" t="n">
        <v>0</v>
      </c>
      <c r="Q215" t="n">
        <v>2</v>
      </c>
      <c r="R215" s="2" t="inlineStr">
        <is>
          <t>Lunglav
Fläcknycklar</t>
        </is>
      </c>
      <c r="S215">
        <f>HYPERLINK("https://klasma.github.io/Logging_2303/artfynd/A 45021-2023 artfynd.xlsx", "A 45021-2023")</f>
        <v/>
      </c>
      <c r="T215">
        <f>HYPERLINK("https://klasma.github.io/Logging_2303/kartor/A 45021-2023 karta.png", "A 45021-2023")</f>
        <v/>
      </c>
      <c r="V215">
        <f>HYPERLINK("https://klasma.github.io/Logging_2303/klagomål/A 45021-2023 FSC-klagomål.docx", "A 45021-2023")</f>
        <v/>
      </c>
      <c r="W215">
        <f>HYPERLINK("https://klasma.github.io/Logging_2303/klagomålsmail/A 45021-2023 FSC-klagomål mail.docx", "A 45021-2023")</f>
        <v/>
      </c>
      <c r="X215">
        <f>HYPERLINK("https://klasma.github.io/Logging_2303/tillsyn/A 45021-2023 tillsynsbegäran.docx", "A 45021-2023")</f>
        <v/>
      </c>
      <c r="Y215">
        <f>HYPERLINK("https://klasma.github.io/Logging_2303/tillsynsmail/A 45021-2023 tillsynsbegäran mail.docx", "A 45021-2023")</f>
        <v/>
      </c>
    </row>
    <row r="216" ht="15" customHeight="1">
      <c r="A216" t="inlineStr">
        <is>
          <t>A 45035-2023</t>
        </is>
      </c>
      <c r="B216" s="1" t="n">
        <v>45191</v>
      </c>
      <c r="C216" s="1" t="n">
        <v>45642</v>
      </c>
      <c r="D216" t="inlineStr">
        <is>
          <t>JÄMTLANDS LÄN</t>
        </is>
      </c>
      <c r="E216" t="inlineStr">
        <is>
          <t>RAGUNDA</t>
        </is>
      </c>
      <c r="G216" t="n">
        <v>2.9</v>
      </c>
      <c r="H216" t="n">
        <v>0</v>
      </c>
      <c r="I216" t="n">
        <v>1</v>
      </c>
      <c r="J216" t="n">
        <v>1</v>
      </c>
      <c r="K216" t="n">
        <v>0</v>
      </c>
      <c r="L216" t="n">
        <v>0</v>
      </c>
      <c r="M216" t="n">
        <v>0</v>
      </c>
      <c r="N216" t="n">
        <v>0</v>
      </c>
      <c r="O216" t="n">
        <v>1</v>
      </c>
      <c r="P216" t="n">
        <v>0</v>
      </c>
      <c r="Q216" t="n">
        <v>2</v>
      </c>
      <c r="R216" s="2" t="inlineStr">
        <is>
          <t>Lunglav
Korallblylav</t>
        </is>
      </c>
      <c r="S216">
        <f>HYPERLINK("https://klasma.github.io/Logging_2303/artfynd/A 45035-2023 artfynd.xlsx", "A 45035-2023")</f>
        <v/>
      </c>
      <c r="T216">
        <f>HYPERLINK("https://klasma.github.io/Logging_2303/kartor/A 45035-2023 karta.png", "A 45035-2023")</f>
        <v/>
      </c>
      <c r="V216">
        <f>HYPERLINK("https://klasma.github.io/Logging_2303/klagomål/A 45035-2023 FSC-klagomål.docx", "A 45035-2023")</f>
        <v/>
      </c>
      <c r="W216">
        <f>HYPERLINK("https://klasma.github.io/Logging_2303/klagomålsmail/A 45035-2023 FSC-klagomål mail.docx", "A 45035-2023")</f>
        <v/>
      </c>
      <c r="X216">
        <f>HYPERLINK("https://klasma.github.io/Logging_2303/tillsyn/A 45035-2023 tillsynsbegäran.docx", "A 45035-2023")</f>
        <v/>
      </c>
      <c r="Y216">
        <f>HYPERLINK("https://klasma.github.io/Logging_2303/tillsynsmail/A 45035-2023 tillsynsbegäran mail.docx", "A 45035-2023")</f>
        <v/>
      </c>
    </row>
    <row r="217" ht="15" customHeight="1">
      <c r="A217" t="inlineStr">
        <is>
          <t>A 48427-2023</t>
        </is>
      </c>
      <c r="B217" s="1" t="n">
        <v>45205</v>
      </c>
      <c r="C217" s="1" t="n">
        <v>45642</v>
      </c>
      <c r="D217" t="inlineStr">
        <is>
          <t>JÄMTLANDS LÄN</t>
        </is>
      </c>
      <c r="E217" t="inlineStr">
        <is>
          <t>RAGUNDA</t>
        </is>
      </c>
      <c r="F217" t="inlineStr">
        <is>
          <t>SCA</t>
        </is>
      </c>
      <c r="G217" t="n">
        <v>10.1</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48427-2023 artfynd.xlsx", "A 48427-2023")</f>
        <v/>
      </c>
      <c r="T217">
        <f>HYPERLINK("https://klasma.github.io/Logging_2303/kartor/A 48427-2023 karta.png", "A 48427-2023")</f>
        <v/>
      </c>
      <c r="V217">
        <f>HYPERLINK("https://klasma.github.io/Logging_2303/klagomål/A 48427-2023 FSC-klagomål.docx", "A 48427-2023")</f>
        <v/>
      </c>
      <c r="W217">
        <f>HYPERLINK("https://klasma.github.io/Logging_2303/klagomålsmail/A 48427-2023 FSC-klagomål mail.docx", "A 48427-2023")</f>
        <v/>
      </c>
      <c r="X217">
        <f>HYPERLINK("https://klasma.github.io/Logging_2303/tillsyn/A 48427-2023 tillsynsbegäran.docx", "A 48427-2023")</f>
        <v/>
      </c>
      <c r="Y217">
        <f>HYPERLINK("https://klasma.github.io/Logging_2303/tillsynsmail/A 48427-2023 tillsynsbegäran mail.docx", "A 48427-2023")</f>
        <v/>
      </c>
    </row>
    <row r="218" ht="15" customHeight="1">
      <c r="A218" t="inlineStr">
        <is>
          <t>A 48474-2023</t>
        </is>
      </c>
      <c r="B218" s="1" t="n">
        <v>45206</v>
      </c>
      <c r="C218" s="1" t="n">
        <v>45642</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48474-2023 artfynd.xlsx", "A 48474-2023")</f>
        <v/>
      </c>
      <c r="T218">
        <f>HYPERLINK("https://klasma.github.io/Logging_2303/kartor/A 48474-2023 karta.png", "A 48474-2023")</f>
        <v/>
      </c>
      <c r="V218">
        <f>HYPERLINK("https://klasma.github.io/Logging_2303/klagomål/A 48474-2023 FSC-klagomål.docx", "A 48474-2023")</f>
        <v/>
      </c>
      <c r="W218">
        <f>HYPERLINK("https://klasma.github.io/Logging_2303/klagomålsmail/A 48474-2023 FSC-klagomål mail.docx", "A 48474-2023")</f>
        <v/>
      </c>
      <c r="X218">
        <f>HYPERLINK("https://klasma.github.io/Logging_2303/tillsyn/A 48474-2023 tillsynsbegäran.docx", "A 48474-2023")</f>
        <v/>
      </c>
      <c r="Y218">
        <f>HYPERLINK("https://klasma.github.io/Logging_2303/tillsynsmail/A 48474-2023 tillsynsbegäran mail.docx", "A 48474-2023")</f>
        <v/>
      </c>
    </row>
    <row r="219" ht="15" customHeight="1">
      <c r="A219" t="inlineStr">
        <is>
          <t>A 55647-2023</t>
        </is>
      </c>
      <c r="B219" s="1" t="n">
        <v>45238</v>
      </c>
      <c r="C219" s="1" t="n">
        <v>45642</v>
      </c>
      <c r="D219" t="inlineStr">
        <is>
          <t>JÄMTLANDS LÄN</t>
        </is>
      </c>
      <c r="E219" t="inlineStr">
        <is>
          <t>RAGUNDA</t>
        </is>
      </c>
      <c r="F219" t="inlineStr">
        <is>
          <t>SCA</t>
        </is>
      </c>
      <c r="G219" t="n">
        <v>3.7</v>
      </c>
      <c r="H219" t="n">
        <v>0</v>
      </c>
      <c r="I219" t="n">
        <v>1</v>
      </c>
      <c r="J219" t="n">
        <v>1</v>
      </c>
      <c r="K219" t="n">
        <v>0</v>
      </c>
      <c r="L219" t="n">
        <v>0</v>
      </c>
      <c r="M219" t="n">
        <v>0</v>
      </c>
      <c r="N219" t="n">
        <v>0</v>
      </c>
      <c r="O219" t="n">
        <v>1</v>
      </c>
      <c r="P219" t="n">
        <v>0</v>
      </c>
      <c r="Q219" t="n">
        <v>2</v>
      </c>
      <c r="R219" s="2" t="inlineStr">
        <is>
          <t>Granticka
Trådticka</t>
        </is>
      </c>
      <c r="S219">
        <f>HYPERLINK("https://klasma.github.io/Logging_2303/artfynd/A 55647-2023 artfynd.xlsx", "A 55647-2023")</f>
        <v/>
      </c>
      <c r="T219">
        <f>HYPERLINK("https://klasma.github.io/Logging_2303/kartor/A 55647-2023 karta.png", "A 55647-2023")</f>
        <v/>
      </c>
      <c r="V219">
        <f>HYPERLINK("https://klasma.github.io/Logging_2303/klagomål/A 55647-2023 FSC-klagomål.docx", "A 55647-2023")</f>
        <v/>
      </c>
      <c r="W219">
        <f>HYPERLINK("https://klasma.github.io/Logging_2303/klagomålsmail/A 55647-2023 FSC-klagomål mail.docx", "A 55647-2023")</f>
        <v/>
      </c>
      <c r="X219">
        <f>HYPERLINK("https://klasma.github.io/Logging_2303/tillsyn/A 55647-2023 tillsynsbegäran.docx", "A 55647-2023")</f>
        <v/>
      </c>
      <c r="Y219">
        <f>HYPERLINK("https://klasma.github.io/Logging_2303/tillsynsmail/A 55647-2023 tillsynsbegäran mail.docx", "A 55647-2023")</f>
        <v/>
      </c>
    </row>
    <row r="220" ht="15" customHeight="1">
      <c r="A220" t="inlineStr">
        <is>
          <t>A 56285-2023</t>
        </is>
      </c>
      <c r="B220" s="1" t="n">
        <v>45241</v>
      </c>
      <c r="C220" s="1" t="n">
        <v>45642</v>
      </c>
      <c r="D220" t="inlineStr">
        <is>
          <t>JÄMTLANDS LÄN</t>
        </is>
      </c>
      <c r="E220" t="inlineStr">
        <is>
          <t>RAGUNDA</t>
        </is>
      </c>
      <c r="F220" t="inlineStr">
        <is>
          <t>SCA</t>
        </is>
      </c>
      <c r="G220" t="n">
        <v>5.5</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56285-2023 artfynd.xlsx", "A 56285-2023")</f>
        <v/>
      </c>
      <c r="T220">
        <f>HYPERLINK("https://klasma.github.io/Logging_2303/kartor/A 56285-2023 karta.png", "A 56285-2023")</f>
        <v/>
      </c>
      <c r="V220">
        <f>HYPERLINK("https://klasma.github.io/Logging_2303/klagomål/A 56285-2023 FSC-klagomål.docx", "A 56285-2023")</f>
        <v/>
      </c>
      <c r="W220">
        <f>HYPERLINK("https://klasma.github.io/Logging_2303/klagomålsmail/A 56285-2023 FSC-klagomål mail.docx", "A 56285-2023")</f>
        <v/>
      </c>
      <c r="X220">
        <f>HYPERLINK("https://klasma.github.io/Logging_2303/tillsyn/A 56285-2023 tillsynsbegäran.docx", "A 56285-2023")</f>
        <v/>
      </c>
      <c r="Y220">
        <f>HYPERLINK("https://klasma.github.io/Logging_2303/tillsynsmail/A 56285-2023 tillsynsbegäran mail.docx", "A 56285-2023")</f>
        <v/>
      </c>
    </row>
    <row r="221" ht="15" customHeight="1">
      <c r="A221" t="inlineStr">
        <is>
          <t>A 3838-2024</t>
        </is>
      </c>
      <c r="B221" s="1" t="n">
        <v>45321</v>
      </c>
      <c r="C221" s="1" t="n">
        <v>45642</v>
      </c>
      <c r="D221" t="inlineStr">
        <is>
          <t>JÄMTLANDS LÄN</t>
        </is>
      </c>
      <c r="E221" t="inlineStr">
        <is>
          <t>RAGUNDA</t>
        </is>
      </c>
      <c r="F221" t="inlineStr">
        <is>
          <t>SCA</t>
        </is>
      </c>
      <c r="G221" t="n">
        <v>2</v>
      </c>
      <c r="H221" t="n">
        <v>1</v>
      </c>
      <c r="I221" t="n">
        <v>1</v>
      </c>
      <c r="J221" t="n">
        <v>1</v>
      </c>
      <c r="K221" t="n">
        <v>0</v>
      </c>
      <c r="L221" t="n">
        <v>0</v>
      </c>
      <c r="M221" t="n">
        <v>0</v>
      </c>
      <c r="N221" t="n">
        <v>0</v>
      </c>
      <c r="O221" t="n">
        <v>1</v>
      </c>
      <c r="P221" t="n">
        <v>0</v>
      </c>
      <c r="Q221" t="n">
        <v>2</v>
      </c>
      <c r="R221" s="2" t="inlineStr">
        <is>
          <t>Garnlav
Guckusko</t>
        </is>
      </c>
      <c r="S221">
        <f>HYPERLINK("https://klasma.github.io/Logging_2303/artfynd/A 3838-2024 artfynd.xlsx", "A 3838-2024")</f>
        <v/>
      </c>
      <c r="T221">
        <f>HYPERLINK("https://klasma.github.io/Logging_2303/kartor/A 3838-2024 karta.png", "A 3838-2024")</f>
        <v/>
      </c>
      <c r="V221">
        <f>HYPERLINK("https://klasma.github.io/Logging_2303/klagomål/A 3838-2024 FSC-klagomål.docx", "A 3838-2024")</f>
        <v/>
      </c>
      <c r="W221">
        <f>HYPERLINK("https://klasma.github.io/Logging_2303/klagomålsmail/A 3838-2024 FSC-klagomål mail.docx", "A 3838-2024")</f>
        <v/>
      </c>
      <c r="X221">
        <f>HYPERLINK("https://klasma.github.io/Logging_2303/tillsyn/A 3838-2024 tillsynsbegäran.docx", "A 3838-2024")</f>
        <v/>
      </c>
      <c r="Y221">
        <f>HYPERLINK("https://klasma.github.io/Logging_2303/tillsynsmail/A 3838-2024 tillsynsbegäran mail.docx", "A 3838-2024")</f>
        <v/>
      </c>
    </row>
    <row r="222" ht="15" customHeight="1">
      <c r="A222" t="inlineStr">
        <is>
          <t>A 11544-2024</t>
        </is>
      </c>
      <c r="B222" s="1" t="n">
        <v>45372</v>
      </c>
      <c r="C222" s="1" t="n">
        <v>45642</v>
      </c>
      <c r="D222" t="inlineStr">
        <is>
          <t>JÄMTLANDS LÄN</t>
        </is>
      </c>
      <c r="E222" t="inlineStr">
        <is>
          <t>RAGUNDA</t>
        </is>
      </c>
      <c r="F222" t="inlineStr">
        <is>
          <t>SCA</t>
        </is>
      </c>
      <c r="G222" t="n">
        <v>15.5</v>
      </c>
      <c r="H222" t="n">
        <v>0</v>
      </c>
      <c r="I222" t="n">
        <v>0</v>
      </c>
      <c r="J222" t="n">
        <v>2</v>
      </c>
      <c r="K222" t="n">
        <v>0</v>
      </c>
      <c r="L222" t="n">
        <v>0</v>
      </c>
      <c r="M222" t="n">
        <v>0</v>
      </c>
      <c r="N222" t="n">
        <v>0</v>
      </c>
      <c r="O222" t="n">
        <v>2</v>
      </c>
      <c r="P222" t="n">
        <v>0</v>
      </c>
      <c r="Q222" t="n">
        <v>2</v>
      </c>
      <c r="R222" s="2" t="inlineStr">
        <is>
          <t>Granticka
Mörk kolflarnlav</t>
        </is>
      </c>
      <c r="S222">
        <f>HYPERLINK("https://klasma.github.io/Logging_2303/artfynd/A 11544-2024 artfynd.xlsx", "A 11544-2024")</f>
        <v/>
      </c>
      <c r="T222">
        <f>HYPERLINK("https://klasma.github.io/Logging_2303/kartor/A 11544-2024 karta.png", "A 11544-2024")</f>
        <v/>
      </c>
      <c r="V222">
        <f>HYPERLINK("https://klasma.github.io/Logging_2303/klagomål/A 11544-2024 FSC-klagomål.docx", "A 11544-2024")</f>
        <v/>
      </c>
      <c r="W222">
        <f>HYPERLINK("https://klasma.github.io/Logging_2303/klagomålsmail/A 11544-2024 FSC-klagomål mail.docx", "A 11544-2024")</f>
        <v/>
      </c>
      <c r="X222">
        <f>HYPERLINK("https://klasma.github.io/Logging_2303/tillsyn/A 11544-2024 tillsynsbegäran.docx", "A 11544-2024")</f>
        <v/>
      </c>
      <c r="Y222">
        <f>HYPERLINK("https://klasma.github.io/Logging_2303/tillsynsmail/A 11544-2024 tillsynsbegäran mail.docx", "A 11544-2024")</f>
        <v/>
      </c>
    </row>
    <row r="223" ht="15" customHeight="1">
      <c r="A223" t="inlineStr">
        <is>
          <t>A 12271-2024</t>
        </is>
      </c>
      <c r="B223" s="1" t="n">
        <v>45378</v>
      </c>
      <c r="C223" s="1" t="n">
        <v>45642</v>
      </c>
      <c r="D223" t="inlineStr">
        <is>
          <t>JÄMTLANDS LÄN</t>
        </is>
      </c>
      <c r="E223" t="inlineStr">
        <is>
          <t>RAGUNDA</t>
        </is>
      </c>
      <c r="F223" t="inlineStr">
        <is>
          <t>Kommuner</t>
        </is>
      </c>
      <c r="G223" t="n">
        <v>6.1</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12271-2024 artfynd.xlsx", "A 12271-2024")</f>
        <v/>
      </c>
      <c r="T223">
        <f>HYPERLINK("https://klasma.github.io/Logging_2303/kartor/A 12271-2024 karta.png", "A 12271-2024")</f>
        <v/>
      </c>
      <c r="V223">
        <f>HYPERLINK("https://klasma.github.io/Logging_2303/klagomål/A 12271-2024 FSC-klagomål.docx", "A 12271-2024")</f>
        <v/>
      </c>
      <c r="W223">
        <f>HYPERLINK("https://klasma.github.io/Logging_2303/klagomålsmail/A 12271-2024 FSC-klagomål mail.docx", "A 12271-2024")</f>
        <v/>
      </c>
      <c r="X223">
        <f>HYPERLINK("https://klasma.github.io/Logging_2303/tillsyn/A 12271-2024 tillsynsbegäran.docx", "A 12271-2024")</f>
        <v/>
      </c>
      <c r="Y223">
        <f>HYPERLINK("https://klasma.github.io/Logging_2303/tillsynsmail/A 12271-2024 tillsynsbegäran mail.docx", "A 12271-2024")</f>
        <v/>
      </c>
    </row>
    <row r="224" ht="15" customHeight="1">
      <c r="A224" t="inlineStr">
        <is>
          <t>A 13660-2024</t>
        </is>
      </c>
      <c r="B224" s="1" t="n">
        <v>45387</v>
      </c>
      <c r="C224" s="1" t="n">
        <v>45642</v>
      </c>
      <c r="D224" t="inlineStr">
        <is>
          <t>JÄMTLANDS LÄN</t>
        </is>
      </c>
      <c r="E224" t="inlineStr">
        <is>
          <t>RAGUNDA</t>
        </is>
      </c>
      <c r="G224" t="n">
        <v>4.8</v>
      </c>
      <c r="H224" t="n">
        <v>1</v>
      </c>
      <c r="I224" t="n">
        <v>1</v>
      </c>
      <c r="J224" t="n">
        <v>1</v>
      </c>
      <c r="K224" t="n">
        <v>0</v>
      </c>
      <c r="L224" t="n">
        <v>0</v>
      </c>
      <c r="M224" t="n">
        <v>0</v>
      </c>
      <c r="N224" t="n">
        <v>0</v>
      </c>
      <c r="O224" t="n">
        <v>1</v>
      </c>
      <c r="P224" t="n">
        <v>0</v>
      </c>
      <c r="Q224" t="n">
        <v>2</v>
      </c>
      <c r="R224" s="2" t="inlineStr">
        <is>
          <t>Garnlav
Plattlummer</t>
        </is>
      </c>
      <c r="S224">
        <f>HYPERLINK("https://klasma.github.io/Logging_2303/artfynd/A 13660-2024 artfynd.xlsx", "A 13660-2024")</f>
        <v/>
      </c>
      <c r="T224">
        <f>HYPERLINK("https://klasma.github.io/Logging_2303/kartor/A 13660-2024 karta.png", "A 13660-2024")</f>
        <v/>
      </c>
      <c r="V224">
        <f>HYPERLINK("https://klasma.github.io/Logging_2303/klagomål/A 13660-2024 FSC-klagomål.docx", "A 13660-2024")</f>
        <v/>
      </c>
      <c r="W224">
        <f>HYPERLINK("https://klasma.github.io/Logging_2303/klagomålsmail/A 13660-2024 FSC-klagomål mail.docx", "A 13660-2024")</f>
        <v/>
      </c>
      <c r="X224">
        <f>HYPERLINK("https://klasma.github.io/Logging_2303/tillsyn/A 13660-2024 tillsynsbegäran.docx", "A 13660-2024")</f>
        <v/>
      </c>
      <c r="Y224">
        <f>HYPERLINK("https://klasma.github.io/Logging_2303/tillsynsmail/A 13660-2024 tillsynsbegäran mail.docx", "A 13660-2024")</f>
        <v/>
      </c>
    </row>
    <row r="225" ht="15" customHeight="1">
      <c r="A225" t="inlineStr">
        <is>
          <t>A 13943-2024</t>
        </is>
      </c>
      <c r="B225" s="1" t="n">
        <v>45392</v>
      </c>
      <c r="C225" s="1" t="n">
        <v>45642</v>
      </c>
      <c r="D225" t="inlineStr">
        <is>
          <t>JÄMTLANDS LÄN</t>
        </is>
      </c>
      <c r="E225" t="inlineStr">
        <is>
          <t>RAGUNDA</t>
        </is>
      </c>
      <c r="F225" t="inlineStr">
        <is>
          <t>SCA</t>
        </is>
      </c>
      <c r="G225" t="n">
        <v>3.5</v>
      </c>
      <c r="H225" t="n">
        <v>1</v>
      </c>
      <c r="I225" t="n">
        <v>1</v>
      </c>
      <c r="J225" t="n">
        <v>1</v>
      </c>
      <c r="K225" t="n">
        <v>0</v>
      </c>
      <c r="L225" t="n">
        <v>0</v>
      </c>
      <c r="M225" t="n">
        <v>0</v>
      </c>
      <c r="N225" t="n">
        <v>0</v>
      </c>
      <c r="O225" t="n">
        <v>1</v>
      </c>
      <c r="P225" t="n">
        <v>0</v>
      </c>
      <c r="Q225" t="n">
        <v>2</v>
      </c>
      <c r="R225" s="2" t="inlineStr">
        <is>
          <t>Spillkråka
Dropptaggsvamp</t>
        </is>
      </c>
      <c r="S225">
        <f>HYPERLINK("https://klasma.github.io/Logging_2303/artfynd/A 13943-2024 artfynd.xlsx", "A 13943-2024")</f>
        <v/>
      </c>
      <c r="T225">
        <f>HYPERLINK("https://klasma.github.io/Logging_2303/kartor/A 13943-2024 karta.png", "A 13943-2024")</f>
        <v/>
      </c>
      <c r="V225">
        <f>HYPERLINK("https://klasma.github.io/Logging_2303/klagomål/A 13943-2024 FSC-klagomål.docx", "A 13943-2024")</f>
        <v/>
      </c>
      <c r="W225">
        <f>HYPERLINK("https://klasma.github.io/Logging_2303/klagomålsmail/A 13943-2024 FSC-klagomål mail.docx", "A 13943-2024")</f>
        <v/>
      </c>
      <c r="X225">
        <f>HYPERLINK("https://klasma.github.io/Logging_2303/tillsyn/A 13943-2024 tillsynsbegäran.docx", "A 13943-2024")</f>
        <v/>
      </c>
      <c r="Y225">
        <f>HYPERLINK("https://klasma.github.io/Logging_2303/tillsynsmail/A 13943-2024 tillsynsbegäran mail.docx", "A 13943-2024")</f>
        <v/>
      </c>
      <c r="Z225">
        <f>HYPERLINK("https://klasma.github.io/Logging_2303/fåglar/A 13943-2024 prioriterade fågelarter.docx", "A 13943-2024")</f>
        <v/>
      </c>
    </row>
    <row r="226" ht="15" customHeight="1">
      <c r="A226" t="inlineStr">
        <is>
          <t>A 14502-2024</t>
        </is>
      </c>
      <c r="B226" s="1" t="n">
        <v>45394</v>
      </c>
      <c r="C226" s="1" t="n">
        <v>45642</v>
      </c>
      <c r="D226" t="inlineStr">
        <is>
          <t>JÄMTLANDS LÄN</t>
        </is>
      </c>
      <c r="E226" t="inlineStr">
        <is>
          <t>RAGUNDA</t>
        </is>
      </c>
      <c r="G226" t="n">
        <v>11.6</v>
      </c>
      <c r="H226" t="n">
        <v>0</v>
      </c>
      <c r="I226" t="n">
        <v>0</v>
      </c>
      <c r="J226" t="n">
        <v>2</v>
      </c>
      <c r="K226" t="n">
        <v>0</v>
      </c>
      <c r="L226" t="n">
        <v>0</v>
      </c>
      <c r="M226" t="n">
        <v>0</v>
      </c>
      <c r="N226" t="n">
        <v>0</v>
      </c>
      <c r="O226" t="n">
        <v>2</v>
      </c>
      <c r="P226" t="n">
        <v>0</v>
      </c>
      <c r="Q226" t="n">
        <v>2</v>
      </c>
      <c r="R226" s="2" t="inlineStr">
        <is>
          <t>Garnlav
Stjärntagging</t>
        </is>
      </c>
      <c r="S226">
        <f>HYPERLINK("https://klasma.github.io/Logging_2303/artfynd/A 14502-2024 artfynd.xlsx", "A 14502-2024")</f>
        <v/>
      </c>
      <c r="T226">
        <f>HYPERLINK("https://klasma.github.io/Logging_2303/kartor/A 14502-2024 karta.png", "A 14502-2024")</f>
        <v/>
      </c>
      <c r="V226">
        <f>HYPERLINK("https://klasma.github.io/Logging_2303/klagomål/A 14502-2024 FSC-klagomål.docx", "A 14502-2024")</f>
        <v/>
      </c>
      <c r="W226">
        <f>HYPERLINK("https://klasma.github.io/Logging_2303/klagomålsmail/A 14502-2024 FSC-klagomål mail.docx", "A 14502-2024")</f>
        <v/>
      </c>
      <c r="X226">
        <f>HYPERLINK("https://klasma.github.io/Logging_2303/tillsyn/A 14502-2024 tillsynsbegäran.docx", "A 14502-2024")</f>
        <v/>
      </c>
      <c r="Y226">
        <f>HYPERLINK("https://klasma.github.io/Logging_2303/tillsynsmail/A 14502-2024 tillsynsbegäran mail.docx", "A 14502-2024")</f>
        <v/>
      </c>
    </row>
    <row r="227" ht="15" customHeight="1">
      <c r="A227" t="inlineStr">
        <is>
          <t>A 26324-2024</t>
        </is>
      </c>
      <c r="B227" s="1" t="n">
        <v>45469</v>
      </c>
      <c r="C227" s="1" t="n">
        <v>45642</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Knärot
Vedtrappmossa</t>
        </is>
      </c>
      <c r="S227">
        <f>HYPERLINK("https://klasma.github.io/Logging_2303/artfynd/A 26324-2024 artfynd.xlsx", "A 26324-2024")</f>
        <v/>
      </c>
      <c r="T227">
        <f>HYPERLINK("https://klasma.github.io/Logging_2303/kartor/A 26324-2024 karta.png", "A 26324-2024")</f>
        <v/>
      </c>
      <c r="U227">
        <f>HYPERLINK("https://klasma.github.io/Logging_2303/knärot/A 26324-2024 karta knärot.png", "A 26324-2024")</f>
        <v/>
      </c>
      <c r="V227">
        <f>HYPERLINK("https://klasma.github.io/Logging_2303/klagomål/A 26324-2024 FSC-klagomål.docx", "A 26324-2024")</f>
        <v/>
      </c>
      <c r="W227">
        <f>HYPERLINK("https://klasma.github.io/Logging_2303/klagomålsmail/A 26324-2024 FSC-klagomål mail.docx", "A 26324-2024")</f>
        <v/>
      </c>
      <c r="X227">
        <f>HYPERLINK("https://klasma.github.io/Logging_2303/tillsyn/A 26324-2024 tillsynsbegäran.docx", "A 26324-2024")</f>
        <v/>
      </c>
      <c r="Y227">
        <f>HYPERLINK("https://klasma.github.io/Logging_2303/tillsynsmail/A 26324-2024 tillsynsbegäran mail.docx", "A 26324-2024")</f>
        <v/>
      </c>
    </row>
    <row r="228" ht="15" customHeight="1">
      <c r="A228" t="inlineStr">
        <is>
          <t>A 32065-2024</t>
        </is>
      </c>
      <c r="B228" s="1" t="n">
        <v>45510</v>
      </c>
      <c r="C228" s="1" t="n">
        <v>45642</v>
      </c>
      <c r="D228" t="inlineStr">
        <is>
          <t>JÄMTLANDS LÄN</t>
        </is>
      </c>
      <c r="E228" t="inlineStr">
        <is>
          <t>RAGUNDA</t>
        </is>
      </c>
      <c r="F228" t="inlineStr">
        <is>
          <t>SCA</t>
        </is>
      </c>
      <c r="G228" t="n">
        <v>9.199999999999999</v>
      </c>
      <c r="H228" t="n">
        <v>0</v>
      </c>
      <c r="I228" t="n">
        <v>0</v>
      </c>
      <c r="J228" t="n">
        <v>2</v>
      </c>
      <c r="K228" t="n">
        <v>0</v>
      </c>
      <c r="L228" t="n">
        <v>0</v>
      </c>
      <c r="M228" t="n">
        <v>0</v>
      </c>
      <c r="N228" t="n">
        <v>0</v>
      </c>
      <c r="O228" t="n">
        <v>2</v>
      </c>
      <c r="P228" t="n">
        <v>0</v>
      </c>
      <c r="Q228" t="n">
        <v>2</v>
      </c>
      <c r="R228" s="2" t="inlineStr">
        <is>
          <t>Rosenticka
Vitgrynig nållav</t>
        </is>
      </c>
      <c r="S228">
        <f>HYPERLINK("https://klasma.github.io/Logging_2303/artfynd/A 32065-2024 artfynd.xlsx", "A 32065-2024")</f>
        <v/>
      </c>
      <c r="T228">
        <f>HYPERLINK("https://klasma.github.io/Logging_2303/kartor/A 32065-2024 karta.png", "A 32065-2024")</f>
        <v/>
      </c>
      <c r="V228">
        <f>HYPERLINK("https://klasma.github.io/Logging_2303/klagomål/A 32065-2024 FSC-klagomål.docx", "A 32065-2024")</f>
        <v/>
      </c>
      <c r="W228">
        <f>HYPERLINK("https://klasma.github.io/Logging_2303/klagomålsmail/A 32065-2024 FSC-klagomål mail.docx", "A 32065-2024")</f>
        <v/>
      </c>
      <c r="X228">
        <f>HYPERLINK("https://klasma.github.io/Logging_2303/tillsyn/A 32065-2024 tillsynsbegäran.docx", "A 32065-2024")</f>
        <v/>
      </c>
      <c r="Y228">
        <f>HYPERLINK("https://klasma.github.io/Logging_2303/tillsynsmail/A 32065-2024 tillsynsbegäran mail.docx", "A 32065-2024")</f>
        <v/>
      </c>
    </row>
    <row r="229" ht="15" customHeight="1">
      <c r="A229" t="inlineStr">
        <is>
          <t>A 34715-2024</t>
        </is>
      </c>
      <c r="B229" s="1" t="n">
        <v>45526</v>
      </c>
      <c r="C229" s="1" t="n">
        <v>45642</v>
      </c>
      <c r="D229" t="inlineStr">
        <is>
          <t>JÄMTLANDS LÄN</t>
        </is>
      </c>
      <c r="E229" t="inlineStr">
        <is>
          <t>RAGUNDA</t>
        </is>
      </c>
      <c r="F229" t="inlineStr">
        <is>
          <t>SCA</t>
        </is>
      </c>
      <c r="G229" t="n">
        <v>3</v>
      </c>
      <c r="H229" t="n">
        <v>0</v>
      </c>
      <c r="I229" t="n">
        <v>1</v>
      </c>
      <c r="J229" t="n">
        <v>1</v>
      </c>
      <c r="K229" t="n">
        <v>0</v>
      </c>
      <c r="L229" t="n">
        <v>0</v>
      </c>
      <c r="M229" t="n">
        <v>0</v>
      </c>
      <c r="N229" t="n">
        <v>0</v>
      </c>
      <c r="O229" t="n">
        <v>1</v>
      </c>
      <c r="P229" t="n">
        <v>0</v>
      </c>
      <c r="Q229" t="n">
        <v>2</v>
      </c>
      <c r="R229" s="2" t="inlineStr">
        <is>
          <t>Garnlav
Vedticka</t>
        </is>
      </c>
      <c r="S229">
        <f>HYPERLINK("https://klasma.github.io/Logging_2303/artfynd/A 34715-2024 artfynd.xlsx", "A 34715-2024")</f>
        <v/>
      </c>
      <c r="T229">
        <f>HYPERLINK("https://klasma.github.io/Logging_2303/kartor/A 34715-2024 karta.png", "A 34715-2024")</f>
        <v/>
      </c>
      <c r="V229">
        <f>HYPERLINK("https://klasma.github.io/Logging_2303/klagomål/A 34715-2024 FSC-klagomål.docx", "A 34715-2024")</f>
        <v/>
      </c>
      <c r="W229">
        <f>HYPERLINK("https://klasma.github.io/Logging_2303/klagomålsmail/A 34715-2024 FSC-klagomål mail.docx", "A 34715-2024")</f>
        <v/>
      </c>
      <c r="X229">
        <f>HYPERLINK("https://klasma.github.io/Logging_2303/tillsyn/A 34715-2024 tillsynsbegäran.docx", "A 34715-2024")</f>
        <v/>
      </c>
      <c r="Y229">
        <f>HYPERLINK("https://klasma.github.io/Logging_2303/tillsynsmail/A 34715-2024 tillsynsbegäran mail.docx", "A 34715-2024")</f>
        <v/>
      </c>
    </row>
    <row r="230" ht="15" customHeight="1">
      <c r="A230" t="inlineStr">
        <is>
          <t>A 35405-2024</t>
        </is>
      </c>
      <c r="B230" s="1" t="n">
        <v>45531</v>
      </c>
      <c r="C230" s="1" t="n">
        <v>45642</v>
      </c>
      <c r="D230" t="inlineStr">
        <is>
          <t>JÄMTLANDS LÄN</t>
        </is>
      </c>
      <c r="E230" t="inlineStr">
        <is>
          <t>RAGUNDA</t>
        </is>
      </c>
      <c r="F230" t="inlineStr">
        <is>
          <t>SCA</t>
        </is>
      </c>
      <c r="G230" t="n">
        <v>12.3</v>
      </c>
      <c r="H230" t="n">
        <v>2</v>
      </c>
      <c r="I230" t="n">
        <v>1</v>
      </c>
      <c r="J230" t="n">
        <v>0</v>
      </c>
      <c r="K230" t="n">
        <v>0</v>
      </c>
      <c r="L230" t="n">
        <v>0</v>
      </c>
      <c r="M230" t="n">
        <v>0</v>
      </c>
      <c r="N230" t="n">
        <v>0</v>
      </c>
      <c r="O230" t="n">
        <v>0</v>
      </c>
      <c r="P230" t="n">
        <v>0</v>
      </c>
      <c r="Q230" t="n">
        <v>2</v>
      </c>
      <c r="R230" s="2" t="inlineStr">
        <is>
          <t>Spindelblomster
Revlummer</t>
        </is>
      </c>
      <c r="S230">
        <f>HYPERLINK("https://klasma.github.io/Logging_2303/artfynd/A 35405-2024 artfynd.xlsx", "A 35405-2024")</f>
        <v/>
      </c>
      <c r="T230">
        <f>HYPERLINK("https://klasma.github.io/Logging_2303/kartor/A 35405-2024 karta.png", "A 35405-2024")</f>
        <v/>
      </c>
      <c r="V230">
        <f>HYPERLINK("https://klasma.github.io/Logging_2303/klagomål/A 35405-2024 FSC-klagomål.docx", "A 35405-2024")</f>
        <v/>
      </c>
      <c r="W230">
        <f>HYPERLINK("https://klasma.github.io/Logging_2303/klagomålsmail/A 35405-2024 FSC-klagomål mail.docx", "A 35405-2024")</f>
        <v/>
      </c>
      <c r="X230">
        <f>HYPERLINK("https://klasma.github.io/Logging_2303/tillsyn/A 35405-2024 tillsynsbegäran.docx", "A 35405-2024")</f>
        <v/>
      </c>
      <c r="Y230">
        <f>HYPERLINK("https://klasma.github.io/Logging_2303/tillsynsmail/A 35405-2024 tillsynsbegäran mail.docx", "A 35405-2024")</f>
        <v/>
      </c>
    </row>
    <row r="231" ht="15" customHeight="1">
      <c r="A231" t="inlineStr">
        <is>
          <t>A 37826-2024</t>
        </is>
      </c>
      <c r="B231" s="1" t="n">
        <v>45544</v>
      </c>
      <c r="C231" s="1" t="n">
        <v>45642</v>
      </c>
      <c r="D231" t="inlineStr">
        <is>
          <t>JÄMTLANDS LÄN</t>
        </is>
      </c>
      <c r="E231" t="inlineStr">
        <is>
          <t>RAGUNDA</t>
        </is>
      </c>
      <c r="F231" t="inlineStr">
        <is>
          <t>SCA</t>
        </is>
      </c>
      <c r="G231" t="n">
        <v>12.8</v>
      </c>
      <c r="H231" t="n">
        <v>0</v>
      </c>
      <c r="I231" t="n">
        <v>0</v>
      </c>
      <c r="J231" t="n">
        <v>2</v>
      </c>
      <c r="K231" t="n">
        <v>0</v>
      </c>
      <c r="L231" t="n">
        <v>0</v>
      </c>
      <c r="M231" t="n">
        <v>0</v>
      </c>
      <c r="N231" t="n">
        <v>0</v>
      </c>
      <c r="O231" t="n">
        <v>2</v>
      </c>
      <c r="P231" t="n">
        <v>0</v>
      </c>
      <c r="Q231" t="n">
        <v>2</v>
      </c>
      <c r="R231" s="2" t="inlineStr">
        <is>
          <t>Brunklöver
Månlåsbräken</t>
        </is>
      </c>
      <c r="S231">
        <f>HYPERLINK("https://klasma.github.io/Logging_2303/artfynd/A 37826-2024 artfynd.xlsx", "A 37826-2024")</f>
        <v/>
      </c>
      <c r="T231">
        <f>HYPERLINK("https://klasma.github.io/Logging_2303/kartor/A 37826-2024 karta.png", "A 37826-2024")</f>
        <v/>
      </c>
      <c r="V231">
        <f>HYPERLINK("https://klasma.github.io/Logging_2303/klagomål/A 37826-2024 FSC-klagomål.docx", "A 37826-2024")</f>
        <v/>
      </c>
      <c r="W231">
        <f>HYPERLINK("https://klasma.github.io/Logging_2303/klagomålsmail/A 37826-2024 FSC-klagomål mail.docx", "A 37826-2024")</f>
        <v/>
      </c>
      <c r="X231">
        <f>HYPERLINK("https://klasma.github.io/Logging_2303/tillsyn/A 37826-2024 tillsynsbegäran.docx", "A 37826-2024")</f>
        <v/>
      </c>
      <c r="Y231">
        <f>HYPERLINK("https://klasma.github.io/Logging_2303/tillsynsmail/A 37826-2024 tillsynsbegäran mail.docx", "A 37826-2024")</f>
        <v/>
      </c>
    </row>
    <row r="232" ht="15" customHeight="1">
      <c r="A232" t="inlineStr">
        <is>
          <t>A 39495-2024</t>
        </is>
      </c>
      <c r="B232" s="1" t="n">
        <v>45551</v>
      </c>
      <c r="C232" s="1" t="n">
        <v>45642</v>
      </c>
      <c r="D232" t="inlineStr">
        <is>
          <t>JÄMTLANDS LÄN</t>
        </is>
      </c>
      <c r="E232" t="inlineStr">
        <is>
          <t>RAGUNDA</t>
        </is>
      </c>
      <c r="F232" t="inlineStr">
        <is>
          <t>SCA</t>
        </is>
      </c>
      <c r="G232" t="n">
        <v>6.6</v>
      </c>
      <c r="H232" t="n">
        <v>0</v>
      </c>
      <c r="I232" t="n">
        <v>0</v>
      </c>
      <c r="J232" t="n">
        <v>2</v>
      </c>
      <c r="K232" t="n">
        <v>0</v>
      </c>
      <c r="L232" t="n">
        <v>0</v>
      </c>
      <c r="M232" t="n">
        <v>0</v>
      </c>
      <c r="N232" t="n">
        <v>0</v>
      </c>
      <c r="O232" t="n">
        <v>2</v>
      </c>
      <c r="P232" t="n">
        <v>0</v>
      </c>
      <c r="Q232" t="n">
        <v>2</v>
      </c>
      <c r="R232" s="2" t="inlineStr">
        <is>
          <t>Garnlav
Ullticka</t>
        </is>
      </c>
      <c r="S232">
        <f>HYPERLINK("https://klasma.github.io/Logging_2303/artfynd/A 39495-2024 artfynd.xlsx", "A 39495-2024")</f>
        <v/>
      </c>
      <c r="T232">
        <f>HYPERLINK("https://klasma.github.io/Logging_2303/kartor/A 39495-2024 karta.png", "A 39495-2024")</f>
        <v/>
      </c>
      <c r="V232">
        <f>HYPERLINK("https://klasma.github.io/Logging_2303/klagomål/A 39495-2024 FSC-klagomål.docx", "A 39495-2024")</f>
        <v/>
      </c>
      <c r="W232">
        <f>HYPERLINK("https://klasma.github.io/Logging_2303/klagomålsmail/A 39495-2024 FSC-klagomål mail.docx", "A 39495-2024")</f>
        <v/>
      </c>
      <c r="X232">
        <f>HYPERLINK("https://klasma.github.io/Logging_2303/tillsyn/A 39495-2024 tillsynsbegäran.docx", "A 39495-2024")</f>
        <v/>
      </c>
      <c r="Y232">
        <f>HYPERLINK("https://klasma.github.io/Logging_2303/tillsynsmail/A 39495-2024 tillsynsbegäran mail.docx", "A 39495-2024")</f>
        <v/>
      </c>
    </row>
    <row r="233" ht="15" customHeight="1">
      <c r="A233" t="inlineStr">
        <is>
          <t>A 46771-2024</t>
        </is>
      </c>
      <c r="B233" s="1" t="n">
        <v>45583</v>
      </c>
      <c r="C233" s="1" t="n">
        <v>45642</v>
      </c>
      <c r="D233" t="inlineStr">
        <is>
          <t>JÄMTLANDS LÄN</t>
        </is>
      </c>
      <c r="E233" t="inlineStr">
        <is>
          <t>RAGUNDA</t>
        </is>
      </c>
      <c r="F233" t="inlineStr">
        <is>
          <t>SCA</t>
        </is>
      </c>
      <c r="G233" t="n">
        <v>3.1</v>
      </c>
      <c r="H233" t="n">
        <v>0</v>
      </c>
      <c r="I233" t="n">
        <v>0</v>
      </c>
      <c r="J233" t="n">
        <v>2</v>
      </c>
      <c r="K233" t="n">
        <v>0</v>
      </c>
      <c r="L233" t="n">
        <v>0</v>
      </c>
      <c r="M233" t="n">
        <v>0</v>
      </c>
      <c r="N233" t="n">
        <v>0</v>
      </c>
      <c r="O233" t="n">
        <v>2</v>
      </c>
      <c r="P233" t="n">
        <v>0</v>
      </c>
      <c r="Q233" t="n">
        <v>2</v>
      </c>
      <c r="R233" s="2" t="inlineStr">
        <is>
          <t>Doftskinn
Gammelgransskål</t>
        </is>
      </c>
      <c r="S233">
        <f>HYPERLINK("https://klasma.github.io/Logging_2303/artfynd/A 46771-2024 artfynd.xlsx", "A 46771-2024")</f>
        <v/>
      </c>
      <c r="T233">
        <f>HYPERLINK("https://klasma.github.io/Logging_2303/kartor/A 46771-2024 karta.png", "A 46771-2024")</f>
        <v/>
      </c>
      <c r="V233">
        <f>HYPERLINK("https://klasma.github.io/Logging_2303/klagomål/A 46771-2024 FSC-klagomål.docx", "A 46771-2024")</f>
        <v/>
      </c>
      <c r="W233">
        <f>HYPERLINK("https://klasma.github.io/Logging_2303/klagomålsmail/A 46771-2024 FSC-klagomål mail.docx", "A 46771-2024")</f>
        <v/>
      </c>
      <c r="X233">
        <f>HYPERLINK("https://klasma.github.io/Logging_2303/tillsyn/A 46771-2024 tillsynsbegäran.docx", "A 46771-2024")</f>
        <v/>
      </c>
      <c r="Y233">
        <f>HYPERLINK("https://klasma.github.io/Logging_2303/tillsynsmail/A 46771-2024 tillsynsbegäran mail.docx", "A 46771-2024")</f>
        <v/>
      </c>
    </row>
    <row r="234" ht="15" customHeight="1">
      <c r="A234" t="inlineStr">
        <is>
          <t>A 54057-2024</t>
        </is>
      </c>
      <c r="B234" s="1" t="n">
        <v>45616</v>
      </c>
      <c r="C234" s="1" t="n">
        <v>45642</v>
      </c>
      <c r="D234" t="inlineStr">
        <is>
          <t>JÄMTLANDS LÄN</t>
        </is>
      </c>
      <c r="E234" t="inlineStr">
        <is>
          <t>RAGUNDA</t>
        </is>
      </c>
      <c r="F234" t="inlineStr">
        <is>
          <t>SCA</t>
        </is>
      </c>
      <c r="G234" t="n">
        <v>2.6</v>
      </c>
      <c r="H234" t="n">
        <v>0</v>
      </c>
      <c r="I234" t="n">
        <v>1</v>
      </c>
      <c r="J234" t="n">
        <v>1</v>
      </c>
      <c r="K234" t="n">
        <v>0</v>
      </c>
      <c r="L234" t="n">
        <v>0</v>
      </c>
      <c r="M234" t="n">
        <v>0</v>
      </c>
      <c r="N234" t="n">
        <v>0</v>
      </c>
      <c r="O234" t="n">
        <v>1</v>
      </c>
      <c r="P234" t="n">
        <v>0</v>
      </c>
      <c r="Q234" t="n">
        <v>2</v>
      </c>
      <c r="R234" s="2" t="inlineStr">
        <is>
          <t>Dvärgbägarlav
Dropptaggsvamp</t>
        </is>
      </c>
      <c r="S234">
        <f>HYPERLINK("https://klasma.github.io/Logging_2303/artfynd/A 54057-2024 artfynd.xlsx", "A 54057-2024")</f>
        <v/>
      </c>
      <c r="T234">
        <f>HYPERLINK("https://klasma.github.io/Logging_2303/kartor/A 54057-2024 karta.png", "A 54057-2024")</f>
        <v/>
      </c>
      <c r="V234">
        <f>HYPERLINK("https://klasma.github.io/Logging_2303/klagomål/A 54057-2024 FSC-klagomål.docx", "A 54057-2024")</f>
        <v/>
      </c>
      <c r="W234">
        <f>HYPERLINK("https://klasma.github.io/Logging_2303/klagomålsmail/A 54057-2024 FSC-klagomål mail.docx", "A 54057-2024")</f>
        <v/>
      </c>
      <c r="X234">
        <f>HYPERLINK("https://klasma.github.io/Logging_2303/tillsyn/A 54057-2024 tillsynsbegäran.docx", "A 54057-2024")</f>
        <v/>
      </c>
      <c r="Y234">
        <f>HYPERLINK("https://klasma.github.io/Logging_2303/tillsynsmail/A 54057-2024 tillsynsbegäran mail.docx", "A 54057-2024")</f>
        <v/>
      </c>
    </row>
    <row r="235" ht="15" customHeight="1">
      <c r="A235" t="inlineStr">
        <is>
          <t>A 33241-2019</t>
        </is>
      </c>
      <c r="B235" s="1" t="n">
        <v>43650</v>
      </c>
      <c r="C235" s="1" t="n">
        <v>45642</v>
      </c>
      <c r="D235" t="inlineStr">
        <is>
          <t>JÄMTLANDS LÄN</t>
        </is>
      </c>
      <c r="E235" t="inlineStr">
        <is>
          <t>RAGUNDA</t>
        </is>
      </c>
      <c r="G235" t="n">
        <v>6.3</v>
      </c>
      <c r="H235" t="n">
        <v>0</v>
      </c>
      <c r="I235" t="n">
        <v>0</v>
      </c>
      <c r="J235" t="n">
        <v>1</v>
      </c>
      <c r="K235" t="n">
        <v>0</v>
      </c>
      <c r="L235" t="n">
        <v>0</v>
      </c>
      <c r="M235" t="n">
        <v>0</v>
      </c>
      <c r="N235" t="n">
        <v>0</v>
      </c>
      <c r="O235" t="n">
        <v>1</v>
      </c>
      <c r="P235" t="n">
        <v>0</v>
      </c>
      <c r="Q235" t="n">
        <v>1</v>
      </c>
      <c r="R235" s="2" t="inlineStr">
        <is>
          <t>Garnlav</t>
        </is>
      </c>
      <c r="S235">
        <f>HYPERLINK("https://klasma.github.io/Logging_2303/artfynd/A 33241-2019 artfynd.xlsx", "A 33241-2019")</f>
        <v/>
      </c>
      <c r="T235">
        <f>HYPERLINK("https://klasma.github.io/Logging_2303/kartor/A 33241-2019 karta.png", "A 33241-2019")</f>
        <v/>
      </c>
      <c r="V235">
        <f>HYPERLINK("https://klasma.github.io/Logging_2303/klagomål/A 33241-2019 FSC-klagomål.docx", "A 33241-2019")</f>
        <v/>
      </c>
      <c r="W235">
        <f>HYPERLINK("https://klasma.github.io/Logging_2303/klagomålsmail/A 33241-2019 FSC-klagomål mail.docx", "A 33241-2019")</f>
        <v/>
      </c>
      <c r="X235">
        <f>HYPERLINK("https://klasma.github.io/Logging_2303/tillsyn/A 33241-2019 tillsynsbegäran.docx", "A 33241-2019")</f>
        <v/>
      </c>
      <c r="Y235">
        <f>HYPERLINK("https://klasma.github.io/Logging_2303/tillsynsmail/A 33241-2019 tillsynsbegäran mail.docx", "A 33241-2019")</f>
        <v/>
      </c>
    </row>
    <row r="236" ht="15" customHeight="1">
      <c r="A236" t="inlineStr">
        <is>
          <t>A 61777-2019</t>
        </is>
      </c>
      <c r="B236" s="1" t="n">
        <v>43784</v>
      </c>
      <c r="C236" s="1" t="n">
        <v>45642</v>
      </c>
      <c r="D236" t="inlineStr">
        <is>
          <t>JÄMTLANDS LÄN</t>
        </is>
      </c>
      <c r="E236" t="inlineStr">
        <is>
          <t>RAGUNDA</t>
        </is>
      </c>
      <c r="F236" t="inlineStr">
        <is>
          <t>SCA</t>
        </is>
      </c>
      <c r="G236" t="n">
        <v>6.1</v>
      </c>
      <c r="H236" t="n">
        <v>1</v>
      </c>
      <c r="I236" t="n">
        <v>1</v>
      </c>
      <c r="J236" t="n">
        <v>0</v>
      </c>
      <c r="K236" t="n">
        <v>0</v>
      </c>
      <c r="L236" t="n">
        <v>0</v>
      </c>
      <c r="M236" t="n">
        <v>0</v>
      </c>
      <c r="N236" t="n">
        <v>0</v>
      </c>
      <c r="O236" t="n">
        <v>0</v>
      </c>
      <c r="P236" t="n">
        <v>0</v>
      </c>
      <c r="Q236" t="n">
        <v>1</v>
      </c>
      <c r="R236" s="2" t="inlineStr">
        <is>
          <t>Guckusko</t>
        </is>
      </c>
      <c r="S236">
        <f>HYPERLINK("https://klasma.github.io/Logging_2303/artfynd/A 61777-2019 artfynd.xlsx", "A 61777-2019")</f>
        <v/>
      </c>
      <c r="T236">
        <f>HYPERLINK("https://klasma.github.io/Logging_2303/kartor/A 61777-2019 karta.png", "A 61777-2019")</f>
        <v/>
      </c>
      <c r="V236">
        <f>HYPERLINK("https://klasma.github.io/Logging_2303/klagomål/A 61777-2019 FSC-klagomål.docx", "A 61777-2019")</f>
        <v/>
      </c>
      <c r="W236">
        <f>HYPERLINK("https://klasma.github.io/Logging_2303/klagomålsmail/A 61777-2019 FSC-klagomål mail.docx", "A 61777-2019")</f>
        <v/>
      </c>
      <c r="X236">
        <f>HYPERLINK("https://klasma.github.io/Logging_2303/tillsyn/A 61777-2019 tillsynsbegäran.docx", "A 61777-2019")</f>
        <v/>
      </c>
      <c r="Y236">
        <f>HYPERLINK("https://klasma.github.io/Logging_2303/tillsynsmail/A 61777-2019 tillsynsbegäran mail.docx", "A 61777-2019")</f>
        <v/>
      </c>
    </row>
    <row r="237" ht="15" customHeight="1">
      <c r="A237" t="inlineStr">
        <is>
          <t>A 63221-2019</t>
        </is>
      </c>
      <c r="B237" s="1" t="n">
        <v>43791</v>
      </c>
      <c r="C237" s="1" t="n">
        <v>45642</v>
      </c>
      <c r="D237" t="inlineStr">
        <is>
          <t>JÄMTLANDS LÄN</t>
        </is>
      </c>
      <c r="E237" t="inlineStr">
        <is>
          <t>RAGUNDA</t>
        </is>
      </c>
      <c r="G237" t="n">
        <v>2.2</v>
      </c>
      <c r="H237" t="n">
        <v>0</v>
      </c>
      <c r="I237" t="n">
        <v>1</v>
      </c>
      <c r="J237" t="n">
        <v>0</v>
      </c>
      <c r="K237" t="n">
        <v>0</v>
      </c>
      <c r="L237" t="n">
        <v>0</v>
      </c>
      <c r="M237" t="n">
        <v>0</v>
      </c>
      <c r="N237" t="n">
        <v>0</v>
      </c>
      <c r="O237" t="n">
        <v>0</v>
      </c>
      <c r="P237" t="n">
        <v>0</v>
      </c>
      <c r="Q237" t="n">
        <v>1</v>
      </c>
      <c r="R237" s="2" t="inlineStr">
        <is>
          <t>Dvärghäxört</t>
        </is>
      </c>
      <c r="S237">
        <f>HYPERLINK("https://klasma.github.io/Logging_2303/artfynd/A 63221-2019 artfynd.xlsx", "A 63221-2019")</f>
        <v/>
      </c>
      <c r="T237">
        <f>HYPERLINK("https://klasma.github.io/Logging_2303/kartor/A 63221-2019 karta.png", "A 63221-2019")</f>
        <v/>
      </c>
      <c r="V237">
        <f>HYPERLINK("https://klasma.github.io/Logging_2303/klagomål/A 63221-2019 FSC-klagomål.docx", "A 63221-2019")</f>
        <v/>
      </c>
      <c r="W237">
        <f>HYPERLINK("https://klasma.github.io/Logging_2303/klagomålsmail/A 63221-2019 FSC-klagomål mail.docx", "A 63221-2019")</f>
        <v/>
      </c>
      <c r="X237">
        <f>HYPERLINK("https://klasma.github.io/Logging_2303/tillsyn/A 63221-2019 tillsynsbegäran.docx", "A 63221-2019")</f>
        <v/>
      </c>
      <c r="Y237">
        <f>HYPERLINK("https://klasma.github.io/Logging_2303/tillsynsmail/A 63221-2019 tillsynsbegäran mail.docx", "A 63221-2019")</f>
        <v/>
      </c>
    </row>
    <row r="238" ht="15" customHeight="1">
      <c r="A238" t="inlineStr">
        <is>
          <t>A 16044-2020</t>
        </is>
      </c>
      <c r="B238" s="1" t="n">
        <v>43916</v>
      </c>
      <c r="C238" s="1" t="n">
        <v>45642</v>
      </c>
      <c r="D238" t="inlineStr">
        <is>
          <t>JÄMTLANDS LÄN</t>
        </is>
      </c>
      <c r="E238" t="inlineStr">
        <is>
          <t>RAGUNDA</t>
        </is>
      </c>
      <c r="G238" t="n">
        <v>7.6</v>
      </c>
      <c r="H238" t="n">
        <v>1</v>
      </c>
      <c r="I238" t="n">
        <v>0</v>
      </c>
      <c r="J238" t="n">
        <v>0</v>
      </c>
      <c r="K238" t="n">
        <v>1</v>
      </c>
      <c r="L238" t="n">
        <v>0</v>
      </c>
      <c r="M238" t="n">
        <v>0</v>
      </c>
      <c r="N238" t="n">
        <v>0</v>
      </c>
      <c r="O238" t="n">
        <v>1</v>
      </c>
      <c r="P238" t="n">
        <v>1</v>
      </c>
      <c r="Q238" t="n">
        <v>1</v>
      </c>
      <c r="R238" s="2" t="inlineStr">
        <is>
          <t>Knärot</t>
        </is>
      </c>
      <c r="S238">
        <f>HYPERLINK("https://klasma.github.io/Logging_2303/artfynd/A 16044-2020 artfynd.xlsx", "A 16044-2020")</f>
        <v/>
      </c>
      <c r="T238">
        <f>HYPERLINK("https://klasma.github.io/Logging_2303/kartor/A 16044-2020 karta.png", "A 16044-2020")</f>
        <v/>
      </c>
      <c r="U238">
        <f>HYPERLINK("https://klasma.github.io/Logging_2303/knärot/A 16044-2020 karta knärot.png", "A 16044-2020")</f>
        <v/>
      </c>
      <c r="V238">
        <f>HYPERLINK("https://klasma.github.io/Logging_2303/klagomål/A 16044-2020 FSC-klagomål.docx", "A 16044-2020")</f>
        <v/>
      </c>
      <c r="W238">
        <f>HYPERLINK("https://klasma.github.io/Logging_2303/klagomålsmail/A 16044-2020 FSC-klagomål mail.docx", "A 16044-2020")</f>
        <v/>
      </c>
      <c r="X238">
        <f>HYPERLINK("https://klasma.github.io/Logging_2303/tillsyn/A 16044-2020 tillsynsbegäran.docx", "A 16044-2020")</f>
        <v/>
      </c>
      <c r="Y238">
        <f>HYPERLINK("https://klasma.github.io/Logging_2303/tillsynsmail/A 16044-2020 tillsynsbegäran mail.docx", "A 16044-2020")</f>
        <v/>
      </c>
    </row>
    <row r="239" ht="15" customHeight="1">
      <c r="A239" t="inlineStr">
        <is>
          <t>A 24657-2020</t>
        </is>
      </c>
      <c r="B239" s="1" t="n">
        <v>43977</v>
      </c>
      <c r="C239" s="1" t="n">
        <v>45642</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45642</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45642</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45642</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45642</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45642</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45642</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45642</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45642</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45642</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45642</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45642</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45642</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45642</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45642</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45642</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45642</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45642</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45642</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45642</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45642</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45642</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45642</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45642</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45642</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45642</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45642</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45642</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45642</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45642</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45642</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45642</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45642</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45642</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45642</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45642</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45642</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45642</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45642</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45642</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45642</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45642</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45642</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45642</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45642</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45642</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45642</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45642</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45642</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45642</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45642</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45642</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45642</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45642</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45642</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45642</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45642</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45642</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45642</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45642</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45642</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45642</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45642</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45642</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45642</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45642</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45642</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45642</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45642</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55395-2024</t>
        </is>
      </c>
      <c r="B308" s="1" t="n">
        <v>45622</v>
      </c>
      <c r="C308" s="1" t="n">
        <v>45642</v>
      </c>
      <c r="D308" t="inlineStr">
        <is>
          <t>JÄMTLANDS LÄN</t>
        </is>
      </c>
      <c r="E308" t="inlineStr">
        <is>
          <t>RAGUNDA</t>
        </is>
      </c>
      <c r="G308" t="n">
        <v>3.2</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55395-2024 artfynd.xlsx", "A 55395-2024")</f>
        <v/>
      </c>
      <c r="T308">
        <f>HYPERLINK("https://klasma.github.io/Logging_2303/kartor/A 55395-2024 karta.png", "A 55395-2024")</f>
        <v/>
      </c>
      <c r="V308">
        <f>HYPERLINK("https://klasma.github.io/Logging_2303/klagomål/A 55395-2024 FSC-klagomål.docx", "A 55395-2024")</f>
        <v/>
      </c>
      <c r="W308">
        <f>HYPERLINK("https://klasma.github.io/Logging_2303/klagomålsmail/A 55395-2024 FSC-klagomål mail.docx", "A 55395-2024")</f>
        <v/>
      </c>
      <c r="X308">
        <f>HYPERLINK("https://klasma.github.io/Logging_2303/tillsyn/A 55395-2024 tillsynsbegäran.docx", "A 55395-2024")</f>
        <v/>
      </c>
      <c r="Y308">
        <f>HYPERLINK("https://klasma.github.io/Logging_2303/tillsynsmail/A 55395-2024 tillsynsbegäran mail.docx", "A 55395-2024")</f>
        <v/>
      </c>
      <c r="Z308">
        <f>HYPERLINK("https://klasma.github.io/Logging_2303/fåglar/A 55395-2024 prioriterade fågelarter.docx", "A 55395-2024")</f>
        <v/>
      </c>
    </row>
    <row r="309" ht="15" customHeight="1">
      <c r="A309" t="inlineStr">
        <is>
          <t>A 55431-2024</t>
        </is>
      </c>
      <c r="B309" s="1" t="n">
        <v>45622</v>
      </c>
      <c r="C309" s="1" t="n">
        <v>45642</v>
      </c>
      <c r="D309" t="inlineStr">
        <is>
          <t>JÄMTLANDS LÄN</t>
        </is>
      </c>
      <c r="E309" t="inlineStr">
        <is>
          <t>RAGUNDA</t>
        </is>
      </c>
      <c r="G309" t="n">
        <v>6.8</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55431-2024 artfynd.xlsx", "A 55431-2024")</f>
        <v/>
      </c>
      <c r="T309">
        <f>HYPERLINK("https://klasma.github.io/Logging_2303/kartor/A 55431-2024 karta.png", "A 55431-2024")</f>
        <v/>
      </c>
      <c r="V309">
        <f>HYPERLINK("https://klasma.github.io/Logging_2303/klagomål/A 55431-2024 FSC-klagomål.docx", "A 55431-2024")</f>
        <v/>
      </c>
      <c r="W309">
        <f>HYPERLINK("https://klasma.github.io/Logging_2303/klagomålsmail/A 55431-2024 FSC-klagomål mail.docx", "A 55431-2024")</f>
        <v/>
      </c>
      <c r="X309">
        <f>HYPERLINK("https://klasma.github.io/Logging_2303/tillsyn/A 55431-2024 tillsynsbegäran.docx", "A 55431-2024")</f>
        <v/>
      </c>
      <c r="Y309">
        <f>HYPERLINK("https://klasma.github.io/Logging_2303/tillsynsmail/A 55431-2024 tillsynsbegäran mail.docx", "A 55431-2024")</f>
        <v/>
      </c>
      <c r="Z309">
        <f>HYPERLINK("https://klasma.github.io/Logging_2303/fåglar/A 55431-2024 prioriterade fågelarter.docx", "A 55431-2024")</f>
        <v/>
      </c>
    </row>
    <row r="310" ht="15" customHeight="1">
      <c r="A310" t="inlineStr">
        <is>
          <t>A 56090-2024</t>
        </is>
      </c>
      <c r="B310" s="1" t="n">
        <v>45624</v>
      </c>
      <c r="C310" s="1" t="n">
        <v>45642</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45642</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45642</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45642</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45642</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45642</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45642</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45642</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45642</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45642</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45642</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45642</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45642</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45642</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45642</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45642</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45642</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45642</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45642</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45642</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45642</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45642</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45642</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45642</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45642</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45642</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45642</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45642</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45642</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45642</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45642</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45642</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45642</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45642</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45642</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45642</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45642</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45642</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45642</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45642</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45642</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45642</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45642</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45642</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45642</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45642</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45642</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45642</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45642</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45642</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45642</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45642</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45642</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45642</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45642</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45642</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45642</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45642</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45642</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45642</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45642</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45642</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45642</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45642</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45642</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45642</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45642</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45642</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45642</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45642</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45642</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45642</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45642</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45642</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45642</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45642</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45642</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45642</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45642</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45642</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45642</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45642</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45642</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45642</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45642</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45642</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45642</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45642</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45642</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45642</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45642</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45642</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45642</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45642</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45642</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45642</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45642</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45642</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45642</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45642</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45642</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45642</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45642</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45642</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45642</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45642</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45642</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45642</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45642</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45642</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45642</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45642</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45642</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45642</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45642</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45642</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45642</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45642</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45642</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45642</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45642</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45642</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45642</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45642</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45642</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45642</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45642</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45642</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45642</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45642</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45642</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45642</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45642</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45642</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45642</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45642</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45642</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45642</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45642</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45642</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45642</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45642</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45642</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45642</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45642</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45642</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45642</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45642</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45642</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45642</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45642</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45642</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45642</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45642</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45642</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45642</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45642</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45642</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45642</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45642</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45642</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45642</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45642</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45642</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45642</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45642</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45642</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45642</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45642</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45642</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45642</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45642</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45642</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45642</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45642</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45642</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45642</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45642</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45642</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45642</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45642</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45642</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45642</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45642</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45642</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45642</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45642</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45642</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45642</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45642</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45642</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45642</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45642</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45642</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45642</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45642</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45642</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45642</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45642</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45642</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45642</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45642</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45642</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45642</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45642</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45642</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45642</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45642</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45642</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45642</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45642</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45642</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45642</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45642</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45642</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45642</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45642</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45642</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45642</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45642</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45642</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45642</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45642</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45642</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45642</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45642</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45642</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45642</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45642</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45642</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45642</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45642</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45642</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45642</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45642</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45642</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45642</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45642</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45642</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45642</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45642</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45642</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45642</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45642</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45642</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45642</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45642</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45642</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45642</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45642</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45642</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45642</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45642</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45642</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45642</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45642</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45642</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45642</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45642</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45642</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45642</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45642</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45642</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45642</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45642</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45642</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45642</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45642</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45642</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45642</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45642</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45642</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45642</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45642</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45642</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45642</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45642</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45642</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45642</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45642</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45642</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45642</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45642</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45642</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45642</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45642</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45642</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45642</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45642</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45642</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45642</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45642</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45642</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45642</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45642</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45642</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45642</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45642</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45642</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45642</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45642</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45642</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45642</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45642</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45642</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45642</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45642</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45642</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45642</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45642</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45642</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45642</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45642</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45642</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45642</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45642</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45642</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45642</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45642</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45642</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45642</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45642</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45642</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45642</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45642</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45642</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45642</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45642</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45642</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45642</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45642</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45642</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45642</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45642</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45642</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45642</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45642</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45642</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45642</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45642</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45642</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45642</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45642</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45642</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45642</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45642</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45642</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45642</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45642</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45642</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45642</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45642</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45642</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45642</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45642</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45642</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45642</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45642</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45642</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45642</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45642</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45642</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45642</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45642</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45642</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45642</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45642</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45642</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45642</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45642</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45642</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45642</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45642</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45642</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45642</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45642</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45642</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45642</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45642</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45642</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45642</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45642</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45642</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45642</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45642</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45642</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45642</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45642</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45642</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45642</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45642</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45642</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45642</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45642</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45642</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45642</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45642</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45642</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45642</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45642</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45642</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45642</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45642</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45642</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45642</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45642</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45642</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45642</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45642</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45642</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45642</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45642</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45642</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45642</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45642</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45642</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45642</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45642</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45642</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45642</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45642</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45642</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45642</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45642</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45642</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45642</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45642</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45642</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45642</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45642</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45642</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45642</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45642</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45642</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45642</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45642</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45642</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45642</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45642</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45642</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45642</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45642</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45642</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45642</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45642</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45642</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45642</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45642</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45642</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45642</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45642</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45642</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45642</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45642</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45642</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45642</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45642</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45642</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45642</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45642</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45642</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45642</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45642</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45642</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45642</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45642</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45642</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45642</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45642</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45642</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45642</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45642</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45642</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45642</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45642</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45642</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45642</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45642</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45642</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45642</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45642</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45642</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45642</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45642</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45642</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45642</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45642</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45642</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45642</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45642</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45642</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45642</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45642</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45642</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45642</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45642</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45642</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45642</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45642</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45642</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45642</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45642</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45642</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45642</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45642</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45642</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45642</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45642</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45642</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45642</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45642</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45642</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45642</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45642</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45642</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45642</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45642</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45642</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45642</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45642</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45642</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45642</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45642</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45642</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45642</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45642</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45642</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45642</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45642</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45642</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45642</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45642</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45642</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45642</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45642</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45642</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45642</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45642</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45642</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45642</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45642</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45642</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45642</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45642</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45642</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45642</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45642</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45642</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45642</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45642</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45642</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45642</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45642</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45642</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45642</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45642</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45642</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45642</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45642</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45642</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45642</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45642</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45642</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45642</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45642</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45642</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45642</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45642</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45642</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45642</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45642</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45642</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45642</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45642</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45642</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45642</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45642</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45642</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45642</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45642</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45642</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45642</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45642</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45642</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45642</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45642</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45642</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45642</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45642</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45642</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45642</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45642</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45642</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45642</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45642</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45642</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45642</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45642</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45642</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45642</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45642</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45642</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45642</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45642</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45642</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45642</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45642</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45642</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45642</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45642</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45642</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45642</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45642</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45642</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45642</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45642</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45642</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45642</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45642</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45642</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45642</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45642</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45642</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45642</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45642</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45642</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45642</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45642</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45642</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45642</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45642</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45642</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45642</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45642</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45642</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45642</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45642</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45642</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45642</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45642</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45642</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45642</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45642</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45642</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45642</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45642</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45642</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45642</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45642</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45642</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45642</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45642</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45642</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45642</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45642</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45642</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45642</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45642</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45642</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45642</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45642</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45642</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45642</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45642</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45642</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45642</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45642</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45642</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45642</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45642</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45642</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45642</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45642</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45642</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45642</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45642</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45642</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45642</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45642</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45642</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45642</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45642</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45642</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45642</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45642</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45642</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45642</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45642</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45642</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45642</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45642</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45642</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45642</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45642</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45642</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45642</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45642</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45642</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45642</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45642</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45642</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45642</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45642</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45642</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45642</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45642</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45642</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45642</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45642</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45642</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45642</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45642</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45642</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45642</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45642</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45642</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45642</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45642</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45642</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45642</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45642</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45642</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45642</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45642</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45642</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45642</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45642</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45642</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45642</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45642</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45642</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45642</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45642</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45642</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45642</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45642</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45642</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45642</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45642</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45642</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45642</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45642</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45642</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45642</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45642</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45642</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45642</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45642</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45642</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45642</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45642</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45642</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45642</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45642</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45642</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45642</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45642</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45642</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45642</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45642</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45642</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45642</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45642</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45642</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45642</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45642</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45642</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45642</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45642</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45642</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45642</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45642</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45642</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45642</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45642</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45642</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45642</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45642</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45642</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45642</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45642</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45642</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45642</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45642</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45642</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45642</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45642</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45642</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45642</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45642</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45642</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45642</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45642</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45642</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45642</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45642</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45642</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45642</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45642</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45642</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45642</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45642</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45642</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45642</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45642</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45642</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45642</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45642</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45642</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45642</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45642</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45642</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45642</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45642</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45642</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45642</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45642</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45642</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45642</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45642</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45642</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45642</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45642</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45642</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45642</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45642</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45642</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45642</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45642</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45642</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45642</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45642</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45642</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45642</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45642</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45642</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45642</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45642</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45642</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45642</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45642</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45642</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45642</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45642</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45642</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45642</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45642</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45642</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45642</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45642</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45642</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45642</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45642</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45642</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45642</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45642</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45642</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45642</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45642</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45642</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45642</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45642</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45642</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45642</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45642</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45642</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45642</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45642</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45642</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45642</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45642</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45642</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45642</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45642</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45642</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45642</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45642</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45642</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45642</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45642</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45642</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45642</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45642</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45642</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45642</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45642</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45642</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45642</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45642</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45642</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45642</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45642</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45642</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45642</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45642</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45642</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45642</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45642</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45642</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45642</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45642</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45642</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45642</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45642</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45642</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45642</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45642</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45642</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45642</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45642</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45642</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45642</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45642</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45642</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45642</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45642</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45642</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45642</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45642</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45642</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45642</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45642</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45642</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45642</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45642</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45642</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45642</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45642</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45642</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45642</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45642</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45642</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45642</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45642</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45642</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45642</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45642</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45642</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45642</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45642</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45642</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45642</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45642</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45642</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45642</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45642</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45642</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45642</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45642</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45642</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45642</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45642</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45642</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45642</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45642</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45642</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45642</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45642</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45642</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45642</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45642</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45642</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45642</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45642</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45642</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45642</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45642</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45642</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45642</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45642</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45642</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45642</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45642</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45642</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45642</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45642</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45642</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45642</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45642</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45642</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45642</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45642</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45642</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45642</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45642</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45642</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45642</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45642</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45642</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45642</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45642</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45642</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45642</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45642</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45642</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45642</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45642</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45642</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45642</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45642</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45642</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45642</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45642</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45642</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45642</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45642</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45642</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45642</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45642</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45642</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45642</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45642</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45642</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45642</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45642</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45642</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45642</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45642</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45642</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45642</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45642</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45642</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45642</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45642</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45642</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45642</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45642</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45642</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45642</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45642</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45642</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45642</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45642</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45642</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45642</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45642</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45642</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45642</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45642</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45642</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45642</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45642</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45642</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45642</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45642</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45642</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45642</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45642</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45642</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45642</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45642</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45642</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45642</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45642</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45642</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45642</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45642</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45642</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45642</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45642</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45642</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45642</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45642</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45642</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45642</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45642</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45642</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45642</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45642</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45642</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45642</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45642</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45642</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45642</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45642</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45642</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45642</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45642</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45642</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45642</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45642</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45642</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45642</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45642</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45642</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45642</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45642</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45642</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45642</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45642</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45642</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45642</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45642</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45642</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45642</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45642</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45642</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45642</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45642</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45642</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45642</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45642</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45642</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45642</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45642</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45642</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45642</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45642</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45642</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45642</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45642</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45642</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45642</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45642</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45642</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45642</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45642</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45642</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45642</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45642</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45642</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45642</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45642</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45642</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45642</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45642</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45642</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45642</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45642</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45642</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45642</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45642</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45642</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45642</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45642</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45642</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45642</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45642</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45642</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45642</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45642</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45642</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45642</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45642</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45642</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45642</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45642</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45642</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45642</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45642</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45642</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45642</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45642</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45642</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45642</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45642</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45642</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45642</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45642</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45642</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45642</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45642</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45642</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45642</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45642</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45642</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45642</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45642</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45642</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45642</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45642</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45642</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45642</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45642</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45642</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45642</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45642</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45642</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45642</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45642</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45642</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45642</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45642</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45642</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45642</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45642</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45642</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45642</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45642</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45642</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45642</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45642</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45642</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45642</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45642</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45642</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45642</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45642</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45642</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45642</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45642</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45642</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45642</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45642</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45642</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45642</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45642</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45642</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45642</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45642</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45642</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45642</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45642</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45642</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45642</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45642</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45642</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45642</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45642</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45642</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45642</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45642</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45642</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45642</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45642</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45642</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45642</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45642</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45642</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45642</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45642</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45642</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45642</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45642</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45642</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45642</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45642</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45642</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45642</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45642</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45642</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45642</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45642</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45642</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45642</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45642</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45642</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45642</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45642</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45642</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45642</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45642</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45642</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45642</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45642</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45642</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45642</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45642</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45642</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45642</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45642</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45642</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45642</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45642</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45642</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45642</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45642</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45642</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45642</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45642</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45642</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45642</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45642</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45642</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45642</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45642</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45642</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45642</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45642</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45642</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45642</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45642</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45642</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45642</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45642</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45642</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45642</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45642</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45642</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45642</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45642</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45642</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45642</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45642</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45642</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45642</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45642</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45642</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45642</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45642</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45642</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45642</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45642</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45642</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45642</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45642</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45642</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45642</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45642</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45642</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45642</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45642</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45642</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45642</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45642</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45642</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45642</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45642</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45642</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45642</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45642</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45642</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45642</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45642</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45642</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45642</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45642</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45642</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45642</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45642</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45642</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45642</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45642</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45642</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45642</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45642</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45642</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45642</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45642</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45642</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45642</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45642</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45642</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45642</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45642</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45642</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45642</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45642</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45642</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45642</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45642</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45642</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45642</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45642</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45642</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45642</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45642</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45642</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45642</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45642</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45642</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45642</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45642</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45642</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45642</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45642</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45642</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45642</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45642</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45642</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45642</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45642</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45642</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45642</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45642</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45642</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45642</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45642</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45642</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45642</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45642</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45642</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45642</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45642</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45642</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45642</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45642</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45642</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45642</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45642</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45642</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45642</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45642</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53264-2024</t>
        </is>
      </c>
      <c r="B1703" s="1" t="n">
        <v>45614</v>
      </c>
      <c r="C1703" s="1" t="n">
        <v>45642</v>
      </c>
      <c r="D1703" t="inlineStr">
        <is>
          <t>JÄMTLANDS LÄN</t>
        </is>
      </c>
      <c r="E1703" t="inlineStr">
        <is>
          <t>RAGUNDA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53263-2024</t>
        </is>
      </c>
      <c r="B1704" s="1" t="n">
        <v>45614</v>
      </c>
      <c r="C1704" s="1" t="n">
        <v>45642</v>
      </c>
      <c r="D1704" t="inlineStr">
        <is>
          <t>JÄMTLANDS LÄN</t>
        </is>
      </c>
      <c r="E1704" t="inlineStr">
        <is>
          <t>RAGUNDA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53561-2024</t>
        </is>
      </c>
      <c r="B1705" s="1" t="n">
        <v>45614</v>
      </c>
      <c r="C1705" s="1" t="n">
        <v>45642</v>
      </c>
      <c r="D1705" t="inlineStr">
        <is>
          <t>JÄMTLANDS LÄN</t>
        </is>
      </c>
      <c r="E1705" t="inlineStr">
        <is>
          <t>RAGUNDA</t>
        </is>
      </c>
      <c r="F1705" t="inlineStr">
        <is>
          <t>Naturvårdsverket</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45642</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53549-2024</t>
        </is>
      </c>
      <c r="B1707" s="1" t="n">
        <v>45614</v>
      </c>
      <c r="C1707" s="1" t="n">
        <v>45642</v>
      </c>
      <c r="D1707" t="inlineStr">
        <is>
          <t>JÄMTLANDS LÄN</t>
        </is>
      </c>
      <c r="E1707" t="inlineStr">
        <is>
          <t>RAGUNDA</t>
        </is>
      </c>
      <c r="F1707" t="inlineStr">
        <is>
          <t>Kyrkan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45642</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45642</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45642</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53989-2024</t>
        </is>
      </c>
      <c r="B1711" s="1" t="n">
        <v>45616</v>
      </c>
      <c r="C1711" s="1" t="n">
        <v>45642</v>
      </c>
      <c r="D1711" t="inlineStr">
        <is>
          <t>JÄMTLANDS LÄN</t>
        </is>
      </c>
      <c r="E1711" t="inlineStr">
        <is>
          <t>RAGUNDA</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53990-2024</t>
        </is>
      </c>
      <c r="B1712" s="1" t="n">
        <v>45616</v>
      </c>
      <c r="C1712" s="1" t="n">
        <v>45642</v>
      </c>
      <c r="D1712" t="inlineStr">
        <is>
          <t>JÄMTLANDS LÄN</t>
        </is>
      </c>
      <c r="E1712" t="inlineStr">
        <is>
          <t>RAGUNDA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54061-2024</t>
        </is>
      </c>
      <c r="B1713" s="1" t="n">
        <v>45616</v>
      </c>
      <c r="C1713" s="1" t="n">
        <v>45642</v>
      </c>
      <c r="D1713" t="inlineStr">
        <is>
          <t>JÄMTLANDS LÄN</t>
        </is>
      </c>
      <c r="E1713" t="inlineStr">
        <is>
          <t>RAGUNDA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54092-2024</t>
        </is>
      </c>
      <c r="B1714" s="1" t="n">
        <v>45616</v>
      </c>
      <c r="C1714" s="1" t="n">
        <v>45642</v>
      </c>
      <c r="D1714" t="inlineStr">
        <is>
          <t>JÄMTLANDS LÄN</t>
        </is>
      </c>
      <c r="E1714" t="inlineStr">
        <is>
          <t>RAGUNDA</t>
        </is>
      </c>
      <c r="F1714" t="inlineStr">
        <is>
          <t>Naturvårdsverket</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45642</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45642</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45642</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54694-2024</t>
        </is>
      </c>
      <c r="B1718" s="1" t="n">
        <v>45618</v>
      </c>
      <c r="C1718" s="1" t="n">
        <v>45642</v>
      </c>
      <c r="D1718" t="inlineStr">
        <is>
          <t>JÄMTLANDS LÄN</t>
        </is>
      </c>
      <c r="E1718" t="inlineStr">
        <is>
          <t>RAGUNDA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54733-2024</t>
        </is>
      </c>
      <c r="B1719" s="1" t="n">
        <v>45618</v>
      </c>
      <c r="C1719" s="1" t="n">
        <v>45642</v>
      </c>
      <c r="D1719" t="inlineStr">
        <is>
          <t>JÄMTLANDS LÄN</t>
        </is>
      </c>
      <c r="E1719" t="inlineStr">
        <is>
          <t>RAGUNDA</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45642</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45642</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55465-2024</t>
        </is>
      </c>
      <c r="B1722" s="1" t="n">
        <v>45622</v>
      </c>
      <c r="C1722" s="1" t="n">
        <v>45642</v>
      </c>
      <c r="D1722" t="inlineStr">
        <is>
          <t>JÄMTLANDS LÄN</t>
        </is>
      </c>
      <c r="E1722" t="inlineStr">
        <is>
          <t>RAGUNDA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55489-2024</t>
        </is>
      </c>
      <c r="B1723" s="1" t="n">
        <v>45622</v>
      </c>
      <c r="C1723" s="1" t="n">
        <v>45642</v>
      </c>
      <c r="D1723" t="inlineStr">
        <is>
          <t>JÄMTLANDS LÄN</t>
        </is>
      </c>
      <c r="E1723" t="inlineStr">
        <is>
          <t>RAGUNDA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55408-2024</t>
        </is>
      </c>
      <c r="B1724" s="1" t="n">
        <v>45622</v>
      </c>
      <c r="C1724" s="1" t="n">
        <v>45642</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45642</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55421-2024</t>
        </is>
      </c>
      <c r="B1726" s="1" t="n">
        <v>45622</v>
      </c>
      <c r="C1726" s="1" t="n">
        <v>45642</v>
      </c>
      <c r="D1726" t="inlineStr">
        <is>
          <t>JÄMTLANDS LÄN</t>
        </is>
      </c>
      <c r="E1726" t="inlineStr">
        <is>
          <t>RAGUNDA</t>
        </is>
      </c>
      <c r="F1726" t="inlineStr">
        <is>
          <t>SCA</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55508-2024</t>
        </is>
      </c>
      <c r="B1727" s="1" t="n">
        <v>45622</v>
      </c>
      <c r="C1727" s="1" t="n">
        <v>45642</v>
      </c>
      <c r="D1727" t="inlineStr">
        <is>
          <t>JÄMTLANDS LÄN</t>
        </is>
      </c>
      <c r="E1727" t="inlineStr">
        <is>
          <t>RAGUNDA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55536-2024</t>
        </is>
      </c>
      <c r="B1728" s="1" t="n">
        <v>45622</v>
      </c>
      <c r="C1728" s="1" t="n">
        <v>45642</v>
      </c>
      <c r="D1728" t="inlineStr">
        <is>
          <t>JÄMTLANDS LÄN</t>
        </is>
      </c>
      <c r="E1728" t="inlineStr">
        <is>
          <t>RAGUNDA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55514-2024</t>
        </is>
      </c>
      <c r="B1729" s="1" t="n">
        <v>45622</v>
      </c>
      <c r="C1729" s="1" t="n">
        <v>45642</v>
      </c>
      <c r="D1729" t="inlineStr">
        <is>
          <t>JÄMTLANDS LÄN</t>
        </is>
      </c>
      <c r="E1729" t="inlineStr">
        <is>
          <t>RAGUNDA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55524-2024</t>
        </is>
      </c>
      <c r="B1730" s="1" t="n">
        <v>45622</v>
      </c>
      <c r="C1730" s="1" t="n">
        <v>45642</v>
      </c>
      <c r="D1730" t="inlineStr">
        <is>
          <t>JÄMTLANDS LÄN</t>
        </is>
      </c>
      <c r="E1730" t="inlineStr">
        <is>
          <t>RAGUNDA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55533-2024</t>
        </is>
      </c>
      <c r="B1731" s="1" t="n">
        <v>45622</v>
      </c>
      <c r="C1731" s="1" t="n">
        <v>45642</v>
      </c>
      <c r="D1731" t="inlineStr">
        <is>
          <t>JÄMTLANDS LÄN</t>
        </is>
      </c>
      <c r="E1731" t="inlineStr">
        <is>
          <t>RAGUNDA</t>
        </is>
      </c>
      <c r="F1731" t="inlineStr">
        <is>
          <t>SCA</t>
        </is>
      </c>
      <c r="G1731" t="n">
        <v>26.3</v>
      </c>
      <c r="H1731" t="n">
        <v>0</v>
      </c>
      <c r="I1731" t="n">
        <v>0</v>
      </c>
      <c r="J1731" t="n">
        <v>0</v>
      </c>
      <c r="K1731" t="n">
        <v>0</v>
      </c>
      <c r="L1731" t="n">
        <v>0</v>
      </c>
      <c r="M1731" t="n">
        <v>0</v>
      </c>
      <c r="N1731" t="n">
        <v>0</v>
      </c>
      <c r="O1731" t="n">
        <v>0</v>
      </c>
      <c r="P1731" t="n">
        <v>0</v>
      </c>
      <c r="Q1731" t="n">
        <v>0</v>
      </c>
      <c r="R1731" s="2" t="inlineStr"/>
    </row>
    <row r="1732" ht="15" customHeight="1">
      <c r="A1732" t="inlineStr">
        <is>
          <t>A 55571-2024</t>
        </is>
      </c>
      <c r="B1732" s="1" t="n">
        <v>45622</v>
      </c>
      <c r="C1732" s="1" t="n">
        <v>45642</v>
      </c>
      <c r="D1732" t="inlineStr">
        <is>
          <t>JÄMTLANDS LÄN</t>
        </is>
      </c>
      <c r="E1732" t="inlineStr">
        <is>
          <t>RAGUNDA</t>
        </is>
      </c>
      <c r="F1732" t="inlineStr">
        <is>
          <t>SCA</t>
        </is>
      </c>
      <c r="G1732" t="n">
        <v>41.5</v>
      </c>
      <c r="H1732" t="n">
        <v>0</v>
      </c>
      <c r="I1732" t="n">
        <v>0</v>
      </c>
      <c r="J1732" t="n">
        <v>0</v>
      </c>
      <c r="K1732" t="n">
        <v>0</v>
      </c>
      <c r="L1732" t="n">
        <v>0</v>
      </c>
      <c r="M1732" t="n">
        <v>0</v>
      </c>
      <c r="N1732" t="n">
        <v>0</v>
      </c>
      <c r="O1732" t="n">
        <v>0</v>
      </c>
      <c r="P1732" t="n">
        <v>0</v>
      </c>
      <c r="Q1732" t="n">
        <v>0</v>
      </c>
      <c r="R1732" s="2" t="inlineStr"/>
    </row>
    <row r="1733" ht="15" customHeight="1">
      <c r="A1733" t="inlineStr">
        <is>
          <t>A 55804-2024</t>
        </is>
      </c>
      <c r="B1733" s="1" t="n">
        <v>45623</v>
      </c>
      <c r="C1733" s="1" t="n">
        <v>45642</v>
      </c>
      <c r="D1733" t="inlineStr">
        <is>
          <t>JÄMTLANDS LÄN</t>
        </is>
      </c>
      <c r="E1733" t="inlineStr">
        <is>
          <t>RAGUNDA</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55803-2024</t>
        </is>
      </c>
      <c r="B1734" s="1" t="n">
        <v>45623</v>
      </c>
      <c r="C1734" s="1" t="n">
        <v>45642</v>
      </c>
      <c r="D1734" t="inlineStr">
        <is>
          <t>JÄMTLANDS LÄN</t>
        </is>
      </c>
      <c r="E1734" t="inlineStr">
        <is>
          <t>RAGUNDA</t>
        </is>
      </c>
      <c r="F1734" t="inlineStr">
        <is>
          <t>SCA</t>
        </is>
      </c>
      <c r="G1734" t="n">
        <v>19.4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45642</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45642</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57064-2024</t>
        </is>
      </c>
      <c r="B1737" s="1" t="n">
        <v>45629</v>
      </c>
      <c r="C1737" s="1" t="n">
        <v>45642</v>
      </c>
      <c r="D1737" t="inlineStr">
        <is>
          <t>JÄMTLANDS LÄN</t>
        </is>
      </c>
      <c r="E1737" t="inlineStr">
        <is>
          <t>RAGUNDA</t>
        </is>
      </c>
      <c r="F1737" t="inlineStr">
        <is>
          <t>Naturvårdsverket</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57086-2024</t>
        </is>
      </c>
      <c r="B1738" s="1" t="n">
        <v>45629</v>
      </c>
      <c r="C1738" s="1" t="n">
        <v>45642</v>
      </c>
      <c r="D1738" t="inlineStr">
        <is>
          <t>JÄMTLANDS LÄN</t>
        </is>
      </c>
      <c r="E1738" t="inlineStr">
        <is>
          <t>RAGUNDA</t>
        </is>
      </c>
      <c r="F1738" t="inlineStr">
        <is>
          <t>SCA</t>
        </is>
      </c>
      <c r="G1738" t="n">
        <v>24.6</v>
      </c>
      <c r="H1738" t="n">
        <v>0</v>
      </c>
      <c r="I1738" t="n">
        <v>0</v>
      </c>
      <c r="J1738" t="n">
        <v>0</v>
      </c>
      <c r="K1738" t="n">
        <v>0</v>
      </c>
      <c r="L1738" t="n">
        <v>0</v>
      </c>
      <c r="M1738" t="n">
        <v>0</v>
      </c>
      <c r="N1738" t="n">
        <v>0</v>
      </c>
      <c r="O1738" t="n">
        <v>0</v>
      </c>
      <c r="P1738" t="n">
        <v>0</v>
      </c>
      <c r="Q1738" t="n">
        <v>0</v>
      </c>
      <c r="R1738" s="2" t="inlineStr"/>
    </row>
    <row r="1739" ht="15" customHeight="1">
      <c r="A1739" t="inlineStr">
        <is>
          <t>A 57112-2024</t>
        </is>
      </c>
      <c r="B1739" s="1" t="n">
        <v>45629</v>
      </c>
      <c r="C1739" s="1" t="n">
        <v>45642</v>
      </c>
      <c r="D1739" t="inlineStr">
        <is>
          <t>JÄMTLANDS LÄN</t>
        </is>
      </c>
      <c r="E1739" t="inlineStr">
        <is>
          <t>RAGUNDA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57116-2024</t>
        </is>
      </c>
      <c r="B1740" s="1" t="n">
        <v>45629</v>
      </c>
      <c r="C1740" s="1" t="n">
        <v>45642</v>
      </c>
      <c r="D1740" t="inlineStr">
        <is>
          <t>JÄMTLANDS LÄN</t>
        </is>
      </c>
      <c r="E1740" t="inlineStr">
        <is>
          <t>RAGUNDA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45642</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45642</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45642</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57889-2024</t>
        </is>
      </c>
      <c r="B1744" s="1" t="n">
        <v>45631</v>
      </c>
      <c r="C1744" s="1" t="n">
        <v>45642</v>
      </c>
      <c r="D1744" t="inlineStr">
        <is>
          <t>JÄMTLANDS LÄN</t>
        </is>
      </c>
      <c r="E1744" t="inlineStr">
        <is>
          <t>RAGUNDA</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57941-2024</t>
        </is>
      </c>
      <c r="B1745" s="1" t="n">
        <v>45631</v>
      </c>
      <c r="C1745" s="1" t="n">
        <v>45642</v>
      </c>
      <c r="D1745" t="inlineStr">
        <is>
          <t>JÄMTLANDS LÄN</t>
        </is>
      </c>
      <c r="E1745" t="inlineStr">
        <is>
          <t>RAGUNDA</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57940-2024</t>
        </is>
      </c>
      <c r="B1746" s="1" t="n">
        <v>45631</v>
      </c>
      <c r="C1746" s="1" t="n">
        <v>45642</v>
      </c>
      <c r="D1746" t="inlineStr">
        <is>
          <t>JÄMTLANDS LÄN</t>
        </is>
      </c>
      <c r="E1746" t="inlineStr">
        <is>
          <t>RAGUNDA</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45642</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45642</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58564-2024</t>
        </is>
      </c>
      <c r="B1749" s="1" t="n">
        <v>45635</v>
      </c>
      <c r="C1749" s="1" t="n">
        <v>45642</v>
      </c>
      <c r="D1749" t="inlineStr">
        <is>
          <t>JÄMTLANDS LÄN</t>
        </is>
      </c>
      <c r="E1749" t="inlineStr">
        <is>
          <t>RAGUNDA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58562-2024</t>
        </is>
      </c>
      <c r="B1750" s="1" t="n">
        <v>45635</v>
      </c>
      <c r="C1750" s="1" t="n">
        <v>45642</v>
      </c>
      <c r="D1750" t="inlineStr">
        <is>
          <t>JÄMTLANDS LÄN</t>
        </is>
      </c>
      <c r="E1750" t="inlineStr">
        <is>
          <t>RAGUNDA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58630-2024</t>
        </is>
      </c>
      <c r="B1751" s="1" t="n">
        <v>45635</v>
      </c>
      <c r="C1751" s="1" t="n">
        <v>45642</v>
      </c>
      <c r="D1751" t="inlineStr">
        <is>
          <t>JÄMTLANDS LÄN</t>
        </is>
      </c>
      <c r="E1751" t="inlineStr">
        <is>
          <t>RAGUNDA</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45642</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58843-2024</t>
        </is>
      </c>
      <c r="B1753" s="1" t="n">
        <v>45636</v>
      </c>
      <c r="C1753" s="1" t="n">
        <v>45642</v>
      </c>
      <c r="D1753" t="inlineStr">
        <is>
          <t>JÄMTLANDS LÄN</t>
        </is>
      </c>
      <c r="E1753" t="inlineStr">
        <is>
          <t>RAGUNDA</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45642</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58844-2024</t>
        </is>
      </c>
      <c r="B1755" s="1" t="n">
        <v>45636</v>
      </c>
      <c r="C1755" s="1" t="n">
        <v>45642</v>
      </c>
      <c r="D1755" t="inlineStr">
        <is>
          <t>JÄMTLANDS LÄN</t>
        </is>
      </c>
      <c r="E1755" t="inlineStr">
        <is>
          <t>RAGUNDA</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45642</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45642</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59496-2024</t>
        </is>
      </c>
      <c r="B1758" s="1" t="n">
        <v>45638</v>
      </c>
      <c r="C1758" s="1" t="n">
        <v>45642</v>
      </c>
      <c r="D1758" t="inlineStr">
        <is>
          <t>JÄMTLANDS LÄN</t>
        </is>
      </c>
      <c r="E1758" t="inlineStr">
        <is>
          <t>RAGUNDA</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59556-2024</t>
        </is>
      </c>
      <c r="B1759" s="1" t="n">
        <v>45638</v>
      </c>
      <c r="C1759" s="1" t="n">
        <v>45642</v>
      </c>
      <c r="D1759" t="inlineStr">
        <is>
          <t>JÄMTLANDS LÄN</t>
        </is>
      </c>
      <c r="E1759" t="inlineStr">
        <is>
          <t>RAGUNDA</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59800-2024</t>
        </is>
      </c>
      <c r="B1760" s="1" t="n">
        <v>45639</v>
      </c>
      <c r="C1760" s="1" t="n">
        <v>45642</v>
      </c>
      <c r="D1760" t="inlineStr">
        <is>
          <t>JÄMTLANDS LÄN</t>
        </is>
      </c>
      <c r="E1760" t="inlineStr">
        <is>
          <t>RAGUNDA</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59670-2024</t>
        </is>
      </c>
      <c r="B1761" s="1" t="n">
        <v>45639</v>
      </c>
      <c r="C1761" s="1" t="n">
        <v>45642</v>
      </c>
      <c r="D1761" t="inlineStr">
        <is>
          <t>JÄMTLANDS LÄN</t>
        </is>
      </c>
      <c r="E1761" t="inlineStr">
        <is>
          <t>RAGUNDA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59649-2024</t>
        </is>
      </c>
      <c r="B1762" s="1" t="n">
        <v>45639</v>
      </c>
      <c r="C1762" s="1" t="n">
        <v>45642</v>
      </c>
      <c r="D1762" t="inlineStr">
        <is>
          <t>JÄMTLANDS LÄN</t>
        </is>
      </c>
      <c r="E1762" t="inlineStr">
        <is>
          <t>RAGUNDA</t>
        </is>
      </c>
      <c r="F1762" t="inlineStr">
        <is>
          <t>SCA</t>
        </is>
      </c>
      <c r="G1762" t="n">
        <v>9.300000000000001</v>
      </c>
      <c r="H1762" t="n">
        <v>0</v>
      </c>
      <c r="I1762" t="n">
        <v>0</v>
      </c>
      <c r="J1762" t="n">
        <v>0</v>
      </c>
      <c r="K1762" t="n">
        <v>0</v>
      </c>
      <c r="L1762" t="n">
        <v>0</v>
      </c>
      <c r="M1762" t="n">
        <v>0</v>
      </c>
      <c r="N1762" t="n">
        <v>0</v>
      </c>
      <c r="O1762" t="n">
        <v>0</v>
      </c>
      <c r="P1762" t="n">
        <v>0</v>
      </c>
      <c r="Q1762" t="n">
        <v>0</v>
      </c>
      <c r="R1762" s="2" t="inlineStr"/>
    </row>
    <row r="1763">
      <c r="A1763" t="inlineStr">
        <is>
          <t>A 59759-2024</t>
        </is>
      </c>
      <c r="B1763" s="1" t="n">
        <v>45639</v>
      </c>
      <c r="C1763" s="1" t="n">
        <v>45642</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2024-12-16T15:14:54Z</dcterms:created>
  <dcterms:modified xmlns:dcterms="http://purl.org/dc/terms/" xmlns:xsi="http://www.w3.org/2001/XMLSchema-instance" xsi:type="dcterms:W3CDTF">2024-12-16T15:14:55Z</dcterms:modified>
</cp:coreProperties>
</file>