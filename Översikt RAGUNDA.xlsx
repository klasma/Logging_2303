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45908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45908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45908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45908</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45908</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45908</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45908</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45908</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45908</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45908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45908</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45908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45908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45908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45908</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45908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45908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45908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45908</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45908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45908</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55404-2024</t>
        </is>
      </c>
      <c r="B23" s="1" t="n">
        <v>45622</v>
      </c>
      <c r="C23" s="1" t="n">
        <v>45908</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45908</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45908</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45908</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45908</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45908</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45908</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45908</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32741-2025</t>
        </is>
      </c>
      <c r="B31" s="1" t="n">
        <v>45839.42482638889</v>
      </c>
      <c r="C31" s="1" t="n">
        <v>45908</v>
      </c>
      <c r="D31" t="inlineStr">
        <is>
          <t>JÄMTLANDS LÄN</t>
        </is>
      </c>
      <c r="E31" t="inlineStr">
        <is>
          <t>RAGUNDA</t>
        </is>
      </c>
      <c r="G31" t="n">
        <v>4.2</v>
      </c>
      <c r="H31" t="n">
        <v>4</v>
      </c>
      <c r="I31" t="n">
        <v>2</v>
      </c>
      <c r="J31" t="n">
        <v>8</v>
      </c>
      <c r="K31" t="n">
        <v>1</v>
      </c>
      <c r="L31" t="n">
        <v>0</v>
      </c>
      <c r="M31" t="n">
        <v>0</v>
      </c>
      <c r="N31" t="n">
        <v>0</v>
      </c>
      <c r="O31" t="n">
        <v>9</v>
      </c>
      <c r="P31" t="n">
        <v>1</v>
      </c>
      <c r="Q31" t="n">
        <v>11</v>
      </c>
      <c r="R31" s="2" t="inlineStr">
        <is>
          <t>Knärot
Garnlav
Kolflarnlav
Lunglav
Talltita
Tretåig hackspett
Ullticka
Vedtrappmossa
Vitgrynig nållav
Spindelblomster
Stuplav</t>
        </is>
      </c>
      <c r="S31">
        <f>HYPERLINK("https://klasma.github.io/Logging_2303/artfynd/A 32741-2025 artfynd.xlsx", "A 32741-2025")</f>
        <v/>
      </c>
      <c r="T31">
        <f>HYPERLINK("https://klasma.github.io/Logging_2303/kartor/A 32741-2025 karta.png", "A 32741-2025")</f>
        <v/>
      </c>
      <c r="U31">
        <f>HYPERLINK("https://klasma.github.io/Logging_2303/knärot/A 32741-2025 karta knärot.png", "A 32741-2025")</f>
        <v/>
      </c>
      <c r="V31">
        <f>HYPERLINK("https://klasma.github.io/Logging_2303/klagomål/A 32741-2025 FSC-klagomål.docx", "A 32741-2025")</f>
        <v/>
      </c>
      <c r="W31">
        <f>HYPERLINK("https://klasma.github.io/Logging_2303/klagomålsmail/A 32741-2025 FSC-klagomål mail.docx", "A 32741-2025")</f>
        <v/>
      </c>
      <c r="X31">
        <f>HYPERLINK("https://klasma.github.io/Logging_2303/tillsyn/A 32741-2025 tillsynsbegäran.docx", "A 32741-2025")</f>
        <v/>
      </c>
      <c r="Y31">
        <f>HYPERLINK("https://klasma.github.io/Logging_2303/tillsynsmail/A 32741-2025 tillsynsbegäran mail.docx", "A 32741-2025")</f>
        <v/>
      </c>
      <c r="Z31">
        <f>HYPERLINK("https://klasma.github.io/Logging_2303/fåglar/A 32741-2025 prioriterade fågelarter.docx", "A 32741-2025")</f>
        <v/>
      </c>
    </row>
    <row r="32" ht="15" customHeight="1">
      <c r="A32" t="inlineStr">
        <is>
          <t>A 22986-2025</t>
        </is>
      </c>
      <c r="B32" s="1" t="n">
        <v>45790.57349537037</v>
      </c>
      <c r="C32" s="1" t="n">
        <v>45908</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9347-2024</t>
        </is>
      </c>
      <c r="B33" s="1" t="n">
        <v>45358.99375</v>
      </c>
      <c r="C33" s="1" t="n">
        <v>45908</v>
      </c>
      <c r="D33" t="inlineStr">
        <is>
          <t>JÄMTLANDS LÄN</t>
        </is>
      </c>
      <c r="E33" t="inlineStr">
        <is>
          <t>RAGUNDA</t>
        </is>
      </c>
      <c r="F33" t="inlineStr">
        <is>
          <t>SCA</t>
        </is>
      </c>
      <c r="G33" t="n">
        <v>1.6</v>
      </c>
      <c r="H33" t="n">
        <v>2</v>
      </c>
      <c r="I33" t="n">
        <v>3</v>
      </c>
      <c r="J33" t="n">
        <v>6</v>
      </c>
      <c r="K33" t="n">
        <v>2</v>
      </c>
      <c r="L33" t="n">
        <v>0</v>
      </c>
      <c r="M33" t="n">
        <v>0</v>
      </c>
      <c r="N33" t="n">
        <v>0</v>
      </c>
      <c r="O33" t="n">
        <v>8</v>
      </c>
      <c r="P33" t="n">
        <v>2</v>
      </c>
      <c r="Q33" t="n">
        <v>11</v>
      </c>
      <c r="R33" s="2" t="inlineStr">
        <is>
          <t>Knärot
Rynkskinn
Garnlav
Gultoppig fingersvamp
Kolflarnlav
Mörk kolflarnlav
Rosenticka
Vedskivlav
Rödfläckig zontaggsvamp
Svavelriska
Tvåblad</t>
        </is>
      </c>
      <c r="S33">
        <f>HYPERLINK("https://klasma.github.io/Logging_2303/artfynd/A 9347-2024 artfynd.xlsx", "A 9347-2024")</f>
        <v/>
      </c>
      <c r="T33">
        <f>HYPERLINK("https://klasma.github.io/Logging_2303/kartor/A 9347-2024 karta.png", "A 9347-2024")</f>
        <v/>
      </c>
      <c r="U33">
        <f>HYPERLINK("https://klasma.github.io/Logging_2303/knärot/A 9347-2024 karta knärot.png", "A 9347-2024")</f>
        <v/>
      </c>
      <c r="V33">
        <f>HYPERLINK("https://klasma.github.io/Logging_2303/klagomål/A 9347-2024 FSC-klagomål.docx", "A 9347-2024")</f>
        <v/>
      </c>
      <c r="W33">
        <f>HYPERLINK("https://klasma.github.io/Logging_2303/klagomålsmail/A 9347-2024 FSC-klagomål mail.docx", "A 9347-2024")</f>
        <v/>
      </c>
      <c r="X33">
        <f>HYPERLINK("https://klasma.github.io/Logging_2303/tillsyn/A 9347-2024 tillsynsbegäran.docx", "A 9347-2024")</f>
        <v/>
      </c>
      <c r="Y33">
        <f>HYPERLINK("https://klasma.github.io/Logging_2303/tillsynsmail/A 9347-2024 tillsynsbegäran mail.docx", "A 9347-2024")</f>
        <v/>
      </c>
    </row>
    <row r="34" ht="15" customHeight="1">
      <c r="A34" t="inlineStr">
        <is>
          <t>A 36943-2022</t>
        </is>
      </c>
      <c r="B34" s="1" t="n">
        <v>44805</v>
      </c>
      <c r="C34" s="1" t="n">
        <v>45908</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45908</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45908</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21244-2025</t>
        </is>
      </c>
      <c r="B37" s="1" t="n">
        <v>45779.57335648148</v>
      </c>
      <c r="C37" s="1" t="n">
        <v>45908</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13483-2022</t>
        </is>
      </c>
      <c r="B38" s="1" t="n">
        <v>44645.99859953704</v>
      </c>
      <c r="C38" s="1" t="n">
        <v>45908</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41412-2024</t>
        </is>
      </c>
      <c r="B39" s="1" t="n">
        <v>45560.34484953704</v>
      </c>
      <c r="C39" s="1" t="n">
        <v>45908</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4146-2025</t>
        </is>
      </c>
      <c r="B40" s="1" t="n">
        <v>45685.36501157407</v>
      </c>
      <c r="C40" s="1" t="n">
        <v>45908</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45908</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25016-2025</t>
        </is>
      </c>
      <c r="B42" s="1" t="n">
        <v>45799.63574074074</v>
      </c>
      <c r="C42" s="1" t="n">
        <v>45908</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45908</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45908</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45908</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45008-2023</t>
        </is>
      </c>
      <c r="B46" s="1" t="n">
        <v>45190.96092592592</v>
      </c>
      <c r="C46" s="1" t="n">
        <v>45908</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45908</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45908</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19278-2025</t>
        </is>
      </c>
      <c r="B49" s="1" t="n">
        <v>45769.53180555555</v>
      </c>
      <c r="C49" s="1" t="n">
        <v>45908</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12372-2024</t>
        </is>
      </c>
      <c r="B50" s="1" t="n">
        <v>45378</v>
      </c>
      <c r="C50" s="1" t="n">
        <v>45908</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56215-2020</t>
        </is>
      </c>
      <c r="B51" s="1" t="n">
        <v>44133</v>
      </c>
      <c r="C51" s="1" t="n">
        <v>45908</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45908</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30335-2025</t>
        </is>
      </c>
      <c r="B53" s="1" t="n">
        <v>45827.5110300926</v>
      </c>
      <c r="C53" s="1" t="n">
        <v>45908</v>
      </c>
      <c r="D53" t="inlineStr">
        <is>
          <t>JÄMTLANDS LÄN</t>
        </is>
      </c>
      <c r="E53" t="inlineStr">
        <is>
          <t>RAGUNDA</t>
        </is>
      </c>
      <c r="F53" t="inlineStr">
        <is>
          <t>SCA</t>
        </is>
      </c>
      <c r="G53" t="n">
        <v>7.7</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30335-2025 artfynd.xlsx", "A 30335-2025")</f>
        <v/>
      </c>
      <c r="T53">
        <f>HYPERLINK("https://klasma.github.io/Logging_2303/kartor/A 30335-2025 karta.png", "A 30335-2025")</f>
        <v/>
      </c>
      <c r="U53">
        <f>HYPERLINK("https://klasma.github.io/Logging_2303/knärot/A 30335-2025 karta knärot.png", "A 30335-2025")</f>
        <v/>
      </c>
      <c r="V53">
        <f>HYPERLINK("https://klasma.github.io/Logging_2303/klagomål/A 30335-2025 FSC-klagomål.docx", "A 30335-2025")</f>
        <v/>
      </c>
      <c r="W53">
        <f>HYPERLINK("https://klasma.github.io/Logging_2303/klagomålsmail/A 30335-2025 FSC-klagomål mail.docx", "A 30335-2025")</f>
        <v/>
      </c>
      <c r="X53">
        <f>HYPERLINK("https://klasma.github.io/Logging_2303/tillsyn/A 30335-2025 tillsynsbegäran.docx", "A 30335-2025")</f>
        <v/>
      </c>
      <c r="Y53">
        <f>HYPERLINK("https://klasma.github.io/Logging_2303/tillsynsmail/A 30335-2025 tillsynsbegäran mail.docx", "A 30335-2025")</f>
        <v/>
      </c>
    </row>
    <row r="54" ht="15" customHeight="1">
      <c r="A54" t="inlineStr">
        <is>
          <t>A 10982-2025</t>
        </is>
      </c>
      <c r="B54" s="1" t="n">
        <v>45723.40688657408</v>
      </c>
      <c r="C54" s="1" t="n">
        <v>45908</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55465-2024</t>
        </is>
      </c>
      <c r="B55" s="1" t="n">
        <v>45622</v>
      </c>
      <c r="C55" s="1" t="n">
        <v>45908</v>
      </c>
      <c r="D55" t="inlineStr">
        <is>
          <t>JÄMTLANDS LÄN</t>
        </is>
      </c>
      <c r="E55" t="inlineStr">
        <is>
          <t>RAGUNDA</t>
        </is>
      </c>
      <c r="G55" t="n">
        <v>3.9</v>
      </c>
      <c r="H55" t="n">
        <v>2</v>
      </c>
      <c r="I55" t="n">
        <v>1</v>
      </c>
      <c r="J55" t="n">
        <v>6</v>
      </c>
      <c r="K55" t="n">
        <v>1</v>
      </c>
      <c r="L55" t="n">
        <v>0</v>
      </c>
      <c r="M55" t="n">
        <v>0</v>
      </c>
      <c r="N55" t="n">
        <v>0</v>
      </c>
      <c r="O55" t="n">
        <v>7</v>
      </c>
      <c r="P55" t="n">
        <v>1</v>
      </c>
      <c r="Q55" t="n">
        <v>8</v>
      </c>
      <c r="R55" s="2" t="inlineStr">
        <is>
          <t>Knärot
Garnlav
Liten svartspik
Lunglav
Skrovellav
Tretåig hackspett
Vitgrynig nållav
Gulnål</t>
        </is>
      </c>
      <c r="S55">
        <f>HYPERLINK("https://klasma.github.io/Logging_2303/artfynd/A 55465-2024 artfynd.xlsx", "A 55465-2024")</f>
        <v/>
      </c>
      <c r="T55">
        <f>HYPERLINK("https://klasma.github.io/Logging_2303/kartor/A 55465-2024 karta.png", "A 55465-2024")</f>
        <v/>
      </c>
      <c r="U55">
        <f>HYPERLINK("https://klasma.github.io/Logging_2303/knärot/A 55465-2024 karta knärot.png", "A 55465-2024")</f>
        <v/>
      </c>
      <c r="V55">
        <f>HYPERLINK("https://klasma.github.io/Logging_2303/klagomål/A 55465-2024 FSC-klagomål.docx", "A 55465-2024")</f>
        <v/>
      </c>
      <c r="W55">
        <f>HYPERLINK("https://klasma.github.io/Logging_2303/klagomålsmail/A 55465-2024 FSC-klagomål mail.docx", "A 55465-2024")</f>
        <v/>
      </c>
      <c r="X55">
        <f>HYPERLINK("https://klasma.github.io/Logging_2303/tillsyn/A 55465-2024 tillsynsbegäran.docx", "A 55465-2024")</f>
        <v/>
      </c>
      <c r="Y55">
        <f>HYPERLINK("https://klasma.github.io/Logging_2303/tillsynsmail/A 55465-2024 tillsynsbegäran mail.docx", "A 55465-2024")</f>
        <v/>
      </c>
      <c r="Z55">
        <f>HYPERLINK("https://klasma.github.io/Logging_2303/fåglar/A 55465-2024 prioriterade fågelarter.docx", "A 55465-2024")</f>
        <v/>
      </c>
    </row>
    <row r="56" ht="15" customHeight="1">
      <c r="A56" t="inlineStr">
        <is>
          <t>A 32475-2023</t>
        </is>
      </c>
      <c r="B56" s="1" t="n">
        <v>45120</v>
      </c>
      <c r="C56" s="1" t="n">
        <v>45908</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45908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45908</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45908</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45908</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45908</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11829-2023</t>
        </is>
      </c>
      <c r="B62" s="1" t="n">
        <v>44994</v>
      </c>
      <c r="C62" s="1" t="n">
        <v>45908</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45908</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24169-2021</t>
        </is>
      </c>
      <c r="B64" s="1" t="n">
        <v>44336</v>
      </c>
      <c r="C64" s="1" t="n">
        <v>45908</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33806-2023</t>
        </is>
      </c>
      <c r="B65" s="1" t="n">
        <v>45121</v>
      </c>
      <c r="C65" s="1" t="n">
        <v>45908</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19399-2025</t>
        </is>
      </c>
      <c r="B66" s="1" t="n">
        <v>45769.67740740741</v>
      </c>
      <c r="C66" s="1" t="n">
        <v>45908</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22466-2025</t>
        </is>
      </c>
      <c r="B67" s="1" t="n">
        <v>45786.61517361111</v>
      </c>
      <c r="C67" s="1" t="n">
        <v>45908</v>
      </c>
      <c r="D67" t="inlineStr">
        <is>
          <t>JÄMTLANDS LÄN</t>
        </is>
      </c>
      <c r="E67" t="inlineStr">
        <is>
          <t>RAGUNDA</t>
        </is>
      </c>
      <c r="F67" t="inlineStr">
        <is>
          <t>SCA</t>
        </is>
      </c>
      <c r="G67" t="n">
        <v>3.2</v>
      </c>
      <c r="H67" t="n">
        <v>3</v>
      </c>
      <c r="I67" t="n">
        <v>1</v>
      </c>
      <c r="J67" t="n">
        <v>4</v>
      </c>
      <c r="K67" t="n">
        <v>0</v>
      </c>
      <c r="L67" t="n">
        <v>0</v>
      </c>
      <c r="M67" t="n">
        <v>0</v>
      </c>
      <c r="N67" t="n">
        <v>0</v>
      </c>
      <c r="O67" t="n">
        <v>4</v>
      </c>
      <c r="P67" t="n">
        <v>0</v>
      </c>
      <c r="Q67" t="n">
        <v>7</v>
      </c>
      <c r="R67" s="2" t="inlineStr">
        <is>
          <t>Gammelgransskål
Garnlav
Lunglav
Tretåig hackspett
Stuplav
Kungsfågel
Revlummer</t>
        </is>
      </c>
      <c r="S67">
        <f>HYPERLINK("https://klasma.github.io/Logging_2303/artfynd/A 22466-2025 artfynd.xlsx", "A 22466-2025")</f>
        <v/>
      </c>
      <c r="T67">
        <f>HYPERLINK("https://klasma.github.io/Logging_2303/kartor/A 22466-2025 karta.png", "A 22466-2025")</f>
        <v/>
      </c>
      <c r="V67">
        <f>HYPERLINK("https://klasma.github.io/Logging_2303/klagomål/A 22466-2025 FSC-klagomål.docx", "A 22466-2025")</f>
        <v/>
      </c>
      <c r="W67">
        <f>HYPERLINK("https://klasma.github.io/Logging_2303/klagomålsmail/A 22466-2025 FSC-klagomål mail.docx", "A 22466-2025")</f>
        <v/>
      </c>
      <c r="X67">
        <f>HYPERLINK("https://klasma.github.io/Logging_2303/tillsyn/A 22466-2025 tillsynsbegäran.docx", "A 22466-2025")</f>
        <v/>
      </c>
      <c r="Y67">
        <f>HYPERLINK("https://klasma.github.io/Logging_2303/tillsynsmail/A 22466-2025 tillsynsbegäran mail.docx", "A 22466-2025")</f>
        <v/>
      </c>
      <c r="Z67">
        <f>HYPERLINK("https://klasma.github.io/Logging_2303/fåglar/A 22466-2025 prioriterade fågelarter.docx", "A 22466-2025")</f>
        <v/>
      </c>
    </row>
    <row r="68" ht="15" customHeight="1">
      <c r="A68" t="inlineStr">
        <is>
          <t>A 37237-2023</t>
        </is>
      </c>
      <c r="B68" s="1" t="n">
        <v>45155</v>
      </c>
      <c r="C68" s="1" t="n">
        <v>45908</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61386-2022</t>
        </is>
      </c>
      <c r="B69" s="1" t="n">
        <v>44915</v>
      </c>
      <c r="C69" s="1" t="n">
        <v>45908</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45908</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41929-2023</t>
        </is>
      </c>
      <c r="B71" s="1" t="n">
        <v>45176</v>
      </c>
      <c r="C71" s="1" t="n">
        <v>45908</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45405.57392361111</v>
      </c>
      <c r="C72" s="1" t="n">
        <v>45908</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41719-2023</t>
        </is>
      </c>
      <c r="B73" s="1" t="n">
        <v>45176</v>
      </c>
      <c r="C73" s="1" t="n">
        <v>45908</v>
      </c>
      <c r="D73" t="inlineStr">
        <is>
          <t>JÄMTLANDS LÄN</t>
        </is>
      </c>
      <c r="E73" t="inlineStr">
        <is>
          <t>RAGUNDA</t>
        </is>
      </c>
      <c r="G73" t="n">
        <v>14.5</v>
      </c>
      <c r="H73" t="n">
        <v>1</v>
      </c>
      <c r="I73" t="n">
        <v>1</v>
      </c>
      <c r="J73" t="n">
        <v>5</v>
      </c>
      <c r="K73" t="n">
        <v>0</v>
      </c>
      <c r="L73" t="n">
        <v>0</v>
      </c>
      <c r="M73" t="n">
        <v>0</v>
      </c>
      <c r="N73" t="n">
        <v>0</v>
      </c>
      <c r="O73" t="n">
        <v>5</v>
      </c>
      <c r="P73" t="n">
        <v>0</v>
      </c>
      <c r="Q73" t="n">
        <v>7</v>
      </c>
      <c r="R73" s="2" t="inlineStr">
        <is>
          <t>Dvärgbägarlav
Garnlav
Lunglav
Rosenticka
Vedflikmossa
Skinnlav
Tjäder</t>
        </is>
      </c>
      <c r="S73">
        <f>HYPERLINK("https://klasma.github.io/Logging_2303/artfynd/A 41719-2023 artfynd.xlsx", "A 41719-2023")</f>
        <v/>
      </c>
      <c r="T73">
        <f>HYPERLINK("https://klasma.github.io/Logging_2303/kartor/A 41719-2023 karta.png", "A 41719-2023")</f>
        <v/>
      </c>
      <c r="V73">
        <f>HYPERLINK("https://klasma.github.io/Logging_2303/klagomål/A 41719-2023 FSC-klagomål.docx", "A 41719-2023")</f>
        <v/>
      </c>
      <c r="W73">
        <f>HYPERLINK("https://klasma.github.io/Logging_2303/klagomålsmail/A 41719-2023 FSC-klagomål mail.docx", "A 41719-2023")</f>
        <v/>
      </c>
      <c r="X73">
        <f>HYPERLINK("https://klasma.github.io/Logging_2303/tillsyn/A 41719-2023 tillsynsbegäran.docx", "A 41719-2023")</f>
        <v/>
      </c>
      <c r="Y73">
        <f>HYPERLINK("https://klasma.github.io/Logging_2303/tillsynsmail/A 41719-2023 tillsynsbegäran mail.docx", "A 41719-2023")</f>
        <v/>
      </c>
      <c r="Z73">
        <f>HYPERLINK("https://klasma.github.io/Logging_2303/fåglar/A 41719-2023 prioriterade fågelarter.docx", "A 41719-2023")</f>
        <v/>
      </c>
    </row>
    <row r="74" ht="15" customHeight="1">
      <c r="A74" t="inlineStr">
        <is>
          <t>A 50987-2020</t>
        </is>
      </c>
      <c r="B74" s="1" t="n">
        <v>44111</v>
      </c>
      <c r="C74" s="1" t="n">
        <v>45908</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45908</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45908</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45908</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45908</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45908</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45908</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36276-2025</t>
        </is>
      </c>
      <c r="B81" s="1" t="n">
        <v>45867.63619212963</v>
      </c>
      <c r="C81" s="1" t="n">
        <v>45908</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19402-2025</t>
        </is>
      </c>
      <c r="B82" s="1" t="n">
        <v>45769.67778935185</v>
      </c>
      <c r="C82" s="1" t="n">
        <v>45908</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30884-2025</t>
        </is>
      </c>
      <c r="B83" s="1" t="n">
        <v>45832.34564814815</v>
      </c>
      <c r="C83" s="1" t="n">
        <v>45908</v>
      </c>
      <c r="D83" t="inlineStr">
        <is>
          <t>JÄMTLANDS LÄN</t>
        </is>
      </c>
      <c r="E83" t="inlineStr">
        <is>
          <t>RAGUNDA</t>
        </is>
      </c>
      <c r="F83" t="inlineStr">
        <is>
          <t>SCA</t>
        </is>
      </c>
      <c r="G83" t="n">
        <v>5.7</v>
      </c>
      <c r="H83" t="n">
        <v>0</v>
      </c>
      <c r="I83" t="n">
        <v>1</v>
      </c>
      <c r="J83" t="n">
        <v>5</v>
      </c>
      <c r="K83" t="n">
        <v>0</v>
      </c>
      <c r="L83" t="n">
        <v>0</v>
      </c>
      <c r="M83" t="n">
        <v>0</v>
      </c>
      <c r="N83" t="n">
        <v>0</v>
      </c>
      <c r="O83" t="n">
        <v>5</v>
      </c>
      <c r="P83" t="n">
        <v>0</v>
      </c>
      <c r="Q83" t="n">
        <v>6</v>
      </c>
      <c r="R83" s="2" t="inlineStr">
        <is>
          <t>Garnlav
Granticka
Rosenticka
Stjärntagging
Ullticka
Rödgul trumpetsvamp</t>
        </is>
      </c>
      <c r="S83">
        <f>HYPERLINK("https://klasma.github.io/Logging_2303/artfynd/A 30884-2025 artfynd.xlsx", "A 30884-2025")</f>
        <v/>
      </c>
      <c r="T83">
        <f>HYPERLINK("https://klasma.github.io/Logging_2303/kartor/A 30884-2025 karta.png", "A 30884-2025")</f>
        <v/>
      </c>
      <c r="V83">
        <f>HYPERLINK("https://klasma.github.io/Logging_2303/klagomål/A 30884-2025 FSC-klagomål.docx", "A 30884-2025")</f>
        <v/>
      </c>
      <c r="W83">
        <f>HYPERLINK("https://klasma.github.io/Logging_2303/klagomålsmail/A 30884-2025 FSC-klagomål mail.docx", "A 30884-2025")</f>
        <v/>
      </c>
      <c r="X83">
        <f>HYPERLINK("https://klasma.github.io/Logging_2303/tillsyn/A 30884-2025 tillsynsbegäran.docx", "A 30884-2025")</f>
        <v/>
      </c>
      <c r="Y83">
        <f>HYPERLINK("https://klasma.github.io/Logging_2303/tillsynsmail/A 30884-2025 tillsynsbegäran mail.docx", "A 30884-2025")</f>
        <v/>
      </c>
    </row>
    <row r="84" ht="15" customHeight="1">
      <c r="A84" t="inlineStr">
        <is>
          <t>A 30637-2024</t>
        </is>
      </c>
      <c r="B84" s="1" t="n">
        <v>45495.56244212963</v>
      </c>
      <c r="C84" s="1" t="n">
        <v>45908</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39973-2025</t>
        </is>
      </c>
      <c r="B85" s="1" t="n">
        <v>45893.38584490741</v>
      </c>
      <c r="C85" s="1" t="n">
        <v>45908</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34317-2025</t>
        </is>
      </c>
      <c r="B86" s="1" t="n">
        <v>45846.41361111111</v>
      </c>
      <c r="C86" s="1" t="n">
        <v>45908</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49239-2024</t>
        </is>
      </c>
      <c r="B87" s="1" t="n">
        <v>45595.44886574074</v>
      </c>
      <c r="C87" s="1" t="n">
        <v>45908</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53021-2022</t>
        </is>
      </c>
      <c r="B88" s="1" t="n">
        <v>44875</v>
      </c>
      <c r="C88" s="1" t="n">
        <v>45908</v>
      </c>
      <c r="D88" t="inlineStr">
        <is>
          <t>JÄMTLANDS LÄN</t>
        </is>
      </c>
      <c r="E88" t="inlineStr">
        <is>
          <t>RAGUNDA</t>
        </is>
      </c>
      <c r="F88" t="inlineStr">
        <is>
          <t>SCA</t>
        </is>
      </c>
      <c r="G88" t="n">
        <v>6.1</v>
      </c>
      <c r="H88" t="n">
        <v>0</v>
      </c>
      <c r="I88" t="n">
        <v>2</v>
      </c>
      <c r="J88" t="n">
        <v>4</v>
      </c>
      <c r="K88" t="n">
        <v>0</v>
      </c>
      <c r="L88" t="n">
        <v>0</v>
      </c>
      <c r="M88" t="n">
        <v>0</v>
      </c>
      <c r="N88" t="n">
        <v>0</v>
      </c>
      <c r="O88" t="n">
        <v>4</v>
      </c>
      <c r="P88" t="n">
        <v>0</v>
      </c>
      <c r="Q88" t="n">
        <v>6</v>
      </c>
      <c r="R88" s="2" t="inlineStr">
        <is>
          <t>Gammelgransskål
Garnlav
Granticka
Vitgrynig nållav
Bollvitmossa
Ögonpyrola</t>
        </is>
      </c>
      <c r="S88">
        <f>HYPERLINK("https://klasma.github.io/Logging_2303/artfynd/A 53021-2022 artfynd.xlsx", "A 53021-2022")</f>
        <v/>
      </c>
      <c r="T88">
        <f>HYPERLINK("https://klasma.github.io/Logging_2303/kartor/A 53021-2022 karta.png", "A 53021-2022")</f>
        <v/>
      </c>
      <c r="V88">
        <f>HYPERLINK("https://klasma.github.io/Logging_2303/klagomål/A 53021-2022 FSC-klagomål.docx", "A 53021-2022")</f>
        <v/>
      </c>
      <c r="W88">
        <f>HYPERLINK("https://klasma.github.io/Logging_2303/klagomålsmail/A 53021-2022 FSC-klagomål mail.docx", "A 53021-2022")</f>
        <v/>
      </c>
      <c r="X88">
        <f>HYPERLINK("https://klasma.github.io/Logging_2303/tillsyn/A 53021-2022 tillsynsbegäran.docx", "A 53021-2022")</f>
        <v/>
      </c>
      <c r="Y88">
        <f>HYPERLINK("https://klasma.github.io/Logging_2303/tillsynsmail/A 53021-2022 tillsynsbegäran mail.docx", "A 53021-2022")</f>
        <v/>
      </c>
    </row>
    <row r="89" ht="15" customHeight="1">
      <c r="A89" t="inlineStr">
        <is>
          <t>A 26326-2024</t>
        </is>
      </c>
      <c r="B89" s="1" t="n">
        <v>45468.97528935185</v>
      </c>
      <c r="C89" s="1" t="n">
        <v>45908</v>
      </c>
      <c r="D89" t="inlineStr">
        <is>
          <t>JÄMTLANDS LÄN</t>
        </is>
      </c>
      <c r="E89" t="inlineStr">
        <is>
          <t>RAGUNDA</t>
        </is>
      </c>
      <c r="F89" t="inlineStr">
        <is>
          <t>SCA</t>
        </is>
      </c>
      <c r="G89" t="n">
        <v>1.8</v>
      </c>
      <c r="H89" t="n">
        <v>1</v>
      </c>
      <c r="I89" t="n">
        <v>1</v>
      </c>
      <c r="J89" t="n">
        <v>4</v>
      </c>
      <c r="K89" t="n">
        <v>1</v>
      </c>
      <c r="L89" t="n">
        <v>0</v>
      </c>
      <c r="M89" t="n">
        <v>0</v>
      </c>
      <c r="N89" t="n">
        <v>0</v>
      </c>
      <c r="O89" t="n">
        <v>5</v>
      </c>
      <c r="P89" t="n">
        <v>1</v>
      </c>
      <c r="Q89" t="n">
        <v>6</v>
      </c>
      <c r="R89" s="2" t="inlineStr">
        <is>
          <t>Knärot
Gammelgransskål
Kortskaftad ärgspik
Mörk kolflarnlav
Vedtrappmossa
Gytterlav</t>
        </is>
      </c>
      <c r="S89">
        <f>HYPERLINK("https://klasma.github.io/Logging_2303/artfynd/A 26326-2024 artfynd.xlsx", "A 26326-2024")</f>
        <v/>
      </c>
      <c r="T89">
        <f>HYPERLINK("https://klasma.github.io/Logging_2303/kartor/A 26326-2024 karta.png", "A 26326-2024")</f>
        <v/>
      </c>
      <c r="U89">
        <f>HYPERLINK("https://klasma.github.io/Logging_2303/knärot/A 26326-2024 karta knärot.png", "A 26326-2024")</f>
        <v/>
      </c>
      <c r="V89">
        <f>HYPERLINK("https://klasma.github.io/Logging_2303/klagomål/A 26326-2024 FSC-klagomål.docx", "A 26326-2024")</f>
        <v/>
      </c>
      <c r="W89">
        <f>HYPERLINK("https://klasma.github.io/Logging_2303/klagomålsmail/A 26326-2024 FSC-klagomål mail.docx", "A 26326-2024")</f>
        <v/>
      </c>
      <c r="X89">
        <f>HYPERLINK("https://klasma.github.io/Logging_2303/tillsyn/A 26326-2024 tillsynsbegäran.docx", "A 26326-2024")</f>
        <v/>
      </c>
      <c r="Y89">
        <f>HYPERLINK("https://klasma.github.io/Logging_2303/tillsynsmail/A 26326-2024 tillsynsbegäran mail.docx", "A 26326-2024")</f>
        <v/>
      </c>
    </row>
    <row r="90" ht="15" customHeight="1">
      <c r="A90" t="inlineStr">
        <is>
          <t>A 27322-2024</t>
        </is>
      </c>
      <c r="B90" s="1" t="n">
        <v>45471.94783564815</v>
      </c>
      <c r="C90" s="1" t="n">
        <v>45908</v>
      </c>
      <c r="D90" t="inlineStr">
        <is>
          <t>JÄMTLANDS LÄN</t>
        </is>
      </c>
      <c r="E90" t="inlineStr">
        <is>
          <t>RAGUNDA</t>
        </is>
      </c>
      <c r="G90" t="n">
        <v>2.3</v>
      </c>
      <c r="H90" t="n">
        <v>1</v>
      </c>
      <c r="I90" t="n">
        <v>0</v>
      </c>
      <c r="J90" t="n">
        <v>5</v>
      </c>
      <c r="K90" t="n">
        <v>1</v>
      </c>
      <c r="L90" t="n">
        <v>0</v>
      </c>
      <c r="M90" t="n">
        <v>0</v>
      </c>
      <c r="N90" t="n">
        <v>0</v>
      </c>
      <c r="O90" t="n">
        <v>6</v>
      </c>
      <c r="P90" t="n">
        <v>1</v>
      </c>
      <c r="Q90" t="n">
        <v>6</v>
      </c>
      <c r="R90" s="2" t="inlineStr">
        <is>
          <t>Knärot
Gammelgransskål
Garnlav
Lunglav
Skrovellav
Vedtrappmossa</t>
        </is>
      </c>
      <c r="S90">
        <f>HYPERLINK("https://klasma.github.io/Logging_2303/artfynd/A 27322-2024 artfynd.xlsx", "A 27322-2024")</f>
        <v/>
      </c>
      <c r="T90">
        <f>HYPERLINK("https://klasma.github.io/Logging_2303/kartor/A 27322-2024 karta.png", "A 27322-2024")</f>
        <v/>
      </c>
      <c r="U90">
        <f>HYPERLINK("https://klasma.github.io/Logging_2303/knärot/A 27322-2024 karta knärot.png", "A 27322-2024")</f>
        <v/>
      </c>
      <c r="V90">
        <f>HYPERLINK("https://klasma.github.io/Logging_2303/klagomål/A 27322-2024 FSC-klagomål.docx", "A 27322-2024")</f>
        <v/>
      </c>
      <c r="W90">
        <f>HYPERLINK("https://klasma.github.io/Logging_2303/klagomålsmail/A 27322-2024 FSC-klagomål mail.docx", "A 27322-2024")</f>
        <v/>
      </c>
      <c r="X90">
        <f>HYPERLINK("https://klasma.github.io/Logging_2303/tillsyn/A 27322-2024 tillsynsbegäran.docx", "A 27322-2024")</f>
        <v/>
      </c>
      <c r="Y90">
        <f>HYPERLINK("https://klasma.github.io/Logging_2303/tillsynsmail/A 27322-2024 tillsynsbegäran mail.docx", "A 27322-2024")</f>
        <v/>
      </c>
    </row>
    <row r="91" ht="15" customHeight="1">
      <c r="A91" t="inlineStr">
        <is>
          <t>A 14908-2022</t>
        </is>
      </c>
      <c r="B91" s="1" t="n">
        <v>44656</v>
      </c>
      <c r="C91" s="1" t="n">
        <v>45908</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45908</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45969-2023</t>
        </is>
      </c>
      <c r="B93" s="1" t="n">
        <v>45195</v>
      </c>
      <c r="C93" s="1" t="n">
        <v>45908</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43106-2023</t>
        </is>
      </c>
      <c r="B94" s="1" t="n">
        <v>45182</v>
      </c>
      <c r="C94" s="1" t="n">
        <v>45908</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39365-2024</t>
        </is>
      </c>
      <c r="B95" s="1" t="n">
        <v>45551.46912037037</v>
      </c>
      <c r="C95" s="1" t="n">
        <v>45908</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15244-2025</t>
        </is>
      </c>
      <c r="B96" s="1" t="n">
        <v>45744.61550925926</v>
      </c>
      <c r="C96" s="1" t="n">
        <v>45908</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27313-2024</t>
        </is>
      </c>
      <c r="B97" s="1" t="n">
        <v>45471.94623842592</v>
      </c>
      <c r="C97" s="1" t="n">
        <v>45908</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30886-2025</t>
        </is>
      </c>
      <c r="B98" s="1" t="n">
        <v>45832.34578703704</v>
      </c>
      <c r="C98" s="1" t="n">
        <v>45908</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39974-2025</t>
        </is>
      </c>
      <c r="B99" s="1" t="n">
        <v>45893.38599537037</v>
      </c>
      <c r="C99" s="1" t="n">
        <v>45908</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2579-2025</t>
        </is>
      </c>
      <c r="B100" s="1" t="n">
        <v>45674.67744212963</v>
      </c>
      <c r="C100" s="1" t="n">
        <v>45908</v>
      </c>
      <c r="D100" t="inlineStr">
        <is>
          <t>JÄMTLANDS LÄN</t>
        </is>
      </c>
      <c r="E100" t="inlineStr">
        <is>
          <t>RAGUNDA</t>
        </is>
      </c>
      <c r="F100" t="inlineStr">
        <is>
          <t>SCA</t>
        </is>
      </c>
      <c r="G100" t="n">
        <v>5.5</v>
      </c>
      <c r="H100" t="n">
        <v>3</v>
      </c>
      <c r="I100" t="n">
        <v>0</v>
      </c>
      <c r="J100" t="n">
        <v>4</v>
      </c>
      <c r="K100" t="n">
        <v>0</v>
      </c>
      <c r="L100" t="n">
        <v>0</v>
      </c>
      <c r="M100" t="n">
        <v>0</v>
      </c>
      <c r="N100" t="n">
        <v>0</v>
      </c>
      <c r="O100" t="n">
        <v>4</v>
      </c>
      <c r="P100" t="n">
        <v>0</v>
      </c>
      <c r="Q100" t="n">
        <v>5</v>
      </c>
      <c r="R100" s="2" t="inlineStr">
        <is>
          <t>Granticka
Rosenticka
Rördrom
Spillkråka
Revlummer</t>
        </is>
      </c>
      <c r="S100">
        <f>HYPERLINK("https://klasma.github.io/Logging_2303/artfynd/A 2579-2025 artfynd.xlsx", "A 2579-2025")</f>
        <v/>
      </c>
      <c r="T100">
        <f>HYPERLINK("https://klasma.github.io/Logging_2303/kartor/A 2579-2025 karta.png", "A 2579-2025")</f>
        <v/>
      </c>
      <c r="V100">
        <f>HYPERLINK("https://klasma.github.io/Logging_2303/klagomål/A 2579-2025 FSC-klagomål.docx", "A 2579-2025")</f>
        <v/>
      </c>
      <c r="W100">
        <f>HYPERLINK("https://klasma.github.io/Logging_2303/klagomålsmail/A 2579-2025 FSC-klagomål mail.docx", "A 2579-2025")</f>
        <v/>
      </c>
      <c r="X100">
        <f>HYPERLINK("https://klasma.github.io/Logging_2303/tillsyn/A 2579-2025 tillsynsbegäran.docx", "A 2579-2025")</f>
        <v/>
      </c>
      <c r="Y100">
        <f>HYPERLINK("https://klasma.github.io/Logging_2303/tillsynsmail/A 2579-2025 tillsynsbegäran mail.docx", "A 2579-2025")</f>
        <v/>
      </c>
      <c r="Z100">
        <f>HYPERLINK("https://klasma.github.io/Logging_2303/fåglar/A 2579-2025 prioriterade fågelarter.docx", "A 2579-2025")</f>
        <v/>
      </c>
    </row>
    <row r="101" ht="15" customHeight="1">
      <c r="A101" t="inlineStr">
        <is>
          <t>A 57073-2023</t>
        </is>
      </c>
      <c r="B101" s="1" t="n">
        <v>45244</v>
      </c>
      <c r="C101" s="1" t="n">
        <v>45908</v>
      </c>
      <c r="D101" t="inlineStr">
        <is>
          <t>JÄMTLANDS LÄN</t>
        </is>
      </c>
      <c r="E101" t="inlineStr">
        <is>
          <t>RAGUNDA</t>
        </is>
      </c>
      <c r="F101" t="inlineStr">
        <is>
          <t>SCA</t>
        </is>
      </c>
      <c r="G101" t="n">
        <v>4.1</v>
      </c>
      <c r="H101" t="n">
        <v>1</v>
      </c>
      <c r="I101" t="n">
        <v>0</v>
      </c>
      <c r="J101" t="n">
        <v>4</v>
      </c>
      <c r="K101" t="n">
        <v>1</v>
      </c>
      <c r="L101" t="n">
        <v>0</v>
      </c>
      <c r="M101" t="n">
        <v>0</v>
      </c>
      <c r="N101" t="n">
        <v>0</v>
      </c>
      <c r="O101" t="n">
        <v>5</v>
      </c>
      <c r="P101" t="n">
        <v>1</v>
      </c>
      <c r="Q101" t="n">
        <v>5</v>
      </c>
      <c r="R101" s="2" t="inlineStr">
        <is>
          <t>Aspgelélav
Granticka
Lunglav
Tretåig hackspett
Ullticka</t>
        </is>
      </c>
      <c r="S101">
        <f>HYPERLINK("https://klasma.github.io/Logging_2303/artfynd/A 57073-2023 artfynd.xlsx", "A 57073-2023")</f>
        <v/>
      </c>
      <c r="T101">
        <f>HYPERLINK("https://klasma.github.io/Logging_2303/kartor/A 57073-2023 karta.png", "A 57073-2023")</f>
        <v/>
      </c>
      <c r="V101">
        <f>HYPERLINK("https://klasma.github.io/Logging_2303/klagomål/A 57073-2023 FSC-klagomål.docx", "A 57073-2023")</f>
        <v/>
      </c>
      <c r="W101">
        <f>HYPERLINK("https://klasma.github.io/Logging_2303/klagomålsmail/A 57073-2023 FSC-klagomål mail.docx", "A 57073-2023")</f>
        <v/>
      </c>
      <c r="X101">
        <f>HYPERLINK("https://klasma.github.io/Logging_2303/tillsyn/A 57073-2023 tillsynsbegäran.docx", "A 57073-2023")</f>
        <v/>
      </c>
      <c r="Y101">
        <f>HYPERLINK("https://klasma.github.io/Logging_2303/tillsynsmail/A 57073-2023 tillsynsbegäran mail.docx", "A 57073-2023")</f>
        <v/>
      </c>
      <c r="Z101">
        <f>HYPERLINK("https://klasma.github.io/Logging_2303/fåglar/A 57073-2023 prioriterade fågelarter.docx", "A 57073-2023")</f>
        <v/>
      </c>
    </row>
    <row r="102" ht="15" customHeight="1">
      <c r="A102" t="inlineStr">
        <is>
          <t>A 60683-2022</t>
        </is>
      </c>
      <c r="B102" s="1" t="n">
        <v>44911</v>
      </c>
      <c r="C102" s="1" t="n">
        <v>45908</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18629-2024</t>
        </is>
      </c>
      <c r="B103" s="1" t="n">
        <v>45425.96472222222</v>
      </c>
      <c r="C103" s="1" t="n">
        <v>45908</v>
      </c>
      <c r="D103" t="inlineStr">
        <is>
          <t>JÄMTLANDS LÄN</t>
        </is>
      </c>
      <c r="E103" t="inlineStr">
        <is>
          <t>RAGUNDA</t>
        </is>
      </c>
      <c r="F103" t="inlineStr">
        <is>
          <t>SCA</t>
        </is>
      </c>
      <c r="G103" t="n">
        <v>1.6</v>
      </c>
      <c r="H103" t="n">
        <v>2</v>
      </c>
      <c r="I103" t="n">
        <v>1</v>
      </c>
      <c r="J103" t="n">
        <v>3</v>
      </c>
      <c r="K103" t="n">
        <v>0</v>
      </c>
      <c r="L103" t="n">
        <v>0</v>
      </c>
      <c r="M103" t="n">
        <v>0</v>
      </c>
      <c r="N103" t="n">
        <v>0</v>
      </c>
      <c r="O103" t="n">
        <v>3</v>
      </c>
      <c r="P103" t="n">
        <v>0</v>
      </c>
      <c r="Q103" t="n">
        <v>5</v>
      </c>
      <c r="R103" s="2" t="inlineStr">
        <is>
          <t>Garnlav
Lunglav
Tretåig hackspett
Stuplav
Fläcknycklar</t>
        </is>
      </c>
      <c r="S103">
        <f>HYPERLINK("https://klasma.github.io/Logging_2303/artfynd/A 18629-2024 artfynd.xlsx", "A 18629-2024")</f>
        <v/>
      </c>
      <c r="T103">
        <f>HYPERLINK("https://klasma.github.io/Logging_2303/kartor/A 18629-2024 karta.png", "A 18629-2024")</f>
        <v/>
      </c>
      <c r="V103">
        <f>HYPERLINK("https://klasma.github.io/Logging_2303/klagomål/A 18629-2024 FSC-klagomål.docx", "A 18629-2024")</f>
        <v/>
      </c>
      <c r="W103">
        <f>HYPERLINK("https://klasma.github.io/Logging_2303/klagomålsmail/A 18629-2024 FSC-klagomål mail.docx", "A 18629-2024")</f>
        <v/>
      </c>
      <c r="X103">
        <f>HYPERLINK("https://klasma.github.io/Logging_2303/tillsyn/A 18629-2024 tillsynsbegäran.docx", "A 18629-2024")</f>
        <v/>
      </c>
      <c r="Y103">
        <f>HYPERLINK("https://klasma.github.io/Logging_2303/tillsynsmail/A 18629-2024 tillsynsbegäran mail.docx", "A 18629-2024")</f>
        <v/>
      </c>
      <c r="Z103">
        <f>HYPERLINK("https://klasma.github.io/Logging_2303/fåglar/A 18629-2024 prioriterade fågelarter.docx", "A 18629-2024")</f>
        <v/>
      </c>
    </row>
    <row r="104" ht="15" customHeight="1">
      <c r="A104" t="inlineStr">
        <is>
          <t>A 13266-2023</t>
        </is>
      </c>
      <c r="B104" s="1" t="n">
        <v>45002.94356481481</v>
      </c>
      <c r="C104" s="1" t="n">
        <v>45908</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38169-2024</t>
        </is>
      </c>
      <c r="B105" s="1" t="n">
        <v>45545.45748842593</v>
      </c>
      <c r="C105" s="1" t="n">
        <v>45908</v>
      </c>
      <c r="D105" t="inlineStr">
        <is>
          <t>JÄMTLANDS LÄN</t>
        </is>
      </c>
      <c r="E105" t="inlineStr">
        <is>
          <t>RAGUNDA</t>
        </is>
      </c>
      <c r="G105" t="n">
        <v>7.5</v>
      </c>
      <c r="H105" t="n">
        <v>2</v>
      </c>
      <c r="I105" t="n">
        <v>0</v>
      </c>
      <c r="J105" t="n">
        <v>5</v>
      </c>
      <c r="K105" t="n">
        <v>0</v>
      </c>
      <c r="L105" t="n">
        <v>0</v>
      </c>
      <c r="M105" t="n">
        <v>0</v>
      </c>
      <c r="N105" t="n">
        <v>0</v>
      </c>
      <c r="O105" t="n">
        <v>5</v>
      </c>
      <c r="P105" t="n">
        <v>0</v>
      </c>
      <c r="Q105" t="n">
        <v>5</v>
      </c>
      <c r="R105" s="2" t="inlineStr">
        <is>
          <t>Garnlav
Lunglav
Skrovellav
Talltita
Tretåig hackspett</t>
        </is>
      </c>
      <c r="S105">
        <f>HYPERLINK("https://klasma.github.io/Logging_2303/artfynd/A 38169-2024 artfynd.xlsx", "A 38169-2024")</f>
        <v/>
      </c>
      <c r="T105">
        <f>HYPERLINK("https://klasma.github.io/Logging_2303/kartor/A 38169-2024 karta.png", "A 38169-2024")</f>
        <v/>
      </c>
      <c r="V105">
        <f>HYPERLINK("https://klasma.github.io/Logging_2303/klagomål/A 38169-2024 FSC-klagomål.docx", "A 38169-2024")</f>
        <v/>
      </c>
      <c r="W105">
        <f>HYPERLINK("https://klasma.github.io/Logging_2303/klagomålsmail/A 38169-2024 FSC-klagomål mail.docx", "A 38169-2024")</f>
        <v/>
      </c>
      <c r="X105">
        <f>HYPERLINK("https://klasma.github.io/Logging_2303/tillsyn/A 38169-2024 tillsynsbegäran.docx", "A 38169-2024")</f>
        <v/>
      </c>
      <c r="Y105">
        <f>HYPERLINK("https://klasma.github.io/Logging_2303/tillsynsmail/A 38169-2024 tillsynsbegäran mail.docx", "A 38169-2024")</f>
        <v/>
      </c>
      <c r="Z105">
        <f>HYPERLINK("https://klasma.github.io/Logging_2303/fåglar/A 38169-2024 prioriterade fågelarter.docx", "A 38169-2024")</f>
        <v/>
      </c>
    </row>
    <row r="106" ht="15" customHeight="1">
      <c r="A106" t="inlineStr">
        <is>
          <t>A 22469-2024</t>
        </is>
      </c>
      <c r="B106" s="1" t="n">
        <v>45446.95087962963</v>
      </c>
      <c r="C106" s="1" t="n">
        <v>45908</v>
      </c>
      <c r="D106" t="inlineStr">
        <is>
          <t>JÄMTLANDS LÄN</t>
        </is>
      </c>
      <c r="E106" t="inlineStr">
        <is>
          <t>RAGUNDA</t>
        </is>
      </c>
      <c r="F106" t="inlineStr">
        <is>
          <t>SCA</t>
        </is>
      </c>
      <c r="G106" t="n">
        <v>5.2</v>
      </c>
      <c r="H106" t="n">
        <v>1</v>
      </c>
      <c r="I106" t="n">
        <v>2</v>
      </c>
      <c r="J106" t="n">
        <v>3</v>
      </c>
      <c r="K106" t="n">
        <v>0</v>
      </c>
      <c r="L106" t="n">
        <v>0</v>
      </c>
      <c r="M106" t="n">
        <v>0</v>
      </c>
      <c r="N106" t="n">
        <v>0</v>
      </c>
      <c r="O106" t="n">
        <v>3</v>
      </c>
      <c r="P106" t="n">
        <v>0</v>
      </c>
      <c r="Q106" t="n">
        <v>5</v>
      </c>
      <c r="R106" s="2" t="inlineStr">
        <is>
          <t>Gammelgransskål
Garnlav
Lunglav
Gytterlav
Tvåblad</t>
        </is>
      </c>
      <c r="S106">
        <f>HYPERLINK("https://klasma.github.io/Logging_2303/artfynd/A 22469-2024 artfynd.xlsx", "A 22469-2024")</f>
        <v/>
      </c>
      <c r="T106">
        <f>HYPERLINK("https://klasma.github.io/Logging_2303/kartor/A 22469-2024 karta.png", "A 22469-2024")</f>
        <v/>
      </c>
      <c r="V106">
        <f>HYPERLINK("https://klasma.github.io/Logging_2303/klagomål/A 22469-2024 FSC-klagomål.docx", "A 22469-2024")</f>
        <v/>
      </c>
      <c r="W106">
        <f>HYPERLINK("https://klasma.github.io/Logging_2303/klagomålsmail/A 22469-2024 FSC-klagomål mail.docx", "A 22469-2024")</f>
        <v/>
      </c>
      <c r="X106">
        <f>HYPERLINK("https://klasma.github.io/Logging_2303/tillsyn/A 22469-2024 tillsynsbegäran.docx", "A 22469-2024")</f>
        <v/>
      </c>
      <c r="Y106">
        <f>HYPERLINK("https://klasma.github.io/Logging_2303/tillsynsmail/A 22469-2024 tillsynsbegäran mail.docx", "A 22469-2024")</f>
        <v/>
      </c>
    </row>
    <row r="107" ht="15" customHeight="1">
      <c r="A107" t="inlineStr">
        <is>
          <t>A 8636-2021</t>
        </is>
      </c>
      <c r="B107" s="1" t="n">
        <v>44245</v>
      </c>
      <c r="C107" s="1" t="n">
        <v>45908</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45908</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45908</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45908</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45908</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45908</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45908</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45908</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45908</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45908</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45908</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43960-2023</t>
        </is>
      </c>
      <c r="B118" s="1" t="n">
        <v>45187</v>
      </c>
      <c r="C118" s="1" t="n">
        <v>45908</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26082-2025</t>
        </is>
      </c>
      <c r="B119" s="1" t="n">
        <v>45805.34415509259</v>
      </c>
      <c r="C119" s="1" t="n">
        <v>45908</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30483-2024</t>
        </is>
      </c>
      <c r="B120" s="1" t="n">
        <v>45491</v>
      </c>
      <c r="C120" s="1" t="n">
        <v>45908</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23931-2024</t>
        </is>
      </c>
      <c r="B121" s="1" t="n">
        <v>45455.96195601852</v>
      </c>
      <c r="C121" s="1" t="n">
        <v>45908</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51686-2020</t>
        </is>
      </c>
      <c r="B122" s="1" t="n">
        <v>44113</v>
      </c>
      <c r="C122" s="1" t="n">
        <v>45908</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45908</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40653-2025</t>
        </is>
      </c>
      <c r="B124" s="1" t="n">
        <v>45896.63618055556</v>
      </c>
      <c r="C124" s="1" t="n">
        <v>45908</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22467-2025</t>
        </is>
      </c>
      <c r="B125" s="1" t="n">
        <v>45786.61534722222</v>
      </c>
      <c r="C125" s="1" t="n">
        <v>45908</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32067-2024</t>
        </is>
      </c>
      <c r="B126" s="1" t="n">
        <v>45510</v>
      </c>
      <c r="C126" s="1" t="n">
        <v>45908</v>
      </c>
      <c r="D126" t="inlineStr">
        <is>
          <t>JÄMTLANDS LÄN</t>
        </is>
      </c>
      <c r="E126" t="inlineStr">
        <is>
          <t>RAGUNDA</t>
        </is>
      </c>
      <c r="F126" t="inlineStr">
        <is>
          <t>SCA</t>
        </is>
      </c>
      <c r="G126" t="n">
        <v>4.1</v>
      </c>
      <c r="H126" t="n">
        <v>0</v>
      </c>
      <c r="I126" t="n">
        <v>2</v>
      </c>
      <c r="J126" t="n">
        <v>2</v>
      </c>
      <c r="K126" t="n">
        <v>0</v>
      </c>
      <c r="L126" t="n">
        <v>0</v>
      </c>
      <c r="M126" t="n">
        <v>0</v>
      </c>
      <c r="N126" t="n">
        <v>0</v>
      </c>
      <c r="O126" t="n">
        <v>2</v>
      </c>
      <c r="P126" t="n">
        <v>0</v>
      </c>
      <c r="Q126" t="n">
        <v>4</v>
      </c>
      <c r="R126" s="2" t="inlineStr">
        <is>
          <t>Vedflikmossa
Vedtrappmossa
Stor aspticka
Vedticka</t>
        </is>
      </c>
      <c r="S126">
        <f>HYPERLINK("https://klasma.github.io/Logging_2303/artfynd/A 32067-2024 artfynd.xlsx", "A 32067-2024")</f>
        <v/>
      </c>
      <c r="T126">
        <f>HYPERLINK("https://klasma.github.io/Logging_2303/kartor/A 32067-2024 karta.png", "A 32067-2024")</f>
        <v/>
      </c>
      <c r="U126">
        <f>HYPERLINK("https://klasma.github.io/Logging_2303/knärot/A 32067-2024 karta knärot.png", "A 32067-2024")</f>
        <v/>
      </c>
      <c r="V126">
        <f>HYPERLINK("https://klasma.github.io/Logging_2303/klagomål/A 32067-2024 FSC-klagomål.docx", "A 32067-2024")</f>
        <v/>
      </c>
      <c r="W126">
        <f>HYPERLINK("https://klasma.github.io/Logging_2303/klagomålsmail/A 32067-2024 FSC-klagomål mail.docx", "A 32067-2024")</f>
        <v/>
      </c>
      <c r="X126">
        <f>HYPERLINK("https://klasma.github.io/Logging_2303/tillsyn/A 32067-2024 tillsynsbegäran.docx", "A 32067-2024")</f>
        <v/>
      </c>
      <c r="Y126">
        <f>HYPERLINK("https://klasma.github.io/Logging_2303/tillsynsmail/A 32067-2024 tillsynsbegäran mail.docx", "A 32067-2024")</f>
        <v/>
      </c>
    </row>
    <row r="127" ht="15" customHeight="1">
      <c r="A127" t="inlineStr">
        <is>
          <t>A 15836-2024</t>
        </is>
      </c>
      <c r="B127" s="1" t="n">
        <v>45404</v>
      </c>
      <c r="C127" s="1" t="n">
        <v>45908</v>
      </c>
      <c r="D127" t="inlineStr">
        <is>
          <t>JÄMTLANDS LÄN</t>
        </is>
      </c>
      <c r="E127" t="inlineStr">
        <is>
          <t>RAGUNDA</t>
        </is>
      </c>
      <c r="F127" t="inlineStr">
        <is>
          <t>Kommuner</t>
        </is>
      </c>
      <c r="G127" t="n">
        <v>3.1</v>
      </c>
      <c r="H127" t="n">
        <v>0</v>
      </c>
      <c r="I127" t="n">
        <v>2</v>
      </c>
      <c r="J127" t="n">
        <v>1</v>
      </c>
      <c r="K127" t="n">
        <v>0</v>
      </c>
      <c r="L127" t="n">
        <v>1</v>
      </c>
      <c r="M127" t="n">
        <v>0</v>
      </c>
      <c r="N127" t="n">
        <v>0</v>
      </c>
      <c r="O127" t="n">
        <v>2</v>
      </c>
      <c r="P127" t="n">
        <v>1</v>
      </c>
      <c r="Q127" t="n">
        <v>4</v>
      </c>
      <c r="R127" s="2" t="inlineStr">
        <is>
          <t>Trolldruvemätare
Lunglav
Stor aspticka
Svart trolldruva</t>
        </is>
      </c>
      <c r="S127">
        <f>HYPERLINK("https://klasma.github.io/Logging_2303/artfynd/A 15836-2024 artfynd.xlsx", "A 15836-2024")</f>
        <v/>
      </c>
      <c r="T127">
        <f>HYPERLINK("https://klasma.github.io/Logging_2303/kartor/A 15836-2024 karta.png", "A 15836-2024")</f>
        <v/>
      </c>
      <c r="V127">
        <f>HYPERLINK("https://klasma.github.io/Logging_2303/klagomål/A 15836-2024 FSC-klagomål.docx", "A 15836-2024")</f>
        <v/>
      </c>
      <c r="W127">
        <f>HYPERLINK("https://klasma.github.io/Logging_2303/klagomålsmail/A 15836-2024 FSC-klagomål mail.docx", "A 15836-2024")</f>
        <v/>
      </c>
      <c r="X127">
        <f>HYPERLINK("https://klasma.github.io/Logging_2303/tillsyn/A 15836-2024 tillsynsbegäran.docx", "A 15836-2024")</f>
        <v/>
      </c>
      <c r="Y127">
        <f>HYPERLINK("https://klasma.github.io/Logging_2303/tillsynsmail/A 15836-2024 tillsynsbegäran mail.docx", "A 15836-2024")</f>
        <v/>
      </c>
    </row>
    <row r="128" ht="15" customHeight="1">
      <c r="A128" t="inlineStr">
        <is>
          <t>A 17092-2022</t>
        </is>
      </c>
      <c r="B128" s="1" t="n">
        <v>44677</v>
      </c>
      <c r="C128" s="1" t="n">
        <v>45908</v>
      </c>
      <c r="D128" t="inlineStr">
        <is>
          <t>JÄMTLANDS LÄN</t>
        </is>
      </c>
      <c r="E128" t="inlineStr">
        <is>
          <t>RAGUNDA</t>
        </is>
      </c>
      <c r="G128" t="n">
        <v>21.2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HYPERLINK("https://klasma.github.io/Logging_2303/artfynd/A 17092-2022 artfynd.xlsx", "A 17092-2022")</f>
        <v/>
      </c>
      <c r="T128">
        <f>HYPERLINK("https://klasma.github.io/Logging_2303/kartor/A 17092-2022 karta.png", "A 17092-2022")</f>
        <v/>
      </c>
      <c r="U128">
        <f>HYPERLINK("https://klasma.github.io/Logging_2303/knärot/A 17092-2022 karta knärot.png", "A 17092-2022")</f>
        <v/>
      </c>
      <c r="V128">
        <f>HYPERLINK("https://klasma.github.io/Logging_2303/klagomål/A 17092-2022 FSC-klagomål.docx", "A 17092-2022")</f>
        <v/>
      </c>
      <c r="W128">
        <f>HYPERLINK("https://klasma.github.io/Logging_2303/klagomålsmail/A 17092-2022 FSC-klagomål mail.docx", "A 17092-2022")</f>
        <v/>
      </c>
      <c r="X128">
        <f>HYPERLINK("https://klasma.github.io/Logging_2303/tillsyn/A 17092-2022 tillsynsbegäran.docx", "A 17092-2022")</f>
        <v/>
      </c>
      <c r="Y128">
        <f>HYPERLINK("https://klasma.github.io/Logging_2303/tillsynsmail/A 17092-2022 tillsynsbegäran mail.docx", "A 17092-2022")</f>
        <v/>
      </c>
    </row>
    <row r="129" ht="15" customHeight="1">
      <c r="A129" t="inlineStr">
        <is>
          <t>A 48052-2022</t>
        </is>
      </c>
      <c r="B129" s="1" t="n">
        <v>44855</v>
      </c>
      <c r="C129" s="1" t="n">
        <v>45908</v>
      </c>
      <c r="D129" t="inlineStr">
        <is>
          <t>JÄMTLANDS LÄN</t>
        </is>
      </c>
      <c r="E129" t="inlineStr">
        <is>
          <t>RAGUNDA</t>
        </is>
      </c>
      <c r="F129" t="inlineStr">
        <is>
          <t>SCA</t>
        </is>
      </c>
      <c r="G129" t="n">
        <v>8.6</v>
      </c>
      <c r="H129" t="n">
        <v>0</v>
      </c>
      <c r="I129" t="n">
        <v>1</v>
      </c>
      <c r="J129" t="n">
        <v>2</v>
      </c>
      <c r="K129" t="n">
        <v>0</v>
      </c>
      <c r="L129" t="n">
        <v>0</v>
      </c>
      <c r="M129" t="n">
        <v>0</v>
      </c>
      <c r="N129" t="n">
        <v>0</v>
      </c>
      <c r="O129" t="n">
        <v>2</v>
      </c>
      <c r="P129" t="n">
        <v>0</v>
      </c>
      <c r="Q129" t="n">
        <v>3</v>
      </c>
      <c r="R129" s="2" t="inlineStr">
        <is>
          <t>Lunglav
Ullticka
Stuplav</t>
        </is>
      </c>
      <c r="S129">
        <f>HYPERLINK("https://klasma.github.io/Logging_2303/artfynd/A 48052-2022 artfynd.xlsx", "A 48052-2022")</f>
        <v/>
      </c>
      <c r="T129">
        <f>HYPERLINK("https://klasma.github.io/Logging_2303/kartor/A 48052-2022 karta.png", "A 48052-2022")</f>
        <v/>
      </c>
      <c r="V129">
        <f>HYPERLINK("https://klasma.github.io/Logging_2303/klagomål/A 48052-2022 FSC-klagomål.docx", "A 48052-2022")</f>
        <v/>
      </c>
      <c r="W129">
        <f>HYPERLINK("https://klasma.github.io/Logging_2303/klagomålsmail/A 48052-2022 FSC-klagomål mail.docx", "A 48052-2022")</f>
        <v/>
      </c>
      <c r="X129">
        <f>HYPERLINK("https://klasma.github.io/Logging_2303/tillsyn/A 48052-2022 tillsynsbegäran.docx", "A 48052-2022")</f>
        <v/>
      </c>
      <c r="Y129">
        <f>HYPERLINK("https://klasma.github.io/Logging_2303/tillsynsmail/A 48052-2022 tillsynsbegäran mail.docx", "A 48052-2022")</f>
        <v/>
      </c>
    </row>
    <row r="130" ht="15" customHeight="1">
      <c r="A130" t="inlineStr">
        <is>
          <t>A 31727-2021</t>
        </is>
      </c>
      <c r="B130" s="1" t="n">
        <v>44369.92025462963</v>
      </c>
      <c r="C130" s="1" t="n">
        <v>45908</v>
      </c>
      <c r="D130" t="inlineStr">
        <is>
          <t>JÄMTLANDS LÄN</t>
        </is>
      </c>
      <c r="E130" t="inlineStr">
        <is>
          <t>RAGUNDA</t>
        </is>
      </c>
      <c r="G130" t="n">
        <v>1</v>
      </c>
      <c r="H130" t="n">
        <v>0</v>
      </c>
      <c r="I130" t="n">
        <v>1</v>
      </c>
      <c r="J130" t="n">
        <v>2</v>
      </c>
      <c r="K130" t="n">
        <v>0</v>
      </c>
      <c r="L130" t="n">
        <v>0</v>
      </c>
      <c r="M130" t="n">
        <v>0</v>
      </c>
      <c r="N130" t="n">
        <v>0</v>
      </c>
      <c r="O130" t="n">
        <v>2</v>
      </c>
      <c r="P130" t="n">
        <v>0</v>
      </c>
      <c r="Q130" t="n">
        <v>3</v>
      </c>
      <c r="R130" s="2" t="inlineStr">
        <is>
          <t>Lunglav
Ullticka
Luddlav</t>
        </is>
      </c>
      <c r="S130">
        <f>HYPERLINK("https://klasma.github.io/Logging_2303/artfynd/A 31727-2021 artfynd.xlsx", "A 31727-2021")</f>
        <v/>
      </c>
      <c r="T130">
        <f>HYPERLINK("https://klasma.github.io/Logging_2303/kartor/A 31727-2021 karta.png", "A 31727-2021")</f>
        <v/>
      </c>
      <c r="V130">
        <f>HYPERLINK("https://klasma.github.io/Logging_2303/klagomål/A 31727-2021 FSC-klagomål.docx", "A 31727-2021")</f>
        <v/>
      </c>
      <c r="W130">
        <f>HYPERLINK("https://klasma.github.io/Logging_2303/klagomålsmail/A 31727-2021 FSC-klagomål mail.docx", "A 31727-2021")</f>
        <v/>
      </c>
      <c r="X130">
        <f>HYPERLINK("https://klasma.github.io/Logging_2303/tillsyn/A 31727-2021 tillsynsbegäran.docx", "A 31727-2021")</f>
        <v/>
      </c>
      <c r="Y130">
        <f>HYPERLINK("https://klasma.github.io/Logging_2303/tillsynsmail/A 31727-2021 tillsynsbegäran mail.docx", "A 31727-2021")</f>
        <v/>
      </c>
    </row>
    <row r="131" ht="15" customHeight="1">
      <c r="A131" t="inlineStr">
        <is>
          <t>A 58368-2024</t>
        </is>
      </c>
      <c r="B131" s="1" t="n">
        <v>45632.69822916666</v>
      </c>
      <c r="C131" s="1" t="n">
        <v>45908</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18616-2024</t>
        </is>
      </c>
      <c r="B132" s="1" t="n">
        <v>45425.96285879629</v>
      </c>
      <c r="C132" s="1" t="n">
        <v>45908</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21248-2025</t>
        </is>
      </c>
      <c r="B133" s="1" t="n">
        <v>45779.57392361111</v>
      </c>
      <c r="C133" s="1" t="n">
        <v>45908</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61790-2023</t>
        </is>
      </c>
      <c r="B134" s="1" t="n">
        <v>45265</v>
      </c>
      <c r="C134" s="1" t="n">
        <v>45908</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32903-2024</t>
        </is>
      </c>
      <c r="B135" s="1" t="n">
        <v>45516.94723379629</v>
      </c>
      <c r="C135" s="1" t="n">
        <v>45908</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53022-2022</t>
        </is>
      </c>
      <c r="B136" s="1" t="n">
        <v>44875</v>
      </c>
      <c r="C136" s="1" t="n">
        <v>45908</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57941-2024</t>
        </is>
      </c>
      <c r="B137" s="1" t="n">
        <v>45631</v>
      </c>
      <c r="C137" s="1" t="n">
        <v>45908</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48054-2022</t>
        </is>
      </c>
      <c r="B138" s="1" t="n">
        <v>44855</v>
      </c>
      <c r="C138" s="1" t="n">
        <v>45908</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25769-2025</t>
        </is>
      </c>
      <c r="B139" s="1" t="n">
        <v>45804.34474537037</v>
      </c>
      <c r="C139" s="1" t="n">
        <v>45908</v>
      </c>
      <c r="D139" t="inlineStr">
        <is>
          <t>JÄMTLANDS LÄN</t>
        </is>
      </c>
      <c r="E139" t="inlineStr">
        <is>
          <t>RAGUNDA</t>
        </is>
      </c>
      <c r="F139" t="inlineStr">
        <is>
          <t>SCA</t>
        </is>
      </c>
      <c r="G139" t="n">
        <v>5.3</v>
      </c>
      <c r="H139" t="n">
        <v>2</v>
      </c>
      <c r="I139" t="n">
        <v>0</v>
      </c>
      <c r="J139" t="n">
        <v>3</v>
      </c>
      <c r="K139" t="n">
        <v>0</v>
      </c>
      <c r="L139" t="n">
        <v>0</v>
      </c>
      <c r="M139" t="n">
        <v>0</v>
      </c>
      <c r="N139" t="n">
        <v>0</v>
      </c>
      <c r="O139" t="n">
        <v>3</v>
      </c>
      <c r="P139" t="n">
        <v>0</v>
      </c>
      <c r="Q139" t="n">
        <v>3</v>
      </c>
      <c r="R139" s="2" t="inlineStr">
        <is>
          <t>Garnlav
Rödvingetrast
Tretåig hackspett</t>
        </is>
      </c>
      <c r="S139">
        <f>HYPERLINK("https://klasma.github.io/Logging_2303/artfynd/A 25769-2025 artfynd.xlsx", "A 25769-2025")</f>
        <v/>
      </c>
      <c r="T139">
        <f>HYPERLINK("https://klasma.github.io/Logging_2303/kartor/A 25769-2025 karta.png", "A 25769-2025")</f>
        <v/>
      </c>
      <c r="V139">
        <f>HYPERLINK("https://klasma.github.io/Logging_2303/klagomål/A 25769-2025 FSC-klagomål.docx", "A 25769-2025")</f>
        <v/>
      </c>
      <c r="W139">
        <f>HYPERLINK("https://klasma.github.io/Logging_2303/klagomålsmail/A 25769-2025 FSC-klagomål mail.docx", "A 25769-2025")</f>
        <v/>
      </c>
      <c r="X139">
        <f>HYPERLINK("https://klasma.github.io/Logging_2303/tillsyn/A 25769-2025 tillsynsbegäran.docx", "A 25769-2025")</f>
        <v/>
      </c>
      <c r="Y139">
        <f>HYPERLINK("https://klasma.github.io/Logging_2303/tillsynsmail/A 25769-2025 tillsynsbegäran mail.docx", "A 25769-2025")</f>
        <v/>
      </c>
      <c r="Z139">
        <f>HYPERLINK("https://klasma.github.io/Logging_2303/fåglar/A 25769-2025 prioriterade fågelarter.docx", "A 25769-2025")</f>
        <v/>
      </c>
    </row>
    <row r="140" ht="15" customHeight="1">
      <c r="A140" t="inlineStr">
        <is>
          <t>A 30470-2024</t>
        </is>
      </c>
      <c r="B140" s="1" t="n">
        <v>45491.94715277778</v>
      </c>
      <c r="C140" s="1" t="n">
        <v>45908</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20776-2024</t>
        </is>
      </c>
      <c r="B141" s="1" t="n">
        <v>45436.94686342592</v>
      </c>
      <c r="C141" s="1" t="n">
        <v>45908</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58737-2022</t>
        </is>
      </c>
      <c r="B142" s="1" t="n">
        <v>44902</v>
      </c>
      <c r="C142" s="1" t="n">
        <v>45908</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36504-2023</t>
        </is>
      </c>
      <c r="B143" s="1" t="n">
        <v>45152</v>
      </c>
      <c r="C143" s="1" t="n">
        <v>45908</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22571-2025</t>
        </is>
      </c>
      <c r="B144" s="1" t="n">
        <v>45789.36503472222</v>
      </c>
      <c r="C144" s="1" t="n">
        <v>45908</v>
      </c>
      <c r="D144" t="inlineStr">
        <is>
          <t>JÄMTLANDS LÄN</t>
        </is>
      </c>
      <c r="E144" t="inlineStr">
        <is>
          <t>RAGUNDA</t>
        </is>
      </c>
      <c r="F144" t="inlineStr">
        <is>
          <t>SCA</t>
        </is>
      </c>
      <c r="G144" t="n">
        <v>18.2</v>
      </c>
      <c r="H144" t="n">
        <v>2</v>
      </c>
      <c r="I144" t="n">
        <v>0</v>
      </c>
      <c r="J144" t="n">
        <v>2</v>
      </c>
      <c r="K144" t="n">
        <v>0</v>
      </c>
      <c r="L144" t="n">
        <v>0</v>
      </c>
      <c r="M144" t="n">
        <v>0</v>
      </c>
      <c r="N144" t="n">
        <v>0</v>
      </c>
      <c r="O144" t="n">
        <v>2</v>
      </c>
      <c r="P144" t="n">
        <v>0</v>
      </c>
      <c r="Q144" t="n">
        <v>3</v>
      </c>
      <c r="R144" s="2" t="inlineStr">
        <is>
          <t>Garnlav
Tretåig hackspett
Nattviol</t>
        </is>
      </c>
      <c r="S144">
        <f>HYPERLINK("https://klasma.github.io/Logging_2303/artfynd/A 22571-2025 artfynd.xlsx", "A 22571-2025")</f>
        <v/>
      </c>
      <c r="T144">
        <f>HYPERLINK("https://klasma.github.io/Logging_2303/kartor/A 22571-2025 karta.png", "A 22571-2025")</f>
        <v/>
      </c>
      <c r="V144">
        <f>HYPERLINK("https://klasma.github.io/Logging_2303/klagomål/A 22571-2025 FSC-klagomål.docx", "A 22571-2025")</f>
        <v/>
      </c>
      <c r="W144">
        <f>HYPERLINK("https://klasma.github.io/Logging_2303/klagomålsmail/A 22571-2025 FSC-klagomål mail.docx", "A 22571-2025")</f>
        <v/>
      </c>
      <c r="X144">
        <f>HYPERLINK("https://klasma.github.io/Logging_2303/tillsyn/A 22571-2025 tillsynsbegäran.docx", "A 22571-2025")</f>
        <v/>
      </c>
      <c r="Y144">
        <f>HYPERLINK("https://klasma.github.io/Logging_2303/tillsynsmail/A 22571-2025 tillsynsbegäran mail.docx", "A 22571-2025")</f>
        <v/>
      </c>
      <c r="Z144">
        <f>HYPERLINK("https://klasma.github.io/Logging_2303/fåglar/A 22571-2025 prioriterade fågelarter.docx", "A 22571-2025")</f>
        <v/>
      </c>
    </row>
    <row r="145" ht="15" customHeight="1">
      <c r="A145" t="inlineStr">
        <is>
          <t>A 34585-2025</t>
        </is>
      </c>
      <c r="B145" s="1" t="n">
        <v>45847.61498842593</v>
      </c>
      <c r="C145" s="1" t="n">
        <v>45908</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45908</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41877-2025</t>
        </is>
      </c>
      <c r="B147" s="1" t="n">
        <v>45903.345625</v>
      </c>
      <c r="C147" s="1" t="n">
        <v>45908</v>
      </c>
      <c r="D147" t="inlineStr">
        <is>
          <t>JÄMTLANDS LÄN</t>
        </is>
      </c>
      <c r="E147" t="inlineStr">
        <is>
          <t>RAGUNDA</t>
        </is>
      </c>
      <c r="G147" t="n">
        <v>27.7</v>
      </c>
      <c r="H147" t="n">
        <v>1</v>
      </c>
      <c r="I147" t="n">
        <v>0</v>
      </c>
      <c r="J147" t="n">
        <v>2</v>
      </c>
      <c r="K147" t="n">
        <v>1</v>
      </c>
      <c r="L147" t="n">
        <v>0</v>
      </c>
      <c r="M147" t="n">
        <v>0</v>
      </c>
      <c r="N147" t="n">
        <v>0</v>
      </c>
      <c r="O147" t="n">
        <v>3</v>
      </c>
      <c r="P147" t="n">
        <v>1</v>
      </c>
      <c r="Q147" t="n">
        <v>3</v>
      </c>
      <c r="R147" s="2" t="inlineStr">
        <is>
          <t>Knärot
Garnlav
Mörk kolflarnlav</t>
        </is>
      </c>
      <c r="S147">
        <f>HYPERLINK("https://klasma.github.io/Logging_2303/artfynd/A 41877-2025 artfynd.xlsx", "A 41877-2025")</f>
        <v/>
      </c>
      <c r="T147">
        <f>HYPERLINK("https://klasma.github.io/Logging_2303/kartor/A 41877-2025 karta.png", "A 41877-2025")</f>
        <v/>
      </c>
      <c r="U147">
        <f>HYPERLINK("https://klasma.github.io/Logging_2303/knärot/A 41877-2025 karta knärot.png", "A 41877-2025")</f>
        <v/>
      </c>
      <c r="V147">
        <f>HYPERLINK("https://klasma.github.io/Logging_2303/klagomål/A 41877-2025 FSC-klagomål.docx", "A 41877-2025")</f>
        <v/>
      </c>
      <c r="W147">
        <f>HYPERLINK("https://klasma.github.io/Logging_2303/klagomålsmail/A 41877-2025 FSC-klagomål mail.docx", "A 41877-2025")</f>
        <v/>
      </c>
      <c r="X147">
        <f>HYPERLINK("https://klasma.github.io/Logging_2303/tillsyn/A 41877-2025 tillsynsbegäran.docx", "A 41877-2025")</f>
        <v/>
      </c>
      <c r="Y147">
        <f>HYPERLINK("https://klasma.github.io/Logging_2303/tillsynsmail/A 41877-2025 tillsynsbegäran mail.docx", "A 41877-2025")</f>
        <v/>
      </c>
    </row>
    <row r="148" ht="15" customHeight="1">
      <c r="A148" t="inlineStr">
        <is>
          <t>A 28178-2023</t>
        </is>
      </c>
      <c r="B148" s="1" t="n">
        <v>45093</v>
      </c>
      <c r="C148" s="1" t="n">
        <v>45908</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16305-2025</t>
        </is>
      </c>
      <c r="B149" s="1" t="n">
        <v>45751.34650462963</v>
      </c>
      <c r="C149" s="1" t="n">
        <v>45908</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45908</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49047-2023</t>
        </is>
      </c>
      <c r="B151" s="1" t="n">
        <v>45209</v>
      </c>
      <c r="C151" s="1" t="n">
        <v>45908</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51010-2020</t>
        </is>
      </c>
      <c r="B152" s="1" t="n">
        <v>44111</v>
      </c>
      <c r="C152" s="1" t="n">
        <v>45908</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14814-2024</t>
        </is>
      </c>
      <c r="B153" s="1" t="n">
        <v>45397.95748842593</v>
      </c>
      <c r="C153" s="1" t="n">
        <v>45908</v>
      </c>
      <c r="D153" t="inlineStr">
        <is>
          <t>JÄMTLANDS LÄN</t>
        </is>
      </c>
      <c r="E153" t="inlineStr">
        <is>
          <t>RAGUNDA</t>
        </is>
      </c>
      <c r="F153" t="inlineStr">
        <is>
          <t>SCA</t>
        </is>
      </c>
      <c r="G153" t="n">
        <v>10.5</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14814-2024 artfynd.xlsx", "A 14814-2024")</f>
        <v/>
      </c>
      <c r="T153">
        <f>HYPERLINK("https://klasma.github.io/Logging_2303/kartor/A 14814-2024 karta.png", "A 14814-2024")</f>
        <v/>
      </c>
      <c r="V153">
        <f>HYPERLINK("https://klasma.github.io/Logging_2303/klagomål/A 14814-2024 FSC-klagomål.docx", "A 14814-2024")</f>
        <v/>
      </c>
      <c r="W153">
        <f>HYPERLINK("https://klasma.github.io/Logging_2303/klagomålsmail/A 14814-2024 FSC-klagomål mail.docx", "A 14814-2024")</f>
        <v/>
      </c>
      <c r="X153">
        <f>HYPERLINK("https://klasma.github.io/Logging_2303/tillsyn/A 14814-2024 tillsynsbegäran.docx", "A 14814-2024")</f>
        <v/>
      </c>
      <c r="Y153">
        <f>HYPERLINK("https://klasma.github.io/Logging_2303/tillsynsmail/A 14814-2024 tillsynsbegäran mail.docx", "A 14814-2024")</f>
        <v/>
      </c>
    </row>
    <row r="154" ht="15" customHeight="1">
      <c r="A154" t="inlineStr">
        <is>
          <t>A 33278-2022</t>
        </is>
      </c>
      <c r="B154" s="1" t="n">
        <v>44788</v>
      </c>
      <c r="C154" s="1" t="n">
        <v>45908</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45908</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12737-2025</t>
        </is>
      </c>
      <c r="B156" s="1" t="n">
        <v>45733</v>
      </c>
      <c r="C156" s="1" t="n">
        <v>45908</v>
      </c>
      <c r="D156" t="inlineStr">
        <is>
          <t>JÄMTLANDS LÄN</t>
        </is>
      </c>
      <c r="E156" t="inlineStr">
        <is>
          <t>RAGUNDA</t>
        </is>
      </c>
      <c r="G156" t="n">
        <v>16.1</v>
      </c>
      <c r="H156" t="n">
        <v>2</v>
      </c>
      <c r="I156" t="n">
        <v>2</v>
      </c>
      <c r="J156" t="n">
        <v>0</v>
      </c>
      <c r="K156" t="n">
        <v>1</v>
      </c>
      <c r="L156" t="n">
        <v>0</v>
      </c>
      <c r="M156" t="n">
        <v>0</v>
      </c>
      <c r="N156" t="n">
        <v>0</v>
      </c>
      <c r="O156" t="n">
        <v>1</v>
      </c>
      <c r="P156" t="n">
        <v>1</v>
      </c>
      <c r="Q156" t="n">
        <v>3</v>
      </c>
      <c r="R156" s="2" t="inlineStr">
        <is>
          <t>Knärot
Plattlummer
Skarp dropptaggsvamp</t>
        </is>
      </c>
      <c r="S156">
        <f>HYPERLINK("https://klasma.github.io/Logging_2303/artfynd/A 12737-2025 artfynd.xlsx", "A 12737-2025")</f>
        <v/>
      </c>
      <c r="T156">
        <f>HYPERLINK("https://klasma.github.io/Logging_2303/kartor/A 12737-2025 karta.png", "A 12737-2025")</f>
        <v/>
      </c>
      <c r="U156">
        <f>HYPERLINK("https://klasma.github.io/Logging_2303/knärot/A 12737-2025 karta knärot.png", "A 12737-2025")</f>
        <v/>
      </c>
      <c r="V156">
        <f>HYPERLINK("https://klasma.github.io/Logging_2303/klagomål/A 12737-2025 FSC-klagomål.docx", "A 12737-2025")</f>
        <v/>
      </c>
      <c r="W156">
        <f>HYPERLINK("https://klasma.github.io/Logging_2303/klagomålsmail/A 12737-2025 FSC-klagomål mail.docx", "A 12737-2025")</f>
        <v/>
      </c>
      <c r="X156">
        <f>HYPERLINK("https://klasma.github.io/Logging_2303/tillsyn/A 12737-2025 tillsynsbegäran.docx", "A 12737-2025")</f>
        <v/>
      </c>
      <c r="Y156">
        <f>HYPERLINK("https://klasma.github.io/Logging_2303/tillsynsmail/A 12737-2025 tillsynsbegäran mail.docx", "A 12737-2025")</f>
        <v/>
      </c>
    </row>
    <row r="157" ht="15" customHeight="1">
      <c r="A157" t="inlineStr">
        <is>
          <t>A 5048-2025</t>
        </is>
      </c>
      <c r="B157" s="1" t="n">
        <v>45691.44769675926</v>
      </c>
      <c r="C157" s="1" t="n">
        <v>45908</v>
      </c>
      <c r="D157" t="inlineStr">
        <is>
          <t>JÄMTLANDS LÄN</t>
        </is>
      </c>
      <c r="E157" t="inlineStr">
        <is>
          <t>RAGUNDA</t>
        </is>
      </c>
      <c r="F157" t="inlineStr">
        <is>
          <t>SCA</t>
        </is>
      </c>
      <c r="G157" t="n">
        <v>1.8</v>
      </c>
      <c r="H157" t="n">
        <v>3</v>
      </c>
      <c r="I157" t="n">
        <v>2</v>
      </c>
      <c r="J157" t="n">
        <v>0</v>
      </c>
      <c r="K157" t="n">
        <v>0</v>
      </c>
      <c r="L157" t="n">
        <v>0</v>
      </c>
      <c r="M157" t="n">
        <v>0</v>
      </c>
      <c r="N157" t="n">
        <v>0</v>
      </c>
      <c r="O157" t="n">
        <v>0</v>
      </c>
      <c r="P157" t="n">
        <v>0</v>
      </c>
      <c r="Q157" t="n">
        <v>3</v>
      </c>
      <c r="R157" s="2" t="inlineStr">
        <is>
          <t>Guckusko
Tvåblad
Fläcknycklar</t>
        </is>
      </c>
      <c r="S157">
        <f>HYPERLINK("https://klasma.github.io/Logging_2303/artfynd/A 5048-2025 artfynd.xlsx", "A 5048-2025")</f>
        <v/>
      </c>
      <c r="T157">
        <f>HYPERLINK("https://klasma.github.io/Logging_2303/kartor/A 5048-2025 karta.png", "A 5048-2025")</f>
        <v/>
      </c>
      <c r="V157">
        <f>HYPERLINK("https://klasma.github.io/Logging_2303/klagomål/A 5048-2025 FSC-klagomål.docx", "A 5048-2025")</f>
        <v/>
      </c>
      <c r="W157">
        <f>HYPERLINK("https://klasma.github.io/Logging_2303/klagomålsmail/A 5048-2025 FSC-klagomål mail.docx", "A 5048-2025")</f>
        <v/>
      </c>
      <c r="X157">
        <f>HYPERLINK("https://klasma.github.io/Logging_2303/tillsyn/A 5048-2025 tillsynsbegäran.docx", "A 5048-2025")</f>
        <v/>
      </c>
      <c r="Y157">
        <f>HYPERLINK("https://klasma.github.io/Logging_2303/tillsynsmail/A 5048-2025 tillsynsbegäran mail.docx", "A 5048-2025")</f>
        <v/>
      </c>
    </row>
    <row r="158" ht="15" customHeight="1">
      <c r="A158" t="inlineStr">
        <is>
          <t>A 17043-2022</t>
        </is>
      </c>
      <c r="B158" s="1" t="n">
        <v>44676</v>
      </c>
      <c r="C158" s="1" t="n">
        <v>45908</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48059-2022</t>
        </is>
      </c>
      <c r="B159" s="1" t="n">
        <v>44855</v>
      </c>
      <c r="C159" s="1" t="n">
        <v>45908</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10866-2025</t>
        </is>
      </c>
      <c r="B160" s="1" t="n">
        <v>45722.61543981481</v>
      </c>
      <c r="C160" s="1" t="n">
        <v>45908</v>
      </c>
      <c r="D160" t="inlineStr">
        <is>
          <t>JÄMTLANDS LÄN</t>
        </is>
      </c>
      <c r="E160" t="inlineStr">
        <is>
          <t>RAGUNDA</t>
        </is>
      </c>
      <c r="F160" t="inlineStr">
        <is>
          <t>SCA</t>
        </is>
      </c>
      <c r="G160" t="n">
        <v>15.9</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10866-2025 artfynd.xlsx", "A 10866-2025")</f>
        <v/>
      </c>
      <c r="T160">
        <f>HYPERLINK("https://klasma.github.io/Logging_2303/kartor/A 10866-2025 karta.png", "A 10866-2025")</f>
        <v/>
      </c>
      <c r="V160">
        <f>HYPERLINK("https://klasma.github.io/Logging_2303/klagomål/A 10866-2025 FSC-klagomål.docx", "A 10866-2025")</f>
        <v/>
      </c>
      <c r="W160">
        <f>HYPERLINK("https://klasma.github.io/Logging_2303/klagomålsmail/A 10866-2025 FSC-klagomål mail.docx", "A 10866-2025")</f>
        <v/>
      </c>
      <c r="X160">
        <f>HYPERLINK("https://klasma.github.io/Logging_2303/tillsyn/A 10866-2025 tillsynsbegäran.docx", "A 10866-2025")</f>
        <v/>
      </c>
      <c r="Y160">
        <f>HYPERLINK("https://klasma.github.io/Logging_2303/tillsynsmail/A 10866-2025 tillsynsbegäran mail.docx", "A 10866-2025")</f>
        <v/>
      </c>
    </row>
    <row r="161" ht="15" customHeight="1">
      <c r="A161" t="inlineStr">
        <is>
          <t>A 21245-2025</t>
        </is>
      </c>
      <c r="B161" s="1" t="n">
        <v>45779.57350694444</v>
      </c>
      <c r="C161" s="1" t="n">
        <v>45908</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19384-2025</t>
        </is>
      </c>
      <c r="B162" s="1" t="n">
        <v>45769.65692129629</v>
      </c>
      <c r="C162" s="1" t="n">
        <v>45908</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3838-2024</t>
        </is>
      </c>
      <c r="B163" s="1" t="n">
        <v>45321</v>
      </c>
      <c r="C163" s="1" t="n">
        <v>45908</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57940-2024</t>
        </is>
      </c>
      <c r="B164" s="1" t="n">
        <v>45631</v>
      </c>
      <c r="C164" s="1" t="n">
        <v>45908</v>
      </c>
      <c r="D164" t="inlineStr">
        <is>
          <t>JÄMTLANDS LÄN</t>
        </is>
      </c>
      <c r="E164" t="inlineStr">
        <is>
          <t>RAGUNDA</t>
        </is>
      </c>
      <c r="F164" t="inlineStr">
        <is>
          <t>SCA</t>
        </is>
      </c>
      <c r="G164" t="n">
        <v>1.9</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HYPERLINK("https://klasma.github.io/Logging_2303/artfynd/A 57940-2024 artfynd.xlsx", "A 57940-2024")</f>
        <v/>
      </c>
      <c r="T164">
        <f>HYPERLINK("https://klasma.github.io/Logging_2303/kartor/A 57940-2024 karta.png", "A 57940-2024")</f>
        <v/>
      </c>
      <c r="V164">
        <f>HYPERLINK("https://klasma.github.io/Logging_2303/klagomål/A 57940-2024 FSC-klagomål.docx", "A 57940-2024")</f>
        <v/>
      </c>
      <c r="W164">
        <f>HYPERLINK("https://klasma.github.io/Logging_2303/klagomålsmail/A 57940-2024 FSC-klagomål mail.docx", "A 57940-2024")</f>
        <v/>
      </c>
      <c r="X164">
        <f>HYPERLINK("https://klasma.github.io/Logging_2303/tillsyn/A 57940-2024 tillsynsbegäran.docx", "A 57940-2024")</f>
        <v/>
      </c>
      <c r="Y164">
        <f>HYPERLINK("https://klasma.github.io/Logging_2303/tillsynsmail/A 57940-2024 tillsynsbegäran mail.docx", "A 57940-2024")</f>
        <v/>
      </c>
      <c r="Z164">
        <f>HYPERLINK("https://klasma.github.io/Logging_2303/fåglar/A 57940-2024 prioriterade fågelarter.docx", "A 57940-2024")</f>
        <v/>
      </c>
    </row>
    <row r="165" ht="15" customHeight="1">
      <c r="A165" t="inlineStr">
        <is>
          <t>A 36756-2023</t>
        </is>
      </c>
      <c r="B165" s="1" t="n">
        <v>45153</v>
      </c>
      <c r="C165" s="1" t="n">
        <v>45908</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45908</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25155-2025</t>
        </is>
      </c>
      <c r="B167" s="1" t="n">
        <v>45800.42782407408</v>
      </c>
      <c r="C167" s="1" t="n">
        <v>45908</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32736-2023</t>
        </is>
      </c>
      <c r="B168" s="1" t="n">
        <v>45121</v>
      </c>
      <c r="C168" s="1" t="n">
        <v>45908</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39495-2024</t>
        </is>
      </c>
      <c r="B169" s="1" t="n">
        <v>45551.65726851852</v>
      </c>
      <c r="C169" s="1" t="n">
        <v>45908</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55647-2023</t>
        </is>
      </c>
      <c r="B170" s="1" t="n">
        <v>45238</v>
      </c>
      <c r="C170" s="1" t="n">
        <v>45908</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45035-2023</t>
        </is>
      </c>
      <c r="B171" s="1" t="n">
        <v>45191</v>
      </c>
      <c r="C171" s="1" t="n">
        <v>45908</v>
      </c>
      <c r="D171" t="inlineStr">
        <is>
          <t>JÄMTLANDS LÄN</t>
        </is>
      </c>
      <c r="E171" t="inlineStr">
        <is>
          <t>RAGUNDA</t>
        </is>
      </c>
      <c r="G171" t="n">
        <v>2.9</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45035-2023 artfynd.xlsx", "A 45035-2023")</f>
        <v/>
      </c>
      <c r="T171">
        <f>HYPERLINK("https://klasma.github.io/Logging_2303/kartor/A 45035-2023 karta.png", "A 45035-2023")</f>
        <v/>
      </c>
      <c r="V171">
        <f>HYPERLINK("https://klasma.github.io/Logging_2303/klagomål/A 45035-2023 FSC-klagomål.docx", "A 45035-2023")</f>
        <v/>
      </c>
      <c r="W171">
        <f>HYPERLINK("https://klasma.github.io/Logging_2303/klagomålsmail/A 45035-2023 FSC-klagomål mail.docx", "A 45035-2023")</f>
        <v/>
      </c>
      <c r="X171">
        <f>HYPERLINK("https://klasma.github.io/Logging_2303/tillsyn/A 45035-2023 tillsynsbegäran.docx", "A 45035-2023")</f>
        <v/>
      </c>
      <c r="Y171">
        <f>HYPERLINK("https://klasma.github.io/Logging_2303/tillsynsmail/A 45035-2023 tillsynsbegäran mail.docx", "A 45035-2023")</f>
        <v/>
      </c>
    </row>
    <row r="172" ht="15" customHeight="1">
      <c r="A172" t="inlineStr">
        <is>
          <t>A 47267-2022</t>
        </is>
      </c>
      <c r="B172" s="1" t="n">
        <v>44852</v>
      </c>
      <c r="C172" s="1" t="n">
        <v>45908</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45908</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11544-2024</t>
        </is>
      </c>
      <c r="B174" s="1" t="n">
        <v>45372.95680555556</v>
      </c>
      <c r="C174" s="1" t="n">
        <v>45908</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48427-2023</t>
        </is>
      </c>
      <c r="B175" s="1" t="n">
        <v>45205</v>
      </c>
      <c r="C175" s="1" t="n">
        <v>45908</v>
      </c>
      <c r="D175" t="inlineStr">
        <is>
          <t>JÄMTLANDS LÄN</t>
        </is>
      </c>
      <c r="E175" t="inlineStr">
        <is>
          <t>RAGUNDA</t>
        </is>
      </c>
      <c r="F175" t="inlineStr">
        <is>
          <t>SCA</t>
        </is>
      </c>
      <c r="G175" t="n">
        <v>10.1</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48427-2023 artfynd.xlsx", "A 48427-2023")</f>
        <v/>
      </c>
      <c r="T175">
        <f>HYPERLINK("https://klasma.github.io/Logging_2303/kartor/A 48427-2023 karta.png", "A 48427-2023")</f>
        <v/>
      </c>
      <c r="V175">
        <f>HYPERLINK("https://klasma.github.io/Logging_2303/klagomål/A 48427-2023 FSC-klagomål.docx", "A 48427-2023")</f>
        <v/>
      </c>
      <c r="W175">
        <f>HYPERLINK("https://klasma.github.io/Logging_2303/klagomålsmail/A 48427-2023 FSC-klagomål mail.docx", "A 48427-2023")</f>
        <v/>
      </c>
      <c r="X175">
        <f>HYPERLINK("https://klasma.github.io/Logging_2303/tillsyn/A 48427-2023 tillsynsbegäran.docx", "A 48427-2023")</f>
        <v/>
      </c>
      <c r="Y175">
        <f>HYPERLINK("https://klasma.github.io/Logging_2303/tillsynsmail/A 48427-2023 tillsynsbegäran mail.docx", "A 48427-2023")</f>
        <v/>
      </c>
    </row>
    <row r="176" ht="15" customHeight="1">
      <c r="A176" t="inlineStr">
        <is>
          <t>A 31960-2025</t>
        </is>
      </c>
      <c r="B176" s="1" t="n">
        <v>45835.344375</v>
      </c>
      <c r="C176" s="1" t="n">
        <v>45908</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35131-2025</t>
        </is>
      </c>
      <c r="B177" s="1" t="n">
        <v>45852.63597222222</v>
      </c>
      <c r="C177" s="1" t="n">
        <v>45908</v>
      </c>
      <c r="D177" t="inlineStr">
        <is>
          <t>JÄMTLANDS LÄN</t>
        </is>
      </c>
      <c r="E177" t="inlineStr">
        <is>
          <t>RAGUNDA</t>
        </is>
      </c>
      <c r="F177" t="inlineStr">
        <is>
          <t>SCA</t>
        </is>
      </c>
      <c r="G177" t="n">
        <v>6.9</v>
      </c>
      <c r="H177" t="n">
        <v>1</v>
      </c>
      <c r="I177" t="n">
        <v>1</v>
      </c>
      <c r="J177" t="n">
        <v>0</v>
      </c>
      <c r="K177" t="n">
        <v>0</v>
      </c>
      <c r="L177" t="n">
        <v>0</v>
      </c>
      <c r="M177" t="n">
        <v>0</v>
      </c>
      <c r="N177" t="n">
        <v>0</v>
      </c>
      <c r="O177" t="n">
        <v>0</v>
      </c>
      <c r="P177" t="n">
        <v>0</v>
      </c>
      <c r="Q177" t="n">
        <v>2</v>
      </c>
      <c r="R177" s="2" t="inlineStr">
        <is>
          <t>Ögonpyrola
Nattviol</t>
        </is>
      </c>
      <c r="S177">
        <f>HYPERLINK("https://klasma.github.io/Logging_2303/artfynd/A 35131-2025 artfynd.xlsx", "A 35131-2025")</f>
        <v/>
      </c>
      <c r="T177">
        <f>HYPERLINK("https://klasma.github.io/Logging_2303/kartor/A 35131-2025 karta.png", "A 35131-2025")</f>
        <v/>
      </c>
      <c r="V177">
        <f>HYPERLINK("https://klasma.github.io/Logging_2303/klagomål/A 35131-2025 FSC-klagomål.docx", "A 35131-2025")</f>
        <v/>
      </c>
      <c r="W177">
        <f>HYPERLINK("https://klasma.github.io/Logging_2303/klagomålsmail/A 35131-2025 FSC-klagomål mail.docx", "A 35131-2025")</f>
        <v/>
      </c>
      <c r="X177">
        <f>HYPERLINK("https://klasma.github.io/Logging_2303/tillsyn/A 35131-2025 tillsynsbegäran.docx", "A 35131-2025")</f>
        <v/>
      </c>
      <c r="Y177">
        <f>HYPERLINK("https://klasma.github.io/Logging_2303/tillsynsmail/A 35131-2025 tillsynsbegäran mail.docx", "A 35131-2025")</f>
        <v/>
      </c>
    </row>
    <row r="178" ht="15" customHeight="1">
      <c r="A178" t="inlineStr">
        <is>
          <t>A 35344-2025</t>
        </is>
      </c>
      <c r="B178" s="1" t="n">
        <v>45854.61494212963</v>
      </c>
      <c r="C178" s="1" t="n">
        <v>45908</v>
      </c>
      <c r="D178" t="inlineStr">
        <is>
          <t>JÄMTLANDS LÄN</t>
        </is>
      </c>
      <c r="E178" t="inlineStr">
        <is>
          <t>RAGUNDA</t>
        </is>
      </c>
      <c r="F178" t="inlineStr">
        <is>
          <t>SCA</t>
        </is>
      </c>
      <c r="G178" t="n">
        <v>6.1</v>
      </c>
      <c r="H178" t="n">
        <v>0</v>
      </c>
      <c r="I178" t="n">
        <v>0</v>
      </c>
      <c r="J178" t="n">
        <v>2</v>
      </c>
      <c r="K178" t="n">
        <v>0</v>
      </c>
      <c r="L178" t="n">
        <v>0</v>
      </c>
      <c r="M178" t="n">
        <v>0</v>
      </c>
      <c r="N178" t="n">
        <v>0</v>
      </c>
      <c r="O178" t="n">
        <v>2</v>
      </c>
      <c r="P178" t="n">
        <v>0</v>
      </c>
      <c r="Q178" t="n">
        <v>2</v>
      </c>
      <c r="R178" s="2" t="inlineStr">
        <is>
          <t>Svart taggsvamp
Vedtrappmossa</t>
        </is>
      </c>
      <c r="S178">
        <f>HYPERLINK("https://klasma.github.io/Logging_2303/artfynd/A 35344-2025 artfynd.xlsx", "A 35344-2025")</f>
        <v/>
      </c>
      <c r="T178">
        <f>HYPERLINK("https://klasma.github.io/Logging_2303/kartor/A 35344-2025 karta.png", "A 35344-2025")</f>
        <v/>
      </c>
      <c r="V178">
        <f>HYPERLINK("https://klasma.github.io/Logging_2303/klagomål/A 35344-2025 FSC-klagomål.docx", "A 35344-2025")</f>
        <v/>
      </c>
      <c r="W178">
        <f>HYPERLINK("https://klasma.github.io/Logging_2303/klagomålsmail/A 35344-2025 FSC-klagomål mail.docx", "A 35344-2025")</f>
        <v/>
      </c>
      <c r="X178">
        <f>HYPERLINK("https://klasma.github.io/Logging_2303/tillsyn/A 35344-2025 tillsynsbegäran.docx", "A 35344-2025")</f>
        <v/>
      </c>
      <c r="Y178">
        <f>HYPERLINK("https://klasma.github.io/Logging_2303/tillsynsmail/A 35344-2025 tillsynsbegäran mail.docx", "A 35344-2025")</f>
        <v/>
      </c>
    </row>
    <row r="179" ht="15" customHeight="1">
      <c r="A179" t="inlineStr">
        <is>
          <t>A 11843-2023</t>
        </is>
      </c>
      <c r="B179" s="1" t="n">
        <v>44993</v>
      </c>
      <c r="C179" s="1" t="n">
        <v>45908</v>
      </c>
      <c r="D179" t="inlineStr">
        <is>
          <t>JÄMTLANDS LÄN</t>
        </is>
      </c>
      <c r="E179" t="inlineStr">
        <is>
          <t>RAGUNDA</t>
        </is>
      </c>
      <c r="G179" t="n">
        <v>6.4</v>
      </c>
      <c r="H179" t="n">
        <v>2</v>
      </c>
      <c r="I179" t="n">
        <v>0</v>
      </c>
      <c r="J179" t="n">
        <v>1</v>
      </c>
      <c r="K179" t="n">
        <v>0</v>
      </c>
      <c r="L179" t="n">
        <v>0</v>
      </c>
      <c r="M179" t="n">
        <v>0</v>
      </c>
      <c r="N179" t="n">
        <v>0</v>
      </c>
      <c r="O179" t="n">
        <v>1</v>
      </c>
      <c r="P179" t="n">
        <v>0</v>
      </c>
      <c r="Q179" t="n">
        <v>2</v>
      </c>
      <c r="R179" s="2" t="inlineStr">
        <is>
          <t>Spillkråka
Revlummer</t>
        </is>
      </c>
      <c r="S179">
        <f>HYPERLINK("https://klasma.github.io/Logging_2303/artfynd/A 11843-2023 artfynd.xlsx", "A 11843-2023")</f>
        <v/>
      </c>
      <c r="T179">
        <f>HYPERLINK("https://klasma.github.io/Logging_2303/kartor/A 11843-2023 karta.png", "A 11843-2023")</f>
        <v/>
      </c>
      <c r="V179">
        <f>HYPERLINK("https://klasma.github.io/Logging_2303/klagomål/A 11843-2023 FSC-klagomål.docx", "A 11843-2023")</f>
        <v/>
      </c>
      <c r="W179">
        <f>HYPERLINK("https://klasma.github.io/Logging_2303/klagomålsmail/A 11843-2023 FSC-klagomål mail.docx", "A 11843-2023")</f>
        <v/>
      </c>
      <c r="X179">
        <f>HYPERLINK("https://klasma.github.io/Logging_2303/tillsyn/A 11843-2023 tillsynsbegäran.docx", "A 11843-2023")</f>
        <v/>
      </c>
      <c r="Y179">
        <f>HYPERLINK("https://klasma.github.io/Logging_2303/tillsynsmail/A 11843-2023 tillsynsbegäran mail.docx", "A 11843-2023")</f>
        <v/>
      </c>
      <c r="Z179">
        <f>HYPERLINK("https://klasma.github.io/Logging_2303/fåglar/A 11843-2023 prioriterade fågelarter.docx", "A 11843-2023")</f>
        <v/>
      </c>
    </row>
    <row r="180" ht="15" customHeight="1">
      <c r="A180" t="inlineStr">
        <is>
          <t>A 17733-2022</t>
        </is>
      </c>
      <c r="B180" s="1" t="n">
        <v>44680</v>
      </c>
      <c r="C180" s="1" t="n">
        <v>45908</v>
      </c>
      <c r="D180" t="inlineStr">
        <is>
          <t>JÄMTLANDS LÄN</t>
        </is>
      </c>
      <c r="E180" t="inlineStr">
        <is>
          <t>RAGUNDA</t>
        </is>
      </c>
      <c r="G180" t="n">
        <v>2.2</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17733-2022 artfynd.xlsx", "A 17733-2022")</f>
        <v/>
      </c>
      <c r="T180">
        <f>HYPERLINK("https://klasma.github.io/Logging_2303/kartor/A 17733-2022 karta.png", "A 17733-2022")</f>
        <v/>
      </c>
      <c r="V180">
        <f>HYPERLINK("https://klasma.github.io/Logging_2303/klagomål/A 17733-2022 FSC-klagomål.docx", "A 17733-2022")</f>
        <v/>
      </c>
      <c r="W180">
        <f>HYPERLINK("https://klasma.github.io/Logging_2303/klagomålsmail/A 17733-2022 FSC-klagomål mail.docx", "A 17733-2022")</f>
        <v/>
      </c>
      <c r="X180">
        <f>HYPERLINK("https://klasma.github.io/Logging_2303/tillsyn/A 17733-2022 tillsynsbegäran.docx", "A 17733-2022")</f>
        <v/>
      </c>
      <c r="Y180">
        <f>HYPERLINK("https://klasma.github.io/Logging_2303/tillsynsmail/A 17733-2022 tillsynsbegäran mail.docx", "A 17733-2022")</f>
        <v/>
      </c>
    </row>
    <row r="181" ht="15" customHeight="1">
      <c r="A181" t="inlineStr">
        <is>
          <t>A 50089-2022</t>
        </is>
      </c>
      <c r="B181" s="1" t="n">
        <v>44865</v>
      </c>
      <c r="C181" s="1" t="n">
        <v>45908</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11086-2025</t>
        </is>
      </c>
      <c r="B182" s="1" t="n">
        <v>45723.57329861111</v>
      </c>
      <c r="C182" s="1" t="n">
        <v>45908</v>
      </c>
      <c r="D182" t="inlineStr">
        <is>
          <t>JÄMTLANDS LÄN</t>
        </is>
      </c>
      <c r="E182" t="inlineStr">
        <is>
          <t>RAGUNDA</t>
        </is>
      </c>
      <c r="F182" t="inlineStr">
        <is>
          <t>SCA</t>
        </is>
      </c>
      <c r="G182" t="n">
        <v>10.8</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11086-2025 artfynd.xlsx", "A 11086-2025")</f>
        <v/>
      </c>
      <c r="T182">
        <f>HYPERLINK("https://klasma.github.io/Logging_2303/kartor/A 11086-2025 karta.png", "A 11086-2025")</f>
        <v/>
      </c>
      <c r="V182">
        <f>HYPERLINK("https://klasma.github.io/Logging_2303/klagomål/A 11086-2025 FSC-klagomål.docx", "A 11086-2025")</f>
        <v/>
      </c>
      <c r="W182">
        <f>HYPERLINK("https://klasma.github.io/Logging_2303/klagomålsmail/A 11086-2025 FSC-klagomål mail.docx", "A 11086-2025")</f>
        <v/>
      </c>
      <c r="X182">
        <f>HYPERLINK("https://klasma.github.io/Logging_2303/tillsyn/A 11086-2025 tillsynsbegäran.docx", "A 11086-2025")</f>
        <v/>
      </c>
      <c r="Y182">
        <f>HYPERLINK("https://klasma.github.io/Logging_2303/tillsynsmail/A 11086-2025 tillsynsbegäran mail.docx", "A 11086-2025")</f>
        <v/>
      </c>
    </row>
    <row r="183" ht="15" customHeight="1">
      <c r="A183" t="inlineStr">
        <is>
          <t>A 40826-2023</t>
        </is>
      </c>
      <c r="B183" s="1" t="n">
        <v>45171</v>
      </c>
      <c r="C183" s="1" t="n">
        <v>45908</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26482-2023</t>
        </is>
      </c>
      <c r="B184" s="1" t="n">
        <v>45089</v>
      </c>
      <c r="C184" s="1" t="n">
        <v>45908</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41490-2022</t>
        </is>
      </c>
      <c r="B185" s="1" t="n">
        <v>44826.94976851852</v>
      </c>
      <c r="C185" s="1" t="n">
        <v>45908</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14502-2024</t>
        </is>
      </c>
      <c r="B186" s="1" t="n">
        <v>45394</v>
      </c>
      <c r="C186" s="1" t="n">
        <v>45908</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48084-2022</t>
        </is>
      </c>
      <c r="B187" s="1" t="n">
        <v>44855</v>
      </c>
      <c r="C187" s="1" t="n">
        <v>45908</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46771-2024</t>
        </is>
      </c>
      <c r="B188" s="1" t="n">
        <v>45583.49642361111</v>
      </c>
      <c r="C188" s="1" t="n">
        <v>45908</v>
      </c>
      <c r="D188" t="inlineStr">
        <is>
          <t>JÄMTLANDS LÄN</t>
        </is>
      </c>
      <c r="E188" t="inlineStr">
        <is>
          <t>RAGUNDA</t>
        </is>
      </c>
      <c r="F188" t="inlineStr">
        <is>
          <t>SCA</t>
        </is>
      </c>
      <c r="G188" t="n">
        <v>3.1</v>
      </c>
      <c r="H188" t="n">
        <v>0</v>
      </c>
      <c r="I188" t="n">
        <v>0</v>
      </c>
      <c r="J188" t="n">
        <v>2</v>
      </c>
      <c r="K188" t="n">
        <v>0</v>
      </c>
      <c r="L188" t="n">
        <v>0</v>
      </c>
      <c r="M188" t="n">
        <v>0</v>
      </c>
      <c r="N188" t="n">
        <v>0</v>
      </c>
      <c r="O188" t="n">
        <v>2</v>
      </c>
      <c r="P188" t="n">
        <v>0</v>
      </c>
      <c r="Q188" t="n">
        <v>2</v>
      </c>
      <c r="R188" s="2" t="inlineStr">
        <is>
          <t>Doftskinn
Gammelgransskål</t>
        </is>
      </c>
      <c r="S188">
        <f>HYPERLINK("https://klasma.github.io/Logging_2303/artfynd/A 46771-2024 artfynd.xlsx", "A 46771-2024")</f>
        <v/>
      </c>
      <c r="T188">
        <f>HYPERLINK("https://klasma.github.io/Logging_2303/kartor/A 46771-2024 karta.png", "A 46771-2024")</f>
        <v/>
      </c>
      <c r="V188">
        <f>HYPERLINK("https://klasma.github.io/Logging_2303/klagomål/A 46771-2024 FSC-klagomål.docx", "A 46771-2024")</f>
        <v/>
      </c>
      <c r="W188">
        <f>HYPERLINK("https://klasma.github.io/Logging_2303/klagomålsmail/A 46771-2024 FSC-klagomål mail.docx", "A 46771-2024")</f>
        <v/>
      </c>
      <c r="X188">
        <f>HYPERLINK("https://klasma.github.io/Logging_2303/tillsyn/A 46771-2024 tillsynsbegäran.docx", "A 46771-2024")</f>
        <v/>
      </c>
      <c r="Y188">
        <f>HYPERLINK("https://klasma.github.io/Logging_2303/tillsynsmail/A 46771-2024 tillsynsbegäran mail.docx", "A 46771-2024")</f>
        <v/>
      </c>
    </row>
    <row r="189" ht="15" customHeight="1">
      <c r="A189" t="inlineStr">
        <is>
          <t>A 44409-2023</t>
        </is>
      </c>
      <c r="B189" s="1" t="n">
        <v>45188</v>
      </c>
      <c r="C189" s="1" t="n">
        <v>45908</v>
      </c>
      <c r="D189" t="inlineStr">
        <is>
          <t>JÄMTLANDS LÄN</t>
        </is>
      </c>
      <c r="E189" t="inlineStr">
        <is>
          <t>RAGUNDA</t>
        </is>
      </c>
      <c r="F189" t="inlineStr">
        <is>
          <t>SCA</t>
        </is>
      </c>
      <c r="G189" t="n">
        <v>2.5</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26324-2024</t>
        </is>
      </c>
      <c r="B190" s="1" t="n">
        <v>45468.97495370371</v>
      </c>
      <c r="C190" s="1" t="n">
        <v>45908</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12271-2024</t>
        </is>
      </c>
      <c r="B191" s="1" t="n">
        <v>45378</v>
      </c>
      <c r="C191" s="1" t="n">
        <v>45908</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34715-2024</t>
        </is>
      </c>
      <c r="B192" s="1" t="n">
        <v>45526.56393518519</v>
      </c>
      <c r="C192" s="1" t="n">
        <v>45908</v>
      </c>
      <c r="D192" t="inlineStr">
        <is>
          <t>JÄMTLANDS LÄN</t>
        </is>
      </c>
      <c r="E192" t="inlineStr">
        <is>
          <t>RAGUNDA</t>
        </is>
      </c>
      <c r="F192" t="inlineStr">
        <is>
          <t>SCA</t>
        </is>
      </c>
      <c r="G192" t="n">
        <v>3</v>
      </c>
      <c r="H192" t="n">
        <v>0</v>
      </c>
      <c r="I192" t="n">
        <v>1</v>
      </c>
      <c r="J192" t="n">
        <v>1</v>
      </c>
      <c r="K192" t="n">
        <v>0</v>
      </c>
      <c r="L192" t="n">
        <v>0</v>
      </c>
      <c r="M192" t="n">
        <v>0</v>
      </c>
      <c r="N192" t="n">
        <v>0</v>
      </c>
      <c r="O192" t="n">
        <v>1</v>
      </c>
      <c r="P192" t="n">
        <v>0</v>
      </c>
      <c r="Q192" t="n">
        <v>2</v>
      </c>
      <c r="R192" s="2" t="inlineStr">
        <is>
          <t>Garnlav
Vedticka</t>
        </is>
      </c>
      <c r="S192">
        <f>HYPERLINK("https://klasma.github.io/Logging_2303/artfynd/A 34715-2024 artfynd.xlsx", "A 34715-2024")</f>
        <v/>
      </c>
      <c r="T192">
        <f>HYPERLINK("https://klasma.github.io/Logging_2303/kartor/A 34715-2024 karta.png", "A 34715-2024")</f>
        <v/>
      </c>
      <c r="V192">
        <f>HYPERLINK("https://klasma.github.io/Logging_2303/klagomål/A 34715-2024 FSC-klagomål.docx", "A 34715-2024")</f>
        <v/>
      </c>
      <c r="W192">
        <f>HYPERLINK("https://klasma.github.io/Logging_2303/klagomålsmail/A 34715-2024 FSC-klagomål mail.docx", "A 34715-2024")</f>
        <v/>
      </c>
      <c r="X192">
        <f>HYPERLINK("https://klasma.github.io/Logging_2303/tillsyn/A 34715-2024 tillsynsbegäran.docx", "A 34715-2024")</f>
        <v/>
      </c>
      <c r="Y192">
        <f>HYPERLINK("https://klasma.github.io/Logging_2303/tillsynsmail/A 34715-2024 tillsynsbegäran mail.docx", "A 34715-2024")</f>
        <v/>
      </c>
    </row>
    <row r="193" ht="15" customHeight="1">
      <c r="A193" t="inlineStr">
        <is>
          <t>A 51916-2021</t>
        </is>
      </c>
      <c r="B193" s="1" t="n">
        <v>44462</v>
      </c>
      <c r="C193" s="1" t="n">
        <v>45908</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64363-2020</t>
        </is>
      </c>
      <c r="B194" s="1" t="n">
        <v>44166</v>
      </c>
      <c r="C194" s="1" t="n">
        <v>45908</v>
      </c>
      <c r="D194" t="inlineStr">
        <is>
          <t>JÄMTLANDS LÄN</t>
        </is>
      </c>
      <c r="E194" t="inlineStr">
        <is>
          <t>RAGUNDA</t>
        </is>
      </c>
      <c r="G194" t="n">
        <v>4.5</v>
      </c>
      <c r="H194" t="n">
        <v>1</v>
      </c>
      <c r="I194" t="n">
        <v>0</v>
      </c>
      <c r="J194" t="n">
        <v>0</v>
      </c>
      <c r="K194" t="n">
        <v>1</v>
      </c>
      <c r="L194" t="n">
        <v>0</v>
      </c>
      <c r="M194" t="n">
        <v>0</v>
      </c>
      <c r="N194" t="n">
        <v>0</v>
      </c>
      <c r="O194" t="n">
        <v>1</v>
      </c>
      <c r="P194" t="n">
        <v>1</v>
      </c>
      <c r="Q194" t="n">
        <v>1</v>
      </c>
      <c r="R194" s="2" t="inlineStr">
        <is>
          <t>Bombmurkla</t>
        </is>
      </c>
      <c r="S194">
        <f>HYPERLINK("https://klasma.github.io/Logging_2303/artfynd/A 64363-2020 artfynd.xlsx", "A 64363-2020")</f>
        <v/>
      </c>
      <c r="T194">
        <f>HYPERLINK("https://klasma.github.io/Logging_2303/kartor/A 64363-2020 karta.png", "A 64363-2020")</f>
        <v/>
      </c>
      <c r="V194">
        <f>HYPERLINK("https://klasma.github.io/Logging_2303/klagomål/A 64363-2020 FSC-klagomål.docx", "A 64363-2020")</f>
        <v/>
      </c>
      <c r="W194">
        <f>HYPERLINK("https://klasma.github.io/Logging_2303/klagomålsmail/A 64363-2020 FSC-klagomål mail.docx", "A 64363-2020")</f>
        <v/>
      </c>
      <c r="X194">
        <f>HYPERLINK("https://klasma.github.io/Logging_2303/tillsyn/A 64363-2020 tillsynsbegäran.docx", "A 64363-2020")</f>
        <v/>
      </c>
      <c r="Y194">
        <f>HYPERLINK("https://klasma.github.io/Logging_2303/tillsynsmail/A 64363-2020 tillsynsbegäran mail.docx", "A 64363-2020")</f>
        <v/>
      </c>
    </row>
    <row r="195" ht="15" customHeight="1">
      <c r="A195" t="inlineStr">
        <is>
          <t>A 21037-2021</t>
        </is>
      </c>
      <c r="B195" s="1" t="n">
        <v>44319</v>
      </c>
      <c r="C195" s="1" t="n">
        <v>45908</v>
      </c>
      <c r="D195" t="inlineStr">
        <is>
          <t>JÄMTLANDS LÄN</t>
        </is>
      </c>
      <c r="E195" t="inlineStr">
        <is>
          <t>RAGUNDA</t>
        </is>
      </c>
      <c r="F195" t="inlineStr">
        <is>
          <t>Kyrkan</t>
        </is>
      </c>
      <c r="G195" t="n">
        <v>0.8</v>
      </c>
      <c r="H195" t="n">
        <v>0</v>
      </c>
      <c r="I195" t="n">
        <v>0</v>
      </c>
      <c r="J195" t="n">
        <v>1</v>
      </c>
      <c r="K195" t="n">
        <v>0</v>
      </c>
      <c r="L195" t="n">
        <v>0</v>
      </c>
      <c r="M195" t="n">
        <v>0</v>
      </c>
      <c r="N195" t="n">
        <v>0</v>
      </c>
      <c r="O195" t="n">
        <v>1</v>
      </c>
      <c r="P195" t="n">
        <v>0</v>
      </c>
      <c r="Q195" t="n">
        <v>1</v>
      </c>
      <c r="R195" s="2" t="inlineStr">
        <is>
          <t>Olivbrun gytterlav</t>
        </is>
      </c>
      <c r="S195">
        <f>HYPERLINK("https://klasma.github.io/Logging_2303/artfynd/A 21037-2021 artfynd.xlsx", "A 21037-2021")</f>
        <v/>
      </c>
      <c r="T195">
        <f>HYPERLINK("https://klasma.github.io/Logging_2303/kartor/A 21037-2021 karta.png", "A 21037-2021")</f>
        <v/>
      </c>
      <c r="V195">
        <f>HYPERLINK("https://klasma.github.io/Logging_2303/klagomål/A 21037-2021 FSC-klagomål.docx", "A 21037-2021")</f>
        <v/>
      </c>
      <c r="W195">
        <f>HYPERLINK("https://klasma.github.io/Logging_2303/klagomålsmail/A 21037-2021 FSC-klagomål mail.docx", "A 21037-2021")</f>
        <v/>
      </c>
      <c r="X195">
        <f>HYPERLINK("https://klasma.github.io/Logging_2303/tillsyn/A 21037-2021 tillsynsbegäran.docx", "A 21037-2021")</f>
        <v/>
      </c>
      <c r="Y195">
        <f>HYPERLINK("https://klasma.github.io/Logging_2303/tillsynsmail/A 21037-2021 tillsynsbegäran mail.docx", "A 21037-2021")</f>
        <v/>
      </c>
    </row>
    <row r="196" ht="15" customHeight="1">
      <c r="A196" t="inlineStr">
        <is>
          <t>A 21275-2022</t>
        </is>
      </c>
      <c r="B196" s="1" t="n">
        <v>44705</v>
      </c>
      <c r="C196" s="1" t="n">
        <v>45908</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45908</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45908</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45908</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45908</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25694-2023</t>
        </is>
      </c>
      <c r="B201" s="1" t="n">
        <v>45089</v>
      </c>
      <c r="C201" s="1" t="n">
        <v>45908</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6703-2024</t>
        </is>
      </c>
      <c r="B202" s="1" t="n">
        <v>45341</v>
      </c>
      <c r="C202" s="1" t="n">
        <v>45908</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16316-2025</t>
        </is>
      </c>
      <c r="B203" s="1" t="n">
        <v>45751.34795138889</v>
      </c>
      <c r="C203" s="1" t="n">
        <v>45908</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20575-2025</t>
        </is>
      </c>
      <c r="B204" s="1" t="n">
        <v>45775.67769675926</v>
      </c>
      <c r="C204" s="1" t="n">
        <v>45908</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36757-2023</t>
        </is>
      </c>
      <c r="B205" s="1" t="n">
        <v>45153</v>
      </c>
      <c r="C205" s="1" t="n">
        <v>45908</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10884-2025</t>
        </is>
      </c>
      <c r="B206" s="1" t="n">
        <v>45722.65670138889</v>
      </c>
      <c r="C206" s="1" t="n">
        <v>45908</v>
      </c>
      <c r="D206" t="inlineStr">
        <is>
          <t>JÄMTLANDS LÄN</t>
        </is>
      </c>
      <c r="E206" t="inlineStr">
        <is>
          <t>RAGUNDA</t>
        </is>
      </c>
      <c r="F206" t="inlineStr">
        <is>
          <t>SCA</t>
        </is>
      </c>
      <c r="G206" t="n">
        <v>5.4</v>
      </c>
      <c r="H206" t="n">
        <v>0</v>
      </c>
      <c r="I206" t="n">
        <v>1</v>
      </c>
      <c r="J206" t="n">
        <v>0</v>
      </c>
      <c r="K206" t="n">
        <v>0</v>
      </c>
      <c r="L206" t="n">
        <v>0</v>
      </c>
      <c r="M206" t="n">
        <v>0</v>
      </c>
      <c r="N206" t="n">
        <v>0</v>
      </c>
      <c r="O206" t="n">
        <v>0</v>
      </c>
      <c r="P206" t="n">
        <v>0</v>
      </c>
      <c r="Q206" t="n">
        <v>1</v>
      </c>
      <c r="R206" s="2" t="inlineStr">
        <is>
          <t>Dropptaggsvamp</t>
        </is>
      </c>
      <c r="S206">
        <f>HYPERLINK("https://klasma.github.io/Logging_2303/artfynd/A 10884-2025 artfynd.xlsx", "A 10884-2025")</f>
        <v/>
      </c>
      <c r="T206">
        <f>HYPERLINK("https://klasma.github.io/Logging_2303/kartor/A 10884-2025 karta.png", "A 10884-2025")</f>
        <v/>
      </c>
      <c r="V206">
        <f>HYPERLINK("https://klasma.github.io/Logging_2303/klagomål/A 10884-2025 FSC-klagomål.docx", "A 10884-2025")</f>
        <v/>
      </c>
      <c r="W206">
        <f>HYPERLINK("https://klasma.github.io/Logging_2303/klagomålsmail/A 10884-2025 FSC-klagomål mail.docx", "A 10884-2025")</f>
        <v/>
      </c>
      <c r="X206">
        <f>HYPERLINK("https://klasma.github.io/Logging_2303/tillsyn/A 10884-2025 tillsynsbegäran.docx", "A 10884-2025")</f>
        <v/>
      </c>
      <c r="Y206">
        <f>HYPERLINK("https://klasma.github.io/Logging_2303/tillsynsmail/A 10884-2025 tillsynsbegäran mail.docx", "A 10884-2025")</f>
        <v/>
      </c>
    </row>
    <row r="207" ht="15" customHeight="1">
      <c r="A207" t="inlineStr">
        <is>
          <t>A 21212-2025</t>
        </is>
      </c>
      <c r="B207" s="1" t="n">
        <v>45779.48993055556</v>
      </c>
      <c r="C207" s="1" t="n">
        <v>45908</v>
      </c>
      <c r="D207" t="inlineStr">
        <is>
          <t>JÄMTLANDS LÄN</t>
        </is>
      </c>
      <c r="E207" t="inlineStr">
        <is>
          <t>RAGUNDA</t>
        </is>
      </c>
      <c r="F207" t="inlineStr">
        <is>
          <t>SCA</t>
        </is>
      </c>
      <c r="G207" t="n">
        <v>2.6</v>
      </c>
      <c r="H207" t="n">
        <v>0</v>
      </c>
      <c r="I207" t="n">
        <v>0</v>
      </c>
      <c r="J207" t="n">
        <v>1</v>
      </c>
      <c r="K207" t="n">
        <v>0</v>
      </c>
      <c r="L207" t="n">
        <v>0</v>
      </c>
      <c r="M207" t="n">
        <v>0</v>
      </c>
      <c r="N207" t="n">
        <v>0</v>
      </c>
      <c r="O207" t="n">
        <v>1</v>
      </c>
      <c r="P207" t="n">
        <v>0</v>
      </c>
      <c r="Q207" t="n">
        <v>1</v>
      </c>
      <c r="R207" s="2" t="inlineStr">
        <is>
          <t>Garnlav</t>
        </is>
      </c>
      <c r="S207">
        <f>HYPERLINK("https://klasma.github.io/Logging_2303/artfynd/A 21212-2025 artfynd.xlsx", "A 21212-2025")</f>
        <v/>
      </c>
      <c r="T207">
        <f>HYPERLINK("https://klasma.github.io/Logging_2303/kartor/A 21212-2025 karta.png", "A 21212-2025")</f>
        <v/>
      </c>
      <c r="V207">
        <f>HYPERLINK("https://klasma.github.io/Logging_2303/klagomål/A 21212-2025 FSC-klagomål.docx", "A 21212-2025")</f>
        <v/>
      </c>
      <c r="W207">
        <f>HYPERLINK("https://klasma.github.io/Logging_2303/klagomålsmail/A 21212-2025 FSC-klagomål mail.docx", "A 21212-2025")</f>
        <v/>
      </c>
      <c r="X207">
        <f>HYPERLINK("https://klasma.github.io/Logging_2303/tillsyn/A 21212-2025 tillsynsbegäran.docx", "A 21212-2025")</f>
        <v/>
      </c>
      <c r="Y207">
        <f>HYPERLINK("https://klasma.github.io/Logging_2303/tillsynsmail/A 21212-2025 tillsynsbegäran mail.docx", "A 21212-2025")</f>
        <v/>
      </c>
    </row>
    <row r="208" ht="15" customHeight="1">
      <c r="A208" t="inlineStr">
        <is>
          <t>A 11040-2023</t>
        </is>
      </c>
      <c r="B208" s="1" t="n">
        <v>44991</v>
      </c>
      <c r="C208" s="1" t="n">
        <v>45908</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29921-2024</t>
        </is>
      </c>
      <c r="B209" s="1" t="n">
        <v>45487.92863425926</v>
      </c>
      <c r="C209" s="1" t="n">
        <v>45908</v>
      </c>
      <c r="D209" t="inlineStr">
        <is>
          <t>JÄMTLANDS LÄN</t>
        </is>
      </c>
      <c r="E209" t="inlineStr">
        <is>
          <t>RAGUNDA</t>
        </is>
      </c>
      <c r="G209" t="n">
        <v>1.6</v>
      </c>
      <c r="H209" t="n">
        <v>1</v>
      </c>
      <c r="I209" t="n">
        <v>0</v>
      </c>
      <c r="J209" t="n">
        <v>0</v>
      </c>
      <c r="K209" t="n">
        <v>1</v>
      </c>
      <c r="L209" t="n">
        <v>0</v>
      </c>
      <c r="M209" t="n">
        <v>0</v>
      </c>
      <c r="N209" t="n">
        <v>0</v>
      </c>
      <c r="O209" t="n">
        <v>1</v>
      </c>
      <c r="P209" t="n">
        <v>1</v>
      </c>
      <c r="Q209" t="n">
        <v>1</v>
      </c>
      <c r="R209" s="2" t="inlineStr">
        <is>
          <t>Knärot</t>
        </is>
      </c>
      <c r="S209">
        <f>HYPERLINK("https://klasma.github.io/Logging_2303/artfynd/A 29921-2024 artfynd.xlsx", "A 29921-2024")</f>
        <v/>
      </c>
      <c r="T209">
        <f>HYPERLINK("https://klasma.github.io/Logging_2303/kartor/A 29921-2024 karta.png", "A 29921-2024")</f>
        <v/>
      </c>
      <c r="U209">
        <f>HYPERLINK("https://klasma.github.io/Logging_2303/knärot/A 29921-2024 karta knärot.png", "A 29921-2024")</f>
        <v/>
      </c>
      <c r="V209">
        <f>HYPERLINK("https://klasma.github.io/Logging_2303/klagomål/A 29921-2024 FSC-klagomål.docx", "A 29921-2024")</f>
        <v/>
      </c>
      <c r="W209">
        <f>HYPERLINK("https://klasma.github.io/Logging_2303/klagomålsmail/A 29921-2024 FSC-klagomål mail.docx", "A 29921-2024")</f>
        <v/>
      </c>
      <c r="X209">
        <f>HYPERLINK("https://klasma.github.io/Logging_2303/tillsyn/A 29921-2024 tillsynsbegäran.docx", "A 29921-2024")</f>
        <v/>
      </c>
      <c r="Y209">
        <f>HYPERLINK("https://klasma.github.io/Logging_2303/tillsynsmail/A 29921-2024 tillsynsbegäran mail.docx", "A 29921-2024")</f>
        <v/>
      </c>
    </row>
    <row r="210" ht="15" customHeight="1">
      <c r="A210" t="inlineStr">
        <is>
          <t>A 36975-2023</t>
        </is>
      </c>
      <c r="B210" s="1" t="n">
        <v>45154</v>
      </c>
      <c r="C210" s="1" t="n">
        <v>45908</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61324-2024</t>
        </is>
      </c>
      <c r="B211" s="1" t="n">
        <v>45646.34438657408</v>
      </c>
      <c r="C211" s="1" t="n">
        <v>45908</v>
      </c>
      <c r="D211" t="inlineStr">
        <is>
          <t>JÄMTLANDS LÄN</t>
        </is>
      </c>
      <c r="E211" t="inlineStr">
        <is>
          <t>RAGUNDA</t>
        </is>
      </c>
      <c r="F211" t="inlineStr">
        <is>
          <t>SCA</t>
        </is>
      </c>
      <c r="G211" t="n">
        <v>11.2</v>
      </c>
      <c r="H211" t="n">
        <v>1</v>
      </c>
      <c r="I211" t="n">
        <v>0</v>
      </c>
      <c r="J211" t="n">
        <v>0</v>
      </c>
      <c r="K211" t="n">
        <v>0</v>
      </c>
      <c r="L211" t="n">
        <v>0</v>
      </c>
      <c r="M211" t="n">
        <v>0</v>
      </c>
      <c r="N211" t="n">
        <v>0</v>
      </c>
      <c r="O211" t="n">
        <v>0</v>
      </c>
      <c r="P211" t="n">
        <v>0</v>
      </c>
      <c r="Q211" t="n">
        <v>1</v>
      </c>
      <c r="R211" s="2" t="inlineStr">
        <is>
          <t>Trana</t>
        </is>
      </c>
      <c r="S211">
        <f>HYPERLINK("https://klasma.github.io/Logging_2303/artfynd/A 61324-2024 artfynd.xlsx", "A 61324-2024")</f>
        <v/>
      </c>
      <c r="T211">
        <f>HYPERLINK("https://klasma.github.io/Logging_2303/kartor/A 61324-2024 karta.png", "A 61324-2024")</f>
        <v/>
      </c>
      <c r="V211">
        <f>HYPERLINK("https://klasma.github.io/Logging_2303/klagomål/A 61324-2024 FSC-klagomål.docx", "A 61324-2024")</f>
        <v/>
      </c>
      <c r="W211">
        <f>HYPERLINK("https://klasma.github.io/Logging_2303/klagomålsmail/A 61324-2024 FSC-klagomål mail.docx", "A 61324-2024")</f>
        <v/>
      </c>
      <c r="X211">
        <f>HYPERLINK("https://klasma.github.io/Logging_2303/tillsyn/A 61324-2024 tillsynsbegäran.docx", "A 61324-2024")</f>
        <v/>
      </c>
      <c r="Y211">
        <f>HYPERLINK("https://klasma.github.io/Logging_2303/tillsynsmail/A 61324-2024 tillsynsbegäran mail.docx", "A 61324-2024")</f>
        <v/>
      </c>
      <c r="Z211">
        <f>HYPERLINK("https://klasma.github.io/Logging_2303/fåglar/A 61324-2024 prioriterade fågelarter.docx", "A 61324-2024")</f>
        <v/>
      </c>
    </row>
    <row r="212" ht="15" customHeight="1">
      <c r="A212" t="inlineStr">
        <is>
          <t>A 59104-2023</t>
        </is>
      </c>
      <c r="B212" s="1" t="n">
        <v>45252</v>
      </c>
      <c r="C212" s="1" t="n">
        <v>45908</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50233-2024</t>
        </is>
      </c>
      <c r="B213" s="1" t="n">
        <v>45600.55265046296</v>
      </c>
      <c r="C213" s="1" t="n">
        <v>45908</v>
      </c>
      <c r="D213" t="inlineStr">
        <is>
          <t>JÄMTLANDS LÄN</t>
        </is>
      </c>
      <c r="E213" t="inlineStr">
        <is>
          <t>RAGUNDA</t>
        </is>
      </c>
      <c r="F213" t="inlineStr">
        <is>
          <t>SCA</t>
        </is>
      </c>
      <c r="G213" t="n">
        <v>5.6</v>
      </c>
      <c r="H213" t="n">
        <v>0</v>
      </c>
      <c r="I213" t="n">
        <v>0</v>
      </c>
      <c r="J213" t="n">
        <v>1</v>
      </c>
      <c r="K213" t="n">
        <v>0</v>
      </c>
      <c r="L213" t="n">
        <v>0</v>
      </c>
      <c r="M213" t="n">
        <v>0</v>
      </c>
      <c r="N213" t="n">
        <v>0</v>
      </c>
      <c r="O213" t="n">
        <v>1</v>
      </c>
      <c r="P213" t="n">
        <v>0</v>
      </c>
      <c r="Q213" t="n">
        <v>1</v>
      </c>
      <c r="R213" s="2" t="inlineStr">
        <is>
          <t>Granticka</t>
        </is>
      </c>
      <c r="S213">
        <f>HYPERLINK("https://klasma.github.io/Logging_2303/artfynd/A 50233-2024 artfynd.xlsx", "A 50233-2024")</f>
        <v/>
      </c>
      <c r="T213">
        <f>HYPERLINK("https://klasma.github.io/Logging_2303/kartor/A 50233-2024 karta.png", "A 50233-2024")</f>
        <v/>
      </c>
      <c r="V213">
        <f>HYPERLINK("https://klasma.github.io/Logging_2303/klagomål/A 50233-2024 FSC-klagomål.docx", "A 50233-2024")</f>
        <v/>
      </c>
      <c r="W213">
        <f>HYPERLINK("https://klasma.github.io/Logging_2303/klagomålsmail/A 50233-2024 FSC-klagomål mail.docx", "A 50233-2024")</f>
        <v/>
      </c>
      <c r="X213">
        <f>HYPERLINK("https://klasma.github.io/Logging_2303/tillsyn/A 50233-2024 tillsynsbegäran.docx", "A 50233-2024")</f>
        <v/>
      </c>
      <c r="Y213">
        <f>HYPERLINK("https://klasma.github.io/Logging_2303/tillsynsmail/A 50233-2024 tillsynsbegäran mail.docx", "A 50233-2024")</f>
        <v/>
      </c>
    </row>
    <row r="214" ht="15" customHeight="1">
      <c r="A214" t="inlineStr">
        <is>
          <t>A 32069-2024</t>
        </is>
      </c>
      <c r="B214" s="1" t="n">
        <v>45510</v>
      </c>
      <c r="C214" s="1" t="n">
        <v>45908</v>
      </c>
      <c r="D214" t="inlineStr">
        <is>
          <t>JÄMTLANDS LÄN</t>
        </is>
      </c>
      <c r="E214" t="inlineStr">
        <is>
          <t>RAGUNDA</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HYPERLINK("https://klasma.github.io/Logging_2303/artfynd/A 32069-2024 artfynd.xlsx", "A 32069-2024")</f>
        <v/>
      </c>
      <c r="T214">
        <f>HYPERLINK("https://klasma.github.io/Logging_2303/kartor/A 32069-2024 karta.png", "A 32069-2024")</f>
        <v/>
      </c>
      <c r="V214">
        <f>HYPERLINK("https://klasma.github.io/Logging_2303/klagomål/A 32069-2024 FSC-klagomål.docx", "A 32069-2024")</f>
        <v/>
      </c>
      <c r="W214">
        <f>HYPERLINK("https://klasma.github.io/Logging_2303/klagomålsmail/A 32069-2024 FSC-klagomål mail.docx", "A 32069-2024")</f>
        <v/>
      </c>
      <c r="X214">
        <f>HYPERLINK("https://klasma.github.io/Logging_2303/tillsyn/A 32069-2024 tillsynsbegäran.docx", "A 32069-2024")</f>
        <v/>
      </c>
      <c r="Y214">
        <f>HYPERLINK("https://klasma.github.io/Logging_2303/tillsynsmail/A 32069-2024 tillsynsbegäran mail.docx", "A 32069-2024")</f>
        <v/>
      </c>
    </row>
    <row r="215" ht="15" customHeight="1">
      <c r="A215" t="inlineStr">
        <is>
          <t>A 19751-2025</t>
        </is>
      </c>
      <c r="B215" s="1" t="n">
        <v>45771.3859837963</v>
      </c>
      <c r="C215" s="1" t="n">
        <v>45908</v>
      </c>
      <c r="D215" t="inlineStr">
        <is>
          <t>JÄMTLANDS LÄN</t>
        </is>
      </c>
      <c r="E215" t="inlineStr">
        <is>
          <t>RAGUNDA</t>
        </is>
      </c>
      <c r="F215" t="inlineStr">
        <is>
          <t>SCA</t>
        </is>
      </c>
      <c r="G215" t="n">
        <v>1.1</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19751-2025 artfynd.xlsx", "A 19751-2025")</f>
        <v/>
      </c>
      <c r="T215">
        <f>HYPERLINK("https://klasma.github.io/Logging_2303/kartor/A 19751-2025 karta.png", "A 19751-2025")</f>
        <v/>
      </c>
      <c r="V215">
        <f>HYPERLINK("https://klasma.github.io/Logging_2303/klagomål/A 19751-2025 FSC-klagomål.docx", "A 19751-2025")</f>
        <v/>
      </c>
      <c r="W215">
        <f>HYPERLINK("https://klasma.github.io/Logging_2303/klagomålsmail/A 19751-2025 FSC-klagomål mail.docx", "A 19751-2025")</f>
        <v/>
      </c>
      <c r="X215">
        <f>HYPERLINK("https://klasma.github.io/Logging_2303/tillsyn/A 19751-2025 tillsynsbegäran.docx", "A 19751-2025")</f>
        <v/>
      </c>
      <c r="Y215">
        <f>HYPERLINK("https://klasma.github.io/Logging_2303/tillsynsmail/A 19751-2025 tillsynsbegäran mail.docx", "A 19751-2025")</f>
        <v/>
      </c>
      <c r="Z215">
        <f>HYPERLINK("https://klasma.github.io/Logging_2303/fåglar/A 19751-2025 prioriterade fågelarter.docx", "A 19751-2025")</f>
        <v/>
      </c>
    </row>
    <row r="216" ht="15" customHeight="1">
      <c r="A216" t="inlineStr">
        <is>
          <t>A 36224-2023</t>
        </is>
      </c>
      <c r="B216" s="1" t="n">
        <v>45149</v>
      </c>
      <c r="C216" s="1" t="n">
        <v>45908</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52898-2020</t>
        </is>
      </c>
      <c r="B217" s="1" t="n">
        <v>44119</v>
      </c>
      <c r="C217" s="1" t="n">
        <v>45908</v>
      </c>
      <c r="D217" t="inlineStr">
        <is>
          <t>JÄMTLANDS LÄN</t>
        </is>
      </c>
      <c r="E217" t="inlineStr">
        <is>
          <t>RAGUNDA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52898-2020 artfynd.xlsx", "A 52898-2020")</f>
        <v/>
      </c>
      <c r="T217">
        <f>HYPERLINK("https://klasma.github.io/Logging_2303/kartor/A 52898-2020 karta.png", "A 52898-2020")</f>
        <v/>
      </c>
      <c r="V217">
        <f>HYPERLINK("https://klasma.github.io/Logging_2303/klagomål/A 52898-2020 FSC-klagomål.docx", "A 52898-2020")</f>
        <v/>
      </c>
      <c r="W217">
        <f>HYPERLINK("https://klasma.github.io/Logging_2303/klagomålsmail/A 52898-2020 FSC-klagomål mail.docx", "A 52898-2020")</f>
        <v/>
      </c>
      <c r="X217">
        <f>HYPERLINK("https://klasma.github.io/Logging_2303/tillsyn/A 52898-2020 tillsynsbegäran.docx", "A 52898-2020")</f>
        <v/>
      </c>
      <c r="Y217">
        <f>HYPERLINK("https://klasma.github.io/Logging_2303/tillsynsmail/A 52898-2020 tillsynsbegäran mail.docx", "A 52898-2020")</f>
        <v/>
      </c>
    </row>
    <row r="218" ht="15" customHeight="1">
      <c r="A218" t="inlineStr">
        <is>
          <t>A 43404-2023</t>
        </is>
      </c>
      <c r="B218" s="1" t="n">
        <v>45183</v>
      </c>
      <c r="C218" s="1" t="n">
        <v>45908</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19387-2025</t>
        </is>
      </c>
      <c r="B219" s="1" t="n">
        <v>45769.65736111111</v>
      </c>
      <c r="C219" s="1" t="n">
        <v>45908</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2929-2024</t>
        </is>
      </c>
      <c r="B220" s="1" t="n">
        <v>45315</v>
      </c>
      <c r="C220" s="1" t="n">
        <v>45908</v>
      </c>
      <c r="D220" t="inlineStr">
        <is>
          <t>JÄMTLANDS LÄN</t>
        </is>
      </c>
      <c r="E220" t="inlineStr">
        <is>
          <t>RAGUNDA</t>
        </is>
      </c>
      <c r="G220" t="n">
        <v>1</v>
      </c>
      <c r="H220" t="n">
        <v>0</v>
      </c>
      <c r="I220" t="n">
        <v>0</v>
      </c>
      <c r="J220" t="n">
        <v>1</v>
      </c>
      <c r="K220" t="n">
        <v>0</v>
      </c>
      <c r="L220" t="n">
        <v>0</v>
      </c>
      <c r="M220" t="n">
        <v>0</v>
      </c>
      <c r="N220" t="n">
        <v>0</v>
      </c>
      <c r="O220" t="n">
        <v>1</v>
      </c>
      <c r="P220" t="n">
        <v>0</v>
      </c>
      <c r="Q220" t="n">
        <v>1</v>
      </c>
      <c r="R220" s="2" t="inlineStr">
        <is>
          <t>Klådris</t>
        </is>
      </c>
      <c r="S220">
        <f>HYPERLINK("https://klasma.github.io/Logging_2303/artfynd/A 2929-2024 artfynd.xlsx", "A 2929-2024")</f>
        <v/>
      </c>
      <c r="T220">
        <f>HYPERLINK("https://klasma.github.io/Logging_2303/kartor/A 2929-2024 karta.png", "A 2929-2024")</f>
        <v/>
      </c>
      <c r="V220">
        <f>HYPERLINK("https://klasma.github.io/Logging_2303/klagomål/A 2929-2024 FSC-klagomål.docx", "A 2929-2024")</f>
        <v/>
      </c>
      <c r="W220">
        <f>HYPERLINK("https://klasma.github.io/Logging_2303/klagomålsmail/A 2929-2024 FSC-klagomål mail.docx", "A 2929-2024")</f>
        <v/>
      </c>
      <c r="X220">
        <f>HYPERLINK("https://klasma.github.io/Logging_2303/tillsyn/A 2929-2024 tillsynsbegäran.docx", "A 2929-2024")</f>
        <v/>
      </c>
      <c r="Y220">
        <f>HYPERLINK("https://klasma.github.io/Logging_2303/tillsynsmail/A 2929-2024 tillsynsbegäran mail.docx", "A 2929-2024")</f>
        <v/>
      </c>
    </row>
    <row r="221" ht="15" customHeight="1">
      <c r="A221" t="inlineStr">
        <is>
          <t>A 24443-2024</t>
        </is>
      </c>
      <c r="B221" s="1" t="n">
        <v>45457.9640625</v>
      </c>
      <c r="C221" s="1" t="n">
        <v>45908</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45908</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19728-2025</t>
        </is>
      </c>
      <c r="B223" s="1" t="n">
        <v>45771.36548611111</v>
      </c>
      <c r="C223" s="1" t="n">
        <v>45908</v>
      </c>
      <c r="D223" t="inlineStr">
        <is>
          <t>JÄMTLANDS LÄN</t>
        </is>
      </c>
      <c r="E223" t="inlineStr">
        <is>
          <t>RAGUNDA</t>
        </is>
      </c>
      <c r="F223" t="inlineStr">
        <is>
          <t>SCA</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19728-2025 artfynd.xlsx", "A 19728-2025")</f>
        <v/>
      </c>
      <c r="T223">
        <f>HYPERLINK("https://klasma.github.io/Logging_2303/kartor/A 19728-2025 karta.png", "A 19728-2025")</f>
        <v/>
      </c>
      <c r="V223">
        <f>HYPERLINK("https://klasma.github.io/Logging_2303/klagomål/A 19728-2025 FSC-klagomål.docx", "A 19728-2025")</f>
        <v/>
      </c>
      <c r="W223">
        <f>HYPERLINK("https://klasma.github.io/Logging_2303/klagomålsmail/A 19728-2025 FSC-klagomål mail.docx", "A 19728-2025")</f>
        <v/>
      </c>
      <c r="X223">
        <f>HYPERLINK("https://klasma.github.io/Logging_2303/tillsyn/A 19728-2025 tillsynsbegäran.docx", "A 19728-2025")</f>
        <v/>
      </c>
      <c r="Y223">
        <f>HYPERLINK("https://klasma.github.io/Logging_2303/tillsynsmail/A 19728-2025 tillsynsbegäran mail.docx", "A 19728-2025")</f>
        <v/>
      </c>
      <c r="Z223">
        <f>HYPERLINK("https://klasma.github.io/Logging_2303/fåglar/A 19728-2025 prioriterade fågelarter.docx", "A 19728-2025")</f>
        <v/>
      </c>
    </row>
    <row r="224" ht="15" customHeight="1">
      <c r="A224" t="inlineStr">
        <is>
          <t>A 58846-2024</t>
        </is>
      </c>
      <c r="B224" s="1" t="n">
        <v>45636.3863425926</v>
      </c>
      <c r="C224" s="1" t="n">
        <v>45908</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27573-2025</t>
        </is>
      </c>
      <c r="B225" s="1" t="n">
        <v>45813.49061342593</v>
      </c>
      <c r="C225" s="1" t="n">
        <v>45908</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36854-2023</t>
        </is>
      </c>
      <c r="B226" s="1" t="n">
        <v>45153</v>
      </c>
      <c r="C226" s="1" t="n">
        <v>45908</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18985-2023</t>
        </is>
      </c>
      <c r="B227" s="1" t="n">
        <v>45044</v>
      </c>
      <c r="C227" s="1" t="n">
        <v>45908</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30485-2024</t>
        </is>
      </c>
      <c r="B228" s="1" t="n">
        <v>45491.95008101852</v>
      </c>
      <c r="C228" s="1" t="n">
        <v>45908</v>
      </c>
      <c r="D228" t="inlineStr">
        <is>
          <t>JÄMTLANDS LÄN</t>
        </is>
      </c>
      <c r="E228" t="inlineStr">
        <is>
          <t>RAGUNDA</t>
        </is>
      </c>
      <c r="F228" t="inlineStr">
        <is>
          <t>SCA</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HYPERLINK("https://klasma.github.io/Logging_2303/artfynd/A 30485-2024 artfynd.xlsx", "A 30485-2024")</f>
        <v/>
      </c>
      <c r="T228">
        <f>HYPERLINK("https://klasma.github.io/Logging_2303/kartor/A 30485-2024 karta.png", "A 30485-2024")</f>
        <v/>
      </c>
      <c r="V228">
        <f>HYPERLINK("https://klasma.github.io/Logging_2303/klagomål/A 30485-2024 FSC-klagomål.docx", "A 30485-2024")</f>
        <v/>
      </c>
      <c r="W228">
        <f>HYPERLINK("https://klasma.github.io/Logging_2303/klagomålsmail/A 30485-2024 FSC-klagomål mail.docx", "A 30485-2024")</f>
        <v/>
      </c>
      <c r="X228">
        <f>HYPERLINK("https://klasma.github.io/Logging_2303/tillsyn/A 30485-2024 tillsynsbegäran.docx", "A 30485-2024")</f>
        <v/>
      </c>
      <c r="Y228">
        <f>HYPERLINK("https://klasma.github.io/Logging_2303/tillsynsmail/A 30485-2024 tillsynsbegäran mail.docx", "A 30485-2024")</f>
        <v/>
      </c>
    </row>
    <row r="229" ht="15" customHeight="1">
      <c r="A229" t="inlineStr">
        <is>
          <t>A 30390-2025</t>
        </is>
      </c>
      <c r="B229" s="1" t="n">
        <v>45827.57371527778</v>
      </c>
      <c r="C229" s="1" t="n">
        <v>45908</v>
      </c>
      <c r="D229" t="inlineStr">
        <is>
          <t>JÄMTLANDS LÄN</t>
        </is>
      </c>
      <c r="E229" t="inlineStr">
        <is>
          <t>RAGUNDA</t>
        </is>
      </c>
      <c r="F229" t="inlineStr">
        <is>
          <t>SCA</t>
        </is>
      </c>
      <c r="G229" t="n">
        <v>11.2</v>
      </c>
      <c r="H229" t="n">
        <v>0</v>
      </c>
      <c r="I229" t="n">
        <v>0</v>
      </c>
      <c r="J229" t="n">
        <v>1</v>
      </c>
      <c r="K229" t="n">
        <v>0</v>
      </c>
      <c r="L229" t="n">
        <v>0</v>
      </c>
      <c r="M229" t="n">
        <v>0</v>
      </c>
      <c r="N229" t="n">
        <v>0</v>
      </c>
      <c r="O229" t="n">
        <v>1</v>
      </c>
      <c r="P229" t="n">
        <v>0</v>
      </c>
      <c r="Q229" t="n">
        <v>1</v>
      </c>
      <c r="R229" s="2" t="inlineStr">
        <is>
          <t>Lunglav</t>
        </is>
      </c>
      <c r="S229">
        <f>HYPERLINK("https://klasma.github.io/Logging_2303/artfynd/A 30390-2025 artfynd.xlsx", "A 30390-2025")</f>
        <v/>
      </c>
      <c r="T229">
        <f>HYPERLINK("https://klasma.github.io/Logging_2303/kartor/A 30390-2025 karta.png", "A 30390-2025")</f>
        <v/>
      </c>
      <c r="U229">
        <f>HYPERLINK("https://klasma.github.io/Logging_2303/knärot/A 30390-2025 karta knärot.png", "A 30390-2025")</f>
        <v/>
      </c>
      <c r="V229">
        <f>HYPERLINK("https://klasma.github.io/Logging_2303/klagomål/A 30390-2025 FSC-klagomål.docx", "A 30390-2025")</f>
        <v/>
      </c>
      <c r="W229">
        <f>HYPERLINK("https://klasma.github.io/Logging_2303/klagomålsmail/A 30390-2025 FSC-klagomål mail.docx", "A 30390-2025")</f>
        <v/>
      </c>
      <c r="X229">
        <f>HYPERLINK("https://klasma.github.io/Logging_2303/tillsyn/A 30390-2025 tillsynsbegäran.docx", "A 30390-2025")</f>
        <v/>
      </c>
      <c r="Y229">
        <f>HYPERLINK("https://klasma.github.io/Logging_2303/tillsynsmail/A 30390-2025 tillsynsbegäran mail.docx", "A 30390-2025")</f>
        <v/>
      </c>
    </row>
    <row r="230" ht="15" customHeight="1">
      <c r="A230" t="inlineStr">
        <is>
          <t>A 22054-2025</t>
        </is>
      </c>
      <c r="B230" s="1" t="n">
        <v>45785.36525462963</v>
      </c>
      <c r="C230" s="1" t="n">
        <v>45908</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45908</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35750-2023</t>
        </is>
      </c>
      <c r="B232" s="1" t="n">
        <v>45147</v>
      </c>
      <c r="C232" s="1" t="n">
        <v>45908</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34474-2025</t>
        </is>
      </c>
      <c r="B233" s="1" t="n">
        <v>45847.36528935185</v>
      </c>
      <c r="C233" s="1" t="n">
        <v>45908</v>
      </c>
      <c r="D233" t="inlineStr">
        <is>
          <t>JÄMTLANDS LÄN</t>
        </is>
      </c>
      <c r="E233" t="inlineStr">
        <is>
          <t>RAGUNDA</t>
        </is>
      </c>
      <c r="F233" t="inlineStr">
        <is>
          <t>SCA</t>
        </is>
      </c>
      <c r="G233" t="n">
        <v>9.699999999999999</v>
      </c>
      <c r="H233" t="n">
        <v>1</v>
      </c>
      <c r="I233" t="n">
        <v>0</v>
      </c>
      <c r="J233" t="n">
        <v>1</v>
      </c>
      <c r="K233" t="n">
        <v>0</v>
      </c>
      <c r="L233" t="n">
        <v>0</v>
      </c>
      <c r="M233" t="n">
        <v>0</v>
      </c>
      <c r="N233" t="n">
        <v>0</v>
      </c>
      <c r="O233" t="n">
        <v>1</v>
      </c>
      <c r="P233" t="n">
        <v>0</v>
      </c>
      <c r="Q233" t="n">
        <v>1</v>
      </c>
      <c r="R233" s="2" t="inlineStr">
        <is>
          <t>Fjällvråk</t>
        </is>
      </c>
      <c r="S233">
        <f>HYPERLINK("https://klasma.github.io/Logging_2303/artfynd/A 34474-2025 artfynd.xlsx", "A 34474-2025")</f>
        <v/>
      </c>
      <c r="T233">
        <f>HYPERLINK("https://klasma.github.io/Logging_2303/kartor/A 34474-2025 karta.png", "A 34474-2025")</f>
        <v/>
      </c>
      <c r="V233">
        <f>HYPERLINK("https://klasma.github.io/Logging_2303/klagomål/A 34474-2025 FSC-klagomål.docx", "A 34474-2025")</f>
        <v/>
      </c>
      <c r="W233">
        <f>HYPERLINK("https://klasma.github.io/Logging_2303/klagomålsmail/A 34474-2025 FSC-klagomål mail.docx", "A 34474-2025")</f>
        <v/>
      </c>
      <c r="X233">
        <f>HYPERLINK("https://klasma.github.io/Logging_2303/tillsyn/A 34474-2025 tillsynsbegäran.docx", "A 34474-2025")</f>
        <v/>
      </c>
      <c r="Y233">
        <f>HYPERLINK("https://klasma.github.io/Logging_2303/tillsynsmail/A 34474-2025 tillsynsbegäran mail.docx", "A 34474-2025")</f>
        <v/>
      </c>
      <c r="Z233">
        <f>HYPERLINK("https://klasma.github.io/Logging_2303/fåglar/A 34474-2025 prioriterade fågelarter.docx", "A 34474-2025")</f>
        <v/>
      </c>
    </row>
    <row r="234" ht="15" customHeight="1">
      <c r="A234" t="inlineStr">
        <is>
          <t>A 978-2024</t>
        </is>
      </c>
      <c r="B234" s="1" t="n">
        <v>45301</v>
      </c>
      <c r="C234" s="1" t="n">
        <v>45908</v>
      </c>
      <c r="D234" t="inlineStr">
        <is>
          <t>JÄMTLANDS LÄN</t>
        </is>
      </c>
      <c r="E234" t="inlineStr">
        <is>
          <t>RAGUNDA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978-2024 artfynd.xlsx", "A 978-2024")</f>
        <v/>
      </c>
      <c r="T234">
        <f>HYPERLINK("https://klasma.github.io/Logging_2303/kartor/A 978-2024 karta.png", "A 978-2024")</f>
        <v/>
      </c>
      <c r="V234">
        <f>HYPERLINK("https://klasma.github.io/Logging_2303/klagomål/A 978-2024 FSC-klagomål.docx", "A 978-2024")</f>
        <v/>
      </c>
      <c r="W234">
        <f>HYPERLINK("https://klasma.github.io/Logging_2303/klagomålsmail/A 978-2024 FSC-klagomål mail.docx", "A 978-2024")</f>
        <v/>
      </c>
      <c r="X234">
        <f>HYPERLINK("https://klasma.github.io/Logging_2303/tillsyn/A 978-2024 tillsynsbegäran.docx", "A 978-2024")</f>
        <v/>
      </c>
      <c r="Y234">
        <f>HYPERLINK("https://klasma.github.io/Logging_2303/tillsynsmail/A 978-2024 tillsynsbegäran mail.docx", "A 978-2024")</f>
        <v/>
      </c>
      <c r="Z234">
        <f>HYPERLINK("https://klasma.github.io/Logging_2303/fåglar/A 978-2024 prioriterade fågelarter.docx", "A 978-2024")</f>
        <v/>
      </c>
    </row>
    <row r="235" ht="15" customHeight="1">
      <c r="A235" t="inlineStr">
        <is>
          <t>A 1057-2024</t>
        </is>
      </c>
      <c r="B235" s="1" t="n">
        <v>45301</v>
      </c>
      <c r="C235" s="1" t="n">
        <v>45908</v>
      </c>
      <c r="D235" t="inlineStr">
        <is>
          <t>JÄMTLANDS LÄN</t>
        </is>
      </c>
      <c r="E235" t="inlineStr">
        <is>
          <t>RAGUNDA</t>
        </is>
      </c>
      <c r="F235" t="inlineStr">
        <is>
          <t>SCA</t>
        </is>
      </c>
      <c r="G235" t="n">
        <v>6.8</v>
      </c>
      <c r="H235" t="n">
        <v>0</v>
      </c>
      <c r="I235" t="n">
        <v>1</v>
      </c>
      <c r="J235" t="n">
        <v>0</v>
      </c>
      <c r="K235" t="n">
        <v>0</v>
      </c>
      <c r="L235" t="n">
        <v>0</v>
      </c>
      <c r="M235" t="n">
        <v>0</v>
      </c>
      <c r="N235" t="n">
        <v>0</v>
      </c>
      <c r="O235" t="n">
        <v>0</v>
      </c>
      <c r="P235" t="n">
        <v>0</v>
      </c>
      <c r="Q235" t="n">
        <v>1</v>
      </c>
      <c r="R235" s="2" t="inlineStr">
        <is>
          <t>Stor aspticka</t>
        </is>
      </c>
      <c r="S235">
        <f>HYPERLINK("https://klasma.github.io/Logging_2303/artfynd/A 1057-2024 artfynd.xlsx", "A 1057-2024")</f>
        <v/>
      </c>
      <c r="T235">
        <f>HYPERLINK("https://klasma.github.io/Logging_2303/kartor/A 1057-2024 karta.png", "A 1057-2024")</f>
        <v/>
      </c>
      <c r="V235">
        <f>HYPERLINK("https://klasma.github.io/Logging_2303/klagomål/A 1057-2024 FSC-klagomål.docx", "A 1057-2024")</f>
        <v/>
      </c>
      <c r="W235">
        <f>HYPERLINK("https://klasma.github.io/Logging_2303/klagomålsmail/A 1057-2024 FSC-klagomål mail.docx", "A 1057-2024")</f>
        <v/>
      </c>
      <c r="X235">
        <f>HYPERLINK("https://klasma.github.io/Logging_2303/tillsyn/A 1057-2024 tillsynsbegäran.docx", "A 1057-2024")</f>
        <v/>
      </c>
      <c r="Y235">
        <f>HYPERLINK("https://klasma.github.io/Logging_2303/tillsynsmail/A 1057-2024 tillsynsbegäran mail.docx", "A 1057-2024")</f>
        <v/>
      </c>
    </row>
    <row r="236" ht="15" customHeight="1">
      <c r="A236" t="inlineStr">
        <is>
          <t>A 40841-2025</t>
        </is>
      </c>
      <c r="B236" s="1" t="n">
        <v>45897.531875</v>
      </c>
      <c r="C236" s="1" t="n">
        <v>45908</v>
      </c>
      <c r="D236" t="inlineStr">
        <is>
          <t>JÄMTLANDS LÄN</t>
        </is>
      </c>
      <c r="E236" t="inlineStr">
        <is>
          <t>RAGUNDA</t>
        </is>
      </c>
      <c r="F236" t="inlineStr">
        <is>
          <t>SCA</t>
        </is>
      </c>
      <c r="G236" t="n">
        <v>1.1</v>
      </c>
      <c r="H236" t="n">
        <v>0</v>
      </c>
      <c r="I236" t="n">
        <v>0</v>
      </c>
      <c r="J236" t="n">
        <v>1</v>
      </c>
      <c r="K236" t="n">
        <v>0</v>
      </c>
      <c r="L236" t="n">
        <v>0</v>
      </c>
      <c r="M236" t="n">
        <v>0</v>
      </c>
      <c r="N236" t="n">
        <v>0</v>
      </c>
      <c r="O236" t="n">
        <v>1</v>
      </c>
      <c r="P236" t="n">
        <v>0</v>
      </c>
      <c r="Q236" t="n">
        <v>1</v>
      </c>
      <c r="R236" s="2" t="inlineStr">
        <is>
          <t>Garnlav</t>
        </is>
      </c>
      <c r="S236">
        <f>HYPERLINK("https://klasma.github.io/Logging_2303/artfynd/A 40841-2025 artfynd.xlsx", "A 40841-2025")</f>
        <v/>
      </c>
      <c r="T236">
        <f>HYPERLINK("https://klasma.github.io/Logging_2303/kartor/A 40841-2025 karta.png", "A 40841-2025")</f>
        <v/>
      </c>
      <c r="V236">
        <f>HYPERLINK("https://klasma.github.io/Logging_2303/klagomål/A 40841-2025 FSC-klagomål.docx", "A 40841-2025")</f>
        <v/>
      </c>
      <c r="W236">
        <f>HYPERLINK("https://klasma.github.io/Logging_2303/klagomålsmail/A 40841-2025 FSC-klagomål mail.docx", "A 40841-2025")</f>
        <v/>
      </c>
      <c r="X236">
        <f>HYPERLINK("https://klasma.github.io/Logging_2303/tillsyn/A 40841-2025 tillsynsbegäran.docx", "A 40841-2025")</f>
        <v/>
      </c>
      <c r="Y236">
        <f>HYPERLINK("https://klasma.github.io/Logging_2303/tillsynsmail/A 40841-2025 tillsynsbegäran mail.docx", "A 40841-2025")</f>
        <v/>
      </c>
    </row>
    <row r="237" ht="15" customHeight="1">
      <c r="A237" t="inlineStr">
        <is>
          <t>A 31773-2021</t>
        </is>
      </c>
      <c r="B237" s="1" t="n">
        <v>44369</v>
      </c>
      <c r="C237" s="1" t="n">
        <v>45908</v>
      </c>
      <c r="D237" t="inlineStr">
        <is>
          <t>JÄMTLANDS LÄN</t>
        </is>
      </c>
      <c r="E237" t="inlineStr">
        <is>
          <t>RAGUNDA</t>
        </is>
      </c>
      <c r="G237" t="n">
        <v>0.8</v>
      </c>
      <c r="H237" t="n">
        <v>0</v>
      </c>
      <c r="I237" t="n">
        <v>0</v>
      </c>
      <c r="J237" t="n">
        <v>0</v>
      </c>
      <c r="K237" t="n">
        <v>1</v>
      </c>
      <c r="L237" t="n">
        <v>0</v>
      </c>
      <c r="M237" t="n">
        <v>0</v>
      </c>
      <c r="N237" t="n">
        <v>0</v>
      </c>
      <c r="O237" t="n">
        <v>1</v>
      </c>
      <c r="P237" t="n">
        <v>1</v>
      </c>
      <c r="Q237" t="n">
        <v>1</v>
      </c>
      <c r="R237" s="2" t="inlineStr">
        <is>
          <t>Strandsandjägare</t>
        </is>
      </c>
      <c r="S237">
        <f>HYPERLINK("https://klasma.github.io/Logging_2303/artfynd/A 31773-2021 artfynd.xlsx", "A 31773-2021")</f>
        <v/>
      </c>
      <c r="T237">
        <f>HYPERLINK("https://klasma.github.io/Logging_2303/kartor/A 31773-2021 karta.png", "A 31773-2021")</f>
        <v/>
      </c>
      <c r="V237">
        <f>HYPERLINK("https://klasma.github.io/Logging_2303/klagomål/A 31773-2021 FSC-klagomål.docx", "A 31773-2021")</f>
        <v/>
      </c>
      <c r="W237">
        <f>HYPERLINK("https://klasma.github.io/Logging_2303/klagomålsmail/A 31773-2021 FSC-klagomål mail.docx", "A 31773-2021")</f>
        <v/>
      </c>
      <c r="X237">
        <f>HYPERLINK("https://klasma.github.io/Logging_2303/tillsyn/A 31773-2021 tillsynsbegäran.docx", "A 31773-2021")</f>
        <v/>
      </c>
      <c r="Y237">
        <f>HYPERLINK("https://klasma.github.io/Logging_2303/tillsynsmail/A 31773-2021 tillsynsbegäran mail.docx", "A 31773-2021")</f>
        <v/>
      </c>
    </row>
    <row r="238" ht="15" customHeight="1">
      <c r="A238" t="inlineStr">
        <is>
          <t>A 26317-2024</t>
        </is>
      </c>
      <c r="B238" s="1" t="n">
        <v>45468</v>
      </c>
      <c r="C238" s="1" t="n">
        <v>45908</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49091-2022</t>
        </is>
      </c>
      <c r="B239" s="1" t="n">
        <v>44860</v>
      </c>
      <c r="C239" s="1" t="n">
        <v>45908</v>
      </c>
      <c r="D239" t="inlineStr">
        <is>
          <t>JÄMTLANDS LÄN</t>
        </is>
      </c>
      <c r="E239" t="inlineStr">
        <is>
          <t>RAGUNDA</t>
        </is>
      </c>
      <c r="G239" t="n">
        <v>3.5</v>
      </c>
      <c r="H239" t="n">
        <v>1</v>
      </c>
      <c r="I239" t="n">
        <v>0</v>
      </c>
      <c r="J239" t="n">
        <v>0</v>
      </c>
      <c r="K239" t="n">
        <v>1</v>
      </c>
      <c r="L239" t="n">
        <v>0</v>
      </c>
      <c r="M239" t="n">
        <v>0</v>
      </c>
      <c r="N239" t="n">
        <v>0</v>
      </c>
      <c r="O239" t="n">
        <v>1</v>
      </c>
      <c r="P239" t="n">
        <v>1</v>
      </c>
      <c r="Q239" t="n">
        <v>1</v>
      </c>
      <c r="R239" s="2" t="inlineStr">
        <is>
          <t>Doftticka</t>
        </is>
      </c>
      <c r="S239">
        <f>HYPERLINK("https://klasma.github.io/Logging_2303/artfynd/A 49091-2022 artfynd.xlsx", "A 49091-2022")</f>
        <v/>
      </c>
      <c r="T239">
        <f>HYPERLINK("https://klasma.github.io/Logging_2303/kartor/A 49091-2022 karta.png", "A 49091-2022")</f>
        <v/>
      </c>
      <c r="V239">
        <f>HYPERLINK("https://klasma.github.io/Logging_2303/klagomål/A 49091-2022 FSC-klagomål.docx", "A 49091-2022")</f>
        <v/>
      </c>
      <c r="W239">
        <f>HYPERLINK("https://klasma.github.io/Logging_2303/klagomålsmail/A 49091-2022 FSC-klagomål mail.docx", "A 49091-2022")</f>
        <v/>
      </c>
      <c r="X239">
        <f>HYPERLINK("https://klasma.github.io/Logging_2303/tillsyn/A 49091-2022 tillsynsbegäran.docx", "A 49091-2022")</f>
        <v/>
      </c>
      <c r="Y239">
        <f>HYPERLINK("https://klasma.github.io/Logging_2303/tillsynsmail/A 49091-2022 tillsynsbegäran mail.docx", "A 49091-2022")</f>
        <v/>
      </c>
    </row>
    <row r="240" ht="15" customHeight="1">
      <c r="A240" t="inlineStr">
        <is>
          <t>A 50164-2023</t>
        </is>
      </c>
      <c r="B240" s="1" t="n">
        <v>45208</v>
      </c>
      <c r="C240" s="1" t="n">
        <v>45908</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45908</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62072-2023</t>
        </is>
      </c>
      <c r="B242" s="1" t="n">
        <v>45266</v>
      </c>
      <c r="C242" s="1" t="n">
        <v>45908</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17340-2023</t>
        </is>
      </c>
      <c r="B243" s="1" t="n">
        <v>45033</v>
      </c>
      <c r="C243" s="1" t="n">
        <v>45908</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26322-2024</t>
        </is>
      </c>
      <c r="B244" s="1" t="n">
        <v>45468.97461805555</v>
      </c>
      <c r="C244" s="1" t="n">
        <v>45908</v>
      </c>
      <c r="D244" t="inlineStr">
        <is>
          <t>JÄMTLANDS LÄN</t>
        </is>
      </c>
      <c r="E244" t="inlineStr">
        <is>
          <t>RAGUNDA</t>
        </is>
      </c>
      <c r="F244" t="inlineStr">
        <is>
          <t>SCA</t>
        </is>
      </c>
      <c r="G244" t="n">
        <v>9.6</v>
      </c>
      <c r="H244" t="n">
        <v>0</v>
      </c>
      <c r="I244" t="n">
        <v>0</v>
      </c>
      <c r="J244" t="n">
        <v>1</v>
      </c>
      <c r="K244" t="n">
        <v>0</v>
      </c>
      <c r="L244" t="n">
        <v>0</v>
      </c>
      <c r="M244" t="n">
        <v>0</v>
      </c>
      <c r="N244" t="n">
        <v>0</v>
      </c>
      <c r="O244" t="n">
        <v>1</v>
      </c>
      <c r="P244" t="n">
        <v>0</v>
      </c>
      <c r="Q244" t="n">
        <v>1</v>
      </c>
      <c r="R244" s="2" t="inlineStr">
        <is>
          <t>Rosenticka</t>
        </is>
      </c>
      <c r="S244">
        <f>HYPERLINK("https://klasma.github.io/Logging_2303/artfynd/A 26322-2024 artfynd.xlsx", "A 26322-2024")</f>
        <v/>
      </c>
      <c r="T244">
        <f>HYPERLINK("https://klasma.github.io/Logging_2303/kartor/A 26322-2024 karta.png", "A 26322-2024")</f>
        <v/>
      </c>
      <c r="U244">
        <f>HYPERLINK("https://klasma.github.io/Logging_2303/knärot/A 26322-2024 karta knärot.png", "A 26322-2024")</f>
        <v/>
      </c>
      <c r="V244">
        <f>HYPERLINK("https://klasma.github.io/Logging_2303/klagomål/A 26322-2024 FSC-klagomål.docx", "A 26322-2024")</f>
        <v/>
      </c>
      <c r="W244">
        <f>HYPERLINK("https://klasma.github.io/Logging_2303/klagomålsmail/A 26322-2024 FSC-klagomål mail.docx", "A 26322-2024")</f>
        <v/>
      </c>
      <c r="X244">
        <f>HYPERLINK("https://klasma.github.io/Logging_2303/tillsyn/A 26322-2024 tillsynsbegäran.docx", "A 26322-2024")</f>
        <v/>
      </c>
      <c r="Y244">
        <f>HYPERLINK("https://klasma.github.io/Logging_2303/tillsynsmail/A 26322-2024 tillsynsbegäran mail.docx", "A 26322-2024")</f>
        <v/>
      </c>
    </row>
    <row r="245" ht="15" customHeight="1">
      <c r="A245" t="inlineStr">
        <is>
          <t>A 48477-2023</t>
        </is>
      </c>
      <c r="B245" s="1" t="n">
        <v>45206</v>
      </c>
      <c r="C245" s="1" t="n">
        <v>45908</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16724-2025</t>
        </is>
      </c>
      <c r="B246" s="1" t="n">
        <v>45754.51064814815</v>
      </c>
      <c r="C246" s="1" t="n">
        <v>45908</v>
      </c>
      <c r="D246" t="inlineStr">
        <is>
          <t>JÄMTLANDS LÄN</t>
        </is>
      </c>
      <c r="E246" t="inlineStr">
        <is>
          <t>RAGUNDA</t>
        </is>
      </c>
      <c r="G246" t="n">
        <v>3.5</v>
      </c>
      <c r="H246" t="n">
        <v>0</v>
      </c>
      <c r="I246" t="n">
        <v>0</v>
      </c>
      <c r="J246" t="n">
        <v>1</v>
      </c>
      <c r="K246" t="n">
        <v>0</v>
      </c>
      <c r="L246" t="n">
        <v>0</v>
      </c>
      <c r="M246" t="n">
        <v>0</v>
      </c>
      <c r="N246" t="n">
        <v>0</v>
      </c>
      <c r="O246" t="n">
        <v>1</v>
      </c>
      <c r="P246" t="n">
        <v>0</v>
      </c>
      <c r="Q246" t="n">
        <v>1</v>
      </c>
      <c r="R246" s="2" t="inlineStr">
        <is>
          <t>Kolflarnlav</t>
        </is>
      </c>
      <c r="S246">
        <f>HYPERLINK("https://klasma.github.io/Logging_2303/artfynd/A 16724-2025 artfynd.xlsx", "A 16724-2025")</f>
        <v/>
      </c>
      <c r="T246">
        <f>HYPERLINK("https://klasma.github.io/Logging_2303/kartor/A 16724-2025 karta.png", "A 16724-2025")</f>
        <v/>
      </c>
      <c r="V246">
        <f>HYPERLINK("https://klasma.github.io/Logging_2303/klagomål/A 16724-2025 FSC-klagomål.docx", "A 16724-2025")</f>
        <v/>
      </c>
      <c r="W246">
        <f>HYPERLINK("https://klasma.github.io/Logging_2303/klagomålsmail/A 16724-2025 FSC-klagomål mail.docx", "A 16724-2025")</f>
        <v/>
      </c>
      <c r="X246">
        <f>HYPERLINK("https://klasma.github.io/Logging_2303/tillsyn/A 16724-2025 tillsynsbegäran.docx", "A 16724-2025")</f>
        <v/>
      </c>
      <c r="Y246">
        <f>HYPERLINK("https://klasma.github.io/Logging_2303/tillsynsmail/A 16724-2025 tillsynsbegäran mail.docx", "A 16724-2025")</f>
        <v/>
      </c>
    </row>
    <row r="247" ht="15" customHeight="1">
      <c r="A247" t="inlineStr">
        <is>
          <t>A 49770-2024</t>
        </is>
      </c>
      <c r="B247" s="1" t="n">
        <v>45597.34461805555</v>
      </c>
      <c r="C247" s="1" t="n">
        <v>45908</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20774-2024</t>
        </is>
      </c>
      <c r="B248" s="1" t="n">
        <v>45436.94644675926</v>
      </c>
      <c r="C248" s="1" t="n">
        <v>45908</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57941-2020</t>
        </is>
      </c>
      <c r="B249" s="1" t="n">
        <v>44141</v>
      </c>
      <c r="C249" s="1" t="n">
        <v>45908</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61441-2020</t>
        </is>
      </c>
      <c r="B250" s="1" t="n">
        <v>44157</v>
      </c>
      <c r="C250" s="1" t="n">
        <v>45908</v>
      </c>
      <c r="D250" t="inlineStr">
        <is>
          <t>JÄMTLANDS LÄN</t>
        </is>
      </c>
      <c r="E250" t="inlineStr">
        <is>
          <t>RAGUNDA</t>
        </is>
      </c>
      <c r="G250" t="n">
        <v>0.4</v>
      </c>
      <c r="H250" t="n">
        <v>0</v>
      </c>
      <c r="I250" t="n">
        <v>0</v>
      </c>
      <c r="J250" t="n">
        <v>0</v>
      </c>
      <c r="K250" t="n">
        <v>0</v>
      </c>
      <c r="L250" t="n">
        <v>0</v>
      </c>
      <c r="M250" t="n">
        <v>0</v>
      </c>
      <c r="N250" t="n">
        <v>0</v>
      </c>
      <c r="O250" t="n">
        <v>0</v>
      </c>
      <c r="P250" t="n">
        <v>0</v>
      </c>
      <c r="Q250" t="n">
        <v>0</v>
      </c>
      <c r="R250" s="2" t="inlineStr"/>
    </row>
    <row r="251" ht="15" customHeight="1">
      <c r="A251" t="inlineStr">
        <is>
          <t>A 69618-2020</t>
        </is>
      </c>
      <c r="B251" s="1" t="n">
        <v>44195</v>
      </c>
      <c r="C251" s="1" t="n">
        <v>45908</v>
      </c>
      <c r="D251" t="inlineStr">
        <is>
          <t>JÄMTLANDS LÄN</t>
        </is>
      </c>
      <c r="E251" t="inlineStr">
        <is>
          <t>RAGUNDA</t>
        </is>
      </c>
      <c r="G251" t="n">
        <v>2.4</v>
      </c>
      <c r="H251" t="n">
        <v>0</v>
      </c>
      <c r="I251" t="n">
        <v>0</v>
      </c>
      <c r="J251" t="n">
        <v>0</v>
      </c>
      <c r="K251" t="n">
        <v>0</v>
      </c>
      <c r="L251" t="n">
        <v>0</v>
      </c>
      <c r="M251" t="n">
        <v>0</v>
      </c>
      <c r="N251" t="n">
        <v>0</v>
      </c>
      <c r="O251" t="n">
        <v>0</v>
      </c>
      <c r="P251" t="n">
        <v>0</v>
      </c>
      <c r="Q251" t="n">
        <v>0</v>
      </c>
      <c r="R251" s="2" t="inlineStr"/>
    </row>
    <row r="252" ht="15" customHeight="1">
      <c r="A252" t="inlineStr">
        <is>
          <t>A 2469-2021</t>
        </is>
      </c>
      <c r="B252" s="1" t="n">
        <v>44214</v>
      </c>
      <c r="C252" s="1" t="n">
        <v>45908</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45908</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64386-2020</t>
        </is>
      </c>
      <c r="B254" s="1" t="n">
        <v>44168</v>
      </c>
      <c r="C254" s="1" t="n">
        <v>45908</v>
      </c>
      <c r="D254" t="inlineStr">
        <is>
          <t>JÄMTLANDS LÄN</t>
        </is>
      </c>
      <c r="E254" t="inlineStr">
        <is>
          <t>RAGUNDA</t>
        </is>
      </c>
      <c r="G254" t="n">
        <v>2.5</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45908</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45908</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45908</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45908</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48053-2022</t>
        </is>
      </c>
      <c r="B259" s="1" t="n">
        <v>44855.94125</v>
      </c>
      <c r="C259" s="1" t="n">
        <v>45908</v>
      </c>
      <c r="D259" t="inlineStr">
        <is>
          <t>JÄMTLANDS LÄN</t>
        </is>
      </c>
      <c r="E259" t="inlineStr">
        <is>
          <t>RAGUNDA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41606-2021</t>
        </is>
      </c>
      <c r="B260" s="1" t="n">
        <v>44425</v>
      </c>
      <c r="C260" s="1" t="n">
        <v>45908</v>
      </c>
      <c r="D260" t="inlineStr">
        <is>
          <t>JÄMTLANDS LÄN</t>
        </is>
      </c>
      <c r="E260" t="inlineStr">
        <is>
          <t>RAGUNDA</t>
        </is>
      </c>
      <c r="F260" t="inlineStr">
        <is>
          <t>Kommuner</t>
        </is>
      </c>
      <c r="G260" t="n">
        <v>3.5</v>
      </c>
      <c r="H260" t="n">
        <v>0</v>
      </c>
      <c r="I260" t="n">
        <v>0</v>
      </c>
      <c r="J260" t="n">
        <v>0</v>
      </c>
      <c r="K260" t="n">
        <v>0</v>
      </c>
      <c r="L260" t="n">
        <v>0</v>
      </c>
      <c r="M260" t="n">
        <v>0</v>
      </c>
      <c r="N260" t="n">
        <v>0</v>
      </c>
      <c r="O260" t="n">
        <v>0</v>
      </c>
      <c r="P260" t="n">
        <v>0</v>
      </c>
      <c r="Q260" t="n">
        <v>0</v>
      </c>
      <c r="R260" s="2" t="inlineStr"/>
    </row>
    <row r="261" ht="15" customHeight="1">
      <c r="A261" t="inlineStr">
        <is>
          <t>A 47546-2021</t>
        </is>
      </c>
      <c r="B261" s="1" t="n">
        <v>44447.92069444444</v>
      </c>
      <c r="C261" s="1" t="n">
        <v>45908</v>
      </c>
      <c r="D261" t="inlineStr">
        <is>
          <t>JÄMTLANDS LÄN</t>
        </is>
      </c>
      <c r="E261" t="inlineStr">
        <is>
          <t>RAGUNDA</t>
        </is>
      </c>
      <c r="G261" t="n">
        <v>0.4</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45908</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66715-2021</t>
        </is>
      </c>
      <c r="B263" s="1" t="n">
        <v>44519.94534722222</v>
      </c>
      <c r="C263" s="1" t="n">
        <v>45908</v>
      </c>
      <c r="D263" t="inlineStr">
        <is>
          <t>JÄMTLANDS LÄN</t>
        </is>
      </c>
      <c r="E263" t="inlineStr">
        <is>
          <t>RAGUNDA</t>
        </is>
      </c>
      <c r="F263" t="inlineStr">
        <is>
          <t>SCA</t>
        </is>
      </c>
      <c r="G263" t="n">
        <v>0.9</v>
      </c>
      <c r="H263" t="n">
        <v>0</v>
      </c>
      <c r="I263" t="n">
        <v>0</v>
      </c>
      <c r="J263" t="n">
        <v>0</v>
      </c>
      <c r="K263" t="n">
        <v>0</v>
      </c>
      <c r="L263" t="n">
        <v>0</v>
      </c>
      <c r="M263" t="n">
        <v>0</v>
      </c>
      <c r="N263" t="n">
        <v>0</v>
      </c>
      <c r="O263" t="n">
        <v>0</v>
      </c>
      <c r="P263" t="n">
        <v>0</v>
      </c>
      <c r="Q263" t="n">
        <v>0</v>
      </c>
      <c r="R263" s="2" t="inlineStr"/>
    </row>
    <row r="264" ht="15" customHeight="1">
      <c r="A264" t="inlineStr">
        <is>
          <t>A 26946-2021</t>
        </is>
      </c>
      <c r="B264" s="1" t="n">
        <v>44349</v>
      </c>
      <c r="C264" s="1" t="n">
        <v>45908</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1990-2021</t>
        </is>
      </c>
      <c r="B265" s="1" t="n">
        <v>44210</v>
      </c>
      <c r="C265" s="1" t="n">
        <v>45908</v>
      </c>
      <c r="D265" t="inlineStr">
        <is>
          <t>JÄMTLANDS LÄN</t>
        </is>
      </c>
      <c r="E265" t="inlineStr">
        <is>
          <t>RAGUNDA</t>
        </is>
      </c>
      <c r="G265" t="n">
        <v>0.6</v>
      </c>
      <c r="H265" t="n">
        <v>0</v>
      </c>
      <c r="I265" t="n">
        <v>0</v>
      </c>
      <c r="J265" t="n">
        <v>0</v>
      </c>
      <c r="K265" t="n">
        <v>0</v>
      </c>
      <c r="L265" t="n">
        <v>0</v>
      </c>
      <c r="M265" t="n">
        <v>0</v>
      </c>
      <c r="N265" t="n">
        <v>0</v>
      </c>
      <c r="O265" t="n">
        <v>0</v>
      </c>
      <c r="P265" t="n">
        <v>0</v>
      </c>
      <c r="Q265" t="n">
        <v>0</v>
      </c>
      <c r="R265" s="2" t="inlineStr"/>
    </row>
    <row r="266" ht="15" customHeight="1">
      <c r="A266" t="inlineStr">
        <is>
          <t>A 8033-2021</t>
        </is>
      </c>
      <c r="B266" s="1" t="n">
        <v>44243</v>
      </c>
      <c r="C266" s="1" t="n">
        <v>45908</v>
      </c>
      <c r="D266" t="inlineStr">
        <is>
          <t>JÄMTLANDS LÄN</t>
        </is>
      </c>
      <c r="E266" t="inlineStr">
        <is>
          <t>RAGUNDA</t>
        </is>
      </c>
      <c r="G266" t="n">
        <v>2.4</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45908</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45908</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45908</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45908</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45908</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45908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45908</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45908</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45908</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45908</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45908</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45908</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45908</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45908</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45908</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45908</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45908</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45908</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45908</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45908</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45908</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16246-2022</t>
        </is>
      </c>
      <c r="B288" s="1" t="n">
        <v>44670</v>
      </c>
      <c r="C288" s="1" t="n">
        <v>45908</v>
      </c>
      <c r="D288" t="inlineStr">
        <is>
          <t>JÄMTLANDS LÄN</t>
        </is>
      </c>
      <c r="E288" t="inlineStr">
        <is>
          <t>RAGUNDA</t>
        </is>
      </c>
      <c r="G288" t="n">
        <v>4.1</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45908</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45908</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45908</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45908</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45908</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45908</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45908</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45908</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45908</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45908</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45908</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54580-2020</t>
        </is>
      </c>
      <c r="B300" s="1" t="n">
        <v>44126</v>
      </c>
      <c r="C300" s="1" t="n">
        <v>45908</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45908</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45908</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45908</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45908</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45908</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45908</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45908</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45908</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44511-2020</t>
        </is>
      </c>
      <c r="B309" s="1" t="n">
        <v>44084</v>
      </c>
      <c r="C309" s="1" t="n">
        <v>45908</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45908</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45908</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45908</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45908</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45908</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45908</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45908</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45908</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45908</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45908</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45908</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45908</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45908</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45908</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45908</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45908</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45908</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51004-2020</t>
        </is>
      </c>
      <c r="B327" s="1" t="n">
        <v>44111</v>
      </c>
      <c r="C327" s="1" t="n">
        <v>45908</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45908</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45908</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45908</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45908</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45908</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56055-2021</t>
        </is>
      </c>
      <c r="B333" s="1" t="n">
        <v>44477.48994212963</v>
      </c>
      <c r="C333" s="1" t="n">
        <v>45908</v>
      </c>
      <c r="D333" t="inlineStr">
        <is>
          <t>JÄMTLANDS LÄN</t>
        </is>
      </c>
      <c r="E333" t="inlineStr">
        <is>
          <t>RAGUNDA</t>
        </is>
      </c>
      <c r="G333" t="n">
        <v>3.9</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45908</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45908</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19850-2022</t>
        </is>
      </c>
      <c r="B336" s="1" t="n">
        <v>44696.93986111111</v>
      </c>
      <c r="C336" s="1" t="n">
        <v>45908</v>
      </c>
      <c r="D336" t="inlineStr">
        <is>
          <t>JÄMTLANDS LÄN</t>
        </is>
      </c>
      <c r="E336" t="inlineStr">
        <is>
          <t>RAGUNDA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32780-2022</t>
        </is>
      </c>
      <c r="B337" s="1" t="n">
        <v>44783</v>
      </c>
      <c r="C337" s="1" t="n">
        <v>45908</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36084-2022</t>
        </is>
      </c>
      <c r="B338" s="1" t="n">
        <v>44802</v>
      </c>
      <c r="C338" s="1" t="n">
        <v>45908</v>
      </c>
      <c r="D338" t="inlineStr">
        <is>
          <t>JÄMTLANDS LÄN</t>
        </is>
      </c>
      <c r="E338" t="inlineStr">
        <is>
          <t>RAGUNDA</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45908</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19595-2021</t>
        </is>
      </c>
      <c r="B340" s="1" t="n">
        <v>44308</v>
      </c>
      <c r="C340" s="1" t="n">
        <v>45908</v>
      </c>
      <c r="D340" t="inlineStr">
        <is>
          <t>JÄMTLANDS LÄN</t>
        </is>
      </c>
      <c r="E340" t="inlineStr">
        <is>
          <t>RAGUNDA</t>
        </is>
      </c>
      <c r="G340" t="n">
        <v>5.4</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45908</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45908</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45908</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40829-2022</t>
        </is>
      </c>
      <c r="B344" s="1" t="n">
        <v>44824.94635416667</v>
      </c>
      <c r="C344" s="1" t="n">
        <v>45908</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26948-2021</t>
        </is>
      </c>
      <c r="B345" s="1" t="n">
        <v>44349.92013888889</v>
      </c>
      <c r="C345" s="1" t="n">
        <v>45908</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19600-2021</t>
        </is>
      </c>
      <c r="B346" s="1" t="n">
        <v>44308</v>
      </c>
      <c r="C346" s="1" t="n">
        <v>45908</v>
      </c>
      <c r="D346" t="inlineStr">
        <is>
          <t>JÄMTLANDS LÄN</t>
        </is>
      </c>
      <c r="E346" t="inlineStr">
        <is>
          <t>RAGUNDA</t>
        </is>
      </c>
      <c r="G346" t="n">
        <v>4.3</v>
      </c>
      <c r="H346" t="n">
        <v>0</v>
      </c>
      <c r="I346" t="n">
        <v>0</v>
      </c>
      <c r="J346" t="n">
        <v>0</v>
      </c>
      <c r="K346" t="n">
        <v>0</v>
      </c>
      <c r="L346" t="n">
        <v>0</v>
      </c>
      <c r="M346" t="n">
        <v>0</v>
      </c>
      <c r="N346" t="n">
        <v>0</v>
      </c>
      <c r="O346" t="n">
        <v>0</v>
      </c>
      <c r="P346" t="n">
        <v>0</v>
      </c>
      <c r="Q346" t="n">
        <v>0</v>
      </c>
      <c r="R346" s="2" t="inlineStr"/>
    </row>
    <row r="347" ht="15" customHeight="1">
      <c r="A347" t="inlineStr">
        <is>
          <t>A 26945-2021</t>
        </is>
      </c>
      <c r="B347" s="1" t="n">
        <v>44349.91995370371</v>
      </c>
      <c r="C347" s="1" t="n">
        <v>45908</v>
      </c>
      <c r="D347" t="inlineStr">
        <is>
          <t>JÄMTLANDS LÄN</t>
        </is>
      </c>
      <c r="E347" t="inlineStr">
        <is>
          <t>RAGUNDA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18341-2022</t>
        </is>
      </c>
      <c r="B348" s="1" t="n">
        <v>44685</v>
      </c>
      <c r="C348" s="1" t="n">
        <v>45908</v>
      </c>
      <c r="D348" t="inlineStr">
        <is>
          <t>JÄMTLANDS LÄN</t>
        </is>
      </c>
      <c r="E348" t="inlineStr">
        <is>
          <t>RAGUNDA</t>
        </is>
      </c>
      <c r="G348" t="n">
        <v>0.2</v>
      </c>
      <c r="H348" t="n">
        <v>0</v>
      </c>
      <c r="I348" t="n">
        <v>0</v>
      </c>
      <c r="J348" t="n">
        <v>0</v>
      </c>
      <c r="K348" t="n">
        <v>0</v>
      </c>
      <c r="L348" t="n">
        <v>0</v>
      </c>
      <c r="M348" t="n">
        <v>0</v>
      </c>
      <c r="N348" t="n">
        <v>0</v>
      </c>
      <c r="O348" t="n">
        <v>0</v>
      </c>
      <c r="P348" t="n">
        <v>0</v>
      </c>
      <c r="Q348" t="n">
        <v>0</v>
      </c>
      <c r="R348" s="2" t="inlineStr"/>
    </row>
    <row r="349" ht="15" customHeight="1">
      <c r="A349" t="inlineStr">
        <is>
          <t>A 46992-2022</t>
        </is>
      </c>
      <c r="B349" s="1" t="n">
        <v>44851.95488425926</v>
      </c>
      <c r="C349" s="1" t="n">
        <v>45908</v>
      </c>
      <c r="D349" t="inlineStr">
        <is>
          <t>JÄMTLANDS LÄN</t>
        </is>
      </c>
      <c r="E349" t="inlineStr">
        <is>
          <t>RAGUNDA</t>
        </is>
      </c>
      <c r="F349" t="inlineStr">
        <is>
          <t>SCA</t>
        </is>
      </c>
      <c r="G349" t="n">
        <v>26.4</v>
      </c>
      <c r="H349" t="n">
        <v>0</v>
      </c>
      <c r="I349" t="n">
        <v>0</v>
      </c>
      <c r="J349" t="n">
        <v>0</v>
      </c>
      <c r="K349" t="n">
        <v>0</v>
      </c>
      <c r="L349" t="n">
        <v>0</v>
      </c>
      <c r="M349" t="n">
        <v>0</v>
      </c>
      <c r="N349" t="n">
        <v>0</v>
      </c>
      <c r="O349" t="n">
        <v>0</v>
      </c>
      <c r="P349" t="n">
        <v>0</v>
      </c>
      <c r="Q349" t="n">
        <v>0</v>
      </c>
      <c r="R349" s="2" t="inlineStr"/>
    </row>
    <row r="350" ht="15" customHeight="1">
      <c r="A350" t="inlineStr">
        <is>
          <t>A 34348-2021</t>
        </is>
      </c>
      <c r="B350" s="1" t="n">
        <v>44379</v>
      </c>
      <c r="C350" s="1" t="n">
        <v>45908</v>
      </c>
      <c r="D350" t="inlineStr">
        <is>
          <t>JÄMTLANDS LÄN</t>
        </is>
      </c>
      <c r="E350" t="inlineStr">
        <is>
          <t>RAGUNDA</t>
        </is>
      </c>
      <c r="G350" t="n">
        <v>8.1</v>
      </c>
      <c r="H350" t="n">
        <v>0</v>
      </c>
      <c r="I350" t="n">
        <v>0</v>
      </c>
      <c r="J350" t="n">
        <v>0</v>
      </c>
      <c r="K350" t="n">
        <v>0</v>
      </c>
      <c r="L350" t="n">
        <v>0</v>
      </c>
      <c r="M350" t="n">
        <v>0</v>
      </c>
      <c r="N350" t="n">
        <v>0</v>
      </c>
      <c r="O350" t="n">
        <v>0</v>
      </c>
      <c r="P350" t="n">
        <v>0</v>
      </c>
      <c r="Q350" t="n">
        <v>0</v>
      </c>
      <c r="R350" s="2" t="inlineStr"/>
    </row>
    <row r="351" ht="15" customHeight="1">
      <c r="A351" t="inlineStr">
        <is>
          <t>A 9185-2022</t>
        </is>
      </c>
      <c r="B351" s="1" t="n">
        <v>44615</v>
      </c>
      <c r="C351" s="1" t="n">
        <v>45908</v>
      </c>
      <c r="D351" t="inlineStr">
        <is>
          <t>JÄMTLANDS LÄN</t>
        </is>
      </c>
      <c r="E351" t="inlineStr">
        <is>
          <t>RAGUNDA</t>
        </is>
      </c>
      <c r="G351" t="n">
        <v>1.1</v>
      </c>
      <c r="H351" t="n">
        <v>0</v>
      </c>
      <c r="I351" t="n">
        <v>0</v>
      </c>
      <c r="J351" t="n">
        <v>0</v>
      </c>
      <c r="K351" t="n">
        <v>0</v>
      </c>
      <c r="L351" t="n">
        <v>0</v>
      </c>
      <c r="M351" t="n">
        <v>0</v>
      </c>
      <c r="N351" t="n">
        <v>0</v>
      </c>
      <c r="O351" t="n">
        <v>0</v>
      </c>
      <c r="P351" t="n">
        <v>0</v>
      </c>
      <c r="Q351" t="n">
        <v>0</v>
      </c>
      <c r="R351" s="2" t="inlineStr"/>
    </row>
    <row r="352" ht="15" customHeight="1">
      <c r="A352" t="inlineStr">
        <is>
          <t>A 16460-2022</t>
        </is>
      </c>
      <c r="B352" s="1" t="n">
        <v>44671</v>
      </c>
      <c r="C352" s="1" t="n">
        <v>45908</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44241-2021</t>
        </is>
      </c>
      <c r="B353" s="1" t="n">
        <v>44434.94517361111</v>
      </c>
      <c r="C353" s="1" t="n">
        <v>45908</v>
      </c>
      <c r="D353" t="inlineStr">
        <is>
          <t>JÄMTLANDS LÄN</t>
        </is>
      </c>
      <c r="E353" t="inlineStr">
        <is>
          <t>RAGUNDA</t>
        </is>
      </c>
      <c r="G353" t="n">
        <v>0.8</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45908</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45908</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45908</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31972-2022</t>
        </is>
      </c>
      <c r="B357" s="1" t="n">
        <v>44777.95504629629</v>
      </c>
      <c r="C357" s="1" t="n">
        <v>45908</v>
      </c>
      <c r="D357" t="inlineStr">
        <is>
          <t>JÄMTLANDS LÄN</t>
        </is>
      </c>
      <c r="E357" t="inlineStr">
        <is>
          <t>RAGUNDA</t>
        </is>
      </c>
      <c r="F357" t="inlineStr">
        <is>
          <t>Naturvårdsverket</t>
        </is>
      </c>
      <c r="G357" t="n">
        <v>0.8</v>
      </c>
      <c r="H357" t="n">
        <v>0</v>
      </c>
      <c r="I357" t="n">
        <v>0</v>
      </c>
      <c r="J357" t="n">
        <v>0</v>
      </c>
      <c r="K357" t="n">
        <v>0</v>
      </c>
      <c r="L357" t="n">
        <v>0</v>
      </c>
      <c r="M357" t="n">
        <v>0</v>
      </c>
      <c r="N357" t="n">
        <v>0</v>
      </c>
      <c r="O357" t="n">
        <v>0</v>
      </c>
      <c r="P357" t="n">
        <v>0</v>
      </c>
      <c r="Q357" t="n">
        <v>0</v>
      </c>
      <c r="R357" s="2" t="inlineStr"/>
    </row>
    <row r="358" ht="15" customHeight="1">
      <c r="A358" t="inlineStr">
        <is>
          <t>A 48086-2022</t>
        </is>
      </c>
      <c r="B358" s="1" t="n">
        <v>44855.9471875</v>
      </c>
      <c r="C358" s="1" t="n">
        <v>45908</v>
      </c>
      <c r="D358" t="inlineStr">
        <is>
          <t>JÄMTLANDS LÄN</t>
        </is>
      </c>
      <c r="E358" t="inlineStr">
        <is>
          <t>RAGUNDA</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57730-2020</t>
        </is>
      </c>
      <c r="B359" s="1" t="n">
        <v>44140</v>
      </c>
      <c r="C359" s="1" t="n">
        <v>45908</v>
      </c>
      <c r="D359" t="inlineStr">
        <is>
          <t>JÄMTLANDS LÄN</t>
        </is>
      </c>
      <c r="E359" t="inlineStr">
        <is>
          <t>RAGUNDA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45908</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45908</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35749-2022</t>
        </is>
      </c>
      <c r="B362" s="1" t="n">
        <v>44799.94394675926</v>
      </c>
      <c r="C362" s="1" t="n">
        <v>45908</v>
      </c>
      <c r="D362" t="inlineStr">
        <is>
          <t>JÄMTLANDS LÄN</t>
        </is>
      </c>
      <c r="E362" t="inlineStr">
        <is>
          <t>RAGUNDA</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1858-2022</t>
        </is>
      </c>
      <c r="B363" s="1" t="n">
        <v>44574</v>
      </c>
      <c r="C363" s="1" t="n">
        <v>45908</v>
      </c>
      <c r="D363" t="inlineStr">
        <is>
          <t>JÄMTLANDS LÄN</t>
        </is>
      </c>
      <c r="E363" t="inlineStr">
        <is>
          <t>RAGUNDA</t>
        </is>
      </c>
      <c r="G363" t="n">
        <v>5.7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45908</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45908</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54836-2022</t>
        </is>
      </c>
      <c r="B366" s="1" t="n">
        <v>44883.94918981481</v>
      </c>
      <c r="C366" s="1" t="n">
        <v>45908</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53522-2020</t>
        </is>
      </c>
      <c r="B367" s="1" t="n">
        <v>44124</v>
      </c>
      <c r="C367" s="1" t="n">
        <v>45908</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39698-2022</t>
        </is>
      </c>
      <c r="B368" s="1" t="n">
        <v>44818</v>
      </c>
      <c r="C368" s="1" t="n">
        <v>45908</v>
      </c>
      <c r="D368" t="inlineStr">
        <is>
          <t>JÄMTLANDS LÄN</t>
        </is>
      </c>
      <c r="E368" t="inlineStr">
        <is>
          <t>RAGUNDA</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43147-2022</t>
        </is>
      </c>
      <c r="B369" s="1" t="n">
        <v>44833.9519212963</v>
      </c>
      <c r="C369" s="1" t="n">
        <v>45908</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45908</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48056-2020</t>
        </is>
      </c>
      <c r="B371" s="1" t="n">
        <v>44099</v>
      </c>
      <c r="C371" s="1" t="n">
        <v>45908</v>
      </c>
      <c r="D371" t="inlineStr">
        <is>
          <t>JÄMTLANDS LÄN</t>
        </is>
      </c>
      <c r="E371" t="inlineStr">
        <is>
          <t>RAGUNDA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38733-2022</t>
        </is>
      </c>
      <c r="B372" s="1" t="n">
        <v>44815</v>
      </c>
      <c r="C372" s="1" t="n">
        <v>45908</v>
      </c>
      <c r="D372" t="inlineStr">
        <is>
          <t>JÄMTLANDS LÄN</t>
        </is>
      </c>
      <c r="E372" t="inlineStr">
        <is>
          <t>RAGUNDA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58984-2021</t>
        </is>
      </c>
      <c r="B373" s="1" t="n">
        <v>44489.94711805556</v>
      </c>
      <c r="C373" s="1" t="n">
        <v>45908</v>
      </c>
      <c r="D373" t="inlineStr">
        <is>
          <t>JÄMTLANDS LÄN</t>
        </is>
      </c>
      <c r="E373" t="inlineStr">
        <is>
          <t>RAGUNDA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45908</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40978-2022</t>
        </is>
      </c>
      <c r="B375" s="1" t="n">
        <v>44823</v>
      </c>
      <c r="C375" s="1" t="n">
        <v>45908</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45908</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45908</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24741-2022</t>
        </is>
      </c>
      <c r="B378" s="1" t="n">
        <v>44727</v>
      </c>
      <c r="C378" s="1" t="n">
        <v>45908</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9187-2022</t>
        </is>
      </c>
      <c r="B379" s="1" t="n">
        <v>44615</v>
      </c>
      <c r="C379" s="1" t="n">
        <v>45908</v>
      </c>
      <c r="D379" t="inlineStr">
        <is>
          <t>JÄMTLANDS LÄN</t>
        </is>
      </c>
      <c r="E379" t="inlineStr">
        <is>
          <t>RAGUNDA</t>
        </is>
      </c>
      <c r="G379" t="n">
        <v>2</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45908</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57713-2020</t>
        </is>
      </c>
      <c r="B381" s="1" t="n">
        <v>44140</v>
      </c>
      <c r="C381" s="1" t="n">
        <v>45908</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45908</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46048-2022</t>
        </is>
      </c>
      <c r="B383" s="1" t="n">
        <v>44846</v>
      </c>
      <c r="C383" s="1" t="n">
        <v>45908</v>
      </c>
      <c r="D383" t="inlineStr">
        <is>
          <t>JÄMTLANDS LÄN</t>
        </is>
      </c>
      <c r="E383" t="inlineStr">
        <is>
          <t>RAGUNDA</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45908</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32288-2022</t>
        </is>
      </c>
      <c r="B385" s="1" t="n">
        <v>44781</v>
      </c>
      <c r="C385" s="1" t="n">
        <v>45908</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45908</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47803-2022</t>
        </is>
      </c>
      <c r="B387" s="1" t="n">
        <v>44854.95390046296</v>
      </c>
      <c r="C387" s="1" t="n">
        <v>45908</v>
      </c>
      <c r="D387" t="inlineStr">
        <is>
          <t>JÄMTLANDS LÄN</t>
        </is>
      </c>
      <c r="E387" t="inlineStr">
        <is>
          <t>RAGUNDA</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44704.9422337963</v>
      </c>
      <c r="C388" s="1" t="n">
        <v>45908</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42652-2022</t>
        </is>
      </c>
      <c r="B389" s="1" t="n">
        <v>44831.94846064815</v>
      </c>
      <c r="C389" s="1" t="n">
        <v>45908</v>
      </c>
      <c r="D389" t="inlineStr">
        <is>
          <t>JÄMTLANDS LÄN</t>
        </is>
      </c>
      <c r="E389" t="inlineStr">
        <is>
          <t>RAGUNDA</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42653-2022</t>
        </is>
      </c>
      <c r="B390" s="1" t="n">
        <v>44831.9485300926</v>
      </c>
      <c r="C390" s="1" t="n">
        <v>45908</v>
      </c>
      <c r="D390" t="inlineStr">
        <is>
          <t>JÄMTLANDS LÄN</t>
        </is>
      </c>
      <c r="E390" t="inlineStr">
        <is>
          <t>RAGUNDA</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32986-2022</t>
        </is>
      </c>
      <c r="B391" s="1" t="n">
        <v>44784.94157407407</v>
      </c>
      <c r="C391" s="1" t="n">
        <v>45908</v>
      </c>
      <c r="D391" t="inlineStr">
        <is>
          <t>JÄMTLANDS LÄN</t>
        </is>
      </c>
      <c r="E391" t="inlineStr">
        <is>
          <t>RAGUNDA</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60313-2021</t>
        </is>
      </c>
      <c r="B392" s="1" t="n">
        <v>44495</v>
      </c>
      <c r="C392" s="1" t="n">
        <v>45908</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48536-2022</t>
        </is>
      </c>
      <c r="B393" s="1" t="n">
        <v>44858</v>
      </c>
      <c r="C393" s="1" t="n">
        <v>45908</v>
      </c>
      <c r="D393" t="inlineStr">
        <is>
          <t>JÄMTLANDS LÄN</t>
        </is>
      </c>
      <c r="E393" t="inlineStr">
        <is>
          <t>RAGUNDA</t>
        </is>
      </c>
      <c r="F393" t="inlineStr">
        <is>
          <t>SCA</t>
        </is>
      </c>
      <c r="G393" t="n">
        <v>9.5</v>
      </c>
      <c r="H393" t="n">
        <v>0</v>
      </c>
      <c r="I393" t="n">
        <v>0</v>
      </c>
      <c r="J393" t="n">
        <v>0</v>
      </c>
      <c r="K393" t="n">
        <v>0</v>
      </c>
      <c r="L393" t="n">
        <v>0</v>
      </c>
      <c r="M393" t="n">
        <v>0</v>
      </c>
      <c r="N393" t="n">
        <v>0</v>
      </c>
      <c r="O393" t="n">
        <v>0</v>
      </c>
      <c r="P393" t="n">
        <v>0</v>
      </c>
      <c r="Q393" t="n">
        <v>0</v>
      </c>
      <c r="R393" s="2" t="inlineStr"/>
    </row>
    <row r="394" ht="15" customHeight="1">
      <c r="A394" t="inlineStr">
        <is>
          <t>A 41613-2021</t>
        </is>
      </c>
      <c r="B394" s="1" t="n">
        <v>44425</v>
      </c>
      <c r="C394" s="1" t="n">
        <v>45908</v>
      </c>
      <c r="D394" t="inlineStr">
        <is>
          <t>JÄMTLANDS LÄN</t>
        </is>
      </c>
      <c r="E394" t="inlineStr">
        <is>
          <t>RAGUNDA</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45908</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45908</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42882-2022</t>
        </is>
      </c>
      <c r="B397" s="1" t="n">
        <v>44832.95300925926</v>
      </c>
      <c r="C397" s="1" t="n">
        <v>45908</v>
      </c>
      <c r="D397" t="inlineStr">
        <is>
          <t>JÄMTLANDS LÄN</t>
        </is>
      </c>
      <c r="E397" t="inlineStr">
        <is>
          <t>RAGUNDA</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42267-2022</t>
        </is>
      </c>
      <c r="B398" s="1" t="n">
        <v>44830</v>
      </c>
      <c r="C398" s="1" t="n">
        <v>45908</v>
      </c>
      <c r="D398" t="inlineStr">
        <is>
          <t>JÄMTLANDS LÄN</t>
        </is>
      </c>
      <c r="E398" t="inlineStr">
        <is>
          <t>RAGUNDA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29409-2021</t>
        </is>
      </c>
      <c r="B399" s="1" t="n">
        <v>44361.55445601852</v>
      </c>
      <c r="C399" s="1" t="n">
        <v>45908</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37806-2021</t>
        </is>
      </c>
      <c r="B400" s="1" t="n">
        <v>44402.42243055555</v>
      </c>
      <c r="C400" s="1" t="n">
        <v>45908</v>
      </c>
      <c r="D400" t="inlineStr">
        <is>
          <t>JÄMTLANDS LÄN</t>
        </is>
      </c>
      <c r="E400" t="inlineStr">
        <is>
          <t>RAGUNDA</t>
        </is>
      </c>
      <c r="G400" t="n">
        <v>0.3</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45908</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45908</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45908</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25027-2022</t>
        </is>
      </c>
      <c r="B404" s="1" t="n">
        <v>44728.94392361111</v>
      </c>
      <c r="C404" s="1" t="n">
        <v>45908</v>
      </c>
      <c r="D404" t="inlineStr">
        <is>
          <t>JÄMTLANDS LÄN</t>
        </is>
      </c>
      <c r="E404" t="inlineStr">
        <is>
          <t>RAGUNDA</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45908</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28597-2021</t>
        </is>
      </c>
      <c r="B406" s="1" t="n">
        <v>44356.91935185185</v>
      </c>
      <c r="C406" s="1" t="n">
        <v>45908</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4882-2023</t>
        </is>
      </c>
      <c r="B407" s="1" t="n">
        <v>44957.94075231482</v>
      </c>
      <c r="C407" s="1" t="n">
        <v>45908</v>
      </c>
      <c r="D407" t="inlineStr">
        <is>
          <t>JÄMTLANDS LÄN</t>
        </is>
      </c>
      <c r="E407" t="inlineStr">
        <is>
          <t>RAGUNDA</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15554-2025</t>
        </is>
      </c>
      <c r="B408" s="1" t="n">
        <v>45747.67739583334</v>
      </c>
      <c r="C408" s="1" t="n">
        <v>45908</v>
      </c>
      <c r="D408" t="inlineStr">
        <is>
          <t>JÄMTLANDS LÄN</t>
        </is>
      </c>
      <c r="E408" t="inlineStr">
        <is>
          <t>RAGUNDA</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65216-2023</t>
        </is>
      </c>
      <c r="B409" s="1" t="n">
        <v>45289</v>
      </c>
      <c r="C409" s="1" t="n">
        <v>45908</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52148-2024</t>
        </is>
      </c>
      <c r="B410" s="1" t="n">
        <v>45608.52354166667</v>
      </c>
      <c r="C410" s="1" t="n">
        <v>45908</v>
      </c>
      <c r="D410" t="inlineStr">
        <is>
          <t>JÄMTLANDS LÄN</t>
        </is>
      </c>
      <c r="E410" t="inlineStr">
        <is>
          <t>RAGUNDA</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36941-2022</t>
        </is>
      </c>
      <c r="B411" s="1" t="n">
        <v>44805</v>
      </c>
      <c r="C411" s="1" t="n">
        <v>45908</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20548-2021</t>
        </is>
      </c>
      <c r="B412" s="1" t="n">
        <v>44315</v>
      </c>
      <c r="C412" s="1" t="n">
        <v>45908</v>
      </c>
      <c r="D412" t="inlineStr">
        <is>
          <t>JÄMTLANDS LÄN</t>
        </is>
      </c>
      <c r="E412" t="inlineStr">
        <is>
          <t>RAGUNDA</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49530-2022</t>
        </is>
      </c>
      <c r="B413" s="1" t="n">
        <v>44861</v>
      </c>
      <c r="C413" s="1" t="n">
        <v>45908</v>
      </c>
      <c r="D413" t="inlineStr">
        <is>
          <t>JÄMTLANDS LÄN</t>
        </is>
      </c>
      <c r="E413" t="inlineStr">
        <is>
          <t>RAGUNDA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65017-2021</t>
        </is>
      </c>
      <c r="B414" s="1" t="n">
        <v>44512</v>
      </c>
      <c r="C414" s="1" t="n">
        <v>45908</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24197-2024</t>
        </is>
      </c>
      <c r="B415" s="1" t="n">
        <v>45456.96601851852</v>
      </c>
      <c r="C415" s="1" t="n">
        <v>45908</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13276-2025</t>
        </is>
      </c>
      <c r="B416" s="1" t="n">
        <v>45735.5517824074</v>
      </c>
      <c r="C416" s="1" t="n">
        <v>45908</v>
      </c>
      <c r="D416" t="inlineStr">
        <is>
          <t>JÄMTLANDS LÄN</t>
        </is>
      </c>
      <c r="E416" t="inlineStr">
        <is>
          <t>RAGUNDA</t>
        </is>
      </c>
      <c r="G416" t="n">
        <v>16.6</v>
      </c>
      <c r="H416" t="n">
        <v>0</v>
      </c>
      <c r="I416" t="n">
        <v>0</v>
      </c>
      <c r="J416" t="n">
        <v>0</v>
      </c>
      <c r="K416" t="n">
        <v>0</v>
      </c>
      <c r="L416" t="n">
        <v>0</v>
      </c>
      <c r="M416" t="n">
        <v>0</v>
      </c>
      <c r="N416" t="n">
        <v>0</v>
      </c>
      <c r="O416" t="n">
        <v>0</v>
      </c>
      <c r="P416" t="n">
        <v>0</v>
      </c>
      <c r="Q416" t="n">
        <v>0</v>
      </c>
      <c r="R416" s="2" t="inlineStr"/>
    </row>
    <row r="417" ht="15" customHeight="1">
      <c r="A417" t="inlineStr">
        <is>
          <t>A 53144-2024</t>
        </is>
      </c>
      <c r="B417" s="1" t="n">
        <v>45611</v>
      </c>
      <c r="C417" s="1" t="n">
        <v>45908</v>
      </c>
      <c r="D417" t="inlineStr">
        <is>
          <t>JÄMTLANDS LÄN</t>
        </is>
      </c>
      <c r="E417" t="inlineStr">
        <is>
          <t>RAGUNDA</t>
        </is>
      </c>
      <c r="F417" t="inlineStr">
        <is>
          <t>SCA</t>
        </is>
      </c>
      <c r="G417" t="n">
        <v>5.4</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45908</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47568-2022</t>
        </is>
      </c>
      <c r="B419" s="1" t="n">
        <v>44853.9499537037</v>
      </c>
      <c r="C419" s="1" t="n">
        <v>45908</v>
      </c>
      <c r="D419" t="inlineStr">
        <is>
          <t>JÄMTLANDS LÄN</t>
        </is>
      </c>
      <c r="E419" t="inlineStr">
        <is>
          <t>RAGUNDA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14896-2022</t>
        </is>
      </c>
      <c r="B420" s="1" t="n">
        <v>44656</v>
      </c>
      <c r="C420" s="1" t="n">
        <v>45908</v>
      </c>
      <c r="D420" t="inlineStr">
        <is>
          <t>JÄMTLANDS LÄN</t>
        </is>
      </c>
      <c r="E420" t="inlineStr">
        <is>
          <t>RAGUNDA</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45335-2023</t>
        </is>
      </c>
      <c r="B421" s="1" t="n">
        <v>45191</v>
      </c>
      <c r="C421" s="1" t="n">
        <v>45908</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55487-2023</t>
        </is>
      </c>
      <c r="B422" s="1" t="n">
        <v>45238</v>
      </c>
      <c r="C422" s="1" t="n">
        <v>45908</v>
      </c>
      <c r="D422" t="inlineStr">
        <is>
          <t>JÄMTLANDS LÄN</t>
        </is>
      </c>
      <c r="E422" t="inlineStr">
        <is>
          <t>RAGUNDA</t>
        </is>
      </c>
      <c r="G422" t="n">
        <v>3</v>
      </c>
      <c r="H422" t="n">
        <v>0</v>
      </c>
      <c r="I422" t="n">
        <v>0</v>
      </c>
      <c r="J422" t="n">
        <v>0</v>
      </c>
      <c r="K422" t="n">
        <v>0</v>
      </c>
      <c r="L422" t="n">
        <v>0</v>
      </c>
      <c r="M422" t="n">
        <v>0</v>
      </c>
      <c r="N422" t="n">
        <v>0</v>
      </c>
      <c r="O422" t="n">
        <v>0</v>
      </c>
      <c r="P422" t="n">
        <v>0</v>
      </c>
      <c r="Q422" t="n">
        <v>0</v>
      </c>
      <c r="R422" s="2" t="inlineStr"/>
    </row>
    <row r="423" ht="15" customHeight="1">
      <c r="A423" t="inlineStr">
        <is>
          <t>A 22311-2024</t>
        </is>
      </c>
      <c r="B423" s="1" t="n">
        <v>45446.57052083333</v>
      </c>
      <c r="C423" s="1" t="n">
        <v>45908</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18454-2021</t>
        </is>
      </c>
      <c r="B424" s="1" t="n">
        <v>44305.92047453704</v>
      </c>
      <c r="C424" s="1" t="n">
        <v>45908</v>
      </c>
      <c r="D424" t="inlineStr">
        <is>
          <t>JÄMTLANDS LÄN</t>
        </is>
      </c>
      <c r="E424" t="inlineStr">
        <is>
          <t>RAGUNDA</t>
        </is>
      </c>
      <c r="G424" t="n">
        <v>1.3</v>
      </c>
      <c r="H424" t="n">
        <v>0</v>
      </c>
      <c r="I424" t="n">
        <v>0</v>
      </c>
      <c r="J424" t="n">
        <v>0</v>
      </c>
      <c r="K424" t="n">
        <v>0</v>
      </c>
      <c r="L424" t="n">
        <v>0</v>
      </c>
      <c r="M424" t="n">
        <v>0</v>
      </c>
      <c r="N424" t="n">
        <v>0</v>
      </c>
      <c r="O424" t="n">
        <v>0</v>
      </c>
      <c r="P424" t="n">
        <v>0</v>
      </c>
      <c r="Q424" t="n">
        <v>0</v>
      </c>
      <c r="R424" s="2" t="inlineStr"/>
    </row>
    <row r="425" ht="15" customHeight="1">
      <c r="A425" t="inlineStr">
        <is>
          <t>A 16635-2025</t>
        </is>
      </c>
      <c r="B425" s="1" t="n">
        <v>45754</v>
      </c>
      <c r="C425" s="1" t="n">
        <v>45908</v>
      </c>
      <c r="D425" t="inlineStr">
        <is>
          <t>JÄMTLANDS LÄN</t>
        </is>
      </c>
      <c r="E425" t="inlineStr">
        <is>
          <t>RAGUNDA</t>
        </is>
      </c>
      <c r="F425" t="inlineStr">
        <is>
          <t>SCA</t>
        </is>
      </c>
      <c r="G425" t="n">
        <v>55.4</v>
      </c>
      <c r="H425" t="n">
        <v>0</v>
      </c>
      <c r="I425" t="n">
        <v>0</v>
      </c>
      <c r="J425" t="n">
        <v>0</v>
      </c>
      <c r="K425" t="n">
        <v>0</v>
      </c>
      <c r="L425" t="n">
        <v>0</v>
      </c>
      <c r="M425" t="n">
        <v>0</v>
      </c>
      <c r="N425" t="n">
        <v>0</v>
      </c>
      <c r="O425" t="n">
        <v>0</v>
      </c>
      <c r="P425" t="n">
        <v>0</v>
      </c>
      <c r="Q425" t="n">
        <v>0</v>
      </c>
      <c r="R425" s="2" t="inlineStr"/>
    </row>
    <row r="426" ht="15" customHeight="1">
      <c r="A426" t="inlineStr">
        <is>
          <t>A 4014-2022</t>
        </is>
      </c>
      <c r="B426" s="1" t="n">
        <v>44587.92144675926</v>
      </c>
      <c r="C426" s="1" t="n">
        <v>45908</v>
      </c>
      <c r="D426" t="inlineStr">
        <is>
          <t>JÄMTLANDS LÄN</t>
        </is>
      </c>
      <c r="E426" t="inlineStr">
        <is>
          <t>RAGUNDA</t>
        </is>
      </c>
      <c r="G426" t="n">
        <v>3.6</v>
      </c>
      <c r="H426" t="n">
        <v>0</v>
      </c>
      <c r="I426" t="n">
        <v>0</v>
      </c>
      <c r="J426" t="n">
        <v>0</v>
      </c>
      <c r="K426" t="n">
        <v>0</v>
      </c>
      <c r="L426" t="n">
        <v>0</v>
      </c>
      <c r="M426" t="n">
        <v>0</v>
      </c>
      <c r="N426" t="n">
        <v>0</v>
      </c>
      <c r="O426" t="n">
        <v>0</v>
      </c>
      <c r="P426" t="n">
        <v>0</v>
      </c>
      <c r="Q426" t="n">
        <v>0</v>
      </c>
      <c r="R426" s="2" t="inlineStr"/>
    </row>
    <row r="427" ht="15" customHeight="1">
      <c r="A427" t="inlineStr">
        <is>
          <t>A 1554-2024</t>
        </is>
      </c>
      <c r="B427" s="1" t="n">
        <v>45306</v>
      </c>
      <c r="C427" s="1" t="n">
        <v>45908</v>
      </c>
      <c r="D427" t="inlineStr">
        <is>
          <t>JÄMTLANDS LÄN</t>
        </is>
      </c>
      <c r="E427" t="inlineStr">
        <is>
          <t>RAGUNDA</t>
        </is>
      </c>
      <c r="G427" t="n">
        <v>4.3</v>
      </c>
      <c r="H427" t="n">
        <v>0</v>
      </c>
      <c r="I427" t="n">
        <v>0</v>
      </c>
      <c r="J427" t="n">
        <v>0</v>
      </c>
      <c r="K427" t="n">
        <v>0</v>
      </c>
      <c r="L427" t="n">
        <v>0</v>
      </c>
      <c r="M427" t="n">
        <v>0</v>
      </c>
      <c r="N427" t="n">
        <v>0</v>
      </c>
      <c r="O427" t="n">
        <v>0</v>
      </c>
      <c r="P427" t="n">
        <v>0</v>
      </c>
      <c r="Q427" t="n">
        <v>0</v>
      </c>
      <c r="R427" s="2" t="inlineStr"/>
    </row>
    <row r="428" ht="15" customHeight="1">
      <c r="A428" t="inlineStr">
        <is>
          <t>A 20574-2025</t>
        </is>
      </c>
      <c r="B428" s="1" t="n">
        <v>45775.67747685185</v>
      </c>
      <c r="C428" s="1" t="n">
        <v>45908</v>
      </c>
      <c r="D428" t="inlineStr">
        <is>
          <t>JÄMTLANDS LÄN</t>
        </is>
      </c>
      <c r="E428" t="inlineStr">
        <is>
          <t>RAGUNDA</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9360-2023</t>
        </is>
      </c>
      <c r="B429" s="1" t="n">
        <v>44980.93865740741</v>
      </c>
      <c r="C429" s="1" t="n">
        <v>45908</v>
      </c>
      <c r="D429" t="inlineStr">
        <is>
          <t>JÄMTLANDS LÄN</t>
        </is>
      </c>
      <c r="E429" t="inlineStr">
        <is>
          <t>RAGUNDA</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38782-2021</t>
        </is>
      </c>
      <c r="B430" s="1" t="n">
        <v>44410</v>
      </c>
      <c r="C430" s="1" t="n">
        <v>45908</v>
      </c>
      <c r="D430" t="inlineStr">
        <is>
          <t>JÄMTLANDS LÄN</t>
        </is>
      </c>
      <c r="E430" t="inlineStr">
        <is>
          <t>RAGUNDA</t>
        </is>
      </c>
      <c r="G430" t="n">
        <v>3.2</v>
      </c>
      <c r="H430" t="n">
        <v>0</v>
      </c>
      <c r="I430" t="n">
        <v>0</v>
      </c>
      <c r="J430" t="n">
        <v>0</v>
      </c>
      <c r="K430" t="n">
        <v>0</v>
      </c>
      <c r="L430" t="n">
        <v>0</v>
      </c>
      <c r="M430" t="n">
        <v>0</v>
      </c>
      <c r="N430" t="n">
        <v>0</v>
      </c>
      <c r="O430" t="n">
        <v>0</v>
      </c>
      <c r="P430" t="n">
        <v>0</v>
      </c>
      <c r="Q430" t="n">
        <v>0</v>
      </c>
      <c r="R430" s="2" t="inlineStr"/>
    </row>
    <row r="431" ht="15" customHeight="1">
      <c r="A431" t="inlineStr">
        <is>
          <t>A 19403-2025</t>
        </is>
      </c>
      <c r="B431" s="1" t="n">
        <v>45769.67790509259</v>
      </c>
      <c r="C431" s="1" t="n">
        <v>45908</v>
      </c>
      <c r="D431" t="inlineStr">
        <is>
          <t>JÄMTLANDS LÄN</t>
        </is>
      </c>
      <c r="E431" t="inlineStr">
        <is>
          <t>RAGUNDA</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20728-2025</t>
        </is>
      </c>
      <c r="B432" s="1" t="n">
        <v>45776.51130787037</v>
      </c>
      <c r="C432" s="1" t="n">
        <v>45908</v>
      </c>
      <c r="D432" t="inlineStr">
        <is>
          <t>JÄMTLANDS LÄN</t>
        </is>
      </c>
      <c r="E432" t="inlineStr">
        <is>
          <t>RAGUNDA</t>
        </is>
      </c>
      <c r="F432" t="inlineStr">
        <is>
          <t>Kommuner</t>
        </is>
      </c>
      <c r="G432" t="n">
        <v>1.1</v>
      </c>
      <c r="H432" t="n">
        <v>0</v>
      </c>
      <c r="I432" t="n">
        <v>0</v>
      </c>
      <c r="J432" t="n">
        <v>0</v>
      </c>
      <c r="K432" t="n">
        <v>0</v>
      </c>
      <c r="L432" t="n">
        <v>0</v>
      </c>
      <c r="M432" t="n">
        <v>0</v>
      </c>
      <c r="N432" t="n">
        <v>0</v>
      </c>
      <c r="O432" t="n">
        <v>0</v>
      </c>
      <c r="P432" t="n">
        <v>0</v>
      </c>
      <c r="Q432" t="n">
        <v>0</v>
      </c>
      <c r="R432" s="2" t="inlineStr"/>
    </row>
    <row r="433" ht="15" customHeight="1">
      <c r="A433" t="inlineStr">
        <is>
          <t>A 13767-2022</t>
        </is>
      </c>
      <c r="B433" s="1" t="n">
        <v>44649.47048611111</v>
      </c>
      <c r="C433" s="1" t="n">
        <v>45908</v>
      </c>
      <c r="D433" t="inlineStr">
        <is>
          <t>JÄMTLANDS LÄN</t>
        </is>
      </c>
      <c r="E433" t="inlineStr">
        <is>
          <t>RAGUNDA</t>
        </is>
      </c>
      <c r="F433" t="inlineStr">
        <is>
          <t>Kommuner</t>
        </is>
      </c>
      <c r="G433" t="n">
        <v>3.1</v>
      </c>
      <c r="H433" t="n">
        <v>0</v>
      </c>
      <c r="I433" t="n">
        <v>0</v>
      </c>
      <c r="J433" t="n">
        <v>0</v>
      </c>
      <c r="K433" t="n">
        <v>0</v>
      </c>
      <c r="L433" t="n">
        <v>0</v>
      </c>
      <c r="M433" t="n">
        <v>0</v>
      </c>
      <c r="N433" t="n">
        <v>0</v>
      </c>
      <c r="O433" t="n">
        <v>0</v>
      </c>
      <c r="P433" t="n">
        <v>0</v>
      </c>
      <c r="Q433" t="n">
        <v>0</v>
      </c>
      <c r="R433" s="2" t="inlineStr"/>
    </row>
    <row r="434" ht="15" customHeight="1">
      <c r="A434" t="inlineStr">
        <is>
          <t>A 20653-2025</t>
        </is>
      </c>
      <c r="B434" s="1" t="n">
        <v>45776.40311342593</v>
      </c>
      <c r="C434" s="1" t="n">
        <v>45908</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20722-2025</t>
        </is>
      </c>
      <c r="B435" s="1" t="n">
        <v>45776.50651620371</v>
      </c>
      <c r="C435" s="1" t="n">
        <v>45908</v>
      </c>
      <c r="D435" t="inlineStr">
        <is>
          <t>JÄMTLANDS LÄN</t>
        </is>
      </c>
      <c r="E435" t="inlineStr">
        <is>
          <t>RAGUNDA</t>
        </is>
      </c>
      <c r="F435" t="inlineStr">
        <is>
          <t>Kommuner</t>
        </is>
      </c>
      <c r="G435" t="n">
        <v>0.8</v>
      </c>
      <c r="H435" t="n">
        <v>0</v>
      </c>
      <c r="I435" t="n">
        <v>0</v>
      </c>
      <c r="J435" t="n">
        <v>0</v>
      </c>
      <c r="K435" t="n">
        <v>0</v>
      </c>
      <c r="L435" t="n">
        <v>0</v>
      </c>
      <c r="M435" t="n">
        <v>0</v>
      </c>
      <c r="N435" t="n">
        <v>0</v>
      </c>
      <c r="O435" t="n">
        <v>0</v>
      </c>
      <c r="P435" t="n">
        <v>0</v>
      </c>
      <c r="Q435" t="n">
        <v>0</v>
      </c>
      <c r="R435" s="2" t="inlineStr"/>
    </row>
    <row r="436" ht="15" customHeight="1">
      <c r="A436" t="inlineStr">
        <is>
          <t>A 1308-2025</t>
        </is>
      </c>
      <c r="B436" s="1" t="n">
        <v>45667.55239583334</v>
      </c>
      <c r="C436" s="1" t="n">
        <v>45908</v>
      </c>
      <c r="D436" t="inlineStr">
        <is>
          <t>JÄMTLANDS LÄN</t>
        </is>
      </c>
      <c r="E436" t="inlineStr">
        <is>
          <t>RAGUNDA</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20777-2025</t>
        </is>
      </c>
      <c r="B437" s="1" t="n">
        <v>45776.59422453704</v>
      </c>
      <c r="C437" s="1" t="n">
        <v>45908</v>
      </c>
      <c r="D437" t="inlineStr">
        <is>
          <t>JÄMTLANDS LÄN</t>
        </is>
      </c>
      <c r="E437" t="inlineStr">
        <is>
          <t>RAGUNDA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21150-2025</t>
        </is>
      </c>
      <c r="B438" s="1" t="n">
        <v>45779.34417824074</v>
      </c>
      <c r="C438" s="1" t="n">
        <v>45908</v>
      </c>
      <c r="D438" t="inlineStr">
        <is>
          <t>JÄMTLANDS LÄN</t>
        </is>
      </c>
      <c r="E438" t="inlineStr">
        <is>
          <t>RAGUNDA</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21177-2025</t>
        </is>
      </c>
      <c r="B439" s="1" t="n">
        <v>45779.4281712963</v>
      </c>
      <c r="C439" s="1" t="n">
        <v>45908</v>
      </c>
      <c r="D439" t="inlineStr">
        <is>
          <t>JÄMTLANDS LÄN</t>
        </is>
      </c>
      <c r="E439" t="inlineStr">
        <is>
          <t>RAGUNDA</t>
        </is>
      </c>
      <c r="F439" t="inlineStr">
        <is>
          <t>SCA</t>
        </is>
      </c>
      <c r="G439" t="n">
        <v>16.1</v>
      </c>
      <c r="H439" t="n">
        <v>0</v>
      </c>
      <c r="I439" t="n">
        <v>0</v>
      </c>
      <c r="J439" t="n">
        <v>0</v>
      </c>
      <c r="K439" t="n">
        <v>0</v>
      </c>
      <c r="L439" t="n">
        <v>0</v>
      </c>
      <c r="M439" t="n">
        <v>0</v>
      </c>
      <c r="N439" t="n">
        <v>0</v>
      </c>
      <c r="O439" t="n">
        <v>0</v>
      </c>
      <c r="P439" t="n">
        <v>0</v>
      </c>
      <c r="Q439" t="n">
        <v>0</v>
      </c>
      <c r="R439" s="2" t="inlineStr"/>
    </row>
    <row r="440" ht="15" customHeight="1">
      <c r="A440" t="inlineStr">
        <is>
          <t>A 21214-2025</t>
        </is>
      </c>
      <c r="B440" s="1" t="n">
        <v>45779.49025462963</v>
      </c>
      <c r="C440" s="1" t="n">
        <v>45908</v>
      </c>
      <c r="D440" t="inlineStr">
        <is>
          <t>JÄMTLANDS LÄN</t>
        </is>
      </c>
      <c r="E440" t="inlineStr">
        <is>
          <t>RAGUNDA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11252-2025</t>
        </is>
      </c>
      <c r="B441" s="1" t="n">
        <v>45726.38615740741</v>
      </c>
      <c r="C441" s="1" t="n">
        <v>45908</v>
      </c>
      <c r="D441" t="inlineStr">
        <is>
          <t>JÄMTLANDS LÄN</t>
        </is>
      </c>
      <c r="E441" t="inlineStr">
        <is>
          <t>RAGUNDA</t>
        </is>
      </c>
      <c r="G441" t="n">
        <v>1.9</v>
      </c>
      <c r="H441" t="n">
        <v>0</v>
      </c>
      <c r="I441" t="n">
        <v>0</v>
      </c>
      <c r="J441" t="n">
        <v>0</v>
      </c>
      <c r="K441" t="n">
        <v>0</v>
      </c>
      <c r="L441" t="n">
        <v>0</v>
      </c>
      <c r="M441" t="n">
        <v>0</v>
      </c>
      <c r="N441" t="n">
        <v>0</v>
      </c>
      <c r="O441" t="n">
        <v>0</v>
      </c>
      <c r="P441" t="n">
        <v>0</v>
      </c>
      <c r="Q441" t="n">
        <v>0</v>
      </c>
      <c r="R441" s="2" t="inlineStr"/>
    </row>
    <row r="442" ht="15" customHeight="1">
      <c r="A442" t="inlineStr">
        <is>
          <t>A 11253-2025</t>
        </is>
      </c>
      <c r="B442" s="1" t="n">
        <v>45726.3862037037</v>
      </c>
      <c r="C442" s="1" t="n">
        <v>45908</v>
      </c>
      <c r="D442" t="inlineStr">
        <is>
          <t>JÄMTLANDS LÄN</t>
        </is>
      </c>
      <c r="E442" t="inlineStr">
        <is>
          <t>RAGUNDA</t>
        </is>
      </c>
      <c r="G442" t="n">
        <v>1.5</v>
      </c>
      <c r="H442" t="n">
        <v>0</v>
      </c>
      <c r="I442" t="n">
        <v>0</v>
      </c>
      <c r="J442" t="n">
        <v>0</v>
      </c>
      <c r="K442" t="n">
        <v>0</v>
      </c>
      <c r="L442" t="n">
        <v>0</v>
      </c>
      <c r="M442" t="n">
        <v>0</v>
      </c>
      <c r="N442" t="n">
        <v>0</v>
      </c>
      <c r="O442" t="n">
        <v>0</v>
      </c>
      <c r="P442" t="n">
        <v>0</v>
      </c>
      <c r="Q442" t="n">
        <v>0</v>
      </c>
      <c r="R442" s="2" t="inlineStr"/>
    </row>
    <row r="443" ht="15" customHeight="1">
      <c r="A443" t="inlineStr">
        <is>
          <t>A 22569-2023</t>
        </is>
      </c>
      <c r="B443" s="1" t="n">
        <v>45069</v>
      </c>
      <c r="C443" s="1" t="n">
        <v>45908</v>
      </c>
      <c r="D443" t="inlineStr">
        <is>
          <t>JÄMTLANDS LÄN</t>
        </is>
      </c>
      <c r="E443" t="inlineStr">
        <is>
          <t>RAGUNDA</t>
        </is>
      </c>
      <c r="G443" t="n">
        <v>6.6</v>
      </c>
      <c r="H443" t="n">
        <v>0</v>
      </c>
      <c r="I443" t="n">
        <v>0</v>
      </c>
      <c r="J443" t="n">
        <v>0</v>
      </c>
      <c r="K443" t="n">
        <v>0</v>
      </c>
      <c r="L443" t="n">
        <v>0</v>
      </c>
      <c r="M443" t="n">
        <v>0</v>
      </c>
      <c r="N443" t="n">
        <v>0</v>
      </c>
      <c r="O443" t="n">
        <v>0</v>
      </c>
      <c r="P443" t="n">
        <v>0</v>
      </c>
      <c r="Q443" t="n">
        <v>0</v>
      </c>
      <c r="R443" s="2" t="inlineStr"/>
    </row>
    <row r="444" ht="15" customHeight="1">
      <c r="A444" t="inlineStr">
        <is>
          <t>A 22941-2024</t>
        </is>
      </c>
      <c r="B444" s="1" t="n">
        <v>45448.94520833333</v>
      </c>
      <c r="C444" s="1" t="n">
        <v>45908</v>
      </c>
      <c r="D444" t="inlineStr">
        <is>
          <t>JÄMTLANDS LÄN</t>
        </is>
      </c>
      <c r="E444" t="inlineStr">
        <is>
          <t>RAGUNDA</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21430-2025</t>
        </is>
      </c>
      <c r="B445" s="1" t="n">
        <v>45782.51099537037</v>
      </c>
      <c r="C445" s="1" t="n">
        <v>45908</v>
      </c>
      <c r="D445" t="inlineStr">
        <is>
          <t>JÄMTLANDS LÄN</t>
        </is>
      </c>
      <c r="E445" t="inlineStr">
        <is>
          <t>RAGUNDA</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44881-2023</t>
        </is>
      </c>
      <c r="B446" s="1" t="n">
        <v>45187</v>
      </c>
      <c r="C446" s="1" t="n">
        <v>45908</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11147-2025</t>
        </is>
      </c>
      <c r="B447" s="1" t="n">
        <v>45723.67777777778</v>
      </c>
      <c r="C447" s="1" t="n">
        <v>45908</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21451-2025</t>
        </is>
      </c>
      <c r="B448" s="1" t="n">
        <v>45782.55287037037</v>
      </c>
      <c r="C448" s="1" t="n">
        <v>45908</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21332-2025</t>
        </is>
      </c>
      <c r="B449" s="1" t="n">
        <v>45782.36506944444</v>
      </c>
      <c r="C449" s="1" t="n">
        <v>45908</v>
      </c>
      <c r="D449" t="inlineStr">
        <is>
          <t>JÄMTLANDS LÄN</t>
        </is>
      </c>
      <c r="E449" t="inlineStr">
        <is>
          <t>RAGUNDA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11048-2023</t>
        </is>
      </c>
      <c r="B450" s="1" t="n">
        <v>44991</v>
      </c>
      <c r="C450" s="1" t="n">
        <v>45908</v>
      </c>
      <c r="D450" t="inlineStr">
        <is>
          <t>JÄMTLANDS LÄN</t>
        </is>
      </c>
      <c r="E450" t="inlineStr">
        <is>
          <t>RAGUNDA</t>
        </is>
      </c>
      <c r="F450" t="inlineStr">
        <is>
          <t>SCA</t>
        </is>
      </c>
      <c r="G450" t="n">
        <v>13.5</v>
      </c>
      <c r="H450" t="n">
        <v>0</v>
      </c>
      <c r="I450" t="n">
        <v>0</v>
      </c>
      <c r="J450" t="n">
        <v>0</v>
      </c>
      <c r="K450" t="n">
        <v>0</v>
      </c>
      <c r="L450" t="n">
        <v>0</v>
      </c>
      <c r="M450" t="n">
        <v>0</v>
      </c>
      <c r="N450" t="n">
        <v>0</v>
      </c>
      <c r="O450" t="n">
        <v>0</v>
      </c>
      <c r="P450" t="n">
        <v>0</v>
      </c>
      <c r="Q450" t="n">
        <v>0</v>
      </c>
      <c r="R450" s="2" t="inlineStr"/>
    </row>
    <row r="451" ht="15" customHeight="1">
      <c r="A451" t="inlineStr">
        <is>
          <t>A 11062-2023</t>
        </is>
      </c>
      <c r="B451" s="1" t="n">
        <v>44991</v>
      </c>
      <c r="C451" s="1" t="n">
        <v>45908</v>
      </c>
      <c r="D451" t="inlineStr">
        <is>
          <t>JÄMTLANDS LÄN</t>
        </is>
      </c>
      <c r="E451" t="inlineStr">
        <is>
          <t>RAGUNDA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21432-2025</t>
        </is>
      </c>
      <c r="B452" s="1" t="n">
        <v>45782.51109953703</v>
      </c>
      <c r="C452" s="1" t="n">
        <v>45908</v>
      </c>
      <c r="D452" t="inlineStr">
        <is>
          <t>JÄMTLANDS LÄN</t>
        </is>
      </c>
      <c r="E452" t="inlineStr">
        <is>
          <t>RAGUNDA</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21331-2025</t>
        </is>
      </c>
      <c r="B453" s="1" t="n">
        <v>45782.36494212963</v>
      </c>
      <c r="C453" s="1" t="n">
        <v>45908</v>
      </c>
      <c r="D453" t="inlineStr">
        <is>
          <t>JÄMTLANDS LÄN</t>
        </is>
      </c>
      <c r="E453" t="inlineStr">
        <is>
          <t>RAGUNDA</t>
        </is>
      </c>
      <c r="F453" t="inlineStr">
        <is>
          <t>SCA</t>
        </is>
      </c>
      <c r="G453" t="n">
        <v>23.1</v>
      </c>
      <c r="H453" t="n">
        <v>0</v>
      </c>
      <c r="I453" t="n">
        <v>0</v>
      </c>
      <c r="J453" t="n">
        <v>0</v>
      </c>
      <c r="K453" t="n">
        <v>0</v>
      </c>
      <c r="L453" t="n">
        <v>0</v>
      </c>
      <c r="M453" t="n">
        <v>0</v>
      </c>
      <c r="N453" t="n">
        <v>0</v>
      </c>
      <c r="O453" t="n">
        <v>0</v>
      </c>
      <c r="P453" t="n">
        <v>0</v>
      </c>
      <c r="Q453" t="n">
        <v>0</v>
      </c>
      <c r="R453" s="2" t="inlineStr"/>
    </row>
    <row r="454" ht="15" customHeight="1">
      <c r="A454" t="inlineStr">
        <is>
          <t>A 57064-2024</t>
        </is>
      </c>
      <c r="B454" s="1" t="n">
        <v>45629.35326388889</v>
      </c>
      <c r="C454" s="1" t="n">
        <v>45908</v>
      </c>
      <c r="D454" t="inlineStr">
        <is>
          <t>JÄMTLANDS LÄN</t>
        </is>
      </c>
      <c r="E454" t="inlineStr">
        <is>
          <t>RAGUNDA</t>
        </is>
      </c>
      <c r="F454" t="inlineStr">
        <is>
          <t>Naturvårdsverket</t>
        </is>
      </c>
      <c r="G454" t="n">
        <v>0.5</v>
      </c>
      <c r="H454" t="n">
        <v>0</v>
      </c>
      <c r="I454" t="n">
        <v>0</v>
      </c>
      <c r="J454" t="n">
        <v>0</v>
      </c>
      <c r="K454" t="n">
        <v>0</v>
      </c>
      <c r="L454" t="n">
        <v>0</v>
      </c>
      <c r="M454" t="n">
        <v>0</v>
      </c>
      <c r="N454" t="n">
        <v>0</v>
      </c>
      <c r="O454" t="n">
        <v>0</v>
      </c>
      <c r="P454" t="n">
        <v>0</v>
      </c>
      <c r="Q454" t="n">
        <v>0</v>
      </c>
      <c r="R454" s="2" t="inlineStr"/>
    </row>
    <row r="455" ht="15" customHeight="1">
      <c r="A455" t="inlineStr">
        <is>
          <t>A 9847-2025</t>
        </is>
      </c>
      <c r="B455" s="1" t="n">
        <v>45716.61487268518</v>
      </c>
      <c r="C455" s="1" t="n">
        <v>45908</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21550-2025</t>
        </is>
      </c>
      <c r="B456" s="1" t="n">
        <v>45782.67758101852</v>
      </c>
      <c r="C456" s="1" t="n">
        <v>45908</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55524-2024</t>
        </is>
      </c>
      <c r="B457" s="1" t="n">
        <v>45622.47435185185</v>
      </c>
      <c r="C457" s="1" t="n">
        <v>45908</v>
      </c>
      <c r="D457" t="inlineStr">
        <is>
          <t>JÄMTLANDS LÄN</t>
        </is>
      </c>
      <c r="E457" t="inlineStr">
        <is>
          <t>RAGUNDA</t>
        </is>
      </c>
      <c r="G457" t="n">
        <v>1.4</v>
      </c>
      <c r="H457" t="n">
        <v>0</v>
      </c>
      <c r="I457" t="n">
        <v>0</v>
      </c>
      <c r="J457" t="n">
        <v>0</v>
      </c>
      <c r="K457" t="n">
        <v>0</v>
      </c>
      <c r="L457" t="n">
        <v>0</v>
      </c>
      <c r="M457" t="n">
        <v>0</v>
      </c>
      <c r="N457" t="n">
        <v>0</v>
      </c>
      <c r="O457" t="n">
        <v>0</v>
      </c>
      <c r="P457" t="n">
        <v>0</v>
      </c>
      <c r="Q457" t="n">
        <v>0</v>
      </c>
      <c r="R457" s="2" t="inlineStr"/>
    </row>
    <row r="458" ht="15" customHeight="1">
      <c r="A458" t="inlineStr">
        <is>
          <t>A 28173-2024</t>
        </is>
      </c>
      <c r="B458" s="1" t="n">
        <v>45476.94533564815</v>
      </c>
      <c r="C458" s="1" t="n">
        <v>45908</v>
      </c>
      <c r="D458" t="inlineStr">
        <is>
          <t>JÄMTLANDS LÄN</t>
        </is>
      </c>
      <c r="E458" t="inlineStr">
        <is>
          <t>RAGUNDA</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23734-2024</t>
        </is>
      </c>
      <c r="B459" s="1" t="n">
        <v>45454.95960648148</v>
      </c>
      <c r="C459" s="1" t="n">
        <v>45908</v>
      </c>
      <c r="D459" t="inlineStr">
        <is>
          <t>JÄMTLANDS LÄN</t>
        </is>
      </c>
      <c r="E459" t="inlineStr">
        <is>
          <t>RAGUNDA</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58537-2022</t>
        </is>
      </c>
      <c r="B460" s="1" t="n">
        <v>44894</v>
      </c>
      <c r="C460" s="1" t="n">
        <v>45908</v>
      </c>
      <c r="D460" t="inlineStr">
        <is>
          <t>JÄMTLANDS LÄN</t>
        </is>
      </c>
      <c r="E460" t="inlineStr">
        <is>
          <t>RAGUNDA</t>
        </is>
      </c>
      <c r="G460" t="n">
        <v>1.2</v>
      </c>
      <c r="H460" t="n">
        <v>0</v>
      </c>
      <c r="I460" t="n">
        <v>0</v>
      </c>
      <c r="J460" t="n">
        <v>0</v>
      </c>
      <c r="K460" t="n">
        <v>0</v>
      </c>
      <c r="L460" t="n">
        <v>0</v>
      </c>
      <c r="M460" t="n">
        <v>0</v>
      </c>
      <c r="N460" t="n">
        <v>0</v>
      </c>
      <c r="O460" t="n">
        <v>0</v>
      </c>
      <c r="P460" t="n">
        <v>0</v>
      </c>
      <c r="Q460" t="n">
        <v>0</v>
      </c>
      <c r="R460" s="2" t="inlineStr"/>
    </row>
    <row r="461" ht="15" customHeight="1">
      <c r="A461" t="inlineStr">
        <is>
          <t>A 25332-2023</t>
        </is>
      </c>
      <c r="B461" s="1" t="n">
        <v>45086.94010416666</v>
      </c>
      <c r="C461" s="1" t="n">
        <v>45908</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29920-2024</t>
        </is>
      </c>
      <c r="B462" s="1" t="n">
        <v>45487.92856481481</v>
      </c>
      <c r="C462" s="1" t="n">
        <v>45908</v>
      </c>
      <c r="D462" t="inlineStr">
        <is>
          <t>JÄMTLANDS LÄN</t>
        </is>
      </c>
      <c r="E462" t="inlineStr">
        <is>
          <t>RAGUNDA</t>
        </is>
      </c>
      <c r="G462" t="n">
        <v>3.4</v>
      </c>
      <c r="H462" t="n">
        <v>0</v>
      </c>
      <c r="I462" t="n">
        <v>0</v>
      </c>
      <c r="J462" t="n">
        <v>0</v>
      </c>
      <c r="K462" t="n">
        <v>0</v>
      </c>
      <c r="L462" t="n">
        <v>0</v>
      </c>
      <c r="M462" t="n">
        <v>0</v>
      </c>
      <c r="N462" t="n">
        <v>0</v>
      </c>
      <c r="O462" t="n">
        <v>0</v>
      </c>
      <c r="P462" t="n">
        <v>0</v>
      </c>
      <c r="Q462" t="n">
        <v>0</v>
      </c>
      <c r="R462" s="2" t="inlineStr"/>
    </row>
    <row r="463" ht="15" customHeight="1">
      <c r="A463" t="inlineStr">
        <is>
          <t>A 38425-2022</t>
        </is>
      </c>
      <c r="B463" s="1" t="n">
        <v>44812.94709490741</v>
      </c>
      <c r="C463" s="1" t="n">
        <v>45908</v>
      </c>
      <c r="D463" t="inlineStr">
        <is>
          <t>JÄMTLANDS LÄN</t>
        </is>
      </c>
      <c r="E463" t="inlineStr">
        <is>
          <t>RAGUNDA</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35153-2024</t>
        </is>
      </c>
      <c r="B464" s="1" t="n">
        <v>45530</v>
      </c>
      <c r="C464" s="1" t="n">
        <v>45908</v>
      </c>
      <c r="D464" t="inlineStr">
        <is>
          <t>JÄMTLANDS LÄN</t>
        </is>
      </c>
      <c r="E464" t="inlineStr">
        <is>
          <t>RAGUNDA</t>
        </is>
      </c>
      <c r="G464" t="n">
        <v>2.7</v>
      </c>
      <c r="H464" t="n">
        <v>0</v>
      </c>
      <c r="I464" t="n">
        <v>0</v>
      </c>
      <c r="J464" t="n">
        <v>0</v>
      </c>
      <c r="K464" t="n">
        <v>0</v>
      </c>
      <c r="L464" t="n">
        <v>0</v>
      </c>
      <c r="M464" t="n">
        <v>0</v>
      </c>
      <c r="N464" t="n">
        <v>0</v>
      </c>
      <c r="O464" t="n">
        <v>0</v>
      </c>
      <c r="P464" t="n">
        <v>0</v>
      </c>
      <c r="Q464" t="n">
        <v>0</v>
      </c>
      <c r="R464" s="2" t="inlineStr"/>
    </row>
    <row r="465" ht="15" customHeight="1">
      <c r="A465" t="inlineStr">
        <is>
          <t>A 3767-2025</t>
        </is>
      </c>
      <c r="B465" s="1" t="n">
        <v>45681.60203703704</v>
      </c>
      <c r="C465" s="1" t="n">
        <v>45908</v>
      </c>
      <c r="D465" t="inlineStr">
        <is>
          <t>JÄMTLANDS LÄN</t>
        </is>
      </c>
      <c r="E465" t="inlineStr">
        <is>
          <t>RAGUNDA</t>
        </is>
      </c>
      <c r="G465" t="n">
        <v>4.9</v>
      </c>
      <c r="H465" t="n">
        <v>0</v>
      </c>
      <c r="I465" t="n">
        <v>0</v>
      </c>
      <c r="J465" t="n">
        <v>0</v>
      </c>
      <c r="K465" t="n">
        <v>0</v>
      </c>
      <c r="L465" t="n">
        <v>0</v>
      </c>
      <c r="M465" t="n">
        <v>0</v>
      </c>
      <c r="N465" t="n">
        <v>0</v>
      </c>
      <c r="O465" t="n">
        <v>0</v>
      </c>
      <c r="P465" t="n">
        <v>0</v>
      </c>
      <c r="Q465" t="n">
        <v>0</v>
      </c>
      <c r="R465" s="2" t="inlineStr"/>
    </row>
    <row r="466" ht="15" customHeight="1">
      <c r="A466" t="inlineStr">
        <is>
          <t>A 7280-2024</t>
        </is>
      </c>
      <c r="B466" s="1" t="n">
        <v>45344</v>
      </c>
      <c r="C466" s="1" t="n">
        <v>45908</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36246-2024</t>
        </is>
      </c>
      <c r="B467" s="1" t="n">
        <v>45534</v>
      </c>
      <c r="C467" s="1" t="n">
        <v>45908</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44778-2024</t>
        </is>
      </c>
      <c r="B468" s="1" t="n">
        <v>45574.63355324074</v>
      </c>
      <c r="C468" s="1" t="n">
        <v>45908</v>
      </c>
      <c r="D468" t="inlineStr">
        <is>
          <t>JÄMTLANDS LÄN</t>
        </is>
      </c>
      <c r="E468" t="inlineStr">
        <is>
          <t>RAGUNDA</t>
        </is>
      </c>
      <c r="G468" t="n">
        <v>5.5</v>
      </c>
      <c r="H468" t="n">
        <v>0</v>
      </c>
      <c r="I468" t="n">
        <v>0</v>
      </c>
      <c r="J468" t="n">
        <v>0</v>
      </c>
      <c r="K468" t="n">
        <v>0</v>
      </c>
      <c r="L468" t="n">
        <v>0</v>
      </c>
      <c r="M468" t="n">
        <v>0</v>
      </c>
      <c r="N468" t="n">
        <v>0</v>
      </c>
      <c r="O468" t="n">
        <v>0</v>
      </c>
      <c r="P468" t="n">
        <v>0</v>
      </c>
      <c r="Q468" t="n">
        <v>0</v>
      </c>
      <c r="R468" s="2" t="inlineStr"/>
    </row>
    <row r="469" ht="15" customHeight="1">
      <c r="A469" t="inlineStr">
        <is>
          <t>A 12995-2023</t>
        </is>
      </c>
      <c r="B469" s="1" t="n">
        <v>45002.0328125</v>
      </c>
      <c r="C469" s="1" t="n">
        <v>45908</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44755-2024</t>
        </is>
      </c>
      <c r="B470" s="1" t="n">
        <v>45574.61184027778</v>
      </c>
      <c r="C470" s="1" t="n">
        <v>45908</v>
      </c>
      <c r="D470" t="inlineStr">
        <is>
          <t>JÄMTLANDS LÄN</t>
        </is>
      </c>
      <c r="E470" t="inlineStr">
        <is>
          <t>RAGUNDA</t>
        </is>
      </c>
      <c r="G470" t="n">
        <v>4.4</v>
      </c>
      <c r="H470" t="n">
        <v>0</v>
      </c>
      <c r="I470" t="n">
        <v>0</v>
      </c>
      <c r="J470" t="n">
        <v>0</v>
      </c>
      <c r="K470" t="n">
        <v>0</v>
      </c>
      <c r="L470" t="n">
        <v>0</v>
      </c>
      <c r="M470" t="n">
        <v>0</v>
      </c>
      <c r="N470" t="n">
        <v>0</v>
      </c>
      <c r="O470" t="n">
        <v>0</v>
      </c>
      <c r="P470" t="n">
        <v>0</v>
      </c>
      <c r="Q470" t="n">
        <v>0</v>
      </c>
      <c r="R470" s="2" t="inlineStr"/>
    </row>
    <row r="471" ht="15" customHeight="1">
      <c r="A471" t="inlineStr">
        <is>
          <t>A 44766-2024</t>
        </is>
      </c>
      <c r="B471" s="1" t="n">
        <v>45574.62297453704</v>
      </c>
      <c r="C471" s="1" t="n">
        <v>45908</v>
      </c>
      <c r="D471" t="inlineStr">
        <is>
          <t>JÄMTLANDS LÄN</t>
        </is>
      </c>
      <c r="E471" t="inlineStr">
        <is>
          <t>RAGUNDA</t>
        </is>
      </c>
      <c r="G471" t="n">
        <v>3.2</v>
      </c>
      <c r="H471" t="n">
        <v>0</v>
      </c>
      <c r="I471" t="n">
        <v>0</v>
      </c>
      <c r="J471" t="n">
        <v>0</v>
      </c>
      <c r="K471" t="n">
        <v>0</v>
      </c>
      <c r="L471" t="n">
        <v>0</v>
      </c>
      <c r="M471" t="n">
        <v>0</v>
      </c>
      <c r="N471" t="n">
        <v>0</v>
      </c>
      <c r="O471" t="n">
        <v>0</v>
      </c>
      <c r="P471" t="n">
        <v>0</v>
      </c>
      <c r="Q471" t="n">
        <v>0</v>
      </c>
      <c r="R471" s="2" t="inlineStr"/>
    </row>
    <row r="472" ht="15" customHeight="1">
      <c r="A472" t="inlineStr">
        <is>
          <t>A 2673-2024</t>
        </is>
      </c>
      <c r="B472" s="1" t="n">
        <v>45314</v>
      </c>
      <c r="C472" s="1" t="n">
        <v>45908</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64492-2023</t>
        </is>
      </c>
      <c r="B473" s="1" t="n">
        <v>45280.92645833334</v>
      </c>
      <c r="C473" s="1" t="n">
        <v>45908</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24196-2024</t>
        </is>
      </c>
      <c r="B474" s="1" t="n">
        <v>45456.96569444444</v>
      </c>
      <c r="C474" s="1" t="n">
        <v>45908</v>
      </c>
      <c r="D474" t="inlineStr">
        <is>
          <t>JÄMTLANDS LÄN</t>
        </is>
      </c>
      <c r="E474" t="inlineStr">
        <is>
          <t>RAGUNDA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16676-2022</t>
        </is>
      </c>
      <c r="B475" s="1" t="n">
        <v>44672.94018518519</v>
      </c>
      <c r="C475" s="1" t="n">
        <v>45908</v>
      </c>
      <c r="D475" t="inlineStr">
        <is>
          <t>JÄMTLANDS LÄN</t>
        </is>
      </c>
      <c r="E475" t="inlineStr">
        <is>
          <t>RAGUNDA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11558-2023</t>
        </is>
      </c>
      <c r="B476" s="1" t="n">
        <v>44993.94958333333</v>
      </c>
      <c r="C476" s="1" t="n">
        <v>45908</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14368-2024</t>
        </is>
      </c>
      <c r="B477" s="1" t="n">
        <v>45393.94431712963</v>
      </c>
      <c r="C477" s="1" t="n">
        <v>45908</v>
      </c>
      <c r="D477" t="inlineStr">
        <is>
          <t>JÄMTLANDS LÄN</t>
        </is>
      </c>
      <c r="E477" t="inlineStr">
        <is>
          <t>RAGUNDA</t>
        </is>
      </c>
      <c r="F477" t="inlineStr">
        <is>
          <t>Naturvårdsverket</t>
        </is>
      </c>
      <c r="G477" t="n">
        <v>1.6</v>
      </c>
      <c r="H477" t="n">
        <v>0</v>
      </c>
      <c r="I477" t="n">
        <v>0</v>
      </c>
      <c r="J477" t="n">
        <v>0</v>
      </c>
      <c r="K477" t="n">
        <v>0</v>
      </c>
      <c r="L477" t="n">
        <v>0</v>
      </c>
      <c r="M477" t="n">
        <v>0</v>
      </c>
      <c r="N477" t="n">
        <v>0</v>
      </c>
      <c r="O477" t="n">
        <v>0</v>
      </c>
      <c r="P477" t="n">
        <v>0</v>
      </c>
      <c r="Q477" t="n">
        <v>0</v>
      </c>
      <c r="R477" s="2" t="inlineStr"/>
    </row>
    <row r="478" ht="15" customHeight="1">
      <c r="A478" t="inlineStr">
        <is>
          <t>A 19438-2023</t>
        </is>
      </c>
      <c r="B478" s="1" t="n">
        <v>45049</v>
      </c>
      <c r="C478" s="1" t="n">
        <v>45908</v>
      </c>
      <c r="D478" t="inlineStr">
        <is>
          <t>JÄMTLANDS LÄN</t>
        </is>
      </c>
      <c r="E478" t="inlineStr">
        <is>
          <t>RAGUNDA</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55536-2024</t>
        </is>
      </c>
      <c r="B479" s="1" t="n">
        <v>45622</v>
      </c>
      <c r="C479" s="1" t="n">
        <v>45908</v>
      </c>
      <c r="D479" t="inlineStr">
        <is>
          <t>JÄMTLANDS LÄN</t>
        </is>
      </c>
      <c r="E479" t="inlineStr">
        <is>
          <t>RAGUNDA</t>
        </is>
      </c>
      <c r="G479" t="n">
        <v>0.8</v>
      </c>
      <c r="H479" t="n">
        <v>0</v>
      </c>
      <c r="I479" t="n">
        <v>0</v>
      </c>
      <c r="J479" t="n">
        <v>0</v>
      </c>
      <c r="K479" t="n">
        <v>0</v>
      </c>
      <c r="L479" t="n">
        <v>0</v>
      </c>
      <c r="M479" t="n">
        <v>0</v>
      </c>
      <c r="N479" t="n">
        <v>0</v>
      </c>
      <c r="O479" t="n">
        <v>0</v>
      </c>
      <c r="P479" t="n">
        <v>0</v>
      </c>
      <c r="Q479" t="n">
        <v>0</v>
      </c>
      <c r="R479" s="2" t="inlineStr"/>
    </row>
    <row r="480" ht="15" customHeight="1">
      <c r="A480" t="inlineStr">
        <is>
          <t>A 44630-2023</t>
        </is>
      </c>
      <c r="B480" s="1" t="n">
        <v>45184</v>
      </c>
      <c r="C480" s="1" t="n">
        <v>45908</v>
      </c>
      <c r="D480" t="inlineStr">
        <is>
          <t>JÄMTLANDS LÄN</t>
        </is>
      </c>
      <c r="E480" t="inlineStr">
        <is>
          <t>RAGUNDA</t>
        </is>
      </c>
      <c r="G480" t="n">
        <v>3.4</v>
      </c>
      <c r="H480" t="n">
        <v>0</v>
      </c>
      <c r="I480" t="n">
        <v>0</v>
      </c>
      <c r="J480" t="n">
        <v>0</v>
      </c>
      <c r="K480" t="n">
        <v>0</v>
      </c>
      <c r="L480" t="n">
        <v>0</v>
      </c>
      <c r="M480" t="n">
        <v>0</v>
      </c>
      <c r="N480" t="n">
        <v>0</v>
      </c>
      <c r="O480" t="n">
        <v>0</v>
      </c>
      <c r="P480" t="n">
        <v>0</v>
      </c>
      <c r="Q480" t="n">
        <v>0</v>
      </c>
      <c r="R480" s="2" t="inlineStr"/>
    </row>
    <row r="481" ht="15" customHeight="1">
      <c r="A481" t="inlineStr">
        <is>
          <t>A 44597-2024</t>
        </is>
      </c>
      <c r="B481" s="1" t="n">
        <v>45574.51087962963</v>
      </c>
      <c r="C481" s="1" t="n">
        <v>45908</v>
      </c>
      <c r="D481" t="inlineStr">
        <is>
          <t>JÄMTLANDS LÄN</t>
        </is>
      </c>
      <c r="E481" t="inlineStr">
        <is>
          <t>RAGUNDA</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44598-2024</t>
        </is>
      </c>
      <c r="B482" s="1" t="n">
        <v>45574.51090277778</v>
      </c>
      <c r="C482" s="1" t="n">
        <v>45908</v>
      </c>
      <c r="D482" t="inlineStr">
        <is>
          <t>JÄMTLANDS LÄN</t>
        </is>
      </c>
      <c r="E482" t="inlineStr">
        <is>
          <t>RAGUNDA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12783-2023</t>
        </is>
      </c>
      <c r="B483" s="1" t="n">
        <v>45000</v>
      </c>
      <c r="C483" s="1" t="n">
        <v>45908</v>
      </c>
      <c r="D483" t="inlineStr">
        <is>
          <t>JÄMTLANDS LÄN</t>
        </is>
      </c>
      <c r="E483" t="inlineStr">
        <is>
          <t>RAGUNDA</t>
        </is>
      </c>
      <c r="G483" t="n">
        <v>0.9</v>
      </c>
      <c r="H483" t="n">
        <v>0</v>
      </c>
      <c r="I483" t="n">
        <v>0</v>
      </c>
      <c r="J483" t="n">
        <v>0</v>
      </c>
      <c r="K483" t="n">
        <v>0</v>
      </c>
      <c r="L483" t="n">
        <v>0</v>
      </c>
      <c r="M483" t="n">
        <v>0</v>
      </c>
      <c r="N483" t="n">
        <v>0</v>
      </c>
      <c r="O483" t="n">
        <v>0</v>
      </c>
      <c r="P483" t="n">
        <v>0</v>
      </c>
      <c r="Q483" t="n">
        <v>0</v>
      </c>
      <c r="R483" s="2" t="inlineStr"/>
    </row>
    <row r="484" ht="15" customHeight="1">
      <c r="A484" t="inlineStr">
        <is>
          <t>A 53171-2024</t>
        </is>
      </c>
      <c r="B484" s="1" t="n">
        <v>45611.65679398148</v>
      </c>
      <c r="C484" s="1" t="n">
        <v>45908</v>
      </c>
      <c r="D484" t="inlineStr">
        <is>
          <t>JÄMTLANDS LÄN</t>
        </is>
      </c>
      <c r="E484" t="inlineStr">
        <is>
          <t>RAGUNDA</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7279-2024</t>
        </is>
      </c>
      <c r="B485" s="1" t="n">
        <v>45344.92822916667</v>
      </c>
      <c r="C485" s="1" t="n">
        <v>45908</v>
      </c>
      <c r="D485" t="inlineStr">
        <is>
          <t>JÄMTLANDS LÄN</t>
        </is>
      </c>
      <c r="E485" t="inlineStr">
        <is>
          <t>RAGUNDA</t>
        </is>
      </c>
      <c r="G485" t="n">
        <v>2.1</v>
      </c>
      <c r="H485" t="n">
        <v>0</v>
      </c>
      <c r="I485" t="n">
        <v>0</v>
      </c>
      <c r="J485" t="n">
        <v>0</v>
      </c>
      <c r="K485" t="n">
        <v>0</v>
      </c>
      <c r="L485" t="n">
        <v>0</v>
      </c>
      <c r="M485" t="n">
        <v>0</v>
      </c>
      <c r="N485" t="n">
        <v>0</v>
      </c>
      <c r="O485" t="n">
        <v>0</v>
      </c>
      <c r="P485" t="n">
        <v>0</v>
      </c>
      <c r="Q485" t="n">
        <v>0</v>
      </c>
      <c r="R485" s="2" t="inlineStr"/>
    </row>
    <row r="486" ht="15" customHeight="1">
      <c r="A486" t="inlineStr">
        <is>
          <t>A 14156-2024</t>
        </is>
      </c>
      <c r="B486" s="1" t="n">
        <v>45392</v>
      </c>
      <c r="C486" s="1" t="n">
        <v>45908</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14157-2024</t>
        </is>
      </c>
      <c r="B487" s="1" t="n">
        <v>45392.92903935185</v>
      </c>
      <c r="C487" s="1" t="n">
        <v>45908</v>
      </c>
      <c r="D487" t="inlineStr">
        <is>
          <t>JÄMTLANDS LÄN</t>
        </is>
      </c>
      <c r="E487" t="inlineStr">
        <is>
          <t>RAGUNDA</t>
        </is>
      </c>
      <c r="G487" t="n">
        <v>1.7</v>
      </c>
      <c r="H487" t="n">
        <v>0</v>
      </c>
      <c r="I487" t="n">
        <v>0</v>
      </c>
      <c r="J487" t="n">
        <v>0</v>
      </c>
      <c r="K487" t="n">
        <v>0</v>
      </c>
      <c r="L487" t="n">
        <v>0</v>
      </c>
      <c r="M487" t="n">
        <v>0</v>
      </c>
      <c r="N487" t="n">
        <v>0</v>
      </c>
      <c r="O487" t="n">
        <v>0</v>
      </c>
      <c r="P487" t="n">
        <v>0</v>
      </c>
      <c r="Q487" t="n">
        <v>0</v>
      </c>
      <c r="R487" s="2" t="inlineStr"/>
    </row>
    <row r="488" ht="15" customHeight="1">
      <c r="A488" t="inlineStr">
        <is>
          <t>A 57889-2024</t>
        </is>
      </c>
      <c r="B488" s="1" t="n">
        <v>45631.46665509259</v>
      </c>
      <c r="C488" s="1" t="n">
        <v>45908</v>
      </c>
      <c r="D488" t="inlineStr">
        <is>
          <t>JÄMTLANDS LÄN</t>
        </is>
      </c>
      <c r="E488" t="inlineStr">
        <is>
          <t>RAGUNDA</t>
        </is>
      </c>
      <c r="G488" t="n">
        <v>11.1</v>
      </c>
      <c r="H488" t="n">
        <v>0</v>
      </c>
      <c r="I488" t="n">
        <v>0</v>
      </c>
      <c r="J488" t="n">
        <v>0</v>
      </c>
      <c r="K488" t="n">
        <v>0</v>
      </c>
      <c r="L488" t="n">
        <v>0</v>
      </c>
      <c r="M488" t="n">
        <v>0</v>
      </c>
      <c r="N488" t="n">
        <v>0</v>
      </c>
      <c r="O488" t="n">
        <v>0</v>
      </c>
      <c r="P488" t="n">
        <v>0</v>
      </c>
      <c r="Q488" t="n">
        <v>0</v>
      </c>
      <c r="R488" s="2" t="inlineStr"/>
    </row>
    <row r="489" ht="15" customHeight="1">
      <c r="A489" t="inlineStr">
        <is>
          <t>A 18610-2024</t>
        </is>
      </c>
      <c r="B489" s="1" t="n">
        <v>45425.96230324074</v>
      </c>
      <c r="C489" s="1" t="n">
        <v>45908</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57116-2024</t>
        </is>
      </c>
      <c r="B490" s="1" t="n">
        <v>45629.36513888889</v>
      </c>
      <c r="C490" s="1" t="n">
        <v>45908</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3104-2025</t>
        </is>
      </c>
      <c r="B491" s="1" t="n">
        <v>45678.67761574074</v>
      </c>
      <c r="C491" s="1" t="n">
        <v>45908</v>
      </c>
      <c r="D491" t="inlineStr">
        <is>
          <t>JÄMTLANDS LÄN</t>
        </is>
      </c>
      <c r="E491" t="inlineStr">
        <is>
          <t>RAGUNDA</t>
        </is>
      </c>
      <c r="F491" t="inlineStr">
        <is>
          <t>SCA</t>
        </is>
      </c>
      <c r="G491" t="n">
        <v>46.2</v>
      </c>
      <c r="H491" t="n">
        <v>0</v>
      </c>
      <c r="I491" t="n">
        <v>0</v>
      </c>
      <c r="J491" t="n">
        <v>0</v>
      </c>
      <c r="K491" t="n">
        <v>0</v>
      </c>
      <c r="L491" t="n">
        <v>0</v>
      </c>
      <c r="M491" t="n">
        <v>0</v>
      </c>
      <c r="N491" t="n">
        <v>0</v>
      </c>
      <c r="O491" t="n">
        <v>0</v>
      </c>
      <c r="P491" t="n">
        <v>0</v>
      </c>
      <c r="Q491" t="n">
        <v>0</v>
      </c>
      <c r="R491" s="2" t="inlineStr"/>
    </row>
    <row r="492" ht="15" customHeight="1">
      <c r="A492" t="inlineStr">
        <is>
          <t>A 60629-2023</t>
        </is>
      </c>
      <c r="B492" s="1" t="n">
        <v>45259</v>
      </c>
      <c r="C492" s="1" t="n">
        <v>45908</v>
      </c>
      <c r="D492" t="inlineStr">
        <is>
          <t>JÄMTLANDS LÄN</t>
        </is>
      </c>
      <c r="E492" t="inlineStr">
        <is>
          <t>RAGUNDA</t>
        </is>
      </c>
      <c r="G492" t="n">
        <v>3.4</v>
      </c>
      <c r="H492" t="n">
        <v>0</v>
      </c>
      <c r="I492" t="n">
        <v>0</v>
      </c>
      <c r="J492" t="n">
        <v>0</v>
      </c>
      <c r="K492" t="n">
        <v>0</v>
      </c>
      <c r="L492" t="n">
        <v>0</v>
      </c>
      <c r="M492" t="n">
        <v>0</v>
      </c>
      <c r="N492" t="n">
        <v>0</v>
      </c>
      <c r="O492" t="n">
        <v>0</v>
      </c>
      <c r="P492" t="n">
        <v>0</v>
      </c>
      <c r="Q492" t="n">
        <v>0</v>
      </c>
      <c r="R492" s="2" t="inlineStr"/>
    </row>
    <row r="493" ht="15" customHeight="1">
      <c r="A493" t="inlineStr">
        <is>
          <t>A 40246-2024</t>
        </is>
      </c>
      <c r="B493" s="1" t="n">
        <v>45554.61583333334</v>
      </c>
      <c r="C493" s="1" t="n">
        <v>45908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54599-2023</t>
        </is>
      </c>
      <c r="B494" s="1" t="n">
        <v>45233.92591435185</v>
      </c>
      <c r="C494" s="1" t="n">
        <v>45908</v>
      </c>
      <c r="D494" t="inlineStr">
        <is>
          <t>JÄMTLANDS LÄN</t>
        </is>
      </c>
      <c r="E494" t="inlineStr">
        <is>
          <t>RAGUNDA</t>
        </is>
      </c>
      <c r="G494" t="n">
        <v>3.7</v>
      </c>
      <c r="H494" t="n">
        <v>0</v>
      </c>
      <c r="I494" t="n">
        <v>0</v>
      </c>
      <c r="J494" t="n">
        <v>0</v>
      </c>
      <c r="K494" t="n">
        <v>0</v>
      </c>
      <c r="L494" t="n">
        <v>0</v>
      </c>
      <c r="M494" t="n">
        <v>0</v>
      </c>
      <c r="N494" t="n">
        <v>0</v>
      </c>
      <c r="O494" t="n">
        <v>0</v>
      </c>
      <c r="P494" t="n">
        <v>0</v>
      </c>
      <c r="Q494" t="n">
        <v>0</v>
      </c>
      <c r="R494" s="2" t="inlineStr"/>
    </row>
    <row r="495" ht="15" customHeight="1">
      <c r="A495" t="inlineStr">
        <is>
          <t>A 44066-2024</t>
        </is>
      </c>
      <c r="B495" s="1" t="n">
        <v>45572.60363425926</v>
      </c>
      <c r="C495" s="1" t="n">
        <v>45908</v>
      </c>
      <c r="D495" t="inlineStr">
        <is>
          <t>JÄMTLANDS LÄN</t>
        </is>
      </c>
      <c r="E495" t="inlineStr">
        <is>
          <t>RAGUNDA</t>
        </is>
      </c>
      <c r="G495" t="n">
        <v>6.4</v>
      </c>
      <c r="H495" t="n">
        <v>0</v>
      </c>
      <c r="I495" t="n">
        <v>0</v>
      </c>
      <c r="J495" t="n">
        <v>0</v>
      </c>
      <c r="K495" t="n">
        <v>0</v>
      </c>
      <c r="L495" t="n">
        <v>0</v>
      </c>
      <c r="M495" t="n">
        <v>0</v>
      </c>
      <c r="N495" t="n">
        <v>0</v>
      </c>
      <c r="O495" t="n">
        <v>0</v>
      </c>
      <c r="P495" t="n">
        <v>0</v>
      </c>
      <c r="Q495" t="n">
        <v>0</v>
      </c>
      <c r="R495" s="2" t="inlineStr"/>
    </row>
    <row r="496" ht="15" customHeight="1">
      <c r="A496" t="inlineStr">
        <is>
          <t>A 4878-2022</t>
        </is>
      </c>
      <c r="B496" s="1" t="n">
        <v>44593</v>
      </c>
      <c r="C496" s="1" t="n">
        <v>45908</v>
      </c>
      <c r="D496" t="inlineStr">
        <is>
          <t>JÄMTLANDS LÄN</t>
        </is>
      </c>
      <c r="E496" t="inlineStr">
        <is>
          <t>RAGUNDA</t>
        </is>
      </c>
      <c r="G496" t="n">
        <v>21.7</v>
      </c>
      <c r="H496" t="n">
        <v>0</v>
      </c>
      <c r="I496" t="n">
        <v>0</v>
      </c>
      <c r="J496" t="n">
        <v>0</v>
      </c>
      <c r="K496" t="n">
        <v>0</v>
      </c>
      <c r="L496" t="n">
        <v>0</v>
      </c>
      <c r="M496" t="n">
        <v>0</v>
      </c>
      <c r="N496" t="n">
        <v>0</v>
      </c>
      <c r="O496" t="n">
        <v>0</v>
      </c>
      <c r="P496" t="n">
        <v>0</v>
      </c>
      <c r="Q496" t="n">
        <v>0</v>
      </c>
      <c r="R496" s="2" t="inlineStr"/>
    </row>
    <row r="497" ht="15" customHeight="1">
      <c r="A497" t="inlineStr">
        <is>
          <t>A 57237-2022</t>
        </is>
      </c>
      <c r="B497" s="1" t="n">
        <v>44889</v>
      </c>
      <c r="C497" s="1" t="n">
        <v>45908</v>
      </c>
      <c r="D497" t="inlineStr">
        <is>
          <t>JÄMTLANDS LÄN</t>
        </is>
      </c>
      <c r="E497" t="inlineStr">
        <is>
          <t>RAGUNDA</t>
        </is>
      </c>
      <c r="G497" t="n">
        <v>2.2</v>
      </c>
      <c r="H497" t="n">
        <v>0</v>
      </c>
      <c r="I497" t="n">
        <v>0</v>
      </c>
      <c r="J497" t="n">
        <v>0</v>
      </c>
      <c r="K497" t="n">
        <v>0</v>
      </c>
      <c r="L497" t="n">
        <v>0</v>
      </c>
      <c r="M497" t="n">
        <v>0</v>
      </c>
      <c r="N497" t="n">
        <v>0</v>
      </c>
      <c r="O497" t="n">
        <v>0</v>
      </c>
      <c r="P497" t="n">
        <v>0</v>
      </c>
      <c r="Q497" t="n">
        <v>0</v>
      </c>
      <c r="R497" s="2" t="inlineStr"/>
    </row>
    <row r="498" ht="15" customHeight="1">
      <c r="A498" t="inlineStr">
        <is>
          <t>A 22388-2025</t>
        </is>
      </c>
      <c r="B498" s="1" t="n">
        <v>45786.51077546296</v>
      </c>
      <c r="C498" s="1" t="n">
        <v>45908</v>
      </c>
      <c r="D498" t="inlineStr">
        <is>
          <t>JÄMTLANDS LÄN</t>
        </is>
      </c>
      <c r="E498" t="inlineStr">
        <is>
          <t>RAGUNDA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12660-2024</t>
        </is>
      </c>
      <c r="B499" s="1" t="n">
        <v>45384</v>
      </c>
      <c r="C499" s="1" t="n">
        <v>45908</v>
      </c>
      <c r="D499" t="inlineStr">
        <is>
          <t>JÄMTLANDS LÄN</t>
        </is>
      </c>
      <c r="E499" t="inlineStr">
        <is>
          <t>RAGUNDA</t>
        </is>
      </c>
      <c r="G499" t="n">
        <v>1.3</v>
      </c>
      <c r="H499" t="n">
        <v>0</v>
      </c>
      <c r="I499" t="n">
        <v>0</v>
      </c>
      <c r="J499" t="n">
        <v>0</v>
      </c>
      <c r="K499" t="n">
        <v>0</v>
      </c>
      <c r="L499" t="n">
        <v>0</v>
      </c>
      <c r="M499" t="n">
        <v>0</v>
      </c>
      <c r="N499" t="n">
        <v>0</v>
      </c>
      <c r="O499" t="n">
        <v>0</v>
      </c>
      <c r="P499" t="n">
        <v>0</v>
      </c>
      <c r="Q499" t="n">
        <v>0</v>
      </c>
      <c r="R499" s="2" t="inlineStr"/>
    </row>
    <row r="500" ht="15" customHeight="1">
      <c r="A500" t="inlineStr">
        <is>
          <t>A 55649-2023</t>
        </is>
      </c>
      <c r="B500" s="1" t="n">
        <v>45238</v>
      </c>
      <c r="C500" s="1" t="n">
        <v>45908</v>
      </c>
      <c r="D500" t="inlineStr">
        <is>
          <t>JÄMTLANDS LÄN</t>
        </is>
      </c>
      <c r="E500" t="inlineStr">
        <is>
          <t>RAGUNDA</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2133-2023</t>
        </is>
      </c>
      <c r="B501" s="1" t="n">
        <v>44939</v>
      </c>
      <c r="C501" s="1" t="n">
        <v>45908</v>
      </c>
      <c r="D501" t="inlineStr">
        <is>
          <t>JÄMTLANDS LÄN</t>
        </is>
      </c>
      <c r="E501" t="inlineStr">
        <is>
          <t>RAGUNDA</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19419-2024</t>
        </is>
      </c>
      <c r="B502" s="1" t="n">
        <v>45429</v>
      </c>
      <c r="C502" s="1" t="n">
        <v>45908</v>
      </c>
      <c r="D502" t="inlineStr">
        <is>
          <t>JÄMTLANDS LÄN</t>
        </is>
      </c>
      <c r="E502" t="inlineStr">
        <is>
          <t>RAGUNDA</t>
        </is>
      </c>
      <c r="G502" t="n">
        <v>3.5</v>
      </c>
      <c r="H502" t="n">
        <v>0</v>
      </c>
      <c r="I502" t="n">
        <v>0</v>
      </c>
      <c r="J502" t="n">
        <v>0</v>
      </c>
      <c r="K502" t="n">
        <v>0</v>
      </c>
      <c r="L502" t="n">
        <v>0</v>
      </c>
      <c r="M502" t="n">
        <v>0</v>
      </c>
      <c r="N502" t="n">
        <v>0</v>
      </c>
      <c r="O502" t="n">
        <v>0</v>
      </c>
      <c r="P502" t="n">
        <v>0</v>
      </c>
      <c r="Q502" t="n">
        <v>0</v>
      </c>
      <c r="R502" s="2" t="inlineStr"/>
    </row>
    <row r="503" ht="15" customHeight="1">
      <c r="A503" t="inlineStr">
        <is>
          <t>A 20088-2023</t>
        </is>
      </c>
      <c r="B503" s="1" t="n">
        <v>45054</v>
      </c>
      <c r="C503" s="1" t="n">
        <v>45908</v>
      </c>
      <c r="D503" t="inlineStr">
        <is>
          <t>JÄMTLANDS LÄN</t>
        </is>
      </c>
      <c r="E503" t="inlineStr">
        <is>
          <t>RAGUNDA</t>
        </is>
      </c>
      <c r="F503" t="inlineStr">
        <is>
          <t>SCA</t>
        </is>
      </c>
      <c r="G503" t="n">
        <v>23.4</v>
      </c>
      <c r="H503" t="n">
        <v>0</v>
      </c>
      <c r="I503" t="n">
        <v>0</v>
      </c>
      <c r="J503" t="n">
        <v>0</v>
      </c>
      <c r="K503" t="n">
        <v>0</v>
      </c>
      <c r="L503" t="n">
        <v>0</v>
      </c>
      <c r="M503" t="n">
        <v>0</v>
      </c>
      <c r="N503" t="n">
        <v>0</v>
      </c>
      <c r="O503" t="n">
        <v>0</v>
      </c>
      <c r="P503" t="n">
        <v>0</v>
      </c>
      <c r="Q503" t="n">
        <v>0</v>
      </c>
      <c r="R503" s="2" t="inlineStr"/>
    </row>
    <row r="504" ht="15" customHeight="1">
      <c r="A504" t="inlineStr">
        <is>
          <t>A 52345-2024</t>
        </is>
      </c>
      <c r="B504" s="1" t="n">
        <v>45609.34412037037</v>
      </c>
      <c r="C504" s="1" t="n">
        <v>45908</v>
      </c>
      <c r="D504" t="inlineStr">
        <is>
          <t>JÄMTLANDS LÄN</t>
        </is>
      </c>
      <c r="E504" t="inlineStr">
        <is>
          <t>RAGUNDA</t>
        </is>
      </c>
      <c r="F504" t="inlineStr">
        <is>
          <t>SCA</t>
        </is>
      </c>
      <c r="G504" t="n">
        <v>10.3</v>
      </c>
      <c r="H504" t="n">
        <v>0</v>
      </c>
      <c r="I504" t="n">
        <v>0</v>
      </c>
      <c r="J504" t="n">
        <v>0</v>
      </c>
      <c r="K504" t="n">
        <v>0</v>
      </c>
      <c r="L504" t="n">
        <v>0</v>
      </c>
      <c r="M504" t="n">
        <v>0</v>
      </c>
      <c r="N504" t="n">
        <v>0</v>
      </c>
      <c r="O504" t="n">
        <v>0</v>
      </c>
      <c r="P504" t="n">
        <v>0</v>
      </c>
      <c r="Q504" t="n">
        <v>0</v>
      </c>
      <c r="R504" s="2" t="inlineStr"/>
    </row>
    <row r="505" ht="15" customHeight="1">
      <c r="A505" t="inlineStr">
        <is>
          <t>A 12521-2023</t>
        </is>
      </c>
      <c r="B505" s="1" t="n">
        <v>45000</v>
      </c>
      <c r="C505" s="1" t="n">
        <v>45908</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19383-2025</t>
        </is>
      </c>
      <c r="B506" s="1" t="n">
        <v>45769.65688657408</v>
      </c>
      <c r="C506" s="1" t="n">
        <v>45908</v>
      </c>
      <c r="D506" t="inlineStr">
        <is>
          <t>JÄMTLANDS LÄN</t>
        </is>
      </c>
      <c r="E506" t="inlineStr">
        <is>
          <t>RAGUNDA</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49229-2024</t>
        </is>
      </c>
      <c r="B507" s="1" t="n">
        <v>45595.42738425926</v>
      </c>
      <c r="C507" s="1" t="n">
        <v>45908</v>
      </c>
      <c r="D507" t="inlineStr">
        <is>
          <t>JÄMTLANDS LÄN</t>
        </is>
      </c>
      <c r="E507" t="inlineStr">
        <is>
          <t>RAGUNDA</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13700-2023</t>
        </is>
      </c>
      <c r="B508" s="1" t="n">
        <v>45006</v>
      </c>
      <c r="C508" s="1" t="n">
        <v>45908</v>
      </c>
      <c r="D508" t="inlineStr">
        <is>
          <t>JÄMTLANDS LÄN</t>
        </is>
      </c>
      <c r="E508" t="inlineStr">
        <is>
          <t>RAGUNDA</t>
        </is>
      </c>
      <c r="F508" t="inlineStr">
        <is>
          <t>SCA</t>
        </is>
      </c>
      <c r="G508" t="n">
        <v>50.3</v>
      </c>
      <c r="H508" t="n">
        <v>0</v>
      </c>
      <c r="I508" t="n">
        <v>0</v>
      </c>
      <c r="J508" t="n">
        <v>0</v>
      </c>
      <c r="K508" t="n">
        <v>0</v>
      </c>
      <c r="L508" t="n">
        <v>0</v>
      </c>
      <c r="M508" t="n">
        <v>0</v>
      </c>
      <c r="N508" t="n">
        <v>0</v>
      </c>
      <c r="O508" t="n">
        <v>0</v>
      </c>
      <c r="P508" t="n">
        <v>0</v>
      </c>
      <c r="Q508" t="n">
        <v>0</v>
      </c>
      <c r="R508" s="2" t="inlineStr"/>
    </row>
    <row r="509" ht="15" customHeight="1">
      <c r="A509" t="inlineStr">
        <is>
          <t>A 51389-2024</t>
        </is>
      </c>
      <c r="B509" s="1" t="n">
        <v>45604.40540509259</v>
      </c>
      <c r="C509" s="1" t="n">
        <v>45908</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51393-2024</t>
        </is>
      </c>
      <c r="B510" s="1" t="n">
        <v>45604.41625</v>
      </c>
      <c r="C510" s="1" t="n">
        <v>45908</v>
      </c>
      <c r="D510" t="inlineStr">
        <is>
          <t>JÄMTLANDS LÄN</t>
        </is>
      </c>
      <c r="E510" t="inlineStr">
        <is>
          <t>RAGUNDA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29319-2023</t>
        </is>
      </c>
      <c r="B511" s="1" t="n">
        <v>45105</v>
      </c>
      <c r="C511" s="1" t="n">
        <v>45908</v>
      </c>
      <c r="D511" t="inlineStr">
        <is>
          <t>JÄMTLANDS LÄN</t>
        </is>
      </c>
      <c r="E511" t="inlineStr">
        <is>
          <t>RAGUNDA</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22898-2025</t>
        </is>
      </c>
      <c r="B512" s="1" t="n">
        <v>45790.40670138889</v>
      </c>
      <c r="C512" s="1" t="n">
        <v>45908</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18612-2024</t>
        </is>
      </c>
      <c r="B513" s="1" t="n">
        <v>45425.96239583333</v>
      </c>
      <c r="C513" s="1" t="n">
        <v>45908</v>
      </c>
      <c r="D513" t="inlineStr">
        <is>
          <t>JÄMTLANDS LÄN</t>
        </is>
      </c>
      <c r="E513" t="inlineStr">
        <is>
          <t>RAGUNDA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464-2023</t>
        </is>
      </c>
      <c r="B514" s="1" t="n">
        <v>44929.92489583333</v>
      </c>
      <c r="C514" s="1" t="n">
        <v>45908</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53769-2023</t>
        </is>
      </c>
      <c r="B515" s="1" t="n">
        <v>45230</v>
      </c>
      <c r="C515" s="1" t="n">
        <v>45908</v>
      </c>
      <c r="D515" t="inlineStr">
        <is>
          <t>JÄMTLANDS LÄN</t>
        </is>
      </c>
      <c r="E515" t="inlineStr">
        <is>
          <t>RAGUNDA</t>
        </is>
      </c>
      <c r="F515" t="inlineStr">
        <is>
          <t>SCA</t>
        </is>
      </c>
      <c r="G515" t="n">
        <v>11.6</v>
      </c>
      <c r="H515" t="n">
        <v>0</v>
      </c>
      <c r="I515" t="n">
        <v>0</v>
      </c>
      <c r="J515" t="n">
        <v>0</v>
      </c>
      <c r="K515" t="n">
        <v>0</v>
      </c>
      <c r="L515" t="n">
        <v>0</v>
      </c>
      <c r="M515" t="n">
        <v>0</v>
      </c>
      <c r="N515" t="n">
        <v>0</v>
      </c>
      <c r="O515" t="n">
        <v>0</v>
      </c>
      <c r="P515" t="n">
        <v>0</v>
      </c>
      <c r="Q515" t="n">
        <v>0</v>
      </c>
      <c r="R515" s="2" t="inlineStr"/>
    </row>
    <row r="516" ht="15" customHeight="1">
      <c r="A516" t="inlineStr">
        <is>
          <t>A 23253-2025</t>
        </is>
      </c>
      <c r="B516" s="1" t="n">
        <v>45791.53238425926</v>
      </c>
      <c r="C516" s="1" t="n">
        <v>45908</v>
      </c>
      <c r="D516" t="inlineStr">
        <is>
          <t>JÄMTLANDS LÄN</t>
        </is>
      </c>
      <c r="E516" t="inlineStr">
        <is>
          <t>RAGUNDA</t>
        </is>
      </c>
      <c r="G516" t="n">
        <v>0.7</v>
      </c>
      <c r="H516" t="n">
        <v>0</v>
      </c>
      <c r="I516" t="n">
        <v>0</v>
      </c>
      <c r="J516" t="n">
        <v>0</v>
      </c>
      <c r="K516" t="n">
        <v>0</v>
      </c>
      <c r="L516" t="n">
        <v>0</v>
      </c>
      <c r="M516" t="n">
        <v>0</v>
      </c>
      <c r="N516" t="n">
        <v>0</v>
      </c>
      <c r="O516" t="n">
        <v>0</v>
      </c>
      <c r="P516" t="n">
        <v>0</v>
      </c>
      <c r="Q516" t="n">
        <v>0</v>
      </c>
      <c r="R516" s="2" t="inlineStr"/>
    </row>
    <row r="517" ht="15" customHeight="1">
      <c r="A517" t="inlineStr">
        <is>
          <t>A 52228-2024</t>
        </is>
      </c>
      <c r="B517" s="1" t="n">
        <v>45608.6078587963</v>
      </c>
      <c r="C517" s="1" t="n">
        <v>45908</v>
      </c>
      <c r="D517" t="inlineStr">
        <is>
          <t>JÄMTLANDS LÄN</t>
        </is>
      </c>
      <c r="E517" t="inlineStr">
        <is>
          <t>RAGUNDA</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23413-2025</t>
        </is>
      </c>
      <c r="B518" s="1" t="n">
        <v>45792.34606481482</v>
      </c>
      <c r="C518" s="1" t="n">
        <v>45908</v>
      </c>
      <c r="D518" t="inlineStr">
        <is>
          <t>JÄMTLANDS LÄN</t>
        </is>
      </c>
      <c r="E518" t="inlineStr">
        <is>
          <t>RAGUNDA</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23586-2025</t>
        </is>
      </c>
      <c r="B519" s="1" t="n">
        <v>45792.63584490741</v>
      </c>
      <c r="C519" s="1" t="n">
        <v>45908</v>
      </c>
      <c r="D519" t="inlineStr">
        <is>
          <t>JÄMTLANDS LÄN</t>
        </is>
      </c>
      <c r="E519" t="inlineStr">
        <is>
          <t>RAGUNDA</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23841-2025</t>
        </is>
      </c>
      <c r="B520" s="1" t="n">
        <v>45793.61523148148</v>
      </c>
      <c r="C520" s="1" t="n">
        <v>45908</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20987-2023</t>
        </is>
      </c>
      <c r="B521" s="1" t="n">
        <v>45056</v>
      </c>
      <c r="C521" s="1" t="n">
        <v>45908</v>
      </c>
      <c r="D521" t="inlineStr">
        <is>
          <t>JÄMTLANDS LÄN</t>
        </is>
      </c>
      <c r="E521" t="inlineStr">
        <is>
          <t>RAGUNDA</t>
        </is>
      </c>
      <c r="G521" t="n">
        <v>1.1</v>
      </c>
      <c r="H521" t="n">
        <v>0</v>
      </c>
      <c r="I521" t="n">
        <v>0</v>
      </c>
      <c r="J521" t="n">
        <v>0</v>
      </c>
      <c r="K521" t="n">
        <v>0</v>
      </c>
      <c r="L521" t="n">
        <v>0</v>
      </c>
      <c r="M521" t="n">
        <v>0</v>
      </c>
      <c r="N521" t="n">
        <v>0</v>
      </c>
      <c r="O521" t="n">
        <v>0</v>
      </c>
      <c r="P521" t="n">
        <v>0</v>
      </c>
      <c r="Q521" t="n">
        <v>0</v>
      </c>
      <c r="R521" s="2" t="inlineStr"/>
    </row>
    <row r="522" ht="15" customHeight="1">
      <c r="A522" t="inlineStr">
        <is>
          <t>A 20994-2023</t>
        </is>
      </c>
      <c r="B522" s="1" t="n">
        <v>45056</v>
      </c>
      <c r="C522" s="1" t="n">
        <v>45908</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2242-2024</t>
        </is>
      </c>
      <c r="B523" s="1" t="n">
        <v>45309</v>
      </c>
      <c r="C523" s="1" t="n">
        <v>45908</v>
      </c>
      <c r="D523" t="inlineStr">
        <is>
          <t>JÄMTLANDS LÄN</t>
        </is>
      </c>
      <c r="E523" t="inlineStr">
        <is>
          <t>RAGUNDA</t>
        </is>
      </c>
      <c r="G523" t="n">
        <v>0.9</v>
      </c>
      <c r="H523" t="n">
        <v>0</v>
      </c>
      <c r="I523" t="n">
        <v>0</v>
      </c>
      <c r="J523" t="n">
        <v>0</v>
      </c>
      <c r="K523" t="n">
        <v>0</v>
      </c>
      <c r="L523" t="n">
        <v>0</v>
      </c>
      <c r="M523" t="n">
        <v>0</v>
      </c>
      <c r="N523" t="n">
        <v>0</v>
      </c>
      <c r="O523" t="n">
        <v>0</v>
      </c>
      <c r="P523" t="n">
        <v>0</v>
      </c>
      <c r="Q523" t="n">
        <v>0</v>
      </c>
      <c r="R523" s="2" t="inlineStr"/>
    </row>
    <row r="524" ht="15" customHeight="1">
      <c r="A524" t="inlineStr">
        <is>
          <t>A 2248-2024</t>
        </is>
      </c>
      <c r="B524" s="1" t="n">
        <v>45309</v>
      </c>
      <c r="C524" s="1" t="n">
        <v>45908</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23507-2025</t>
        </is>
      </c>
      <c r="B525" s="1" t="n">
        <v>45792.49023148148</v>
      </c>
      <c r="C525" s="1" t="n">
        <v>45908</v>
      </c>
      <c r="D525" t="inlineStr">
        <is>
          <t>JÄMTLANDS LÄN</t>
        </is>
      </c>
      <c r="E525" t="inlineStr">
        <is>
          <t>RAGUNDA</t>
        </is>
      </c>
      <c r="F525" t="inlineStr">
        <is>
          <t>SCA</t>
        </is>
      </c>
      <c r="G525" t="n">
        <v>16.4</v>
      </c>
      <c r="H525" t="n">
        <v>0</v>
      </c>
      <c r="I525" t="n">
        <v>0</v>
      </c>
      <c r="J525" t="n">
        <v>0</v>
      </c>
      <c r="K525" t="n">
        <v>0</v>
      </c>
      <c r="L525" t="n">
        <v>0</v>
      </c>
      <c r="M525" t="n">
        <v>0</v>
      </c>
      <c r="N525" t="n">
        <v>0</v>
      </c>
      <c r="O525" t="n">
        <v>0</v>
      </c>
      <c r="P525" t="n">
        <v>0</v>
      </c>
      <c r="Q525" t="n">
        <v>0</v>
      </c>
      <c r="R525" s="2" t="inlineStr"/>
    </row>
    <row r="526" ht="15" customHeight="1">
      <c r="A526" t="inlineStr">
        <is>
          <t>A 55669-2023</t>
        </is>
      </c>
      <c r="B526" s="1" t="n">
        <v>45238.96797453704</v>
      </c>
      <c r="C526" s="1" t="n">
        <v>45908</v>
      </c>
      <c r="D526" t="inlineStr">
        <is>
          <t>JÄMTLANDS LÄN</t>
        </is>
      </c>
      <c r="E526" t="inlineStr">
        <is>
          <t>RAGUNDA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23840-2025</t>
        </is>
      </c>
      <c r="B527" s="1" t="n">
        <v>45793</v>
      </c>
      <c r="C527" s="1" t="n">
        <v>45908</v>
      </c>
      <c r="D527" t="inlineStr">
        <is>
          <t>JÄMTLANDS LÄN</t>
        </is>
      </c>
      <c r="E527" t="inlineStr">
        <is>
          <t>RAGUNDA</t>
        </is>
      </c>
      <c r="G527" t="n">
        <v>0.8</v>
      </c>
      <c r="H527" t="n">
        <v>0</v>
      </c>
      <c r="I527" t="n">
        <v>0</v>
      </c>
      <c r="J527" t="n">
        <v>0</v>
      </c>
      <c r="K527" t="n">
        <v>0</v>
      </c>
      <c r="L527" t="n">
        <v>0</v>
      </c>
      <c r="M527" t="n">
        <v>0</v>
      </c>
      <c r="N527" t="n">
        <v>0</v>
      </c>
      <c r="O527" t="n">
        <v>0</v>
      </c>
      <c r="P527" t="n">
        <v>0</v>
      </c>
      <c r="Q527" t="n">
        <v>0</v>
      </c>
      <c r="R527" s="2" t="inlineStr"/>
    </row>
    <row r="528" ht="15" customHeight="1">
      <c r="A528" t="inlineStr">
        <is>
          <t>A 23654-2025</t>
        </is>
      </c>
      <c r="B528" s="1" t="n">
        <v>45792.71905092592</v>
      </c>
      <c r="C528" s="1" t="n">
        <v>45908</v>
      </c>
      <c r="D528" t="inlineStr">
        <is>
          <t>JÄMTLANDS LÄN</t>
        </is>
      </c>
      <c r="E528" t="inlineStr">
        <is>
          <t>RAGUNDA</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32063-2024</t>
        </is>
      </c>
      <c r="B529" s="1" t="n">
        <v>45510</v>
      </c>
      <c r="C529" s="1" t="n">
        <v>45908</v>
      </c>
      <c r="D529" t="inlineStr">
        <is>
          <t>JÄMTLANDS LÄN</t>
        </is>
      </c>
      <c r="E529" t="inlineStr">
        <is>
          <t>RAGUNDA</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19264-2025</t>
        </is>
      </c>
      <c r="B530" s="1" t="n">
        <v>45769.51087962963</v>
      </c>
      <c r="C530" s="1" t="n">
        <v>45908</v>
      </c>
      <c r="D530" t="inlineStr">
        <is>
          <t>JÄMTLANDS LÄN</t>
        </is>
      </c>
      <c r="E530" t="inlineStr">
        <is>
          <t>RAGUNDA</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10641-2024</t>
        </is>
      </c>
      <c r="B531" s="1" t="n">
        <v>45367.69850694444</v>
      </c>
      <c r="C531" s="1" t="n">
        <v>45908</v>
      </c>
      <c r="D531" t="inlineStr">
        <is>
          <t>JÄMTLANDS LÄN</t>
        </is>
      </c>
      <c r="E531" t="inlineStr">
        <is>
          <t>RAGUNDA</t>
        </is>
      </c>
      <c r="G531" t="n">
        <v>0.9</v>
      </c>
      <c r="H531" t="n">
        <v>0</v>
      </c>
      <c r="I531" t="n">
        <v>0</v>
      </c>
      <c r="J531" t="n">
        <v>0</v>
      </c>
      <c r="K531" t="n">
        <v>0</v>
      </c>
      <c r="L531" t="n">
        <v>0</v>
      </c>
      <c r="M531" t="n">
        <v>0</v>
      </c>
      <c r="N531" t="n">
        <v>0</v>
      </c>
      <c r="O531" t="n">
        <v>0</v>
      </c>
      <c r="P531" t="n">
        <v>0</v>
      </c>
      <c r="Q531" t="n">
        <v>0</v>
      </c>
      <c r="R531" s="2" t="inlineStr"/>
    </row>
    <row r="532" ht="15" customHeight="1">
      <c r="A532" t="inlineStr">
        <is>
          <t>A 10644-2024</t>
        </is>
      </c>
      <c r="B532" s="1" t="n">
        <v>45367.71348379629</v>
      </c>
      <c r="C532" s="1" t="n">
        <v>45908</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20426-2024</t>
        </is>
      </c>
      <c r="B533" s="1" t="n">
        <v>45435</v>
      </c>
      <c r="C533" s="1" t="n">
        <v>45908</v>
      </c>
      <c r="D533" t="inlineStr">
        <is>
          <t>JÄMTLANDS LÄN</t>
        </is>
      </c>
      <c r="E533" t="inlineStr">
        <is>
          <t>RAGUNDA</t>
        </is>
      </c>
      <c r="G533" t="n">
        <v>2.1</v>
      </c>
      <c r="H533" t="n">
        <v>0</v>
      </c>
      <c r="I533" t="n">
        <v>0</v>
      </c>
      <c r="J533" t="n">
        <v>0</v>
      </c>
      <c r="K533" t="n">
        <v>0</v>
      </c>
      <c r="L533" t="n">
        <v>0</v>
      </c>
      <c r="M533" t="n">
        <v>0</v>
      </c>
      <c r="N533" t="n">
        <v>0</v>
      </c>
      <c r="O533" t="n">
        <v>0</v>
      </c>
      <c r="P533" t="n">
        <v>0</v>
      </c>
      <c r="Q533" t="n">
        <v>0</v>
      </c>
      <c r="R533" s="2" t="inlineStr"/>
    </row>
    <row r="534" ht="15" customHeight="1">
      <c r="A534" t="inlineStr">
        <is>
          <t>A 29263-2024</t>
        </is>
      </c>
      <c r="B534" s="1" t="n">
        <v>45482.94891203703</v>
      </c>
      <c r="C534" s="1" t="n">
        <v>45908</v>
      </c>
      <c r="D534" t="inlineStr">
        <is>
          <t>JÄMTLANDS LÄN</t>
        </is>
      </c>
      <c r="E534" t="inlineStr">
        <is>
          <t>RAGUNDA</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8800-2025</t>
        </is>
      </c>
      <c r="B535" s="1" t="n">
        <v>45712.65671296296</v>
      </c>
      <c r="C535" s="1" t="n">
        <v>45908</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17742-2022</t>
        </is>
      </c>
      <c r="B536" s="1" t="n">
        <v>44680.95246527778</v>
      </c>
      <c r="C536" s="1" t="n">
        <v>45908</v>
      </c>
      <c r="D536" t="inlineStr">
        <is>
          <t>JÄMTLANDS LÄN</t>
        </is>
      </c>
      <c r="E536" t="inlineStr">
        <is>
          <t>RAGUNDA</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29265-2024</t>
        </is>
      </c>
      <c r="B537" s="1" t="n">
        <v>45482.9491087963</v>
      </c>
      <c r="C537" s="1" t="n">
        <v>45908</v>
      </c>
      <c r="D537" t="inlineStr">
        <is>
          <t>JÄMTLANDS LÄN</t>
        </is>
      </c>
      <c r="E537" t="inlineStr">
        <is>
          <t>RAGUNDA</t>
        </is>
      </c>
      <c r="F537" t="inlineStr">
        <is>
          <t>SCA</t>
        </is>
      </c>
      <c r="G537" t="n">
        <v>11.6</v>
      </c>
      <c r="H537" t="n">
        <v>0</v>
      </c>
      <c r="I537" t="n">
        <v>0</v>
      </c>
      <c r="J537" t="n">
        <v>0</v>
      </c>
      <c r="K537" t="n">
        <v>0</v>
      </c>
      <c r="L537" t="n">
        <v>0</v>
      </c>
      <c r="M537" t="n">
        <v>0</v>
      </c>
      <c r="N537" t="n">
        <v>0</v>
      </c>
      <c r="O537" t="n">
        <v>0</v>
      </c>
      <c r="P537" t="n">
        <v>0</v>
      </c>
      <c r="Q537" t="n">
        <v>0</v>
      </c>
      <c r="R537" s="2" t="inlineStr"/>
    </row>
    <row r="538" ht="15" customHeight="1">
      <c r="A538" t="inlineStr">
        <is>
          <t>A 27291-2022</t>
        </is>
      </c>
      <c r="B538" s="1" t="n">
        <v>44741.94070601852</v>
      </c>
      <c r="C538" s="1" t="n">
        <v>45908</v>
      </c>
      <c r="D538" t="inlineStr">
        <is>
          <t>JÄMTLANDS LÄN</t>
        </is>
      </c>
      <c r="E538" t="inlineStr">
        <is>
          <t>RAGUNDA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30825-2023</t>
        </is>
      </c>
      <c r="B539" s="1" t="n">
        <v>45112.94310185185</v>
      </c>
      <c r="C539" s="1" t="n">
        <v>45908</v>
      </c>
      <c r="D539" t="inlineStr">
        <is>
          <t>JÄMTLANDS LÄN</t>
        </is>
      </c>
      <c r="E539" t="inlineStr">
        <is>
          <t>RAGUNDA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8776-2025</t>
        </is>
      </c>
      <c r="B540" s="1" t="n">
        <v>45712.61510416667</v>
      </c>
      <c r="C540" s="1" t="n">
        <v>45908</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23405-2025</t>
        </is>
      </c>
      <c r="B541" s="1" t="n">
        <v>45792.34527777778</v>
      </c>
      <c r="C541" s="1" t="n">
        <v>45908</v>
      </c>
      <c r="D541" t="inlineStr">
        <is>
          <t>JÄMTLANDS LÄN</t>
        </is>
      </c>
      <c r="E541" t="inlineStr">
        <is>
          <t>RAGUNDA</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14821-2025</t>
        </is>
      </c>
      <c r="B542" s="1" t="n">
        <v>45743.36</v>
      </c>
      <c r="C542" s="1" t="n">
        <v>45908</v>
      </c>
      <c r="D542" t="inlineStr">
        <is>
          <t>JÄMTLANDS LÄN</t>
        </is>
      </c>
      <c r="E542" t="inlineStr">
        <is>
          <t>RAGUNDA</t>
        </is>
      </c>
      <c r="F542" t="inlineStr">
        <is>
          <t>Kyrkan</t>
        </is>
      </c>
      <c r="G542" t="n">
        <v>6.4</v>
      </c>
      <c r="H542" t="n">
        <v>0</v>
      </c>
      <c r="I542" t="n">
        <v>0</v>
      </c>
      <c r="J542" t="n">
        <v>0</v>
      </c>
      <c r="K542" t="n">
        <v>0</v>
      </c>
      <c r="L542" t="n">
        <v>0</v>
      </c>
      <c r="M542" t="n">
        <v>0</v>
      </c>
      <c r="N542" t="n">
        <v>0</v>
      </c>
      <c r="O542" t="n">
        <v>0</v>
      </c>
      <c r="P542" t="n">
        <v>0</v>
      </c>
      <c r="Q542" t="n">
        <v>0</v>
      </c>
      <c r="R542" s="2" t="inlineStr"/>
    </row>
    <row r="543" ht="15" customHeight="1">
      <c r="A543" t="inlineStr">
        <is>
          <t>A 18284-2025</t>
        </is>
      </c>
      <c r="B543" s="1" t="n">
        <v>45762.39876157408</v>
      </c>
      <c r="C543" s="1" t="n">
        <v>45908</v>
      </c>
      <c r="D543" t="inlineStr">
        <is>
          <t>JÄMTLANDS LÄN</t>
        </is>
      </c>
      <c r="E543" t="inlineStr">
        <is>
          <t>RAGUNDA</t>
        </is>
      </c>
      <c r="G543" t="n">
        <v>0.2</v>
      </c>
      <c r="H543" t="n">
        <v>0</v>
      </c>
      <c r="I543" t="n">
        <v>0</v>
      </c>
      <c r="J543" t="n">
        <v>0</v>
      </c>
      <c r="K543" t="n">
        <v>0</v>
      </c>
      <c r="L543" t="n">
        <v>0</v>
      </c>
      <c r="M543" t="n">
        <v>0</v>
      </c>
      <c r="N543" t="n">
        <v>0</v>
      </c>
      <c r="O543" t="n">
        <v>0</v>
      </c>
      <c r="P543" t="n">
        <v>0</v>
      </c>
      <c r="Q543" t="n">
        <v>0</v>
      </c>
      <c r="R543" s="2" t="inlineStr"/>
      <c r="U543">
        <f>HYPERLINK("https://klasma.github.io/Logging_2303/knärot/A 18284-2025 karta knärot.png", "A 18284-2025")</f>
        <v/>
      </c>
      <c r="V543">
        <f>HYPERLINK("https://klasma.github.io/Logging_2303/klagomål/A 18284-2025 FSC-klagomål.docx", "A 18284-2025")</f>
        <v/>
      </c>
      <c r="W543">
        <f>HYPERLINK("https://klasma.github.io/Logging_2303/klagomålsmail/A 18284-2025 FSC-klagomål mail.docx", "A 18284-2025")</f>
        <v/>
      </c>
      <c r="X543">
        <f>HYPERLINK("https://klasma.github.io/Logging_2303/tillsyn/A 18284-2025 tillsynsbegäran.docx", "A 18284-2025")</f>
        <v/>
      </c>
      <c r="Y543">
        <f>HYPERLINK("https://klasma.github.io/Logging_2303/tillsynsmail/A 18284-2025 tillsynsbegäran mail.docx", "A 18284-2025")</f>
        <v/>
      </c>
    </row>
    <row r="544" ht="15" customHeight="1">
      <c r="A544" t="inlineStr">
        <is>
          <t>A 9084-2023</t>
        </is>
      </c>
      <c r="B544" s="1" t="n">
        <v>44979</v>
      </c>
      <c r="C544" s="1" t="n">
        <v>45908</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36375-2022</t>
        </is>
      </c>
      <c r="B545" s="1" t="n">
        <v>44803.94351851852</v>
      </c>
      <c r="C545" s="1" t="n">
        <v>45908</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19263-2025</t>
        </is>
      </c>
      <c r="B546" s="1" t="n">
        <v>45769.51075231482</v>
      </c>
      <c r="C546" s="1" t="n">
        <v>45908</v>
      </c>
      <c r="D546" t="inlineStr">
        <is>
          <t>JÄMTLANDS LÄN</t>
        </is>
      </c>
      <c r="E546" t="inlineStr">
        <is>
          <t>RAGUNDA</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24158-2025</t>
        </is>
      </c>
      <c r="B547" s="1" t="n">
        <v>45796</v>
      </c>
      <c r="C547" s="1" t="n">
        <v>45908</v>
      </c>
      <c r="D547" t="inlineStr">
        <is>
          <t>JÄMTLANDS LÄN</t>
        </is>
      </c>
      <c r="E547" t="inlineStr">
        <is>
          <t>RAGUNDA</t>
        </is>
      </c>
      <c r="G547" t="n">
        <v>2.9</v>
      </c>
      <c r="H547" t="n">
        <v>0</v>
      </c>
      <c r="I547" t="n">
        <v>0</v>
      </c>
      <c r="J547" t="n">
        <v>0</v>
      </c>
      <c r="K547" t="n">
        <v>0</v>
      </c>
      <c r="L547" t="n">
        <v>0</v>
      </c>
      <c r="M547" t="n">
        <v>0</v>
      </c>
      <c r="N547" t="n">
        <v>0</v>
      </c>
      <c r="O547" t="n">
        <v>0</v>
      </c>
      <c r="P547" t="n">
        <v>0</v>
      </c>
      <c r="Q547" t="n">
        <v>0</v>
      </c>
      <c r="R547" s="2" t="inlineStr"/>
    </row>
    <row r="548" ht="15" customHeight="1">
      <c r="A548" t="inlineStr">
        <is>
          <t>A 24161-2025</t>
        </is>
      </c>
      <c r="B548" s="1" t="n">
        <v>45796</v>
      </c>
      <c r="C548" s="1" t="n">
        <v>45908</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9326-2024</t>
        </is>
      </c>
      <c r="B549" s="1" t="n">
        <v>45358.95818287037</v>
      </c>
      <c r="C549" s="1" t="n">
        <v>45908</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7520-2023</t>
        </is>
      </c>
      <c r="B550" s="1" t="n">
        <v>44971</v>
      </c>
      <c r="C550" s="1" t="n">
        <v>45908</v>
      </c>
      <c r="D550" t="inlineStr">
        <is>
          <t>JÄMTLANDS LÄN</t>
        </is>
      </c>
      <c r="E550" t="inlineStr">
        <is>
          <t>RAGUNDA</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8679-2023</t>
        </is>
      </c>
      <c r="B551" s="1" t="n">
        <v>44977.98670138889</v>
      </c>
      <c r="C551" s="1" t="n">
        <v>45908</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21662-2023</t>
        </is>
      </c>
      <c r="B552" s="1" t="n">
        <v>45063</v>
      </c>
      <c r="C552" s="1" t="n">
        <v>45908</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9325-2024</t>
        </is>
      </c>
      <c r="B553" s="1" t="n">
        <v>45358.95813657407</v>
      </c>
      <c r="C553" s="1" t="n">
        <v>45908</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5930-2025</t>
        </is>
      </c>
      <c r="B554" s="1" t="n">
        <v>45695.44724537037</v>
      </c>
      <c r="C554" s="1" t="n">
        <v>45908</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24159-2025</t>
        </is>
      </c>
      <c r="B555" s="1" t="n">
        <v>45796</v>
      </c>
      <c r="C555" s="1" t="n">
        <v>45908</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57170-2024</t>
        </is>
      </c>
      <c r="B556" s="1" t="n">
        <v>45629.42759259259</v>
      </c>
      <c r="C556" s="1" t="n">
        <v>45908</v>
      </c>
      <c r="D556" t="inlineStr">
        <is>
          <t>JÄMTLANDS LÄN</t>
        </is>
      </c>
      <c r="E556" t="inlineStr">
        <is>
          <t>RAGUNDA</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24391-2025</t>
        </is>
      </c>
      <c r="B557" s="1" t="n">
        <v>45797.63627314815</v>
      </c>
      <c r="C557" s="1" t="n">
        <v>45908</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44727-2024</t>
        </is>
      </c>
      <c r="B558" s="1" t="n">
        <v>45574.57967592592</v>
      </c>
      <c r="C558" s="1" t="n">
        <v>45908</v>
      </c>
      <c r="D558" t="inlineStr">
        <is>
          <t>JÄMTLANDS LÄN</t>
        </is>
      </c>
      <c r="E558" t="inlineStr">
        <is>
          <t>RAGUNDA</t>
        </is>
      </c>
      <c r="G558" t="n">
        <v>4.7</v>
      </c>
      <c r="H558" t="n">
        <v>0</v>
      </c>
      <c r="I558" t="n">
        <v>0</v>
      </c>
      <c r="J558" t="n">
        <v>0</v>
      </c>
      <c r="K558" t="n">
        <v>0</v>
      </c>
      <c r="L558" t="n">
        <v>0</v>
      </c>
      <c r="M558" t="n">
        <v>0</v>
      </c>
      <c r="N558" t="n">
        <v>0</v>
      </c>
      <c r="O558" t="n">
        <v>0</v>
      </c>
      <c r="P558" t="n">
        <v>0</v>
      </c>
      <c r="Q558" t="n">
        <v>0</v>
      </c>
      <c r="R558" s="2" t="inlineStr"/>
    </row>
    <row r="559" ht="15" customHeight="1">
      <c r="A559" t="inlineStr">
        <is>
          <t>A 65341-2020</t>
        </is>
      </c>
      <c r="B559" s="1" t="n">
        <v>44173</v>
      </c>
      <c r="C559" s="1" t="n">
        <v>45908</v>
      </c>
      <c r="D559" t="inlineStr">
        <is>
          <t>JÄMTLANDS LÄN</t>
        </is>
      </c>
      <c r="E559" t="inlineStr">
        <is>
          <t>RAGUNDA</t>
        </is>
      </c>
      <c r="G559" t="n">
        <v>2.6</v>
      </c>
      <c r="H559" t="n">
        <v>0</v>
      </c>
      <c r="I559" t="n">
        <v>0</v>
      </c>
      <c r="J559" t="n">
        <v>0</v>
      </c>
      <c r="K559" t="n">
        <v>0</v>
      </c>
      <c r="L559" t="n">
        <v>0</v>
      </c>
      <c r="M559" t="n">
        <v>0</v>
      </c>
      <c r="N559" t="n">
        <v>0</v>
      </c>
      <c r="O559" t="n">
        <v>0</v>
      </c>
      <c r="P559" t="n">
        <v>0</v>
      </c>
      <c r="Q559" t="n">
        <v>0</v>
      </c>
      <c r="R559" s="2" t="inlineStr"/>
    </row>
    <row r="560" ht="15" customHeight="1">
      <c r="A560" t="inlineStr">
        <is>
          <t>A 21083-2024</t>
        </is>
      </c>
      <c r="B560" s="1" t="n">
        <v>45439.92752314815</v>
      </c>
      <c r="C560" s="1" t="n">
        <v>45908</v>
      </c>
      <c r="D560" t="inlineStr">
        <is>
          <t>JÄMTLANDS LÄN</t>
        </is>
      </c>
      <c r="E560" t="inlineStr">
        <is>
          <t>RAGUNDA</t>
        </is>
      </c>
      <c r="G560" t="n">
        <v>1.5</v>
      </c>
      <c r="H560" t="n">
        <v>0</v>
      </c>
      <c r="I560" t="n">
        <v>0</v>
      </c>
      <c r="J560" t="n">
        <v>0</v>
      </c>
      <c r="K560" t="n">
        <v>0</v>
      </c>
      <c r="L560" t="n">
        <v>0</v>
      </c>
      <c r="M560" t="n">
        <v>0</v>
      </c>
      <c r="N560" t="n">
        <v>0</v>
      </c>
      <c r="O560" t="n">
        <v>0</v>
      </c>
      <c r="P560" t="n">
        <v>0</v>
      </c>
      <c r="Q560" t="n">
        <v>0</v>
      </c>
      <c r="R560" s="2" t="inlineStr"/>
    </row>
    <row r="561" ht="15" customHeight="1">
      <c r="A561" t="inlineStr">
        <is>
          <t>A 462-2023</t>
        </is>
      </c>
      <c r="B561" s="1" t="n">
        <v>44929</v>
      </c>
      <c r="C561" s="1" t="n">
        <v>45908</v>
      </c>
      <c r="D561" t="inlineStr">
        <is>
          <t>JÄMTLANDS LÄN</t>
        </is>
      </c>
      <c r="E561" t="inlineStr">
        <is>
          <t>RAGUNDA</t>
        </is>
      </c>
      <c r="G561" t="n">
        <v>4.5</v>
      </c>
      <c r="H561" t="n">
        <v>0</v>
      </c>
      <c r="I561" t="n">
        <v>0</v>
      </c>
      <c r="J561" t="n">
        <v>0</v>
      </c>
      <c r="K561" t="n">
        <v>0</v>
      </c>
      <c r="L561" t="n">
        <v>0</v>
      </c>
      <c r="M561" t="n">
        <v>0</v>
      </c>
      <c r="N561" t="n">
        <v>0</v>
      </c>
      <c r="O561" t="n">
        <v>0</v>
      </c>
      <c r="P561" t="n">
        <v>0</v>
      </c>
      <c r="Q561" t="n">
        <v>0</v>
      </c>
      <c r="R561" s="2" t="inlineStr"/>
    </row>
    <row r="562" ht="15" customHeight="1">
      <c r="A562" t="inlineStr">
        <is>
          <t>A 8795-2022</t>
        </is>
      </c>
      <c r="B562" s="1" t="n">
        <v>44614</v>
      </c>
      <c r="C562" s="1" t="n">
        <v>45908</v>
      </c>
      <c r="D562" t="inlineStr">
        <is>
          <t>JÄMTLANDS LÄN</t>
        </is>
      </c>
      <c r="E562" t="inlineStr">
        <is>
          <t>RAGUNDA</t>
        </is>
      </c>
      <c r="G562" t="n">
        <v>3.9</v>
      </c>
      <c r="H562" t="n">
        <v>0</v>
      </c>
      <c r="I562" t="n">
        <v>0</v>
      </c>
      <c r="J562" t="n">
        <v>0</v>
      </c>
      <c r="K562" t="n">
        <v>0</v>
      </c>
      <c r="L562" t="n">
        <v>0</v>
      </c>
      <c r="M562" t="n">
        <v>0</v>
      </c>
      <c r="N562" t="n">
        <v>0</v>
      </c>
      <c r="O562" t="n">
        <v>0</v>
      </c>
      <c r="P562" t="n">
        <v>0</v>
      </c>
      <c r="Q562" t="n">
        <v>0</v>
      </c>
      <c r="R562" s="2" t="inlineStr"/>
    </row>
    <row r="563" ht="15" customHeight="1">
      <c r="A563" t="inlineStr">
        <is>
          <t>A 62407-2023</t>
        </is>
      </c>
      <c r="B563" s="1" t="n">
        <v>45266</v>
      </c>
      <c r="C563" s="1" t="n">
        <v>45908</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12050-2023</t>
        </is>
      </c>
      <c r="B564" s="1" t="n">
        <v>44995.98644675926</v>
      </c>
      <c r="C564" s="1" t="n">
        <v>45908</v>
      </c>
      <c r="D564" t="inlineStr">
        <is>
          <t>JÄMTLANDS LÄN</t>
        </is>
      </c>
      <c r="E564" t="inlineStr">
        <is>
          <t>RAGUNDA</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62358-2023</t>
        </is>
      </c>
      <c r="B565" s="1" t="n">
        <v>45267</v>
      </c>
      <c r="C565" s="1" t="n">
        <v>45908</v>
      </c>
      <c r="D565" t="inlineStr">
        <is>
          <t>JÄMTLANDS LÄN</t>
        </is>
      </c>
      <c r="E565" t="inlineStr">
        <is>
          <t>RAGUNDA</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35265-2023</t>
        </is>
      </c>
      <c r="B566" s="1" t="n">
        <v>45145.95326388889</v>
      </c>
      <c r="C566" s="1" t="n">
        <v>45908</v>
      </c>
      <c r="D566" t="inlineStr">
        <is>
          <t>JÄMTLANDS LÄN</t>
        </is>
      </c>
      <c r="E566" t="inlineStr">
        <is>
          <t>RAGUNDA</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5148-2023</t>
        </is>
      </c>
      <c r="B567" s="1" t="n">
        <v>44958</v>
      </c>
      <c r="C567" s="1" t="n">
        <v>45908</v>
      </c>
      <c r="D567" t="inlineStr">
        <is>
          <t>JÄMTLANDS LÄN</t>
        </is>
      </c>
      <c r="E567" t="inlineStr">
        <is>
          <t>RAGUNDA</t>
        </is>
      </c>
      <c r="G567" t="n">
        <v>2.9</v>
      </c>
      <c r="H567" t="n">
        <v>0</v>
      </c>
      <c r="I567" t="n">
        <v>0</v>
      </c>
      <c r="J567" t="n">
        <v>0</v>
      </c>
      <c r="K567" t="n">
        <v>0</v>
      </c>
      <c r="L567" t="n">
        <v>0</v>
      </c>
      <c r="M567" t="n">
        <v>0</v>
      </c>
      <c r="N567" t="n">
        <v>0</v>
      </c>
      <c r="O567" t="n">
        <v>0</v>
      </c>
      <c r="P567" t="n">
        <v>0</v>
      </c>
      <c r="Q567" t="n">
        <v>0</v>
      </c>
      <c r="R567" s="2" t="inlineStr"/>
    </row>
    <row r="568" ht="15" customHeight="1">
      <c r="A568" t="inlineStr">
        <is>
          <t>A 18820-2023</t>
        </is>
      </c>
      <c r="B568" s="1" t="n">
        <v>45042</v>
      </c>
      <c r="C568" s="1" t="n">
        <v>45908</v>
      </c>
      <c r="D568" t="inlineStr">
        <is>
          <t>JÄMTLANDS LÄN</t>
        </is>
      </c>
      <c r="E568" t="inlineStr">
        <is>
          <t>RAGUNDA</t>
        </is>
      </c>
      <c r="G568" t="n">
        <v>18.8</v>
      </c>
      <c r="H568" t="n">
        <v>0</v>
      </c>
      <c r="I568" t="n">
        <v>0</v>
      </c>
      <c r="J568" t="n">
        <v>0</v>
      </c>
      <c r="K568" t="n">
        <v>0</v>
      </c>
      <c r="L568" t="n">
        <v>0</v>
      </c>
      <c r="M568" t="n">
        <v>0</v>
      </c>
      <c r="N568" t="n">
        <v>0</v>
      </c>
      <c r="O568" t="n">
        <v>0</v>
      </c>
      <c r="P568" t="n">
        <v>0</v>
      </c>
      <c r="Q568" t="n">
        <v>0</v>
      </c>
      <c r="R568" s="2" t="inlineStr"/>
    </row>
    <row r="569" ht="15" customHeight="1">
      <c r="A569" t="inlineStr">
        <is>
          <t>A 66471-2021</t>
        </is>
      </c>
      <c r="B569" s="1" t="n">
        <v>44518</v>
      </c>
      <c r="C569" s="1" t="n">
        <v>45908</v>
      </c>
      <c r="D569" t="inlineStr">
        <is>
          <t>JÄMTLANDS LÄN</t>
        </is>
      </c>
      <c r="E569" t="inlineStr">
        <is>
          <t>RAGUNDA</t>
        </is>
      </c>
      <c r="G569" t="n">
        <v>13.4</v>
      </c>
      <c r="H569" t="n">
        <v>0</v>
      </c>
      <c r="I569" t="n">
        <v>0</v>
      </c>
      <c r="J569" t="n">
        <v>0</v>
      </c>
      <c r="K569" t="n">
        <v>0</v>
      </c>
      <c r="L569" t="n">
        <v>0</v>
      </c>
      <c r="M569" t="n">
        <v>0</v>
      </c>
      <c r="N569" t="n">
        <v>0</v>
      </c>
      <c r="O569" t="n">
        <v>0</v>
      </c>
      <c r="P569" t="n">
        <v>0</v>
      </c>
      <c r="Q569" t="n">
        <v>0</v>
      </c>
      <c r="R569" s="2" t="inlineStr"/>
    </row>
    <row r="570" ht="15" customHeight="1">
      <c r="A570" t="inlineStr">
        <is>
          <t>A 18778-2024</t>
        </is>
      </c>
      <c r="B570" s="1" t="n">
        <v>45426</v>
      </c>
      <c r="C570" s="1" t="n">
        <v>45908</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59556-2024</t>
        </is>
      </c>
      <c r="B571" s="1" t="n">
        <v>45638.63600694444</v>
      </c>
      <c r="C571" s="1" t="n">
        <v>45908</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21524-2024</t>
        </is>
      </c>
      <c r="B572" s="1" t="n">
        <v>45441</v>
      </c>
      <c r="C572" s="1" t="n">
        <v>45908</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49648-2023</t>
        </is>
      </c>
      <c r="B573" s="1" t="n">
        <v>45211.95061342593</v>
      </c>
      <c r="C573" s="1" t="n">
        <v>45908</v>
      </c>
      <c r="D573" t="inlineStr">
        <is>
          <t>JÄMTLANDS LÄN</t>
        </is>
      </c>
      <c r="E573" t="inlineStr">
        <is>
          <t>RAGUNDA</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24732-2025</t>
        </is>
      </c>
      <c r="B574" s="1" t="n">
        <v>45799.34421296296</v>
      </c>
      <c r="C574" s="1" t="n">
        <v>45908</v>
      </c>
      <c r="D574" t="inlineStr">
        <is>
          <t>JÄMTLANDS LÄN</t>
        </is>
      </c>
      <c r="E574" t="inlineStr">
        <is>
          <t>RAGUNDA</t>
        </is>
      </c>
      <c r="F574" t="inlineStr">
        <is>
          <t>SCA</t>
        </is>
      </c>
      <c r="G574" t="n">
        <v>16.2</v>
      </c>
      <c r="H574" t="n">
        <v>0</v>
      </c>
      <c r="I574" t="n">
        <v>0</v>
      </c>
      <c r="J574" t="n">
        <v>0</v>
      </c>
      <c r="K574" t="n">
        <v>0</v>
      </c>
      <c r="L574" t="n">
        <v>0</v>
      </c>
      <c r="M574" t="n">
        <v>0</v>
      </c>
      <c r="N574" t="n">
        <v>0</v>
      </c>
      <c r="O574" t="n">
        <v>0</v>
      </c>
      <c r="P574" t="n">
        <v>0</v>
      </c>
      <c r="Q574" t="n">
        <v>0</v>
      </c>
      <c r="R574" s="2" t="inlineStr"/>
    </row>
    <row r="575" ht="15" customHeight="1">
      <c r="A575" t="inlineStr">
        <is>
          <t>A 51537-2022</t>
        </is>
      </c>
      <c r="B575" s="1" t="n">
        <v>44869</v>
      </c>
      <c r="C575" s="1" t="n">
        <v>45908</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59044-2022</t>
        </is>
      </c>
      <c r="B576" s="1" t="n">
        <v>44903</v>
      </c>
      <c r="C576" s="1" t="n">
        <v>45908</v>
      </c>
      <c r="D576" t="inlineStr">
        <is>
          <t>JÄMTLANDS LÄN</t>
        </is>
      </c>
      <c r="E576" t="inlineStr">
        <is>
          <t>RAGUNDA</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45908</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5958-2023</t>
        </is>
      </c>
      <c r="B578" s="1" t="n">
        <v>44963</v>
      </c>
      <c r="C578" s="1" t="n">
        <v>45908</v>
      </c>
      <c r="D578" t="inlineStr">
        <is>
          <t>JÄMTLANDS LÄN</t>
        </is>
      </c>
      <c r="E578" t="inlineStr">
        <is>
          <t>RAGUNDA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16529-2022</t>
        </is>
      </c>
      <c r="B579" s="1" t="n">
        <v>44671</v>
      </c>
      <c r="C579" s="1" t="n">
        <v>45908</v>
      </c>
      <c r="D579" t="inlineStr">
        <is>
          <t>JÄMTLANDS LÄN</t>
        </is>
      </c>
      <c r="E579" t="inlineStr">
        <is>
          <t>RAGUNDA</t>
        </is>
      </c>
      <c r="G579" t="n">
        <v>1.5</v>
      </c>
      <c r="H579" t="n">
        <v>0</v>
      </c>
      <c r="I579" t="n">
        <v>0</v>
      </c>
      <c r="J579" t="n">
        <v>0</v>
      </c>
      <c r="K579" t="n">
        <v>0</v>
      </c>
      <c r="L579" t="n">
        <v>0</v>
      </c>
      <c r="M579" t="n">
        <v>0</v>
      </c>
      <c r="N579" t="n">
        <v>0</v>
      </c>
      <c r="O579" t="n">
        <v>0</v>
      </c>
      <c r="P579" t="n">
        <v>0</v>
      </c>
      <c r="Q579" t="n">
        <v>0</v>
      </c>
      <c r="R579" s="2" t="inlineStr"/>
    </row>
    <row r="580" ht="15" customHeight="1">
      <c r="A580" t="inlineStr">
        <is>
          <t>A 8779-2025</t>
        </is>
      </c>
      <c r="B580" s="1" t="n">
        <v>45712.61552083334</v>
      </c>
      <c r="C580" s="1" t="n">
        <v>45908</v>
      </c>
      <c r="D580" t="inlineStr">
        <is>
          <t>JÄMTLANDS LÄN</t>
        </is>
      </c>
      <c r="E580" t="inlineStr">
        <is>
          <t>RAGUNDA</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61400-2022</t>
        </is>
      </c>
      <c r="B581" s="1" t="n">
        <v>44915</v>
      </c>
      <c r="C581" s="1" t="n">
        <v>45908</v>
      </c>
      <c r="D581" t="inlineStr">
        <is>
          <t>JÄMTLANDS LÄN</t>
        </is>
      </c>
      <c r="E581" t="inlineStr">
        <is>
          <t>RAGUNDA</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61934-2022</t>
        </is>
      </c>
      <c r="B582" s="1" t="n">
        <v>44917</v>
      </c>
      <c r="C582" s="1" t="n">
        <v>45908</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8678-2023</t>
        </is>
      </c>
      <c r="B583" s="1" t="n">
        <v>44977.98660879629</v>
      </c>
      <c r="C583" s="1" t="n">
        <v>45908</v>
      </c>
      <c r="D583" t="inlineStr">
        <is>
          <t>JÄMTLANDS LÄN</t>
        </is>
      </c>
      <c r="E583" t="inlineStr">
        <is>
          <t>RAGUNDA</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4348-2023</t>
        </is>
      </c>
      <c r="B584" s="1" t="n">
        <v>44953</v>
      </c>
      <c r="C584" s="1" t="n">
        <v>45908</v>
      </c>
      <c r="D584" t="inlineStr">
        <is>
          <t>JÄMTLANDS LÄN</t>
        </is>
      </c>
      <c r="E584" t="inlineStr">
        <is>
          <t>RAGUNDA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56286-2023</t>
        </is>
      </c>
      <c r="B585" s="1" t="n">
        <v>45241.95741898148</v>
      </c>
      <c r="C585" s="1" t="n">
        <v>45908</v>
      </c>
      <c r="D585" t="inlineStr">
        <is>
          <t>JÄMTLANDS LÄN</t>
        </is>
      </c>
      <c r="E585" t="inlineStr">
        <is>
          <t>RAGUNDA</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56287-2023</t>
        </is>
      </c>
      <c r="B586" s="1" t="n">
        <v>45241</v>
      </c>
      <c r="C586" s="1" t="n">
        <v>45908</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25631-2025</t>
        </is>
      </c>
      <c r="B587" s="1" t="n">
        <v>45803.5946875</v>
      </c>
      <c r="C587" s="1" t="n">
        <v>45908</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62135-2024</t>
        </is>
      </c>
      <c r="B588" s="1" t="n">
        <v>45656.64223379629</v>
      </c>
      <c r="C588" s="1" t="n">
        <v>45908</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25630-2025</t>
        </is>
      </c>
      <c r="B589" s="1" t="n">
        <v>45803.59417824074</v>
      </c>
      <c r="C589" s="1" t="n">
        <v>45908</v>
      </c>
      <c r="D589" t="inlineStr">
        <is>
          <t>JÄMTLANDS LÄN</t>
        </is>
      </c>
      <c r="E589" t="inlineStr">
        <is>
          <t>RAGUNDA</t>
        </is>
      </c>
      <c r="G589" t="n">
        <v>6.9</v>
      </c>
      <c r="H589" t="n">
        <v>0</v>
      </c>
      <c r="I589" t="n">
        <v>0</v>
      </c>
      <c r="J589" t="n">
        <v>0</v>
      </c>
      <c r="K589" t="n">
        <v>0</v>
      </c>
      <c r="L589" t="n">
        <v>0</v>
      </c>
      <c r="M589" t="n">
        <v>0</v>
      </c>
      <c r="N589" t="n">
        <v>0</v>
      </c>
      <c r="O589" t="n">
        <v>0</v>
      </c>
      <c r="P589" t="n">
        <v>0</v>
      </c>
      <c r="Q589" t="n">
        <v>0</v>
      </c>
      <c r="R589" s="2" t="inlineStr"/>
    </row>
    <row r="590" ht="15" customHeight="1">
      <c r="A590" t="inlineStr">
        <is>
          <t>A 28742-2023</t>
        </is>
      </c>
      <c r="B590" s="1" t="n">
        <v>45103</v>
      </c>
      <c r="C590" s="1" t="n">
        <v>45908</v>
      </c>
      <c r="D590" t="inlineStr">
        <is>
          <t>JÄMTLANDS LÄN</t>
        </is>
      </c>
      <c r="E590" t="inlineStr">
        <is>
          <t>RAGUNDA</t>
        </is>
      </c>
      <c r="G590" t="n">
        <v>1.8</v>
      </c>
      <c r="H590" t="n">
        <v>0</v>
      </c>
      <c r="I590" t="n">
        <v>0</v>
      </c>
      <c r="J590" t="n">
        <v>0</v>
      </c>
      <c r="K590" t="n">
        <v>0</v>
      </c>
      <c r="L590" t="n">
        <v>0</v>
      </c>
      <c r="M590" t="n">
        <v>0</v>
      </c>
      <c r="N590" t="n">
        <v>0</v>
      </c>
      <c r="O590" t="n">
        <v>0</v>
      </c>
      <c r="P590" t="n">
        <v>0</v>
      </c>
      <c r="Q590" t="n">
        <v>0</v>
      </c>
      <c r="R590" s="2" t="inlineStr"/>
    </row>
    <row r="591" ht="15" customHeight="1">
      <c r="A591" t="inlineStr">
        <is>
          <t>A 25376-2025</t>
        </is>
      </c>
      <c r="B591" s="1" t="n">
        <v>45800.63619212963</v>
      </c>
      <c r="C591" s="1" t="n">
        <v>45908</v>
      </c>
      <c r="D591" t="inlineStr">
        <is>
          <t>JÄMTLANDS LÄN</t>
        </is>
      </c>
      <c r="E591" t="inlineStr">
        <is>
          <t>RAGUNDA</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18248-2023</t>
        </is>
      </c>
      <c r="B592" s="1" t="n">
        <v>45040</v>
      </c>
      <c r="C592" s="1" t="n">
        <v>45908</v>
      </c>
      <c r="D592" t="inlineStr">
        <is>
          <t>JÄMTLANDS LÄN</t>
        </is>
      </c>
      <c r="E592" t="inlineStr">
        <is>
          <t>RAGUNDA</t>
        </is>
      </c>
      <c r="G592" t="n">
        <v>4.3</v>
      </c>
      <c r="H592" t="n">
        <v>0</v>
      </c>
      <c r="I592" t="n">
        <v>0</v>
      </c>
      <c r="J592" t="n">
        <v>0</v>
      </c>
      <c r="K592" t="n">
        <v>0</v>
      </c>
      <c r="L592" t="n">
        <v>0</v>
      </c>
      <c r="M592" t="n">
        <v>0</v>
      </c>
      <c r="N592" t="n">
        <v>0</v>
      </c>
      <c r="O592" t="n">
        <v>0</v>
      </c>
      <c r="P592" t="n">
        <v>0</v>
      </c>
      <c r="Q592" t="n">
        <v>0</v>
      </c>
      <c r="R592" s="2" t="inlineStr"/>
    </row>
    <row r="593" ht="15" customHeight="1">
      <c r="A593" t="inlineStr">
        <is>
          <t>A 8802-2022</t>
        </is>
      </c>
      <c r="B593" s="1" t="n">
        <v>44614</v>
      </c>
      <c r="C593" s="1" t="n">
        <v>45908</v>
      </c>
      <c r="D593" t="inlineStr">
        <is>
          <t>JÄMTLANDS LÄN</t>
        </is>
      </c>
      <c r="E593" t="inlineStr">
        <is>
          <t>RAGUNDA</t>
        </is>
      </c>
      <c r="G593" t="n">
        <v>2.8</v>
      </c>
      <c r="H593" t="n">
        <v>0</v>
      </c>
      <c r="I593" t="n">
        <v>0</v>
      </c>
      <c r="J593" t="n">
        <v>0</v>
      </c>
      <c r="K593" t="n">
        <v>0</v>
      </c>
      <c r="L593" t="n">
        <v>0</v>
      </c>
      <c r="M593" t="n">
        <v>0</v>
      </c>
      <c r="N593" t="n">
        <v>0</v>
      </c>
      <c r="O593" t="n">
        <v>0</v>
      </c>
      <c r="P593" t="n">
        <v>0</v>
      </c>
      <c r="Q593" t="n">
        <v>0</v>
      </c>
      <c r="R593" s="2" t="inlineStr"/>
    </row>
    <row r="594" ht="15" customHeight="1">
      <c r="A594" t="inlineStr">
        <is>
          <t>A 17323-2025</t>
        </is>
      </c>
      <c r="B594" s="1" t="n">
        <v>45756.63601851852</v>
      </c>
      <c r="C594" s="1" t="n">
        <v>45908</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39489-2023</t>
        </is>
      </c>
      <c r="B595" s="1" t="n">
        <v>45166</v>
      </c>
      <c r="C595" s="1" t="n">
        <v>45908</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55214-2022</t>
        </is>
      </c>
      <c r="B596" s="1" t="n">
        <v>44886</v>
      </c>
      <c r="C596" s="1" t="n">
        <v>45908</v>
      </c>
      <c r="D596" t="inlineStr">
        <is>
          <t>JÄMTLANDS LÄN</t>
        </is>
      </c>
      <c r="E596" t="inlineStr">
        <is>
          <t>RAGUNDA</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16364-2023</t>
        </is>
      </c>
      <c r="B597" s="1" t="n">
        <v>45028</v>
      </c>
      <c r="C597" s="1" t="n">
        <v>45908</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25175-2025</t>
        </is>
      </c>
      <c r="B598" s="1" t="n">
        <v>45800.44822916666</v>
      </c>
      <c r="C598" s="1" t="n">
        <v>45908</v>
      </c>
      <c r="D598" t="inlineStr">
        <is>
          <t>JÄMTLANDS LÄN</t>
        </is>
      </c>
      <c r="E598" t="inlineStr">
        <is>
          <t>RAGUNDA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25177-2025</t>
        </is>
      </c>
      <c r="B599" s="1" t="n">
        <v>45800.44862268519</v>
      </c>
      <c r="C599" s="1" t="n">
        <v>45908</v>
      </c>
      <c r="D599" t="inlineStr">
        <is>
          <t>JÄMTLANDS LÄN</t>
        </is>
      </c>
      <c r="E599" t="inlineStr">
        <is>
          <t>RAGUNDA</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59136-2023</t>
        </is>
      </c>
      <c r="B600" s="1" t="n">
        <v>45251</v>
      </c>
      <c r="C600" s="1" t="n">
        <v>45908</v>
      </c>
      <c r="D600" t="inlineStr">
        <is>
          <t>JÄMTLANDS LÄN</t>
        </is>
      </c>
      <c r="E600" t="inlineStr">
        <is>
          <t>RAGUNDA</t>
        </is>
      </c>
      <c r="G600" t="n">
        <v>1.7</v>
      </c>
      <c r="H600" t="n">
        <v>0</v>
      </c>
      <c r="I600" t="n">
        <v>0</v>
      </c>
      <c r="J600" t="n">
        <v>0</v>
      </c>
      <c r="K600" t="n">
        <v>0</v>
      </c>
      <c r="L600" t="n">
        <v>0</v>
      </c>
      <c r="M600" t="n">
        <v>0</v>
      </c>
      <c r="N600" t="n">
        <v>0</v>
      </c>
      <c r="O600" t="n">
        <v>0</v>
      </c>
      <c r="P600" t="n">
        <v>0</v>
      </c>
      <c r="Q600" t="n">
        <v>0</v>
      </c>
      <c r="R600" s="2" t="inlineStr"/>
    </row>
    <row r="601" ht="15" customHeight="1">
      <c r="A601" t="inlineStr">
        <is>
          <t>A 25659-2025</t>
        </is>
      </c>
      <c r="B601" s="1" t="n">
        <v>45803.61552083334</v>
      </c>
      <c r="C601" s="1" t="n">
        <v>45908</v>
      </c>
      <c r="D601" t="inlineStr">
        <is>
          <t>JÄMTLANDS LÄN</t>
        </is>
      </c>
      <c r="E601" t="inlineStr">
        <is>
          <t>RAGUNDA</t>
        </is>
      </c>
      <c r="G601" t="n">
        <v>1.5</v>
      </c>
      <c r="H601" t="n">
        <v>0</v>
      </c>
      <c r="I601" t="n">
        <v>0</v>
      </c>
      <c r="J601" t="n">
        <v>0</v>
      </c>
      <c r="K601" t="n">
        <v>0</v>
      </c>
      <c r="L601" t="n">
        <v>0</v>
      </c>
      <c r="M601" t="n">
        <v>0</v>
      </c>
      <c r="N601" t="n">
        <v>0</v>
      </c>
      <c r="O601" t="n">
        <v>0</v>
      </c>
      <c r="P601" t="n">
        <v>0</v>
      </c>
      <c r="Q601" t="n">
        <v>0</v>
      </c>
      <c r="R601" s="2" t="inlineStr"/>
    </row>
    <row r="602" ht="15" customHeight="1">
      <c r="A602" t="inlineStr">
        <is>
          <t>A 25661-2025</t>
        </is>
      </c>
      <c r="B602" s="1" t="n">
        <v>45803.61557870371</v>
      </c>
      <c r="C602" s="1" t="n">
        <v>45908</v>
      </c>
      <c r="D602" t="inlineStr">
        <is>
          <t>JÄMTLANDS LÄN</t>
        </is>
      </c>
      <c r="E602" t="inlineStr">
        <is>
          <t>RAGUNDA</t>
        </is>
      </c>
      <c r="G602" t="n">
        <v>1.4</v>
      </c>
      <c r="H602" t="n">
        <v>0</v>
      </c>
      <c r="I602" t="n">
        <v>0</v>
      </c>
      <c r="J602" t="n">
        <v>0</v>
      </c>
      <c r="K602" t="n">
        <v>0</v>
      </c>
      <c r="L602" t="n">
        <v>0</v>
      </c>
      <c r="M602" t="n">
        <v>0</v>
      </c>
      <c r="N602" t="n">
        <v>0</v>
      </c>
      <c r="O602" t="n">
        <v>0</v>
      </c>
      <c r="P602" t="n">
        <v>0</v>
      </c>
      <c r="Q602" t="n">
        <v>0</v>
      </c>
      <c r="R602" s="2" t="inlineStr"/>
    </row>
    <row r="603" ht="15" customHeight="1">
      <c r="A603" t="inlineStr">
        <is>
          <t>A 25350-2025</t>
        </is>
      </c>
      <c r="B603" s="1" t="n">
        <v>45800</v>
      </c>
      <c r="C603" s="1" t="n">
        <v>45908</v>
      </c>
      <c r="D603" t="inlineStr">
        <is>
          <t>JÄMTLANDS LÄN</t>
        </is>
      </c>
      <c r="E603" t="inlineStr">
        <is>
          <t>RAGUNDA</t>
        </is>
      </c>
      <c r="G603" t="n">
        <v>2.4</v>
      </c>
      <c r="H603" t="n">
        <v>0</v>
      </c>
      <c r="I603" t="n">
        <v>0</v>
      </c>
      <c r="J603" t="n">
        <v>0</v>
      </c>
      <c r="K603" t="n">
        <v>0</v>
      </c>
      <c r="L603" t="n">
        <v>0</v>
      </c>
      <c r="M603" t="n">
        <v>0</v>
      </c>
      <c r="N603" t="n">
        <v>0</v>
      </c>
      <c r="O603" t="n">
        <v>0</v>
      </c>
      <c r="P603" t="n">
        <v>0</v>
      </c>
      <c r="Q603" t="n">
        <v>0</v>
      </c>
      <c r="R603" s="2" t="inlineStr"/>
    </row>
    <row r="604" ht="15" customHeight="1">
      <c r="A604" t="inlineStr">
        <is>
          <t>A 25152-2025</t>
        </is>
      </c>
      <c r="B604" s="1" t="n">
        <v>45800.42743055556</v>
      </c>
      <c r="C604" s="1" t="n">
        <v>45908</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49659-2023</t>
        </is>
      </c>
      <c r="B605" s="1" t="n">
        <v>45211.95134259259</v>
      </c>
      <c r="C605" s="1" t="n">
        <v>45908</v>
      </c>
      <c r="D605" t="inlineStr">
        <is>
          <t>JÄMTLANDS LÄN</t>
        </is>
      </c>
      <c r="E605" t="inlineStr">
        <is>
          <t>RAGUNDA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19613-2023</t>
        </is>
      </c>
      <c r="B606" s="1" t="n">
        <v>45050.94020833333</v>
      </c>
      <c r="C606" s="1" t="n">
        <v>45908</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25814-2025</t>
        </is>
      </c>
      <c r="B607" s="1" t="n">
        <v>45804.42642361111</v>
      </c>
      <c r="C607" s="1" t="n">
        <v>45908</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25944-2025</t>
        </is>
      </c>
      <c r="B608" s="1" t="n">
        <v>45804.59487268519</v>
      </c>
      <c r="C608" s="1" t="n">
        <v>45908</v>
      </c>
      <c r="D608" t="inlineStr">
        <is>
          <t>JÄMTLANDS LÄN</t>
        </is>
      </c>
      <c r="E608" t="inlineStr">
        <is>
          <t>RAGUNDA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26283-2025</t>
        </is>
      </c>
      <c r="B609" s="1" t="n">
        <v>45805.61495370371</v>
      </c>
      <c r="C609" s="1" t="n">
        <v>45908</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10788-2025</t>
        </is>
      </c>
      <c r="B610" s="1" t="n">
        <v>45722.48982638889</v>
      </c>
      <c r="C610" s="1" t="n">
        <v>45908</v>
      </c>
      <c r="D610" t="inlineStr">
        <is>
          <t>JÄMTLANDS LÄN</t>
        </is>
      </c>
      <c r="E610" t="inlineStr">
        <is>
          <t>RAGUNDA</t>
        </is>
      </c>
      <c r="G610" t="n">
        <v>3.5</v>
      </c>
      <c r="H610" t="n">
        <v>0</v>
      </c>
      <c r="I610" t="n">
        <v>0</v>
      </c>
      <c r="J610" t="n">
        <v>0</v>
      </c>
      <c r="K610" t="n">
        <v>0</v>
      </c>
      <c r="L610" t="n">
        <v>0</v>
      </c>
      <c r="M610" t="n">
        <v>0</v>
      </c>
      <c r="N610" t="n">
        <v>0</v>
      </c>
      <c r="O610" t="n">
        <v>0</v>
      </c>
      <c r="P610" t="n">
        <v>0</v>
      </c>
      <c r="Q610" t="n">
        <v>0</v>
      </c>
      <c r="R610" s="2" t="inlineStr"/>
    </row>
    <row r="611" ht="15" customHeight="1">
      <c r="A611" t="inlineStr">
        <is>
          <t>A 50521-2024</t>
        </is>
      </c>
      <c r="B611" s="1" t="n">
        <v>45601.55331018518</v>
      </c>
      <c r="C611" s="1" t="n">
        <v>45908</v>
      </c>
      <c r="D611" t="inlineStr">
        <is>
          <t>JÄMTLANDS LÄN</t>
        </is>
      </c>
      <c r="E611" t="inlineStr">
        <is>
          <t>RAGUNDA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4916-2025</t>
        </is>
      </c>
      <c r="B612" s="1" t="n">
        <v>45688.68196759259</v>
      </c>
      <c r="C612" s="1" t="n">
        <v>45908</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59557-2023</t>
        </is>
      </c>
      <c r="B613" s="1" t="n">
        <v>45253</v>
      </c>
      <c r="C613" s="1" t="n">
        <v>45908</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24258-2025</t>
        </is>
      </c>
      <c r="B614" s="1" t="n">
        <v>45797.40800925926</v>
      </c>
      <c r="C614" s="1" t="n">
        <v>45908</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7722-2023</t>
        </is>
      </c>
      <c r="B615" s="1" t="n">
        <v>44972.94140046297</v>
      </c>
      <c r="C615" s="1" t="n">
        <v>45908</v>
      </c>
      <c r="D615" t="inlineStr">
        <is>
          <t>JÄMTLANDS LÄN</t>
        </is>
      </c>
      <c r="E615" t="inlineStr">
        <is>
          <t>RAGUNDA</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12204-2025</t>
        </is>
      </c>
      <c r="B616" s="1" t="n">
        <v>45729.51074074074</v>
      </c>
      <c r="C616" s="1" t="n">
        <v>45908</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25994-2025</t>
        </is>
      </c>
      <c r="B617" s="1" t="n">
        <v>45804.65672453704</v>
      </c>
      <c r="C617" s="1" t="n">
        <v>45908</v>
      </c>
      <c r="D617" t="inlineStr">
        <is>
          <t>JÄMTLANDS LÄN</t>
        </is>
      </c>
      <c r="E617" t="inlineStr">
        <is>
          <t>RAGUNDA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55309-2020</t>
        </is>
      </c>
      <c r="B618" s="1" t="n">
        <v>44130.9416550926</v>
      </c>
      <c r="C618" s="1" t="n">
        <v>45908</v>
      </c>
      <c r="D618" t="inlineStr">
        <is>
          <t>JÄMTLANDS LÄN</t>
        </is>
      </c>
      <c r="E618" t="inlineStr">
        <is>
          <t>RAGUNDA</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57112-2024</t>
        </is>
      </c>
      <c r="B619" s="1" t="n">
        <v>45629.36486111111</v>
      </c>
      <c r="C619" s="1" t="n">
        <v>45908</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53136-2024</t>
        </is>
      </c>
      <c r="B620" s="1" t="n">
        <v>45611.5953125</v>
      </c>
      <c r="C620" s="1" t="n">
        <v>45908</v>
      </c>
      <c r="D620" t="inlineStr">
        <is>
          <t>JÄMTLANDS LÄN</t>
        </is>
      </c>
      <c r="E620" t="inlineStr">
        <is>
          <t>RAGUNDA</t>
        </is>
      </c>
      <c r="G620" t="n">
        <v>3.8</v>
      </c>
      <c r="H620" t="n">
        <v>0</v>
      </c>
      <c r="I620" t="n">
        <v>0</v>
      </c>
      <c r="J620" t="n">
        <v>0</v>
      </c>
      <c r="K620" t="n">
        <v>0</v>
      </c>
      <c r="L620" t="n">
        <v>0</v>
      </c>
      <c r="M620" t="n">
        <v>0</v>
      </c>
      <c r="N620" t="n">
        <v>0</v>
      </c>
      <c r="O620" t="n">
        <v>0</v>
      </c>
      <c r="P620" t="n">
        <v>0</v>
      </c>
      <c r="Q620" t="n">
        <v>0</v>
      </c>
      <c r="R620" s="2" t="inlineStr"/>
    </row>
    <row r="621" ht="15" customHeight="1">
      <c r="A621" t="inlineStr">
        <is>
          <t>A 33621-2023</t>
        </is>
      </c>
      <c r="B621" s="1" t="n">
        <v>45119</v>
      </c>
      <c r="C621" s="1" t="n">
        <v>45908</v>
      </c>
      <c r="D621" t="inlineStr">
        <is>
          <t>JÄMTLANDS LÄN</t>
        </is>
      </c>
      <c r="E621" t="inlineStr">
        <is>
          <t>RAGUNDA</t>
        </is>
      </c>
      <c r="G621" t="n">
        <v>0.5</v>
      </c>
      <c r="H621" t="n">
        <v>0</v>
      </c>
      <c r="I621" t="n">
        <v>0</v>
      </c>
      <c r="J621" t="n">
        <v>0</v>
      </c>
      <c r="K621" t="n">
        <v>0</v>
      </c>
      <c r="L621" t="n">
        <v>0</v>
      </c>
      <c r="M621" t="n">
        <v>0</v>
      </c>
      <c r="N621" t="n">
        <v>0</v>
      </c>
      <c r="O621" t="n">
        <v>0</v>
      </c>
      <c r="P621" t="n">
        <v>0</v>
      </c>
      <c r="Q621" t="n">
        <v>0</v>
      </c>
      <c r="R621" s="2" t="inlineStr"/>
    </row>
    <row r="622" ht="15" customHeight="1">
      <c r="A622" t="inlineStr">
        <is>
          <t>A 6694-2024</t>
        </is>
      </c>
      <c r="B622" s="1" t="n">
        <v>45341.95381944445</v>
      </c>
      <c r="C622" s="1" t="n">
        <v>45908</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13299-2024</t>
        </is>
      </c>
      <c r="B623" s="1" t="n">
        <v>45386.68003472222</v>
      </c>
      <c r="C623" s="1" t="n">
        <v>45908</v>
      </c>
      <c r="D623" t="inlineStr">
        <is>
          <t>JÄMTLANDS LÄN</t>
        </is>
      </c>
      <c r="E623" t="inlineStr">
        <is>
          <t>RAGUNDA</t>
        </is>
      </c>
      <c r="G623" t="n">
        <v>1.9</v>
      </c>
      <c r="H623" t="n">
        <v>0</v>
      </c>
      <c r="I623" t="n">
        <v>0</v>
      </c>
      <c r="J623" t="n">
        <v>0</v>
      </c>
      <c r="K623" t="n">
        <v>0</v>
      </c>
      <c r="L623" t="n">
        <v>0</v>
      </c>
      <c r="M623" t="n">
        <v>0</v>
      </c>
      <c r="N623" t="n">
        <v>0</v>
      </c>
      <c r="O623" t="n">
        <v>0</v>
      </c>
      <c r="P623" t="n">
        <v>0</v>
      </c>
      <c r="Q623" t="n">
        <v>0</v>
      </c>
      <c r="R623" s="2" t="inlineStr"/>
    </row>
    <row r="624" ht="15" customHeight="1">
      <c r="A624" t="inlineStr">
        <is>
          <t>A 15024-2022</t>
        </is>
      </c>
      <c r="B624" s="1" t="n">
        <v>44657</v>
      </c>
      <c r="C624" s="1" t="n">
        <v>45908</v>
      </c>
      <c r="D624" t="inlineStr">
        <is>
          <t>JÄMTLANDS LÄN</t>
        </is>
      </c>
      <c r="E624" t="inlineStr">
        <is>
          <t>RAGUNDA</t>
        </is>
      </c>
      <c r="G624" t="n">
        <v>1.8</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45908</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1537-2024</t>
        </is>
      </c>
      <c r="B626" s="1" t="n">
        <v>45306</v>
      </c>
      <c r="C626" s="1" t="n">
        <v>45908</v>
      </c>
      <c r="D626" t="inlineStr">
        <is>
          <t>JÄMTLANDS LÄN</t>
        </is>
      </c>
      <c r="E626" t="inlineStr">
        <is>
          <t>RAGUNDA</t>
        </is>
      </c>
      <c r="G626" t="n">
        <v>0.2</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45908</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26246-2025</t>
        </is>
      </c>
      <c r="B628" s="1" t="n">
        <v>45805.57390046296</v>
      </c>
      <c r="C628" s="1" t="n">
        <v>45908</v>
      </c>
      <c r="D628" t="inlineStr">
        <is>
          <t>JÄMTLANDS LÄN</t>
        </is>
      </c>
      <c r="E628" t="inlineStr">
        <is>
          <t>RAGUNDA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60935-2024</t>
        </is>
      </c>
      <c r="B629" s="1" t="n">
        <v>45645.36740740741</v>
      </c>
      <c r="C629" s="1" t="n">
        <v>45908</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36371-2023</t>
        </is>
      </c>
      <c r="B630" s="1" t="n">
        <v>45149</v>
      </c>
      <c r="C630" s="1" t="n">
        <v>45908</v>
      </c>
      <c r="D630" t="inlineStr">
        <is>
          <t>JÄMTLANDS LÄN</t>
        </is>
      </c>
      <c r="E630" t="inlineStr">
        <is>
          <t>RAGUNDA</t>
        </is>
      </c>
      <c r="G630" t="n">
        <v>25.7</v>
      </c>
      <c r="H630" t="n">
        <v>0</v>
      </c>
      <c r="I630" t="n">
        <v>0</v>
      </c>
      <c r="J630" t="n">
        <v>0</v>
      </c>
      <c r="K630" t="n">
        <v>0</v>
      </c>
      <c r="L630" t="n">
        <v>0</v>
      </c>
      <c r="M630" t="n">
        <v>0</v>
      </c>
      <c r="N630" t="n">
        <v>0</v>
      </c>
      <c r="O630" t="n">
        <v>0</v>
      </c>
      <c r="P630" t="n">
        <v>0</v>
      </c>
      <c r="Q630" t="n">
        <v>0</v>
      </c>
      <c r="R630" s="2" t="inlineStr"/>
    </row>
    <row r="631" ht="15" customHeight="1">
      <c r="A631" t="inlineStr">
        <is>
          <t>A 56702-2023</t>
        </is>
      </c>
      <c r="B631" s="1" t="n">
        <v>45243</v>
      </c>
      <c r="C631" s="1" t="n">
        <v>45908</v>
      </c>
      <c r="D631" t="inlineStr">
        <is>
          <t>JÄMTLANDS LÄN</t>
        </is>
      </c>
      <c r="E631" t="inlineStr">
        <is>
          <t>RAGUNDA</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6257-2025</t>
        </is>
      </c>
      <c r="B632" s="1" t="n">
        <v>45698.59409722222</v>
      </c>
      <c r="C632" s="1" t="n">
        <v>45908</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14074-2023</t>
        </is>
      </c>
      <c r="B633" s="1" t="n">
        <v>45009.089375</v>
      </c>
      <c r="C633" s="1" t="n">
        <v>45908</v>
      </c>
      <c r="D633" t="inlineStr">
        <is>
          <t>JÄMTLANDS LÄN</t>
        </is>
      </c>
      <c r="E633" t="inlineStr">
        <is>
          <t>RAGUNDA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37265-2024</t>
        </is>
      </c>
      <c r="B634" s="1" t="n">
        <v>45540.38564814815</v>
      </c>
      <c r="C634" s="1" t="n">
        <v>45908</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32259-2024</t>
        </is>
      </c>
      <c r="B635" s="1" t="n">
        <v>45511</v>
      </c>
      <c r="C635" s="1" t="n">
        <v>45908</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44550.92168981482</v>
      </c>
      <c r="C636" s="1" t="n">
        <v>45908</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51396-2024</t>
        </is>
      </c>
      <c r="B637" s="1" t="n">
        <v>45604.4190625</v>
      </c>
      <c r="C637" s="1" t="n">
        <v>45908</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5313-2025</t>
        </is>
      </c>
      <c r="B638" s="1" t="n">
        <v>45692.51069444444</v>
      </c>
      <c r="C638" s="1" t="n">
        <v>45908</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5357-2025</t>
        </is>
      </c>
      <c r="B639" s="1" t="n">
        <v>45692.57326388889</v>
      </c>
      <c r="C639" s="1" t="n">
        <v>45908</v>
      </c>
      <c r="D639" t="inlineStr">
        <is>
          <t>JÄMTLANDS LÄN</t>
        </is>
      </c>
      <c r="E639" t="inlineStr">
        <is>
          <t>RAGUNDA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3018-2024</t>
        </is>
      </c>
      <c r="B640" s="1" t="n">
        <v>45315.9492824074</v>
      </c>
      <c r="C640" s="1" t="n">
        <v>45908</v>
      </c>
      <c r="D640" t="inlineStr">
        <is>
          <t>JÄMTLANDS LÄN</t>
        </is>
      </c>
      <c r="E640" t="inlineStr">
        <is>
          <t>RAGUNDA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44605-2024</t>
        </is>
      </c>
      <c r="B641" s="1" t="n">
        <v>45574.51185185185</v>
      </c>
      <c r="C641" s="1" t="n">
        <v>45908</v>
      </c>
      <c r="D641" t="inlineStr">
        <is>
          <t>JÄMTLANDS LÄN</t>
        </is>
      </c>
      <c r="E641" t="inlineStr">
        <is>
          <t>RAGUNDA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26640-2025</t>
        </is>
      </c>
      <c r="B642" s="1" t="n">
        <v>45810.36495370371</v>
      </c>
      <c r="C642" s="1" t="n">
        <v>45908</v>
      </c>
      <c r="D642" t="inlineStr">
        <is>
          <t>JÄMTLANDS LÄN</t>
        </is>
      </c>
      <c r="E642" t="inlineStr">
        <is>
          <t>RAGUNDA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20773-2024</t>
        </is>
      </c>
      <c r="B643" s="1" t="n">
        <v>45436.94636574074</v>
      </c>
      <c r="C643" s="1" t="n">
        <v>45908</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18777-2024</t>
        </is>
      </c>
      <c r="B644" s="1" t="n">
        <v>45426</v>
      </c>
      <c r="C644" s="1" t="n">
        <v>45908</v>
      </c>
      <c r="D644" t="inlineStr">
        <is>
          <t>JÄMTLANDS LÄN</t>
        </is>
      </c>
      <c r="E644" t="inlineStr">
        <is>
          <t>RAGUNDA</t>
        </is>
      </c>
      <c r="G644" t="n">
        <v>1.9</v>
      </c>
      <c r="H644" t="n">
        <v>0</v>
      </c>
      <c r="I644" t="n">
        <v>0</v>
      </c>
      <c r="J644" t="n">
        <v>0</v>
      </c>
      <c r="K644" t="n">
        <v>0</v>
      </c>
      <c r="L644" t="n">
        <v>0</v>
      </c>
      <c r="M644" t="n">
        <v>0</v>
      </c>
      <c r="N644" t="n">
        <v>0</v>
      </c>
      <c r="O644" t="n">
        <v>0</v>
      </c>
      <c r="P644" t="n">
        <v>0</v>
      </c>
      <c r="Q644" t="n">
        <v>0</v>
      </c>
      <c r="R644" s="2" t="inlineStr"/>
    </row>
    <row r="645" ht="15" customHeight="1">
      <c r="A645" t="inlineStr">
        <is>
          <t>A 34323-2023</t>
        </is>
      </c>
      <c r="B645" s="1" t="n">
        <v>45138.94925925926</v>
      </c>
      <c r="C645" s="1" t="n">
        <v>45908</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50486-2023</t>
        </is>
      </c>
      <c r="B646" s="1" t="n">
        <v>45216.92424768519</v>
      </c>
      <c r="C646" s="1" t="n">
        <v>45908</v>
      </c>
      <c r="D646" t="inlineStr">
        <is>
          <t>JÄMTLANDS LÄN</t>
        </is>
      </c>
      <c r="E646" t="inlineStr">
        <is>
          <t>RAGUNDA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58564-2024</t>
        </is>
      </c>
      <c r="B647" s="1" t="n">
        <v>45635.47243055556</v>
      </c>
      <c r="C647" s="1" t="n">
        <v>45908</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51538-2022</t>
        </is>
      </c>
      <c r="B648" s="1" t="n">
        <v>44869</v>
      </c>
      <c r="C648" s="1" t="n">
        <v>45908</v>
      </c>
      <c r="D648" t="inlineStr">
        <is>
          <t>JÄMTLANDS LÄN</t>
        </is>
      </c>
      <c r="E648" t="inlineStr">
        <is>
          <t>RAGUNDA</t>
        </is>
      </c>
      <c r="G648" t="n">
        <v>6.8</v>
      </c>
      <c r="H648" t="n">
        <v>0</v>
      </c>
      <c r="I648" t="n">
        <v>0</v>
      </c>
      <c r="J648" t="n">
        <v>0</v>
      </c>
      <c r="K648" t="n">
        <v>0</v>
      </c>
      <c r="L648" t="n">
        <v>0</v>
      </c>
      <c r="M648" t="n">
        <v>0</v>
      </c>
      <c r="N648" t="n">
        <v>0</v>
      </c>
      <c r="O648" t="n">
        <v>0</v>
      </c>
      <c r="P648" t="n">
        <v>0</v>
      </c>
      <c r="Q648" t="n">
        <v>0</v>
      </c>
      <c r="R648" s="2" t="inlineStr"/>
    </row>
    <row r="649" ht="15" customHeight="1">
      <c r="A649" t="inlineStr">
        <is>
          <t>A 19727-2025</t>
        </is>
      </c>
      <c r="B649" s="1" t="n">
        <v>45771.36538194444</v>
      </c>
      <c r="C649" s="1" t="n">
        <v>45908</v>
      </c>
      <c r="D649" t="inlineStr">
        <is>
          <t>JÄMTLANDS LÄN</t>
        </is>
      </c>
      <c r="E649" t="inlineStr">
        <is>
          <t>RAGUNDA</t>
        </is>
      </c>
      <c r="F649" t="inlineStr">
        <is>
          <t>SCA</t>
        </is>
      </c>
      <c r="G649" t="n">
        <v>9</v>
      </c>
      <c r="H649" t="n">
        <v>0</v>
      </c>
      <c r="I649" t="n">
        <v>0</v>
      </c>
      <c r="J649" t="n">
        <v>0</v>
      </c>
      <c r="K649" t="n">
        <v>0</v>
      </c>
      <c r="L649" t="n">
        <v>0</v>
      </c>
      <c r="M649" t="n">
        <v>0</v>
      </c>
      <c r="N649" t="n">
        <v>0</v>
      </c>
      <c r="O649" t="n">
        <v>0</v>
      </c>
      <c r="P649" t="n">
        <v>0</v>
      </c>
      <c r="Q649" t="n">
        <v>0</v>
      </c>
      <c r="R649" s="2" t="inlineStr"/>
    </row>
    <row r="650" ht="15" customHeight="1">
      <c r="A650" t="inlineStr">
        <is>
          <t>A 19854-2025</t>
        </is>
      </c>
      <c r="B650" s="1" t="n">
        <v>45771.51074074074</v>
      </c>
      <c r="C650" s="1" t="n">
        <v>45908</v>
      </c>
      <c r="D650" t="inlineStr">
        <is>
          <t>JÄMTLANDS LÄN</t>
        </is>
      </c>
      <c r="E650" t="inlineStr">
        <is>
          <t>RAGUNDA</t>
        </is>
      </c>
      <c r="F650" t="inlineStr">
        <is>
          <t>SCA</t>
        </is>
      </c>
      <c r="G650" t="n">
        <v>8.4</v>
      </c>
      <c r="H650" t="n">
        <v>0</v>
      </c>
      <c r="I650" t="n">
        <v>0</v>
      </c>
      <c r="J650" t="n">
        <v>0</v>
      </c>
      <c r="K650" t="n">
        <v>0</v>
      </c>
      <c r="L650" t="n">
        <v>0</v>
      </c>
      <c r="M650" t="n">
        <v>0</v>
      </c>
      <c r="N650" t="n">
        <v>0</v>
      </c>
      <c r="O650" t="n">
        <v>0</v>
      </c>
      <c r="P650" t="n">
        <v>0</v>
      </c>
      <c r="Q650" t="n">
        <v>0</v>
      </c>
      <c r="R650" s="2" t="inlineStr"/>
    </row>
    <row r="651" ht="15" customHeight="1">
      <c r="A651" t="inlineStr">
        <is>
          <t>A 51685-2020</t>
        </is>
      </c>
      <c r="B651" s="1" t="n">
        <v>44113</v>
      </c>
      <c r="C651" s="1" t="n">
        <v>45908</v>
      </c>
      <c r="D651" t="inlineStr">
        <is>
          <t>JÄMTLANDS LÄN</t>
        </is>
      </c>
      <c r="E651" t="inlineStr">
        <is>
          <t>RAGUNDA</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2001-2025</t>
        </is>
      </c>
      <c r="B652" s="1" t="n">
        <v>45672.44898148148</v>
      </c>
      <c r="C652" s="1" t="n">
        <v>45908</v>
      </c>
      <c r="D652" t="inlineStr">
        <is>
          <t>JÄMTLANDS LÄN</t>
        </is>
      </c>
      <c r="E652" t="inlineStr">
        <is>
          <t>RAGUNDA</t>
        </is>
      </c>
      <c r="F652" t="inlineStr">
        <is>
          <t>SCA</t>
        </is>
      </c>
      <c r="G652" t="n">
        <v>16.2</v>
      </c>
      <c r="H652" t="n">
        <v>0</v>
      </c>
      <c r="I652" t="n">
        <v>0</v>
      </c>
      <c r="J652" t="n">
        <v>0</v>
      </c>
      <c r="K652" t="n">
        <v>0</v>
      </c>
      <c r="L652" t="n">
        <v>0</v>
      </c>
      <c r="M652" t="n">
        <v>0</v>
      </c>
      <c r="N652" t="n">
        <v>0</v>
      </c>
      <c r="O652" t="n">
        <v>0</v>
      </c>
      <c r="P652" t="n">
        <v>0</v>
      </c>
      <c r="Q652" t="n">
        <v>0</v>
      </c>
      <c r="R652" s="2" t="inlineStr"/>
    </row>
    <row r="653" ht="15" customHeight="1">
      <c r="A653" t="inlineStr">
        <is>
          <t>A 53762-2023</t>
        </is>
      </c>
      <c r="B653" s="1" t="n">
        <v>45230.96376157407</v>
      </c>
      <c r="C653" s="1" t="n">
        <v>45908</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50503-2024</t>
        </is>
      </c>
      <c r="B654" s="1" t="n">
        <v>45601.5315625</v>
      </c>
      <c r="C654" s="1" t="n">
        <v>45908</v>
      </c>
      <c r="D654" t="inlineStr">
        <is>
          <t>JÄMTLANDS LÄN</t>
        </is>
      </c>
      <c r="E654" t="inlineStr">
        <is>
          <t>RAGUNDA</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10610-2024</t>
        </is>
      </c>
      <c r="B655" s="1" t="n">
        <v>45367.04693287037</v>
      </c>
      <c r="C655" s="1" t="n">
        <v>45908</v>
      </c>
      <c r="D655" t="inlineStr">
        <is>
          <t>JÄMTLANDS LÄN</t>
        </is>
      </c>
      <c r="E655" t="inlineStr">
        <is>
          <t>RAGUNDA</t>
        </is>
      </c>
      <c r="F655" t="inlineStr">
        <is>
          <t>SCA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8243-2024</t>
        </is>
      </c>
      <c r="B656" s="1" t="n">
        <v>45351.98532407408</v>
      </c>
      <c r="C656" s="1" t="n">
        <v>45908</v>
      </c>
      <c r="D656" t="inlineStr">
        <is>
          <t>JÄMTLANDS LÄN</t>
        </is>
      </c>
      <c r="E656" t="inlineStr">
        <is>
          <t>RAGUNDA</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1325-2025</t>
        </is>
      </c>
      <c r="B657" s="1" t="n">
        <v>45667.57342592593</v>
      </c>
      <c r="C657" s="1" t="n">
        <v>45908</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18159-2023</t>
        </is>
      </c>
      <c r="B658" s="1" t="n">
        <v>45040.94277777777</v>
      </c>
      <c r="C658" s="1" t="n">
        <v>45908</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10706-2023</t>
        </is>
      </c>
      <c r="B659" s="1" t="n">
        <v>44984</v>
      </c>
      <c r="C659" s="1" t="n">
        <v>45908</v>
      </c>
      <c r="D659" t="inlineStr">
        <is>
          <t>JÄMTLANDS LÄN</t>
        </is>
      </c>
      <c r="E659" t="inlineStr">
        <is>
          <t>RAGUNDA</t>
        </is>
      </c>
      <c r="G659" t="n">
        <v>7.7</v>
      </c>
      <c r="H659" t="n">
        <v>0</v>
      </c>
      <c r="I659" t="n">
        <v>0</v>
      </c>
      <c r="J659" t="n">
        <v>0</v>
      </c>
      <c r="K659" t="n">
        <v>0</v>
      </c>
      <c r="L659" t="n">
        <v>0</v>
      </c>
      <c r="M659" t="n">
        <v>0</v>
      </c>
      <c r="N659" t="n">
        <v>0</v>
      </c>
      <c r="O659" t="n">
        <v>0</v>
      </c>
      <c r="P659" t="n">
        <v>0</v>
      </c>
      <c r="Q659" t="n">
        <v>0</v>
      </c>
      <c r="R659" s="2" t="inlineStr"/>
    </row>
    <row r="660" ht="15" customHeight="1">
      <c r="A660" t="inlineStr">
        <is>
          <t>A 63708-2023</t>
        </is>
      </c>
      <c r="B660" s="1" t="n">
        <v>45275.95060185185</v>
      </c>
      <c r="C660" s="1" t="n">
        <v>45908</v>
      </c>
      <c r="D660" t="inlineStr">
        <is>
          <t>JÄMTLANDS LÄN</t>
        </is>
      </c>
      <c r="E660" t="inlineStr">
        <is>
          <t>RAGUNDA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16250-2022</t>
        </is>
      </c>
      <c r="B661" s="1" t="n">
        <v>44670</v>
      </c>
      <c r="C661" s="1" t="n">
        <v>45908</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19486-2024</t>
        </is>
      </c>
      <c r="B662" s="1" t="n">
        <v>45429</v>
      </c>
      <c r="C662" s="1" t="n">
        <v>45908</v>
      </c>
      <c r="D662" t="inlineStr">
        <is>
          <t>JÄMTLANDS LÄN</t>
        </is>
      </c>
      <c r="E662" t="inlineStr">
        <is>
          <t>RAGUNDA</t>
        </is>
      </c>
      <c r="G662" t="n">
        <v>2.3</v>
      </c>
      <c r="H662" t="n">
        <v>0</v>
      </c>
      <c r="I662" t="n">
        <v>0</v>
      </c>
      <c r="J662" t="n">
        <v>0</v>
      </c>
      <c r="K662" t="n">
        <v>0</v>
      </c>
      <c r="L662" t="n">
        <v>0</v>
      </c>
      <c r="M662" t="n">
        <v>0</v>
      </c>
      <c r="N662" t="n">
        <v>0</v>
      </c>
      <c r="O662" t="n">
        <v>0</v>
      </c>
      <c r="P662" t="n">
        <v>0</v>
      </c>
      <c r="Q662" t="n">
        <v>0</v>
      </c>
      <c r="R662" s="2" t="inlineStr"/>
    </row>
    <row r="663" ht="15" customHeight="1">
      <c r="A663" t="inlineStr">
        <is>
          <t>A 1326-2025</t>
        </is>
      </c>
      <c r="B663" s="1" t="n">
        <v>45667.57347222222</v>
      </c>
      <c r="C663" s="1" t="n">
        <v>45908</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60663-2022</t>
        </is>
      </c>
      <c r="B664" s="1" t="n">
        <v>44911.93846064815</v>
      </c>
      <c r="C664" s="1" t="n">
        <v>45908</v>
      </c>
      <c r="D664" t="inlineStr">
        <is>
          <t>JÄMTLANDS LÄN</t>
        </is>
      </c>
      <c r="E664" t="inlineStr">
        <is>
          <t>RAGUNDA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19089-2024</t>
        </is>
      </c>
      <c r="B665" s="1" t="n">
        <v>45428.00471064815</v>
      </c>
      <c r="C665" s="1" t="n">
        <v>45908</v>
      </c>
      <c r="D665" t="inlineStr">
        <is>
          <t>JÄMTLANDS LÄN</t>
        </is>
      </c>
      <c r="E665" t="inlineStr">
        <is>
          <t>RAGUNDA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30642-2024</t>
        </is>
      </c>
      <c r="B666" s="1" t="n">
        <v>45495.57677083334</v>
      </c>
      <c r="C666" s="1" t="n">
        <v>45908</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58847-2024</t>
        </is>
      </c>
      <c r="B667" s="1" t="n">
        <v>45636.3864699074</v>
      </c>
      <c r="C667" s="1" t="n">
        <v>45908</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993-2025</t>
        </is>
      </c>
      <c r="B668" s="1" t="n">
        <v>45666.44943287037</v>
      </c>
      <c r="C668" s="1" t="n">
        <v>45908</v>
      </c>
      <c r="D668" t="inlineStr">
        <is>
          <t>JÄMTLANDS LÄN</t>
        </is>
      </c>
      <c r="E668" t="inlineStr">
        <is>
          <t>RAGUNDA</t>
        </is>
      </c>
      <c r="G668" t="n">
        <v>11.3</v>
      </c>
      <c r="H668" t="n">
        <v>0</v>
      </c>
      <c r="I668" t="n">
        <v>0</v>
      </c>
      <c r="J668" t="n">
        <v>0</v>
      </c>
      <c r="K668" t="n">
        <v>0</v>
      </c>
      <c r="L668" t="n">
        <v>0</v>
      </c>
      <c r="M668" t="n">
        <v>0</v>
      </c>
      <c r="N668" t="n">
        <v>0</v>
      </c>
      <c r="O668" t="n">
        <v>0</v>
      </c>
      <c r="P668" t="n">
        <v>0</v>
      </c>
      <c r="Q668" t="n">
        <v>0</v>
      </c>
      <c r="R668" s="2" t="inlineStr"/>
    </row>
    <row r="669" ht="15" customHeight="1">
      <c r="A669" t="inlineStr">
        <is>
          <t>A 27777-2022</t>
        </is>
      </c>
      <c r="B669" s="1" t="n">
        <v>44743</v>
      </c>
      <c r="C669" s="1" t="n">
        <v>45908</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58193-2022</t>
        </is>
      </c>
      <c r="B670" s="1" t="n">
        <v>44900.95700231481</v>
      </c>
      <c r="C670" s="1" t="n">
        <v>45908</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42875-2024</t>
        </is>
      </c>
      <c r="B671" s="1" t="n">
        <v>45566.68125</v>
      </c>
      <c r="C671" s="1" t="n">
        <v>45908</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27510-2025</t>
        </is>
      </c>
      <c r="B672" s="1" t="n">
        <v>45813.42790509259</v>
      </c>
      <c r="C672" s="1" t="n">
        <v>45908</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19404-2025</t>
        </is>
      </c>
      <c r="B673" s="1" t="n">
        <v>45769.67802083334</v>
      </c>
      <c r="C673" s="1" t="n">
        <v>45908</v>
      </c>
      <c r="D673" t="inlineStr">
        <is>
          <t>JÄMTLANDS LÄN</t>
        </is>
      </c>
      <c r="E673" t="inlineStr">
        <is>
          <t>RAGUNDA</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28081-2022</t>
        </is>
      </c>
      <c r="B674" s="1" t="n">
        <v>44746</v>
      </c>
      <c r="C674" s="1" t="n">
        <v>45908</v>
      </c>
      <c r="D674" t="inlineStr">
        <is>
          <t>JÄMTLANDS LÄN</t>
        </is>
      </c>
      <c r="E674" t="inlineStr">
        <is>
          <t>RAGUNDA</t>
        </is>
      </c>
      <c r="G674" t="n">
        <v>7.2</v>
      </c>
      <c r="H674" t="n">
        <v>0</v>
      </c>
      <c r="I674" t="n">
        <v>0</v>
      </c>
      <c r="J674" t="n">
        <v>0</v>
      </c>
      <c r="K674" t="n">
        <v>0</v>
      </c>
      <c r="L674" t="n">
        <v>0</v>
      </c>
      <c r="M674" t="n">
        <v>0</v>
      </c>
      <c r="N674" t="n">
        <v>0</v>
      </c>
      <c r="O674" t="n">
        <v>0</v>
      </c>
      <c r="P674" t="n">
        <v>0</v>
      </c>
      <c r="Q674" t="n">
        <v>0</v>
      </c>
      <c r="R674" s="2" t="inlineStr"/>
    </row>
    <row r="675" ht="15" customHeight="1">
      <c r="A675" t="inlineStr">
        <is>
          <t>A 53935-2022</t>
        </is>
      </c>
      <c r="B675" s="1" t="n">
        <v>44880</v>
      </c>
      <c r="C675" s="1" t="n">
        <v>45908</v>
      </c>
      <c r="D675" t="inlineStr">
        <is>
          <t>JÄMTLANDS LÄN</t>
        </is>
      </c>
      <c r="E675" t="inlineStr">
        <is>
          <t>RAGUNDA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41262-2021</t>
        </is>
      </c>
      <c r="B676" s="1" t="n">
        <v>44424</v>
      </c>
      <c r="C676" s="1" t="n">
        <v>45908</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20221-2025</t>
        </is>
      </c>
      <c r="B677" s="1" t="n">
        <v>45772.6565625</v>
      </c>
      <c r="C677" s="1" t="n">
        <v>45908</v>
      </c>
      <c r="D677" t="inlineStr">
        <is>
          <t>JÄMTLANDS LÄN</t>
        </is>
      </c>
      <c r="E677" t="inlineStr">
        <is>
          <t>RAGUNDA</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4015-2022</t>
        </is>
      </c>
      <c r="B678" s="1" t="n">
        <v>44587.92149305555</v>
      </c>
      <c r="C678" s="1" t="n">
        <v>45908</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8416-2023</t>
        </is>
      </c>
      <c r="B679" s="1" t="n">
        <v>44977.44373842593</v>
      </c>
      <c r="C679" s="1" t="n">
        <v>45908</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45253-2023</t>
        </is>
      </c>
      <c r="B680" s="1" t="n">
        <v>45187</v>
      </c>
      <c r="C680" s="1" t="n">
        <v>45908</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18989-2025</t>
        </is>
      </c>
      <c r="B681" s="1" t="n">
        <v>45764</v>
      </c>
      <c r="C681" s="1" t="n">
        <v>45908</v>
      </c>
      <c r="D681" t="inlineStr">
        <is>
          <t>JÄMTLANDS LÄN</t>
        </is>
      </c>
      <c r="E681" t="inlineStr">
        <is>
          <t>RAGUNDA</t>
        </is>
      </c>
      <c r="G681" t="n">
        <v>0.9</v>
      </c>
      <c r="H681" t="n">
        <v>0</v>
      </c>
      <c r="I681" t="n">
        <v>0</v>
      </c>
      <c r="J681" t="n">
        <v>0</v>
      </c>
      <c r="K681" t="n">
        <v>0</v>
      </c>
      <c r="L681" t="n">
        <v>0</v>
      </c>
      <c r="M681" t="n">
        <v>0</v>
      </c>
      <c r="N681" t="n">
        <v>0</v>
      </c>
      <c r="O681" t="n">
        <v>0</v>
      </c>
      <c r="P681" t="n">
        <v>0</v>
      </c>
      <c r="Q681" t="n">
        <v>0</v>
      </c>
      <c r="R681" s="2" t="inlineStr"/>
    </row>
    <row r="682" ht="15" customHeight="1">
      <c r="A682" t="inlineStr">
        <is>
          <t>A 14369-2024</t>
        </is>
      </c>
      <c r="B682" s="1" t="n">
        <v>45393.94459490741</v>
      </c>
      <c r="C682" s="1" t="n">
        <v>45908</v>
      </c>
      <c r="D682" t="inlineStr">
        <is>
          <t>JÄMTLANDS LÄN</t>
        </is>
      </c>
      <c r="E682" t="inlineStr">
        <is>
          <t>RAGUNDA</t>
        </is>
      </c>
      <c r="F682" t="inlineStr">
        <is>
          <t>Naturvårdsverket</t>
        </is>
      </c>
      <c r="G682" t="n">
        <v>1.8</v>
      </c>
      <c r="H682" t="n">
        <v>0</v>
      </c>
      <c r="I682" t="n">
        <v>0</v>
      </c>
      <c r="J682" t="n">
        <v>0</v>
      </c>
      <c r="K682" t="n">
        <v>0</v>
      </c>
      <c r="L682" t="n">
        <v>0</v>
      </c>
      <c r="M682" t="n">
        <v>0</v>
      </c>
      <c r="N682" t="n">
        <v>0</v>
      </c>
      <c r="O682" t="n">
        <v>0</v>
      </c>
      <c r="P682" t="n">
        <v>0</v>
      </c>
      <c r="Q682" t="n">
        <v>0</v>
      </c>
      <c r="R682" s="2" t="inlineStr"/>
    </row>
    <row r="683" ht="15" customHeight="1">
      <c r="A683" t="inlineStr">
        <is>
          <t>A 28216-2025</t>
        </is>
      </c>
      <c r="B683" s="1" t="n">
        <v>45818.46898148148</v>
      </c>
      <c r="C683" s="1" t="n">
        <v>45908</v>
      </c>
      <c r="D683" t="inlineStr">
        <is>
          <t>JÄMTLANDS LÄN</t>
        </is>
      </c>
      <c r="E683" t="inlineStr">
        <is>
          <t>RAGUNDA</t>
        </is>
      </c>
      <c r="G683" t="n">
        <v>6.6</v>
      </c>
      <c r="H683" t="n">
        <v>0</v>
      </c>
      <c r="I683" t="n">
        <v>0</v>
      </c>
      <c r="J683" t="n">
        <v>0</v>
      </c>
      <c r="K683" t="n">
        <v>0</v>
      </c>
      <c r="L683" t="n">
        <v>0</v>
      </c>
      <c r="M683" t="n">
        <v>0</v>
      </c>
      <c r="N683" t="n">
        <v>0</v>
      </c>
      <c r="O683" t="n">
        <v>0</v>
      </c>
      <c r="P683" t="n">
        <v>0</v>
      </c>
      <c r="Q683" t="n">
        <v>0</v>
      </c>
      <c r="R683" s="2" t="inlineStr"/>
    </row>
    <row r="684" ht="15" customHeight="1">
      <c r="A684" t="inlineStr">
        <is>
          <t>A 51049-2024</t>
        </is>
      </c>
      <c r="B684" s="1" t="n">
        <v>45603.44644675926</v>
      </c>
      <c r="C684" s="1" t="n">
        <v>45908</v>
      </c>
      <c r="D684" t="inlineStr">
        <is>
          <t>JÄMTLANDS LÄN</t>
        </is>
      </c>
      <c r="E684" t="inlineStr">
        <is>
          <t>RAGUNDA</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44759-2024</t>
        </is>
      </c>
      <c r="B685" s="1" t="n">
        <v>45574.61634259259</v>
      </c>
      <c r="C685" s="1" t="n">
        <v>45908</v>
      </c>
      <c r="D685" t="inlineStr">
        <is>
          <t>JÄMTLANDS LÄN</t>
        </is>
      </c>
      <c r="E685" t="inlineStr">
        <is>
          <t>RAGUNDA</t>
        </is>
      </c>
      <c r="G685" t="n">
        <v>1.9</v>
      </c>
      <c r="H685" t="n">
        <v>0</v>
      </c>
      <c r="I685" t="n">
        <v>0</v>
      </c>
      <c r="J685" t="n">
        <v>0</v>
      </c>
      <c r="K685" t="n">
        <v>0</v>
      </c>
      <c r="L685" t="n">
        <v>0</v>
      </c>
      <c r="M685" t="n">
        <v>0</v>
      </c>
      <c r="N685" t="n">
        <v>0</v>
      </c>
      <c r="O685" t="n">
        <v>0</v>
      </c>
      <c r="P685" t="n">
        <v>0</v>
      </c>
      <c r="Q685" t="n">
        <v>0</v>
      </c>
      <c r="R685" s="2" t="inlineStr"/>
    </row>
    <row r="686" ht="15" customHeight="1">
      <c r="A686" t="inlineStr">
        <is>
          <t>A 37324-2022</t>
        </is>
      </c>
      <c r="B686" s="1" t="n">
        <v>44806</v>
      </c>
      <c r="C686" s="1" t="n">
        <v>45908</v>
      </c>
      <c r="D686" t="inlineStr">
        <is>
          <t>JÄMTLANDS LÄN</t>
        </is>
      </c>
      <c r="E686" t="inlineStr">
        <is>
          <t>RAGUNDA</t>
        </is>
      </c>
      <c r="G686" t="n">
        <v>2.3</v>
      </c>
      <c r="H686" t="n">
        <v>0</v>
      </c>
      <c r="I686" t="n">
        <v>0</v>
      </c>
      <c r="J686" t="n">
        <v>0</v>
      </c>
      <c r="K686" t="n">
        <v>0</v>
      </c>
      <c r="L686" t="n">
        <v>0</v>
      </c>
      <c r="M686" t="n">
        <v>0</v>
      </c>
      <c r="N686" t="n">
        <v>0</v>
      </c>
      <c r="O686" t="n">
        <v>0</v>
      </c>
      <c r="P686" t="n">
        <v>0</v>
      </c>
      <c r="Q686" t="n">
        <v>0</v>
      </c>
      <c r="R686" s="2" t="inlineStr"/>
    </row>
    <row r="687" ht="15" customHeight="1">
      <c r="A687" t="inlineStr">
        <is>
          <t>A 41343-2024</t>
        </is>
      </c>
      <c r="B687" s="1" t="n">
        <v>45559.67745370371</v>
      </c>
      <c r="C687" s="1" t="n">
        <v>45908</v>
      </c>
      <c r="D687" t="inlineStr">
        <is>
          <t>JÄMTLANDS LÄN</t>
        </is>
      </c>
      <c r="E687" t="inlineStr">
        <is>
          <t>RAGUNDA</t>
        </is>
      </c>
      <c r="F687" t="inlineStr">
        <is>
          <t>SCA</t>
        </is>
      </c>
      <c r="G687" t="n">
        <v>25.1</v>
      </c>
      <c r="H687" t="n">
        <v>0</v>
      </c>
      <c r="I687" t="n">
        <v>0</v>
      </c>
      <c r="J687" t="n">
        <v>0</v>
      </c>
      <c r="K687" t="n">
        <v>0</v>
      </c>
      <c r="L687" t="n">
        <v>0</v>
      </c>
      <c r="M687" t="n">
        <v>0</v>
      </c>
      <c r="N687" t="n">
        <v>0</v>
      </c>
      <c r="O687" t="n">
        <v>0</v>
      </c>
      <c r="P687" t="n">
        <v>0</v>
      </c>
      <c r="Q687" t="n">
        <v>0</v>
      </c>
      <c r="R687" s="2" t="inlineStr"/>
    </row>
    <row r="688" ht="15" customHeight="1">
      <c r="A688" t="inlineStr">
        <is>
          <t>A 45953-2023</t>
        </is>
      </c>
      <c r="B688" s="1" t="n">
        <v>45195.94672453704</v>
      </c>
      <c r="C688" s="1" t="n">
        <v>45908</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16982-2024</t>
        </is>
      </c>
      <c r="B689" s="1" t="n">
        <v>45412.02506944445</v>
      </c>
      <c r="C689" s="1" t="n">
        <v>45908</v>
      </c>
      <c r="D689" t="inlineStr">
        <is>
          <t>JÄMTLANDS LÄN</t>
        </is>
      </c>
      <c r="E689" t="inlineStr">
        <is>
          <t>RAGUNDA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49650-2024</t>
        </is>
      </c>
      <c r="B690" s="1" t="n">
        <v>45596.61569444444</v>
      </c>
      <c r="C690" s="1" t="n">
        <v>45908</v>
      </c>
      <c r="D690" t="inlineStr">
        <is>
          <t>JÄMTLANDS LÄN</t>
        </is>
      </c>
      <c r="E690" t="inlineStr">
        <is>
          <t>RAGUNDA</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49651-2024</t>
        </is>
      </c>
      <c r="B691" s="1" t="n">
        <v>45596.61582175926</v>
      </c>
      <c r="C691" s="1" t="n">
        <v>45908</v>
      </c>
      <c r="D691" t="inlineStr">
        <is>
          <t>JÄMTLANDS LÄN</t>
        </is>
      </c>
      <c r="E691" t="inlineStr">
        <is>
          <t>RAGUNDA</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182-2023</t>
        </is>
      </c>
      <c r="B692" s="1" t="n">
        <v>44922</v>
      </c>
      <c r="C692" s="1" t="n">
        <v>45908</v>
      </c>
      <c r="D692" t="inlineStr">
        <is>
          <t>JÄMTLANDS LÄN</t>
        </is>
      </c>
      <c r="E692" t="inlineStr">
        <is>
          <t>RAGUNDA</t>
        </is>
      </c>
      <c r="G692" t="n">
        <v>1.4</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45908</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28637-2025</t>
        </is>
      </c>
      <c r="B694" s="1" t="n">
        <v>45819.6359375</v>
      </c>
      <c r="C694" s="1" t="n">
        <v>45908</v>
      </c>
      <c r="D694" t="inlineStr">
        <is>
          <t>JÄMTLANDS LÄN</t>
        </is>
      </c>
      <c r="E694" t="inlineStr">
        <is>
          <t>RAGUNDA</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6802-2021</t>
        </is>
      </c>
      <c r="B695" s="1" t="n">
        <v>44236</v>
      </c>
      <c r="C695" s="1" t="n">
        <v>45908</v>
      </c>
      <c r="D695" t="inlineStr">
        <is>
          <t>JÄMTLANDS LÄN</t>
        </is>
      </c>
      <c r="E695" t="inlineStr">
        <is>
          <t>RAGUNDA</t>
        </is>
      </c>
      <c r="G695" t="n">
        <v>11.2</v>
      </c>
      <c r="H695" t="n">
        <v>0</v>
      </c>
      <c r="I695" t="n">
        <v>0</v>
      </c>
      <c r="J695" t="n">
        <v>0</v>
      </c>
      <c r="K695" t="n">
        <v>0</v>
      </c>
      <c r="L695" t="n">
        <v>0</v>
      </c>
      <c r="M695" t="n">
        <v>0</v>
      </c>
      <c r="N695" t="n">
        <v>0</v>
      </c>
      <c r="O695" t="n">
        <v>0</v>
      </c>
      <c r="P695" t="n">
        <v>0</v>
      </c>
      <c r="Q695" t="n">
        <v>0</v>
      </c>
      <c r="R695" s="2" t="inlineStr"/>
    </row>
    <row r="696" ht="15" customHeight="1">
      <c r="A696" t="inlineStr">
        <is>
          <t>A 6477-2024</t>
        </is>
      </c>
      <c r="B696" s="1" t="n">
        <v>45338.95405092592</v>
      </c>
      <c r="C696" s="1" t="n">
        <v>45908</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64264-2023</t>
        </is>
      </c>
      <c r="B697" s="1" t="n">
        <v>45279.94564814815</v>
      </c>
      <c r="C697" s="1" t="n">
        <v>45908</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28973-2025</t>
        </is>
      </c>
      <c r="B698" s="1" t="n">
        <v>45821.34513888889</v>
      </c>
      <c r="C698" s="1" t="n">
        <v>45908</v>
      </c>
      <c r="D698" t="inlineStr">
        <is>
          <t>JÄMTLANDS LÄN</t>
        </is>
      </c>
      <c r="E698" t="inlineStr">
        <is>
          <t>RAGUNDA</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29714-2025</t>
        </is>
      </c>
      <c r="B699" s="1" t="n">
        <v>45825.56762731481</v>
      </c>
      <c r="C699" s="1" t="n">
        <v>45908</v>
      </c>
      <c r="D699" t="inlineStr">
        <is>
          <t>JÄMTLANDS LÄN</t>
        </is>
      </c>
      <c r="E699" t="inlineStr">
        <is>
          <t>RAGUNDA</t>
        </is>
      </c>
      <c r="G699" t="n">
        <v>2.7</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44684.94032407407</v>
      </c>
      <c r="C700" s="1" t="n">
        <v>45908</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11551-2024</t>
        </is>
      </c>
      <c r="B701" s="1" t="n">
        <v>45372.95762731481</v>
      </c>
      <c r="C701" s="1" t="n">
        <v>45908</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29731-2025</t>
        </is>
      </c>
      <c r="B702" s="1" t="n">
        <v>45825.58252314815</v>
      </c>
      <c r="C702" s="1" t="n">
        <v>45908</v>
      </c>
      <c r="D702" t="inlineStr">
        <is>
          <t>JÄMTLANDS LÄN</t>
        </is>
      </c>
      <c r="E702" t="inlineStr">
        <is>
          <t>RAGUNDA</t>
        </is>
      </c>
      <c r="G702" t="n">
        <v>2.3</v>
      </c>
      <c r="H702" t="n">
        <v>0</v>
      </c>
      <c r="I702" t="n">
        <v>0</v>
      </c>
      <c r="J702" t="n">
        <v>0</v>
      </c>
      <c r="K702" t="n">
        <v>0</v>
      </c>
      <c r="L702" t="n">
        <v>0</v>
      </c>
      <c r="M702" t="n">
        <v>0</v>
      </c>
      <c r="N702" t="n">
        <v>0</v>
      </c>
      <c r="O702" t="n">
        <v>0</v>
      </c>
      <c r="P702" t="n">
        <v>0</v>
      </c>
      <c r="Q702" t="n">
        <v>0</v>
      </c>
      <c r="R702" s="2" t="inlineStr"/>
    </row>
    <row r="703" ht="15" customHeight="1">
      <c r="A703" t="inlineStr">
        <is>
          <t>A 49647-2024</t>
        </is>
      </c>
      <c r="B703" s="1" t="n">
        <v>45596.61533564814</v>
      </c>
      <c r="C703" s="1" t="n">
        <v>45908</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29723-2025</t>
        </is>
      </c>
      <c r="B704" s="1" t="n">
        <v>45825.57675925926</v>
      </c>
      <c r="C704" s="1" t="n">
        <v>45908</v>
      </c>
      <c r="D704" t="inlineStr">
        <is>
          <t>JÄMTLANDS LÄN</t>
        </is>
      </c>
      <c r="E704" t="inlineStr">
        <is>
          <t>RAGUNDA</t>
        </is>
      </c>
      <c r="G704" t="n">
        <v>3.1</v>
      </c>
      <c r="H704" t="n">
        <v>0</v>
      </c>
      <c r="I704" t="n">
        <v>0</v>
      </c>
      <c r="J704" t="n">
        <v>0</v>
      </c>
      <c r="K704" t="n">
        <v>0</v>
      </c>
      <c r="L704" t="n">
        <v>0</v>
      </c>
      <c r="M704" t="n">
        <v>0</v>
      </c>
      <c r="N704" t="n">
        <v>0</v>
      </c>
      <c r="O704" t="n">
        <v>0</v>
      </c>
      <c r="P704" t="n">
        <v>0</v>
      </c>
      <c r="Q704" t="n">
        <v>0</v>
      </c>
      <c r="R704" s="2" t="inlineStr"/>
    </row>
    <row r="705" ht="15" customHeight="1">
      <c r="A705" t="inlineStr">
        <is>
          <t>A 36544-2025</t>
        </is>
      </c>
      <c r="B705" s="1" t="n">
        <v>45869.67744212963</v>
      </c>
      <c r="C705" s="1" t="n">
        <v>45908</v>
      </c>
      <c r="D705" t="inlineStr">
        <is>
          <t>JÄMTLANDS LÄN</t>
        </is>
      </c>
      <c r="E705" t="inlineStr">
        <is>
          <t>RAGUNDA</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36541-2025</t>
        </is>
      </c>
      <c r="B706" s="1" t="n">
        <v>45869.65666666667</v>
      </c>
      <c r="C706" s="1" t="n">
        <v>45908</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30088-2025</t>
        </is>
      </c>
      <c r="B707" s="1" t="n">
        <v>45826.65759259259</v>
      </c>
      <c r="C707" s="1" t="n">
        <v>45908</v>
      </c>
      <c r="D707" t="inlineStr">
        <is>
          <t>JÄMTLANDS LÄN</t>
        </is>
      </c>
      <c r="E707" t="inlineStr">
        <is>
          <t>RAGUNDA</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30348-2025</t>
        </is>
      </c>
      <c r="B708" s="1" t="n">
        <v>45827.53178240741</v>
      </c>
      <c r="C708" s="1" t="n">
        <v>45908</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30434-2025</t>
        </is>
      </c>
      <c r="B709" s="1" t="n">
        <v>45827.63582175926</v>
      </c>
      <c r="C709" s="1" t="n">
        <v>45908</v>
      </c>
      <c r="D709" t="inlineStr">
        <is>
          <t>JÄMTLANDS LÄN</t>
        </is>
      </c>
      <c r="E709" t="inlineStr">
        <is>
          <t>RAGUNDA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31463-2024</t>
        </is>
      </c>
      <c r="B710" s="1" t="n">
        <v>45505</v>
      </c>
      <c r="C710" s="1" t="n">
        <v>45908</v>
      </c>
      <c r="D710" t="inlineStr">
        <is>
          <t>JÄMTLANDS LÄN</t>
        </is>
      </c>
      <c r="E710" t="inlineStr">
        <is>
          <t>RAGUNDA</t>
        </is>
      </c>
      <c r="F710" t="inlineStr">
        <is>
          <t>SCA</t>
        </is>
      </c>
      <c r="G710" t="n">
        <v>20.3</v>
      </c>
      <c r="H710" t="n">
        <v>0</v>
      </c>
      <c r="I710" t="n">
        <v>0</v>
      </c>
      <c r="J710" t="n">
        <v>0</v>
      </c>
      <c r="K710" t="n">
        <v>0</v>
      </c>
      <c r="L710" t="n">
        <v>0</v>
      </c>
      <c r="M710" t="n">
        <v>0</v>
      </c>
      <c r="N710" t="n">
        <v>0</v>
      </c>
      <c r="O710" t="n">
        <v>0</v>
      </c>
      <c r="P710" t="n">
        <v>0</v>
      </c>
      <c r="Q710" t="n">
        <v>0</v>
      </c>
      <c r="R710" s="2" t="inlineStr"/>
    </row>
    <row r="711" ht="15" customHeight="1">
      <c r="A711" t="inlineStr">
        <is>
          <t>A 36553-2025</t>
        </is>
      </c>
      <c r="B711" s="1" t="n">
        <v>45870.34439814815</v>
      </c>
      <c r="C711" s="1" t="n">
        <v>45908</v>
      </c>
      <c r="D711" t="inlineStr">
        <is>
          <t>JÄMTLANDS LÄN</t>
        </is>
      </c>
      <c r="E711" t="inlineStr">
        <is>
          <t>RAGUNDA</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53264-2024</t>
        </is>
      </c>
      <c r="B712" s="1" t="n">
        <v>45614.34545138889</v>
      </c>
      <c r="C712" s="1" t="n">
        <v>45908</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30887-2025</t>
        </is>
      </c>
      <c r="B713" s="1" t="n">
        <v>45832.3459375</v>
      </c>
      <c r="C713" s="1" t="n">
        <v>45908</v>
      </c>
      <c r="D713" t="inlineStr">
        <is>
          <t>JÄMTLANDS LÄN</t>
        </is>
      </c>
      <c r="E713" t="inlineStr">
        <is>
          <t>RAGUNDA</t>
        </is>
      </c>
      <c r="F713" t="inlineStr">
        <is>
          <t>SCA</t>
        </is>
      </c>
      <c r="G713" t="n">
        <v>10.1</v>
      </c>
      <c r="H713" t="n">
        <v>0</v>
      </c>
      <c r="I713" t="n">
        <v>0</v>
      </c>
      <c r="J713" t="n">
        <v>0</v>
      </c>
      <c r="K713" t="n">
        <v>0</v>
      </c>
      <c r="L713" t="n">
        <v>0</v>
      </c>
      <c r="M713" t="n">
        <v>0</v>
      </c>
      <c r="N713" t="n">
        <v>0</v>
      </c>
      <c r="O713" t="n">
        <v>0</v>
      </c>
      <c r="P713" t="n">
        <v>0</v>
      </c>
      <c r="Q713" t="n">
        <v>0</v>
      </c>
      <c r="R713" s="2" t="inlineStr"/>
    </row>
    <row r="714" ht="15" customHeight="1">
      <c r="A714" t="inlineStr">
        <is>
          <t>A 32874-2025</t>
        </is>
      </c>
      <c r="B714" s="1" t="n">
        <v>45839</v>
      </c>
      <c r="C714" s="1" t="n">
        <v>45908</v>
      </c>
      <c r="D714" t="inlineStr">
        <is>
          <t>JÄMTLANDS LÄN</t>
        </is>
      </c>
      <c r="E714" t="inlineStr">
        <is>
          <t>RAGUNDA</t>
        </is>
      </c>
      <c r="G714" t="n">
        <v>2.3</v>
      </c>
      <c r="H714" t="n">
        <v>0</v>
      </c>
      <c r="I714" t="n">
        <v>0</v>
      </c>
      <c r="J714" t="n">
        <v>0</v>
      </c>
      <c r="K714" t="n">
        <v>0</v>
      </c>
      <c r="L714" t="n">
        <v>0</v>
      </c>
      <c r="M714" t="n">
        <v>0</v>
      </c>
      <c r="N714" t="n">
        <v>0</v>
      </c>
      <c r="O714" t="n">
        <v>0</v>
      </c>
      <c r="P714" t="n">
        <v>0</v>
      </c>
      <c r="Q714" t="n">
        <v>0</v>
      </c>
      <c r="R714" s="2" t="inlineStr"/>
    </row>
    <row r="715" ht="15" customHeight="1">
      <c r="A715" t="inlineStr">
        <is>
          <t>A 30883-2025</t>
        </is>
      </c>
      <c r="B715" s="1" t="n">
        <v>45832.34552083333</v>
      </c>
      <c r="C715" s="1" t="n">
        <v>45908</v>
      </c>
      <c r="D715" t="inlineStr">
        <is>
          <t>JÄMTLANDS LÄN</t>
        </is>
      </c>
      <c r="E715" t="inlineStr">
        <is>
          <t>RAGUNDA</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37008-2025</t>
        </is>
      </c>
      <c r="B716" s="1" t="n">
        <v>45874.69844907407</v>
      </c>
      <c r="C716" s="1" t="n">
        <v>45908</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42893-2022</t>
        </is>
      </c>
      <c r="B717" s="1" t="n">
        <v>44832</v>
      </c>
      <c r="C717" s="1" t="n">
        <v>45908</v>
      </c>
      <c r="D717" t="inlineStr">
        <is>
          <t>JÄMTLANDS LÄN</t>
        </is>
      </c>
      <c r="E717" t="inlineStr">
        <is>
          <t>RAGUNDA</t>
        </is>
      </c>
      <c r="F717" t="inlineStr">
        <is>
          <t>SCA</t>
        </is>
      </c>
      <c r="G717" t="n">
        <v>28.4</v>
      </c>
      <c r="H717" t="n">
        <v>0</v>
      </c>
      <c r="I717" t="n">
        <v>0</v>
      </c>
      <c r="J717" t="n">
        <v>0</v>
      </c>
      <c r="K717" t="n">
        <v>0</v>
      </c>
      <c r="L717" t="n">
        <v>0</v>
      </c>
      <c r="M717" t="n">
        <v>0</v>
      </c>
      <c r="N717" t="n">
        <v>0</v>
      </c>
      <c r="O717" t="n">
        <v>0</v>
      </c>
      <c r="P717" t="n">
        <v>0</v>
      </c>
      <c r="Q717" t="n">
        <v>0</v>
      </c>
      <c r="R717" s="2" t="inlineStr"/>
    </row>
    <row r="718" ht="15" customHeight="1">
      <c r="A718" t="inlineStr">
        <is>
          <t>A 36994-2025</t>
        </is>
      </c>
      <c r="B718" s="1" t="n">
        <v>45874.67746527777</v>
      </c>
      <c r="C718" s="1" t="n">
        <v>45908</v>
      </c>
      <c r="D718" t="inlineStr">
        <is>
          <t>JÄMTLANDS LÄN</t>
        </is>
      </c>
      <c r="E718" t="inlineStr">
        <is>
          <t>RAGUNDA</t>
        </is>
      </c>
      <c r="F718" t="inlineStr">
        <is>
          <t>SCA</t>
        </is>
      </c>
      <c r="G718" t="n">
        <v>7.2</v>
      </c>
      <c r="H718" t="n">
        <v>0</v>
      </c>
      <c r="I718" t="n">
        <v>0</v>
      </c>
      <c r="J718" t="n">
        <v>0</v>
      </c>
      <c r="K718" t="n">
        <v>0</v>
      </c>
      <c r="L718" t="n">
        <v>0</v>
      </c>
      <c r="M718" t="n">
        <v>0</v>
      </c>
      <c r="N718" t="n">
        <v>0</v>
      </c>
      <c r="O718" t="n">
        <v>0</v>
      </c>
      <c r="P718" t="n">
        <v>0</v>
      </c>
      <c r="Q718" t="n">
        <v>0</v>
      </c>
      <c r="R718" s="2" t="inlineStr"/>
    </row>
    <row r="719" ht="15" customHeight="1">
      <c r="A719" t="inlineStr">
        <is>
          <t>A 13389-2025</t>
        </is>
      </c>
      <c r="B719" s="1" t="n">
        <v>45735.69842592593</v>
      </c>
      <c r="C719" s="1" t="n">
        <v>45908</v>
      </c>
      <c r="D719" t="inlineStr">
        <is>
          <t>JÄMTLANDS LÄN</t>
        </is>
      </c>
      <c r="E719" t="inlineStr">
        <is>
          <t>RAGUNDA</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30880-2025</t>
        </is>
      </c>
      <c r="B720" s="1" t="n">
        <v>45832.34524305556</v>
      </c>
      <c r="C720" s="1" t="n">
        <v>45908</v>
      </c>
      <c r="D720" t="inlineStr">
        <is>
          <t>JÄMTLANDS LÄN</t>
        </is>
      </c>
      <c r="E720" t="inlineStr">
        <is>
          <t>RAGUNDA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36947-2025</t>
        </is>
      </c>
      <c r="B721" s="1" t="n">
        <v>45874.59496527778</v>
      </c>
      <c r="C721" s="1" t="n">
        <v>45908</v>
      </c>
      <c r="D721" t="inlineStr">
        <is>
          <t>JÄMTLANDS LÄN</t>
        </is>
      </c>
      <c r="E721" t="inlineStr">
        <is>
          <t>RAGUNDA</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32088-2025</t>
        </is>
      </c>
      <c r="B722" s="1" t="n">
        <v>45835.45686342593</v>
      </c>
      <c r="C722" s="1" t="n">
        <v>45908</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32096-2025</t>
        </is>
      </c>
      <c r="B723" s="1" t="n">
        <v>45835.46334490741</v>
      </c>
      <c r="C723" s="1" t="n">
        <v>45908</v>
      </c>
      <c r="D723" t="inlineStr">
        <is>
          <t>JÄMTLANDS LÄN</t>
        </is>
      </c>
      <c r="E723" t="inlineStr">
        <is>
          <t>RAGUNDA</t>
        </is>
      </c>
      <c r="G723" t="n">
        <v>0.9</v>
      </c>
      <c r="H723" t="n">
        <v>0</v>
      </c>
      <c r="I723" t="n">
        <v>0</v>
      </c>
      <c r="J723" t="n">
        <v>0</v>
      </c>
      <c r="K723" t="n">
        <v>0</v>
      </c>
      <c r="L723" t="n">
        <v>0</v>
      </c>
      <c r="M723" t="n">
        <v>0</v>
      </c>
      <c r="N723" t="n">
        <v>0</v>
      </c>
      <c r="O723" t="n">
        <v>0</v>
      </c>
      <c r="P723" t="n">
        <v>0</v>
      </c>
      <c r="Q723" t="n">
        <v>0</v>
      </c>
      <c r="R723" s="2" t="inlineStr"/>
    </row>
    <row r="724" ht="15" customHeight="1">
      <c r="A724" t="inlineStr">
        <is>
          <t>A 32151-2025</t>
        </is>
      </c>
      <c r="B724" s="1" t="n">
        <v>45835.53166666667</v>
      </c>
      <c r="C724" s="1" t="n">
        <v>45908</v>
      </c>
      <c r="D724" t="inlineStr">
        <is>
          <t>JÄMTLANDS LÄN</t>
        </is>
      </c>
      <c r="E724" t="inlineStr">
        <is>
          <t>RAGUNDA</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32306-2025</t>
        </is>
      </c>
      <c r="B725" s="1" t="n">
        <v>45835.72046296296</v>
      </c>
      <c r="C725" s="1" t="n">
        <v>45908</v>
      </c>
      <c r="D725" t="inlineStr">
        <is>
          <t>JÄMTLANDS LÄN</t>
        </is>
      </c>
      <c r="E725" t="inlineStr">
        <is>
          <t>RAGUNDA</t>
        </is>
      </c>
      <c r="G725" t="n">
        <v>10.2</v>
      </c>
      <c r="H725" t="n">
        <v>0</v>
      </c>
      <c r="I725" t="n">
        <v>0</v>
      </c>
      <c r="J725" t="n">
        <v>0</v>
      </c>
      <c r="K725" t="n">
        <v>0</v>
      </c>
      <c r="L725" t="n">
        <v>0</v>
      </c>
      <c r="M725" t="n">
        <v>0</v>
      </c>
      <c r="N725" t="n">
        <v>0</v>
      </c>
      <c r="O725" t="n">
        <v>0</v>
      </c>
      <c r="P725" t="n">
        <v>0</v>
      </c>
      <c r="Q725" t="n">
        <v>0</v>
      </c>
      <c r="R725" s="2" t="inlineStr"/>
    </row>
    <row r="726" ht="15" customHeight="1">
      <c r="A726" t="inlineStr">
        <is>
          <t>A 29940-2023</t>
        </is>
      </c>
      <c r="B726" s="1" t="n">
        <v>45107</v>
      </c>
      <c r="C726" s="1" t="n">
        <v>45908</v>
      </c>
      <c r="D726" t="inlineStr">
        <is>
          <t>JÄMTLANDS LÄN</t>
        </is>
      </c>
      <c r="E726" t="inlineStr">
        <is>
          <t>RAGUNDA</t>
        </is>
      </c>
      <c r="G726" t="n">
        <v>13.5</v>
      </c>
      <c r="H726" t="n">
        <v>0</v>
      </c>
      <c r="I726" t="n">
        <v>0</v>
      </c>
      <c r="J726" t="n">
        <v>0</v>
      </c>
      <c r="K726" t="n">
        <v>0</v>
      </c>
      <c r="L726" t="n">
        <v>0</v>
      </c>
      <c r="M726" t="n">
        <v>0</v>
      </c>
      <c r="N726" t="n">
        <v>0</v>
      </c>
      <c r="O726" t="n">
        <v>0</v>
      </c>
      <c r="P726" t="n">
        <v>0</v>
      </c>
      <c r="Q726" t="n">
        <v>0</v>
      </c>
      <c r="R726" s="2" t="inlineStr"/>
    </row>
    <row r="727" ht="15" customHeight="1">
      <c r="A727" t="inlineStr">
        <is>
          <t>A 32021-2025</t>
        </is>
      </c>
      <c r="B727" s="1" t="n">
        <v>45835.40668981482</v>
      </c>
      <c r="C727" s="1" t="n">
        <v>45908</v>
      </c>
      <c r="D727" t="inlineStr">
        <is>
          <t>JÄMTLANDS LÄN</t>
        </is>
      </c>
      <c r="E727" t="inlineStr">
        <is>
          <t>RAGUNDA</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32075-2025</t>
        </is>
      </c>
      <c r="B728" s="1" t="n">
        <v>45835.4506712963</v>
      </c>
      <c r="C728" s="1" t="n">
        <v>45908</v>
      </c>
      <c r="D728" t="inlineStr">
        <is>
          <t>JÄMTLANDS LÄN</t>
        </is>
      </c>
      <c r="E728" t="inlineStr">
        <is>
          <t>RAGUNDA</t>
        </is>
      </c>
      <c r="G728" t="n">
        <v>1.1</v>
      </c>
      <c r="H728" t="n">
        <v>0</v>
      </c>
      <c r="I728" t="n">
        <v>0</v>
      </c>
      <c r="J728" t="n">
        <v>0</v>
      </c>
      <c r="K728" t="n">
        <v>0</v>
      </c>
      <c r="L728" t="n">
        <v>0</v>
      </c>
      <c r="M728" t="n">
        <v>0</v>
      </c>
      <c r="N728" t="n">
        <v>0</v>
      </c>
      <c r="O728" t="n">
        <v>0</v>
      </c>
      <c r="P728" t="n">
        <v>0</v>
      </c>
      <c r="Q728" t="n">
        <v>0</v>
      </c>
      <c r="R728" s="2" t="inlineStr"/>
    </row>
    <row r="729" ht="15" customHeight="1">
      <c r="A729" t="inlineStr">
        <is>
          <t>A 31882-2025</t>
        </is>
      </c>
      <c r="B729" s="1" t="n">
        <v>45834.65662037037</v>
      </c>
      <c r="C729" s="1" t="n">
        <v>45908</v>
      </c>
      <c r="D729" t="inlineStr">
        <is>
          <t>JÄMTLANDS LÄN</t>
        </is>
      </c>
      <c r="E729" t="inlineStr">
        <is>
          <t>RAGUNDA</t>
        </is>
      </c>
      <c r="F729" t="inlineStr">
        <is>
          <t>SCA</t>
        </is>
      </c>
      <c r="G729" t="n">
        <v>5.5</v>
      </c>
      <c r="H729" t="n">
        <v>0</v>
      </c>
      <c r="I729" t="n">
        <v>0</v>
      </c>
      <c r="J729" t="n">
        <v>0</v>
      </c>
      <c r="K729" t="n">
        <v>0</v>
      </c>
      <c r="L729" t="n">
        <v>0</v>
      </c>
      <c r="M729" t="n">
        <v>0</v>
      </c>
      <c r="N729" t="n">
        <v>0</v>
      </c>
      <c r="O729" t="n">
        <v>0</v>
      </c>
      <c r="P729" t="n">
        <v>0</v>
      </c>
      <c r="Q729" t="n">
        <v>0</v>
      </c>
      <c r="R729" s="2" t="inlineStr"/>
    </row>
    <row r="730" ht="15" customHeight="1">
      <c r="A730" t="inlineStr">
        <is>
          <t>A 37292-2025</t>
        </is>
      </c>
      <c r="B730" s="1" t="n">
        <v>45876.53188657408</v>
      </c>
      <c r="C730" s="1" t="n">
        <v>45908</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32796-2025</t>
        </is>
      </c>
      <c r="B731" s="1" t="n">
        <v>45839.49082175926</v>
      </c>
      <c r="C731" s="1" t="n">
        <v>45908</v>
      </c>
      <c r="D731" t="inlineStr">
        <is>
          <t>JÄMTLANDS LÄN</t>
        </is>
      </c>
      <c r="E731" t="inlineStr">
        <is>
          <t>RAGUNDA</t>
        </is>
      </c>
      <c r="G731" t="n">
        <v>1.7</v>
      </c>
      <c r="H731" t="n">
        <v>0</v>
      </c>
      <c r="I731" t="n">
        <v>0</v>
      </c>
      <c r="J731" t="n">
        <v>0</v>
      </c>
      <c r="K731" t="n">
        <v>0</v>
      </c>
      <c r="L731" t="n">
        <v>0</v>
      </c>
      <c r="M731" t="n">
        <v>0</v>
      </c>
      <c r="N731" t="n">
        <v>0</v>
      </c>
      <c r="O731" t="n">
        <v>0</v>
      </c>
      <c r="P731" t="n">
        <v>0</v>
      </c>
      <c r="Q731" t="n">
        <v>0</v>
      </c>
      <c r="R731" s="2" t="inlineStr"/>
    </row>
    <row r="732" ht="15" customHeight="1">
      <c r="A732" t="inlineStr">
        <is>
          <t>A 32655-2025</t>
        </is>
      </c>
      <c r="B732" s="1" t="n">
        <v>45838.67800925926</v>
      </c>
      <c r="C732" s="1" t="n">
        <v>45908</v>
      </c>
      <c r="D732" t="inlineStr">
        <is>
          <t>JÄMTLANDS LÄN</t>
        </is>
      </c>
      <c r="E732" t="inlineStr">
        <is>
          <t>RAGUNDA</t>
        </is>
      </c>
      <c r="G732" t="n">
        <v>2.8</v>
      </c>
      <c r="H732" t="n">
        <v>0</v>
      </c>
      <c r="I732" t="n">
        <v>0</v>
      </c>
      <c r="J732" t="n">
        <v>0</v>
      </c>
      <c r="K732" t="n">
        <v>0</v>
      </c>
      <c r="L732" t="n">
        <v>0</v>
      </c>
      <c r="M732" t="n">
        <v>0</v>
      </c>
      <c r="N732" t="n">
        <v>0</v>
      </c>
      <c r="O732" t="n">
        <v>0</v>
      </c>
      <c r="P732" t="n">
        <v>0</v>
      </c>
      <c r="Q732" t="n">
        <v>0</v>
      </c>
      <c r="R732" s="2" t="inlineStr"/>
    </row>
    <row r="733" ht="15" customHeight="1">
      <c r="A733" t="inlineStr">
        <is>
          <t>A 32751-2025</t>
        </is>
      </c>
      <c r="B733" s="1" t="n">
        <v>45839.42864583333</v>
      </c>
      <c r="C733" s="1" t="n">
        <v>45908</v>
      </c>
      <c r="D733" t="inlineStr">
        <is>
          <t>JÄMTLANDS LÄN</t>
        </is>
      </c>
      <c r="E733" t="inlineStr">
        <is>
          <t>RAGUNDA</t>
        </is>
      </c>
      <c r="F733" t="inlineStr">
        <is>
          <t>SCA</t>
        </is>
      </c>
      <c r="G733" t="n">
        <v>10</v>
      </c>
      <c r="H733" t="n">
        <v>0</v>
      </c>
      <c r="I733" t="n">
        <v>0</v>
      </c>
      <c r="J733" t="n">
        <v>0</v>
      </c>
      <c r="K733" t="n">
        <v>0</v>
      </c>
      <c r="L733" t="n">
        <v>0</v>
      </c>
      <c r="M733" t="n">
        <v>0</v>
      </c>
      <c r="N733" t="n">
        <v>0</v>
      </c>
      <c r="O733" t="n">
        <v>0</v>
      </c>
      <c r="P733" t="n">
        <v>0</v>
      </c>
      <c r="Q733" t="n">
        <v>0</v>
      </c>
      <c r="R733" s="2" t="inlineStr"/>
    </row>
    <row r="734" ht="15" customHeight="1">
      <c r="A734" t="inlineStr">
        <is>
          <t>A 45631-2024</t>
        </is>
      </c>
      <c r="B734" s="1" t="n">
        <v>45579.47052083333</v>
      </c>
      <c r="C734" s="1" t="n">
        <v>45908</v>
      </c>
      <c r="D734" t="inlineStr">
        <is>
          <t>JÄMTLANDS LÄN</t>
        </is>
      </c>
      <c r="E734" t="inlineStr">
        <is>
          <t>RAGUNDA</t>
        </is>
      </c>
      <c r="G734" t="n">
        <v>15.1</v>
      </c>
      <c r="H734" t="n">
        <v>0</v>
      </c>
      <c r="I734" t="n">
        <v>0</v>
      </c>
      <c r="J734" t="n">
        <v>0</v>
      </c>
      <c r="K734" t="n">
        <v>0</v>
      </c>
      <c r="L734" t="n">
        <v>0</v>
      </c>
      <c r="M734" t="n">
        <v>0</v>
      </c>
      <c r="N734" t="n">
        <v>0</v>
      </c>
      <c r="O734" t="n">
        <v>0</v>
      </c>
      <c r="P734" t="n">
        <v>0</v>
      </c>
      <c r="Q734" t="n">
        <v>0</v>
      </c>
      <c r="R734" s="2" t="inlineStr"/>
    </row>
    <row r="735" ht="15" customHeight="1">
      <c r="A735" t="inlineStr">
        <is>
          <t>A 32777-2025</t>
        </is>
      </c>
      <c r="B735" s="1" t="n">
        <v>45839.46915509259</v>
      </c>
      <c r="C735" s="1" t="n">
        <v>45908</v>
      </c>
      <c r="D735" t="inlineStr">
        <is>
          <t>JÄMTLANDS LÄN</t>
        </is>
      </c>
      <c r="E735" t="inlineStr">
        <is>
          <t>RAGUNDA</t>
        </is>
      </c>
      <c r="F735" t="inlineStr">
        <is>
          <t>SCA</t>
        </is>
      </c>
      <c r="G735" t="n">
        <v>21.7</v>
      </c>
      <c r="H735" t="n">
        <v>0</v>
      </c>
      <c r="I735" t="n">
        <v>0</v>
      </c>
      <c r="J735" t="n">
        <v>0</v>
      </c>
      <c r="K735" t="n">
        <v>0</v>
      </c>
      <c r="L735" t="n">
        <v>0</v>
      </c>
      <c r="M735" t="n">
        <v>0</v>
      </c>
      <c r="N735" t="n">
        <v>0</v>
      </c>
      <c r="O735" t="n">
        <v>0</v>
      </c>
      <c r="P735" t="n">
        <v>0</v>
      </c>
      <c r="Q735" t="n">
        <v>0</v>
      </c>
      <c r="R735" s="2" t="inlineStr"/>
    </row>
    <row r="736" ht="15" customHeight="1">
      <c r="A736" t="inlineStr">
        <is>
          <t>A 32430-2025</t>
        </is>
      </c>
      <c r="B736" s="1" t="n">
        <v>45838.36532407408</v>
      </c>
      <c r="C736" s="1" t="n">
        <v>45908</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32747-2025</t>
        </is>
      </c>
      <c r="B737" s="1" t="n">
        <v>45839.42810185185</v>
      </c>
      <c r="C737" s="1" t="n">
        <v>45908</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32757-2025</t>
        </is>
      </c>
      <c r="B738" s="1" t="n">
        <v>45838</v>
      </c>
      <c r="C738" s="1" t="n">
        <v>45908</v>
      </c>
      <c r="D738" t="inlineStr">
        <is>
          <t>JÄMTLANDS LÄN</t>
        </is>
      </c>
      <c r="E738" t="inlineStr">
        <is>
          <t>RAGUNDA</t>
        </is>
      </c>
      <c r="G738" t="n">
        <v>4.5</v>
      </c>
      <c r="H738" t="n">
        <v>0</v>
      </c>
      <c r="I738" t="n">
        <v>0</v>
      </c>
      <c r="J738" t="n">
        <v>0</v>
      </c>
      <c r="K738" t="n">
        <v>0</v>
      </c>
      <c r="L738" t="n">
        <v>0</v>
      </c>
      <c r="M738" t="n">
        <v>0</v>
      </c>
      <c r="N738" t="n">
        <v>0</v>
      </c>
      <c r="O738" t="n">
        <v>0</v>
      </c>
      <c r="P738" t="n">
        <v>0</v>
      </c>
      <c r="Q738" t="n">
        <v>0</v>
      </c>
      <c r="R738" s="2" t="inlineStr"/>
    </row>
    <row r="739" ht="15" customHeight="1">
      <c r="A739" t="inlineStr">
        <is>
          <t>A 32846-2025</t>
        </is>
      </c>
      <c r="B739" s="1" t="n">
        <v>45839.57331018519</v>
      </c>
      <c r="C739" s="1" t="n">
        <v>45908</v>
      </c>
      <c r="D739" t="inlineStr">
        <is>
          <t>JÄMTLANDS LÄN</t>
        </is>
      </c>
      <c r="E739" t="inlineStr">
        <is>
          <t>RAGUNDA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32748-2025</t>
        </is>
      </c>
      <c r="B740" s="1" t="n">
        <v>45839.42822916667</v>
      </c>
      <c r="C740" s="1" t="n">
        <v>45908</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32762-2025</t>
        </is>
      </c>
      <c r="B741" s="1" t="n">
        <v>45838</v>
      </c>
      <c r="C741" s="1" t="n">
        <v>45908</v>
      </c>
      <c r="D741" t="inlineStr">
        <is>
          <t>JÄMTLANDS LÄN</t>
        </is>
      </c>
      <c r="E741" t="inlineStr">
        <is>
          <t>RAGUNDA</t>
        </is>
      </c>
      <c r="G741" t="n">
        <v>0.6</v>
      </c>
      <c r="H741" t="n">
        <v>0</v>
      </c>
      <c r="I741" t="n">
        <v>0</v>
      </c>
      <c r="J741" t="n">
        <v>0</v>
      </c>
      <c r="K741" t="n">
        <v>0</v>
      </c>
      <c r="L741" t="n">
        <v>0</v>
      </c>
      <c r="M741" t="n">
        <v>0</v>
      </c>
      <c r="N741" t="n">
        <v>0</v>
      </c>
      <c r="O741" t="n">
        <v>0</v>
      </c>
      <c r="P741" t="n">
        <v>0</v>
      </c>
      <c r="Q741" t="n">
        <v>0</v>
      </c>
      <c r="R741" s="2" t="inlineStr"/>
    </row>
    <row r="742" ht="15" customHeight="1">
      <c r="A742" t="inlineStr">
        <is>
          <t>A 32660-2025</t>
        </is>
      </c>
      <c r="B742" s="1" t="n">
        <v>45838.67887731481</v>
      </c>
      <c r="C742" s="1" t="n">
        <v>45908</v>
      </c>
      <c r="D742" t="inlineStr">
        <is>
          <t>JÄMTLANDS LÄN</t>
        </is>
      </c>
      <c r="E742" t="inlineStr">
        <is>
          <t>RAGUNDA</t>
        </is>
      </c>
      <c r="F742" t="inlineStr">
        <is>
          <t>SCA</t>
        </is>
      </c>
      <c r="G742" t="n">
        <v>10.3</v>
      </c>
      <c r="H742" t="n">
        <v>0</v>
      </c>
      <c r="I742" t="n">
        <v>0</v>
      </c>
      <c r="J742" t="n">
        <v>0</v>
      </c>
      <c r="K742" t="n">
        <v>0</v>
      </c>
      <c r="L742" t="n">
        <v>0</v>
      </c>
      <c r="M742" t="n">
        <v>0</v>
      </c>
      <c r="N742" t="n">
        <v>0</v>
      </c>
      <c r="O742" t="n">
        <v>0</v>
      </c>
      <c r="P742" t="n">
        <v>0</v>
      </c>
      <c r="Q742" t="n">
        <v>0</v>
      </c>
      <c r="R742" s="2" t="inlineStr"/>
    </row>
    <row r="743" ht="15" customHeight="1">
      <c r="A743" t="inlineStr">
        <is>
          <t>A 32527-2025</t>
        </is>
      </c>
      <c r="B743" s="1" t="n">
        <v>45838.48996527777</v>
      </c>
      <c r="C743" s="1" t="n">
        <v>45908</v>
      </c>
      <c r="D743" t="inlineStr">
        <is>
          <t>JÄMTLANDS LÄN</t>
        </is>
      </c>
      <c r="E743" t="inlineStr">
        <is>
          <t>RAGUNDA</t>
        </is>
      </c>
      <c r="G743" t="n">
        <v>5</v>
      </c>
      <c r="H743" t="n">
        <v>0</v>
      </c>
      <c r="I743" t="n">
        <v>0</v>
      </c>
      <c r="J743" t="n">
        <v>0</v>
      </c>
      <c r="K743" t="n">
        <v>0</v>
      </c>
      <c r="L743" t="n">
        <v>0</v>
      </c>
      <c r="M743" t="n">
        <v>0</v>
      </c>
      <c r="N743" t="n">
        <v>0</v>
      </c>
      <c r="O743" t="n">
        <v>0</v>
      </c>
      <c r="P743" t="n">
        <v>0</v>
      </c>
      <c r="Q743" t="n">
        <v>0</v>
      </c>
      <c r="R743" s="2" t="inlineStr"/>
    </row>
    <row r="744" ht="15" customHeight="1">
      <c r="A744" t="inlineStr">
        <is>
          <t>A 33140-2025</t>
        </is>
      </c>
      <c r="B744" s="1" t="n">
        <v>45840.52225694444</v>
      </c>
      <c r="C744" s="1" t="n">
        <v>45908</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33556-2025</t>
        </is>
      </c>
      <c r="B745" s="1" t="n">
        <v>45841.57427083333</v>
      </c>
      <c r="C745" s="1" t="n">
        <v>45908</v>
      </c>
      <c r="D745" t="inlineStr">
        <is>
          <t>JÄMTLANDS LÄN</t>
        </is>
      </c>
      <c r="E745" t="inlineStr">
        <is>
          <t>RAGUNDA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23303-2024</t>
        </is>
      </c>
      <c r="B746" s="1" t="n">
        <v>45453.4444212963</v>
      </c>
      <c r="C746" s="1" t="n">
        <v>45908</v>
      </c>
      <c r="D746" t="inlineStr">
        <is>
          <t>JÄMTLANDS LÄN</t>
        </is>
      </c>
      <c r="E746" t="inlineStr">
        <is>
          <t>RAGUNDA</t>
        </is>
      </c>
      <c r="G746" t="n">
        <v>0.7</v>
      </c>
      <c r="H746" t="n">
        <v>0</v>
      </c>
      <c r="I746" t="n">
        <v>0</v>
      </c>
      <c r="J746" t="n">
        <v>0</v>
      </c>
      <c r="K746" t="n">
        <v>0</v>
      </c>
      <c r="L746" t="n">
        <v>0</v>
      </c>
      <c r="M746" t="n">
        <v>0</v>
      </c>
      <c r="N746" t="n">
        <v>0</v>
      </c>
      <c r="O746" t="n">
        <v>0</v>
      </c>
      <c r="P746" t="n">
        <v>0</v>
      </c>
      <c r="Q746" t="n">
        <v>0</v>
      </c>
      <c r="R746" s="2" t="inlineStr"/>
    </row>
    <row r="747" ht="15" customHeight="1">
      <c r="A747" t="inlineStr">
        <is>
          <t>A 179-2025</t>
        </is>
      </c>
      <c r="B747" s="1" t="n">
        <v>45659.69822916666</v>
      </c>
      <c r="C747" s="1" t="n">
        <v>45908</v>
      </c>
      <c r="D747" t="inlineStr">
        <is>
          <t>JÄMTLANDS LÄN</t>
        </is>
      </c>
      <c r="E747" t="inlineStr">
        <is>
          <t>RAGUNDA</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33650-2025</t>
        </is>
      </c>
      <c r="B748" s="1" t="n">
        <v>45841.6571412037</v>
      </c>
      <c r="C748" s="1" t="n">
        <v>45908</v>
      </c>
      <c r="D748" t="inlineStr">
        <is>
          <t>JÄMTLANDS LÄN</t>
        </is>
      </c>
      <c r="E748" t="inlineStr">
        <is>
          <t>RAGUNDA</t>
        </is>
      </c>
      <c r="G748" t="n">
        <v>1.4</v>
      </c>
      <c r="H748" t="n">
        <v>0</v>
      </c>
      <c r="I748" t="n">
        <v>0</v>
      </c>
      <c r="J748" t="n">
        <v>0</v>
      </c>
      <c r="K748" t="n">
        <v>0</v>
      </c>
      <c r="L748" t="n">
        <v>0</v>
      </c>
      <c r="M748" t="n">
        <v>0</v>
      </c>
      <c r="N748" t="n">
        <v>0</v>
      </c>
      <c r="O748" t="n">
        <v>0</v>
      </c>
      <c r="P748" t="n">
        <v>0</v>
      </c>
      <c r="Q748" t="n">
        <v>0</v>
      </c>
      <c r="R748" s="2" t="inlineStr"/>
    </row>
    <row r="749" ht="15" customHeight="1">
      <c r="A749" t="inlineStr">
        <is>
          <t>A 22412-2024</t>
        </is>
      </c>
      <c r="B749" s="1" t="n">
        <v>45446.68947916666</v>
      </c>
      <c r="C749" s="1" t="n">
        <v>45908</v>
      </c>
      <c r="D749" t="inlineStr">
        <is>
          <t>JÄMTLANDS LÄN</t>
        </is>
      </c>
      <c r="E749" t="inlineStr">
        <is>
          <t>RAGUNDA</t>
        </is>
      </c>
      <c r="G749" t="n">
        <v>0.8</v>
      </c>
      <c r="H749" t="n">
        <v>0</v>
      </c>
      <c r="I749" t="n">
        <v>0</v>
      </c>
      <c r="J749" t="n">
        <v>0</v>
      </c>
      <c r="K749" t="n">
        <v>0</v>
      </c>
      <c r="L749" t="n">
        <v>0</v>
      </c>
      <c r="M749" t="n">
        <v>0</v>
      </c>
      <c r="N749" t="n">
        <v>0</v>
      </c>
      <c r="O749" t="n">
        <v>0</v>
      </c>
      <c r="P749" t="n">
        <v>0</v>
      </c>
      <c r="Q749" t="n">
        <v>0</v>
      </c>
      <c r="R749" s="2" t="inlineStr"/>
    </row>
    <row r="750" ht="15" customHeight="1">
      <c r="A750" t="inlineStr">
        <is>
          <t>A 33763-2025</t>
        </is>
      </c>
      <c r="B750" s="1" t="n">
        <v>45842.38579861111</v>
      </c>
      <c r="C750" s="1" t="n">
        <v>45908</v>
      </c>
      <c r="D750" t="inlineStr">
        <is>
          <t>JÄMTLANDS LÄN</t>
        </is>
      </c>
      <c r="E750" t="inlineStr">
        <is>
          <t>RAGUNDA</t>
        </is>
      </c>
      <c r="F750" t="inlineStr">
        <is>
          <t>SCA</t>
        </is>
      </c>
      <c r="G750" t="n">
        <v>13.4</v>
      </c>
      <c r="H750" t="n">
        <v>0</v>
      </c>
      <c r="I750" t="n">
        <v>0</v>
      </c>
      <c r="J750" t="n">
        <v>0</v>
      </c>
      <c r="K750" t="n">
        <v>0</v>
      </c>
      <c r="L750" t="n">
        <v>0</v>
      </c>
      <c r="M750" t="n">
        <v>0</v>
      </c>
      <c r="N750" t="n">
        <v>0</v>
      </c>
      <c r="O750" t="n">
        <v>0</v>
      </c>
      <c r="P750" t="n">
        <v>0</v>
      </c>
      <c r="Q750" t="n">
        <v>0</v>
      </c>
      <c r="R750" s="2" t="inlineStr"/>
    </row>
    <row r="751" ht="15" customHeight="1">
      <c r="A751" t="inlineStr">
        <is>
          <t>A 55701-2021</t>
        </is>
      </c>
      <c r="B751" s="1" t="n">
        <v>44475</v>
      </c>
      <c r="C751" s="1" t="n">
        <v>45908</v>
      </c>
      <c r="D751" t="inlineStr">
        <is>
          <t>JÄMTLANDS LÄN</t>
        </is>
      </c>
      <c r="E751" t="inlineStr">
        <is>
          <t>RAGUNDA</t>
        </is>
      </c>
      <c r="G751" t="n">
        <v>5.6</v>
      </c>
      <c r="H751" t="n">
        <v>0</v>
      </c>
      <c r="I751" t="n">
        <v>0</v>
      </c>
      <c r="J751" t="n">
        <v>0</v>
      </c>
      <c r="K751" t="n">
        <v>0</v>
      </c>
      <c r="L751" t="n">
        <v>0</v>
      </c>
      <c r="M751" t="n">
        <v>0</v>
      </c>
      <c r="N751" t="n">
        <v>0</v>
      </c>
      <c r="O751" t="n">
        <v>0</v>
      </c>
      <c r="P751" t="n">
        <v>0</v>
      </c>
      <c r="Q751" t="n">
        <v>0</v>
      </c>
      <c r="R751" s="2" t="inlineStr"/>
    </row>
    <row r="752" ht="15" customHeight="1">
      <c r="A752" t="inlineStr">
        <is>
          <t>A 13334-2024</t>
        </is>
      </c>
      <c r="B752" s="1" t="n">
        <v>45386</v>
      </c>
      <c r="C752" s="1" t="n">
        <v>45908</v>
      </c>
      <c r="D752" t="inlineStr">
        <is>
          <t>JÄMTLANDS LÄN</t>
        </is>
      </c>
      <c r="E752" t="inlineStr">
        <is>
          <t>RAGUNDA</t>
        </is>
      </c>
      <c r="G752" t="n">
        <v>8.6</v>
      </c>
      <c r="H752" t="n">
        <v>0</v>
      </c>
      <c r="I752" t="n">
        <v>0</v>
      </c>
      <c r="J752" t="n">
        <v>0</v>
      </c>
      <c r="K752" t="n">
        <v>0</v>
      </c>
      <c r="L752" t="n">
        <v>0</v>
      </c>
      <c r="M752" t="n">
        <v>0</v>
      </c>
      <c r="N752" t="n">
        <v>0</v>
      </c>
      <c r="O752" t="n">
        <v>0</v>
      </c>
      <c r="P752" t="n">
        <v>0</v>
      </c>
      <c r="Q752" t="n">
        <v>0</v>
      </c>
      <c r="R752" s="2" t="inlineStr"/>
    </row>
    <row r="753" ht="15" customHeight="1">
      <c r="A753" t="inlineStr">
        <is>
          <t>A 60443-2023</t>
        </is>
      </c>
      <c r="B753" s="1" t="n">
        <v>45258</v>
      </c>
      <c r="C753" s="1" t="n">
        <v>45908</v>
      </c>
      <c r="D753" t="inlineStr">
        <is>
          <t>JÄMTLANDS LÄN</t>
        </is>
      </c>
      <c r="E753" t="inlineStr">
        <is>
          <t>RAGUNDA</t>
        </is>
      </c>
      <c r="G753" t="n">
        <v>2.9</v>
      </c>
      <c r="H753" t="n">
        <v>0</v>
      </c>
      <c r="I753" t="n">
        <v>0</v>
      </c>
      <c r="J753" t="n">
        <v>0</v>
      </c>
      <c r="K753" t="n">
        <v>0</v>
      </c>
      <c r="L753" t="n">
        <v>0</v>
      </c>
      <c r="M753" t="n">
        <v>0</v>
      </c>
      <c r="N753" t="n">
        <v>0</v>
      </c>
      <c r="O753" t="n">
        <v>0</v>
      </c>
      <c r="P753" t="n">
        <v>0</v>
      </c>
      <c r="Q753" t="n">
        <v>0</v>
      </c>
      <c r="R753" s="2" t="inlineStr"/>
    </row>
    <row r="754" ht="15" customHeight="1">
      <c r="A754" t="inlineStr">
        <is>
          <t>A 21726-2023</t>
        </is>
      </c>
      <c r="B754" s="1" t="n">
        <v>45065.42894675926</v>
      </c>
      <c r="C754" s="1" t="n">
        <v>45908</v>
      </c>
      <c r="D754" t="inlineStr">
        <is>
          <t>JÄMTLANDS LÄN</t>
        </is>
      </c>
      <c r="E754" t="inlineStr">
        <is>
          <t>RAGUNDA</t>
        </is>
      </c>
      <c r="G754" t="n">
        <v>0.4</v>
      </c>
      <c r="H754" t="n">
        <v>0</v>
      </c>
      <c r="I754" t="n">
        <v>0</v>
      </c>
      <c r="J754" t="n">
        <v>0</v>
      </c>
      <c r="K754" t="n">
        <v>0</v>
      </c>
      <c r="L754" t="n">
        <v>0</v>
      </c>
      <c r="M754" t="n">
        <v>0</v>
      </c>
      <c r="N754" t="n">
        <v>0</v>
      </c>
      <c r="O754" t="n">
        <v>0</v>
      </c>
      <c r="P754" t="n">
        <v>0</v>
      </c>
      <c r="Q754" t="n">
        <v>0</v>
      </c>
      <c r="R754" s="2" t="inlineStr"/>
    </row>
    <row r="755" ht="15" customHeight="1">
      <c r="A755" t="inlineStr">
        <is>
          <t>A 33790-2025</t>
        </is>
      </c>
      <c r="B755" s="1" t="n">
        <v>45842.42608796297</v>
      </c>
      <c r="C755" s="1" t="n">
        <v>45908</v>
      </c>
      <c r="D755" t="inlineStr">
        <is>
          <t>JÄMTLANDS LÄN</t>
        </is>
      </c>
      <c r="E755" t="inlineStr">
        <is>
          <t>RAGUNDA</t>
        </is>
      </c>
      <c r="G755" t="n">
        <v>0.3</v>
      </c>
      <c r="H755" t="n">
        <v>0</v>
      </c>
      <c r="I755" t="n">
        <v>0</v>
      </c>
      <c r="J755" t="n">
        <v>0</v>
      </c>
      <c r="K755" t="n">
        <v>0</v>
      </c>
      <c r="L755" t="n">
        <v>0</v>
      </c>
      <c r="M755" t="n">
        <v>0</v>
      </c>
      <c r="N755" t="n">
        <v>0</v>
      </c>
      <c r="O755" t="n">
        <v>0</v>
      </c>
      <c r="P755" t="n">
        <v>0</v>
      </c>
      <c r="Q755" t="n">
        <v>0</v>
      </c>
      <c r="R755" s="2" t="inlineStr"/>
    </row>
    <row r="756" ht="15" customHeight="1">
      <c r="A756" t="inlineStr">
        <is>
          <t>A 34607-2025</t>
        </is>
      </c>
      <c r="B756" s="1" t="n">
        <v>45847.65703703704</v>
      </c>
      <c r="C756" s="1" t="n">
        <v>45908</v>
      </c>
      <c r="D756" t="inlineStr">
        <is>
          <t>JÄMTLANDS LÄN</t>
        </is>
      </c>
      <c r="E756" t="inlineStr">
        <is>
          <t>RAGUNDA</t>
        </is>
      </c>
      <c r="F756" t="inlineStr">
        <is>
          <t>SCA</t>
        </is>
      </c>
      <c r="G756" t="n">
        <v>31.4</v>
      </c>
      <c r="H756" t="n">
        <v>0</v>
      </c>
      <c r="I756" t="n">
        <v>0</v>
      </c>
      <c r="J756" t="n">
        <v>0</v>
      </c>
      <c r="K756" t="n">
        <v>0</v>
      </c>
      <c r="L756" t="n">
        <v>0</v>
      </c>
      <c r="M756" t="n">
        <v>0</v>
      </c>
      <c r="N756" t="n">
        <v>0</v>
      </c>
      <c r="O756" t="n">
        <v>0</v>
      </c>
      <c r="P756" t="n">
        <v>0</v>
      </c>
      <c r="Q756" t="n">
        <v>0</v>
      </c>
      <c r="R756" s="2" t="inlineStr"/>
    </row>
    <row r="757" ht="15" customHeight="1">
      <c r="A757" t="inlineStr">
        <is>
          <t>A 34461-2025</t>
        </is>
      </c>
      <c r="B757" s="1" t="n">
        <v>45847.34474537037</v>
      </c>
      <c r="C757" s="1" t="n">
        <v>45908</v>
      </c>
      <c r="D757" t="inlineStr">
        <is>
          <t>JÄMTLANDS LÄN</t>
        </is>
      </c>
      <c r="E757" t="inlineStr">
        <is>
          <t>RAGUNDA</t>
        </is>
      </c>
      <c r="F757" t="inlineStr">
        <is>
          <t>SCA</t>
        </is>
      </c>
      <c r="G757" t="n">
        <v>44.8</v>
      </c>
      <c r="H757" t="n">
        <v>0</v>
      </c>
      <c r="I757" t="n">
        <v>0</v>
      </c>
      <c r="J757" t="n">
        <v>0</v>
      </c>
      <c r="K757" t="n">
        <v>0</v>
      </c>
      <c r="L757" t="n">
        <v>0</v>
      </c>
      <c r="M757" t="n">
        <v>0</v>
      </c>
      <c r="N757" t="n">
        <v>0</v>
      </c>
      <c r="O757" t="n">
        <v>0</v>
      </c>
      <c r="P757" t="n">
        <v>0</v>
      </c>
      <c r="Q757" t="n">
        <v>0</v>
      </c>
      <c r="R757" s="2" t="inlineStr"/>
    </row>
    <row r="758" ht="15" customHeight="1">
      <c r="A758" t="inlineStr">
        <is>
          <t>A 34464-2025</t>
        </is>
      </c>
      <c r="B758" s="1" t="n">
        <v>45847.34528935186</v>
      </c>
      <c r="C758" s="1" t="n">
        <v>45908</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39192-2025</t>
        </is>
      </c>
      <c r="B759" s="1" t="n">
        <v>45888.6775</v>
      </c>
      <c r="C759" s="1" t="n">
        <v>45908</v>
      </c>
      <c r="D759" t="inlineStr">
        <is>
          <t>JÄMTLANDS LÄN</t>
        </is>
      </c>
      <c r="E759" t="inlineStr">
        <is>
          <t>RAGUNDA</t>
        </is>
      </c>
      <c r="F759" t="inlineStr">
        <is>
          <t>Naturvårdsverket</t>
        </is>
      </c>
      <c r="G759" t="n">
        <v>2.3</v>
      </c>
      <c r="H759" t="n">
        <v>0</v>
      </c>
      <c r="I759" t="n">
        <v>0</v>
      </c>
      <c r="J759" t="n">
        <v>0</v>
      </c>
      <c r="K759" t="n">
        <v>0</v>
      </c>
      <c r="L759" t="n">
        <v>0</v>
      </c>
      <c r="M759" t="n">
        <v>0</v>
      </c>
      <c r="N759" t="n">
        <v>0</v>
      </c>
      <c r="O759" t="n">
        <v>0</v>
      </c>
      <c r="P759" t="n">
        <v>0</v>
      </c>
      <c r="Q759" t="n">
        <v>0</v>
      </c>
      <c r="R759" s="2" t="inlineStr"/>
    </row>
    <row r="760" ht="15" customHeight="1">
      <c r="A760" t="inlineStr">
        <is>
          <t>A 30484-2024</t>
        </is>
      </c>
      <c r="B760" s="1" t="n">
        <v>45491</v>
      </c>
      <c r="C760" s="1" t="n">
        <v>45908</v>
      </c>
      <c r="D760" t="inlineStr">
        <is>
          <t>JÄMTLANDS LÄN</t>
        </is>
      </c>
      <c r="E760" t="inlineStr">
        <is>
          <t>RAGUNDA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34468-2025</t>
        </is>
      </c>
      <c r="B761" s="1" t="n">
        <v>45847.34597222223</v>
      </c>
      <c r="C761" s="1" t="n">
        <v>45908</v>
      </c>
      <c r="D761" t="inlineStr">
        <is>
          <t>JÄMTLANDS LÄN</t>
        </is>
      </c>
      <c r="E761" t="inlineStr">
        <is>
          <t>RAGUNDA</t>
        </is>
      </c>
      <c r="F761" t="inlineStr">
        <is>
          <t>SCA</t>
        </is>
      </c>
      <c r="G761" t="n">
        <v>10</v>
      </c>
      <c r="H761" t="n">
        <v>0</v>
      </c>
      <c r="I761" t="n">
        <v>0</v>
      </c>
      <c r="J761" t="n">
        <v>0</v>
      </c>
      <c r="K761" t="n">
        <v>0</v>
      </c>
      <c r="L761" t="n">
        <v>0</v>
      </c>
      <c r="M761" t="n">
        <v>0</v>
      </c>
      <c r="N761" t="n">
        <v>0</v>
      </c>
      <c r="O761" t="n">
        <v>0</v>
      </c>
      <c r="P761" t="n">
        <v>0</v>
      </c>
      <c r="Q761" t="n">
        <v>0</v>
      </c>
      <c r="R761" s="2" t="inlineStr"/>
    </row>
    <row r="762" ht="15" customHeight="1">
      <c r="A762" t="inlineStr">
        <is>
          <t>A 34466-2025</t>
        </is>
      </c>
      <c r="B762" s="1" t="n">
        <v>45847.34565972222</v>
      </c>
      <c r="C762" s="1" t="n">
        <v>45908</v>
      </c>
      <c r="D762" t="inlineStr">
        <is>
          <t>JÄMTLANDS LÄN</t>
        </is>
      </c>
      <c r="E762" t="inlineStr">
        <is>
          <t>RAGUNDA</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34463-2025</t>
        </is>
      </c>
      <c r="B763" s="1" t="n">
        <v>45847.34515046296</v>
      </c>
      <c r="C763" s="1" t="n">
        <v>45908</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39384-2025</t>
        </is>
      </c>
      <c r="B764" s="1" t="n">
        <v>45889.61517361111</v>
      </c>
      <c r="C764" s="1" t="n">
        <v>45908</v>
      </c>
      <c r="D764" t="inlineStr">
        <is>
          <t>JÄMTLANDS LÄN</t>
        </is>
      </c>
      <c r="E764" t="inlineStr">
        <is>
          <t>RAGUNDA</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34586-2025</t>
        </is>
      </c>
      <c r="B765" s="1" t="n">
        <v>45847.61513888889</v>
      </c>
      <c r="C765" s="1" t="n">
        <v>45908</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34588-2025</t>
        </is>
      </c>
      <c r="B766" s="1" t="n">
        <v>45847.61548611111</v>
      </c>
      <c r="C766" s="1" t="n">
        <v>45908</v>
      </c>
      <c r="D766" t="inlineStr">
        <is>
          <t>JÄMTLANDS LÄN</t>
        </is>
      </c>
      <c r="E766" t="inlineStr">
        <is>
          <t>RAGUNDA</t>
        </is>
      </c>
      <c r="G766" t="n">
        <v>32.3</v>
      </c>
      <c r="H766" t="n">
        <v>0</v>
      </c>
      <c r="I766" t="n">
        <v>0</v>
      </c>
      <c r="J766" t="n">
        <v>0</v>
      </c>
      <c r="K766" t="n">
        <v>0</v>
      </c>
      <c r="L766" t="n">
        <v>0</v>
      </c>
      <c r="M766" t="n">
        <v>0</v>
      </c>
      <c r="N766" t="n">
        <v>0</v>
      </c>
      <c r="O766" t="n">
        <v>0</v>
      </c>
      <c r="P766" t="n">
        <v>0</v>
      </c>
      <c r="Q766" t="n">
        <v>0</v>
      </c>
      <c r="R766" s="2" t="inlineStr"/>
    </row>
    <row r="767" ht="15" customHeight="1">
      <c r="A767" t="inlineStr">
        <is>
          <t>A 34296-2025</t>
        </is>
      </c>
      <c r="B767" s="1" t="n">
        <v>45846.34454861111</v>
      </c>
      <c r="C767" s="1" t="n">
        <v>45908</v>
      </c>
      <c r="D767" t="inlineStr">
        <is>
          <t>JÄMTLANDS LÄN</t>
        </is>
      </c>
      <c r="E767" t="inlineStr">
        <is>
          <t>RAGUNDA</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45952-2023</t>
        </is>
      </c>
      <c r="B768" s="1" t="n">
        <v>45195</v>
      </c>
      <c r="C768" s="1" t="n">
        <v>45908</v>
      </c>
      <c r="D768" t="inlineStr">
        <is>
          <t>JÄMTLANDS LÄN</t>
        </is>
      </c>
      <c r="E768" t="inlineStr">
        <is>
          <t>RAGUNDA</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45954-2023</t>
        </is>
      </c>
      <c r="B769" s="1" t="n">
        <v>45195.94679398148</v>
      </c>
      <c r="C769" s="1" t="n">
        <v>45908</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45955-2023</t>
        </is>
      </c>
      <c r="B770" s="1" t="n">
        <v>45195.94685185186</v>
      </c>
      <c r="C770" s="1" t="n">
        <v>45908</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34709-2025</t>
        </is>
      </c>
      <c r="B771" s="1" t="n">
        <v>45848.49761574074</v>
      </c>
      <c r="C771" s="1" t="n">
        <v>45908</v>
      </c>
      <c r="D771" t="inlineStr">
        <is>
          <t>JÄMTLANDS LÄN</t>
        </is>
      </c>
      <c r="E771" t="inlineStr">
        <is>
          <t>RAGUNDA</t>
        </is>
      </c>
      <c r="G771" t="n">
        <v>3.1</v>
      </c>
      <c r="H771" t="n">
        <v>0</v>
      </c>
      <c r="I771" t="n">
        <v>0</v>
      </c>
      <c r="J771" t="n">
        <v>0</v>
      </c>
      <c r="K771" t="n">
        <v>0</v>
      </c>
      <c r="L771" t="n">
        <v>0</v>
      </c>
      <c r="M771" t="n">
        <v>0</v>
      </c>
      <c r="N771" t="n">
        <v>0</v>
      </c>
      <c r="O771" t="n">
        <v>0</v>
      </c>
      <c r="P771" t="n">
        <v>0</v>
      </c>
      <c r="Q771" t="n">
        <v>0</v>
      </c>
      <c r="R771" s="2" t="inlineStr"/>
    </row>
    <row r="772" ht="15" customHeight="1">
      <c r="A772" t="inlineStr">
        <is>
          <t>A 34772-2025</t>
        </is>
      </c>
      <c r="B772" s="1" t="n">
        <v>45848.65658564815</v>
      </c>
      <c r="C772" s="1" t="n">
        <v>45908</v>
      </c>
      <c r="D772" t="inlineStr">
        <is>
          <t>JÄMTLANDS LÄN</t>
        </is>
      </c>
      <c r="E772" t="inlineStr">
        <is>
          <t>RAGUNDA</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60456-2023</t>
        </is>
      </c>
      <c r="B773" s="1" t="n">
        <v>45258</v>
      </c>
      <c r="C773" s="1" t="n">
        <v>45908</v>
      </c>
      <c r="D773" t="inlineStr">
        <is>
          <t>JÄMTLANDS LÄN</t>
        </is>
      </c>
      <c r="E773" t="inlineStr">
        <is>
          <t>RAGUNDA</t>
        </is>
      </c>
      <c r="G773" t="n">
        <v>1.8</v>
      </c>
      <c r="H773" t="n">
        <v>0</v>
      </c>
      <c r="I773" t="n">
        <v>0</v>
      </c>
      <c r="J773" t="n">
        <v>0</v>
      </c>
      <c r="K773" t="n">
        <v>0</v>
      </c>
      <c r="L773" t="n">
        <v>0</v>
      </c>
      <c r="M773" t="n">
        <v>0</v>
      </c>
      <c r="N773" t="n">
        <v>0</v>
      </c>
      <c r="O773" t="n">
        <v>0</v>
      </c>
      <c r="P773" t="n">
        <v>0</v>
      </c>
      <c r="Q773" t="n">
        <v>0</v>
      </c>
      <c r="R773" s="2" t="inlineStr"/>
    </row>
    <row r="774" ht="15" customHeight="1">
      <c r="A774" t="inlineStr">
        <is>
          <t>A 16334-2025</t>
        </is>
      </c>
      <c r="B774" s="1" t="n">
        <v>45751.36490740741</v>
      </c>
      <c r="C774" s="1" t="n">
        <v>45908</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34710-2025</t>
        </is>
      </c>
      <c r="B775" s="1" t="n">
        <v>45848.49774305556</v>
      </c>
      <c r="C775" s="1" t="n">
        <v>45908</v>
      </c>
      <c r="D775" t="inlineStr">
        <is>
          <t>JÄMTLANDS LÄN</t>
        </is>
      </c>
      <c r="E775" t="inlineStr">
        <is>
          <t>RAGUNDA</t>
        </is>
      </c>
      <c r="G775" t="n">
        <v>4.1</v>
      </c>
      <c r="H775" t="n">
        <v>0</v>
      </c>
      <c r="I775" t="n">
        <v>0</v>
      </c>
      <c r="J775" t="n">
        <v>0</v>
      </c>
      <c r="K775" t="n">
        <v>0</v>
      </c>
      <c r="L775" t="n">
        <v>0</v>
      </c>
      <c r="M775" t="n">
        <v>0</v>
      </c>
      <c r="N775" t="n">
        <v>0</v>
      </c>
      <c r="O775" t="n">
        <v>0</v>
      </c>
      <c r="P775" t="n">
        <v>0</v>
      </c>
      <c r="Q775" t="n">
        <v>0</v>
      </c>
      <c r="R775" s="2" t="inlineStr"/>
    </row>
    <row r="776" ht="15" customHeight="1">
      <c r="A776" t="inlineStr">
        <is>
          <t>A 58438-2022</t>
        </is>
      </c>
      <c r="B776" s="1" t="n">
        <v>44901</v>
      </c>
      <c r="C776" s="1" t="n">
        <v>45908</v>
      </c>
      <c r="D776" t="inlineStr">
        <is>
          <t>JÄMTLANDS LÄN</t>
        </is>
      </c>
      <c r="E776" t="inlineStr">
        <is>
          <t>RAGUNDA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58442-2022</t>
        </is>
      </c>
      <c r="B777" s="1" t="n">
        <v>44901</v>
      </c>
      <c r="C777" s="1" t="n">
        <v>45908</v>
      </c>
      <c r="D777" t="inlineStr">
        <is>
          <t>JÄMTLANDS LÄN</t>
        </is>
      </c>
      <c r="E777" t="inlineStr">
        <is>
          <t>RAGUNDA</t>
        </is>
      </c>
      <c r="F777" t="inlineStr">
        <is>
          <t>SCA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34968-2025</t>
        </is>
      </c>
      <c r="B778" s="1" t="n">
        <v>45849.65663194445</v>
      </c>
      <c r="C778" s="1" t="n">
        <v>45908</v>
      </c>
      <c r="D778" t="inlineStr">
        <is>
          <t>JÄMTLANDS LÄN</t>
        </is>
      </c>
      <c r="E778" t="inlineStr">
        <is>
          <t>RAGUNDA</t>
        </is>
      </c>
      <c r="F778" t="inlineStr">
        <is>
          <t>SCA</t>
        </is>
      </c>
      <c r="G778" t="n">
        <v>20.2</v>
      </c>
      <c r="H778" t="n">
        <v>0</v>
      </c>
      <c r="I778" t="n">
        <v>0</v>
      </c>
      <c r="J778" t="n">
        <v>0</v>
      </c>
      <c r="K778" t="n">
        <v>0</v>
      </c>
      <c r="L778" t="n">
        <v>0</v>
      </c>
      <c r="M778" t="n">
        <v>0</v>
      </c>
      <c r="N778" t="n">
        <v>0</v>
      </c>
      <c r="O778" t="n">
        <v>0</v>
      </c>
      <c r="P778" t="n">
        <v>0</v>
      </c>
      <c r="Q778" t="n">
        <v>0</v>
      </c>
      <c r="R778" s="2" t="inlineStr"/>
    </row>
    <row r="779" ht="15" customHeight="1">
      <c r="A779" t="inlineStr">
        <is>
          <t>A 5806-2025</t>
        </is>
      </c>
      <c r="B779" s="1" t="n">
        <v>45694.69826388889</v>
      </c>
      <c r="C779" s="1" t="n">
        <v>45908</v>
      </c>
      <c r="D779" t="inlineStr">
        <is>
          <t>JÄMTLANDS LÄN</t>
        </is>
      </c>
      <c r="E779" t="inlineStr">
        <is>
          <t>RAGUNDA</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39946-2025</t>
        </is>
      </c>
      <c r="B780" s="1" t="n">
        <v>45892.34423611111</v>
      </c>
      <c r="C780" s="1" t="n">
        <v>45908</v>
      </c>
      <c r="D780" t="inlineStr">
        <is>
          <t>JÄMTLANDS LÄN</t>
        </is>
      </c>
      <c r="E780" t="inlineStr">
        <is>
          <t>RAGUNDA</t>
        </is>
      </c>
      <c r="G780" t="n">
        <v>4.7</v>
      </c>
      <c r="H780" t="n">
        <v>0</v>
      </c>
      <c r="I780" t="n">
        <v>0</v>
      </c>
      <c r="J780" t="n">
        <v>0</v>
      </c>
      <c r="K780" t="n">
        <v>0</v>
      </c>
      <c r="L780" t="n">
        <v>0</v>
      </c>
      <c r="M780" t="n">
        <v>0</v>
      </c>
      <c r="N780" t="n">
        <v>0</v>
      </c>
      <c r="O780" t="n">
        <v>0</v>
      </c>
      <c r="P780" t="n">
        <v>0</v>
      </c>
      <c r="Q780" t="n">
        <v>0</v>
      </c>
      <c r="R780" s="2" t="inlineStr"/>
    </row>
    <row r="781" ht="15" customHeight="1">
      <c r="A781" t="inlineStr">
        <is>
          <t>A 39948-2025</t>
        </is>
      </c>
      <c r="B781" s="1" t="n">
        <v>45892.38591435185</v>
      </c>
      <c r="C781" s="1" t="n">
        <v>45908</v>
      </c>
      <c r="D781" t="inlineStr">
        <is>
          <t>JÄMTLANDS LÄN</t>
        </is>
      </c>
      <c r="E781" t="inlineStr">
        <is>
          <t>RAGUNDA</t>
        </is>
      </c>
      <c r="G781" t="n">
        <v>5</v>
      </c>
      <c r="H781" t="n">
        <v>0</v>
      </c>
      <c r="I781" t="n">
        <v>0</v>
      </c>
      <c r="J781" t="n">
        <v>0</v>
      </c>
      <c r="K781" t="n">
        <v>0</v>
      </c>
      <c r="L781" t="n">
        <v>0</v>
      </c>
      <c r="M781" t="n">
        <v>0</v>
      </c>
      <c r="N781" t="n">
        <v>0</v>
      </c>
      <c r="O781" t="n">
        <v>0</v>
      </c>
      <c r="P781" t="n">
        <v>0</v>
      </c>
      <c r="Q781" t="n">
        <v>0</v>
      </c>
      <c r="R781" s="2" t="inlineStr"/>
    </row>
    <row r="782" ht="15" customHeight="1">
      <c r="A782" t="inlineStr">
        <is>
          <t>A 39951-2025</t>
        </is>
      </c>
      <c r="B782" s="1" t="n">
        <v>45892.38657407407</v>
      </c>
      <c r="C782" s="1" t="n">
        <v>45908</v>
      </c>
      <c r="D782" t="inlineStr">
        <is>
          <t>JÄMTLANDS LÄN</t>
        </is>
      </c>
      <c r="E782" t="inlineStr">
        <is>
          <t>RAGUNDA</t>
        </is>
      </c>
      <c r="G782" t="n">
        <v>2.3</v>
      </c>
      <c r="H782" t="n">
        <v>0</v>
      </c>
      <c r="I782" t="n">
        <v>0</v>
      </c>
      <c r="J782" t="n">
        <v>0</v>
      </c>
      <c r="K782" t="n">
        <v>0</v>
      </c>
      <c r="L782" t="n">
        <v>0</v>
      </c>
      <c r="M782" t="n">
        <v>0</v>
      </c>
      <c r="N782" t="n">
        <v>0</v>
      </c>
      <c r="O782" t="n">
        <v>0</v>
      </c>
      <c r="P782" t="n">
        <v>0</v>
      </c>
      <c r="Q782" t="n">
        <v>0</v>
      </c>
      <c r="R782" s="2" t="inlineStr"/>
    </row>
    <row r="783" ht="15" customHeight="1">
      <c r="A783" t="inlineStr">
        <is>
          <t>A 34998-2025</t>
        </is>
      </c>
      <c r="B783" s="1" t="n">
        <v>45850.34434027778</v>
      </c>
      <c r="C783" s="1" t="n">
        <v>45908</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34999-2025</t>
        </is>
      </c>
      <c r="B784" s="1" t="n">
        <v>45850.34450231482</v>
      </c>
      <c r="C784" s="1" t="n">
        <v>45908</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45908</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39956-2025</t>
        </is>
      </c>
      <c r="B786" s="1" t="n">
        <v>45892.44840277778</v>
      </c>
      <c r="C786" s="1" t="n">
        <v>45908</v>
      </c>
      <c r="D786" t="inlineStr">
        <is>
          <t>JÄMTLANDS LÄN</t>
        </is>
      </c>
      <c r="E786" t="inlineStr">
        <is>
          <t>RAGUNDA</t>
        </is>
      </c>
      <c r="G786" t="n">
        <v>3.6</v>
      </c>
      <c r="H786" t="n">
        <v>0</v>
      </c>
      <c r="I786" t="n">
        <v>0</v>
      </c>
      <c r="J786" t="n">
        <v>0</v>
      </c>
      <c r="K786" t="n">
        <v>0</v>
      </c>
      <c r="L786" t="n">
        <v>0</v>
      </c>
      <c r="M786" t="n">
        <v>0</v>
      </c>
      <c r="N786" t="n">
        <v>0</v>
      </c>
      <c r="O786" t="n">
        <v>0</v>
      </c>
      <c r="P786" t="n">
        <v>0</v>
      </c>
      <c r="Q786" t="n">
        <v>0</v>
      </c>
      <c r="R786" s="2" t="inlineStr"/>
    </row>
    <row r="787" ht="15" customHeight="1">
      <c r="A787" t="inlineStr">
        <is>
          <t>A 14513-2025</t>
        </is>
      </c>
      <c r="B787" s="1" t="n">
        <v>45741.63675925926</v>
      </c>
      <c r="C787" s="1" t="n">
        <v>45908</v>
      </c>
      <c r="D787" t="inlineStr">
        <is>
          <t>JÄMTLANDS LÄN</t>
        </is>
      </c>
      <c r="E787" t="inlineStr">
        <is>
          <t>RAGUNDA</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35092-2025</t>
        </is>
      </c>
      <c r="B788" s="1" t="n">
        <v>45852.53185185185</v>
      </c>
      <c r="C788" s="1" t="n">
        <v>45908</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39947-2025</t>
        </is>
      </c>
      <c r="B789" s="1" t="n">
        <v>45892.34438657408</v>
      </c>
      <c r="C789" s="1" t="n">
        <v>45908</v>
      </c>
      <c r="D789" t="inlineStr">
        <is>
          <t>JÄMTLANDS LÄN</t>
        </is>
      </c>
      <c r="E789" t="inlineStr">
        <is>
          <t>RAGUNDA</t>
        </is>
      </c>
      <c r="G789" t="n">
        <v>6.6</v>
      </c>
      <c r="H789" t="n">
        <v>0</v>
      </c>
      <c r="I789" t="n">
        <v>0</v>
      </c>
      <c r="J789" t="n">
        <v>0</v>
      </c>
      <c r="K789" t="n">
        <v>0</v>
      </c>
      <c r="L789" t="n">
        <v>0</v>
      </c>
      <c r="M789" t="n">
        <v>0</v>
      </c>
      <c r="N789" t="n">
        <v>0</v>
      </c>
      <c r="O789" t="n">
        <v>0</v>
      </c>
      <c r="P789" t="n">
        <v>0</v>
      </c>
      <c r="Q789" t="n">
        <v>0</v>
      </c>
      <c r="R789" s="2" t="inlineStr"/>
    </row>
    <row r="790" ht="15" customHeight="1">
      <c r="A790" t="inlineStr">
        <is>
          <t>A 39950-2025</t>
        </is>
      </c>
      <c r="B790" s="1" t="n">
        <v>45892.38641203703</v>
      </c>
      <c r="C790" s="1" t="n">
        <v>45908</v>
      </c>
      <c r="D790" t="inlineStr">
        <is>
          <t>JÄMTLANDS LÄN</t>
        </is>
      </c>
      <c r="E790" t="inlineStr">
        <is>
          <t>RAGUNDA</t>
        </is>
      </c>
      <c r="G790" t="n">
        <v>1.1</v>
      </c>
      <c r="H790" t="n">
        <v>0</v>
      </c>
      <c r="I790" t="n">
        <v>0</v>
      </c>
      <c r="J790" t="n">
        <v>0</v>
      </c>
      <c r="K790" t="n">
        <v>0</v>
      </c>
      <c r="L790" t="n">
        <v>0</v>
      </c>
      <c r="M790" t="n">
        <v>0</v>
      </c>
      <c r="N790" t="n">
        <v>0</v>
      </c>
      <c r="O790" t="n">
        <v>0</v>
      </c>
      <c r="P790" t="n">
        <v>0</v>
      </c>
      <c r="Q790" t="n">
        <v>0</v>
      </c>
      <c r="R790" s="2" t="inlineStr"/>
    </row>
    <row r="791" ht="15" customHeight="1">
      <c r="A791" t="inlineStr">
        <is>
          <t>A 35091-2025</t>
        </is>
      </c>
      <c r="B791" s="1" t="n">
        <v>45852.53168981482</v>
      </c>
      <c r="C791" s="1" t="n">
        <v>45908</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39949-2025</t>
        </is>
      </c>
      <c r="B792" s="1" t="n">
        <v>45892.38619212963</v>
      </c>
      <c r="C792" s="1" t="n">
        <v>45908</v>
      </c>
      <c r="D792" t="inlineStr">
        <is>
          <t>JÄMTLANDS LÄN</t>
        </is>
      </c>
      <c r="E792" t="inlineStr">
        <is>
          <t>RAGUNDA</t>
        </is>
      </c>
      <c r="G792" t="n">
        <v>1.4</v>
      </c>
      <c r="H792" t="n">
        <v>0</v>
      </c>
      <c r="I792" t="n">
        <v>0</v>
      </c>
      <c r="J792" t="n">
        <v>0</v>
      </c>
      <c r="K792" t="n">
        <v>0</v>
      </c>
      <c r="L792" t="n">
        <v>0</v>
      </c>
      <c r="M792" t="n">
        <v>0</v>
      </c>
      <c r="N792" t="n">
        <v>0</v>
      </c>
      <c r="O792" t="n">
        <v>0</v>
      </c>
      <c r="P792" t="n">
        <v>0</v>
      </c>
      <c r="Q792" t="n">
        <v>0</v>
      </c>
      <c r="R792" s="2" t="inlineStr"/>
    </row>
    <row r="793" ht="15" customHeight="1">
      <c r="A793" t="inlineStr">
        <is>
          <t>A 39955-2025</t>
        </is>
      </c>
      <c r="B793" s="1" t="n">
        <v>45892.44824074074</v>
      </c>
      <c r="C793" s="1" t="n">
        <v>45908</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40586-2025</t>
        </is>
      </c>
      <c r="B794" s="1" t="n">
        <v>45896.52478009259</v>
      </c>
      <c r="C794" s="1" t="n">
        <v>45908</v>
      </c>
      <c r="D794" t="inlineStr">
        <is>
          <t>JÄMTLANDS LÄN</t>
        </is>
      </c>
      <c r="E794" t="inlineStr">
        <is>
          <t>RAGUNDA</t>
        </is>
      </c>
      <c r="G794" t="n">
        <v>1.2</v>
      </c>
      <c r="H794" t="n">
        <v>0</v>
      </c>
      <c r="I794" t="n">
        <v>0</v>
      </c>
      <c r="J794" t="n">
        <v>0</v>
      </c>
      <c r="K794" t="n">
        <v>0</v>
      </c>
      <c r="L794" t="n">
        <v>0</v>
      </c>
      <c r="M794" t="n">
        <v>0</v>
      </c>
      <c r="N794" t="n">
        <v>0</v>
      </c>
      <c r="O794" t="n">
        <v>0</v>
      </c>
      <c r="P794" t="n">
        <v>0</v>
      </c>
      <c r="Q794" t="n">
        <v>0</v>
      </c>
      <c r="R794" s="2" t="inlineStr"/>
    </row>
    <row r="795" ht="15" customHeight="1">
      <c r="A795" t="inlineStr">
        <is>
          <t>A 35462-2025</t>
        </is>
      </c>
      <c r="B795" s="1" t="n">
        <v>45855.61523148148</v>
      </c>
      <c r="C795" s="1" t="n">
        <v>45908</v>
      </c>
      <c r="D795" t="inlineStr">
        <is>
          <t>JÄMTLANDS LÄN</t>
        </is>
      </c>
      <c r="E795" t="inlineStr">
        <is>
          <t>RAGUNDA</t>
        </is>
      </c>
      <c r="F795" t="inlineStr">
        <is>
          <t>SCA</t>
        </is>
      </c>
      <c r="G795" t="n">
        <v>5.7</v>
      </c>
      <c r="H795" t="n">
        <v>0</v>
      </c>
      <c r="I795" t="n">
        <v>0</v>
      </c>
      <c r="J795" t="n">
        <v>0</v>
      </c>
      <c r="K795" t="n">
        <v>0</v>
      </c>
      <c r="L795" t="n">
        <v>0</v>
      </c>
      <c r="M795" t="n">
        <v>0</v>
      </c>
      <c r="N795" t="n">
        <v>0</v>
      </c>
      <c r="O795" t="n">
        <v>0</v>
      </c>
      <c r="P795" t="n">
        <v>0</v>
      </c>
      <c r="Q795" t="n">
        <v>0</v>
      </c>
      <c r="R795" s="2" t="inlineStr"/>
    </row>
    <row r="796" ht="15" customHeight="1">
      <c r="A796" t="inlineStr">
        <is>
          <t>A 35355-2025</t>
        </is>
      </c>
      <c r="B796" s="1" t="n">
        <v>45854.65663194445</v>
      </c>
      <c r="C796" s="1" t="n">
        <v>45908</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55904-2022</t>
        </is>
      </c>
      <c r="B797" s="1" t="n">
        <v>44888</v>
      </c>
      <c r="C797" s="1" t="n">
        <v>45908</v>
      </c>
      <c r="D797" t="inlineStr">
        <is>
          <t>JÄMTLANDS LÄN</t>
        </is>
      </c>
      <c r="E797" t="inlineStr">
        <is>
          <t>RAGUNDA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35477-2025</t>
        </is>
      </c>
      <c r="B798" s="1" t="n">
        <v>45855.67899305555</v>
      </c>
      <c r="C798" s="1" t="n">
        <v>45908</v>
      </c>
      <c r="D798" t="inlineStr">
        <is>
          <t>JÄMTLANDS LÄN</t>
        </is>
      </c>
      <c r="E798" t="inlineStr">
        <is>
          <t>RAGUNDA</t>
        </is>
      </c>
      <c r="G798" t="n">
        <v>3.6</v>
      </c>
      <c r="H798" t="n">
        <v>0</v>
      </c>
      <c r="I798" t="n">
        <v>0</v>
      </c>
      <c r="J798" t="n">
        <v>0</v>
      </c>
      <c r="K798" t="n">
        <v>0</v>
      </c>
      <c r="L798" t="n">
        <v>0</v>
      </c>
      <c r="M798" t="n">
        <v>0</v>
      </c>
      <c r="N798" t="n">
        <v>0</v>
      </c>
      <c r="O798" t="n">
        <v>0</v>
      </c>
      <c r="P798" t="n">
        <v>0</v>
      </c>
      <c r="Q798" t="n">
        <v>0</v>
      </c>
      <c r="R798" s="2" t="inlineStr"/>
    </row>
    <row r="799" ht="15" customHeight="1">
      <c r="A799" t="inlineStr">
        <is>
          <t>A 41161-2025</t>
        </is>
      </c>
      <c r="B799" s="1" t="n">
        <v>45898.53193287037</v>
      </c>
      <c r="C799" s="1" t="n">
        <v>45908</v>
      </c>
      <c r="D799" t="inlineStr">
        <is>
          <t>JÄMTLANDS LÄN</t>
        </is>
      </c>
      <c r="E799" t="inlineStr">
        <is>
          <t>RAGUNDA</t>
        </is>
      </c>
      <c r="F799" t="inlineStr">
        <is>
          <t>SCA</t>
        </is>
      </c>
      <c r="G799" t="n">
        <v>4.4</v>
      </c>
      <c r="H799" t="n">
        <v>0</v>
      </c>
      <c r="I799" t="n">
        <v>0</v>
      </c>
      <c r="J799" t="n">
        <v>0</v>
      </c>
      <c r="K799" t="n">
        <v>0</v>
      </c>
      <c r="L799" t="n">
        <v>0</v>
      </c>
      <c r="M799" t="n">
        <v>0</v>
      </c>
      <c r="N799" t="n">
        <v>0</v>
      </c>
      <c r="O799" t="n">
        <v>0</v>
      </c>
      <c r="P799" t="n">
        <v>0</v>
      </c>
      <c r="Q799" t="n">
        <v>0</v>
      </c>
      <c r="R799" s="2" t="inlineStr"/>
    </row>
    <row r="800" ht="15" customHeight="1">
      <c r="A800" t="inlineStr">
        <is>
          <t>A 41423-2025</t>
        </is>
      </c>
      <c r="B800" s="1" t="n">
        <v>45901.38578703703</v>
      </c>
      <c r="C800" s="1" t="n">
        <v>45908</v>
      </c>
      <c r="D800" t="inlineStr">
        <is>
          <t>JÄMTLANDS LÄN</t>
        </is>
      </c>
      <c r="E800" t="inlineStr">
        <is>
          <t>RAGUNDA</t>
        </is>
      </c>
      <c r="G800" t="n">
        <v>0.7</v>
      </c>
      <c r="H800" t="n">
        <v>0</v>
      </c>
      <c r="I800" t="n">
        <v>0</v>
      </c>
      <c r="J800" t="n">
        <v>0</v>
      </c>
      <c r="K800" t="n">
        <v>0</v>
      </c>
      <c r="L800" t="n">
        <v>0</v>
      </c>
      <c r="M800" t="n">
        <v>0</v>
      </c>
      <c r="N800" t="n">
        <v>0</v>
      </c>
      <c r="O800" t="n">
        <v>0</v>
      </c>
      <c r="P800" t="n">
        <v>0</v>
      </c>
      <c r="Q800" t="n">
        <v>0</v>
      </c>
      <c r="R800" s="2" t="inlineStr"/>
    </row>
    <row r="801" ht="15" customHeight="1">
      <c r="A801" t="inlineStr">
        <is>
          <t>A 61598-2024</t>
        </is>
      </c>
      <c r="B801" s="1" t="n">
        <v>45646.63605324074</v>
      </c>
      <c r="C801" s="1" t="n">
        <v>45908</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35541-2025</t>
        </is>
      </c>
      <c r="B802" s="1" t="n">
        <v>45856.46931712963</v>
      </c>
      <c r="C802" s="1" t="n">
        <v>45908</v>
      </c>
      <c r="D802" t="inlineStr">
        <is>
          <t>JÄMTLANDS LÄN</t>
        </is>
      </c>
      <c r="E802" t="inlineStr">
        <is>
          <t>RAGUNDA</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41140-2025</t>
        </is>
      </c>
      <c r="B803" s="1" t="n">
        <v>45898.49012731481</v>
      </c>
      <c r="C803" s="1" t="n">
        <v>45908</v>
      </c>
      <c r="D803" t="inlineStr">
        <is>
          <t>JÄMTLANDS LÄN</t>
        </is>
      </c>
      <c r="E803" t="inlineStr">
        <is>
          <t>RAGUNDA</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41262-2025</t>
        </is>
      </c>
      <c r="B804" s="1" t="n">
        <v>45898.61502314815</v>
      </c>
      <c r="C804" s="1" t="n">
        <v>45908</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41233-2025</t>
        </is>
      </c>
      <c r="B805" s="1" t="n">
        <v>45898.59295138889</v>
      </c>
      <c r="C805" s="1" t="n">
        <v>45908</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7281-2025</t>
        </is>
      </c>
      <c r="B806" s="1" t="n">
        <v>45702.63572916666</v>
      </c>
      <c r="C806" s="1" t="n">
        <v>45908</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41422-2025</t>
        </is>
      </c>
      <c r="B807" s="1" t="n">
        <v>45901.38572916666</v>
      </c>
      <c r="C807" s="1" t="n">
        <v>45908</v>
      </c>
      <c r="D807" t="inlineStr">
        <is>
          <t>JÄMTLANDS LÄN</t>
        </is>
      </c>
      <c r="E807" t="inlineStr">
        <is>
          <t>RAGUNDA</t>
        </is>
      </c>
      <c r="G807" t="n">
        <v>4.3</v>
      </c>
      <c r="H807" t="n">
        <v>0</v>
      </c>
      <c r="I807" t="n">
        <v>0</v>
      </c>
      <c r="J807" t="n">
        <v>0</v>
      </c>
      <c r="K807" t="n">
        <v>0</v>
      </c>
      <c r="L807" t="n">
        <v>0</v>
      </c>
      <c r="M807" t="n">
        <v>0</v>
      </c>
      <c r="N807" t="n">
        <v>0</v>
      </c>
      <c r="O807" t="n">
        <v>0</v>
      </c>
      <c r="P807" t="n">
        <v>0</v>
      </c>
      <c r="Q807" t="n">
        <v>0</v>
      </c>
      <c r="R807" s="2" t="inlineStr"/>
    </row>
    <row r="808" ht="15" customHeight="1">
      <c r="A808" t="inlineStr">
        <is>
          <t>A 41424-2025</t>
        </is>
      </c>
      <c r="B808" s="1" t="n">
        <v>45901.38584490741</v>
      </c>
      <c r="C808" s="1" t="n">
        <v>45908</v>
      </c>
      <c r="D808" t="inlineStr">
        <is>
          <t>JÄMTLANDS LÄN</t>
        </is>
      </c>
      <c r="E808" t="inlineStr">
        <is>
          <t>RAGUNDA</t>
        </is>
      </c>
      <c r="G808" t="n">
        <v>3</v>
      </c>
      <c r="H808" t="n">
        <v>0</v>
      </c>
      <c r="I808" t="n">
        <v>0</v>
      </c>
      <c r="J808" t="n">
        <v>0</v>
      </c>
      <c r="K808" t="n">
        <v>0</v>
      </c>
      <c r="L808" t="n">
        <v>0</v>
      </c>
      <c r="M808" t="n">
        <v>0</v>
      </c>
      <c r="N808" t="n">
        <v>0</v>
      </c>
      <c r="O808" t="n">
        <v>0</v>
      </c>
      <c r="P808" t="n">
        <v>0</v>
      </c>
      <c r="Q808" t="n">
        <v>0</v>
      </c>
      <c r="R808" s="2" t="inlineStr"/>
    </row>
    <row r="809" ht="15" customHeight="1">
      <c r="A809" t="inlineStr">
        <is>
          <t>A 48192-2024</t>
        </is>
      </c>
      <c r="B809" s="1" t="n">
        <v>45590</v>
      </c>
      <c r="C809" s="1" t="n">
        <v>45908</v>
      </c>
      <c r="D809" t="inlineStr">
        <is>
          <t>JÄMTLANDS LÄN</t>
        </is>
      </c>
      <c r="E809" t="inlineStr">
        <is>
          <t>RAGUNDA</t>
        </is>
      </c>
      <c r="G809" t="n">
        <v>2.3</v>
      </c>
      <c r="H809" t="n">
        <v>0</v>
      </c>
      <c r="I809" t="n">
        <v>0</v>
      </c>
      <c r="J809" t="n">
        <v>0</v>
      </c>
      <c r="K809" t="n">
        <v>0</v>
      </c>
      <c r="L809" t="n">
        <v>0</v>
      </c>
      <c r="M809" t="n">
        <v>0</v>
      </c>
      <c r="N809" t="n">
        <v>0</v>
      </c>
      <c r="O809" t="n">
        <v>0</v>
      </c>
      <c r="P809" t="n">
        <v>0</v>
      </c>
      <c r="Q809" t="n">
        <v>0</v>
      </c>
      <c r="R809" s="2" t="inlineStr"/>
    </row>
    <row r="810" ht="15" customHeight="1">
      <c r="A810" t="inlineStr">
        <is>
          <t>A 17667-2025</t>
        </is>
      </c>
      <c r="B810" s="1" t="n">
        <v>45758.36487268518</v>
      </c>
      <c r="C810" s="1" t="n">
        <v>45908</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35658-2025</t>
        </is>
      </c>
      <c r="B811" s="1" t="n">
        <v>45859.594375</v>
      </c>
      <c r="C811" s="1" t="n">
        <v>45908</v>
      </c>
      <c r="D811" t="inlineStr">
        <is>
          <t>JÄMTLANDS LÄN</t>
        </is>
      </c>
      <c r="E811" t="inlineStr">
        <is>
          <t>RAGUNDA</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41876-2025</t>
        </is>
      </c>
      <c r="B812" s="1" t="n">
        <v>45903.34555555556</v>
      </c>
      <c r="C812" s="1" t="n">
        <v>45908</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2599-2023</t>
        </is>
      </c>
      <c r="B813" s="1" t="n">
        <v>44943.94802083333</v>
      </c>
      <c r="C813" s="1" t="n">
        <v>45908</v>
      </c>
      <c r="D813" t="inlineStr">
        <is>
          <t>JÄMTLANDS LÄN</t>
        </is>
      </c>
      <c r="E813" t="inlineStr">
        <is>
          <t>RAGUNDA</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50157-2023</t>
        </is>
      </c>
      <c r="B814" s="1" t="n">
        <v>45208</v>
      </c>
      <c r="C814" s="1" t="n">
        <v>45908</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48249-2024</t>
        </is>
      </c>
      <c r="B815" s="1" t="n">
        <v>45590.40675925926</v>
      </c>
      <c r="C815" s="1" t="n">
        <v>45908</v>
      </c>
      <c r="D815" t="inlineStr">
        <is>
          <t>JÄMTLANDS LÄN</t>
        </is>
      </c>
      <c r="E815" t="inlineStr">
        <is>
          <t>RAGUNDA</t>
        </is>
      </c>
      <c r="F815" t="inlineStr">
        <is>
          <t>SCA</t>
        </is>
      </c>
      <c r="G815" t="n">
        <v>14.4</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45279.94572916667</v>
      </c>
      <c r="C816" s="1" t="n">
        <v>45908</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35689-2025</t>
        </is>
      </c>
      <c r="B817" s="1" t="n">
        <v>45860.30229166667</v>
      </c>
      <c r="C817" s="1" t="n">
        <v>45908</v>
      </c>
      <c r="D817" t="inlineStr">
        <is>
          <t>JÄMTLANDS LÄN</t>
        </is>
      </c>
      <c r="E817" t="inlineStr">
        <is>
          <t>RAGUNDA</t>
        </is>
      </c>
      <c r="G817" t="n">
        <v>1.9</v>
      </c>
      <c r="H817" t="n">
        <v>0</v>
      </c>
      <c r="I817" t="n">
        <v>0</v>
      </c>
      <c r="J817" t="n">
        <v>0</v>
      </c>
      <c r="K817" t="n">
        <v>0</v>
      </c>
      <c r="L817" t="n">
        <v>0</v>
      </c>
      <c r="M817" t="n">
        <v>0</v>
      </c>
      <c r="N817" t="n">
        <v>0</v>
      </c>
      <c r="O817" t="n">
        <v>0</v>
      </c>
      <c r="P817" t="n">
        <v>0</v>
      </c>
      <c r="Q817" t="n">
        <v>0</v>
      </c>
      <c r="R817" s="2" t="inlineStr"/>
    </row>
    <row r="818" ht="15" customHeight="1">
      <c r="A818" t="inlineStr">
        <is>
          <t>A 10754-2025</t>
        </is>
      </c>
      <c r="B818" s="1" t="n">
        <v>45722.44849537037</v>
      </c>
      <c r="C818" s="1" t="n">
        <v>45908</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12405-2025</t>
        </is>
      </c>
      <c r="B819" s="1" t="n">
        <v>45730.42738425926</v>
      </c>
      <c r="C819" s="1" t="n">
        <v>45908</v>
      </c>
      <c r="D819" t="inlineStr">
        <is>
          <t>JÄMTLANDS LÄN</t>
        </is>
      </c>
      <c r="E819" t="inlineStr">
        <is>
          <t>RAGUNDA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41656-2025</t>
        </is>
      </c>
      <c r="B820" s="1" t="n">
        <v>45902.34423611111</v>
      </c>
      <c r="C820" s="1" t="n">
        <v>45908</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66706-2021</t>
        </is>
      </c>
      <c r="B821" s="1" t="n">
        <v>44519.94440972222</v>
      </c>
      <c r="C821" s="1" t="n">
        <v>45908</v>
      </c>
      <c r="D821" t="inlineStr">
        <is>
          <t>JÄMTLANDS LÄN</t>
        </is>
      </c>
      <c r="E821" t="inlineStr">
        <is>
          <t>RAGUNDA</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36986-2023</t>
        </is>
      </c>
      <c r="B822" s="1" t="n">
        <v>45154.95525462963</v>
      </c>
      <c r="C822" s="1" t="n">
        <v>45908</v>
      </c>
      <c r="D822" t="inlineStr">
        <is>
          <t>JÄMTLANDS LÄN</t>
        </is>
      </c>
      <c r="E822" t="inlineStr">
        <is>
          <t>RAGUNDA</t>
        </is>
      </c>
      <c r="F822" t="inlineStr">
        <is>
          <t>SCA</t>
        </is>
      </c>
      <c r="G822" t="n">
        <v>0.2</v>
      </c>
      <c r="H822" t="n">
        <v>0</v>
      </c>
      <c r="I822" t="n">
        <v>0</v>
      </c>
      <c r="J822" t="n">
        <v>0</v>
      </c>
      <c r="K822" t="n">
        <v>0</v>
      </c>
      <c r="L822" t="n">
        <v>0</v>
      </c>
      <c r="M822" t="n">
        <v>0</v>
      </c>
      <c r="N822" t="n">
        <v>0</v>
      </c>
      <c r="O822" t="n">
        <v>0</v>
      </c>
      <c r="P822" t="n">
        <v>0</v>
      </c>
      <c r="Q822" t="n">
        <v>0</v>
      </c>
      <c r="R822" s="2" t="inlineStr"/>
    </row>
    <row r="823" ht="15" customHeight="1">
      <c r="A823" t="inlineStr">
        <is>
          <t>A 55222-2024</t>
        </is>
      </c>
      <c r="B823" s="1" t="n">
        <v>45621.57395833333</v>
      </c>
      <c r="C823" s="1" t="n">
        <v>45908</v>
      </c>
      <c r="D823" t="inlineStr">
        <is>
          <t>JÄMTLANDS LÄN</t>
        </is>
      </c>
      <c r="E823" t="inlineStr">
        <is>
          <t>RAGUNDA</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46211-2024</t>
        </is>
      </c>
      <c r="B824" s="1" t="n">
        <v>45581.55260416667</v>
      </c>
      <c r="C824" s="1" t="n">
        <v>45908</v>
      </c>
      <c r="D824" t="inlineStr">
        <is>
          <t>JÄMTLANDS LÄN</t>
        </is>
      </c>
      <c r="E824" t="inlineStr">
        <is>
          <t>RAGUNDA</t>
        </is>
      </c>
      <c r="G824" t="n">
        <v>7.3</v>
      </c>
      <c r="H824" t="n">
        <v>0</v>
      </c>
      <c r="I824" t="n">
        <v>0</v>
      </c>
      <c r="J824" t="n">
        <v>0</v>
      </c>
      <c r="K824" t="n">
        <v>0</v>
      </c>
      <c r="L824" t="n">
        <v>0</v>
      </c>
      <c r="M824" t="n">
        <v>0</v>
      </c>
      <c r="N824" t="n">
        <v>0</v>
      </c>
      <c r="O824" t="n">
        <v>0</v>
      </c>
      <c r="P824" t="n">
        <v>0</v>
      </c>
      <c r="Q824" t="n">
        <v>0</v>
      </c>
      <c r="R824" s="2" t="inlineStr"/>
    </row>
    <row r="825" ht="15" customHeight="1">
      <c r="A825" t="inlineStr">
        <is>
          <t>A 31435-2022</t>
        </is>
      </c>
      <c r="B825" s="1" t="n">
        <v>44774</v>
      </c>
      <c r="C825" s="1" t="n">
        <v>45908</v>
      </c>
      <c r="D825" t="inlineStr">
        <is>
          <t>JÄMTLANDS LÄN</t>
        </is>
      </c>
      <c r="E825" t="inlineStr">
        <is>
          <t>RAGUNDA</t>
        </is>
      </c>
      <c r="G825" t="n">
        <v>1.6</v>
      </c>
      <c r="H825" t="n">
        <v>0</v>
      </c>
      <c r="I825" t="n">
        <v>0</v>
      </c>
      <c r="J825" t="n">
        <v>0</v>
      </c>
      <c r="K825" t="n">
        <v>0</v>
      </c>
      <c r="L825" t="n">
        <v>0</v>
      </c>
      <c r="M825" t="n">
        <v>0</v>
      </c>
      <c r="N825" t="n">
        <v>0</v>
      </c>
      <c r="O825" t="n">
        <v>0</v>
      </c>
      <c r="P825" t="n">
        <v>0</v>
      </c>
      <c r="Q825" t="n">
        <v>0</v>
      </c>
      <c r="R825" s="2" t="inlineStr"/>
    </row>
    <row r="826" ht="15" customHeight="1">
      <c r="A826" t="inlineStr">
        <is>
          <t>A 2224-2024</t>
        </is>
      </c>
      <c r="B826" s="1" t="n">
        <v>45309.92524305556</v>
      </c>
      <c r="C826" s="1" t="n">
        <v>45908</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39608-2024</t>
        </is>
      </c>
      <c r="B827" s="1" t="n">
        <v>45552.39113425926</v>
      </c>
      <c r="C827" s="1" t="n">
        <v>45908</v>
      </c>
      <c r="D827" t="inlineStr">
        <is>
          <t>JÄMTLANDS LÄN</t>
        </is>
      </c>
      <c r="E827" t="inlineStr">
        <is>
          <t>RAGUNDA</t>
        </is>
      </c>
      <c r="G827" t="n">
        <v>3.2</v>
      </c>
      <c r="H827" t="n">
        <v>0</v>
      </c>
      <c r="I827" t="n">
        <v>0</v>
      </c>
      <c r="J827" t="n">
        <v>0</v>
      </c>
      <c r="K827" t="n">
        <v>0</v>
      </c>
      <c r="L827" t="n">
        <v>0</v>
      </c>
      <c r="M827" t="n">
        <v>0</v>
      </c>
      <c r="N827" t="n">
        <v>0</v>
      </c>
      <c r="O827" t="n">
        <v>0</v>
      </c>
      <c r="P827" t="n">
        <v>0</v>
      </c>
      <c r="Q827" t="n">
        <v>0</v>
      </c>
      <c r="R827" s="2" t="inlineStr"/>
    </row>
    <row r="828" ht="15" customHeight="1">
      <c r="A828" t="inlineStr">
        <is>
          <t>A 39626-2024</t>
        </is>
      </c>
      <c r="B828" s="1" t="n">
        <v>45552.44096064815</v>
      </c>
      <c r="C828" s="1" t="n">
        <v>45908</v>
      </c>
      <c r="D828" t="inlineStr">
        <is>
          <t>JÄMTLANDS LÄN</t>
        </is>
      </c>
      <c r="E828" t="inlineStr">
        <is>
          <t>RAGUNDA</t>
        </is>
      </c>
      <c r="G828" t="n">
        <v>23.5</v>
      </c>
      <c r="H828" t="n">
        <v>0</v>
      </c>
      <c r="I828" t="n">
        <v>0</v>
      </c>
      <c r="J828" t="n">
        <v>0</v>
      </c>
      <c r="K828" t="n">
        <v>0</v>
      </c>
      <c r="L828" t="n">
        <v>0</v>
      </c>
      <c r="M828" t="n">
        <v>0</v>
      </c>
      <c r="N828" t="n">
        <v>0</v>
      </c>
      <c r="O828" t="n">
        <v>0</v>
      </c>
      <c r="P828" t="n">
        <v>0</v>
      </c>
      <c r="Q828" t="n">
        <v>0</v>
      </c>
      <c r="R828" s="2" t="inlineStr"/>
    </row>
    <row r="829" ht="15" customHeight="1">
      <c r="A829" t="inlineStr">
        <is>
          <t>A 1523-2024</t>
        </is>
      </c>
      <c r="B829" s="1" t="n">
        <v>45306</v>
      </c>
      <c r="C829" s="1" t="n">
        <v>45908</v>
      </c>
      <c r="D829" t="inlineStr">
        <is>
          <t>JÄMTLANDS LÄN</t>
        </is>
      </c>
      <c r="E829" t="inlineStr">
        <is>
          <t>RAGUNDA</t>
        </is>
      </c>
      <c r="G829" t="n">
        <v>4.1</v>
      </c>
      <c r="H829" t="n">
        <v>0</v>
      </c>
      <c r="I829" t="n">
        <v>0</v>
      </c>
      <c r="J829" t="n">
        <v>0</v>
      </c>
      <c r="K829" t="n">
        <v>0</v>
      </c>
      <c r="L829" t="n">
        <v>0</v>
      </c>
      <c r="M829" t="n">
        <v>0</v>
      </c>
      <c r="N829" t="n">
        <v>0</v>
      </c>
      <c r="O829" t="n">
        <v>0</v>
      </c>
      <c r="P829" t="n">
        <v>0</v>
      </c>
      <c r="Q829" t="n">
        <v>0</v>
      </c>
      <c r="R829" s="2" t="inlineStr"/>
    </row>
    <row r="830" ht="15" customHeight="1">
      <c r="A830" t="inlineStr">
        <is>
          <t>A 42269-2025</t>
        </is>
      </c>
      <c r="B830" s="1" t="n">
        <v>45904.60431712963</v>
      </c>
      <c r="C830" s="1" t="n">
        <v>45908</v>
      </c>
      <c r="D830" t="inlineStr">
        <is>
          <t>JÄMTLANDS LÄN</t>
        </is>
      </c>
      <c r="E830" t="inlineStr">
        <is>
          <t>RAGUNDA</t>
        </is>
      </c>
      <c r="G830" t="n">
        <v>4.3</v>
      </c>
      <c r="H830" t="n">
        <v>0</v>
      </c>
      <c r="I830" t="n">
        <v>0</v>
      </c>
      <c r="J830" t="n">
        <v>0</v>
      </c>
      <c r="K830" t="n">
        <v>0</v>
      </c>
      <c r="L830" t="n">
        <v>0</v>
      </c>
      <c r="M830" t="n">
        <v>0</v>
      </c>
      <c r="N830" t="n">
        <v>0</v>
      </c>
      <c r="O830" t="n">
        <v>0</v>
      </c>
      <c r="P830" t="n">
        <v>0</v>
      </c>
      <c r="Q830" t="n">
        <v>0</v>
      </c>
      <c r="R830" s="2" t="inlineStr"/>
    </row>
    <row r="831" ht="15" customHeight="1">
      <c r="A831" t="inlineStr">
        <is>
          <t>A 56984-2022</t>
        </is>
      </c>
      <c r="B831" s="1" t="n">
        <v>44894.79018518519</v>
      </c>
      <c r="C831" s="1" t="n">
        <v>45908</v>
      </c>
      <c r="D831" t="inlineStr">
        <is>
          <t>JÄMTLANDS LÄN</t>
        </is>
      </c>
      <c r="E831" t="inlineStr">
        <is>
          <t>RAGUNDA</t>
        </is>
      </c>
      <c r="G831" t="n">
        <v>1.4</v>
      </c>
      <c r="H831" t="n">
        <v>0</v>
      </c>
      <c r="I831" t="n">
        <v>0</v>
      </c>
      <c r="J831" t="n">
        <v>0</v>
      </c>
      <c r="K831" t="n">
        <v>0</v>
      </c>
      <c r="L831" t="n">
        <v>0</v>
      </c>
      <c r="M831" t="n">
        <v>0</v>
      </c>
      <c r="N831" t="n">
        <v>0</v>
      </c>
      <c r="O831" t="n">
        <v>0</v>
      </c>
      <c r="P831" t="n">
        <v>0</v>
      </c>
      <c r="Q831" t="n">
        <v>0</v>
      </c>
      <c r="R831" s="2" t="inlineStr"/>
    </row>
    <row r="832" ht="15" customHeight="1">
      <c r="A832" t="inlineStr">
        <is>
          <t>A 58630-2024</t>
        </is>
      </c>
      <c r="B832" s="1" t="n">
        <v>45635.57331018519</v>
      </c>
      <c r="C832" s="1" t="n">
        <v>45908</v>
      </c>
      <c r="D832" t="inlineStr">
        <is>
          <t>JÄMTLANDS LÄN</t>
        </is>
      </c>
      <c r="E832" t="inlineStr">
        <is>
          <t>RAGUNDA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21401-2024</t>
        </is>
      </c>
      <c r="B833" s="1" t="n">
        <v>45441.33313657407</v>
      </c>
      <c r="C833" s="1" t="n">
        <v>45908</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46549-2023</t>
        </is>
      </c>
      <c r="B834" s="1" t="n">
        <v>45197.94171296297</v>
      </c>
      <c r="C834" s="1" t="n">
        <v>45908</v>
      </c>
      <c r="D834" t="inlineStr">
        <is>
          <t>JÄMTLANDS LÄN</t>
        </is>
      </c>
      <c r="E834" t="inlineStr">
        <is>
          <t>RAGUNDA</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13264-2025</t>
        </is>
      </c>
      <c r="B835" s="1" t="n">
        <v>45735</v>
      </c>
      <c r="C835" s="1" t="n">
        <v>45908</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32258-2024</t>
        </is>
      </c>
      <c r="B836" s="1" t="n">
        <v>45511</v>
      </c>
      <c r="C836" s="1" t="n">
        <v>45908</v>
      </c>
      <c r="D836" t="inlineStr">
        <is>
          <t>JÄMTLANDS LÄN</t>
        </is>
      </c>
      <c r="E836" t="inlineStr">
        <is>
          <t>RAGUNDA</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38270-2021</t>
        </is>
      </c>
      <c r="B837" s="1" t="n">
        <v>44405.92065972222</v>
      </c>
      <c r="C837" s="1" t="n">
        <v>45908</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29257-2024</t>
        </is>
      </c>
      <c r="B838" s="1" t="n">
        <v>45482.94815972223</v>
      </c>
      <c r="C838" s="1" t="n">
        <v>45908</v>
      </c>
      <c r="D838" t="inlineStr">
        <is>
          <t>JÄMTLANDS LÄN</t>
        </is>
      </c>
      <c r="E838" t="inlineStr">
        <is>
          <t>RAGUNDA</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27373-2023</t>
        </is>
      </c>
      <c r="B839" s="1" t="n">
        <v>45096.93866898148</v>
      </c>
      <c r="C839" s="1" t="n">
        <v>45908</v>
      </c>
      <c r="D839" t="inlineStr">
        <is>
          <t>JÄMTLANDS LÄN</t>
        </is>
      </c>
      <c r="E839" t="inlineStr">
        <is>
          <t>RAGUNDA</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62115-2024</t>
        </is>
      </c>
      <c r="B840" s="1" t="n">
        <v>45656</v>
      </c>
      <c r="C840" s="1" t="n">
        <v>45908</v>
      </c>
      <c r="D840" t="inlineStr">
        <is>
          <t>JÄMTLANDS LÄN</t>
        </is>
      </c>
      <c r="E840" t="inlineStr">
        <is>
          <t>RAGUNDA</t>
        </is>
      </c>
      <c r="G840" t="n">
        <v>3.3</v>
      </c>
      <c r="H840" t="n">
        <v>0</v>
      </c>
      <c r="I840" t="n">
        <v>0</v>
      </c>
      <c r="J840" t="n">
        <v>0</v>
      </c>
      <c r="K840" t="n">
        <v>0</v>
      </c>
      <c r="L840" t="n">
        <v>0</v>
      </c>
      <c r="M840" t="n">
        <v>0</v>
      </c>
      <c r="N840" t="n">
        <v>0</v>
      </c>
      <c r="O840" t="n">
        <v>0</v>
      </c>
      <c r="P840" t="n">
        <v>0</v>
      </c>
      <c r="Q840" t="n">
        <v>0</v>
      </c>
      <c r="R840" s="2" t="inlineStr"/>
    </row>
    <row r="841" ht="15" customHeight="1">
      <c r="A841" t="inlineStr">
        <is>
          <t>A 5307-2025</t>
        </is>
      </c>
      <c r="B841" s="1" t="n">
        <v>45692.48993055556</v>
      </c>
      <c r="C841" s="1" t="n">
        <v>45908</v>
      </c>
      <c r="D841" t="inlineStr">
        <is>
          <t>JÄMTLANDS LÄN</t>
        </is>
      </c>
      <c r="E841" t="inlineStr">
        <is>
          <t>RAGUNDA</t>
        </is>
      </c>
      <c r="F841" t="inlineStr">
        <is>
          <t>SCA</t>
        </is>
      </c>
      <c r="G841" t="n">
        <v>20.9</v>
      </c>
      <c r="H841" t="n">
        <v>0</v>
      </c>
      <c r="I841" t="n">
        <v>0</v>
      </c>
      <c r="J841" t="n">
        <v>0</v>
      </c>
      <c r="K841" t="n">
        <v>0</v>
      </c>
      <c r="L841" t="n">
        <v>0</v>
      </c>
      <c r="M841" t="n">
        <v>0</v>
      </c>
      <c r="N841" t="n">
        <v>0</v>
      </c>
      <c r="O841" t="n">
        <v>0</v>
      </c>
      <c r="P841" t="n">
        <v>0</v>
      </c>
      <c r="Q841" t="n">
        <v>0</v>
      </c>
      <c r="R841" s="2" t="inlineStr"/>
    </row>
    <row r="842" ht="15" customHeight="1">
      <c r="A842" t="inlineStr">
        <is>
          <t>A 38548-2024</t>
        </is>
      </c>
      <c r="B842" s="1" t="n">
        <v>45546</v>
      </c>
      <c r="C842" s="1" t="n">
        <v>45908</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2411-2023</t>
        </is>
      </c>
      <c r="B843" s="1" t="n">
        <v>44942</v>
      </c>
      <c r="C843" s="1" t="n">
        <v>45908</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12653-2024</t>
        </is>
      </c>
      <c r="B844" s="1" t="n">
        <v>45384</v>
      </c>
      <c r="C844" s="1" t="n">
        <v>45908</v>
      </c>
      <c r="D844" t="inlineStr">
        <is>
          <t>JÄMTLANDS LÄN</t>
        </is>
      </c>
      <c r="E844" t="inlineStr">
        <is>
          <t>RAGUNDA</t>
        </is>
      </c>
      <c r="G844" t="n">
        <v>1.1</v>
      </c>
      <c r="H844" t="n">
        <v>0</v>
      </c>
      <c r="I844" t="n">
        <v>0</v>
      </c>
      <c r="J844" t="n">
        <v>0</v>
      </c>
      <c r="K844" t="n">
        <v>0</v>
      </c>
      <c r="L844" t="n">
        <v>0</v>
      </c>
      <c r="M844" t="n">
        <v>0</v>
      </c>
      <c r="N844" t="n">
        <v>0</v>
      </c>
      <c r="O844" t="n">
        <v>0</v>
      </c>
      <c r="P844" t="n">
        <v>0</v>
      </c>
      <c r="Q844" t="n">
        <v>0</v>
      </c>
      <c r="R844" s="2" t="inlineStr"/>
    </row>
    <row r="845" ht="15" customHeight="1">
      <c r="A845" t="inlineStr">
        <is>
          <t>A 13935-2024</t>
        </is>
      </c>
      <c r="B845" s="1" t="n">
        <v>45391.95329861111</v>
      </c>
      <c r="C845" s="1" t="n">
        <v>45908</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50211-2023</t>
        </is>
      </c>
      <c r="B846" s="1" t="n">
        <v>45215.94657407407</v>
      </c>
      <c r="C846" s="1" t="n">
        <v>45908</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5308-2025</t>
        </is>
      </c>
      <c r="B847" s="1" t="n">
        <v>45692.49008101852</v>
      </c>
      <c r="C847" s="1" t="n">
        <v>45908</v>
      </c>
      <c r="D847" t="inlineStr">
        <is>
          <t>JÄMTLANDS LÄN</t>
        </is>
      </c>
      <c r="E847" t="inlineStr">
        <is>
          <t>RAGUNDA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58194-2022</t>
        </is>
      </c>
      <c r="B848" s="1" t="n">
        <v>44900</v>
      </c>
      <c r="C848" s="1" t="n">
        <v>45908</v>
      </c>
      <c r="D848" t="inlineStr">
        <is>
          <t>JÄMTLANDS LÄN</t>
        </is>
      </c>
      <c r="E848" t="inlineStr">
        <is>
          <t>RAGUNDA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9232-2025</t>
        </is>
      </c>
      <c r="B849" s="1" t="n">
        <v>45714.55064814815</v>
      </c>
      <c r="C849" s="1" t="n">
        <v>45908</v>
      </c>
      <c r="D849" t="inlineStr">
        <is>
          <t>JÄMTLANDS LÄN</t>
        </is>
      </c>
      <c r="E849" t="inlineStr">
        <is>
          <t>RAGUNDA</t>
        </is>
      </c>
      <c r="G849" t="n">
        <v>1.9</v>
      </c>
      <c r="H849" t="n">
        <v>0</v>
      </c>
      <c r="I849" t="n">
        <v>0</v>
      </c>
      <c r="J849" t="n">
        <v>0</v>
      </c>
      <c r="K849" t="n">
        <v>0</v>
      </c>
      <c r="L849" t="n">
        <v>0</v>
      </c>
      <c r="M849" t="n">
        <v>0</v>
      </c>
      <c r="N849" t="n">
        <v>0</v>
      </c>
      <c r="O849" t="n">
        <v>0</v>
      </c>
      <c r="P849" t="n">
        <v>0</v>
      </c>
      <c r="Q849" t="n">
        <v>0</v>
      </c>
      <c r="R849" s="2" t="inlineStr"/>
    </row>
    <row r="850" ht="15" customHeight="1">
      <c r="A850" t="inlineStr">
        <is>
          <t>A 24171-2021</t>
        </is>
      </c>
      <c r="B850" s="1" t="n">
        <v>44336</v>
      </c>
      <c r="C850" s="1" t="n">
        <v>45908</v>
      </c>
      <c r="D850" t="inlineStr">
        <is>
          <t>JÄMTLANDS LÄN</t>
        </is>
      </c>
      <c r="E850" t="inlineStr">
        <is>
          <t>RAGUNDA</t>
        </is>
      </c>
      <c r="G850" t="n">
        <v>3.6</v>
      </c>
      <c r="H850" t="n">
        <v>0</v>
      </c>
      <c r="I850" t="n">
        <v>0</v>
      </c>
      <c r="J850" t="n">
        <v>0</v>
      </c>
      <c r="K850" t="n">
        <v>0</v>
      </c>
      <c r="L850" t="n">
        <v>0</v>
      </c>
      <c r="M850" t="n">
        <v>0</v>
      </c>
      <c r="N850" t="n">
        <v>0</v>
      </c>
      <c r="O850" t="n">
        <v>0</v>
      </c>
      <c r="P850" t="n">
        <v>0</v>
      </c>
      <c r="Q850" t="n">
        <v>0</v>
      </c>
      <c r="R850" s="2" t="inlineStr"/>
    </row>
    <row r="851" ht="15" customHeight="1">
      <c r="A851" t="inlineStr">
        <is>
          <t>A 58843-2024</t>
        </is>
      </c>
      <c r="B851" s="1" t="n">
        <v>45636.38599537037</v>
      </c>
      <c r="C851" s="1" t="n">
        <v>45908</v>
      </c>
      <c r="D851" t="inlineStr">
        <is>
          <t>JÄMTLANDS LÄN</t>
        </is>
      </c>
      <c r="E851" t="inlineStr">
        <is>
          <t>RAGUNDA</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29775-2023</t>
        </is>
      </c>
      <c r="B852" s="1" t="n">
        <v>45098</v>
      </c>
      <c r="C852" s="1" t="n">
        <v>45908</v>
      </c>
      <c r="D852" t="inlineStr">
        <is>
          <t>JÄMTLANDS LÄN</t>
        </is>
      </c>
      <c r="E852" t="inlineStr">
        <is>
          <t>RAGUNDA</t>
        </is>
      </c>
      <c r="G852" t="n">
        <v>3.6</v>
      </c>
      <c r="H852" t="n">
        <v>0</v>
      </c>
      <c r="I852" t="n">
        <v>0</v>
      </c>
      <c r="J852" t="n">
        <v>0</v>
      </c>
      <c r="K852" t="n">
        <v>0</v>
      </c>
      <c r="L852" t="n">
        <v>0</v>
      </c>
      <c r="M852" t="n">
        <v>0</v>
      </c>
      <c r="N852" t="n">
        <v>0</v>
      </c>
      <c r="O852" t="n">
        <v>0</v>
      </c>
      <c r="P852" t="n">
        <v>0</v>
      </c>
      <c r="Q852" t="n">
        <v>0</v>
      </c>
      <c r="R852" s="2" t="inlineStr"/>
    </row>
    <row r="853" ht="15" customHeight="1">
      <c r="A853" t="inlineStr">
        <is>
          <t>A 44494-2024</t>
        </is>
      </c>
      <c r="B853" s="1" t="n">
        <v>45574.39081018518</v>
      </c>
      <c r="C853" s="1" t="n">
        <v>45908</v>
      </c>
      <c r="D853" t="inlineStr">
        <is>
          <t>JÄMTLANDS LÄN</t>
        </is>
      </c>
      <c r="E853" t="inlineStr">
        <is>
          <t>RAGUNDA</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13898-2023</t>
        </is>
      </c>
      <c r="B854" s="1" t="n">
        <v>45008.01408564814</v>
      </c>
      <c r="C854" s="1" t="n">
        <v>45908</v>
      </c>
      <c r="D854" t="inlineStr">
        <is>
          <t>JÄMTLANDS LÄN</t>
        </is>
      </c>
      <c r="E854" t="inlineStr">
        <is>
          <t>RAGUNDA</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53287-2022</t>
        </is>
      </c>
      <c r="B855" s="1" t="n">
        <v>44876</v>
      </c>
      <c r="C855" s="1" t="n">
        <v>45908</v>
      </c>
      <c r="D855" t="inlineStr">
        <is>
          <t>JÄMTLANDS LÄN</t>
        </is>
      </c>
      <c r="E855" t="inlineStr">
        <is>
          <t>RAGUNDA</t>
        </is>
      </c>
      <c r="F855" t="inlineStr">
        <is>
          <t>SCA</t>
        </is>
      </c>
      <c r="G855" t="n">
        <v>6.2</v>
      </c>
      <c r="H855" t="n">
        <v>0</v>
      </c>
      <c r="I855" t="n">
        <v>0</v>
      </c>
      <c r="J855" t="n">
        <v>0</v>
      </c>
      <c r="K855" t="n">
        <v>0</v>
      </c>
      <c r="L855" t="n">
        <v>0</v>
      </c>
      <c r="M855" t="n">
        <v>0</v>
      </c>
      <c r="N855" t="n">
        <v>0</v>
      </c>
      <c r="O855" t="n">
        <v>0</v>
      </c>
      <c r="P855" t="n">
        <v>0</v>
      </c>
      <c r="Q855" t="n">
        <v>0</v>
      </c>
      <c r="R855" s="2" t="inlineStr"/>
    </row>
    <row r="856" ht="15" customHeight="1">
      <c r="A856" t="inlineStr">
        <is>
          <t>A 16320-2025</t>
        </is>
      </c>
      <c r="B856" s="1" t="n">
        <v>45751.34859953704</v>
      </c>
      <c r="C856" s="1" t="n">
        <v>45908</v>
      </c>
      <c r="D856" t="inlineStr">
        <is>
          <t>JÄMTLANDS LÄN</t>
        </is>
      </c>
      <c r="E856" t="inlineStr">
        <is>
          <t>RAGUNDA</t>
        </is>
      </c>
      <c r="F856" t="inlineStr">
        <is>
          <t>SCA</t>
        </is>
      </c>
      <c r="G856" t="n">
        <v>16.2</v>
      </c>
      <c r="H856" t="n">
        <v>0</v>
      </c>
      <c r="I856" t="n">
        <v>0</v>
      </c>
      <c r="J856" t="n">
        <v>0</v>
      </c>
      <c r="K856" t="n">
        <v>0</v>
      </c>
      <c r="L856" t="n">
        <v>0</v>
      </c>
      <c r="M856" t="n">
        <v>0</v>
      </c>
      <c r="N856" t="n">
        <v>0</v>
      </c>
      <c r="O856" t="n">
        <v>0</v>
      </c>
      <c r="P856" t="n">
        <v>0</v>
      </c>
      <c r="Q856" t="n">
        <v>0</v>
      </c>
      <c r="R856" s="2" t="inlineStr"/>
    </row>
    <row r="857" ht="15" customHeight="1">
      <c r="A857" t="inlineStr">
        <is>
          <t>A 16321-2025</t>
        </is>
      </c>
      <c r="B857" s="1" t="n">
        <v>45751.34873842593</v>
      </c>
      <c r="C857" s="1" t="n">
        <v>45908</v>
      </c>
      <c r="D857" t="inlineStr">
        <is>
          <t>JÄMTLANDS LÄN</t>
        </is>
      </c>
      <c r="E857" t="inlineStr">
        <is>
          <t>RAGUNDA</t>
        </is>
      </c>
      <c r="F857" t="inlineStr">
        <is>
          <t>SCA</t>
        </is>
      </c>
      <c r="G857" t="n">
        <v>63.3</v>
      </c>
      <c r="H857" t="n">
        <v>0</v>
      </c>
      <c r="I857" t="n">
        <v>0</v>
      </c>
      <c r="J857" t="n">
        <v>0</v>
      </c>
      <c r="K857" t="n">
        <v>0</v>
      </c>
      <c r="L857" t="n">
        <v>0</v>
      </c>
      <c r="M857" t="n">
        <v>0</v>
      </c>
      <c r="N857" t="n">
        <v>0</v>
      </c>
      <c r="O857" t="n">
        <v>0</v>
      </c>
      <c r="P857" t="n">
        <v>0</v>
      </c>
      <c r="Q857" t="n">
        <v>0</v>
      </c>
      <c r="R857" s="2" t="inlineStr"/>
    </row>
    <row r="858" ht="15" customHeight="1">
      <c r="A858" t="inlineStr">
        <is>
          <t>A 14696-2022</t>
        </is>
      </c>
      <c r="B858" s="1" t="n">
        <v>44655</v>
      </c>
      <c r="C858" s="1" t="n">
        <v>45908</v>
      </c>
      <c r="D858" t="inlineStr">
        <is>
          <t>JÄMTLANDS LÄN</t>
        </is>
      </c>
      <c r="E858" t="inlineStr">
        <is>
          <t>RAGUNDA</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55514-2024</t>
        </is>
      </c>
      <c r="B859" s="1" t="n">
        <v>45622.46910879629</v>
      </c>
      <c r="C859" s="1" t="n">
        <v>45908</v>
      </c>
      <c r="D859" t="inlineStr">
        <is>
          <t>JÄMTLANDS LÄN</t>
        </is>
      </c>
      <c r="E859" t="inlineStr">
        <is>
          <t>RAGUNDA</t>
        </is>
      </c>
      <c r="G859" t="n">
        <v>0.9</v>
      </c>
      <c r="H859" t="n">
        <v>0</v>
      </c>
      <c r="I859" t="n">
        <v>0</v>
      </c>
      <c r="J859" t="n">
        <v>0</v>
      </c>
      <c r="K859" t="n">
        <v>0</v>
      </c>
      <c r="L859" t="n">
        <v>0</v>
      </c>
      <c r="M859" t="n">
        <v>0</v>
      </c>
      <c r="N859" t="n">
        <v>0</v>
      </c>
      <c r="O859" t="n">
        <v>0</v>
      </c>
      <c r="P859" t="n">
        <v>0</v>
      </c>
      <c r="Q859" t="n">
        <v>0</v>
      </c>
      <c r="R859" s="2" t="inlineStr"/>
    </row>
    <row r="860" ht="15" customHeight="1">
      <c r="A860" t="inlineStr">
        <is>
          <t>A 18375-2022</t>
        </is>
      </c>
      <c r="B860" s="1" t="n">
        <v>44685</v>
      </c>
      <c r="C860" s="1" t="n">
        <v>45908</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17248-2023</t>
        </is>
      </c>
      <c r="B861" s="1" t="n">
        <v>45033</v>
      </c>
      <c r="C861" s="1" t="n">
        <v>45908</v>
      </c>
      <c r="D861" t="inlineStr">
        <is>
          <t>JÄMTLANDS LÄN</t>
        </is>
      </c>
      <c r="E861" t="inlineStr">
        <is>
          <t>RAGUNDA</t>
        </is>
      </c>
      <c r="G861" t="n">
        <v>3</v>
      </c>
      <c r="H861" t="n">
        <v>0</v>
      </c>
      <c r="I861" t="n">
        <v>0</v>
      </c>
      <c r="J861" t="n">
        <v>0</v>
      </c>
      <c r="K861" t="n">
        <v>0</v>
      </c>
      <c r="L861" t="n">
        <v>0</v>
      </c>
      <c r="M861" t="n">
        <v>0</v>
      </c>
      <c r="N861" t="n">
        <v>0</v>
      </c>
      <c r="O861" t="n">
        <v>0</v>
      </c>
      <c r="P861" t="n">
        <v>0</v>
      </c>
      <c r="Q861" t="n">
        <v>0</v>
      </c>
      <c r="R861" s="2" t="inlineStr"/>
    </row>
    <row r="862" ht="15" customHeight="1">
      <c r="A862" t="inlineStr">
        <is>
          <t>A 62011-2022</t>
        </is>
      </c>
      <c r="B862" s="1" t="n">
        <v>44914</v>
      </c>
      <c r="C862" s="1" t="n">
        <v>45908</v>
      </c>
      <c r="D862" t="inlineStr">
        <is>
          <t>JÄMTLANDS LÄN</t>
        </is>
      </c>
      <c r="E862" t="inlineStr">
        <is>
          <t>RAGUNDA</t>
        </is>
      </c>
      <c r="G862" t="n">
        <v>0.3</v>
      </c>
      <c r="H862" t="n">
        <v>0</v>
      </c>
      <c r="I862" t="n">
        <v>0</v>
      </c>
      <c r="J862" t="n">
        <v>0</v>
      </c>
      <c r="K862" t="n">
        <v>0</v>
      </c>
      <c r="L862" t="n">
        <v>0</v>
      </c>
      <c r="M862" t="n">
        <v>0</v>
      </c>
      <c r="N862" t="n">
        <v>0</v>
      </c>
      <c r="O862" t="n">
        <v>0</v>
      </c>
      <c r="P862" t="n">
        <v>0</v>
      </c>
      <c r="Q862" t="n">
        <v>0</v>
      </c>
      <c r="R862" s="2" t="inlineStr"/>
    </row>
    <row r="863" ht="15" customHeight="1">
      <c r="A863" t="inlineStr">
        <is>
          <t>A 11557-2023</t>
        </is>
      </c>
      <c r="B863" s="1" t="n">
        <v>44993.94950231481</v>
      </c>
      <c r="C863" s="1" t="n">
        <v>45908</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11562-2023</t>
        </is>
      </c>
      <c r="B864" s="1" t="n">
        <v>44993</v>
      </c>
      <c r="C864" s="1" t="n">
        <v>45908</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22131-2021</t>
        </is>
      </c>
      <c r="B865" s="1" t="n">
        <v>44323</v>
      </c>
      <c r="C865" s="1" t="n">
        <v>45908</v>
      </c>
      <c r="D865" t="inlineStr">
        <is>
          <t>JÄMTLANDS LÄN</t>
        </is>
      </c>
      <c r="E865" t="inlineStr">
        <is>
          <t>RAGUNDA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5971-2025</t>
        </is>
      </c>
      <c r="B866" s="1" t="n">
        <v>45695.51070601852</v>
      </c>
      <c r="C866" s="1" t="n">
        <v>45908</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30563-2023</t>
        </is>
      </c>
      <c r="B867" s="1" t="n">
        <v>45111.92793981481</v>
      </c>
      <c r="C867" s="1" t="n">
        <v>45908</v>
      </c>
      <c r="D867" t="inlineStr">
        <is>
          <t>JÄMTLANDS LÄN</t>
        </is>
      </c>
      <c r="E867" t="inlineStr">
        <is>
          <t>RAGUNDA</t>
        </is>
      </c>
      <c r="F867" t="inlineStr">
        <is>
          <t>Övriga Aktiebolag</t>
        </is>
      </c>
      <c r="G867" t="n">
        <v>2.3</v>
      </c>
      <c r="H867" t="n">
        <v>0</v>
      </c>
      <c r="I867" t="n">
        <v>0</v>
      </c>
      <c r="J867" t="n">
        <v>0</v>
      </c>
      <c r="K867" t="n">
        <v>0</v>
      </c>
      <c r="L867" t="n">
        <v>0</v>
      </c>
      <c r="M867" t="n">
        <v>0</v>
      </c>
      <c r="N867" t="n">
        <v>0</v>
      </c>
      <c r="O867" t="n">
        <v>0</v>
      </c>
      <c r="P867" t="n">
        <v>0</v>
      </c>
      <c r="Q867" t="n">
        <v>0</v>
      </c>
      <c r="R867" s="2" t="inlineStr"/>
    </row>
    <row r="868" ht="15" customHeight="1">
      <c r="A868" t="inlineStr">
        <is>
          <t>A 26026-2024</t>
        </is>
      </c>
      <c r="B868" s="1" t="n">
        <v>45467.96207175926</v>
      </c>
      <c r="C868" s="1" t="n">
        <v>45908</v>
      </c>
      <c r="D868" t="inlineStr">
        <is>
          <t>JÄMTLANDS LÄN</t>
        </is>
      </c>
      <c r="E868" t="inlineStr">
        <is>
          <t>RAGUNDA</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36212-2023</t>
        </is>
      </c>
      <c r="B869" s="1" t="n">
        <v>45149.95241898148</v>
      </c>
      <c r="C869" s="1" t="n">
        <v>45908</v>
      </c>
      <c r="D869" t="inlineStr">
        <is>
          <t>JÄMTLANDS LÄN</t>
        </is>
      </c>
      <c r="E869" t="inlineStr">
        <is>
          <t>RAGUNDA</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12768-2022</t>
        </is>
      </c>
      <c r="B870" s="1" t="n">
        <v>44641</v>
      </c>
      <c r="C870" s="1" t="n">
        <v>45908</v>
      </c>
      <c r="D870" t="inlineStr">
        <is>
          <t>JÄMTLANDS LÄN</t>
        </is>
      </c>
      <c r="E870" t="inlineStr">
        <is>
          <t>RAGUNDA</t>
        </is>
      </c>
      <c r="F870" t="inlineStr">
        <is>
          <t>SCA</t>
        </is>
      </c>
      <c r="G870" t="n">
        <v>8</v>
      </c>
      <c r="H870" t="n">
        <v>0</v>
      </c>
      <c r="I870" t="n">
        <v>0</v>
      </c>
      <c r="J870" t="n">
        <v>0</v>
      </c>
      <c r="K870" t="n">
        <v>0</v>
      </c>
      <c r="L870" t="n">
        <v>0</v>
      </c>
      <c r="M870" t="n">
        <v>0</v>
      </c>
      <c r="N870" t="n">
        <v>0</v>
      </c>
      <c r="O870" t="n">
        <v>0</v>
      </c>
      <c r="P870" t="n">
        <v>0</v>
      </c>
      <c r="Q870" t="n">
        <v>0</v>
      </c>
      <c r="R870" s="2" t="inlineStr"/>
    </row>
    <row r="871" ht="15" customHeight="1">
      <c r="A871" t="inlineStr">
        <is>
          <t>A 12773-2022</t>
        </is>
      </c>
      <c r="B871" s="1" t="n">
        <v>44641</v>
      </c>
      <c r="C871" s="1" t="n">
        <v>45908</v>
      </c>
      <c r="D871" t="inlineStr">
        <is>
          <t>JÄMTLANDS LÄN</t>
        </is>
      </c>
      <c r="E871" t="inlineStr">
        <is>
          <t>RAGUNDA</t>
        </is>
      </c>
      <c r="F871" t="inlineStr">
        <is>
          <t>SCA</t>
        </is>
      </c>
      <c r="G871" t="n">
        <v>14.7</v>
      </c>
      <c r="H871" t="n">
        <v>0</v>
      </c>
      <c r="I871" t="n">
        <v>0</v>
      </c>
      <c r="J871" t="n">
        <v>0</v>
      </c>
      <c r="K871" t="n">
        <v>0</v>
      </c>
      <c r="L871" t="n">
        <v>0</v>
      </c>
      <c r="M871" t="n">
        <v>0</v>
      </c>
      <c r="N871" t="n">
        <v>0</v>
      </c>
      <c r="O871" t="n">
        <v>0</v>
      </c>
      <c r="P871" t="n">
        <v>0</v>
      </c>
      <c r="Q871" t="n">
        <v>0</v>
      </c>
      <c r="R871" s="2" t="inlineStr"/>
    </row>
    <row r="872" ht="15" customHeight="1">
      <c r="A872" t="inlineStr">
        <is>
          <t>A 5429-2024</t>
        </is>
      </c>
      <c r="B872" s="1" t="n">
        <v>45331.92746527777</v>
      </c>
      <c r="C872" s="1" t="n">
        <v>45908</v>
      </c>
      <c r="D872" t="inlineStr">
        <is>
          <t>JÄMTLANDS LÄN</t>
        </is>
      </c>
      <c r="E872" t="inlineStr">
        <is>
          <t>RAGUNDA</t>
        </is>
      </c>
      <c r="G872" t="n">
        <v>1.1</v>
      </c>
      <c r="H872" t="n">
        <v>0</v>
      </c>
      <c r="I872" t="n">
        <v>0</v>
      </c>
      <c r="J872" t="n">
        <v>0</v>
      </c>
      <c r="K872" t="n">
        <v>0</v>
      </c>
      <c r="L872" t="n">
        <v>0</v>
      </c>
      <c r="M872" t="n">
        <v>0</v>
      </c>
      <c r="N872" t="n">
        <v>0</v>
      </c>
      <c r="O872" t="n">
        <v>0</v>
      </c>
      <c r="P872" t="n">
        <v>0</v>
      </c>
      <c r="Q872" t="n">
        <v>0</v>
      </c>
      <c r="R872" s="2" t="inlineStr"/>
    </row>
    <row r="873" ht="15" customHeight="1">
      <c r="A873" t="inlineStr">
        <is>
          <t>A 5067-2024</t>
        </is>
      </c>
      <c r="B873" s="1" t="n">
        <v>45329.95806712963</v>
      </c>
      <c r="C873" s="1" t="n">
        <v>45908</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3720-2025</t>
        </is>
      </c>
      <c r="B874" s="1" t="n">
        <v>45681.5315625</v>
      </c>
      <c r="C874" s="1" t="n">
        <v>45908</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3770-2025</t>
        </is>
      </c>
      <c r="B875" s="1" t="n">
        <v>45681.6050925926</v>
      </c>
      <c r="C875" s="1" t="n">
        <v>45908</v>
      </c>
      <c r="D875" t="inlineStr">
        <is>
          <t>JÄMTLANDS LÄN</t>
        </is>
      </c>
      <c r="E875" t="inlineStr">
        <is>
          <t>RAGUNDA</t>
        </is>
      </c>
      <c r="G875" t="n">
        <v>2.7</v>
      </c>
      <c r="H875" t="n">
        <v>0</v>
      </c>
      <c r="I875" t="n">
        <v>0</v>
      </c>
      <c r="J875" t="n">
        <v>0</v>
      </c>
      <c r="K875" t="n">
        <v>0</v>
      </c>
      <c r="L875" t="n">
        <v>0</v>
      </c>
      <c r="M875" t="n">
        <v>0</v>
      </c>
      <c r="N875" t="n">
        <v>0</v>
      </c>
      <c r="O875" t="n">
        <v>0</v>
      </c>
      <c r="P875" t="n">
        <v>0</v>
      </c>
      <c r="Q875" t="n">
        <v>0</v>
      </c>
      <c r="R875" s="2" t="inlineStr"/>
    </row>
    <row r="876" ht="15" customHeight="1">
      <c r="A876" t="inlineStr">
        <is>
          <t>A 30053-2024</t>
        </is>
      </c>
      <c r="B876" s="1" t="n">
        <v>45488.94747685185</v>
      </c>
      <c r="C876" s="1" t="n">
        <v>45908</v>
      </c>
      <c r="D876" t="inlineStr">
        <is>
          <t>JÄMTLANDS LÄN</t>
        </is>
      </c>
      <c r="E876" t="inlineStr">
        <is>
          <t>RAGUNDA</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14905-2022</t>
        </is>
      </c>
      <c r="B877" s="1" t="n">
        <v>44656.94708333333</v>
      </c>
      <c r="C877" s="1" t="n">
        <v>45908</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51579-2024</t>
        </is>
      </c>
      <c r="B878" s="1" t="n">
        <v>45604.63575231482</v>
      </c>
      <c r="C878" s="1" t="n">
        <v>45908</v>
      </c>
      <c r="D878" t="inlineStr">
        <is>
          <t>JÄMTLANDS LÄN</t>
        </is>
      </c>
      <c r="E878" t="inlineStr">
        <is>
          <t>RAGUNDA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8775-2025</t>
        </is>
      </c>
      <c r="B879" s="1" t="n">
        <v>45712.61502314815</v>
      </c>
      <c r="C879" s="1" t="n">
        <v>45908</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2339-2025</t>
        </is>
      </c>
      <c r="B880" s="1" t="n">
        <v>45673.66358796296</v>
      </c>
      <c r="C880" s="1" t="n">
        <v>45908</v>
      </c>
      <c r="D880" t="inlineStr">
        <is>
          <t>JÄMTLANDS LÄN</t>
        </is>
      </c>
      <c r="E880" t="inlineStr">
        <is>
          <t>RAGUNDA</t>
        </is>
      </c>
      <c r="G880" t="n">
        <v>5</v>
      </c>
      <c r="H880" t="n">
        <v>0</v>
      </c>
      <c r="I880" t="n">
        <v>0</v>
      </c>
      <c r="J880" t="n">
        <v>0</v>
      </c>
      <c r="K880" t="n">
        <v>0</v>
      </c>
      <c r="L880" t="n">
        <v>0</v>
      </c>
      <c r="M880" t="n">
        <v>0</v>
      </c>
      <c r="N880" t="n">
        <v>0</v>
      </c>
      <c r="O880" t="n">
        <v>0</v>
      </c>
      <c r="P880" t="n">
        <v>0</v>
      </c>
      <c r="Q880" t="n">
        <v>0</v>
      </c>
      <c r="R880" s="2" t="inlineStr"/>
    </row>
    <row r="881" ht="15" customHeight="1">
      <c r="A881" t="inlineStr">
        <is>
          <t>A 27499-2024</t>
        </is>
      </c>
      <c r="B881" s="1" t="n">
        <v>45474.50608796296</v>
      </c>
      <c r="C881" s="1" t="n">
        <v>45908</v>
      </c>
      <c r="D881" t="inlineStr">
        <is>
          <t>JÄMTLANDS LÄN</t>
        </is>
      </c>
      <c r="E881" t="inlineStr">
        <is>
          <t>RAGUNDA</t>
        </is>
      </c>
      <c r="G881" t="n">
        <v>1.3</v>
      </c>
      <c r="H881" t="n">
        <v>0</v>
      </c>
      <c r="I881" t="n">
        <v>0</v>
      </c>
      <c r="J881" t="n">
        <v>0</v>
      </c>
      <c r="K881" t="n">
        <v>0</v>
      </c>
      <c r="L881" t="n">
        <v>0</v>
      </c>
      <c r="M881" t="n">
        <v>0</v>
      </c>
      <c r="N881" t="n">
        <v>0</v>
      </c>
      <c r="O881" t="n">
        <v>0</v>
      </c>
      <c r="P881" t="n">
        <v>0</v>
      </c>
      <c r="Q881" t="n">
        <v>0</v>
      </c>
      <c r="R881" s="2" t="inlineStr"/>
    </row>
    <row r="882" ht="15" customHeight="1">
      <c r="A882" t="inlineStr">
        <is>
          <t>A 57078-2023</t>
        </is>
      </c>
      <c r="B882" s="1" t="n">
        <v>45244.96774305555</v>
      </c>
      <c r="C882" s="1" t="n">
        <v>45908</v>
      </c>
      <c r="D882" t="inlineStr">
        <is>
          <t>JÄMTLANDS LÄN</t>
        </is>
      </c>
      <c r="E882" t="inlineStr">
        <is>
          <t>RAGUNDA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29766-2023</t>
        </is>
      </c>
      <c r="B883" s="1" t="n">
        <v>45098</v>
      </c>
      <c r="C883" s="1" t="n">
        <v>45908</v>
      </c>
      <c r="D883" t="inlineStr">
        <is>
          <t>JÄMTLANDS LÄN</t>
        </is>
      </c>
      <c r="E883" t="inlineStr">
        <is>
          <t>RAGUNDA</t>
        </is>
      </c>
      <c r="G883" t="n">
        <v>2.7</v>
      </c>
      <c r="H883" t="n">
        <v>0</v>
      </c>
      <c r="I883" t="n">
        <v>0</v>
      </c>
      <c r="J883" t="n">
        <v>0</v>
      </c>
      <c r="K883" t="n">
        <v>0</v>
      </c>
      <c r="L883" t="n">
        <v>0</v>
      </c>
      <c r="M883" t="n">
        <v>0</v>
      </c>
      <c r="N883" t="n">
        <v>0</v>
      </c>
      <c r="O883" t="n">
        <v>0</v>
      </c>
      <c r="P883" t="n">
        <v>0</v>
      </c>
      <c r="Q883" t="n">
        <v>0</v>
      </c>
      <c r="R883" s="2" t="inlineStr"/>
    </row>
    <row r="884" ht="15" customHeight="1">
      <c r="A884" t="inlineStr">
        <is>
          <t>A 59368-2022</t>
        </is>
      </c>
      <c r="B884" s="1" t="n">
        <v>44904.94824074074</v>
      </c>
      <c r="C884" s="1" t="n">
        <v>45908</v>
      </c>
      <c r="D884" t="inlineStr">
        <is>
          <t>JÄMTLANDS LÄN</t>
        </is>
      </c>
      <c r="E884" t="inlineStr">
        <is>
          <t>RAGUNDA</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61107-2024</t>
        </is>
      </c>
      <c r="B885" s="1" t="n">
        <v>45645.55665509259</v>
      </c>
      <c r="C885" s="1" t="n">
        <v>45908</v>
      </c>
      <c r="D885" t="inlineStr">
        <is>
          <t>JÄMTLANDS LÄN</t>
        </is>
      </c>
      <c r="E885" t="inlineStr">
        <is>
          <t>RAGUNDA</t>
        </is>
      </c>
      <c r="G885" t="n">
        <v>3.2</v>
      </c>
      <c r="H885" t="n">
        <v>0</v>
      </c>
      <c r="I885" t="n">
        <v>0</v>
      </c>
      <c r="J885" t="n">
        <v>0</v>
      </c>
      <c r="K885" t="n">
        <v>0</v>
      </c>
      <c r="L885" t="n">
        <v>0</v>
      </c>
      <c r="M885" t="n">
        <v>0</v>
      </c>
      <c r="N885" t="n">
        <v>0</v>
      </c>
      <c r="O885" t="n">
        <v>0</v>
      </c>
      <c r="P885" t="n">
        <v>0</v>
      </c>
      <c r="Q885" t="n">
        <v>0</v>
      </c>
      <c r="R885" s="2" t="inlineStr"/>
    </row>
    <row r="886" ht="15" customHeight="1">
      <c r="A886" t="inlineStr">
        <is>
          <t>A 23287-2024</t>
        </is>
      </c>
      <c r="B886" s="1" t="n">
        <v>45453.42041666667</v>
      </c>
      <c r="C886" s="1" t="n">
        <v>45908</v>
      </c>
      <c r="D886" t="inlineStr">
        <is>
          <t>JÄMTLANDS LÄN</t>
        </is>
      </c>
      <c r="E886" t="inlineStr">
        <is>
          <t>RAGUNDA</t>
        </is>
      </c>
      <c r="G886" t="n">
        <v>3.1</v>
      </c>
      <c r="H886" t="n">
        <v>0</v>
      </c>
      <c r="I886" t="n">
        <v>0</v>
      </c>
      <c r="J886" t="n">
        <v>0</v>
      </c>
      <c r="K886" t="n">
        <v>0</v>
      </c>
      <c r="L886" t="n">
        <v>0</v>
      </c>
      <c r="M886" t="n">
        <v>0</v>
      </c>
      <c r="N886" t="n">
        <v>0</v>
      </c>
      <c r="O886" t="n">
        <v>0</v>
      </c>
      <c r="P886" t="n">
        <v>0</v>
      </c>
      <c r="Q886" t="n">
        <v>0</v>
      </c>
      <c r="R886" s="2" t="inlineStr"/>
    </row>
    <row r="887" ht="15" customHeight="1">
      <c r="A887" t="inlineStr">
        <is>
          <t>A 6801-2023</t>
        </is>
      </c>
      <c r="B887" s="1" t="n">
        <v>44966.95328703704</v>
      </c>
      <c r="C887" s="1" t="n">
        <v>45908</v>
      </c>
      <c r="D887" t="inlineStr">
        <is>
          <t>JÄMTLANDS LÄN</t>
        </is>
      </c>
      <c r="E887" t="inlineStr">
        <is>
          <t>RAGUNDA</t>
        </is>
      </c>
      <c r="F887" t="inlineStr">
        <is>
          <t>SCA</t>
        </is>
      </c>
      <c r="G887" t="n">
        <v>10.6</v>
      </c>
      <c r="H887" t="n">
        <v>0</v>
      </c>
      <c r="I887" t="n">
        <v>0</v>
      </c>
      <c r="J887" t="n">
        <v>0</v>
      </c>
      <c r="K887" t="n">
        <v>0</v>
      </c>
      <c r="L887" t="n">
        <v>0</v>
      </c>
      <c r="M887" t="n">
        <v>0</v>
      </c>
      <c r="N887" t="n">
        <v>0</v>
      </c>
      <c r="O887" t="n">
        <v>0</v>
      </c>
      <c r="P887" t="n">
        <v>0</v>
      </c>
      <c r="Q887" t="n">
        <v>0</v>
      </c>
      <c r="R887" s="2" t="inlineStr"/>
    </row>
    <row r="888" ht="15" customHeight="1">
      <c r="A888" t="inlineStr">
        <is>
          <t>A 41656-2023</t>
        </is>
      </c>
      <c r="B888" s="1" t="n">
        <v>45175</v>
      </c>
      <c r="C888" s="1" t="n">
        <v>45908</v>
      </c>
      <c r="D888" t="inlineStr">
        <is>
          <t>JÄMTLANDS LÄN</t>
        </is>
      </c>
      <c r="E888" t="inlineStr">
        <is>
          <t>RAGUNDA</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51646-2023</t>
        </is>
      </c>
      <c r="B889" s="1" t="n">
        <v>45215</v>
      </c>
      <c r="C889" s="1" t="n">
        <v>45908</v>
      </c>
      <c r="D889" t="inlineStr">
        <is>
          <t>JÄMTLANDS LÄN</t>
        </is>
      </c>
      <c r="E889" t="inlineStr">
        <is>
          <t>RAGUNDA</t>
        </is>
      </c>
      <c r="G889" t="n">
        <v>0.7</v>
      </c>
      <c r="H889" t="n">
        <v>0</v>
      </c>
      <c r="I889" t="n">
        <v>0</v>
      </c>
      <c r="J889" t="n">
        <v>0</v>
      </c>
      <c r="K889" t="n">
        <v>0</v>
      </c>
      <c r="L889" t="n">
        <v>0</v>
      </c>
      <c r="M889" t="n">
        <v>0</v>
      </c>
      <c r="N889" t="n">
        <v>0</v>
      </c>
      <c r="O889" t="n">
        <v>0</v>
      </c>
      <c r="P889" t="n">
        <v>0</v>
      </c>
      <c r="Q889" t="n">
        <v>0</v>
      </c>
      <c r="R889" s="2" t="inlineStr"/>
    </row>
    <row r="890" ht="15" customHeight="1">
      <c r="A890" t="inlineStr">
        <is>
          <t>A 37268-2024</t>
        </is>
      </c>
      <c r="B890" s="1" t="n">
        <v>45540.38586805556</v>
      </c>
      <c r="C890" s="1" t="n">
        <v>45908</v>
      </c>
      <c r="D890" t="inlineStr">
        <is>
          <t>JÄMTLANDS LÄN</t>
        </is>
      </c>
      <c r="E890" t="inlineStr">
        <is>
          <t>RAGUNDA</t>
        </is>
      </c>
      <c r="F890" t="inlineStr">
        <is>
          <t>SCA</t>
        </is>
      </c>
      <c r="G890" t="n">
        <v>6.3</v>
      </c>
      <c r="H890" t="n">
        <v>0</v>
      </c>
      <c r="I890" t="n">
        <v>0</v>
      </c>
      <c r="J890" t="n">
        <v>0</v>
      </c>
      <c r="K890" t="n">
        <v>0</v>
      </c>
      <c r="L890" t="n">
        <v>0</v>
      </c>
      <c r="M890" t="n">
        <v>0</v>
      </c>
      <c r="N890" t="n">
        <v>0</v>
      </c>
      <c r="O890" t="n">
        <v>0</v>
      </c>
      <c r="P890" t="n">
        <v>0</v>
      </c>
      <c r="Q890" t="n">
        <v>0</v>
      </c>
      <c r="R890" s="2" t="inlineStr"/>
    </row>
    <row r="891" ht="15" customHeight="1">
      <c r="A891" t="inlineStr">
        <is>
          <t>A 14512-2025</t>
        </is>
      </c>
      <c r="B891" s="1" t="n">
        <v>45741.63659722222</v>
      </c>
      <c r="C891" s="1" t="n">
        <v>45908</v>
      </c>
      <c r="D891" t="inlineStr">
        <is>
          <t>JÄMTLANDS LÄN</t>
        </is>
      </c>
      <c r="E891" t="inlineStr">
        <is>
          <t>RAGUNDA</t>
        </is>
      </c>
      <c r="F891" t="inlineStr">
        <is>
          <t>SCA</t>
        </is>
      </c>
      <c r="G891" t="n">
        <v>8.9</v>
      </c>
      <c r="H891" t="n">
        <v>0</v>
      </c>
      <c r="I891" t="n">
        <v>0</v>
      </c>
      <c r="J891" t="n">
        <v>0</v>
      </c>
      <c r="K891" t="n">
        <v>0</v>
      </c>
      <c r="L891" t="n">
        <v>0</v>
      </c>
      <c r="M891" t="n">
        <v>0</v>
      </c>
      <c r="N891" t="n">
        <v>0</v>
      </c>
      <c r="O891" t="n">
        <v>0</v>
      </c>
      <c r="P891" t="n">
        <v>0</v>
      </c>
      <c r="Q891" t="n">
        <v>0</v>
      </c>
      <c r="R891" s="2" t="inlineStr"/>
    </row>
    <row r="892" ht="15" customHeight="1">
      <c r="A892" t="inlineStr">
        <is>
          <t>A 36922-2022</t>
        </is>
      </c>
      <c r="B892" s="1" t="n">
        <v>44805.94592592592</v>
      </c>
      <c r="C892" s="1" t="n">
        <v>45908</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45908</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26347-2023</t>
        </is>
      </c>
      <c r="B894" s="1" t="n">
        <v>45091</v>
      </c>
      <c r="C894" s="1" t="n">
        <v>45908</v>
      </c>
      <c r="D894" t="inlineStr">
        <is>
          <t>JÄMTLANDS LÄN</t>
        </is>
      </c>
      <c r="E894" t="inlineStr">
        <is>
          <t>RAGUNDA</t>
        </is>
      </c>
      <c r="F894" t="inlineStr">
        <is>
          <t>SCA</t>
        </is>
      </c>
      <c r="G894" t="n">
        <v>6.6</v>
      </c>
      <c r="H894" t="n">
        <v>0</v>
      </c>
      <c r="I894" t="n">
        <v>0</v>
      </c>
      <c r="J894" t="n">
        <v>0</v>
      </c>
      <c r="K894" t="n">
        <v>0</v>
      </c>
      <c r="L894" t="n">
        <v>0</v>
      </c>
      <c r="M894" t="n">
        <v>0</v>
      </c>
      <c r="N894" t="n">
        <v>0</v>
      </c>
      <c r="O894" t="n">
        <v>0</v>
      </c>
      <c r="P894" t="n">
        <v>0</v>
      </c>
      <c r="Q894" t="n">
        <v>0</v>
      </c>
      <c r="R894" s="2" t="inlineStr"/>
    </row>
    <row r="895" ht="15" customHeight="1">
      <c r="A895" t="inlineStr">
        <is>
          <t>A 59759-2024</t>
        </is>
      </c>
      <c r="B895" s="1" t="n">
        <v>45639.55240740741</v>
      </c>
      <c r="C895" s="1" t="n">
        <v>45908</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35537-2021</t>
        </is>
      </c>
      <c r="B896" s="1" t="n">
        <v>44384</v>
      </c>
      <c r="C896" s="1" t="n">
        <v>45908</v>
      </c>
      <c r="D896" t="inlineStr">
        <is>
          <t>JÄMTLANDS LÄN</t>
        </is>
      </c>
      <c r="E896" t="inlineStr">
        <is>
          <t>RAGUNDA</t>
        </is>
      </c>
      <c r="G896" t="n">
        <v>3.1</v>
      </c>
      <c r="H896" t="n">
        <v>0</v>
      </c>
      <c r="I896" t="n">
        <v>0</v>
      </c>
      <c r="J896" t="n">
        <v>0</v>
      </c>
      <c r="K896" t="n">
        <v>0</v>
      </c>
      <c r="L896" t="n">
        <v>0</v>
      </c>
      <c r="M896" t="n">
        <v>0</v>
      </c>
      <c r="N896" t="n">
        <v>0</v>
      </c>
      <c r="O896" t="n">
        <v>0</v>
      </c>
      <c r="P896" t="n">
        <v>0</v>
      </c>
      <c r="Q896" t="n">
        <v>0</v>
      </c>
      <c r="R896" s="2" t="inlineStr"/>
    </row>
    <row r="897" ht="15" customHeight="1">
      <c r="A897" t="inlineStr">
        <is>
          <t>A 2819-2023</t>
        </is>
      </c>
      <c r="B897" s="1" t="n">
        <v>44944</v>
      </c>
      <c r="C897" s="1" t="n">
        <v>45908</v>
      </c>
      <c r="D897" t="inlineStr">
        <is>
          <t>JÄMTLANDS LÄN</t>
        </is>
      </c>
      <c r="E897" t="inlineStr">
        <is>
          <t>RAGUNDA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44536-2022</t>
        </is>
      </c>
      <c r="B898" s="1" t="n">
        <v>44839</v>
      </c>
      <c r="C898" s="1" t="n">
        <v>45908</v>
      </c>
      <c r="D898" t="inlineStr">
        <is>
          <t>JÄMTLANDS LÄN</t>
        </is>
      </c>
      <c r="E898" t="inlineStr">
        <is>
          <t>RAGUNDA</t>
        </is>
      </c>
      <c r="G898" t="n">
        <v>4</v>
      </c>
      <c r="H898" t="n">
        <v>0</v>
      </c>
      <c r="I898" t="n">
        <v>0</v>
      </c>
      <c r="J898" t="n">
        <v>0</v>
      </c>
      <c r="K898" t="n">
        <v>0</v>
      </c>
      <c r="L898" t="n">
        <v>0</v>
      </c>
      <c r="M898" t="n">
        <v>0</v>
      </c>
      <c r="N898" t="n">
        <v>0</v>
      </c>
      <c r="O898" t="n">
        <v>0</v>
      </c>
      <c r="P898" t="n">
        <v>0</v>
      </c>
      <c r="Q898" t="n">
        <v>0</v>
      </c>
      <c r="R898" s="2" t="inlineStr"/>
    </row>
    <row r="899" ht="15" customHeight="1">
      <c r="A899" t="inlineStr">
        <is>
          <t>A 11249-2025</t>
        </is>
      </c>
      <c r="B899" s="1" t="n">
        <v>45726.3860300926</v>
      </c>
      <c r="C899" s="1" t="n">
        <v>45908</v>
      </c>
      <c r="D899" t="inlineStr">
        <is>
          <t>JÄMTLANDS LÄN</t>
        </is>
      </c>
      <c r="E899" t="inlineStr">
        <is>
          <t>RAGUNDA</t>
        </is>
      </c>
      <c r="G899" t="n">
        <v>1.5</v>
      </c>
      <c r="H899" t="n">
        <v>0</v>
      </c>
      <c r="I899" t="n">
        <v>0</v>
      </c>
      <c r="J899" t="n">
        <v>0</v>
      </c>
      <c r="K899" t="n">
        <v>0</v>
      </c>
      <c r="L899" t="n">
        <v>0</v>
      </c>
      <c r="M899" t="n">
        <v>0</v>
      </c>
      <c r="N899" t="n">
        <v>0</v>
      </c>
      <c r="O899" t="n">
        <v>0</v>
      </c>
      <c r="P899" t="n">
        <v>0</v>
      </c>
      <c r="Q899" t="n">
        <v>0</v>
      </c>
      <c r="R899" s="2" t="inlineStr"/>
    </row>
    <row r="900" ht="15" customHeight="1">
      <c r="A900" t="inlineStr">
        <is>
          <t>A 34483-2023</t>
        </is>
      </c>
      <c r="B900" s="1" t="n">
        <v>45139.94681712963</v>
      </c>
      <c r="C900" s="1" t="n">
        <v>45908</v>
      </c>
      <c r="D900" t="inlineStr">
        <is>
          <t>JÄMTLANDS LÄN</t>
        </is>
      </c>
      <c r="E900" t="inlineStr">
        <is>
          <t>RAGUNDA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30459-2021</t>
        </is>
      </c>
      <c r="B901" s="1" t="n">
        <v>44362</v>
      </c>
      <c r="C901" s="1" t="n">
        <v>45908</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22948-2024</t>
        </is>
      </c>
      <c r="B902" s="1" t="n">
        <v>45448.94600694445</v>
      </c>
      <c r="C902" s="1" t="n">
        <v>45908</v>
      </c>
      <c r="D902" t="inlineStr">
        <is>
          <t>JÄMTLANDS LÄN</t>
        </is>
      </c>
      <c r="E902" t="inlineStr">
        <is>
          <t>RAGUNDA</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37543-2023</t>
        </is>
      </c>
      <c r="B903" s="1" t="n">
        <v>45158.94231481481</v>
      </c>
      <c r="C903" s="1" t="n">
        <v>45908</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23304-2023</t>
        </is>
      </c>
      <c r="B904" s="1" t="n">
        <v>45075.945</v>
      </c>
      <c r="C904" s="1" t="n">
        <v>45908</v>
      </c>
      <c r="D904" t="inlineStr">
        <is>
          <t>JÄMTLANDS LÄN</t>
        </is>
      </c>
      <c r="E904" t="inlineStr">
        <is>
          <t>RAGUNDA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36226-2023</t>
        </is>
      </c>
      <c r="B905" s="1" t="n">
        <v>45149.95372685185</v>
      </c>
      <c r="C905" s="1" t="n">
        <v>45908</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7668-2025</t>
        </is>
      </c>
      <c r="B906" s="1" t="n">
        <v>45706.34450231482</v>
      </c>
      <c r="C906" s="1" t="n">
        <v>45908</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18615-2024</t>
        </is>
      </c>
      <c r="B907" s="1" t="n">
        <v>45425.96275462963</v>
      </c>
      <c r="C907" s="1" t="n">
        <v>45908</v>
      </c>
      <c r="D907" t="inlineStr">
        <is>
          <t>JÄMTLANDS LÄN</t>
        </is>
      </c>
      <c r="E907" t="inlineStr">
        <is>
          <t>RAGUNDA</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40269-2022</t>
        </is>
      </c>
      <c r="B908" s="1" t="n">
        <v>44820</v>
      </c>
      <c r="C908" s="1" t="n">
        <v>45908</v>
      </c>
      <c r="D908" t="inlineStr">
        <is>
          <t>JÄMTLANDS LÄN</t>
        </is>
      </c>
      <c r="E908" t="inlineStr">
        <is>
          <t>RAGUNDA</t>
        </is>
      </c>
      <c r="F908" t="inlineStr">
        <is>
          <t>SCA</t>
        </is>
      </c>
      <c r="G908" t="n">
        <v>77.8</v>
      </c>
      <c r="H908" t="n">
        <v>0</v>
      </c>
      <c r="I908" t="n">
        <v>0</v>
      </c>
      <c r="J908" t="n">
        <v>0</v>
      </c>
      <c r="K908" t="n">
        <v>0</v>
      </c>
      <c r="L908" t="n">
        <v>0</v>
      </c>
      <c r="M908" t="n">
        <v>0</v>
      </c>
      <c r="N908" t="n">
        <v>0</v>
      </c>
      <c r="O908" t="n">
        <v>0</v>
      </c>
      <c r="P908" t="n">
        <v>0</v>
      </c>
      <c r="Q908" t="n">
        <v>0</v>
      </c>
      <c r="R908" s="2" t="inlineStr"/>
    </row>
    <row r="909" ht="15" customHeight="1">
      <c r="A909" t="inlineStr">
        <is>
          <t>A 37242-2024</t>
        </is>
      </c>
      <c r="B909" s="1" t="n">
        <v>45540.34428240741</v>
      </c>
      <c r="C909" s="1" t="n">
        <v>45908</v>
      </c>
      <c r="D909" t="inlineStr">
        <is>
          <t>JÄMTLANDS LÄN</t>
        </is>
      </c>
      <c r="E909" t="inlineStr">
        <is>
          <t>RAGUNDA</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36046-2023</t>
        </is>
      </c>
      <c r="B910" s="1" t="n">
        <v>45148</v>
      </c>
      <c r="C910" s="1" t="n">
        <v>45908</v>
      </c>
      <c r="D910" t="inlineStr">
        <is>
          <t>JÄMTLANDS LÄN</t>
        </is>
      </c>
      <c r="E910" t="inlineStr">
        <is>
          <t>RAGUNDA</t>
        </is>
      </c>
      <c r="G910" t="n">
        <v>1.9</v>
      </c>
      <c r="H910" t="n">
        <v>0</v>
      </c>
      <c r="I910" t="n">
        <v>0</v>
      </c>
      <c r="J910" t="n">
        <v>0</v>
      </c>
      <c r="K910" t="n">
        <v>0</v>
      </c>
      <c r="L910" t="n">
        <v>0</v>
      </c>
      <c r="M910" t="n">
        <v>0</v>
      </c>
      <c r="N910" t="n">
        <v>0</v>
      </c>
      <c r="O910" t="n">
        <v>0</v>
      </c>
      <c r="P910" t="n">
        <v>0</v>
      </c>
      <c r="Q910" t="n">
        <v>0</v>
      </c>
      <c r="R910" s="2" t="inlineStr"/>
    </row>
    <row r="911" ht="15" customHeight="1">
      <c r="A911" t="inlineStr">
        <is>
          <t>A 45438-2022</t>
        </is>
      </c>
      <c r="B911" s="1" t="n">
        <v>44844.95368055555</v>
      </c>
      <c r="C911" s="1" t="n">
        <v>45908</v>
      </c>
      <c r="D911" t="inlineStr">
        <is>
          <t>JÄMTLANDS LÄN</t>
        </is>
      </c>
      <c r="E911" t="inlineStr">
        <is>
          <t>RAGUNDA</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56191-2022</t>
        </is>
      </c>
      <c r="B912" s="1" t="n">
        <v>44889.95015046297</v>
      </c>
      <c r="C912" s="1" t="n">
        <v>45908</v>
      </c>
      <c r="D912" t="inlineStr">
        <is>
          <t>JÄMTLANDS LÄN</t>
        </is>
      </c>
      <c r="E912" t="inlineStr">
        <is>
          <t>RAGUNDA</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30823-2023</t>
        </is>
      </c>
      <c r="B913" s="1" t="n">
        <v>45112</v>
      </c>
      <c r="C913" s="1" t="n">
        <v>45908</v>
      </c>
      <c r="D913" t="inlineStr">
        <is>
          <t>JÄMTLANDS LÄN</t>
        </is>
      </c>
      <c r="E913" t="inlineStr">
        <is>
          <t>RAGUNDA</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8654-2024</t>
        </is>
      </c>
      <c r="B914" s="1" t="n">
        <v>45356.03784722222</v>
      </c>
      <c r="C914" s="1" t="n">
        <v>45908</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25304-2023</t>
        </is>
      </c>
      <c r="B915" s="1" t="n">
        <v>45086</v>
      </c>
      <c r="C915" s="1" t="n">
        <v>45908</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43339-2024</t>
        </is>
      </c>
      <c r="B916" s="1" t="n">
        <v>45568.51075231482</v>
      </c>
      <c r="C916" s="1" t="n">
        <v>45908</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6902-2024</t>
        </is>
      </c>
      <c r="B917" s="1" t="n">
        <v>45342</v>
      </c>
      <c r="C917" s="1" t="n">
        <v>45908</v>
      </c>
      <c r="D917" t="inlineStr">
        <is>
          <t>JÄMTLANDS LÄN</t>
        </is>
      </c>
      <c r="E917" t="inlineStr">
        <is>
          <t>RAGUNDA</t>
        </is>
      </c>
      <c r="F917" t="inlineStr">
        <is>
          <t>SCA</t>
        </is>
      </c>
      <c r="G917" t="n">
        <v>18.7</v>
      </c>
      <c r="H917" t="n">
        <v>0</v>
      </c>
      <c r="I917" t="n">
        <v>0</v>
      </c>
      <c r="J917" t="n">
        <v>0</v>
      </c>
      <c r="K917" t="n">
        <v>0</v>
      </c>
      <c r="L917" t="n">
        <v>0</v>
      </c>
      <c r="M917" t="n">
        <v>0</v>
      </c>
      <c r="N917" t="n">
        <v>0</v>
      </c>
      <c r="O917" t="n">
        <v>0</v>
      </c>
      <c r="P917" t="n">
        <v>0</v>
      </c>
      <c r="Q917" t="n">
        <v>0</v>
      </c>
      <c r="R917" s="2" t="inlineStr"/>
    </row>
    <row r="918" ht="15" customHeight="1">
      <c r="A918" t="inlineStr">
        <is>
          <t>A 6905-2024</t>
        </is>
      </c>
      <c r="B918" s="1" t="n">
        <v>45342.9462037037</v>
      </c>
      <c r="C918" s="1" t="n">
        <v>45908</v>
      </c>
      <c r="D918" t="inlineStr">
        <is>
          <t>JÄMTLANDS LÄN</t>
        </is>
      </c>
      <c r="E918" t="inlineStr">
        <is>
          <t>RAGUNDA</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22731-2023</t>
        </is>
      </c>
      <c r="B919" s="1" t="n">
        <v>45071</v>
      </c>
      <c r="C919" s="1" t="n">
        <v>45908</v>
      </c>
      <c r="D919" t="inlineStr">
        <is>
          <t>JÄMTLANDS LÄN</t>
        </is>
      </c>
      <c r="E919" t="inlineStr">
        <is>
          <t>RAGUNDA</t>
        </is>
      </c>
      <c r="G919" t="n">
        <v>1.5</v>
      </c>
      <c r="H919" t="n">
        <v>0</v>
      </c>
      <c r="I919" t="n">
        <v>0</v>
      </c>
      <c r="J919" t="n">
        <v>0</v>
      </c>
      <c r="K919" t="n">
        <v>0</v>
      </c>
      <c r="L919" t="n">
        <v>0</v>
      </c>
      <c r="M919" t="n">
        <v>0</v>
      </c>
      <c r="N919" t="n">
        <v>0</v>
      </c>
      <c r="O919" t="n">
        <v>0</v>
      </c>
      <c r="P919" t="n">
        <v>0</v>
      </c>
      <c r="Q919" t="n">
        <v>0</v>
      </c>
      <c r="R919" s="2" t="inlineStr"/>
    </row>
    <row r="920" ht="15" customHeight="1">
      <c r="A920" t="inlineStr">
        <is>
          <t>A 43102-2023</t>
        </is>
      </c>
      <c r="B920" s="1" t="n">
        <v>45182</v>
      </c>
      <c r="C920" s="1" t="n">
        <v>45908</v>
      </c>
      <c r="D920" t="inlineStr">
        <is>
          <t>JÄMTLANDS LÄN</t>
        </is>
      </c>
      <c r="E920" t="inlineStr">
        <is>
          <t>RAGUNDA</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11245-2025</t>
        </is>
      </c>
      <c r="B921" s="1" t="n">
        <v>45726.38575231482</v>
      </c>
      <c r="C921" s="1" t="n">
        <v>45908</v>
      </c>
      <c r="D921" t="inlineStr">
        <is>
          <t>JÄMTLANDS LÄN</t>
        </is>
      </c>
      <c r="E921" t="inlineStr">
        <is>
          <t>RAGUNDA</t>
        </is>
      </c>
      <c r="G921" t="n">
        <v>2.3</v>
      </c>
      <c r="H921" t="n">
        <v>0</v>
      </c>
      <c r="I921" t="n">
        <v>0</v>
      </c>
      <c r="J921" t="n">
        <v>0</v>
      </c>
      <c r="K921" t="n">
        <v>0</v>
      </c>
      <c r="L921" t="n">
        <v>0</v>
      </c>
      <c r="M921" t="n">
        <v>0</v>
      </c>
      <c r="N921" t="n">
        <v>0</v>
      </c>
      <c r="O921" t="n">
        <v>0</v>
      </c>
      <c r="P921" t="n">
        <v>0</v>
      </c>
      <c r="Q921" t="n">
        <v>0</v>
      </c>
      <c r="R921" s="2" t="inlineStr"/>
    </row>
    <row r="922" ht="15" customHeight="1">
      <c r="A922" t="inlineStr">
        <is>
          <t>A 61923-2024</t>
        </is>
      </c>
      <c r="B922" s="1" t="n">
        <v>45653.44836805556</v>
      </c>
      <c r="C922" s="1" t="n">
        <v>45908</v>
      </c>
      <c r="D922" t="inlineStr">
        <is>
          <t>JÄMTLANDS LÄN</t>
        </is>
      </c>
      <c r="E922" t="inlineStr">
        <is>
          <t>RAGUNDA</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23567-2024</t>
        </is>
      </c>
      <c r="B923" s="1" t="n">
        <v>45453.95538194444</v>
      </c>
      <c r="C923" s="1" t="n">
        <v>45908</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19246-2023</t>
        </is>
      </c>
      <c r="B924" s="1" t="n">
        <v>45048.94340277778</v>
      </c>
      <c r="C924" s="1" t="n">
        <v>45908</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61109-2024</t>
        </is>
      </c>
      <c r="B925" s="1" t="n">
        <v>45645.55672453704</v>
      </c>
      <c r="C925" s="1" t="n">
        <v>45908</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58955-2024</t>
        </is>
      </c>
      <c r="B926" s="1" t="n">
        <v>45636.57329861111</v>
      </c>
      <c r="C926" s="1" t="n">
        <v>45908</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9823-2025</t>
        </is>
      </c>
      <c r="B927" s="1" t="n">
        <v>45716</v>
      </c>
      <c r="C927" s="1" t="n">
        <v>45908</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13917-2023</t>
        </is>
      </c>
      <c r="B928" s="1" t="n">
        <v>45007</v>
      </c>
      <c r="C928" s="1" t="n">
        <v>45908</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53019-2023</t>
        </is>
      </c>
      <c r="B929" s="1" t="n">
        <v>45222</v>
      </c>
      <c r="C929" s="1" t="n">
        <v>45908</v>
      </c>
      <c r="D929" t="inlineStr">
        <is>
          <t>JÄMTLANDS LÄN</t>
        </is>
      </c>
      <c r="E929" t="inlineStr">
        <is>
          <t>RAGUNDA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14212-2023</t>
        </is>
      </c>
      <c r="B930" s="1" t="n">
        <v>45009</v>
      </c>
      <c r="C930" s="1" t="n">
        <v>45908</v>
      </c>
      <c r="D930" t="inlineStr">
        <is>
          <t>JÄMTLANDS LÄN</t>
        </is>
      </c>
      <c r="E930" t="inlineStr">
        <is>
          <t>RAGUNDA</t>
        </is>
      </c>
      <c r="G930" t="n">
        <v>0.8</v>
      </c>
      <c r="H930" t="n">
        <v>0</v>
      </c>
      <c r="I930" t="n">
        <v>0</v>
      </c>
      <c r="J930" t="n">
        <v>0</v>
      </c>
      <c r="K930" t="n">
        <v>0</v>
      </c>
      <c r="L930" t="n">
        <v>0</v>
      </c>
      <c r="M930" t="n">
        <v>0</v>
      </c>
      <c r="N930" t="n">
        <v>0</v>
      </c>
      <c r="O930" t="n">
        <v>0</v>
      </c>
      <c r="P930" t="n">
        <v>0</v>
      </c>
      <c r="Q930" t="n">
        <v>0</v>
      </c>
      <c r="R930" s="2" t="inlineStr"/>
    </row>
    <row r="931" ht="15" customHeight="1">
      <c r="A931" t="inlineStr">
        <is>
          <t>A 33877-2023</t>
        </is>
      </c>
      <c r="B931" s="1" t="n">
        <v>45133</v>
      </c>
      <c r="C931" s="1" t="n">
        <v>45908</v>
      </c>
      <c r="D931" t="inlineStr">
        <is>
          <t>JÄMTLANDS LÄN</t>
        </is>
      </c>
      <c r="E931" t="inlineStr">
        <is>
          <t>RAGUNDA</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59996-2023</t>
        </is>
      </c>
      <c r="B932" s="1" t="n">
        <v>45257.92826388889</v>
      </c>
      <c r="C932" s="1" t="n">
        <v>45908</v>
      </c>
      <c r="D932" t="inlineStr">
        <is>
          <t>JÄMTLANDS LÄN</t>
        </is>
      </c>
      <c r="E932" t="inlineStr">
        <is>
          <t>RAGUNDA</t>
        </is>
      </c>
      <c r="G932" t="n">
        <v>2.7</v>
      </c>
      <c r="H932" t="n">
        <v>0</v>
      </c>
      <c r="I932" t="n">
        <v>0</v>
      </c>
      <c r="J932" t="n">
        <v>0</v>
      </c>
      <c r="K932" t="n">
        <v>0</v>
      </c>
      <c r="L932" t="n">
        <v>0</v>
      </c>
      <c r="M932" t="n">
        <v>0</v>
      </c>
      <c r="N932" t="n">
        <v>0</v>
      </c>
      <c r="O932" t="n">
        <v>0</v>
      </c>
      <c r="P932" t="n">
        <v>0</v>
      </c>
      <c r="Q932" t="n">
        <v>0</v>
      </c>
      <c r="R932" s="2" t="inlineStr"/>
    </row>
    <row r="933" ht="15" customHeight="1">
      <c r="A933" t="inlineStr">
        <is>
          <t>A 44980-2023</t>
        </is>
      </c>
      <c r="B933" s="1" t="n">
        <v>45190</v>
      </c>
      <c r="C933" s="1" t="n">
        <v>45908</v>
      </c>
      <c r="D933" t="inlineStr">
        <is>
          <t>JÄMTLANDS LÄN</t>
        </is>
      </c>
      <c r="E933" t="inlineStr">
        <is>
          <t>RAGUNDA</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14076-2023</t>
        </is>
      </c>
      <c r="B934" s="1" t="n">
        <v>45009.0897337963</v>
      </c>
      <c r="C934" s="1" t="n">
        <v>45908</v>
      </c>
      <c r="D934" t="inlineStr">
        <is>
          <t>JÄMTLANDS LÄN</t>
        </is>
      </c>
      <c r="E934" t="inlineStr">
        <is>
          <t>RAGUNDA</t>
        </is>
      </c>
      <c r="F934" t="inlineStr">
        <is>
          <t>SCA</t>
        </is>
      </c>
      <c r="G934" t="n">
        <v>6.4</v>
      </c>
      <c r="H934" t="n">
        <v>0</v>
      </c>
      <c r="I934" t="n">
        <v>0</v>
      </c>
      <c r="J934" t="n">
        <v>0</v>
      </c>
      <c r="K934" t="n">
        <v>0</v>
      </c>
      <c r="L934" t="n">
        <v>0</v>
      </c>
      <c r="M934" t="n">
        <v>0</v>
      </c>
      <c r="N934" t="n">
        <v>0</v>
      </c>
      <c r="O934" t="n">
        <v>0</v>
      </c>
      <c r="P934" t="n">
        <v>0</v>
      </c>
      <c r="Q934" t="n">
        <v>0</v>
      </c>
      <c r="R934" s="2" t="inlineStr"/>
    </row>
    <row r="935" ht="15" customHeight="1">
      <c r="A935" t="inlineStr">
        <is>
          <t>A 62541-2022</t>
        </is>
      </c>
      <c r="B935" s="1" t="n">
        <v>44917</v>
      </c>
      <c r="C935" s="1" t="n">
        <v>45908</v>
      </c>
      <c r="D935" t="inlineStr">
        <is>
          <t>JÄMTLANDS LÄN</t>
        </is>
      </c>
      <c r="E935" t="inlineStr">
        <is>
          <t>RAGUNDA</t>
        </is>
      </c>
      <c r="G935" t="n">
        <v>2.6</v>
      </c>
      <c r="H935" t="n">
        <v>0</v>
      </c>
      <c r="I935" t="n">
        <v>0</v>
      </c>
      <c r="J935" t="n">
        <v>0</v>
      </c>
      <c r="K935" t="n">
        <v>0</v>
      </c>
      <c r="L935" t="n">
        <v>0</v>
      </c>
      <c r="M935" t="n">
        <v>0</v>
      </c>
      <c r="N935" t="n">
        <v>0</v>
      </c>
      <c r="O935" t="n">
        <v>0</v>
      </c>
      <c r="P935" t="n">
        <v>0</v>
      </c>
      <c r="Q935" t="n">
        <v>0</v>
      </c>
      <c r="R935" s="2" t="inlineStr"/>
    </row>
    <row r="936" ht="15" customHeight="1">
      <c r="A936" t="inlineStr">
        <is>
          <t>A 9567-2025</t>
        </is>
      </c>
      <c r="B936" s="1" t="n">
        <v>45715.61523148148</v>
      </c>
      <c r="C936" s="1" t="n">
        <v>45908</v>
      </c>
      <c r="D936" t="inlineStr">
        <is>
          <t>JÄMTLANDS LÄN</t>
        </is>
      </c>
      <c r="E936" t="inlineStr">
        <is>
          <t>RAGUNDA</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54092-2024</t>
        </is>
      </c>
      <c r="B937" s="1" t="n">
        <v>45616.5108912037</v>
      </c>
      <c r="C937" s="1" t="n">
        <v>45908</v>
      </c>
      <c r="D937" t="inlineStr">
        <is>
          <t>JÄMTLANDS LÄN</t>
        </is>
      </c>
      <c r="E937" t="inlineStr">
        <is>
          <t>RAGUNDA</t>
        </is>
      </c>
      <c r="F937" t="inlineStr">
        <is>
          <t>Naturvårdsverket</t>
        </is>
      </c>
      <c r="G937" t="n">
        <v>1.3</v>
      </c>
      <c r="H937" t="n">
        <v>0</v>
      </c>
      <c r="I937" t="n">
        <v>0</v>
      </c>
      <c r="J937" t="n">
        <v>0</v>
      </c>
      <c r="K937" t="n">
        <v>0</v>
      </c>
      <c r="L937" t="n">
        <v>0</v>
      </c>
      <c r="M937" t="n">
        <v>0</v>
      </c>
      <c r="N937" t="n">
        <v>0</v>
      </c>
      <c r="O937" t="n">
        <v>0</v>
      </c>
      <c r="P937" t="n">
        <v>0</v>
      </c>
      <c r="Q937" t="n">
        <v>0</v>
      </c>
      <c r="R937" s="2" t="inlineStr"/>
    </row>
    <row r="938" ht="15" customHeight="1">
      <c r="A938" t="inlineStr">
        <is>
          <t>A 21661-2023</t>
        </is>
      </c>
      <c r="B938" s="1" t="n">
        <v>45063</v>
      </c>
      <c r="C938" s="1" t="n">
        <v>45908</v>
      </c>
      <c r="D938" t="inlineStr">
        <is>
          <t>JÄMTLANDS LÄN</t>
        </is>
      </c>
      <c r="E938" t="inlineStr">
        <is>
          <t>RAGUNDA</t>
        </is>
      </c>
      <c r="G938" t="n">
        <v>1.5</v>
      </c>
      <c r="H938" t="n">
        <v>0</v>
      </c>
      <c r="I938" t="n">
        <v>0</v>
      </c>
      <c r="J938" t="n">
        <v>0</v>
      </c>
      <c r="K938" t="n">
        <v>0</v>
      </c>
      <c r="L938" t="n">
        <v>0</v>
      </c>
      <c r="M938" t="n">
        <v>0</v>
      </c>
      <c r="N938" t="n">
        <v>0</v>
      </c>
      <c r="O938" t="n">
        <v>0</v>
      </c>
      <c r="P938" t="n">
        <v>0</v>
      </c>
      <c r="Q938" t="n">
        <v>0</v>
      </c>
      <c r="R938" s="2" t="inlineStr"/>
    </row>
    <row r="939" ht="15" customHeight="1">
      <c r="A939" t="inlineStr">
        <is>
          <t>A 12805-2025</t>
        </is>
      </c>
      <c r="B939" s="1" t="n">
        <v>45733.61497685185</v>
      </c>
      <c r="C939" s="1" t="n">
        <v>45908</v>
      </c>
      <c r="D939" t="inlineStr">
        <is>
          <t>JÄMTLANDS LÄN</t>
        </is>
      </c>
      <c r="E939" t="inlineStr">
        <is>
          <t>RAGUNDA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12808-2025</t>
        </is>
      </c>
      <c r="B940" s="1" t="n">
        <v>45733.61554398148</v>
      </c>
      <c r="C940" s="1" t="n">
        <v>45908</v>
      </c>
      <c r="D940" t="inlineStr">
        <is>
          <t>JÄMTLANDS LÄN</t>
        </is>
      </c>
      <c r="E940" t="inlineStr">
        <is>
          <t>RAGUNDA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4615-2023</t>
        </is>
      </c>
      <c r="B941" s="1" t="n">
        <v>44956.93924768519</v>
      </c>
      <c r="C941" s="1" t="n">
        <v>45908</v>
      </c>
      <c r="D941" t="inlineStr">
        <is>
          <t>JÄMTLANDS LÄN</t>
        </is>
      </c>
      <c r="E941" t="inlineStr">
        <is>
          <t>RAGUNDA</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5938-2025</t>
        </is>
      </c>
      <c r="B942" s="1" t="n">
        <v>45695.45868055556</v>
      </c>
      <c r="C942" s="1" t="n">
        <v>45908</v>
      </c>
      <c r="D942" t="inlineStr">
        <is>
          <t>JÄMTLANDS LÄN</t>
        </is>
      </c>
      <c r="E942" t="inlineStr">
        <is>
          <t>RAGUNDA</t>
        </is>
      </c>
      <c r="G942" t="n">
        <v>1</v>
      </c>
      <c r="H942" t="n">
        <v>0</v>
      </c>
      <c r="I942" t="n">
        <v>0</v>
      </c>
      <c r="J942" t="n">
        <v>0</v>
      </c>
      <c r="K942" t="n">
        <v>0</v>
      </c>
      <c r="L942" t="n">
        <v>0</v>
      </c>
      <c r="M942" t="n">
        <v>0</v>
      </c>
      <c r="N942" t="n">
        <v>0</v>
      </c>
      <c r="O942" t="n">
        <v>0</v>
      </c>
      <c r="P942" t="n">
        <v>0</v>
      </c>
      <c r="Q942" t="n">
        <v>0</v>
      </c>
      <c r="R942" s="2" t="inlineStr"/>
    </row>
    <row r="943" ht="15" customHeight="1">
      <c r="A943" t="inlineStr">
        <is>
          <t>A 4125-2024</t>
        </is>
      </c>
      <c r="B943" s="1" t="n">
        <v>45323</v>
      </c>
      <c r="C943" s="1" t="n">
        <v>45908</v>
      </c>
      <c r="D943" t="inlineStr">
        <is>
          <t>JÄMTLANDS LÄN</t>
        </is>
      </c>
      <c r="E943" t="inlineStr">
        <is>
          <t>RAGUNDA</t>
        </is>
      </c>
      <c r="G943" t="n">
        <v>1</v>
      </c>
      <c r="H943" t="n">
        <v>0</v>
      </c>
      <c r="I943" t="n">
        <v>0</v>
      </c>
      <c r="J943" t="n">
        <v>0</v>
      </c>
      <c r="K943" t="n">
        <v>0</v>
      </c>
      <c r="L943" t="n">
        <v>0</v>
      </c>
      <c r="M943" t="n">
        <v>0</v>
      </c>
      <c r="N943" t="n">
        <v>0</v>
      </c>
      <c r="O943" t="n">
        <v>0</v>
      </c>
      <c r="P943" t="n">
        <v>0</v>
      </c>
      <c r="Q943" t="n">
        <v>0</v>
      </c>
      <c r="R943" s="2" t="inlineStr"/>
    </row>
    <row r="944" ht="15" customHeight="1">
      <c r="A944" t="inlineStr">
        <is>
          <t>A 53549-2024</t>
        </is>
      </c>
      <c r="B944" s="1" t="n">
        <v>45614.63869212963</v>
      </c>
      <c r="C944" s="1" t="n">
        <v>45908</v>
      </c>
      <c r="D944" t="inlineStr">
        <is>
          <t>JÄMTLANDS LÄN</t>
        </is>
      </c>
      <c r="E944" t="inlineStr">
        <is>
          <t>RAGUNDA</t>
        </is>
      </c>
      <c r="F944" t="inlineStr">
        <is>
          <t>Kyrkan</t>
        </is>
      </c>
      <c r="G944" t="n">
        <v>1.7</v>
      </c>
      <c r="H944" t="n">
        <v>0</v>
      </c>
      <c r="I944" t="n">
        <v>0</v>
      </c>
      <c r="J944" t="n">
        <v>0</v>
      </c>
      <c r="K944" t="n">
        <v>0</v>
      </c>
      <c r="L944" t="n">
        <v>0</v>
      </c>
      <c r="M944" t="n">
        <v>0</v>
      </c>
      <c r="N944" t="n">
        <v>0</v>
      </c>
      <c r="O944" t="n">
        <v>0</v>
      </c>
      <c r="P944" t="n">
        <v>0</v>
      </c>
      <c r="Q944" t="n">
        <v>0</v>
      </c>
      <c r="R944" s="2" t="inlineStr"/>
    </row>
    <row r="945" ht="15" customHeight="1">
      <c r="A945" t="inlineStr">
        <is>
          <t>A 7284-2025</t>
        </is>
      </c>
      <c r="B945" s="1" t="n">
        <v>45702.63604166666</v>
      </c>
      <c r="C945" s="1" t="n">
        <v>45908</v>
      </c>
      <c r="D945" t="inlineStr">
        <is>
          <t>JÄMTLANDS LÄN</t>
        </is>
      </c>
      <c r="E945" t="inlineStr">
        <is>
          <t>RAGUNDA</t>
        </is>
      </c>
      <c r="F945" t="inlineStr">
        <is>
          <t>SCA</t>
        </is>
      </c>
      <c r="G945" t="n">
        <v>0.3</v>
      </c>
      <c r="H945" t="n">
        <v>0</v>
      </c>
      <c r="I945" t="n">
        <v>0</v>
      </c>
      <c r="J945" t="n">
        <v>0</v>
      </c>
      <c r="K945" t="n">
        <v>0</v>
      </c>
      <c r="L945" t="n">
        <v>0</v>
      </c>
      <c r="M945" t="n">
        <v>0</v>
      </c>
      <c r="N945" t="n">
        <v>0</v>
      </c>
      <c r="O945" t="n">
        <v>0</v>
      </c>
      <c r="P945" t="n">
        <v>0</v>
      </c>
      <c r="Q945" t="n">
        <v>0</v>
      </c>
      <c r="R945" s="2" t="inlineStr"/>
    </row>
    <row r="946" ht="15" customHeight="1">
      <c r="A946" t="inlineStr">
        <is>
          <t>A 31506-2024</t>
        </is>
      </c>
      <c r="B946" s="1" t="n">
        <v>45505</v>
      </c>
      <c r="C946" s="1" t="n">
        <v>45908</v>
      </c>
      <c r="D946" t="inlineStr">
        <is>
          <t>JÄMTLANDS LÄN</t>
        </is>
      </c>
      <c r="E946" t="inlineStr">
        <is>
          <t>RAGUNDA</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19382-2025</t>
        </is>
      </c>
      <c r="B947" s="1" t="n">
        <v>45769.65659722222</v>
      </c>
      <c r="C947" s="1" t="n">
        <v>45908</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69153-2021</t>
        </is>
      </c>
      <c r="B948" s="1" t="n">
        <v>44530.94694444445</v>
      </c>
      <c r="C948" s="1" t="n">
        <v>45908</v>
      </c>
      <c r="D948" t="inlineStr">
        <is>
          <t>JÄMTLANDS LÄN</t>
        </is>
      </c>
      <c r="E948" t="inlineStr">
        <is>
          <t>RAGUNDA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37479-2023</t>
        </is>
      </c>
      <c r="B949" s="1" t="n">
        <v>45156</v>
      </c>
      <c r="C949" s="1" t="n">
        <v>45908</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5958-2021</t>
        </is>
      </c>
      <c r="B950" s="1" t="n">
        <v>44231</v>
      </c>
      <c r="C950" s="1" t="n">
        <v>45908</v>
      </c>
      <c r="D950" t="inlineStr">
        <is>
          <t>JÄMTLANDS LÄN</t>
        </is>
      </c>
      <c r="E950" t="inlineStr">
        <is>
          <t>RAGUNDA</t>
        </is>
      </c>
      <c r="G950" t="n">
        <v>3.1</v>
      </c>
      <c r="H950" t="n">
        <v>0</v>
      </c>
      <c r="I950" t="n">
        <v>0</v>
      </c>
      <c r="J950" t="n">
        <v>0</v>
      </c>
      <c r="K950" t="n">
        <v>0</v>
      </c>
      <c r="L950" t="n">
        <v>0</v>
      </c>
      <c r="M950" t="n">
        <v>0</v>
      </c>
      <c r="N950" t="n">
        <v>0</v>
      </c>
      <c r="O950" t="n">
        <v>0</v>
      </c>
      <c r="P950" t="n">
        <v>0</v>
      </c>
      <c r="Q950" t="n">
        <v>0</v>
      </c>
      <c r="R950" s="2" t="inlineStr"/>
    </row>
    <row r="951" ht="15" customHeight="1">
      <c r="A951" t="inlineStr">
        <is>
          <t>A 12585-2024</t>
        </is>
      </c>
      <c r="B951" s="1" t="n">
        <v>45379.93637731481</v>
      </c>
      <c r="C951" s="1" t="n">
        <v>45908</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55489-2024</t>
        </is>
      </c>
      <c r="B952" s="1" t="n">
        <v>45622.44774305556</v>
      </c>
      <c r="C952" s="1" t="n">
        <v>45908</v>
      </c>
      <c r="D952" t="inlineStr">
        <is>
          <t>JÄMTLANDS LÄN</t>
        </is>
      </c>
      <c r="E952" t="inlineStr">
        <is>
          <t>RAGUNDA</t>
        </is>
      </c>
      <c r="G952" t="n">
        <v>1.6</v>
      </c>
      <c r="H952" t="n">
        <v>0</v>
      </c>
      <c r="I952" t="n">
        <v>0</v>
      </c>
      <c r="J952" t="n">
        <v>0</v>
      </c>
      <c r="K952" t="n">
        <v>0</v>
      </c>
      <c r="L952" t="n">
        <v>0</v>
      </c>
      <c r="M952" t="n">
        <v>0</v>
      </c>
      <c r="N952" t="n">
        <v>0</v>
      </c>
      <c r="O952" t="n">
        <v>0</v>
      </c>
      <c r="P952" t="n">
        <v>0</v>
      </c>
      <c r="Q952" t="n">
        <v>0</v>
      </c>
      <c r="R952" s="2" t="inlineStr"/>
    </row>
    <row r="953" ht="15" customHeight="1">
      <c r="A953" t="inlineStr">
        <is>
          <t>A 1809-2025</t>
        </is>
      </c>
      <c r="B953" s="1" t="n">
        <v>45671.48989583334</v>
      </c>
      <c r="C953" s="1" t="n">
        <v>45908</v>
      </c>
      <c r="D953" t="inlineStr">
        <is>
          <t>JÄMTLANDS LÄN</t>
        </is>
      </c>
      <c r="E953" t="inlineStr">
        <is>
          <t>RAGUNDA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18631-2024</t>
        </is>
      </c>
      <c r="B954" s="1" t="n">
        <v>45425.96494212963</v>
      </c>
      <c r="C954" s="1" t="n">
        <v>45908</v>
      </c>
      <c r="D954" t="inlineStr">
        <is>
          <t>JÄMTLANDS LÄN</t>
        </is>
      </c>
      <c r="E954" t="inlineStr">
        <is>
          <t>RAGUNDA</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4866-2025</t>
        </is>
      </c>
      <c r="B955" s="1" t="n">
        <v>45688.67542824074</v>
      </c>
      <c r="C955" s="1" t="n">
        <v>45908</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26646-2023</t>
        </is>
      </c>
      <c r="B956" s="1" t="n">
        <v>45092</v>
      </c>
      <c r="C956" s="1" t="n">
        <v>45908</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43405-2023</t>
        </is>
      </c>
      <c r="B957" s="1" t="n">
        <v>45183.95563657407</v>
      </c>
      <c r="C957" s="1" t="n">
        <v>45908</v>
      </c>
      <c r="D957" t="inlineStr">
        <is>
          <t>JÄMTLANDS LÄN</t>
        </is>
      </c>
      <c r="E957" t="inlineStr">
        <is>
          <t>RAGUNDA</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59496-2024</t>
        </is>
      </c>
      <c r="B958" s="1" t="n">
        <v>45638</v>
      </c>
      <c r="C958" s="1" t="n">
        <v>45908</v>
      </c>
      <c r="D958" t="inlineStr">
        <is>
          <t>JÄMTLANDS LÄN</t>
        </is>
      </c>
      <c r="E958" t="inlineStr">
        <is>
          <t>RAGUNDA</t>
        </is>
      </c>
      <c r="G958" t="n">
        <v>13.1</v>
      </c>
      <c r="H958" t="n">
        <v>0</v>
      </c>
      <c r="I958" t="n">
        <v>0</v>
      </c>
      <c r="J958" t="n">
        <v>0</v>
      </c>
      <c r="K958" t="n">
        <v>0</v>
      </c>
      <c r="L958" t="n">
        <v>0</v>
      </c>
      <c r="M958" t="n">
        <v>0</v>
      </c>
      <c r="N958" t="n">
        <v>0</v>
      </c>
      <c r="O958" t="n">
        <v>0</v>
      </c>
      <c r="P958" t="n">
        <v>0</v>
      </c>
      <c r="Q958" t="n">
        <v>0</v>
      </c>
      <c r="R958" s="2" t="inlineStr"/>
    </row>
    <row r="959" ht="15" customHeight="1">
      <c r="A959" t="inlineStr">
        <is>
          <t>A 11780-2024</t>
        </is>
      </c>
      <c r="B959" s="1" t="n">
        <v>45374</v>
      </c>
      <c r="C959" s="1" t="n">
        <v>45908</v>
      </c>
      <c r="D959" t="inlineStr">
        <is>
          <t>JÄMTLANDS LÄN</t>
        </is>
      </c>
      <c r="E959" t="inlineStr">
        <is>
          <t>RAGUNDA</t>
        </is>
      </c>
      <c r="G959" t="n">
        <v>14.6</v>
      </c>
      <c r="H959" t="n">
        <v>0</v>
      </c>
      <c r="I959" t="n">
        <v>0</v>
      </c>
      <c r="J959" t="n">
        <v>0</v>
      </c>
      <c r="K959" t="n">
        <v>0</v>
      </c>
      <c r="L959" t="n">
        <v>0</v>
      </c>
      <c r="M959" t="n">
        <v>0</v>
      </c>
      <c r="N959" t="n">
        <v>0</v>
      </c>
      <c r="O959" t="n">
        <v>0</v>
      </c>
      <c r="P959" t="n">
        <v>0</v>
      </c>
      <c r="Q959" t="n">
        <v>0</v>
      </c>
      <c r="R959" s="2" t="inlineStr"/>
    </row>
    <row r="960" ht="15" customHeight="1">
      <c r="A960" t="inlineStr">
        <is>
          <t>A 62106-2023</t>
        </is>
      </c>
      <c r="B960" s="1" t="n">
        <v>45266.95082175926</v>
      </c>
      <c r="C960" s="1" t="n">
        <v>45908</v>
      </c>
      <c r="D960" t="inlineStr">
        <is>
          <t>JÄMTLANDS LÄN</t>
        </is>
      </c>
      <c r="E960" t="inlineStr">
        <is>
          <t>RAGUNDA</t>
        </is>
      </c>
      <c r="F960" t="inlineStr">
        <is>
          <t>SCA</t>
        </is>
      </c>
      <c r="G960" t="n">
        <v>6.6</v>
      </c>
      <c r="H960" t="n">
        <v>0</v>
      </c>
      <c r="I960" t="n">
        <v>0</v>
      </c>
      <c r="J960" t="n">
        <v>0</v>
      </c>
      <c r="K960" t="n">
        <v>0</v>
      </c>
      <c r="L960" t="n">
        <v>0</v>
      </c>
      <c r="M960" t="n">
        <v>0</v>
      </c>
      <c r="N960" t="n">
        <v>0</v>
      </c>
      <c r="O960" t="n">
        <v>0</v>
      </c>
      <c r="P960" t="n">
        <v>0</v>
      </c>
      <c r="Q960" t="n">
        <v>0</v>
      </c>
      <c r="R960" s="2" t="inlineStr"/>
    </row>
    <row r="961" ht="15" customHeight="1">
      <c r="A961" t="inlineStr">
        <is>
          <t>A 18781-2024</t>
        </is>
      </c>
      <c r="B961" s="1" t="n">
        <v>45426</v>
      </c>
      <c r="C961" s="1" t="n">
        <v>45908</v>
      </c>
      <c r="D961" t="inlineStr">
        <is>
          <t>JÄMTLANDS LÄN</t>
        </is>
      </c>
      <c r="E961" t="inlineStr">
        <is>
          <t>RAGUNDA</t>
        </is>
      </c>
      <c r="G961" t="n">
        <v>0.9</v>
      </c>
      <c r="H961" t="n">
        <v>0</v>
      </c>
      <c r="I961" t="n">
        <v>0</v>
      </c>
      <c r="J961" t="n">
        <v>0</v>
      </c>
      <c r="K961" t="n">
        <v>0</v>
      </c>
      <c r="L961" t="n">
        <v>0</v>
      </c>
      <c r="M961" t="n">
        <v>0</v>
      </c>
      <c r="N961" t="n">
        <v>0</v>
      </c>
      <c r="O961" t="n">
        <v>0</v>
      </c>
      <c r="P961" t="n">
        <v>0</v>
      </c>
      <c r="Q961" t="n">
        <v>0</v>
      </c>
      <c r="R961" s="2" t="inlineStr"/>
    </row>
    <row r="962" ht="15" customHeight="1">
      <c r="A962" t="inlineStr">
        <is>
          <t>A 62081-2022</t>
        </is>
      </c>
      <c r="B962" s="1" t="n">
        <v>44918</v>
      </c>
      <c r="C962" s="1" t="n">
        <v>45908</v>
      </c>
      <c r="D962" t="inlineStr">
        <is>
          <t>JÄMTLANDS LÄN</t>
        </is>
      </c>
      <c r="E962" t="inlineStr">
        <is>
          <t>RAGUNDA</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11288-2022</t>
        </is>
      </c>
      <c r="B963" s="1" t="n">
        <v>44629</v>
      </c>
      <c r="C963" s="1" t="n">
        <v>45908</v>
      </c>
      <c r="D963" t="inlineStr">
        <is>
          <t>JÄMTLANDS LÄN</t>
        </is>
      </c>
      <c r="E963" t="inlineStr">
        <is>
          <t>RAGUNDA</t>
        </is>
      </c>
      <c r="G963" t="n">
        <v>4.9</v>
      </c>
      <c r="H963" t="n">
        <v>0</v>
      </c>
      <c r="I963" t="n">
        <v>0</v>
      </c>
      <c r="J963" t="n">
        <v>0</v>
      </c>
      <c r="K963" t="n">
        <v>0</v>
      </c>
      <c r="L963" t="n">
        <v>0</v>
      </c>
      <c r="M963" t="n">
        <v>0</v>
      </c>
      <c r="N963" t="n">
        <v>0</v>
      </c>
      <c r="O963" t="n">
        <v>0</v>
      </c>
      <c r="P963" t="n">
        <v>0</v>
      </c>
      <c r="Q963" t="n">
        <v>0</v>
      </c>
      <c r="R963" s="2" t="inlineStr"/>
    </row>
    <row r="964" ht="15" customHeight="1">
      <c r="A964" t="inlineStr">
        <is>
          <t>A 18984-2023</t>
        </is>
      </c>
      <c r="B964" s="1" t="n">
        <v>45044</v>
      </c>
      <c r="C964" s="1" t="n">
        <v>45908</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66011-2021</t>
        </is>
      </c>
      <c r="B965" s="1" t="n">
        <v>44517.58137731482</v>
      </c>
      <c r="C965" s="1" t="n">
        <v>45908</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30826-2023</t>
        </is>
      </c>
      <c r="B966" s="1" t="n">
        <v>45112</v>
      </c>
      <c r="C966" s="1" t="n">
        <v>45908</v>
      </c>
      <c r="D966" t="inlineStr">
        <is>
          <t>JÄMTLANDS LÄN</t>
        </is>
      </c>
      <c r="E966" t="inlineStr">
        <is>
          <t>RAGUNDA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42509-2023</t>
        </is>
      </c>
      <c r="B967" s="1" t="n">
        <v>45180</v>
      </c>
      <c r="C967" s="1" t="n">
        <v>45908</v>
      </c>
      <c r="D967" t="inlineStr">
        <is>
          <t>JÄMTLANDS LÄN</t>
        </is>
      </c>
      <c r="E967" t="inlineStr">
        <is>
          <t>RAGUNDA</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53263-2024</t>
        </is>
      </c>
      <c r="B968" s="1" t="n">
        <v>45614.34541666666</v>
      </c>
      <c r="C968" s="1" t="n">
        <v>45908</v>
      </c>
      <c r="D968" t="inlineStr">
        <is>
          <t>JÄMTLANDS LÄN</t>
        </is>
      </c>
      <c r="E968" t="inlineStr">
        <is>
          <t>RAGUNDA</t>
        </is>
      </c>
      <c r="G968" t="n">
        <v>1.9</v>
      </c>
      <c r="H968" t="n">
        <v>0</v>
      </c>
      <c r="I968" t="n">
        <v>0</v>
      </c>
      <c r="J968" t="n">
        <v>0</v>
      </c>
      <c r="K968" t="n">
        <v>0</v>
      </c>
      <c r="L968" t="n">
        <v>0</v>
      </c>
      <c r="M968" t="n">
        <v>0</v>
      </c>
      <c r="N968" t="n">
        <v>0</v>
      </c>
      <c r="O968" t="n">
        <v>0</v>
      </c>
      <c r="P968" t="n">
        <v>0</v>
      </c>
      <c r="Q968" t="n">
        <v>0</v>
      </c>
      <c r="R968" s="2" t="inlineStr"/>
    </row>
    <row r="969" ht="15" customHeight="1">
      <c r="A969" t="inlineStr">
        <is>
          <t>A 26645-2024</t>
        </is>
      </c>
      <c r="B969" s="1" t="n">
        <v>45469.94667824074</v>
      </c>
      <c r="C969" s="1" t="n">
        <v>45908</v>
      </c>
      <c r="D969" t="inlineStr">
        <is>
          <t>JÄMTLANDS LÄN</t>
        </is>
      </c>
      <c r="E969" t="inlineStr">
        <is>
          <t>RAGUNDA</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33615-2023</t>
        </is>
      </c>
      <c r="B970" s="1" t="n">
        <v>45119</v>
      </c>
      <c r="C970" s="1" t="n">
        <v>45908</v>
      </c>
      <c r="D970" t="inlineStr">
        <is>
          <t>JÄMTLANDS LÄN</t>
        </is>
      </c>
      <c r="E970" t="inlineStr">
        <is>
          <t>RAGUNDA</t>
        </is>
      </c>
      <c r="G970" t="n">
        <v>0.9</v>
      </c>
      <c r="H970" t="n">
        <v>0</v>
      </c>
      <c r="I970" t="n">
        <v>0</v>
      </c>
      <c r="J970" t="n">
        <v>0</v>
      </c>
      <c r="K970" t="n">
        <v>0</v>
      </c>
      <c r="L970" t="n">
        <v>0</v>
      </c>
      <c r="M970" t="n">
        <v>0</v>
      </c>
      <c r="N970" t="n">
        <v>0</v>
      </c>
      <c r="O970" t="n">
        <v>0</v>
      </c>
      <c r="P970" t="n">
        <v>0</v>
      </c>
      <c r="Q970" t="n">
        <v>0</v>
      </c>
      <c r="R970" s="2" t="inlineStr"/>
    </row>
    <row r="971" ht="15" customHeight="1">
      <c r="A971" t="inlineStr">
        <is>
          <t>A 42510-2023</t>
        </is>
      </c>
      <c r="B971" s="1" t="n">
        <v>45180.95927083334</v>
      </c>
      <c r="C971" s="1" t="n">
        <v>45908</v>
      </c>
      <c r="D971" t="inlineStr">
        <is>
          <t>JÄMTLANDS LÄN</t>
        </is>
      </c>
      <c r="E971" t="inlineStr">
        <is>
          <t>RAGUNDA</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19401-2025</t>
        </is>
      </c>
      <c r="B972" s="1" t="n">
        <v>45769.67767361111</v>
      </c>
      <c r="C972" s="1" t="n">
        <v>45908</v>
      </c>
      <c r="D972" t="inlineStr">
        <is>
          <t>JÄMTLANDS LÄN</t>
        </is>
      </c>
      <c r="E972" t="inlineStr">
        <is>
          <t>RAGUNDA</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893-2025</t>
        </is>
      </c>
      <c r="B973" s="1" t="n">
        <v>45665.65684027778</v>
      </c>
      <c r="C973" s="1" t="n">
        <v>45908</v>
      </c>
      <c r="D973" t="inlineStr">
        <is>
          <t>JÄMTLANDS LÄN</t>
        </is>
      </c>
      <c r="E973" t="inlineStr">
        <is>
          <t>RAGUNDA</t>
        </is>
      </c>
      <c r="F973" t="inlineStr">
        <is>
          <t>SCA</t>
        </is>
      </c>
      <c r="G973" t="n">
        <v>45.1</v>
      </c>
      <c r="H973" t="n">
        <v>0</v>
      </c>
      <c r="I973" t="n">
        <v>0</v>
      </c>
      <c r="J973" t="n">
        <v>0</v>
      </c>
      <c r="K973" t="n">
        <v>0</v>
      </c>
      <c r="L973" t="n">
        <v>0</v>
      </c>
      <c r="M973" t="n">
        <v>0</v>
      </c>
      <c r="N973" t="n">
        <v>0</v>
      </c>
      <c r="O973" t="n">
        <v>0</v>
      </c>
      <c r="P973" t="n">
        <v>0</v>
      </c>
      <c r="Q973" t="n">
        <v>0</v>
      </c>
      <c r="R973" s="2" t="inlineStr"/>
    </row>
    <row r="974" ht="15" customHeight="1">
      <c r="A974" t="inlineStr">
        <is>
          <t>A 53860-2023</t>
        </is>
      </c>
      <c r="B974" s="1" t="n">
        <v>45224</v>
      </c>
      <c r="C974" s="1" t="n">
        <v>45908</v>
      </c>
      <c r="D974" t="inlineStr">
        <is>
          <t>JÄMTLANDS LÄN</t>
        </is>
      </c>
      <c r="E974" t="inlineStr">
        <is>
          <t>RAGUNDA</t>
        </is>
      </c>
      <c r="G974" t="n">
        <v>3.3</v>
      </c>
      <c r="H974" t="n">
        <v>0</v>
      </c>
      <c r="I974" t="n">
        <v>0</v>
      </c>
      <c r="J974" t="n">
        <v>0</v>
      </c>
      <c r="K974" t="n">
        <v>0</v>
      </c>
      <c r="L974" t="n">
        <v>0</v>
      </c>
      <c r="M974" t="n">
        <v>0</v>
      </c>
      <c r="N974" t="n">
        <v>0</v>
      </c>
      <c r="O974" t="n">
        <v>0</v>
      </c>
      <c r="P974" t="n">
        <v>0</v>
      </c>
      <c r="Q974" t="n">
        <v>0</v>
      </c>
      <c r="R974" s="2" t="inlineStr"/>
    </row>
    <row r="975" ht="15" customHeight="1">
      <c r="A975" t="inlineStr">
        <is>
          <t>A 31135-2023</t>
        </is>
      </c>
      <c r="B975" s="1" t="n">
        <v>45103</v>
      </c>
      <c r="C975" s="1" t="n">
        <v>45908</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65898-2020</t>
        </is>
      </c>
      <c r="B976" s="1" t="n">
        <v>44174</v>
      </c>
      <c r="C976" s="1" t="n">
        <v>45908</v>
      </c>
      <c r="D976" t="inlineStr">
        <is>
          <t>JÄMTLANDS LÄN</t>
        </is>
      </c>
      <c r="E976" t="inlineStr">
        <is>
          <t>RAGUNDA</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12039-2023</t>
        </is>
      </c>
      <c r="B977" s="1" t="n">
        <v>44995.98341435185</v>
      </c>
      <c r="C977" s="1" t="n">
        <v>45908</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26991-2023</t>
        </is>
      </c>
      <c r="B978" s="1" t="n">
        <v>45093.92207175926</v>
      </c>
      <c r="C978" s="1" t="n">
        <v>45908</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13302-2022</t>
        </is>
      </c>
      <c r="B979" s="1" t="n">
        <v>44644</v>
      </c>
      <c r="C979" s="1" t="n">
        <v>45908</v>
      </c>
      <c r="D979" t="inlineStr">
        <is>
          <t>JÄMTLANDS LÄN</t>
        </is>
      </c>
      <c r="E979" t="inlineStr">
        <is>
          <t>RAGUNDA</t>
        </is>
      </c>
      <c r="F979" t="inlineStr">
        <is>
          <t>SCA</t>
        </is>
      </c>
      <c r="G979" t="n">
        <v>35.6</v>
      </c>
      <c r="H979" t="n">
        <v>0</v>
      </c>
      <c r="I979" t="n">
        <v>0</v>
      </c>
      <c r="J979" t="n">
        <v>0</v>
      </c>
      <c r="K979" t="n">
        <v>0</v>
      </c>
      <c r="L979" t="n">
        <v>0</v>
      </c>
      <c r="M979" t="n">
        <v>0</v>
      </c>
      <c r="N979" t="n">
        <v>0</v>
      </c>
      <c r="O979" t="n">
        <v>0</v>
      </c>
      <c r="P979" t="n">
        <v>0</v>
      </c>
      <c r="Q979" t="n">
        <v>0</v>
      </c>
      <c r="R979" s="2" t="inlineStr"/>
    </row>
    <row r="980" ht="15" customHeight="1">
      <c r="A980" t="inlineStr">
        <is>
          <t>A 43132-2023</t>
        </is>
      </c>
      <c r="B980" s="1" t="n">
        <v>45182</v>
      </c>
      <c r="C980" s="1" t="n">
        <v>45908</v>
      </c>
      <c r="D980" t="inlineStr">
        <is>
          <t>JÄMTLANDS LÄN</t>
        </is>
      </c>
      <c r="E980" t="inlineStr">
        <is>
          <t>RAGUNDA</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26651-2024</t>
        </is>
      </c>
      <c r="B981" s="1" t="n">
        <v>45469.94876157407</v>
      </c>
      <c r="C981" s="1" t="n">
        <v>45908</v>
      </c>
      <c r="D981" t="inlineStr">
        <is>
          <t>JÄMTLANDS LÄN</t>
        </is>
      </c>
      <c r="E981" t="inlineStr">
        <is>
          <t>RAGUNDA</t>
        </is>
      </c>
      <c r="F981" t="inlineStr">
        <is>
          <t>SCA</t>
        </is>
      </c>
      <c r="G981" t="n">
        <v>10.4</v>
      </c>
      <c r="H981" t="n">
        <v>0</v>
      </c>
      <c r="I981" t="n">
        <v>0</v>
      </c>
      <c r="J981" t="n">
        <v>0</v>
      </c>
      <c r="K981" t="n">
        <v>0</v>
      </c>
      <c r="L981" t="n">
        <v>0</v>
      </c>
      <c r="M981" t="n">
        <v>0</v>
      </c>
      <c r="N981" t="n">
        <v>0</v>
      </c>
      <c r="O981" t="n">
        <v>0</v>
      </c>
      <c r="P981" t="n">
        <v>0</v>
      </c>
      <c r="Q981" t="n">
        <v>0</v>
      </c>
      <c r="R981" s="2" t="inlineStr"/>
    </row>
    <row r="982" ht="15" customHeight="1">
      <c r="A982" t="inlineStr">
        <is>
          <t>A 40919-2024</t>
        </is>
      </c>
      <c r="B982" s="1" t="n">
        <v>45558.63575231482</v>
      </c>
      <c r="C982" s="1" t="n">
        <v>45908</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3186-2025</t>
        </is>
      </c>
      <c r="B983" s="1" t="n">
        <v>45679.40362268518</v>
      </c>
      <c r="C983" s="1" t="n">
        <v>45908</v>
      </c>
      <c r="D983" t="inlineStr">
        <is>
          <t>JÄMTLANDS LÄN</t>
        </is>
      </c>
      <c r="E983" t="inlineStr">
        <is>
          <t>RAGUNDA</t>
        </is>
      </c>
      <c r="G983" t="n">
        <v>5.2</v>
      </c>
      <c r="H983" t="n">
        <v>0</v>
      </c>
      <c r="I983" t="n">
        <v>0</v>
      </c>
      <c r="J983" t="n">
        <v>0</v>
      </c>
      <c r="K983" t="n">
        <v>0</v>
      </c>
      <c r="L983" t="n">
        <v>0</v>
      </c>
      <c r="M983" t="n">
        <v>0</v>
      </c>
      <c r="N983" t="n">
        <v>0</v>
      </c>
      <c r="O983" t="n">
        <v>0</v>
      </c>
      <c r="P983" t="n">
        <v>0</v>
      </c>
      <c r="Q983" t="n">
        <v>0</v>
      </c>
      <c r="R983" s="2" t="inlineStr"/>
    </row>
    <row r="984" ht="15" customHeight="1">
      <c r="A984" t="inlineStr">
        <is>
          <t>A 465-2023</t>
        </is>
      </c>
      <c r="B984" s="1" t="n">
        <v>44929</v>
      </c>
      <c r="C984" s="1" t="n">
        <v>45908</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56284-2023</t>
        </is>
      </c>
      <c r="B985" s="1" t="n">
        <v>45241.95724537037</v>
      </c>
      <c r="C985" s="1" t="n">
        <v>45908</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26455-2023</t>
        </is>
      </c>
      <c r="B986" s="1" t="n">
        <v>45092</v>
      </c>
      <c r="C986" s="1" t="n">
        <v>45908</v>
      </c>
      <c r="D986" t="inlineStr">
        <is>
          <t>JÄMTLANDS LÄN</t>
        </is>
      </c>
      <c r="E986" t="inlineStr">
        <is>
          <t>RAGUNDA</t>
        </is>
      </c>
      <c r="G986" t="n">
        <v>3.8</v>
      </c>
      <c r="H986" t="n">
        <v>0</v>
      </c>
      <c r="I986" t="n">
        <v>0</v>
      </c>
      <c r="J986" t="n">
        <v>0</v>
      </c>
      <c r="K986" t="n">
        <v>0</v>
      </c>
      <c r="L986" t="n">
        <v>0</v>
      </c>
      <c r="M986" t="n">
        <v>0</v>
      </c>
      <c r="N986" t="n">
        <v>0</v>
      </c>
      <c r="O986" t="n">
        <v>0</v>
      </c>
      <c r="P986" t="n">
        <v>0</v>
      </c>
      <c r="Q986" t="n">
        <v>0</v>
      </c>
      <c r="R986" s="2" t="inlineStr"/>
    </row>
    <row r="987" ht="15" customHeight="1">
      <c r="A987" t="inlineStr">
        <is>
          <t>A 10639-2024</t>
        </is>
      </c>
      <c r="B987" s="1" t="n">
        <v>45367.67256944445</v>
      </c>
      <c r="C987" s="1" t="n">
        <v>45908</v>
      </c>
      <c r="D987" t="inlineStr">
        <is>
          <t>JÄMTLANDS LÄN</t>
        </is>
      </c>
      <c r="E987" t="inlineStr">
        <is>
          <t>RAGUNDA</t>
        </is>
      </c>
      <c r="G987" t="n">
        <v>2</v>
      </c>
      <c r="H987" t="n">
        <v>0</v>
      </c>
      <c r="I987" t="n">
        <v>0</v>
      </c>
      <c r="J987" t="n">
        <v>0</v>
      </c>
      <c r="K987" t="n">
        <v>0</v>
      </c>
      <c r="L987" t="n">
        <v>0</v>
      </c>
      <c r="M987" t="n">
        <v>0</v>
      </c>
      <c r="N987" t="n">
        <v>0</v>
      </c>
      <c r="O987" t="n">
        <v>0</v>
      </c>
      <c r="P987" t="n">
        <v>0</v>
      </c>
      <c r="Q987" t="n">
        <v>0</v>
      </c>
      <c r="R987" s="2" t="inlineStr"/>
    </row>
    <row r="988" ht="15" customHeight="1">
      <c r="A988" t="inlineStr">
        <is>
          <t>A 2751-2024</t>
        </is>
      </c>
      <c r="B988" s="1" t="n">
        <v>45314</v>
      </c>
      <c r="C988" s="1" t="n">
        <v>45908</v>
      </c>
      <c r="D988" t="inlineStr">
        <is>
          <t>JÄMTLANDS LÄN</t>
        </is>
      </c>
      <c r="E988" t="inlineStr">
        <is>
          <t>RAGUNDA</t>
        </is>
      </c>
      <c r="G988" t="n">
        <v>1.8</v>
      </c>
      <c r="H988" t="n">
        <v>0</v>
      </c>
      <c r="I988" t="n">
        <v>0</v>
      </c>
      <c r="J988" t="n">
        <v>0</v>
      </c>
      <c r="K988" t="n">
        <v>0</v>
      </c>
      <c r="L988" t="n">
        <v>0</v>
      </c>
      <c r="M988" t="n">
        <v>0</v>
      </c>
      <c r="N988" t="n">
        <v>0</v>
      </c>
      <c r="O988" t="n">
        <v>0</v>
      </c>
      <c r="P988" t="n">
        <v>0</v>
      </c>
      <c r="Q988" t="n">
        <v>0</v>
      </c>
      <c r="R988" s="2" t="inlineStr"/>
    </row>
    <row r="989" ht="15" customHeight="1">
      <c r="A989" t="inlineStr">
        <is>
          <t>A 36317-2024</t>
        </is>
      </c>
      <c r="B989" s="1" t="n">
        <v>45534.63537037037</v>
      </c>
      <c r="C989" s="1" t="n">
        <v>45908</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18614-2024</t>
        </is>
      </c>
      <c r="B990" s="1" t="n">
        <v>45425.96263888889</v>
      </c>
      <c r="C990" s="1" t="n">
        <v>45908</v>
      </c>
      <c r="D990" t="inlineStr">
        <is>
          <t>JÄMTLANDS LÄN</t>
        </is>
      </c>
      <c r="E990" t="inlineStr">
        <is>
          <t>RAGUNDA</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8787-2022</t>
        </is>
      </c>
      <c r="B991" s="1" t="n">
        <v>44614</v>
      </c>
      <c r="C991" s="1" t="n">
        <v>45908</v>
      </c>
      <c r="D991" t="inlineStr">
        <is>
          <t>JÄMTLANDS LÄN</t>
        </is>
      </c>
      <c r="E991" t="inlineStr">
        <is>
          <t>RAGUNDA</t>
        </is>
      </c>
      <c r="G991" t="n">
        <v>6.4</v>
      </c>
      <c r="H991" t="n">
        <v>0</v>
      </c>
      <c r="I991" t="n">
        <v>0</v>
      </c>
      <c r="J991" t="n">
        <v>0</v>
      </c>
      <c r="K991" t="n">
        <v>0</v>
      </c>
      <c r="L991" t="n">
        <v>0</v>
      </c>
      <c r="M991" t="n">
        <v>0</v>
      </c>
      <c r="N991" t="n">
        <v>0</v>
      </c>
      <c r="O991" t="n">
        <v>0</v>
      </c>
      <c r="P991" t="n">
        <v>0</v>
      </c>
      <c r="Q991" t="n">
        <v>0</v>
      </c>
      <c r="R991" s="2" t="inlineStr"/>
    </row>
    <row r="992" ht="15" customHeight="1">
      <c r="A992" t="inlineStr">
        <is>
          <t>A 5967-2021</t>
        </is>
      </c>
      <c r="B992" s="1" t="n">
        <v>44231</v>
      </c>
      <c r="C992" s="1" t="n">
        <v>45908</v>
      </c>
      <c r="D992" t="inlineStr">
        <is>
          <t>JÄMTLANDS LÄN</t>
        </is>
      </c>
      <c r="E992" t="inlineStr">
        <is>
          <t>RAGUNDA</t>
        </is>
      </c>
      <c r="G992" t="n">
        <v>3.6</v>
      </c>
      <c r="H992" t="n">
        <v>0</v>
      </c>
      <c r="I992" t="n">
        <v>0</v>
      </c>
      <c r="J992" t="n">
        <v>0</v>
      </c>
      <c r="K992" t="n">
        <v>0</v>
      </c>
      <c r="L992" t="n">
        <v>0</v>
      </c>
      <c r="M992" t="n">
        <v>0</v>
      </c>
      <c r="N992" t="n">
        <v>0</v>
      </c>
      <c r="O992" t="n">
        <v>0</v>
      </c>
      <c r="P992" t="n">
        <v>0</v>
      </c>
      <c r="Q992" t="n">
        <v>0</v>
      </c>
      <c r="R992" s="2" t="inlineStr"/>
    </row>
    <row r="993" ht="15" customHeight="1">
      <c r="A993" t="inlineStr">
        <is>
          <t>A 50431-2024</t>
        </is>
      </c>
      <c r="B993" s="1" t="n">
        <v>45601.40686342592</v>
      </c>
      <c r="C993" s="1" t="n">
        <v>45908</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61045-2022</t>
        </is>
      </c>
      <c r="B994" s="1" t="n">
        <v>44914</v>
      </c>
      <c r="C994" s="1" t="n">
        <v>45908</v>
      </c>
      <c r="D994" t="inlineStr">
        <is>
          <t>JÄMTLANDS LÄN</t>
        </is>
      </c>
      <c r="E994" t="inlineStr">
        <is>
          <t>RAGUNDA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60936-2024</t>
        </is>
      </c>
      <c r="B995" s="1" t="n">
        <v>45645.36743055555</v>
      </c>
      <c r="C995" s="1" t="n">
        <v>45908</v>
      </c>
      <c r="D995" t="inlineStr">
        <is>
          <t>JÄMTLANDS LÄN</t>
        </is>
      </c>
      <c r="E995" t="inlineStr">
        <is>
          <t>RAGUNDA</t>
        </is>
      </c>
      <c r="G995" t="n">
        <v>1.2</v>
      </c>
      <c r="H995" t="n">
        <v>0</v>
      </c>
      <c r="I995" t="n">
        <v>0</v>
      </c>
      <c r="J995" t="n">
        <v>0</v>
      </c>
      <c r="K995" t="n">
        <v>0</v>
      </c>
      <c r="L995" t="n">
        <v>0</v>
      </c>
      <c r="M995" t="n">
        <v>0</v>
      </c>
      <c r="N995" t="n">
        <v>0</v>
      </c>
      <c r="O995" t="n">
        <v>0</v>
      </c>
      <c r="P995" t="n">
        <v>0</v>
      </c>
      <c r="Q995" t="n">
        <v>0</v>
      </c>
      <c r="R995" s="2" t="inlineStr"/>
    </row>
    <row r="996" ht="15" customHeight="1">
      <c r="A996" t="inlineStr">
        <is>
          <t>A 4212-2024</t>
        </is>
      </c>
      <c r="B996" s="1" t="n">
        <v>45324</v>
      </c>
      <c r="C996" s="1" t="n">
        <v>45908</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9262-2025</t>
        </is>
      </c>
      <c r="B997" s="1" t="n">
        <v>45714.60649305556</v>
      </c>
      <c r="C997" s="1" t="n">
        <v>45908</v>
      </c>
      <c r="D997" t="inlineStr">
        <is>
          <t>JÄMTLANDS LÄN</t>
        </is>
      </c>
      <c r="E997" t="inlineStr">
        <is>
          <t>RAGUNDA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61197-2023</t>
        </is>
      </c>
      <c r="B998" s="1" t="n">
        <v>45260</v>
      </c>
      <c r="C998" s="1" t="n">
        <v>45908</v>
      </c>
      <c r="D998" t="inlineStr">
        <is>
          <t>JÄMTLANDS LÄN</t>
        </is>
      </c>
      <c r="E998" t="inlineStr">
        <is>
          <t>RAGUNDA</t>
        </is>
      </c>
      <c r="G998" t="n">
        <v>2.5</v>
      </c>
      <c r="H998" t="n">
        <v>0</v>
      </c>
      <c r="I998" t="n">
        <v>0</v>
      </c>
      <c r="J998" t="n">
        <v>0</v>
      </c>
      <c r="K998" t="n">
        <v>0</v>
      </c>
      <c r="L998" t="n">
        <v>0</v>
      </c>
      <c r="M998" t="n">
        <v>0</v>
      </c>
      <c r="N998" t="n">
        <v>0</v>
      </c>
      <c r="O998" t="n">
        <v>0</v>
      </c>
      <c r="P998" t="n">
        <v>0</v>
      </c>
      <c r="Q998" t="n">
        <v>0</v>
      </c>
      <c r="R998" s="2" t="inlineStr"/>
    </row>
    <row r="999" ht="15" customHeight="1">
      <c r="A999" t="inlineStr">
        <is>
          <t>A 13263-2025</t>
        </is>
      </c>
      <c r="B999" s="1" t="n">
        <v>45735.53177083333</v>
      </c>
      <c r="C999" s="1" t="n">
        <v>45908</v>
      </c>
      <c r="D999" t="inlineStr">
        <is>
          <t>JÄMTLANDS LÄN</t>
        </is>
      </c>
      <c r="E999" t="inlineStr">
        <is>
          <t>RAGUNDA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48066-2022</t>
        </is>
      </c>
      <c r="B1000" s="1" t="n">
        <v>44855</v>
      </c>
      <c r="C1000" s="1" t="n">
        <v>45908</v>
      </c>
      <c r="D1000" t="inlineStr">
        <is>
          <t>JÄMTLANDS LÄN</t>
        </is>
      </c>
      <c r="E1000" t="inlineStr">
        <is>
          <t>RAGUNDA</t>
        </is>
      </c>
      <c r="F1000" t="inlineStr">
        <is>
          <t>SCA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64415-2023</t>
        </is>
      </c>
      <c r="B1001" s="1" t="n">
        <v>45280</v>
      </c>
      <c r="C1001" s="1" t="n">
        <v>45908</v>
      </c>
      <c r="D1001" t="inlineStr">
        <is>
          <t>JÄMTLANDS LÄN</t>
        </is>
      </c>
      <c r="E1001" t="inlineStr">
        <is>
          <t>RAGUNDA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60225-2022</t>
        </is>
      </c>
      <c r="B1002" s="1" t="n">
        <v>44903</v>
      </c>
      <c r="C1002" s="1" t="n">
        <v>45908</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15864-2024</t>
        </is>
      </c>
      <c r="B1003" s="1" t="n">
        <v>45404.99792824074</v>
      </c>
      <c r="C1003" s="1" t="n">
        <v>45908</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c r="U1003">
        <f>HYPERLINK("https://klasma.github.io/Logging_2303/knärot/A 15864-2024 karta knärot.png", "A 15864-2024")</f>
        <v/>
      </c>
      <c r="V1003">
        <f>HYPERLINK("https://klasma.github.io/Logging_2303/klagomål/A 15864-2024 FSC-klagomål.docx", "A 15864-2024")</f>
        <v/>
      </c>
      <c r="W1003">
        <f>HYPERLINK("https://klasma.github.io/Logging_2303/klagomålsmail/A 15864-2024 FSC-klagomål mail.docx", "A 15864-2024")</f>
        <v/>
      </c>
      <c r="X1003">
        <f>HYPERLINK("https://klasma.github.io/Logging_2303/tillsyn/A 15864-2024 tillsynsbegäran.docx", "A 15864-2024")</f>
        <v/>
      </c>
      <c r="Y1003">
        <f>HYPERLINK("https://klasma.github.io/Logging_2303/tillsynsmail/A 15864-2024 tillsynsbegäran mail.docx", "A 15864-2024")</f>
        <v/>
      </c>
    </row>
    <row r="1004" ht="15" customHeight="1">
      <c r="A1004" t="inlineStr">
        <is>
          <t>A 60012-2023</t>
        </is>
      </c>
      <c r="B1004" s="1" t="n">
        <v>45257</v>
      </c>
      <c r="C1004" s="1" t="n">
        <v>45908</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57749-2024</t>
        </is>
      </c>
      <c r="B1005" s="1" t="n">
        <v>45630.7862037037</v>
      </c>
      <c r="C1005" s="1" t="n">
        <v>45908</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53676-2022</t>
        </is>
      </c>
      <c r="B1006" s="1" t="n">
        <v>44879</v>
      </c>
      <c r="C1006" s="1" t="n">
        <v>45908</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24280-2021</t>
        </is>
      </c>
      <c r="B1007" s="1" t="n">
        <v>44336</v>
      </c>
      <c r="C1007" s="1" t="n">
        <v>45908</v>
      </c>
      <c r="D1007" t="inlineStr">
        <is>
          <t>JÄMTLANDS LÄN</t>
        </is>
      </c>
      <c r="E1007" t="inlineStr">
        <is>
          <t>RAGUNDA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8886-2024</t>
        </is>
      </c>
      <c r="B1008" s="1" t="n">
        <v>45357.05300925926</v>
      </c>
      <c r="C1008" s="1" t="n">
        <v>45908</v>
      </c>
      <c r="D1008" t="inlineStr">
        <is>
          <t>JÄMTLANDS LÄN</t>
        </is>
      </c>
      <c r="E1008" t="inlineStr">
        <is>
          <t>RAGUNDA</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28596-2021</t>
        </is>
      </c>
      <c r="B1009" s="1" t="n">
        <v>44356</v>
      </c>
      <c r="C1009" s="1" t="n">
        <v>45908</v>
      </c>
      <c r="D1009" t="inlineStr">
        <is>
          <t>JÄMTLANDS LÄN</t>
        </is>
      </c>
      <c r="E1009" t="inlineStr">
        <is>
          <t>RAGUNDA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11058-2025</t>
        </is>
      </c>
      <c r="B1010" s="1" t="n">
        <v>45723.51079861111</v>
      </c>
      <c r="C1010" s="1" t="n">
        <v>45908</v>
      </c>
      <c r="D1010" t="inlineStr">
        <is>
          <t>JÄMTLANDS LÄN</t>
        </is>
      </c>
      <c r="E1010" t="inlineStr">
        <is>
          <t>RAGUNDA</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38664-2022</t>
        </is>
      </c>
      <c r="B1011" s="1" t="n">
        <v>44813</v>
      </c>
      <c r="C1011" s="1" t="n">
        <v>45908</v>
      </c>
      <c r="D1011" t="inlineStr">
        <is>
          <t>JÄMTLANDS LÄN</t>
        </is>
      </c>
      <c r="E1011" t="inlineStr">
        <is>
          <t>RAGUNDA</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56504-2024</t>
        </is>
      </c>
      <c r="B1012" s="1" t="n">
        <v>45625.51068287037</v>
      </c>
      <c r="C1012" s="1" t="n">
        <v>45908</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24441-2024</t>
        </is>
      </c>
      <c r="B1013" s="1" t="n">
        <v>45457.96372685185</v>
      </c>
      <c r="C1013" s="1" t="n">
        <v>45908</v>
      </c>
      <c r="D1013" t="inlineStr">
        <is>
          <t>JÄMTLANDS LÄN</t>
        </is>
      </c>
      <c r="E1013" t="inlineStr">
        <is>
          <t>RAGUNDA</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40801-2023</t>
        </is>
      </c>
      <c r="B1014" s="1" t="n">
        <v>45170</v>
      </c>
      <c r="C1014" s="1" t="n">
        <v>45908</v>
      </c>
      <c r="D1014" t="inlineStr">
        <is>
          <t>JÄMTLANDS LÄN</t>
        </is>
      </c>
      <c r="E1014" t="inlineStr">
        <is>
          <t>RAGUNDA</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934-2023</t>
        </is>
      </c>
      <c r="B1015" s="1" t="n">
        <v>44932.93927083333</v>
      </c>
      <c r="C1015" s="1" t="n">
        <v>45908</v>
      </c>
      <c r="D1015" t="inlineStr">
        <is>
          <t>JÄMTLANDS LÄN</t>
        </is>
      </c>
      <c r="E1015" t="inlineStr">
        <is>
          <t>RAGUNDA</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36106-2022</t>
        </is>
      </c>
      <c r="B1016" s="1" t="n">
        <v>44802.94811342593</v>
      </c>
      <c r="C1016" s="1" t="n">
        <v>45908</v>
      </c>
      <c r="D1016" t="inlineStr">
        <is>
          <t>JÄMTLANDS LÄN</t>
        </is>
      </c>
      <c r="E1016" t="inlineStr">
        <is>
          <t>RAGUNDA</t>
        </is>
      </c>
      <c r="F1016" t="inlineStr">
        <is>
          <t>SCA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57839-2022</t>
        </is>
      </c>
      <c r="B1017" s="1" t="n">
        <v>44897</v>
      </c>
      <c r="C1017" s="1" t="n">
        <v>45908</v>
      </c>
      <c r="D1017" t="inlineStr">
        <is>
          <t>JÄMTLANDS LÄN</t>
        </is>
      </c>
      <c r="E1017" t="inlineStr">
        <is>
          <t>RAGUNDA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41693-2023</t>
        </is>
      </c>
      <c r="B1018" s="1" t="n">
        <v>45176</v>
      </c>
      <c r="C1018" s="1" t="n">
        <v>45908</v>
      </c>
      <c r="D1018" t="inlineStr">
        <is>
          <t>JÄMTLANDS LÄN</t>
        </is>
      </c>
      <c r="E1018" t="inlineStr">
        <is>
          <t>RAGUNDA</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48065-2023</t>
        </is>
      </c>
      <c r="B1019" s="1" t="n">
        <v>45204.94399305555</v>
      </c>
      <c r="C1019" s="1" t="n">
        <v>45908</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53678-2022</t>
        </is>
      </c>
      <c r="B1020" s="1" t="n">
        <v>44879.95768518518</v>
      </c>
      <c r="C1020" s="1" t="n">
        <v>45908</v>
      </c>
      <c r="D1020" t="inlineStr">
        <is>
          <t>JÄMTLANDS LÄN</t>
        </is>
      </c>
      <c r="E1020" t="inlineStr">
        <is>
          <t>RAGUNDA</t>
        </is>
      </c>
      <c r="F1020" t="inlineStr">
        <is>
          <t>Sveaskog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4592-2024</t>
        </is>
      </c>
      <c r="B1021" s="1" t="n">
        <v>45327.94443287037</v>
      </c>
      <c r="C1021" s="1" t="n">
        <v>45908</v>
      </c>
      <c r="D1021" t="inlineStr">
        <is>
          <t>JÄMTLANDS LÄN</t>
        </is>
      </c>
      <c r="E1021" t="inlineStr">
        <is>
          <t>RAGUNDA</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60195-2023</t>
        </is>
      </c>
      <c r="B1022" s="1" t="n">
        <v>45257</v>
      </c>
      <c r="C1022" s="1" t="n">
        <v>45908</v>
      </c>
      <c r="D1022" t="inlineStr">
        <is>
          <t>JÄMTLANDS LÄN</t>
        </is>
      </c>
      <c r="E1022" t="inlineStr">
        <is>
          <t>RAGUNDA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22981-2023</t>
        </is>
      </c>
      <c r="B1023" s="1" t="n">
        <v>45072.92737268518</v>
      </c>
      <c r="C1023" s="1" t="n">
        <v>45908</v>
      </c>
      <c r="D1023" t="inlineStr">
        <is>
          <t>JÄMTLANDS LÄN</t>
        </is>
      </c>
      <c r="E1023" t="inlineStr">
        <is>
          <t>RAGUNDA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23305-2023</t>
        </is>
      </c>
      <c r="B1024" s="1" t="n">
        <v>45075.94506944445</v>
      </c>
      <c r="C1024" s="1" t="n">
        <v>45908</v>
      </c>
      <c r="D1024" t="inlineStr">
        <is>
          <t>JÄMTLANDS LÄN</t>
        </is>
      </c>
      <c r="E1024" t="inlineStr">
        <is>
          <t>RAGUNDA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18194-2025</t>
        </is>
      </c>
      <c r="B1025" s="1" t="n">
        <v>45761.67744212963</v>
      </c>
      <c r="C1025" s="1" t="n">
        <v>45908</v>
      </c>
      <c r="D1025" t="inlineStr">
        <is>
          <t>JÄMTLANDS LÄN</t>
        </is>
      </c>
      <c r="E1025" t="inlineStr">
        <is>
          <t>RAGUNDA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26942-2021</t>
        </is>
      </c>
      <c r="B1026" s="1" t="n">
        <v>44349.91978009259</v>
      </c>
      <c r="C1026" s="1" t="n">
        <v>45908</v>
      </c>
      <c r="D1026" t="inlineStr">
        <is>
          <t>JÄMTLANDS LÄN</t>
        </is>
      </c>
      <c r="E1026" t="inlineStr">
        <is>
          <t>RAGUNDA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18225-2024</t>
        </is>
      </c>
      <c r="B1027" s="1" t="n">
        <v>45420</v>
      </c>
      <c r="C1027" s="1" t="n">
        <v>45908</v>
      </c>
      <c r="D1027" t="inlineStr">
        <is>
          <t>JÄMTLANDS LÄN</t>
        </is>
      </c>
      <c r="E1027" t="inlineStr">
        <is>
          <t>RAGUNDA</t>
        </is>
      </c>
      <c r="F1027" t="inlineStr">
        <is>
          <t>SCA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54764-2024</t>
        </is>
      </c>
      <c r="B1028" s="1" t="n">
        <v>45618.46921296296</v>
      </c>
      <c r="C1028" s="1" t="n">
        <v>45908</v>
      </c>
      <c r="D1028" t="inlineStr">
        <is>
          <t>JÄMTLANDS LÄN</t>
        </is>
      </c>
      <c r="E1028" t="inlineStr">
        <is>
          <t>RAGUNDA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32904-2024</t>
        </is>
      </c>
      <c r="B1029" s="1" t="n">
        <v>45516.94732638889</v>
      </c>
      <c r="C1029" s="1" t="n">
        <v>45908</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46546-2023</t>
        </is>
      </c>
      <c r="B1030" s="1" t="n">
        <v>45197.94152777778</v>
      </c>
      <c r="C1030" s="1" t="n">
        <v>45908</v>
      </c>
      <c r="D1030" t="inlineStr">
        <is>
          <t>JÄMTLANDS LÄN</t>
        </is>
      </c>
      <c r="E1030" t="inlineStr">
        <is>
          <t>RAGUNDA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12976-2025</t>
        </is>
      </c>
      <c r="B1031" s="1" t="n">
        <v>45734.45268518518</v>
      </c>
      <c r="C1031" s="1" t="n">
        <v>45908</v>
      </c>
      <c r="D1031" t="inlineStr">
        <is>
          <t>JÄMTLANDS LÄN</t>
        </is>
      </c>
      <c r="E1031" t="inlineStr">
        <is>
          <t>RAGUNDA</t>
        </is>
      </c>
      <c r="G1031" t="n">
        <v>24.2</v>
      </c>
      <c r="H1031" t="n">
        <v>0</v>
      </c>
      <c r="I1031" t="n">
        <v>0</v>
      </c>
      <c r="J1031" t="n">
        <v>0</v>
      </c>
      <c r="K1031" t="n">
        <v>0</v>
      </c>
      <c r="L1031" t="n">
        <v>0</v>
      </c>
      <c r="M1031" t="n">
        <v>0</v>
      </c>
      <c r="N1031" t="n">
        <v>0</v>
      </c>
      <c r="O1031" t="n">
        <v>0</v>
      </c>
      <c r="P1031" t="n">
        <v>0</v>
      </c>
      <c r="Q1031" t="n">
        <v>0</v>
      </c>
      <c r="R1031" s="2" t="inlineStr"/>
    </row>
    <row r="1032" ht="15" customHeight="1">
      <c r="A1032" t="inlineStr">
        <is>
          <t>A 59286-2023</t>
        </is>
      </c>
      <c r="B1032" s="1" t="n">
        <v>45253</v>
      </c>
      <c r="C1032" s="1" t="n">
        <v>45908</v>
      </c>
      <c r="D1032" t="inlineStr">
        <is>
          <t>JÄMTLANDS LÄN</t>
        </is>
      </c>
      <c r="E1032" t="inlineStr">
        <is>
          <t>RAGUNDA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15672-2021</t>
        </is>
      </c>
      <c r="B1033" s="1" t="n">
        <v>44286</v>
      </c>
      <c r="C1033" s="1" t="n">
        <v>45908</v>
      </c>
      <c r="D1033" t="inlineStr">
        <is>
          <t>JÄMTLANDS LÄN</t>
        </is>
      </c>
      <c r="E1033" t="inlineStr">
        <is>
          <t>RAGUNDA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19865-2023</t>
        </is>
      </c>
      <c r="B1034" s="1" t="n">
        <v>45053.94305555556</v>
      </c>
      <c r="C1034" s="1" t="n">
        <v>45908</v>
      </c>
      <c r="D1034" t="inlineStr">
        <is>
          <t>JÄMTLANDS LÄN</t>
        </is>
      </c>
      <c r="E1034" t="inlineStr">
        <is>
          <t>RAGUNDA</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6688-2024</t>
        </is>
      </c>
      <c r="B1035" s="1" t="n">
        <v>45341</v>
      </c>
      <c r="C1035" s="1" t="n">
        <v>45908</v>
      </c>
      <c r="D1035" t="inlineStr">
        <is>
          <t>JÄMTLANDS LÄN</t>
        </is>
      </c>
      <c r="E1035" t="inlineStr">
        <is>
          <t>RAGUNDA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61088-2020</t>
        </is>
      </c>
      <c r="B1036" s="1" t="n">
        <v>44153</v>
      </c>
      <c r="C1036" s="1" t="n">
        <v>45908</v>
      </c>
      <c r="D1036" t="inlineStr">
        <is>
          <t>JÄMTLANDS LÄN</t>
        </is>
      </c>
      <c r="E1036" t="inlineStr">
        <is>
          <t>RAGUNDA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50650-2023</t>
        </is>
      </c>
      <c r="B1037" s="1" t="n">
        <v>45210</v>
      </c>
      <c r="C1037" s="1" t="n">
        <v>45908</v>
      </c>
      <c r="D1037" t="inlineStr">
        <is>
          <t>JÄMTLANDS LÄN</t>
        </is>
      </c>
      <c r="E1037" t="inlineStr">
        <is>
          <t>RAGUNDA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41344-2024</t>
        </is>
      </c>
      <c r="B1038" s="1" t="n">
        <v>45559.67759259259</v>
      </c>
      <c r="C1038" s="1" t="n">
        <v>45908</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564-2025</t>
        </is>
      </c>
      <c r="B1039" s="1" t="n">
        <v>45664.55241898148</v>
      </c>
      <c r="C1039" s="1" t="n">
        <v>45908</v>
      </c>
      <c r="D1039" t="inlineStr">
        <is>
          <t>JÄMTLANDS LÄN</t>
        </is>
      </c>
      <c r="E1039" t="inlineStr">
        <is>
          <t>RAGUNDA</t>
        </is>
      </c>
      <c r="F1039" t="inlineStr">
        <is>
          <t>SCA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50555-2024</t>
        </is>
      </c>
      <c r="B1040" s="1" t="n">
        <v>45601.59518518519</v>
      </c>
      <c r="C1040" s="1" t="n">
        <v>45908</v>
      </c>
      <c r="D1040" t="inlineStr">
        <is>
          <t>JÄMTLANDS LÄN</t>
        </is>
      </c>
      <c r="E1040" t="inlineStr">
        <is>
          <t>RAGUNDA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59670-2023</t>
        </is>
      </c>
      <c r="B1041" s="1" t="n">
        <v>45254.96516203704</v>
      </c>
      <c r="C1041" s="1" t="n">
        <v>45908</v>
      </c>
      <c r="D1041" t="inlineStr">
        <is>
          <t>JÄMTLANDS LÄN</t>
        </is>
      </c>
      <c r="E1041" t="inlineStr">
        <is>
          <t>RAGUNDA</t>
        </is>
      </c>
      <c r="F1041" t="inlineStr">
        <is>
          <t>SCA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59658-2023</t>
        </is>
      </c>
      <c r="B1042" s="1" t="n">
        <v>45254.96402777778</v>
      </c>
      <c r="C1042" s="1" t="n">
        <v>45908</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49649-2024</t>
        </is>
      </c>
      <c r="B1043" s="1" t="n">
        <v>45596.61553240741</v>
      </c>
      <c r="C1043" s="1" t="n">
        <v>45908</v>
      </c>
      <c r="D1043" t="inlineStr">
        <is>
          <t>JÄMTLANDS LÄN</t>
        </is>
      </c>
      <c r="E1043" t="inlineStr">
        <is>
          <t>RAGUNDA</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55508-2024</t>
        </is>
      </c>
      <c r="B1044" s="1" t="n">
        <v>45622.46200231482</v>
      </c>
      <c r="C1044" s="1" t="n">
        <v>45908</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2831-2024</t>
        </is>
      </c>
      <c r="B1045" s="1" t="n">
        <v>45314.92758101852</v>
      </c>
      <c r="C1045" s="1" t="n">
        <v>45908</v>
      </c>
      <c r="D1045" t="inlineStr">
        <is>
          <t>JÄMTLANDS LÄN</t>
        </is>
      </c>
      <c r="E1045" t="inlineStr">
        <is>
          <t>RAGUNDA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59492-2024</t>
        </is>
      </c>
      <c r="B1046" s="1" t="n">
        <v>45638</v>
      </c>
      <c r="C1046" s="1" t="n">
        <v>45908</v>
      </c>
      <c r="D1046" t="inlineStr">
        <is>
          <t>JÄMTLANDS LÄN</t>
        </is>
      </c>
      <c r="E1046" t="inlineStr">
        <is>
          <t>RAGUNDA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20772-2024</t>
        </is>
      </c>
      <c r="B1047" s="1" t="n">
        <v>45436.94628472222</v>
      </c>
      <c r="C1047" s="1" t="n">
        <v>45908</v>
      </c>
      <c r="D1047" t="inlineStr">
        <is>
          <t>JÄMTLANDS LÄN</t>
        </is>
      </c>
      <c r="E1047" t="inlineStr">
        <is>
          <t>RAGUNDA</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9504-2025</t>
        </is>
      </c>
      <c r="B1048" s="1" t="n">
        <v>45714</v>
      </c>
      <c r="C1048" s="1" t="n">
        <v>45908</v>
      </c>
      <c r="D1048" t="inlineStr">
        <is>
          <t>JÄMTLANDS LÄN</t>
        </is>
      </c>
      <c r="E1048" t="inlineStr">
        <is>
          <t>RAGUNDA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53757-2024</t>
        </is>
      </c>
      <c r="B1049" s="1" t="n">
        <v>45615.50034722222</v>
      </c>
      <c r="C1049" s="1" t="n">
        <v>45908</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12024-2022</t>
        </is>
      </c>
      <c r="B1050" s="1" t="n">
        <v>44635</v>
      </c>
      <c r="C1050" s="1" t="n">
        <v>45908</v>
      </c>
      <c r="D1050" t="inlineStr">
        <is>
          <t>JÄMTLANDS LÄN</t>
        </is>
      </c>
      <c r="E1050" t="inlineStr">
        <is>
          <t>RAGUNDA</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53740-2024</t>
        </is>
      </c>
      <c r="B1051" s="1" t="n">
        <v>45615.47091435185</v>
      </c>
      <c r="C1051" s="1" t="n">
        <v>45908</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59372-2024</t>
        </is>
      </c>
      <c r="B1052" s="1" t="n">
        <v>45638.34431712963</v>
      </c>
      <c r="C1052" s="1" t="n">
        <v>45908</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6716-2025</t>
        </is>
      </c>
      <c r="B1053" s="1" t="n">
        <v>45700.57324074074</v>
      </c>
      <c r="C1053" s="1" t="n">
        <v>45908</v>
      </c>
      <c r="D1053" t="inlineStr">
        <is>
          <t>JÄMTLANDS LÄN</t>
        </is>
      </c>
      <c r="E1053" t="inlineStr">
        <is>
          <t>RAGUNDA</t>
        </is>
      </c>
      <c r="F1053" t="inlineStr">
        <is>
          <t>SCA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19866-2023</t>
        </is>
      </c>
      <c r="B1054" s="1" t="n">
        <v>45053.94313657407</v>
      </c>
      <c r="C1054" s="1" t="n">
        <v>45908</v>
      </c>
      <c r="D1054" t="inlineStr">
        <is>
          <t>JÄMTLANDS LÄN</t>
        </is>
      </c>
      <c r="E1054" t="inlineStr">
        <is>
          <t>RAGUNDA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21853-2024</t>
        </is>
      </c>
      <c r="B1055" s="1" t="n">
        <v>45442.96296296296</v>
      </c>
      <c r="C1055" s="1" t="n">
        <v>45908</v>
      </c>
      <c r="D1055" t="inlineStr">
        <is>
          <t>JÄMTLANDS LÄN</t>
        </is>
      </c>
      <c r="E1055" t="inlineStr">
        <is>
          <t>RAGUNDA</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12522-2023</t>
        </is>
      </c>
      <c r="B1056" s="1" t="n">
        <v>45000</v>
      </c>
      <c r="C1056" s="1" t="n">
        <v>45908</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12523-2023</t>
        </is>
      </c>
      <c r="B1057" s="1" t="n">
        <v>45000</v>
      </c>
      <c r="C1057" s="1" t="n">
        <v>45908</v>
      </c>
      <c r="D1057" t="inlineStr">
        <is>
          <t>JÄMTLANDS LÄN</t>
        </is>
      </c>
      <c r="E1057" t="inlineStr">
        <is>
          <t>RAGUNDA</t>
        </is>
      </c>
      <c r="F1057" t="inlineStr">
        <is>
          <t>SCA</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8241-2024</t>
        </is>
      </c>
      <c r="B1058" s="1" t="n">
        <v>45351.98496527778</v>
      </c>
      <c r="C1058" s="1" t="n">
        <v>45908</v>
      </c>
      <c r="D1058" t="inlineStr">
        <is>
          <t>JÄMTLANDS LÄN</t>
        </is>
      </c>
      <c r="E1058" t="inlineStr">
        <is>
          <t>RAGUNDA</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24861-2023</t>
        </is>
      </c>
      <c r="B1059" s="1" t="n">
        <v>45078</v>
      </c>
      <c r="C1059" s="1" t="n">
        <v>45908</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40365-2024</t>
        </is>
      </c>
      <c r="B1060" s="1" t="n">
        <v>45555.38509259259</v>
      </c>
      <c r="C1060" s="1" t="n">
        <v>45908</v>
      </c>
      <c r="D1060" t="inlineStr">
        <is>
          <t>JÄMTLANDS LÄN</t>
        </is>
      </c>
      <c r="E1060" t="inlineStr">
        <is>
          <t>RAGUNDA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20770-2024</t>
        </is>
      </c>
      <c r="B1061" s="1" t="n">
        <v>45436.94613425926</v>
      </c>
      <c r="C1061" s="1" t="n">
        <v>45908</v>
      </c>
      <c r="D1061" t="inlineStr">
        <is>
          <t>JÄMTLANDS LÄN</t>
        </is>
      </c>
      <c r="E1061" t="inlineStr">
        <is>
          <t>RAGUNDA</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13905-2025</t>
        </is>
      </c>
      <c r="B1062" s="1" t="n">
        <v>45737.63574074074</v>
      </c>
      <c r="C1062" s="1" t="n">
        <v>45908</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13941-2025</t>
        </is>
      </c>
      <c r="B1063" s="1" t="n">
        <v>45737.69822916666</v>
      </c>
      <c r="C1063" s="1" t="n">
        <v>45908</v>
      </c>
      <c r="D1063" t="inlineStr">
        <is>
          <t>JÄMTLANDS LÄN</t>
        </is>
      </c>
      <c r="E1063" t="inlineStr">
        <is>
          <t>RAGUNDA</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7281-2024</t>
        </is>
      </c>
      <c r="B1064" s="1" t="n">
        <v>45344</v>
      </c>
      <c r="C1064" s="1" t="n">
        <v>45908</v>
      </c>
      <c r="D1064" t="inlineStr">
        <is>
          <t>JÄMTLANDS LÄN</t>
        </is>
      </c>
      <c r="E1064" t="inlineStr">
        <is>
          <t>RAGUNDA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7284-2024</t>
        </is>
      </c>
      <c r="B1065" s="1" t="n">
        <v>45344.92865740741</v>
      </c>
      <c r="C1065" s="1" t="n">
        <v>45908</v>
      </c>
      <c r="D1065" t="inlineStr">
        <is>
          <t>JÄMTLANDS LÄN</t>
        </is>
      </c>
      <c r="E1065" t="inlineStr">
        <is>
          <t>RAGUNDA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7285-2024</t>
        </is>
      </c>
      <c r="B1066" s="1" t="n">
        <v>45344.92873842592</v>
      </c>
      <c r="C1066" s="1" t="n">
        <v>45908</v>
      </c>
      <c r="D1066" t="inlineStr">
        <is>
          <t>JÄMTLANDS LÄN</t>
        </is>
      </c>
      <c r="E1066" t="inlineStr">
        <is>
          <t>RAGUNDA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50160-2023</t>
        </is>
      </c>
      <c r="B1067" s="1" t="n">
        <v>45208</v>
      </c>
      <c r="C1067" s="1" t="n">
        <v>45908</v>
      </c>
      <c r="D1067" t="inlineStr">
        <is>
          <t>JÄMTLANDS LÄN</t>
        </is>
      </c>
      <c r="E1067" t="inlineStr">
        <is>
          <t>RAGUNDA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53347-2023</t>
        </is>
      </c>
      <c r="B1068" s="1" t="n">
        <v>45223</v>
      </c>
      <c r="C1068" s="1" t="n">
        <v>45908</v>
      </c>
      <c r="D1068" t="inlineStr">
        <is>
          <t>JÄMTLANDS LÄN</t>
        </is>
      </c>
      <c r="E1068" t="inlineStr">
        <is>
          <t>RAGUNDA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51245-2024</t>
        </is>
      </c>
      <c r="B1069" s="1" t="n">
        <v>45603.67850694444</v>
      </c>
      <c r="C1069" s="1" t="n">
        <v>45908</v>
      </c>
      <c r="D1069" t="inlineStr">
        <is>
          <t>JÄMTLANDS LÄN</t>
        </is>
      </c>
      <c r="E1069" t="inlineStr">
        <is>
          <t>RAGUNDA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60838-2023</t>
        </is>
      </c>
      <c r="B1070" s="1" t="n">
        <v>45260.92561342593</v>
      </c>
      <c r="C1070" s="1" t="n">
        <v>45908</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33432-2023</t>
        </is>
      </c>
      <c r="B1071" s="1" t="n">
        <v>45128</v>
      </c>
      <c r="C1071" s="1" t="n">
        <v>45908</v>
      </c>
      <c r="D1071" t="inlineStr">
        <is>
          <t>JÄMTLANDS LÄN</t>
        </is>
      </c>
      <c r="E1071" t="inlineStr">
        <is>
          <t>RAGUNDA</t>
        </is>
      </c>
      <c r="F1071" t="inlineStr">
        <is>
          <t>SCA</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9548-2025</t>
        </is>
      </c>
      <c r="B1072" s="1" t="n">
        <v>45715.59405092592</v>
      </c>
      <c r="C1072" s="1" t="n">
        <v>45908</v>
      </c>
      <c r="D1072" t="inlineStr">
        <is>
          <t>JÄMTLANDS LÄN</t>
        </is>
      </c>
      <c r="E1072" t="inlineStr">
        <is>
          <t>RAGUNDA</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53989-2024</t>
        </is>
      </c>
      <c r="B1073" s="1" t="n">
        <v>45616.34479166667</v>
      </c>
      <c r="C1073" s="1" t="n">
        <v>45908</v>
      </c>
      <c r="D1073" t="inlineStr">
        <is>
          <t>JÄMTLANDS LÄN</t>
        </is>
      </c>
      <c r="E1073" t="inlineStr">
        <is>
          <t>RAGUNDA</t>
        </is>
      </c>
      <c r="F1073" t="inlineStr">
        <is>
          <t>SCA</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53955-2022</t>
        </is>
      </c>
      <c r="B1074" s="1" t="n">
        <v>44880.95741898148</v>
      </c>
      <c r="C1074" s="1" t="n">
        <v>45908</v>
      </c>
      <c r="D1074" t="inlineStr">
        <is>
          <t>JÄMTLANDS LÄN</t>
        </is>
      </c>
      <c r="E1074" t="inlineStr">
        <is>
          <t>RAGUNDA</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15581-2024</t>
        </is>
      </c>
      <c r="B1075" s="1" t="n">
        <v>45401</v>
      </c>
      <c r="C1075" s="1" t="n">
        <v>45908</v>
      </c>
      <c r="D1075" t="inlineStr">
        <is>
          <t>JÄMTLANDS LÄN</t>
        </is>
      </c>
      <c r="E1075" t="inlineStr">
        <is>
          <t>RAGUNDA</t>
        </is>
      </c>
      <c r="F1075" t="inlineStr">
        <is>
          <t>Kommuner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15611-2024</t>
        </is>
      </c>
      <c r="B1076" s="1" t="n">
        <v>45401</v>
      </c>
      <c r="C1076" s="1" t="n">
        <v>45908</v>
      </c>
      <c r="D1076" t="inlineStr">
        <is>
          <t>JÄMTLANDS LÄN</t>
        </is>
      </c>
      <c r="E1076" t="inlineStr">
        <is>
          <t>RAGUNDA</t>
        </is>
      </c>
      <c r="F1076" t="inlineStr">
        <is>
          <t>SCA</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23528-2024</t>
        </is>
      </c>
      <c r="B1077" s="1" t="n">
        <v>45453.95016203704</v>
      </c>
      <c r="C1077" s="1" t="n">
        <v>45908</v>
      </c>
      <c r="D1077" t="inlineStr">
        <is>
          <t>JÄMTLANDS LÄN</t>
        </is>
      </c>
      <c r="E1077" t="inlineStr">
        <is>
          <t>RAGUNDA</t>
        </is>
      </c>
      <c r="F1077" t="inlineStr">
        <is>
          <t>SCA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4594-2024</t>
        </is>
      </c>
      <c r="B1078" s="1" t="n">
        <v>45327.94459490741</v>
      </c>
      <c r="C1078" s="1" t="n">
        <v>45908</v>
      </c>
      <c r="D1078" t="inlineStr">
        <is>
          <t>JÄMTLANDS LÄN</t>
        </is>
      </c>
      <c r="E1078" t="inlineStr">
        <is>
          <t>RAGUNDA</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30824-2023</t>
        </is>
      </c>
      <c r="B1079" s="1" t="n">
        <v>45112.94303240741</v>
      </c>
      <c r="C1079" s="1" t="n">
        <v>45908</v>
      </c>
      <c r="D1079" t="inlineStr">
        <is>
          <t>JÄMTLANDS LÄN</t>
        </is>
      </c>
      <c r="E1079" t="inlineStr">
        <is>
          <t>RAGUNDA</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41772-2024</t>
        </is>
      </c>
      <c r="B1080" s="1" t="n">
        <v>45561.34663194444</v>
      </c>
      <c r="C1080" s="1" t="n">
        <v>45908</v>
      </c>
      <c r="D1080" t="inlineStr">
        <is>
          <t>JÄMTLANDS LÄN</t>
        </is>
      </c>
      <c r="E1080" t="inlineStr">
        <is>
          <t>RAGUNDA</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10972-2022</t>
        </is>
      </c>
      <c r="B1081" s="1" t="n">
        <v>44628</v>
      </c>
      <c r="C1081" s="1" t="n">
        <v>45908</v>
      </c>
      <c r="D1081" t="inlineStr">
        <is>
          <t>JÄMTLANDS LÄN</t>
        </is>
      </c>
      <c r="E1081" t="inlineStr">
        <is>
          <t>RAGUNDA</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11834-2023</t>
        </is>
      </c>
      <c r="B1082" s="1" t="n">
        <v>44994.94296296296</v>
      </c>
      <c r="C1082" s="1" t="n">
        <v>45908</v>
      </c>
      <c r="D1082" t="inlineStr">
        <is>
          <t>JÄMTLANDS LÄN</t>
        </is>
      </c>
      <c r="E1082" t="inlineStr">
        <is>
          <t>RAGUNDA</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17559-2023</t>
        </is>
      </c>
      <c r="B1083" s="1" t="n">
        <v>45034</v>
      </c>
      <c r="C1083" s="1" t="n">
        <v>45908</v>
      </c>
      <c r="D1083" t="inlineStr">
        <is>
          <t>JÄMTLANDS LÄN</t>
        </is>
      </c>
      <c r="E1083" t="inlineStr">
        <is>
          <t>RAGUNDA</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38312-2024</t>
        </is>
      </c>
      <c r="B1084" s="1" t="n">
        <v>45545.64957175926</v>
      </c>
      <c r="C1084" s="1" t="n">
        <v>45908</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32832-2021</t>
        </is>
      </c>
      <c r="B1085" s="1" t="n">
        <v>44375</v>
      </c>
      <c r="C1085" s="1" t="n">
        <v>45908</v>
      </c>
      <c r="D1085" t="inlineStr">
        <is>
          <t>JÄMTLANDS LÄN</t>
        </is>
      </c>
      <c r="E1085" t="inlineStr">
        <is>
          <t>RAGUNDA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22011-2023</t>
        </is>
      </c>
      <c r="B1086" s="1" t="n">
        <v>45068</v>
      </c>
      <c r="C1086" s="1" t="n">
        <v>45908</v>
      </c>
      <c r="D1086" t="inlineStr">
        <is>
          <t>JÄMTLANDS LÄN</t>
        </is>
      </c>
      <c r="E1086" t="inlineStr">
        <is>
          <t>RAGUNDA</t>
        </is>
      </c>
      <c r="F1086" t="inlineStr">
        <is>
          <t>SCA</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14158-2024</t>
        </is>
      </c>
      <c r="B1087" s="1" t="n">
        <v>45392</v>
      </c>
      <c r="C1087" s="1" t="n">
        <v>45908</v>
      </c>
      <c r="D1087" t="inlineStr">
        <is>
          <t>JÄMTLANDS LÄN</t>
        </is>
      </c>
      <c r="E1087" t="inlineStr">
        <is>
          <t>RAGUNDA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42508-2023</t>
        </is>
      </c>
      <c r="B1088" s="1" t="n">
        <v>45180.95907407408</v>
      </c>
      <c r="C1088" s="1" t="n">
        <v>45908</v>
      </c>
      <c r="D1088" t="inlineStr">
        <is>
          <t>JÄMTLANDS LÄN</t>
        </is>
      </c>
      <c r="E1088" t="inlineStr">
        <is>
          <t>RAGUNDA</t>
        </is>
      </c>
      <c r="F1088" t="inlineStr">
        <is>
          <t>SCA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35274-2023</t>
        </is>
      </c>
      <c r="B1089" s="1" t="n">
        <v>45145</v>
      </c>
      <c r="C1089" s="1" t="n">
        <v>45908</v>
      </c>
      <c r="D1089" t="inlineStr">
        <is>
          <t>JÄMTLANDS LÄN</t>
        </is>
      </c>
      <c r="E1089" t="inlineStr">
        <is>
          <t>RAGUNDA</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12983-2025</t>
        </is>
      </c>
      <c r="B1090" s="1" t="n">
        <v>45734.4633912037</v>
      </c>
      <c r="C1090" s="1" t="n">
        <v>45908</v>
      </c>
      <c r="D1090" t="inlineStr">
        <is>
          <t>JÄMTLANDS LÄN</t>
        </is>
      </c>
      <c r="E1090" t="inlineStr">
        <is>
          <t>RAGUNDA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17598-2021</t>
        </is>
      </c>
      <c r="B1091" s="1" t="n">
        <v>44299</v>
      </c>
      <c r="C1091" s="1" t="n">
        <v>45908</v>
      </c>
      <c r="D1091" t="inlineStr">
        <is>
          <t>JÄMTLANDS LÄN</t>
        </is>
      </c>
      <c r="E1091" t="inlineStr">
        <is>
          <t>RAGUNDA</t>
        </is>
      </c>
      <c r="G1091" t="n">
        <v>4.6</v>
      </c>
      <c r="H1091" t="n">
        <v>0</v>
      </c>
      <c r="I1091" t="n">
        <v>0</v>
      </c>
      <c r="J1091" t="n">
        <v>0</v>
      </c>
      <c r="K1091" t="n">
        <v>0</v>
      </c>
      <c r="L1091" t="n">
        <v>0</v>
      </c>
      <c r="M1091" t="n">
        <v>0</v>
      </c>
      <c r="N1091" t="n">
        <v>0</v>
      </c>
      <c r="O1091" t="n">
        <v>0</v>
      </c>
      <c r="P1091" t="n">
        <v>0</v>
      </c>
      <c r="Q1091" t="n">
        <v>0</v>
      </c>
      <c r="R1091" s="2" t="inlineStr"/>
    </row>
    <row r="1092">
      <c r="A1092" t="inlineStr">
        <is>
          <t>A 3938-2024</t>
        </is>
      </c>
      <c r="B1092" s="1" t="n">
        <v>45322</v>
      </c>
      <c r="C1092" s="1" t="n">
        <v>45908</v>
      </c>
      <c r="D1092" t="inlineStr">
        <is>
          <t>JÄMTLANDS LÄN</t>
        </is>
      </c>
      <c r="E1092" t="inlineStr">
        <is>
          <t>RAGUNDA</t>
        </is>
      </c>
      <c r="G1092" t="n">
        <v>3.2</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2025-09-08T09:01:44Z</dcterms:created>
  <dcterms:modified xmlns:dcterms="http://purl.org/dc/terms/" xmlns:xsi="http://www.w3.org/2001/XMLSchema-instance" xsi:type="dcterms:W3CDTF">2025-09-08T09:01:45Z</dcterms:modified>
</cp:coreProperties>
</file>