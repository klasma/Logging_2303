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45887</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45887</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45887</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45887</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45887</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45887</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45887</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45887</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45887</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45887</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45887</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45887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45887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45887</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45887</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45887</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45887</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45887</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45887</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45887</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39062-2020</t>
        </is>
      </c>
      <c r="B26" s="1" t="n">
        <v>44062</v>
      </c>
      <c r="C26" s="1" t="n">
        <v>45887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43107-2023</t>
        </is>
      </c>
      <c r="B28" s="1" t="n">
        <v>45182</v>
      </c>
      <c r="C28" s="1" t="n">
        <v>45887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45887</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25632-2025</t>
        </is>
      </c>
      <c r="B30" s="1" t="n">
        <v>45803.59474537037</v>
      </c>
      <c r="C30" s="1" t="n">
        <v>45887</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31839-2022</t>
        </is>
      </c>
      <c r="B31" s="1" t="n">
        <v>44776</v>
      </c>
      <c r="C31" s="1" t="n">
        <v>45887</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22986-2025</t>
        </is>
      </c>
      <c r="B32" s="1" t="n">
        <v>45790.57349537037</v>
      </c>
      <c r="C32" s="1" t="n">
        <v>45887</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45887</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9347-2024</t>
        </is>
      </c>
      <c r="B34" s="1" t="n">
        <v>45358.99375</v>
      </c>
      <c r="C34" s="1" t="n">
        <v>45887</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36943-2022</t>
        </is>
      </c>
      <c r="B35" s="1" t="n">
        <v>44805</v>
      </c>
      <c r="C35" s="1" t="n">
        <v>45887</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45887</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4591-2024</t>
        </is>
      </c>
      <c r="B37" s="1" t="n">
        <v>45327</v>
      </c>
      <c r="C37" s="1" t="n">
        <v>45887</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55894-2022</t>
        </is>
      </c>
      <c r="B38" s="1" t="n">
        <v>44888</v>
      </c>
      <c r="C38" s="1" t="n">
        <v>45887</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21244-2025</t>
        </is>
      </c>
      <c r="B39" s="1" t="n">
        <v>45779.57335648148</v>
      </c>
      <c r="C39" s="1" t="n">
        <v>45887</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41412-2024</t>
        </is>
      </c>
      <c r="B40" s="1" t="n">
        <v>45560.34484953704</v>
      </c>
      <c r="C40" s="1" t="n">
        <v>45887</v>
      </c>
      <c r="D40" t="inlineStr">
        <is>
          <t>JÄMTLANDS LÄN</t>
        </is>
      </c>
      <c r="E40" t="inlineStr">
        <is>
          <t>RAGUNDA</t>
        </is>
      </c>
      <c r="F40" t="inlineStr">
        <is>
          <t>SCA</t>
        </is>
      </c>
      <c r="G40" t="n">
        <v>1.8</v>
      </c>
      <c r="H40" t="n">
        <v>1</v>
      </c>
      <c r="I40" t="n">
        <v>5</v>
      </c>
      <c r="J40" t="n">
        <v>4</v>
      </c>
      <c r="K40" t="n">
        <v>1</v>
      </c>
      <c r="L40" t="n">
        <v>0</v>
      </c>
      <c r="M40" t="n">
        <v>0</v>
      </c>
      <c r="N40" t="n">
        <v>0</v>
      </c>
      <c r="O40" t="n">
        <v>5</v>
      </c>
      <c r="P40" t="n">
        <v>1</v>
      </c>
      <c r="Q40" t="n">
        <v>10</v>
      </c>
      <c r="R40" s="2" t="inlineStr">
        <is>
          <t>Knärot
Garnlav
Lunglav
Rosenticka
Ullticka
Bårdlav
Korallblylav
Luddlav
Stuplav
Vedticka</t>
        </is>
      </c>
      <c r="S40">
        <f>HYPERLINK("https://klasma.github.io/Logging_2303/artfynd/A 41412-2024 artfynd.xlsx", "A 41412-2024")</f>
        <v/>
      </c>
      <c r="T40">
        <f>HYPERLINK("https://klasma.github.io/Logging_2303/kartor/A 41412-2024 karta.png", "A 41412-2024")</f>
        <v/>
      </c>
      <c r="U40">
        <f>HYPERLINK("https://klasma.github.io/Logging_2303/knärot/A 41412-2024 karta knärot.png", "A 41412-2024")</f>
        <v/>
      </c>
      <c r="V40">
        <f>HYPERLINK("https://klasma.github.io/Logging_2303/klagomål/A 41412-2024 FSC-klagomål.docx", "A 41412-2024")</f>
        <v/>
      </c>
      <c r="W40">
        <f>HYPERLINK("https://klasma.github.io/Logging_2303/klagomålsmail/A 41412-2024 FSC-klagomål mail.docx", "A 41412-2024")</f>
        <v/>
      </c>
      <c r="X40">
        <f>HYPERLINK("https://klasma.github.io/Logging_2303/tillsyn/A 41412-2024 tillsynsbegäran.docx", "A 41412-2024")</f>
        <v/>
      </c>
      <c r="Y40">
        <f>HYPERLINK("https://klasma.github.io/Logging_2303/tillsynsmail/A 41412-2024 tillsynsbegäran mail.docx", "A 41412-2024")</f>
        <v/>
      </c>
    </row>
    <row r="41" ht="15" customHeight="1">
      <c r="A41" t="inlineStr">
        <is>
          <t>A 12372-2024</t>
        </is>
      </c>
      <c r="B41" s="1" t="n">
        <v>45378</v>
      </c>
      <c r="C41" s="1" t="n">
        <v>45887</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45887</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45887</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45887</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45887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45887</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30876-2025</t>
        </is>
      </c>
      <c r="B47" s="1" t="n">
        <v>45832.34461805555</v>
      </c>
      <c r="C47" s="1" t="n">
        <v>45887</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19278-2025</t>
        </is>
      </c>
      <c r="B48" s="1" t="n">
        <v>45769.53180555555</v>
      </c>
      <c r="C48" s="1" t="n">
        <v>45887</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33822-2023</t>
        </is>
      </c>
      <c r="B49" s="1" t="n">
        <v>45121</v>
      </c>
      <c r="C49" s="1" t="n">
        <v>45887</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62948-2021</t>
        </is>
      </c>
      <c r="B50" s="1" t="n">
        <v>44504</v>
      </c>
      <c r="C50" s="1" t="n">
        <v>45887</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45008-2023</t>
        </is>
      </c>
      <c r="B51" s="1" t="n">
        <v>45190.96092592592</v>
      </c>
      <c r="C51" s="1" t="n">
        <v>45887</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56215-2020</t>
        </is>
      </c>
      <c r="B52" s="1" t="n">
        <v>44133</v>
      </c>
      <c r="C52" s="1" t="n">
        <v>45887</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55465-2024</t>
        </is>
      </c>
      <c r="B53" s="1" t="n">
        <v>45622</v>
      </c>
      <c r="C53" s="1" t="n">
        <v>45887</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45887</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3634-2024</t>
        </is>
      </c>
      <c r="B55" s="1" t="n">
        <v>45320</v>
      </c>
      <c r="C55" s="1" t="n">
        <v>45887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45887</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45887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10982-2025</t>
        </is>
      </c>
      <c r="B58" s="1" t="n">
        <v>45723.40688657408</v>
      </c>
      <c r="C58" s="1" t="n">
        <v>45887</v>
      </c>
      <c r="D58" t="inlineStr">
        <is>
          <t>JÄMTLANDS LÄN</t>
        </is>
      </c>
      <c r="E58" t="inlineStr">
        <is>
          <t>RAGUNDA</t>
        </is>
      </c>
      <c r="F58" t="inlineStr">
        <is>
          <t>SCA</t>
        </is>
      </c>
      <c r="G58" t="n">
        <v>6.4</v>
      </c>
      <c r="H58" t="n">
        <v>0</v>
      </c>
      <c r="I58" t="n">
        <v>6</v>
      </c>
      <c r="J58" t="n">
        <v>2</v>
      </c>
      <c r="K58" t="n">
        <v>0</v>
      </c>
      <c r="L58" t="n">
        <v>0</v>
      </c>
      <c r="M58" t="n">
        <v>0</v>
      </c>
      <c r="N58" t="n">
        <v>0</v>
      </c>
      <c r="O58" t="n">
        <v>2</v>
      </c>
      <c r="P58" t="n">
        <v>0</v>
      </c>
      <c r="Q58" t="n">
        <v>8</v>
      </c>
      <c r="R58" s="2" t="inlineStr">
        <is>
          <t>Orange taggsvamp
Skrovlig taggsvamp
Barrfagerspindling
Bårdlav
Dropptaggsvamp
Skarp dropptaggsvamp
Stuplav
Svart trolldruva</t>
        </is>
      </c>
      <c r="S58">
        <f>HYPERLINK("https://klasma.github.io/Logging_2303/artfynd/A 10982-2025 artfynd.xlsx", "A 10982-2025")</f>
        <v/>
      </c>
      <c r="T58">
        <f>HYPERLINK("https://klasma.github.io/Logging_2303/kartor/A 10982-2025 karta.png", "A 10982-2025")</f>
        <v/>
      </c>
      <c r="V58">
        <f>HYPERLINK("https://klasma.github.io/Logging_2303/klagomål/A 10982-2025 FSC-klagomål.docx", "A 10982-2025")</f>
        <v/>
      </c>
      <c r="W58">
        <f>HYPERLINK("https://klasma.github.io/Logging_2303/klagomålsmail/A 10982-2025 FSC-klagomål mail.docx", "A 10982-2025")</f>
        <v/>
      </c>
      <c r="X58">
        <f>HYPERLINK("https://klasma.github.io/Logging_2303/tillsyn/A 10982-2025 tillsynsbegäran.docx", "A 10982-2025")</f>
        <v/>
      </c>
      <c r="Y58">
        <f>HYPERLINK("https://klasma.github.io/Logging_2303/tillsynsmail/A 10982-2025 tillsynsbegäran mail.docx", "A 10982-2025")</f>
        <v/>
      </c>
    </row>
    <row r="59" ht="15" customHeight="1">
      <c r="A59" t="inlineStr">
        <is>
          <t>A 56211-2020</t>
        </is>
      </c>
      <c r="B59" s="1" t="n">
        <v>44133</v>
      </c>
      <c r="C59" s="1" t="n">
        <v>45887</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45887</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45887</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41929-2023</t>
        </is>
      </c>
      <c r="B62" s="1" t="n">
        <v>45176</v>
      </c>
      <c r="C62" s="1" t="n">
        <v>45887</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26750-2025</t>
        </is>
      </c>
      <c r="B63" s="1" t="n">
        <v>45810.55061342593</v>
      </c>
      <c r="C63" s="1" t="n">
        <v>45887</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45887</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22466-2025</t>
        </is>
      </c>
      <c r="B65" s="1" t="n">
        <v>45786.61517361111</v>
      </c>
      <c r="C65" s="1" t="n">
        <v>45887</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61386-2022</t>
        </is>
      </c>
      <c r="B66" s="1" t="n">
        <v>44915</v>
      </c>
      <c r="C66" s="1" t="n">
        <v>45887</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45887</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20397-2024</t>
        </is>
      </c>
      <c r="B68" s="1" t="n">
        <v>45435.54734953704</v>
      </c>
      <c r="C68" s="1" t="n">
        <v>45887</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41719-2023</t>
        </is>
      </c>
      <c r="B69" s="1" t="n">
        <v>45176</v>
      </c>
      <c r="C69" s="1" t="n">
        <v>45887</v>
      </c>
      <c r="D69" t="inlineStr">
        <is>
          <t>JÄMTLANDS LÄN</t>
        </is>
      </c>
      <c r="E69" t="inlineStr">
        <is>
          <t>RAGUNDA</t>
        </is>
      </c>
      <c r="G69" t="n">
        <v>14.5</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33806-2023</t>
        </is>
      </c>
      <c r="B70" s="1" t="n">
        <v>45121</v>
      </c>
      <c r="C70" s="1" t="n">
        <v>45887</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24169-2021</t>
        </is>
      </c>
      <c r="B71" s="1" t="n">
        <v>44336</v>
      </c>
      <c r="C71" s="1" t="n">
        <v>45887</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37237-2023</t>
        </is>
      </c>
      <c r="B72" s="1" t="n">
        <v>45155</v>
      </c>
      <c r="C72" s="1" t="n">
        <v>45887</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15977-2024</t>
        </is>
      </c>
      <c r="B73" s="1" t="n">
        <v>45405.57392361111</v>
      </c>
      <c r="C73" s="1" t="n">
        <v>45887</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11829-2023</t>
        </is>
      </c>
      <c r="B74" s="1" t="n">
        <v>44994</v>
      </c>
      <c r="C74" s="1" t="n">
        <v>45887</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50987-2020</t>
        </is>
      </c>
      <c r="B75" s="1" t="n">
        <v>44111</v>
      </c>
      <c r="C75" s="1" t="n">
        <v>45887</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45887</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34317-2025</t>
        </is>
      </c>
      <c r="B77" s="1" t="n">
        <v>45846.41361111111</v>
      </c>
      <c r="C77" s="1" t="n">
        <v>45887</v>
      </c>
      <c r="D77" t="inlineStr">
        <is>
          <t>JÄMTLANDS LÄN</t>
        </is>
      </c>
      <c r="E77" t="inlineStr">
        <is>
          <t>RAGUNDA</t>
        </is>
      </c>
      <c r="G77" t="n">
        <v>8.300000000000001</v>
      </c>
      <c r="H77" t="n">
        <v>2</v>
      </c>
      <c r="I77" t="n">
        <v>1</v>
      </c>
      <c r="J77" t="n">
        <v>4</v>
      </c>
      <c r="K77" t="n">
        <v>1</v>
      </c>
      <c r="L77" t="n">
        <v>0</v>
      </c>
      <c r="M77" t="n">
        <v>0</v>
      </c>
      <c r="N77" t="n">
        <v>0</v>
      </c>
      <c r="O77" t="n">
        <v>5</v>
      </c>
      <c r="P77" t="n">
        <v>1</v>
      </c>
      <c r="Q77" t="n">
        <v>6</v>
      </c>
      <c r="R77" s="2" t="inlineStr">
        <is>
          <t>Knärot
Garnlav
Lunglav
Nordtagging
Talltita
Skinnlav</t>
        </is>
      </c>
      <c r="S77">
        <f>HYPERLINK("https://klasma.github.io/Logging_2303/artfynd/A 34317-2025 artfynd.xlsx", "A 34317-2025")</f>
        <v/>
      </c>
      <c r="T77">
        <f>HYPERLINK("https://klasma.github.io/Logging_2303/kartor/A 34317-2025 karta.png", "A 34317-2025")</f>
        <v/>
      </c>
      <c r="U77">
        <f>HYPERLINK("https://klasma.github.io/Logging_2303/knärot/A 34317-2025 karta knärot.png", "A 34317-2025")</f>
        <v/>
      </c>
      <c r="V77">
        <f>HYPERLINK("https://klasma.github.io/Logging_2303/klagomål/A 34317-2025 FSC-klagomål.docx", "A 34317-2025")</f>
        <v/>
      </c>
      <c r="W77">
        <f>HYPERLINK("https://klasma.github.io/Logging_2303/klagomålsmail/A 34317-2025 FSC-klagomål mail.docx", "A 34317-2025")</f>
        <v/>
      </c>
      <c r="X77">
        <f>HYPERLINK("https://klasma.github.io/Logging_2303/tillsyn/A 34317-2025 tillsynsbegäran.docx", "A 34317-2025")</f>
        <v/>
      </c>
      <c r="Y77">
        <f>HYPERLINK("https://klasma.github.io/Logging_2303/tillsynsmail/A 34317-2025 tillsynsbegäran mail.docx", "A 34317-2025")</f>
        <v/>
      </c>
      <c r="Z77">
        <f>HYPERLINK("https://klasma.github.io/Logging_2303/fåglar/A 34317-2025 prioriterade fågelarter.docx", "A 34317-2025")</f>
        <v/>
      </c>
    </row>
    <row r="78" ht="15" customHeight="1">
      <c r="A78" t="inlineStr">
        <is>
          <t>A 27322-2024</t>
        </is>
      </c>
      <c r="B78" s="1" t="n">
        <v>45471.94783564815</v>
      </c>
      <c r="C78" s="1" t="n">
        <v>45887</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53021-2022</t>
        </is>
      </c>
      <c r="B79" s="1" t="n">
        <v>44875</v>
      </c>
      <c r="C79" s="1" t="n">
        <v>45887</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45887</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36276-2025</t>
        </is>
      </c>
      <c r="B81" s="1" t="n">
        <v>45867.63619212963</v>
      </c>
      <c r="C81" s="1" t="n">
        <v>45887</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30884-2025</t>
        </is>
      </c>
      <c r="B82" s="1" t="n">
        <v>45832.34564814815</v>
      </c>
      <c r="C82" s="1" t="n">
        <v>45887</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45887</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49239-2024</t>
        </is>
      </c>
      <c r="B84" s="1" t="n">
        <v>45595.44886574074</v>
      </c>
      <c r="C84" s="1" t="n">
        <v>45887</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30637-2024</t>
        </is>
      </c>
      <c r="B85" s="1" t="n">
        <v>45495.56244212963</v>
      </c>
      <c r="C85" s="1" t="n">
        <v>45887</v>
      </c>
      <c r="D85" t="inlineStr">
        <is>
          <t>JÄMTLANDS LÄN</t>
        </is>
      </c>
      <c r="E85" t="inlineStr">
        <is>
          <t>RAGUNDA</t>
        </is>
      </c>
      <c r="G85" t="n">
        <v>4.1</v>
      </c>
      <c r="H85" t="n">
        <v>5</v>
      </c>
      <c r="I85" t="n">
        <v>0</v>
      </c>
      <c r="J85" t="n">
        <v>4</v>
      </c>
      <c r="K85" t="n">
        <v>1</v>
      </c>
      <c r="L85" t="n">
        <v>0</v>
      </c>
      <c r="M85" t="n">
        <v>0</v>
      </c>
      <c r="N85" t="n">
        <v>0</v>
      </c>
      <c r="O85" t="n">
        <v>5</v>
      </c>
      <c r="P85" t="n">
        <v>1</v>
      </c>
      <c r="Q85" t="n">
        <v>6</v>
      </c>
      <c r="R85" s="2" t="inlineStr">
        <is>
          <t>Knärot
Lunglav
Spillkråka
Talltita
Tretåig hackspett
Vanlig groda</t>
        </is>
      </c>
      <c r="S85">
        <f>HYPERLINK("https://klasma.github.io/Logging_2303/artfynd/A 30637-2024 artfynd.xlsx", "A 30637-2024")</f>
        <v/>
      </c>
      <c r="T85">
        <f>HYPERLINK("https://klasma.github.io/Logging_2303/kartor/A 30637-2024 karta.png", "A 30637-2024")</f>
        <v/>
      </c>
      <c r="U85">
        <f>HYPERLINK("https://klasma.github.io/Logging_2303/knärot/A 30637-2024 karta knärot.png", "A 30637-2024")</f>
        <v/>
      </c>
      <c r="V85">
        <f>HYPERLINK("https://klasma.github.io/Logging_2303/klagomål/A 30637-2024 FSC-klagomål.docx", "A 30637-2024")</f>
        <v/>
      </c>
      <c r="W85">
        <f>HYPERLINK("https://klasma.github.io/Logging_2303/klagomålsmail/A 30637-2024 FSC-klagomål mail.docx", "A 30637-2024")</f>
        <v/>
      </c>
      <c r="X85">
        <f>HYPERLINK("https://klasma.github.io/Logging_2303/tillsyn/A 30637-2024 tillsynsbegäran.docx", "A 30637-2024")</f>
        <v/>
      </c>
      <c r="Y85">
        <f>HYPERLINK("https://klasma.github.io/Logging_2303/tillsynsmail/A 30637-2024 tillsynsbegäran mail.docx", "A 30637-2024")</f>
        <v/>
      </c>
      <c r="Z85">
        <f>HYPERLINK("https://klasma.github.io/Logging_2303/fåglar/A 30637-2024 prioriterade fågelarter.docx", "A 30637-2024")</f>
        <v/>
      </c>
    </row>
    <row r="86" ht="15" customHeight="1">
      <c r="A86" t="inlineStr">
        <is>
          <t>A 11828-2023</t>
        </is>
      </c>
      <c r="B86" s="1" t="n">
        <v>44994</v>
      </c>
      <c r="C86" s="1" t="n">
        <v>45887</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933-2023</t>
        </is>
      </c>
      <c r="B87" s="1" t="n">
        <v>44932</v>
      </c>
      <c r="C87" s="1" t="n">
        <v>45887</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26326-2024</t>
        </is>
      </c>
      <c r="B88" s="1" t="n">
        <v>45468.97528935185</v>
      </c>
      <c r="C88" s="1" t="n">
        <v>45887</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24431-2024</t>
        </is>
      </c>
      <c r="B89" s="1" t="n">
        <v>45457</v>
      </c>
      <c r="C89" s="1" t="n">
        <v>45887</v>
      </c>
      <c r="D89" t="inlineStr">
        <is>
          <t>JÄMTLANDS LÄN</t>
        </is>
      </c>
      <c r="E89" t="inlineStr">
        <is>
          <t>RAGUNDA</t>
        </is>
      </c>
      <c r="F89" t="inlineStr">
        <is>
          <t>SCA</t>
        </is>
      </c>
      <c r="G89" t="n">
        <v>3.6</v>
      </c>
      <c r="H89" t="n">
        <v>1</v>
      </c>
      <c r="I89" t="n">
        <v>0</v>
      </c>
      <c r="J89" t="n">
        <v>6</v>
      </c>
      <c r="K89" t="n">
        <v>0</v>
      </c>
      <c r="L89" t="n">
        <v>0</v>
      </c>
      <c r="M89" t="n">
        <v>0</v>
      </c>
      <c r="N89" t="n">
        <v>0</v>
      </c>
      <c r="O89" t="n">
        <v>6</v>
      </c>
      <c r="P89" t="n">
        <v>0</v>
      </c>
      <c r="Q89" t="n">
        <v>6</v>
      </c>
      <c r="R89" s="2" t="inlineStr">
        <is>
          <t>Doftskinn
Gammelgransskål
Rosenticka
Tretåig hackspett
Ullticka
Vitgrynig nållav</t>
        </is>
      </c>
      <c r="S89">
        <f>HYPERLINK("https://klasma.github.io/Logging_2303/artfynd/A 24431-2024 artfynd.xlsx", "A 24431-2024")</f>
        <v/>
      </c>
      <c r="T89">
        <f>HYPERLINK("https://klasma.github.io/Logging_2303/kartor/A 24431-2024 karta.png", "A 24431-2024")</f>
        <v/>
      </c>
      <c r="V89">
        <f>HYPERLINK("https://klasma.github.io/Logging_2303/klagomål/A 24431-2024 FSC-klagomål.docx", "A 24431-2024")</f>
        <v/>
      </c>
      <c r="W89">
        <f>HYPERLINK("https://klasma.github.io/Logging_2303/klagomålsmail/A 24431-2024 FSC-klagomål mail.docx", "A 24431-2024")</f>
        <v/>
      </c>
      <c r="X89">
        <f>HYPERLINK("https://klasma.github.io/Logging_2303/tillsyn/A 24431-2024 tillsynsbegäran.docx", "A 24431-2024")</f>
        <v/>
      </c>
      <c r="Y89">
        <f>HYPERLINK("https://klasma.github.io/Logging_2303/tillsynsmail/A 24431-2024 tillsynsbegäran mail.docx", "A 24431-2024")</f>
        <v/>
      </c>
      <c r="Z89">
        <f>HYPERLINK("https://klasma.github.io/Logging_2303/fåglar/A 24431-2024 prioriterade fågelarter.docx", "A 24431-2024")</f>
        <v/>
      </c>
    </row>
    <row r="90" ht="15" customHeight="1">
      <c r="A90" t="inlineStr">
        <is>
          <t>A 12040-2025</t>
        </is>
      </c>
      <c r="B90" s="1" t="n">
        <v>45728.65684027778</v>
      </c>
      <c r="C90" s="1" t="n">
        <v>45887</v>
      </c>
      <c r="D90" t="inlineStr">
        <is>
          <t>JÄMTLANDS LÄN</t>
        </is>
      </c>
      <c r="E90" t="inlineStr">
        <is>
          <t>RAGUNDA</t>
        </is>
      </c>
      <c r="F90" t="inlineStr">
        <is>
          <t>SCA</t>
        </is>
      </c>
      <c r="G90" t="n">
        <v>28.5</v>
      </c>
      <c r="H90" t="n">
        <v>0</v>
      </c>
      <c r="I90" t="n">
        <v>2</v>
      </c>
      <c r="J90" t="n">
        <v>4</v>
      </c>
      <c r="K90" t="n">
        <v>0</v>
      </c>
      <c r="L90" t="n">
        <v>0</v>
      </c>
      <c r="M90" t="n">
        <v>0</v>
      </c>
      <c r="N90" t="n">
        <v>0</v>
      </c>
      <c r="O90" t="n">
        <v>4</v>
      </c>
      <c r="P90" t="n">
        <v>0</v>
      </c>
      <c r="Q90" t="n">
        <v>6</v>
      </c>
      <c r="R90" s="2" t="inlineStr">
        <is>
          <t>Blå taggsvamp
Skrovlig taggsvamp
Tallriska
Äggvaxskivling
Dropptaggsvamp
Skarp dropptaggsvamp</t>
        </is>
      </c>
      <c r="S90">
        <f>HYPERLINK("https://klasma.github.io/Logging_2303/artfynd/A 12040-2025 artfynd.xlsx", "A 12040-2025")</f>
        <v/>
      </c>
      <c r="T90">
        <f>HYPERLINK("https://klasma.github.io/Logging_2303/kartor/A 12040-2025 karta.png", "A 12040-2025")</f>
        <v/>
      </c>
      <c r="V90">
        <f>HYPERLINK("https://klasma.github.io/Logging_2303/klagomål/A 12040-2025 FSC-klagomål.docx", "A 12040-2025")</f>
        <v/>
      </c>
      <c r="W90">
        <f>HYPERLINK("https://klasma.github.io/Logging_2303/klagomålsmail/A 12040-2025 FSC-klagomål mail.docx", "A 12040-2025")</f>
        <v/>
      </c>
      <c r="X90">
        <f>HYPERLINK("https://klasma.github.io/Logging_2303/tillsyn/A 12040-2025 tillsynsbegäran.docx", "A 12040-2025")</f>
        <v/>
      </c>
      <c r="Y90">
        <f>HYPERLINK("https://klasma.github.io/Logging_2303/tillsynsmail/A 12040-2025 tillsynsbegäran mail.docx", "A 12040-2025")</f>
        <v/>
      </c>
    </row>
    <row r="91" ht="15" customHeight="1">
      <c r="A91" t="inlineStr">
        <is>
          <t>A 55646-2023</t>
        </is>
      </c>
      <c r="B91" s="1" t="n">
        <v>45238</v>
      </c>
      <c r="C91" s="1" t="n">
        <v>45887</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14908-2022</t>
        </is>
      </c>
      <c r="B92" s="1" t="n">
        <v>44656</v>
      </c>
      <c r="C92" s="1" t="n">
        <v>45887</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45887</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45887</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45887</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57073-2023</t>
        </is>
      </c>
      <c r="B96" s="1" t="n">
        <v>45244</v>
      </c>
      <c r="C96" s="1" t="n">
        <v>45887</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39365-2024</t>
        </is>
      </c>
      <c r="B97" s="1" t="n">
        <v>45551.46912037037</v>
      </c>
      <c r="C97" s="1" t="n">
        <v>45887</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30886-2025</t>
        </is>
      </c>
      <c r="B98" s="1" t="n">
        <v>45832.34578703704</v>
      </c>
      <c r="C98" s="1" t="n">
        <v>45887</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18629-2024</t>
        </is>
      </c>
      <c r="B99" s="1" t="n">
        <v>45425.96472222222</v>
      </c>
      <c r="C99" s="1" t="n">
        <v>45887</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43106-2023</t>
        </is>
      </c>
      <c r="B100" s="1" t="n">
        <v>45182</v>
      </c>
      <c r="C100" s="1" t="n">
        <v>45887</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27313-2024</t>
        </is>
      </c>
      <c r="B101" s="1" t="n">
        <v>45471.94623842592</v>
      </c>
      <c r="C101" s="1" t="n">
        <v>45887</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60683-2022</t>
        </is>
      </c>
      <c r="B102" s="1" t="n">
        <v>44911</v>
      </c>
      <c r="C102" s="1" t="n">
        <v>45887</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15379-2024</t>
        </is>
      </c>
      <c r="B103" s="1" t="n">
        <v>45400.94002314815</v>
      </c>
      <c r="C103" s="1" t="n">
        <v>45887</v>
      </c>
      <c r="D103" t="inlineStr">
        <is>
          <t>JÄMTLANDS LÄN</t>
        </is>
      </c>
      <c r="E103" t="inlineStr">
        <is>
          <t>RAGUNDA</t>
        </is>
      </c>
      <c r="F103" t="inlineStr">
        <is>
          <t>SCA</t>
        </is>
      </c>
      <c r="G103" t="n">
        <v>4.2</v>
      </c>
      <c r="H103" t="n">
        <v>3</v>
      </c>
      <c r="I103" t="n">
        <v>3</v>
      </c>
      <c r="J103" t="n">
        <v>0</v>
      </c>
      <c r="K103" t="n">
        <v>1</v>
      </c>
      <c r="L103" t="n">
        <v>0</v>
      </c>
      <c r="M103" t="n">
        <v>0</v>
      </c>
      <c r="N103" t="n">
        <v>0</v>
      </c>
      <c r="O103" t="n">
        <v>1</v>
      </c>
      <c r="P103" t="n">
        <v>1</v>
      </c>
      <c r="Q103" t="n">
        <v>5</v>
      </c>
      <c r="R103" s="2" t="inlineStr">
        <is>
          <t>Knärot
Finbräken
Guckusko
Svavelriska
Blåsippa</t>
        </is>
      </c>
      <c r="S103">
        <f>HYPERLINK("https://klasma.github.io/Logging_2303/artfynd/A 15379-2024 artfynd.xlsx", "A 15379-2024")</f>
        <v/>
      </c>
      <c r="T103">
        <f>HYPERLINK("https://klasma.github.io/Logging_2303/kartor/A 15379-2024 karta.png", "A 15379-2024")</f>
        <v/>
      </c>
      <c r="U103">
        <f>HYPERLINK("https://klasma.github.io/Logging_2303/knärot/A 15379-2024 karta knärot.png", "A 15379-2024")</f>
        <v/>
      </c>
      <c r="V103">
        <f>HYPERLINK("https://klasma.github.io/Logging_2303/klagomål/A 15379-2024 FSC-klagomål.docx", "A 15379-2024")</f>
        <v/>
      </c>
      <c r="W103">
        <f>HYPERLINK("https://klasma.github.io/Logging_2303/klagomålsmail/A 15379-2024 FSC-klagomål mail.docx", "A 15379-2024")</f>
        <v/>
      </c>
      <c r="X103">
        <f>HYPERLINK("https://klasma.github.io/Logging_2303/tillsyn/A 15379-2024 tillsynsbegäran.docx", "A 15379-2024")</f>
        <v/>
      </c>
      <c r="Y103">
        <f>HYPERLINK("https://klasma.github.io/Logging_2303/tillsynsmail/A 15379-2024 tillsynsbegäran mail.docx", "A 15379-2024")</f>
        <v/>
      </c>
    </row>
    <row r="104" ht="15" customHeight="1">
      <c r="A104" t="inlineStr">
        <is>
          <t>A 38169-2024</t>
        </is>
      </c>
      <c r="B104" s="1" t="n">
        <v>45545.45748842593</v>
      </c>
      <c r="C104" s="1" t="n">
        <v>45887</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2579-2025</t>
        </is>
      </c>
      <c r="B105" s="1" t="n">
        <v>45674.67744212963</v>
      </c>
      <c r="C105" s="1" t="n">
        <v>45887</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15244-2025</t>
        </is>
      </c>
      <c r="B106" s="1" t="n">
        <v>45744.61550925926</v>
      </c>
      <c r="C106" s="1" t="n">
        <v>45887</v>
      </c>
      <c r="D106" t="inlineStr">
        <is>
          <t>JÄMTLANDS LÄN</t>
        </is>
      </c>
      <c r="E106" t="inlineStr">
        <is>
          <t>RAGUNDA</t>
        </is>
      </c>
      <c r="F106" t="inlineStr">
        <is>
          <t>SCA</t>
        </is>
      </c>
      <c r="G106" t="n">
        <v>2.6</v>
      </c>
      <c r="H106" t="n">
        <v>0</v>
      </c>
      <c r="I106" t="n">
        <v>2</v>
      </c>
      <c r="J106" t="n">
        <v>3</v>
      </c>
      <c r="K106" t="n">
        <v>0</v>
      </c>
      <c r="L106" t="n">
        <v>0</v>
      </c>
      <c r="M106" t="n">
        <v>0</v>
      </c>
      <c r="N106" t="n">
        <v>0</v>
      </c>
      <c r="O106" t="n">
        <v>3</v>
      </c>
      <c r="P106" t="n">
        <v>0</v>
      </c>
      <c r="Q106" t="n">
        <v>5</v>
      </c>
      <c r="R106" s="2" t="inlineStr">
        <is>
          <t>Garnlav
Rosenticka
Ullticka
Stuplav
Vedticka</t>
        </is>
      </c>
      <c r="S106">
        <f>HYPERLINK("https://klasma.github.io/Logging_2303/artfynd/A 15244-2025 artfynd.xlsx", "A 15244-2025")</f>
        <v/>
      </c>
      <c r="T106">
        <f>HYPERLINK("https://klasma.github.io/Logging_2303/kartor/A 15244-2025 karta.png", "A 15244-2025")</f>
        <v/>
      </c>
      <c r="V106">
        <f>HYPERLINK("https://klasma.github.io/Logging_2303/klagomål/A 15244-2025 FSC-klagomål.docx", "A 15244-2025")</f>
        <v/>
      </c>
      <c r="W106">
        <f>HYPERLINK("https://klasma.github.io/Logging_2303/klagomålsmail/A 15244-2025 FSC-klagomål mail.docx", "A 15244-2025")</f>
        <v/>
      </c>
      <c r="X106">
        <f>HYPERLINK("https://klasma.github.io/Logging_2303/tillsyn/A 15244-2025 tillsynsbegäran.docx", "A 15244-2025")</f>
        <v/>
      </c>
      <c r="Y106">
        <f>HYPERLINK("https://klasma.github.io/Logging_2303/tillsynsmail/A 15244-2025 tillsynsbegäran mail.docx", "A 15244-2025")</f>
        <v/>
      </c>
    </row>
    <row r="107" ht="15" customHeight="1">
      <c r="A107" t="inlineStr">
        <is>
          <t>A 8636-2021</t>
        </is>
      </c>
      <c r="B107" s="1" t="n">
        <v>44245</v>
      </c>
      <c r="C107" s="1" t="n">
        <v>45887</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45887</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45887</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45887</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45887</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45887</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45887</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45887</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45887</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45887</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45887</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45887</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23931-2024</t>
        </is>
      </c>
      <c r="B119" s="1" t="n">
        <v>45455.96195601852</v>
      </c>
      <c r="C119" s="1" t="n">
        <v>45887</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51686-2020</t>
        </is>
      </c>
      <c r="B120" s="1" t="n">
        <v>44113</v>
      </c>
      <c r="C120" s="1" t="n">
        <v>45887</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30465-2024</t>
        </is>
      </c>
      <c r="B121" s="1" t="n">
        <v>45491</v>
      </c>
      <c r="C121" s="1" t="n">
        <v>45887</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32067-2024</t>
        </is>
      </c>
      <c r="B122" s="1" t="n">
        <v>45510</v>
      </c>
      <c r="C122" s="1" t="n">
        <v>45887</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17092-2022</t>
        </is>
      </c>
      <c r="B123" s="1" t="n">
        <v>44677</v>
      </c>
      <c r="C123" s="1" t="n">
        <v>45887</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15836-2024</t>
        </is>
      </c>
      <c r="B124" s="1" t="n">
        <v>45404</v>
      </c>
      <c r="C124" s="1" t="n">
        <v>45887</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22467-2025</t>
        </is>
      </c>
      <c r="B125" s="1" t="n">
        <v>45786.61534722222</v>
      </c>
      <c r="C125" s="1" t="n">
        <v>45887</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30483-2024</t>
        </is>
      </c>
      <c r="B126" s="1" t="n">
        <v>45491</v>
      </c>
      <c r="C126" s="1" t="n">
        <v>45887</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43960-2023</t>
        </is>
      </c>
      <c r="B127" s="1" t="n">
        <v>45187</v>
      </c>
      <c r="C127" s="1" t="n">
        <v>45887</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45887</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45887</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45887</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45887</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45887</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45887</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45887</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45887</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51010-2020</t>
        </is>
      </c>
      <c r="B136" s="1" t="n">
        <v>44111</v>
      </c>
      <c r="C136" s="1" t="n">
        <v>45887</v>
      </c>
      <c r="D136" t="inlineStr">
        <is>
          <t>JÄMTLANDS LÄN</t>
        </is>
      </c>
      <c r="E136" t="inlineStr">
        <is>
          <t>RAGUNDA</t>
        </is>
      </c>
      <c r="F136" t="inlineStr">
        <is>
          <t>SCA</t>
        </is>
      </c>
      <c r="G136" t="n">
        <v>4.1</v>
      </c>
      <c r="H136" t="n">
        <v>0</v>
      </c>
      <c r="I136" t="n">
        <v>0</v>
      </c>
      <c r="J136" t="n">
        <v>3</v>
      </c>
      <c r="K136" t="n">
        <v>0</v>
      </c>
      <c r="L136" t="n">
        <v>0</v>
      </c>
      <c r="M136" t="n">
        <v>0</v>
      </c>
      <c r="N136" t="n">
        <v>0</v>
      </c>
      <c r="O136" t="n">
        <v>3</v>
      </c>
      <c r="P136" t="n">
        <v>0</v>
      </c>
      <c r="Q136" t="n">
        <v>3</v>
      </c>
      <c r="R136" s="2" t="inlineStr">
        <is>
          <t>Garnlav
Lunglav
Ullticka</t>
        </is>
      </c>
      <c r="S136">
        <f>HYPERLINK("https://klasma.github.io/Logging_2303/artfynd/A 51010-2020 artfynd.xlsx", "A 51010-2020")</f>
        <v/>
      </c>
      <c r="T136">
        <f>HYPERLINK("https://klasma.github.io/Logging_2303/kartor/A 51010-2020 karta.png", "A 51010-2020")</f>
        <v/>
      </c>
      <c r="V136">
        <f>HYPERLINK("https://klasma.github.io/Logging_2303/klagomål/A 51010-2020 FSC-klagomål.docx", "A 51010-2020")</f>
        <v/>
      </c>
      <c r="W136">
        <f>HYPERLINK("https://klasma.github.io/Logging_2303/klagomålsmail/A 51010-2020 FSC-klagomål mail.docx", "A 51010-2020")</f>
        <v/>
      </c>
      <c r="X136">
        <f>HYPERLINK("https://klasma.github.io/Logging_2303/tillsyn/A 51010-2020 tillsynsbegäran.docx", "A 51010-2020")</f>
        <v/>
      </c>
      <c r="Y136">
        <f>HYPERLINK("https://klasma.github.io/Logging_2303/tillsynsmail/A 51010-2020 tillsynsbegäran mail.docx", "A 51010-2020")</f>
        <v/>
      </c>
    </row>
    <row r="137" ht="15" customHeight="1">
      <c r="A137" t="inlineStr">
        <is>
          <t>A 57941-2024</t>
        </is>
      </c>
      <c r="B137" s="1" t="n">
        <v>45631</v>
      </c>
      <c r="C137" s="1" t="n">
        <v>45887</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25769-2025</t>
        </is>
      </c>
      <c r="B138" s="1" t="n">
        <v>45804.34474537037</v>
      </c>
      <c r="C138" s="1" t="n">
        <v>45887</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34585-2025</t>
        </is>
      </c>
      <c r="B139" s="1" t="n">
        <v>45847.61498842593</v>
      </c>
      <c r="C139" s="1" t="n">
        <v>45887</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48054-2022</t>
        </is>
      </c>
      <c r="B140" s="1" t="n">
        <v>44855</v>
      </c>
      <c r="C140" s="1" t="n">
        <v>45887</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45887</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32903-2024</t>
        </is>
      </c>
      <c r="B142" s="1" t="n">
        <v>45516.94723379629</v>
      </c>
      <c r="C142" s="1" t="n">
        <v>45887</v>
      </c>
      <c r="D142" t="inlineStr">
        <is>
          <t>JÄMTLANDS LÄN</t>
        </is>
      </c>
      <c r="E142" t="inlineStr">
        <is>
          <t>RAGUNDA</t>
        </is>
      </c>
      <c r="F142" t="inlineStr">
        <is>
          <t>SCA</t>
        </is>
      </c>
      <c r="G142" t="n">
        <v>4.7</v>
      </c>
      <c r="H142" t="n">
        <v>0</v>
      </c>
      <c r="I142" t="n">
        <v>2</v>
      </c>
      <c r="J142" t="n">
        <v>1</v>
      </c>
      <c r="K142" t="n">
        <v>0</v>
      </c>
      <c r="L142" t="n">
        <v>0</v>
      </c>
      <c r="M142" t="n">
        <v>0</v>
      </c>
      <c r="N142" t="n">
        <v>0</v>
      </c>
      <c r="O142" t="n">
        <v>1</v>
      </c>
      <c r="P142" t="n">
        <v>0</v>
      </c>
      <c r="Q142" t="n">
        <v>3</v>
      </c>
      <c r="R142" s="2" t="inlineStr">
        <is>
          <t>Lunglav
Bollvitmossa
Luddlav</t>
        </is>
      </c>
      <c r="S142">
        <f>HYPERLINK("https://klasma.github.io/Logging_2303/artfynd/A 32903-2024 artfynd.xlsx", "A 32903-2024")</f>
        <v/>
      </c>
      <c r="T142">
        <f>HYPERLINK("https://klasma.github.io/Logging_2303/kartor/A 32903-2024 karta.png", "A 32903-2024")</f>
        <v/>
      </c>
      <c r="V142">
        <f>HYPERLINK("https://klasma.github.io/Logging_2303/klagomål/A 32903-2024 FSC-klagomål.docx", "A 32903-2024")</f>
        <v/>
      </c>
      <c r="W142">
        <f>HYPERLINK("https://klasma.github.io/Logging_2303/klagomålsmail/A 32903-2024 FSC-klagomål mail.docx", "A 32903-2024")</f>
        <v/>
      </c>
      <c r="X142">
        <f>HYPERLINK("https://klasma.github.io/Logging_2303/tillsyn/A 32903-2024 tillsynsbegäran.docx", "A 32903-2024")</f>
        <v/>
      </c>
      <c r="Y142">
        <f>HYPERLINK("https://klasma.github.io/Logging_2303/tillsynsmail/A 32903-2024 tillsynsbegäran mail.docx", "A 32903-2024")</f>
        <v/>
      </c>
    </row>
    <row r="143" ht="15" customHeight="1">
      <c r="A143" t="inlineStr">
        <is>
          <t>A 58737-2022</t>
        </is>
      </c>
      <c r="B143" s="1" t="n">
        <v>44902</v>
      </c>
      <c r="C143" s="1" t="n">
        <v>45887</v>
      </c>
      <c r="D143" t="inlineStr">
        <is>
          <t>JÄMTLANDS LÄN</t>
        </is>
      </c>
      <c r="E143" t="inlineStr">
        <is>
          <t>RAGUNDA</t>
        </is>
      </c>
      <c r="F143" t="inlineStr">
        <is>
          <t>SCA</t>
        </is>
      </c>
      <c r="G143" t="n">
        <v>2.7</v>
      </c>
      <c r="H143" t="n">
        <v>0</v>
      </c>
      <c r="I143" t="n">
        <v>2</v>
      </c>
      <c r="J143" t="n">
        <v>1</v>
      </c>
      <c r="K143" t="n">
        <v>0</v>
      </c>
      <c r="L143" t="n">
        <v>0</v>
      </c>
      <c r="M143" t="n">
        <v>0</v>
      </c>
      <c r="N143" t="n">
        <v>0</v>
      </c>
      <c r="O143" t="n">
        <v>1</v>
      </c>
      <c r="P143" t="n">
        <v>0</v>
      </c>
      <c r="Q143" t="n">
        <v>3</v>
      </c>
      <c r="R143" s="2" t="inlineStr">
        <is>
          <t>Garnlav
Källmossor
Stuplav</t>
        </is>
      </c>
      <c r="S143">
        <f>HYPERLINK("https://klasma.github.io/Logging_2303/artfynd/A 58737-2022 artfynd.xlsx", "A 58737-2022")</f>
        <v/>
      </c>
      <c r="T143">
        <f>HYPERLINK("https://klasma.github.io/Logging_2303/kartor/A 58737-2022 karta.png", "A 58737-2022")</f>
        <v/>
      </c>
      <c r="V143">
        <f>HYPERLINK("https://klasma.github.io/Logging_2303/klagomål/A 58737-2022 FSC-klagomål.docx", "A 58737-2022")</f>
        <v/>
      </c>
      <c r="W143">
        <f>HYPERLINK("https://klasma.github.io/Logging_2303/klagomålsmail/A 58737-2022 FSC-klagomål mail.docx", "A 58737-2022")</f>
        <v/>
      </c>
      <c r="X143">
        <f>HYPERLINK("https://klasma.github.io/Logging_2303/tillsyn/A 58737-2022 tillsynsbegäran.docx", "A 58737-2022")</f>
        <v/>
      </c>
      <c r="Y143">
        <f>HYPERLINK("https://klasma.github.io/Logging_2303/tillsynsmail/A 58737-2022 tillsynsbegäran mail.docx", "A 58737-2022")</f>
        <v/>
      </c>
    </row>
    <row r="144" ht="15" customHeight="1">
      <c r="A144" t="inlineStr">
        <is>
          <t>A 49047-2023</t>
        </is>
      </c>
      <c r="B144" s="1" t="n">
        <v>45209</v>
      </c>
      <c r="C144" s="1" t="n">
        <v>45887</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45887</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20776-2024</t>
        </is>
      </c>
      <c r="B146" s="1" t="n">
        <v>45436.94686342592</v>
      </c>
      <c r="C146" s="1" t="n">
        <v>45887</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44302-2023</t>
        </is>
      </c>
      <c r="B147" s="1" t="n">
        <v>45188</v>
      </c>
      <c r="C147" s="1" t="n">
        <v>45887</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30470-2024</t>
        </is>
      </c>
      <c r="B148" s="1" t="n">
        <v>45491.94715277778</v>
      </c>
      <c r="C148" s="1" t="n">
        <v>45887</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22571-2025</t>
        </is>
      </c>
      <c r="B149" s="1" t="n">
        <v>45789.36503472222</v>
      </c>
      <c r="C149" s="1" t="n">
        <v>45887</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7519-2023</t>
        </is>
      </c>
      <c r="B150" s="1" t="n">
        <v>44971</v>
      </c>
      <c r="C150" s="1" t="n">
        <v>45887</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33278-2022</t>
        </is>
      </c>
      <c r="B151" s="1" t="n">
        <v>44788</v>
      </c>
      <c r="C151" s="1" t="n">
        <v>45887</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32416-2025</t>
        </is>
      </c>
      <c r="B152" s="1" t="n">
        <v>45838</v>
      </c>
      <c r="C152" s="1" t="n">
        <v>45887</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58368-2024</t>
        </is>
      </c>
      <c r="B153" s="1" t="n">
        <v>45632.69822916666</v>
      </c>
      <c r="C153" s="1" t="n">
        <v>45887</v>
      </c>
      <c r="D153" t="inlineStr">
        <is>
          <t>JÄMTLANDS LÄN</t>
        </is>
      </c>
      <c r="E153" t="inlineStr">
        <is>
          <t>RAGUNDA</t>
        </is>
      </c>
      <c r="F153" t="inlineStr">
        <is>
          <t>SCA</t>
        </is>
      </c>
      <c r="G153" t="n">
        <v>4.1</v>
      </c>
      <c r="H153" t="n">
        <v>2</v>
      </c>
      <c r="I153" t="n">
        <v>0</v>
      </c>
      <c r="J153" t="n">
        <v>3</v>
      </c>
      <c r="K153" t="n">
        <v>0</v>
      </c>
      <c r="L153" t="n">
        <v>0</v>
      </c>
      <c r="M153" t="n">
        <v>0</v>
      </c>
      <c r="N153" t="n">
        <v>0</v>
      </c>
      <c r="O153" t="n">
        <v>3</v>
      </c>
      <c r="P153" t="n">
        <v>0</v>
      </c>
      <c r="Q153" t="n">
        <v>3</v>
      </c>
      <c r="R153" s="2" t="inlineStr">
        <is>
          <t>Järpe
Lunglav
Tretåig hackspett</t>
        </is>
      </c>
      <c r="S153">
        <f>HYPERLINK("https://klasma.github.io/Logging_2303/artfynd/A 58368-2024 artfynd.xlsx", "A 58368-2024")</f>
        <v/>
      </c>
      <c r="T153">
        <f>HYPERLINK("https://klasma.github.io/Logging_2303/kartor/A 58368-2024 karta.png", "A 58368-2024")</f>
        <v/>
      </c>
      <c r="V153">
        <f>HYPERLINK("https://klasma.github.io/Logging_2303/klagomål/A 58368-2024 FSC-klagomål.docx", "A 58368-2024")</f>
        <v/>
      </c>
      <c r="W153">
        <f>HYPERLINK("https://klasma.github.io/Logging_2303/klagomålsmail/A 58368-2024 FSC-klagomål mail.docx", "A 58368-2024")</f>
        <v/>
      </c>
      <c r="X153">
        <f>HYPERLINK("https://klasma.github.io/Logging_2303/tillsyn/A 58368-2024 tillsynsbegäran.docx", "A 58368-2024")</f>
        <v/>
      </c>
      <c r="Y153">
        <f>HYPERLINK("https://klasma.github.io/Logging_2303/tillsynsmail/A 58368-2024 tillsynsbegäran mail.docx", "A 58368-2024")</f>
        <v/>
      </c>
      <c r="Z153">
        <f>HYPERLINK("https://klasma.github.io/Logging_2303/fåglar/A 58368-2024 prioriterade fågelarter.docx", "A 58368-2024")</f>
        <v/>
      </c>
    </row>
    <row r="154" ht="15" customHeight="1">
      <c r="A154" t="inlineStr">
        <is>
          <t>A 53022-2022</t>
        </is>
      </c>
      <c r="B154" s="1" t="n">
        <v>44875</v>
      </c>
      <c r="C154" s="1" t="n">
        <v>45887</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45887</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45887</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45887</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45887</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45887</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45887</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45887</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32736-2023</t>
        </is>
      </c>
      <c r="B163" s="1" t="n">
        <v>45121</v>
      </c>
      <c r="C163" s="1" t="n">
        <v>45887</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45021-2023</t>
        </is>
      </c>
      <c r="B164" s="1" t="n">
        <v>45190</v>
      </c>
      <c r="C164" s="1" t="n">
        <v>45887</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25155-2025</t>
        </is>
      </c>
      <c r="B165" s="1" t="n">
        <v>45800.42782407408</v>
      </c>
      <c r="C165" s="1" t="n">
        <v>45887</v>
      </c>
      <c r="D165" t="inlineStr">
        <is>
          <t>JÄMTLANDS LÄN</t>
        </is>
      </c>
      <c r="E165" t="inlineStr">
        <is>
          <t>RAGUNDA</t>
        </is>
      </c>
      <c r="F165" t="inlineStr">
        <is>
          <t>SCA</t>
        </is>
      </c>
      <c r="G165" t="n">
        <v>1.7</v>
      </c>
      <c r="H165" t="n">
        <v>1</v>
      </c>
      <c r="I165" t="n">
        <v>0</v>
      </c>
      <c r="J165" t="n">
        <v>1</v>
      </c>
      <c r="K165" t="n">
        <v>0</v>
      </c>
      <c r="L165" t="n">
        <v>0</v>
      </c>
      <c r="M165" t="n">
        <v>0</v>
      </c>
      <c r="N165" t="n">
        <v>0</v>
      </c>
      <c r="O165" t="n">
        <v>1</v>
      </c>
      <c r="P165" t="n">
        <v>0</v>
      </c>
      <c r="Q165" t="n">
        <v>2</v>
      </c>
      <c r="R165" s="2" t="inlineStr">
        <is>
          <t>Leptoporus mollis
Fläcknycklar</t>
        </is>
      </c>
      <c r="S165">
        <f>HYPERLINK("https://klasma.github.io/Logging_2303/artfynd/A 25155-2025 artfynd.xlsx", "A 25155-2025")</f>
        <v/>
      </c>
      <c r="T165">
        <f>HYPERLINK("https://klasma.github.io/Logging_2303/kartor/A 25155-2025 karta.png", "A 25155-2025")</f>
        <v/>
      </c>
      <c r="V165">
        <f>HYPERLINK("https://klasma.github.io/Logging_2303/klagomål/A 25155-2025 FSC-klagomål.docx", "A 25155-2025")</f>
        <v/>
      </c>
      <c r="W165">
        <f>HYPERLINK("https://klasma.github.io/Logging_2303/klagomålsmail/A 25155-2025 FSC-klagomål mail.docx", "A 25155-2025")</f>
        <v/>
      </c>
      <c r="X165">
        <f>HYPERLINK("https://klasma.github.io/Logging_2303/tillsyn/A 25155-2025 tillsynsbegäran.docx", "A 25155-2025")</f>
        <v/>
      </c>
      <c r="Y165">
        <f>HYPERLINK("https://klasma.github.io/Logging_2303/tillsynsmail/A 25155-2025 tillsynsbegäran mail.docx", "A 25155-2025")</f>
        <v/>
      </c>
    </row>
    <row r="166" ht="15" customHeight="1">
      <c r="A166" t="inlineStr">
        <is>
          <t>A 44409-2023</t>
        </is>
      </c>
      <c r="B166" s="1" t="n">
        <v>45188</v>
      </c>
      <c r="C166" s="1" t="n">
        <v>45887</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44409-2023 artfynd.xlsx", "A 44409-2023")</f>
        <v/>
      </c>
      <c r="T166">
        <f>HYPERLINK("https://klasma.github.io/Logging_2303/kartor/A 44409-2023 karta.png", "A 44409-2023")</f>
        <v/>
      </c>
      <c r="V166">
        <f>HYPERLINK("https://klasma.github.io/Logging_2303/klagomål/A 44409-2023 FSC-klagomål.docx", "A 44409-2023")</f>
        <v/>
      </c>
      <c r="W166">
        <f>HYPERLINK("https://klasma.github.io/Logging_2303/klagomålsmail/A 44409-2023 FSC-klagomål mail.docx", "A 44409-2023")</f>
        <v/>
      </c>
      <c r="X166">
        <f>HYPERLINK("https://klasma.github.io/Logging_2303/tillsyn/A 44409-2023 tillsynsbegäran.docx", "A 44409-2023")</f>
        <v/>
      </c>
      <c r="Y166">
        <f>HYPERLINK("https://klasma.github.io/Logging_2303/tillsynsmail/A 44409-2023 tillsynsbegäran mail.docx", "A 44409-2023")</f>
        <v/>
      </c>
    </row>
    <row r="167" ht="15" customHeight="1">
      <c r="A167" t="inlineStr">
        <is>
          <t>A 17733-2022</t>
        </is>
      </c>
      <c r="B167" s="1" t="n">
        <v>44680</v>
      </c>
      <c r="C167" s="1" t="n">
        <v>45887</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40826-2023</t>
        </is>
      </c>
      <c r="B168" s="1" t="n">
        <v>45171</v>
      </c>
      <c r="C168" s="1" t="n">
        <v>45887</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39495-2024</t>
        </is>
      </c>
      <c r="B169" s="1" t="n">
        <v>45551.65726851852</v>
      </c>
      <c r="C169" s="1" t="n">
        <v>45887</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47267-2022</t>
        </is>
      </c>
      <c r="B170" s="1" t="n">
        <v>44852</v>
      </c>
      <c r="C170" s="1" t="n">
        <v>45887</v>
      </c>
      <c r="D170" t="inlineStr">
        <is>
          <t>JÄMTLANDS LÄN</t>
        </is>
      </c>
      <c r="E170" t="inlineStr">
        <is>
          <t>RAGUNDA</t>
        </is>
      </c>
      <c r="F170" t="inlineStr">
        <is>
          <t>SCA</t>
        </is>
      </c>
      <c r="G170" t="n">
        <v>82.8</v>
      </c>
      <c r="H170" t="n">
        <v>0</v>
      </c>
      <c r="I170" t="n">
        <v>0</v>
      </c>
      <c r="J170" t="n">
        <v>2</v>
      </c>
      <c r="K170" t="n">
        <v>0</v>
      </c>
      <c r="L170" t="n">
        <v>0</v>
      </c>
      <c r="M170" t="n">
        <v>0</v>
      </c>
      <c r="N170" t="n">
        <v>0</v>
      </c>
      <c r="O170" t="n">
        <v>2</v>
      </c>
      <c r="P170" t="n">
        <v>0</v>
      </c>
      <c r="Q170" t="n">
        <v>2</v>
      </c>
      <c r="R170" s="2" t="inlineStr">
        <is>
          <t>Dvärgbägarlav
Garnlav</t>
        </is>
      </c>
      <c r="S170">
        <f>HYPERLINK("https://klasma.github.io/Logging_2303/artfynd/A 47267-2022 artfynd.xlsx", "A 47267-2022")</f>
        <v/>
      </c>
      <c r="T170">
        <f>HYPERLINK("https://klasma.github.io/Logging_2303/kartor/A 47267-2022 karta.png", "A 47267-2022")</f>
        <v/>
      </c>
      <c r="V170">
        <f>HYPERLINK("https://klasma.github.io/Logging_2303/klagomål/A 47267-2022 FSC-klagomål.docx", "A 47267-2022")</f>
        <v/>
      </c>
      <c r="W170">
        <f>HYPERLINK("https://klasma.github.io/Logging_2303/klagomålsmail/A 47267-2022 FSC-klagomål mail.docx", "A 47267-2022")</f>
        <v/>
      </c>
      <c r="X170">
        <f>HYPERLINK("https://klasma.github.io/Logging_2303/tillsyn/A 47267-2022 tillsynsbegäran.docx", "A 47267-2022")</f>
        <v/>
      </c>
      <c r="Y170">
        <f>HYPERLINK("https://klasma.github.io/Logging_2303/tillsynsmail/A 47267-2022 tillsynsbegäran mail.docx", "A 47267-2022")</f>
        <v/>
      </c>
    </row>
    <row r="171" ht="15" customHeight="1">
      <c r="A171" t="inlineStr">
        <is>
          <t>A 35131-2025</t>
        </is>
      </c>
      <c r="B171" s="1" t="n">
        <v>45852.63597222222</v>
      </c>
      <c r="C171" s="1" t="n">
        <v>45887</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35344-2025</t>
        </is>
      </c>
      <c r="B172" s="1" t="n">
        <v>45854.61494212963</v>
      </c>
      <c r="C172" s="1" t="n">
        <v>45887</v>
      </c>
      <c r="D172" t="inlineStr">
        <is>
          <t>JÄMTLANDS LÄN</t>
        </is>
      </c>
      <c r="E172" t="inlineStr">
        <is>
          <t>RAGUNDA</t>
        </is>
      </c>
      <c r="F172" t="inlineStr">
        <is>
          <t>SCA</t>
        </is>
      </c>
      <c r="G172" t="n">
        <v>6.1</v>
      </c>
      <c r="H172" t="n">
        <v>0</v>
      </c>
      <c r="I172" t="n">
        <v>0</v>
      </c>
      <c r="J172" t="n">
        <v>2</v>
      </c>
      <c r="K172" t="n">
        <v>0</v>
      </c>
      <c r="L172" t="n">
        <v>0</v>
      </c>
      <c r="M172" t="n">
        <v>0</v>
      </c>
      <c r="N172" t="n">
        <v>0</v>
      </c>
      <c r="O172" t="n">
        <v>2</v>
      </c>
      <c r="P172" t="n">
        <v>0</v>
      </c>
      <c r="Q172" t="n">
        <v>2</v>
      </c>
      <c r="R172" s="2" t="inlineStr">
        <is>
          <t>Svart taggsvamp
Vedtrappmossa</t>
        </is>
      </c>
      <c r="S172">
        <f>HYPERLINK("https://klasma.github.io/Logging_2303/artfynd/A 35344-2025 artfynd.xlsx", "A 35344-2025")</f>
        <v/>
      </c>
      <c r="T172">
        <f>HYPERLINK("https://klasma.github.io/Logging_2303/kartor/A 35344-2025 karta.png", "A 35344-2025")</f>
        <v/>
      </c>
      <c r="V172">
        <f>HYPERLINK("https://klasma.github.io/Logging_2303/klagomål/A 35344-2025 FSC-klagomål.docx", "A 35344-2025")</f>
        <v/>
      </c>
      <c r="W172">
        <f>HYPERLINK("https://klasma.github.io/Logging_2303/klagomålsmail/A 35344-2025 FSC-klagomål mail.docx", "A 35344-2025")</f>
        <v/>
      </c>
      <c r="X172">
        <f>HYPERLINK("https://klasma.github.io/Logging_2303/tillsyn/A 35344-2025 tillsynsbegäran.docx", "A 35344-2025")</f>
        <v/>
      </c>
      <c r="Y172">
        <f>HYPERLINK("https://klasma.github.io/Logging_2303/tillsynsmail/A 35344-2025 tillsynsbegäran mail.docx", "A 35344-2025")</f>
        <v/>
      </c>
    </row>
    <row r="173" ht="15" customHeight="1">
      <c r="A173" t="inlineStr">
        <is>
          <t>A 11544-2024</t>
        </is>
      </c>
      <c r="B173" s="1" t="n">
        <v>45372.95680555556</v>
      </c>
      <c r="C173" s="1" t="n">
        <v>45887</v>
      </c>
      <c r="D173" t="inlineStr">
        <is>
          <t>JÄMTLANDS LÄN</t>
        </is>
      </c>
      <c r="E173" t="inlineStr">
        <is>
          <t>RAGUNDA</t>
        </is>
      </c>
      <c r="F173" t="inlineStr">
        <is>
          <t>SCA</t>
        </is>
      </c>
      <c r="G173" t="n">
        <v>15.5</v>
      </c>
      <c r="H173" t="n">
        <v>0</v>
      </c>
      <c r="I173" t="n">
        <v>0</v>
      </c>
      <c r="J173" t="n">
        <v>2</v>
      </c>
      <c r="K173" t="n">
        <v>0</v>
      </c>
      <c r="L173" t="n">
        <v>0</v>
      </c>
      <c r="M173" t="n">
        <v>0</v>
      </c>
      <c r="N173" t="n">
        <v>0</v>
      </c>
      <c r="O173" t="n">
        <v>2</v>
      </c>
      <c r="P173" t="n">
        <v>0</v>
      </c>
      <c r="Q173" t="n">
        <v>2</v>
      </c>
      <c r="R173" s="2" t="inlineStr">
        <is>
          <t>Granticka
Mörk kolflarnlav</t>
        </is>
      </c>
      <c r="S173">
        <f>HYPERLINK("https://klasma.github.io/Logging_2303/artfynd/A 11544-2024 artfynd.xlsx", "A 11544-2024")</f>
        <v/>
      </c>
      <c r="T173">
        <f>HYPERLINK("https://klasma.github.io/Logging_2303/kartor/A 11544-2024 karta.png", "A 11544-2024")</f>
        <v/>
      </c>
      <c r="V173">
        <f>HYPERLINK("https://klasma.github.io/Logging_2303/klagomål/A 11544-2024 FSC-klagomål.docx", "A 11544-2024")</f>
        <v/>
      </c>
      <c r="W173">
        <f>HYPERLINK("https://klasma.github.io/Logging_2303/klagomålsmail/A 11544-2024 FSC-klagomål mail.docx", "A 11544-2024")</f>
        <v/>
      </c>
      <c r="X173">
        <f>HYPERLINK("https://klasma.github.io/Logging_2303/tillsyn/A 11544-2024 tillsynsbegäran.docx", "A 11544-2024")</f>
        <v/>
      </c>
      <c r="Y173">
        <f>HYPERLINK("https://klasma.github.io/Logging_2303/tillsynsmail/A 11544-2024 tillsynsbegäran mail.docx", "A 11544-2024")</f>
        <v/>
      </c>
    </row>
    <row r="174" ht="15" customHeight="1">
      <c r="A174" t="inlineStr">
        <is>
          <t>A 45035-2023</t>
        </is>
      </c>
      <c r="B174" s="1" t="n">
        <v>45191</v>
      </c>
      <c r="C174" s="1" t="n">
        <v>45887</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45887</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48427-2023</t>
        </is>
      </c>
      <c r="B176" s="1" t="n">
        <v>45205</v>
      </c>
      <c r="C176" s="1" t="n">
        <v>45887</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31960-2025</t>
        </is>
      </c>
      <c r="B177" s="1" t="n">
        <v>45835.344375</v>
      </c>
      <c r="C177" s="1" t="n">
        <v>45887</v>
      </c>
      <c r="D177" t="inlineStr">
        <is>
          <t>JÄMTLANDS LÄN</t>
        </is>
      </c>
      <c r="E177" t="inlineStr">
        <is>
          <t>RAGUNDA</t>
        </is>
      </c>
      <c r="F177" t="inlineStr">
        <is>
          <t>SCA</t>
        </is>
      </c>
      <c r="G177" t="n">
        <v>1.6</v>
      </c>
      <c r="H177" t="n">
        <v>0</v>
      </c>
      <c r="I177" t="n">
        <v>0</v>
      </c>
      <c r="J177" t="n">
        <v>2</v>
      </c>
      <c r="K177" t="n">
        <v>0</v>
      </c>
      <c r="L177" t="n">
        <v>0</v>
      </c>
      <c r="M177" t="n">
        <v>0</v>
      </c>
      <c r="N177" t="n">
        <v>0</v>
      </c>
      <c r="O177" t="n">
        <v>2</v>
      </c>
      <c r="P177" t="n">
        <v>0</v>
      </c>
      <c r="Q177" t="n">
        <v>2</v>
      </c>
      <c r="R177" s="2" t="inlineStr">
        <is>
          <t>Gammelgransskål
Garnlav</t>
        </is>
      </c>
      <c r="S177">
        <f>HYPERLINK("https://klasma.github.io/Logging_2303/artfynd/A 31960-2025 artfynd.xlsx", "A 31960-2025")</f>
        <v/>
      </c>
      <c r="T177">
        <f>HYPERLINK("https://klasma.github.io/Logging_2303/kartor/A 31960-2025 karta.png", "A 31960-2025")</f>
        <v/>
      </c>
      <c r="V177">
        <f>HYPERLINK("https://klasma.github.io/Logging_2303/klagomål/A 31960-2025 FSC-klagomål.docx", "A 31960-2025")</f>
        <v/>
      </c>
      <c r="W177">
        <f>HYPERLINK("https://klasma.github.io/Logging_2303/klagomålsmail/A 31960-2025 FSC-klagomål mail.docx", "A 31960-2025")</f>
        <v/>
      </c>
      <c r="X177">
        <f>HYPERLINK("https://klasma.github.io/Logging_2303/tillsyn/A 31960-2025 tillsynsbegäran.docx", "A 31960-2025")</f>
        <v/>
      </c>
      <c r="Y177">
        <f>HYPERLINK("https://klasma.github.io/Logging_2303/tillsynsmail/A 31960-2025 tillsynsbegäran mail.docx", "A 31960-2025")</f>
        <v/>
      </c>
    </row>
    <row r="178" ht="15" customHeight="1">
      <c r="A178" t="inlineStr">
        <is>
          <t>A 34715-2024</t>
        </is>
      </c>
      <c r="B178" s="1" t="n">
        <v>45526.56393518519</v>
      </c>
      <c r="C178" s="1" t="n">
        <v>45887</v>
      </c>
      <c r="D178" t="inlineStr">
        <is>
          <t>JÄMTLANDS LÄN</t>
        </is>
      </c>
      <c r="E178" t="inlineStr">
        <is>
          <t>RAGUNDA</t>
        </is>
      </c>
      <c r="F178" t="inlineStr">
        <is>
          <t>SCA</t>
        </is>
      </c>
      <c r="G178" t="n">
        <v>3</v>
      </c>
      <c r="H178" t="n">
        <v>0</v>
      </c>
      <c r="I178" t="n">
        <v>1</v>
      </c>
      <c r="J178" t="n">
        <v>1</v>
      </c>
      <c r="K178" t="n">
        <v>0</v>
      </c>
      <c r="L178" t="n">
        <v>0</v>
      </c>
      <c r="M178" t="n">
        <v>0</v>
      </c>
      <c r="N178" t="n">
        <v>0</v>
      </c>
      <c r="O178" t="n">
        <v>1</v>
      </c>
      <c r="P178" t="n">
        <v>0</v>
      </c>
      <c r="Q178" t="n">
        <v>2</v>
      </c>
      <c r="R178" s="2" t="inlineStr">
        <is>
          <t>Garnlav
Vedticka</t>
        </is>
      </c>
      <c r="S178">
        <f>HYPERLINK("https://klasma.github.io/Logging_2303/artfynd/A 34715-2024 artfynd.xlsx", "A 34715-2024")</f>
        <v/>
      </c>
      <c r="T178">
        <f>HYPERLINK("https://klasma.github.io/Logging_2303/kartor/A 34715-2024 karta.png", "A 34715-2024")</f>
        <v/>
      </c>
      <c r="V178">
        <f>HYPERLINK("https://klasma.github.io/Logging_2303/klagomål/A 34715-2024 FSC-klagomål.docx", "A 34715-2024")</f>
        <v/>
      </c>
      <c r="W178">
        <f>HYPERLINK("https://klasma.github.io/Logging_2303/klagomålsmail/A 34715-2024 FSC-klagomål mail.docx", "A 34715-2024")</f>
        <v/>
      </c>
      <c r="X178">
        <f>HYPERLINK("https://klasma.github.io/Logging_2303/tillsyn/A 34715-2024 tillsynsbegäran.docx", "A 34715-2024")</f>
        <v/>
      </c>
      <c r="Y178">
        <f>HYPERLINK("https://klasma.github.io/Logging_2303/tillsynsmail/A 34715-2024 tillsynsbegäran mail.docx", "A 34715-2024")</f>
        <v/>
      </c>
    </row>
    <row r="179" ht="15" customHeight="1">
      <c r="A179" t="inlineStr">
        <is>
          <t>A 57940-2024</t>
        </is>
      </c>
      <c r="B179" s="1" t="n">
        <v>45631</v>
      </c>
      <c r="C179" s="1" t="n">
        <v>45887</v>
      </c>
      <c r="D179" t="inlineStr">
        <is>
          <t>JÄMTLANDS LÄN</t>
        </is>
      </c>
      <c r="E179" t="inlineStr">
        <is>
          <t>RAGUNDA</t>
        </is>
      </c>
      <c r="F179" t="inlineStr">
        <is>
          <t>SCA</t>
        </is>
      </c>
      <c r="G179" t="n">
        <v>1.9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HYPERLINK("https://klasma.github.io/Logging_2303/artfynd/A 57940-2024 artfynd.xlsx", "A 57940-2024")</f>
        <v/>
      </c>
      <c r="T179">
        <f>HYPERLINK("https://klasma.github.io/Logging_2303/kartor/A 57940-2024 karta.png", "A 57940-2024")</f>
        <v/>
      </c>
      <c r="V179">
        <f>HYPERLINK("https://klasma.github.io/Logging_2303/klagomål/A 57940-2024 FSC-klagomål.docx", "A 57940-2024")</f>
        <v/>
      </c>
      <c r="W179">
        <f>HYPERLINK("https://klasma.github.io/Logging_2303/klagomålsmail/A 57940-2024 FSC-klagomål mail.docx", "A 57940-2024")</f>
        <v/>
      </c>
      <c r="X179">
        <f>HYPERLINK("https://klasma.github.io/Logging_2303/tillsyn/A 57940-2024 tillsynsbegäran.docx", "A 57940-2024")</f>
        <v/>
      </c>
      <c r="Y179">
        <f>HYPERLINK("https://klasma.github.io/Logging_2303/tillsynsmail/A 57940-2024 tillsynsbegäran mail.docx", "A 57940-2024")</f>
        <v/>
      </c>
      <c r="Z179">
        <f>HYPERLINK("https://klasma.github.io/Logging_2303/fåglar/A 57940-2024 prioriterade fågelarter.docx", "A 57940-2024")</f>
        <v/>
      </c>
    </row>
    <row r="180" ht="15" customHeight="1">
      <c r="A180" t="inlineStr">
        <is>
          <t>A 14502-2024</t>
        </is>
      </c>
      <c r="B180" s="1" t="n">
        <v>45394</v>
      </c>
      <c r="C180" s="1" t="n">
        <v>45887</v>
      </c>
      <c r="D180" t="inlineStr">
        <is>
          <t>JÄMTLANDS LÄN</t>
        </is>
      </c>
      <c r="E180" t="inlineStr">
        <is>
          <t>RAGUNDA</t>
        </is>
      </c>
      <c r="G180" t="n">
        <v>11.6</v>
      </c>
      <c r="H180" t="n">
        <v>0</v>
      </c>
      <c r="I180" t="n">
        <v>0</v>
      </c>
      <c r="J180" t="n">
        <v>2</v>
      </c>
      <c r="K180" t="n">
        <v>0</v>
      </c>
      <c r="L180" t="n">
        <v>0</v>
      </c>
      <c r="M180" t="n">
        <v>0</v>
      </c>
      <c r="N180" t="n">
        <v>0</v>
      </c>
      <c r="O180" t="n">
        <v>2</v>
      </c>
      <c r="P180" t="n">
        <v>0</v>
      </c>
      <c r="Q180" t="n">
        <v>2</v>
      </c>
      <c r="R180" s="2" t="inlineStr">
        <is>
          <t>Garnlav
Stjärntagging</t>
        </is>
      </c>
      <c r="S180">
        <f>HYPERLINK("https://klasma.github.io/Logging_2303/artfynd/A 14502-2024 artfynd.xlsx", "A 14502-2024")</f>
        <v/>
      </c>
      <c r="T180">
        <f>HYPERLINK("https://klasma.github.io/Logging_2303/kartor/A 14502-2024 karta.png", "A 14502-2024")</f>
        <v/>
      </c>
      <c r="V180">
        <f>HYPERLINK("https://klasma.github.io/Logging_2303/klagomål/A 14502-2024 FSC-klagomål.docx", "A 14502-2024")</f>
        <v/>
      </c>
      <c r="W180">
        <f>HYPERLINK("https://klasma.github.io/Logging_2303/klagomålsmail/A 14502-2024 FSC-klagomål mail.docx", "A 14502-2024")</f>
        <v/>
      </c>
      <c r="X180">
        <f>HYPERLINK("https://klasma.github.io/Logging_2303/tillsyn/A 14502-2024 tillsynsbegäran.docx", "A 14502-2024")</f>
        <v/>
      </c>
      <c r="Y180">
        <f>HYPERLINK("https://klasma.github.io/Logging_2303/tillsynsmail/A 14502-2024 tillsynsbegäran mail.docx", "A 14502-2024")</f>
        <v/>
      </c>
    </row>
    <row r="181" ht="15" customHeight="1">
      <c r="A181" t="inlineStr">
        <is>
          <t>A 26324-2024</t>
        </is>
      </c>
      <c r="B181" s="1" t="n">
        <v>45468.97495370371</v>
      </c>
      <c r="C181" s="1" t="n">
        <v>45887</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45887</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26482-2023</t>
        </is>
      </c>
      <c r="B183" s="1" t="n">
        <v>45089</v>
      </c>
      <c r="C183" s="1" t="n">
        <v>45887</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46771-2024</t>
        </is>
      </c>
      <c r="B184" s="1" t="n">
        <v>45583.49642361111</v>
      </c>
      <c r="C184" s="1" t="n">
        <v>45887</v>
      </c>
      <c r="D184" t="inlineStr">
        <is>
          <t>JÄMTLANDS LÄN</t>
        </is>
      </c>
      <c r="E184" t="inlineStr">
        <is>
          <t>RAGUNDA</t>
        </is>
      </c>
      <c r="F184" t="inlineStr">
        <is>
          <t>SCA</t>
        </is>
      </c>
      <c r="G184" t="n">
        <v>3.1</v>
      </c>
      <c r="H184" t="n">
        <v>0</v>
      </c>
      <c r="I184" t="n">
        <v>0</v>
      </c>
      <c r="J184" t="n">
        <v>2</v>
      </c>
      <c r="K184" t="n">
        <v>0</v>
      </c>
      <c r="L184" t="n">
        <v>0</v>
      </c>
      <c r="M184" t="n">
        <v>0</v>
      </c>
      <c r="N184" t="n">
        <v>0</v>
      </c>
      <c r="O184" t="n">
        <v>2</v>
      </c>
      <c r="P184" t="n">
        <v>0</v>
      </c>
      <c r="Q184" t="n">
        <v>2</v>
      </c>
      <c r="R184" s="2" t="inlineStr">
        <is>
          <t>Doftskinn
Gammelgransskål</t>
        </is>
      </c>
      <c r="S184">
        <f>HYPERLINK("https://klasma.github.io/Logging_2303/artfynd/A 46771-2024 artfynd.xlsx", "A 46771-2024")</f>
        <v/>
      </c>
      <c r="T184">
        <f>HYPERLINK("https://klasma.github.io/Logging_2303/kartor/A 46771-2024 karta.png", "A 46771-2024")</f>
        <v/>
      </c>
      <c r="V184">
        <f>HYPERLINK("https://klasma.github.io/Logging_2303/klagomål/A 46771-2024 FSC-klagomål.docx", "A 46771-2024")</f>
        <v/>
      </c>
      <c r="W184">
        <f>HYPERLINK("https://klasma.github.io/Logging_2303/klagomålsmail/A 46771-2024 FSC-klagomål mail.docx", "A 46771-2024")</f>
        <v/>
      </c>
      <c r="X184">
        <f>HYPERLINK("https://klasma.github.io/Logging_2303/tillsyn/A 46771-2024 tillsynsbegäran.docx", "A 46771-2024")</f>
        <v/>
      </c>
      <c r="Y184">
        <f>HYPERLINK("https://klasma.github.io/Logging_2303/tillsynsmail/A 46771-2024 tillsynsbegäran mail.docx", "A 46771-2024")</f>
        <v/>
      </c>
    </row>
    <row r="185" ht="15" customHeight="1">
      <c r="A185" t="inlineStr">
        <is>
          <t>A 10866-2025</t>
        </is>
      </c>
      <c r="B185" s="1" t="n">
        <v>45722.61543981481</v>
      </c>
      <c r="C185" s="1" t="n">
        <v>45887</v>
      </c>
      <c r="D185" t="inlineStr">
        <is>
          <t>JÄMTLANDS LÄN</t>
        </is>
      </c>
      <c r="E185" t="inlineStr">
        <is>
          <t>RAGUNDA</t>
        </is>
      </c>
      <c r="F185" t="inlineStr">
        <is>
          <t>SCA</t>
        </is>
      </c>
      <c r="G185" t="n">
        <v>15.9</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10866-2025 artfynd.xlsx", "A 10866-2025")</f>
        <v/>
      </c>
      <c r="T185">
        <f>HYPERLINK("https://klasma.github.io/Logging_2303/kartor/A 10866-2025 karta.png", "A 10866-2025")</f>
        <v/>
      </c>
      <c r="V185">
        <f>HYPERLINK("https://klasma.github.io/Logging_2303/klagomål/A 10866-2025 FSC-klagomål.docx", "A 10866-2025")</f>
        <v/>
      </c>
      <c r="W185">
        <f>HYPERLINK("https://klasma.github.io/Logging_2303/klagomålsmail/A 10866-2025 FSC-klagomål mail.docx", "A 10866-2025")</f>
        <v/>
      </c>
      <c r="X185">
        <f>HYPERLINK("https://klasma.github.io/Logging_2303/tillsyn/A 10866-2025 tillsynsbegäran.docx", "A 10866-2025")</f>
        <v/>
      </c>
      <c r="Y185">
        <f>HYPERLINK("https://klasma.github.io/Logging_2303/tillsynsmail/A 10866-2025 tillsynsbegäran mail.docx", "A 10866-2025")</f>
        <v/>
      </c>
    </row>
    <row r="186" ht="15" customHeight="1">
      <c r="A186" t="inlineStr">
        <is>
          <t>A 48084-2022</t>
        </is>
      </c>
      <c r="B186" s="1" t="n">
        <v>44855</v>
      </c>
      <c r="C186" s="1" t="n">
        <v>45887</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36756-2023</t>
        </is>
      </c>
      <c r="B187" s="1" t="n">
        <v>45153</v>
      </c>
      <c r="C187" s="1" t="n">
        <v>45887</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19384-2025</t>
        </is>
      </c>
      <c r="B188" s="1" t="n">
        <v>45769.65692129629</v>
      </c>
      <c r="C188" s="1" t="n">
        <v>45887</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11086-2025</t>
        </is>
      </c>
      <c r="B189" s="1" t="n">
        <v>45723.57329861111</v>
      </c>
      <c r="C189" s="1" t="n">
        <v>45887</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45887</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55647-2023</t>
        </is>
      </c>
      <c r="B191" s="1" t="n">
        <v>45238</v>
      </c>
      <c r="C191" s="1" t="n">
        <v>45887</v>
      </c>
      <c r="D191" t="inlineStr">
        <is>
          <t>JÄMTLANDS LÄN</t>
        </is>
      </c>
      <c r="E191" t="inlineStr">
        <is>
          <t>RAGUNDA</t>
        </is>
      </c>
      <c r="F191" t="inlineStr">
        <is>
          <t>SCA</t>
        </is>
      </c>
      <c r="G191" t="n">
        <v>3.7</v>
      </c>
      <c r="H191" t="n">
        <v>0</v>
      </c>
      <c r="I191" t="n">
        <v>1</v>
      </c>
      <c r="J191" t="n">
        <v>1</v>
      </c>
      <c r="K191" t="n">
        <v>0</v>
      </c>
      <c r="L191" t="n">
        <v>0</v>
      </c>
      <c r="M191" t="n">
        <v>0</v>
      </c>
      <c r="N191" t="n">
        <v>0</v>
      </c>
      <c r="O191" t="n">
        <v>1</v>
      </c>
      <c r="P191" t="n">
        <v>0</v>
      </c>
      <c r="Q191" t="n">
        <v>2</v>
      </c>
      <c r="R191" s="2" t="inlineStr">
        <is>
          <t>Granticka
Trådticka</t>
        </is>
      </c>
      <c r="S191">
        <f>HYPERLINK("https://klasma.github.io/Logging_2303/artfynd/A 55647-2023 artfynd.xlsx", "A 55647-2023")</f>
        <v/>
      </c>
      <c r="T191">
        <f>HYPERLINK("https://klasma.github.io/Logging_2303/kartor/A 55647-2023 karta.png", "A 55647-2023")</f>
        <v/>
      </c>
      <c r="V191">
        <f>HYPERLINK("https://klasma.github.io/Logging_2303/klagomål/A 55647-2023 FSC-klagomål.docx", "A 55647-2023")</f>
        <v/>
      </c>
      <c r="W191">
        <f>HYPERLINK("https://klasma.github.io/Logging_2303/klagomålsmail/A 55647-2023 FSC-klagomål mail.docx", "A 55647-2023")</f>
        <v/>
      </c>
      <c r="X191">
        <f>HYPERLINK("https://klasma.github.io/Logging_2303/tillsyn/A 55647-2023 tillsynsbegäran.docx", "A 55647-2023")</f>
        <v/>
      </c>
      <c r="Y191">
        <f>HYPERLINK("https://klasma.github.io/Logging_2303/tillsynsmail/A 55647-2023 tillsynsbegäran mail.docx", "A 55647-2023")</f>
        <v/>
      </c>
    </row>
    <row r="192" ht="15" customHeight="1">
      <c r="A192" t="inlineStr">
        <is>
          <t>A 51916-2021</t>
        </is>
      </c>
      <c r="B192" s="1" t="n">
        <v>44462</v>
      </c>
      <c r="C192" s="1" t="n">
        <v>45887</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45887</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45887</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45887</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45887</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39060-2020</t>
        </is>
      </c>
      <c r="B197" s="1" t="n">
        <v>44062</v>
      </c>
      <c r="C197" s="1" t="n">
        <v>45887</v>
      </c>
      <c r="D197" t="inlineStr">
        <is>
          <t>JÄMTLANDS LÄN</t>
        </is>
      </c>
      <c r="E197" t="inlineStr">
        <is>
          <t>RAGUNDA</t>
        </is>
      </c>
      <c r="F197" t="inlineStr">
        <is>
          <t>SCA</t>
        </is>
      </c>
      <c r="G197" t="n">
        <v>6.5</v>
      </c>
      <c r="H197" t="n">
        <v>0</v>
      </c>
      <c r="I197" t="n">
        <v>1</v>
      </c>
      <c r="J197" t="n">
        <v>0</v>
      </c>
      <c r="K197" t="n">
        <v>0</v>
      </c>
      <c r="L197" t="n">
        <v>0</v>
      </c>
      <c r="M197" t="n">
        <v>0</v>
      </c>
      <c r="N197" t="n">
        <v>0</v>
      </c>
      <c r="O197" t="n">
        <v>0</v>
      </c>
      <c r="P197" t="n">
        <v>0</v>
      </c>
      <c r="Q197" t="n">
        <v>1</v>
      </c>
      <c r="R197" s="2" t="inlineStr">
        <is>
          <t>Stuplav</t>
        </is>
      </c>
      <c r="S197">
        <f>HYPERLINK("https://klasma.github.io/Logging_2303/artfynd/A 39060-2020 artfynd.xlsx", "A 39060-2020")</f>
        <v/>
      </c>
      <c r="T197">
        <f>HYPERLINK("https://klasma.github.io/Logging_2303/kartor/A 39060-2020 karta.png", "A 39060-2020")</f>
        <v/>
      </c>
      <c r="V197">
        <f>HYPERLINK("https://klasma.github.io/Logging_2303/klagomål/A 39060-2020 FSC-klagomål.docx", "A 39060-2020")</f>
        <v/>
      </c>
      <c r="W197">
        <f>HYPERLINK("https://klasma.github.io/Logging_2303/klagomålsmail/A 39060-2020 FSC-klagomål mail.docx", "A 39060-2020")</f>
        <v/>
      </c>
      <c r="X197">
        <f>HYPERLINK("https://klasma.github.io/Logging_2303/tillsyn/A 39060-2020 tillsynsbegäran.docx", "A 39060-2020")</f>
        <v/>
      </c>
      <c r="Y197">
        <f>HYPERLINK("https://klasma.github.io/Logging_2303/tillsynsmail/A 39060-2020 tillsynsbegäran mail.docx", "A 39060-2020")</f>
        <v/>
      </c>
    </row>
    <row r="198" ht="15" customHeight="1">
      <c r="A198" t="inlineStr">
        <is>
          <t>A 31477-2022</t>
        </is>
      </c>
      <c r="B198" s="1" t="n">
        <v>44774.94347222222</v>
      </c>
      <c r="C198" s="1" t="n">
        <v>45887</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45887</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45887</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45887</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58846-2024</t>
        </is>
      </c>
      <c r="B202" s="1" t="n">
        <v>45636.3863425926</v>
      </c>
      <c r="C202" s="1" t="n">
        <v>45887</v>
      </c>
      <c r="D202" t="inlineStr">
        <is>
          <t>JÄMTLANDS LÄN</t>
        </is>
      </c>
      <c r="E202" t="inlineStr">
        <is>
          <t>RAGUNDA</t>
        </is>
      </c>
      <c r="F202" t="inlineStr">
        <is>
          <t>SCA</t>
        </is>
      </c>
      <c r="G202" t="n">
        <v>1.5</v>
      </c>
      <c r="H202" t="n">
        <v>0</v>
      </c>
      <c r="I202" t="n">
        <v>0</v>
      </c>
      <c r="J202" t="n">
        <v>0</v>
      </c>
      <c r="K202" t="n">
        <v>1</v>
      </c>
      <c r="L202" t="n">
        <v>0</v>
      </c>
      <c r="M202" t="n">
        <v>0</v>
      </c>
      <c r="N202" t="n">
        <v>0</v>
      </c>
      <c r="O202" t="n">
        <v>1</v>
      </c>
      <c r="P202" t="n">
        <v>1</v>
      </c>
      <c r="Q202" t="n">
        <v>1</v>
      </c>
      <c r="R202" s="2" t="inlineStr">
        <is>
          <t>Rynkskinn</t>
        </is>
      </c>
      <c r="S202">
        <f>HYPERLINK("https://klasma.github.io/Logging_2303/artfynd/A 58846-2024 artfynd.xlsx", "A 58846-2024")</f>
        <v/>
      </c>
      <c r="T202">
        <f>HYPERLINK("https://klasma.github.io/Logging_2303/kartor/A 58846-2024 karta.png", "A 58846-2024")</f>
        <v/>
      </c>
      <c r="V202">
        <f>HYPERLINK("https://klasma.github.io/Logging_2303/klagomål/A 58846-2024 FSC-klagomål.docx", "A 58846-2024")</f>
        <v/>
      </c>
      <c r="W202">
        <f>HYPERLINK("https://klasma.github.io/Logging_2303/klagomålsmail/A 58846-2024 FSC-klagomål mail.docx", "A 58846-2024")</f>
        <v/>
      </c>
      <c r="X202">
        <f>HYPERLINK("https://klasma.github.io/Logging_2303/tillsyn/A 58846-2024 tillsynsbegäran.docx", "A 58846-2024")</f>
        <v/>
      </c>
      <c r="Y202">
        <f>HYPERLINK("https://klasma.github.io/Logging_2303/tillsynsmail/A 58846-2024 tillsynsbegäran mail.docx", "A 58846-2024")</f>
        <v/>
      </c>
    </row>
    <row r="203" ht="15" customHeight="1">
      <c r="A203" t="inlineStr">
        <is>
          <t>A 26322-2024</t>
        </is>
      </c>
      <c r="B203" s="1" t="n">
        <v>45468.97461805555</v>
      </c>
      <c r="C203" s="1" t="n">
        <v>45887</v>
      </c>
      <c r="D203" t="inlineStr">
        <is>
          <t>JÄMTLANDS LÄN</t>
        </is>
      </c>
      <c r="E203" t="inlineStr">
        <is>
          <t>RAGUNDA</t>
        </is>
      </c>
      <c r="F203" t="inlineStr">
        <is>
          <t>SCA</t>
        </is>
      </c>
      <c r="G203" t="n">
        <v>9.6</v>
      </c>
      <c r="H203" t="n">
        <v>0</v>
      </c>
      <c r="I203" t="n">
        <v>0</v>
      </c>
      <c r="J203" t="n">
        <v>1</v>
      </c>
      <c r="K203" t="n">
        <v>0</v>
      </c>
      <c r="L203" t="n">
        <v>0</v>
      </c>
      <c r="M203" t="n">
        <v>0</v>
      </c>
      <c r="N203" t="n">
        <v>0</v>
      </c>
      <c r="O203" t="n">
        <v>1</v>
      </c>
      <c r="P203" t="n">
        <v>0</v>
      </c>
      <c r="Q203" t="n">
        <v>1</v>
      </c>
      <c r="R203" s="2" t="inlineStr">
        <is>
          <t>Rosenticka</t>
        </is>
      </c>
      <c r="S203">
        <f>HYPERLINK("https://klasma.github.io/Logging_2303/artfynd/A 26322-2024 artfynd.xlsx", "A 26322-2024")</f>
        <v/>
      </c>
      <c r="T203">
        <f>HYPERLINK("https://klasma.github.io/Logging_2303/kartor/A 26322-2024 karta.png", "A 26322-2024")</f>
        <v/>
      </c>
      <c r="U203">
        <f>HYPERLINK("https://klasma.github.io/Logging_2303/knärot/A 26322-2024 karta knärot.png", "A 26322-2024")</f>
        <v/>
      </c>
      <c r="V203">
        <f>HYPERLINK("https://klasma.github.io/Logging_2303/klagomål/A 26322-2024 FSC-klagomål.docx", "A 26322-2024")</f>
        <v/>
      </c>
      <c r="W203">
        <f>HYPERLINK("https://klasma.github.io/Logging_2303/klagomålsmail/A 26322-2024 FSC-klagomål mail.docx", "A 26322-2024")</f>
        <v/>
      </c>
      <c r="X203">
        <f>HYPERLINK("https://klasma.github.io/Logging_2303/tillsyn/A 26322-2024 tillsynsbegäran.docx", "A 26322-2024")</f>
        <v/>
      </c>
      <c r="Y203">
        <f>HYPERLINK("https://klasma.github.io/Logging_2303/tillsynsmail/A 26322-2024 tillsynsbegäran mail.docx", "A 26322-2024")</f>
        <v/>
      </c>
    </row>
    <row r="204" ht="15" customHeight="1">
      <c r="A204" t="inlineStr">
        <is>
          <t>A 19751-2025</t>
        </is>
      </c>
      <c r="B204" s="1" t="n">
        <v>45771.3859837963</v>
      </c>
      <c r="C204" s="1" t="n">
        <v>45887</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45887</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45887</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36224-2023</t>
        </is>
      </c>
      <c r="B207" s="1" t="n">
        <v>45149</v>
      </c>
      <c r="C207" s="1" t="n">
        <v>45887</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21212-2025</t>
        </is>
      </c>
      <c r="B208" s="1" t="n">
        <v>45779.48993055556</v>
      </c>
      <c r="C208" s="1" t="n">
        <v>45887</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Garnlav</t>
        </is>
      </c>
      <c r="S208">
        <f>HYPERLINK("https://klasma.github.io/Logging_2303/artfynd/A 21212-2025 artfynd.xlsx", "A 21212-2025")</f>
        <v/>
      </c>
      <c r="T208">
        <f>HYPERLINK("https://klasma.github.io/Logging_2303/kartor/A 21212-2025 karta.png", "A 21212-2025")</f>
        <v/>
      </c>
      <c r="V208">
        <f>HYPERLINK("https://klasma.github.io/Logging_2303/klagomål/A 21212-2025 FSC-klagomål.docx", "A 21212-2025")</f>
        <v/>
      </c>
      <c r="W208">
        <f>HYPERLINK("https://klasma.github.io/Logging_2303/klagomålsmail/A 21212-2025 FSC-klagomål mail.docx", "A 21212-2025")</f>
        <v/>
      </c>
      <c r="X208">
        <f>HYPERLINK("https://klasma.github.io/Logging_2303/tillsyn/A 21212-2025 tillsynsbegäran.docx", "A 21212-2025")</f>
        <v/>
      </c>
      <c r="Y208">
        <f>HYPERLINK("https://klasma.github.io/Logging_2303/tillsynsmail/A 21212-2025 tillsynsbegäran mail.docx", "A 21212-2025")</f>
        <v/>
      </c>
    </row>
    <row r="209" ht="15" customHeight="1">
      <c r="A209" t="inlineStr">
        <is>
          <t>A 17340-2023</t>
        </is>
      </c>
      <c r="B209" s="1" t="n">
        <v>45033</v>
      </c>
      <c r="C209" s="1" t="n">
        <v>45887</v>
      </c>
      <c r="D209" t="inlineStr">
        <is>
          <t>JÄMTLANDS LÄN</t>
        </is>
      </c>
      <c r="E209" t="inlineStr">
        <is>
          <t>RAGUNDA</t>
        </is>
      </c>
      <c r="G209" t="n">
        <v>1.6</v>
      </c>
      <c r="H209" t="n">
        <v>0</v>
      </c>
      <c r="I209" t="n">
        <v>0</v>
      </c>
      <c r="J209" t="n">
        <v>1</v>
      </c>
      <c r="K209" t="n">
        <v>0</v>
      </c>
      <c r="L209" t="n">
        <v>0</v>
      </c>
      <c r="M209" t="n">
        <v>0</v>
      </c>
      <c r="N209" t="n">
        <v>0</v>
      </c>
      <c r="O209" t="n">
        <v>1</v>
      </c>
      <c r="P209" t="n">
        <v>0</v>
      </c>
      <c r="Q209" t="n">
        <v>1</v>
      </c>
      <c r="R209" s="2" t="inlineStr">
        <is>
          <t>Vedtrappmossa</t>
        </is>
      </c>
      <c r="S209">
        <f>HYPERLINK("https://klasma.github.io/Logging_2303/artfynd/A 17340-2023 artfynd.xlsx", "A 17340-2023")</f>
        <v/>
      </c>
      <c r="T209">
        <f>HYPERLINK("https://klasma.github.io/Logging_2303/kartor/A 17340-2023 karta.png", "A 17340-2023")</f>
        <v/>
      </c>
      <c r="U209">
        <f>HYPERLINK("https://klasma.github.io/Logging_2303/knärot/A 17340-2023 karta knärot.png", "A 17340-2023")</f>
        <v/>
      </c>
      <c r="V209">
        <f>HYPERLINK("https://klasma.github.io/Logging_2303/klagomål/A 17340-2023 FSC-klagomål.docx", "A 17340-2023")</f>
        <v/>
      </c>
      <c r="W209">
        <f>HYPERLINK("https://klasma.github.io/Logging_2303/klagomålsmail/A 17340-2023 FSC-klagomål mail.docx", "A 17340-2023")</f>
        <v/>
      </c>
      <c r="X209">
        <f>HYPERLINK("https://klasma.github.io/Logging_2303/tillsyn/A 17340-2023 tillsynsbegäran.docx", "A 17340-2023")</f>
        <v/>
      </c>
      <c r="Y209">
        <f>HYPERLINK("https://klasma.github.io/Logging_2303/tillsynsmail/A 17340-2023 tillsynsbegäran mail.docx", "A 17340-2023")</f>
        <v/>
      </c>
    </row>
    <row r="210" ht="15" customHeight="1">
      <c r="A210" t="inlineStr">
        <is>
          <t>A 22771-2025</t>
        </is>
      </c>
      <c r="B210" s="1" t="n">
        <v>45789.6360300926</v>
      </c>
      <c r="C210" s="1" t="n">
        <v>45887</v>
      </c>
      <c r="D210" t="inlineStr">
        <is>
          <t>JÄMTLANDS LÄN</t>
        </is>
      </c>
      <c r="E210" t="inlineStr">
        <is>
          <t>RAGUNDA</t>
        </is>
      </c>
      <c r="F210" t="inlineStr">
        <is>
          <t>SCA</t>
        </is>
      </c>
      <c r="G210" t="n">
        <v>15.2</v>
      </c>
      <c r="H210" t="n">
        <v>0</v>
      </c>
      <c r="I210" t="n">
        <v>0</v>
      </c>
      <c r="J210" t="n">
        <v>1</v>
      </c>
      <c r="K210" t="n">
        <v>0</v>
      </c>
      <c r="L210" t="n">
        <v>0</v>
      </c>
      <c r="M210" t="n">
        <v>0</v>
      </c>
      <c r="N210" t="n">
        <v>0</v>
      </c>
      <c r="O210" t="n">
        <v>1</v>
      </c>
      <c r="P210" t="n">
        <v>0</v>
      </c>
      <c r="Q210" t="n">
        <v>1</v>
      </c>
      <c r="R210" s="2" t="inlineStr">
        <is>
          <t>Blanksvart spiklav</t>
        </is>
      </c>
      <c r="S210">
        <f>HYPERLINK("https://klasma.github.io/Logging_2303/artfynd/A 22771-2025 artfynd.xlsx", "A 22771-2025")</f>
        <v/>
      </c>
      <c r="T210">
        <f>HYPERLINK("https://klasma.github.io/Logging_2303/kartor/A 22771-2025 karta.png", "A 22771-2025")</f>
        <v/>
      </c>
      <c r="V210">
        <f>HYPERLINK("https://klasma.github.io/Logging_2303/klagomål/A 22771-2025 FSC-klagomål.docx", "A 22771-2025")</f>
        <v/>
      </c>
      <c r="W210">
        <f>HYPERLINK("https://klasma.github.io/Logging_2303/klagomålsmail/A 22771-2025 FSC-klagomål mail.docx", "A 22771-2025")</f>
        <v/>
      </c>
      <c r="X210">
        <f>HYPERLINK("https://klasma.github.io/Logging_2303/tillsyn/A 22771-2025 tillsynsbegäran.docx", "A 22771-2025")</f>
        <v/>
      </c>
      <c r="Y210">
        <f>HYPERLINK("https://klasma.github.io/Logging_2303/tillsynsmail/A 22771-2025 tillsynsbegäran mail.docx", "A 22771-2025")</f>
        <v/>
      </c>
    </row>
    <row r="211" ht="15" customHeight="1">
      <c r="A211" t="inlineStr">
        <is>
          <t>A 16724-2025</t>
        </is>
      </c>
      <c r="B211" s="1" t="n">
        <v>45754.51064814815</v>
      </c>
      <c r="C211" s="1" t="n">
        <v>45887</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59104-2023</t>
        </is>
      </c>
      <c r="B212" s="1" t="n">
        <v>45252</v>
      </c>
      <c r="C212" s="1" t="n">
        <v>45887</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62072-2023</t>
        </is>
      </c>
      <c r="B213" s="1" t="n">
        <v>45266</v>
      </c>
      <c r="C213" s="1" t="n">
        <v>45887</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45887</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49770-2024</t>
        </is>
      </c>
      <c r="B215" s="1" t="n">
        <v>45597.34461805555</v>
      </c>
      <c r="C215" s="1" t="n">
        <v>45887</v>
      </c>
      <c r="D215" t="inlineStr">
        <is>
          <t>JÄMTLANDS LÄN</t>
        </is>
      </c>
      <c r="E215" t="inlineStr">
        <is>
          <t>RAGUNDA</t>
        </is>
      </c>
      <c r="F215" t="inlineStr">
        <is>
          <t>Naturvårdsverket</t>
        </is>
      </c>
      <c r="G215" t="n">
        <v>8.9</v>
      </c>
      <c r="H215" t="n">
        <v>1</v>
      </c>
      <c r="I215" t="n">
        <v>0</v>
      </c>
      <c r="J215" t="n">
        <v>0</v>
      </c>
      <c r="K215" t="n">
        <v>1</v>
      </c>
      <c r="L215" t="n">
        <v>0</v>
      </c>
      <c r="M215" t="n">
        <v>0</v>
      </c>
      <c r="N215" t="n">
        <v>0</v>
      </c>
      <c r="O215" t="n">
        <v>1</v>
      </c>
      <c r="P215" t="n">
        <v>1</v>
      </c>
      <c r="Q215" t="n">
        <v>1</v>
      </c>
      <c r="R215" s="2" t="inlineStr">
        <is>
          <t>Doftticka</t>
        </is>
      </c>
      <c r="S215">
        <f>HYPERLINK("https://klasma.github.io/Logging_2303/artfynd/A 49770-2024 artfynd.xlsx", "A 49770-2024")</f>
        <v/>
      </c>
      <c r="T215">
        <f>HYPERLINK("https://klasma.github.io/Logging_2303/kartor/A 49770-2024 karta.png", "A 49770-2024")</f>
        <v/>
      </c>
      <c r="V215">
        <f>HYPERLINK("https://klasma.github.io/Logging_2303/klagomål/A 49770-2024 FSC-klagomål.docx", "A 49770-2024")</f>
        <v/>
      </c>
      <c r="W215">
        <f>HYPERLINK("https://klasma.github.io/Logging_2303/klagomålsmail/A 49770-2024 FSC-klagomål mail.docx", "A 49770-2024")</f>
        <v/>
      </c>
      <c r="X215">
        <f>HYPERLINK("https://klasma.github.io/Logging_2303/tillsyn/A 49770-2024 tillsynsbegäran.docx", "A 49770-2024")</f>
        <v/>
      </c>
      <c r="Y215">
        <f>HYPERLINK("https://klasma.github.io/Logging_2303/tillsynsmail/A 49770-2024 tillsynsbegäran mail.docx", "A 49770-2024")</f>
        <v/>
      </c>
    </row>
    <row r="216" ht="15" customHeight="1">
      <c r="A216" t="inlineStr">
        <is>
          <t>A 36757-2023</t>
        </is>
      </c>
      <c r="B216" s="1" t="n">
        <v>45153</v>
      </c>
      <c r="C216" s="1" t="n">
        <v>45887</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34474-2025</t>
        </is>
      </c>
      <c r="B217" s="1" t="n">
        <v>45847.36528935185</v>
      </c>
      <c r="C217" s="1" t="n">
        <v>45887</v>
      </c>
      <c r="D217" t="inlineStr">
        <is>
          <t>JÄMTLANDS LÄN</t>
        </is>
      </c>
      <c r="E217" t="inlineStr">
        <is>
          <t>RAGUNDA</t>
        </is>
      </c>
      <c r="F217" t="inlineStr">
        <is>
          <t>SCA</t>
        </is>
      </c>
      <c r="G217" t="n">
        <v>9.699999999999999</v>
      </c>
      <c r="H217" t="n">
        <v>1</v>
      </c>
      <c r="I217" t="n">
        <v>0</v>
      </c>
      <c r="J217" t="n">
        <v>1</v>
      </c>
      <c r="K217" t="n">
        <v>0</v>
      </c>
      <c r="L217" t="n">
        <v>0</v>
      </c>
      <c r="M217" t="n">
        <v>0</v>
      </c>
      <c r="N217" t="n">
        <v>0</v>
      </c>
      <c r="O217" t="n">
        <v>1</v>
      </c>
      <c r="P217" t="n">
        <v>0</v>
      </c>
      <c r="Q217" t="n">
        <v>1</v>
      </c>
      <c r="R217" s="2" t="inlineStr">
        <is>
          <t>Fjällvråk</t>
        </is>
      </c>
      <c r="S217">
        <f>HYPERLINK("https://klasma.github.io/Logging_2303/artfynd/A 34474-2025 artfynd.xlsx", "A 34474-2025")</f>
        <v/>
      </c>
      <c r="T217">
        <f>HYPERLINK("https://klasma.github.io/Logging_2303/kartor/A 34474-2025 karta.png", "A 34474-2025")</f>
        <v/>
      </c>
      <c r="V217">
        <f>HYPERLINK("https://klasma.github.io/Logging_2303/klagomål/A 34474-2025 FSC-klagomål.docx", "A 34474-2025")</f>
        <v/>
      </c>
      <c r="W217">
        <f>HYPERLINK("https://klasma.github.io/Logging_2303/klagomålsmail/A 34474-2025 FSC-klagomål mail.docx", "A 34474-2025")</f>
        <v/>
      </c>
      <c r="X217">
        <f>HYPERLINK("https://klasma.github.io/Logging_2303/tillsyn/A 34474-2025 tillsynsbegäran.docx", "A 34474-2025")</f>
        <v/>
      </c>
      <c r="Y217">
        <f>HYPERLINK("https://klasma.github.io/Logging_2303/tillsynsmail/A 34474-2025 tillsynsbegäran mail.docx", "A 34474-2025")</f>
        <v/>
      </c>
      <c r="Z217">
        <f>HYPERLINK("https://klasma.github.io/Logging_2303/fåglar/A 34474-2025 prioriterade fågelarter.docx", "A 34474-2025")</f>
        <v/>
      </c>
    </row>
    <row r="218" ht="15" customHeight="1">
      <c r="A218" t="inlineStr">
        <is>
          <t>A 43404-2023</t>
        </is>
      </c>
      <c r="B218" s="1" t="n">
        <v>45183</v>
      </c>
      <c r="C218" s="1" t="n">
        <v>45887</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23930-2024</t>
        </is>
      </c>
      <c r="B219" s="1" t="n">
        <v>45455.96184027778</v>
      </c>
      <c r="C219" s="1" t="n">
        <v>45887</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61324-2024</t>
        </is>
      </c>
      <c r="B220" s="1" t="n">
        <v>45646.34438657408</v>
      </c>
      <c r="C220" s="1" t="n">
        <v>45887</v>
      </c>
      <c r="D220" t="inlineStr">
        <is>
          <t>JÄMTLANDS LÄN</t>
        </is>
      </c>
      <c r="E220" t="inlineStr">
        <is>
          <t>RAGUNDA</t>
        </is>
      </c>
      <c r="F220" t="inlineStr">
        <is>
          <t>SCA</t>
        </is>
      </c>
      <c r="G220" t="n">
        <v>11.2</v>
      </c>
      <c r="H220" t="n">
        <v>1</v>
      </c>
      <c r="I220" t="n">
        <v>0</v>
      </c>
      <c r="J220" t="n">
        <v>0</v>
      </c>
      <c r="K220" t="n">
        <v>0</v>
      </c>
      <c r="L220" t="n">
        <v>0</v>
      </c>
      <c r="M220" t="n">
        <v>0</v>
      </c>
      <c r="N220" t="n">
        <v>0</v>
      </c>
      <c r="O220" t="n">
        <v>0</v>
      </c>
      <c r="P220" t="n">
        <v>0</v>
      </c>
      <c r="Q220" t="n">
        <v>1</v>
      </c>
      <c r="R220" s="2" t="inlineStr">
        <is>
          <t>Trana</t>
        </is>
      </c>
      <c r="S220">
        <f>HYPERLINK("https://klasma.github.io/Logging_2303/artfynd/A 61324-2024 artfynd.xlsx", "A 61324-2024")</f>
        <v/>
      </c>
      <c r="T220">
        <f>HYPERLINK("https://klasma.github.io/Logging_2303/kartor/A 61324-2024 karta.png", "A 61324-2024")</f>
        <v/>
      </c>
      <c r="V220">
        <f>HYPERLINK("https://klasma.github.io/Logging_2303/klagomål/A 61324-2024 FSC-klagomål.docx", "A 61324-2024")</f>
        <v/>
      </c>
      <c r="W220">
        <f>HYPERLINK("https://klasma.github.io/Logging_2303/klagomålsmail/A 61324-2024 FSC-klagomål mail.docx", "A 61324-2024")</f>
        <v/>
      </c>
      <c r="X220">
        <f>HYPERLINK("https://klasma.github.io/Logging_2303/tillsyn/A 61324-2024 tillsynsbegäran.docx", "A 61324-2024")</f>
        <v/>
      </c>
      <c r="Y220">
        <f>HYPERLINK("https://klasma.github.io/Logging_2303/tillsynsmail/A 61324-2024 tillsynsbegäran mail.docx", "A 61324-2024")</f>
        <v/>
      </c>
      <c r="Z220">
        <f>HYPERLINK("https://klasma.github.io/Logging_2303/fåglar/A 61324-2024 prioriterade fågelarter.docx", "A 61324-2024")</f>
        <v/>
      </c>
    </row>
    <row r="221" ht="15" customHeight="1">
      <c r="A221" t="inlineStr">
        <is>
          <t>A 6703-2024</t>
        </is>
      </c>
      <c r="B221" s="1" t="n">
        <v>45341</v>
      </c>
      <c r="C221" s="1" t="n">
        <v>45887</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Vitgrynig nållav</t>
        </is>
      </c>
      <c r="S221">
        <f>HYPERLINK("https://klasma.github.io/Logging_2303/artfynd/A 6703-2024 artfynd.xlsx", "A 6703-2024")</f>
        <v/>
      </c>
      <c r="T221">
        <f>HYPERLINK("https://klasma.github.io/Logging_2303/kartor/A 6703-2024 karta.png", "A 6703-2024")</f>
        <v/>
      </c>
      <c r="V221">
        <f>HYPERLINK("https://klasma.github.io/Logging_2303/klagomål/A 6703-2024 FSC-klagomål.docx", "A 6703-2024")</f>
        <v/>
      </c>
      <c r="W221">
        <f>HYPERLINK("https://klasma.github.io/Logging_2303/klagomålsmail/A 6703-2024 FSC-klagomål mail.docx", "A 6703-2024")</f>
        <v/>
      </c>
      <c r="X221">
        <f>HYPERLINK("https://klasma.github.io/Logging_2303/tillsyn/A 6703-2024 tillsynsbegäran.docx", "A 6703-2024")</f>
        <v/>
      </c>
      <c r="Y221">
        <f>HYPERLINK("https://klasma.github.io/Logging_2303/tillsynsmail/A 6703-2024 tillsynsbegäran mail.docx", "A 6703-2024")</f>
        <v/>
      </c>
    </row>
    <row r="222" ht="15" customHeight="1">
      <c r="A222" t="inlineStr">
        <is>
          <t>A 27573-2025</t>
        </is>
      </c>
      <c r="B222" s="1" t="n">
        <v>45813.49061342593</v>
      </c>
      <c r="C222" s="1" t="n">
        <v>45887</v>
      </c>
      <c r="D222" t="inlineStr">
        <is>
          <t>JÄMTLANDS LÄN</t>
        </is>
      </c>
      <c r="E222" t="inlineStr">
        <is>
          <t>RAGUNDA</t>
        </is>
      </c>
      <c r="F222" t="inlineStr">
        <is>
          <t>SCA</t>
        </is>
      </c>
      <c r="G222" t="n">
        <v>14.9</v>
      </c>
      <c r="H222" t="n">
        <v>0</v>
      </c>
      <c r="I222" t="n">
        <v>1</v>
      </c>
      <c r="J222" t="n">
        <v>0</v>
      </c>
      <c r="K222" t="n">
        <v>0</v>
      </c>
      <c r="L222" t="n">
        <v>0</v>
      </c>
      <c r="M222" t="n">
        <v>0</v>
      </c>
      <c r="N222" t="n">
        <v>0</v>
      </c>
      <c r="O222" t="n">
        <v>0</v>
      </c>
      <c r="P222" t="n">
        <v>0</v>
      </c>
      <c r="Q222" t="n">
        <v>1</v>
      </c>
      <c r="R222" s="2" t="inlineStr">
        <is>
          <t>Skinnlav</t>
        </is>
      </c>
      <c r="S222">
        <f>HYPERLINK("https://klasma.github.io/Logging_2303/artfynd/A 27573-2025 artfynd.xlsx", "A 27573-2025")</f>
        <v/>
      </c>
      <c r="T222">
        <f>HYPERLINK("https://klasma.github.io/Logging_2303/kartor/A 27573-2025 karta.png", "A 27573-2025")</f>
        <v/>
      </c>
      <c r="U222">
        <f>HYPERLINK("https://klasma.github.io/Logging_2303/knärot/A 27573-2025 karta knärot.png", "A 27573-2025")</f>
        <v/>
      </c>
      <c r="V222">
        <f>HYPERLINK("https://klasma.github.io/Logging_2303/klagomål/A 27573-2025 FSC-klagomål.docx", "A 27573-2025")</f>
        <v/>
      </c>
      <c r="W222">
        <f>HYPERLINK("https://klasma.github.io/Logging_2303/klagomålsmail/A 27573-2025 FSC-klagomål mail.docx", "A 27573-2025")</f>
        <v/>
      </c>
      <c r="X222">
        <f>HYPERLINK("https://klasma.github.io/Logging_2303/tillsyn/A 27573-2025 tillsynsbegäran.docx", "A 27573-2025")</f>
        <v/>
      </c>
      <c r="Y222">
        <f>HYPERLINK("https://klasma.github.io/Logging_2303/tillsynsmail/A 27573-2025 tillsynsbegäran mail.docx", "A 27573-2025")</f>
        <v/>
      </c>
    </row>
    <row r="223" ht="15" customHeight="1">
      <c r="A223" t="inlineStr">
        <is>
          <t>A 24443-2024</t>
        </is>
      </c>
      <c r="B223" s="1" t="n">
        <v>45457.9640625</v>
      </c>
      <c r="C223" s="1" t="n">
        <v>45887</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48429-2023</t>
        </is>
      </c>
      <c r="B224" s="1" t="n">
        <v>45205</v>
      </c>
      <c r="C224" s="1" t="n">
        <v>45887</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48429-2023 artfynd.xlsx", "A 48429-2023")</f>
        <v/>
      </c>
      <c r="T224">
        <f>HYPERLINK("https://klasma.github.io/Logging_2303/kartor/A 48429-2023 karta.png", "A 48429-2023")</f>
        <v/>
      </c>
      <c r="V224">
        <f>HYPERLINK("https://klasma.github.io/Logging_2303/klagomål/A 48429-2023 FSC-klagomål.docx", "A 48429-2023")</f>
        <v/>
      </c>
      <c r="W224">
        <f>HYPERLINK("https://klasma.github.io/Logging_2303/klagomålsmail/A 48429-2023 FSC-klagomål mail.docx", "A 48429-2023")</f>
        <v/>
      </c>
      <c r="X224">
        <f>HYPERLINK("https://klasma.github.io/Logging_2303/tillsyn/A 48429-2023 tillsynsbegäran.docx", "A 48429-2023")</f>
        <v/>
      </c>
      <c r="Y224">
        <f>HYPERLINK("https://klasma.github.io/Logging_2303/tillsynsmail/A 48429-2023 tillsynsbegäran mail.docx", "A 48429-2023")</f>
        <v/>
      </c>
    </row>
    <row r="225" ht="15" customHeight="1">
      <c r="A225" t="inlineStr">
        <is>
          <t>A 19387-2025</t>
        </is>
      </c>
      <c r="B225" s="1" t="n">
        <v>45769.65736111111</v>
      </c>
      <c r="C225" s="1" t="n">
        <v>45887</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45887</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11040-2023</t>
        </is>
      </c>
      <c r="B227" s="1" t="n">
        <v>44991</v>
      </c>
      <c r="C227" s="1" t="n">
        <v>45887</v>
      </c>
      <c r="D227" t="inlineStr">
        <is>
          <t>JÄMTLANDS LÄN</t>
        </is>
      </c>
      <c r="E227" t="inlineStr">
        <is>
          <t>RAGUNDA</t>
        </is>
      </c>
      <c r="F227" t="inlineStr">
        <is>
          <t>SCA</t>
        </is>
      </c>
      <c r="G227" t="n">
        <v>10.2</v>
      </c>
      <c r="H227" t="n">
        <v>0</v>
      </c>
      <c r="I227" t="n">
        <v>0</v>
      </c>
      <c r="J227" t="n">
        <v>1</v>
      </c>
      <c r="K227" t="n">
        <v>0</v>
      </c>
      <c r="L227" t="n">
        <v>0</v>
      </c>
      <c r="M227" t="n">
        <v>0</v>
      </c>
      <c r="N227" t="n">
        <v>0</v>
      </c>
      <c r="O227" t="n">
        <v>1</v>
      </c>
      <c r="P227" t="n">
        <v>0</v>
      </c>
      <c r="Q227" t="n">
        <v>1</v>
      </c>
      <c r="R227" s="2" t="inlineStr">
        <is>
          <t>Lunglav</t>
        </is>
      </c>
      <c r="S227">
        <f>HYPERLINK("https://klasma.github.io/Logging_2303/artfynd/A 11040-2023 artfynd.xlsx", "A 11040-2023")</f>
        <v/>
      </c>
      <c r="T227">
        <f>HYPERLINK("https://klasma.github.io/Logging_2303/kartor/A 11040-2023 karta.png", "A 11040-2023")</f>
        <v/>
      </c>
      <c r="V227">
        <f>HYPERLINK("https://klasma.github.io/Logging_2303/klagomål/A 11040-2023 FSC-klagomål.docx", "A 11040-2023")</f>
        <v/>
      </c>
      <c r="W227">
        <f>HYPERLINK("https://klasma.github.io/Logging_2303/klagomålsmail/A 11040-2023 FSC-klagomål mail.docx", "A 11040-2023")</f>
        <v/>
      </c>
      <c r="X227">
        <f>HYPERLINK("https://klasma.github.io/Logging_2303/tillsyn/A 11040-2023 tillsynsbegäran.docx", "A 11040-2023")</f>
        <v/>
      </c>
      <c r="Y227">
        <f>HYPERLINK("https://klasma.github.io/Logging_2303/tillsynsmail/A 11040-2023 tillsynsbegäran mail.docx", "A 11040-2023")</f>
        <v/>
      </c>
    </row>
    <row r="228" ht="15" customHeight="1">
      <c r="A228" t="inlineStr">
        <is>
          <t>A 30390-2025</t>
        </is>
      </c>
      <c r="B228" s="1" t="n">
        <v>45827.57371527778</v>
      </c>
      <c r="C228" s="1" t="n">
        <v>45887</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19728-2025</t>
        </is>
      </c>
      <c r="B229" s="1" t="n">
        <v>45771.36548611111</v>
      </c>
      <c r="C229" s="1" t="n">
        <v>45887</v>
      </c>
      <c r="D229" t="inlineStr">
        <is>
          <t>JÄMTLANDS LÄN</t>
        </is>
      </c>
      <c r="E229" t="inlineStr">
        <is>
          <t>RAGUNDA</t>
        </is>
      </c>
      <c r="F229" t="inlineStr">
        <is>
          <t>SCA</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19728-2025 artfynd.xlsx", "A 19728-2025")</f>
        <v/>
      </c>
      <c r="T229">
        <f>HYPERLINK("https://klasma.github.io/Logging_2303/kartor/A 19728-2025 karta.png", "A 19728-2025")</f>
        <v/>
      </c>
      <c r="V229">
        <f>HYPERLINK("https://klasma.github.io/Logging_2303/klagomål/A 19728-2025 FSC-klagomål.docx", "A 19728-2025")</f>
        <v/>
      </c>
      <c r="W229">
        <f>HYPERLINK("https://klasma.github.io/Logging_2303/klagomålsmail/A 19728-2025 FSC-klagomål mail.docx", "A 19728-2025")</f>
        <v/>
      </c>
      <c r="X229">
        <f>HYPERLINK("https://klasma.github.io/Logging_2303/tillsyn/A 19728-2025 tillsynsbegäran.docx", "A 19728-2025")</f>
        <v/>
      </c>
      <c r="Y229">
        <f>HYPERLINK("https://klasma.github.io/Logging_2303/tillsynsmail/A 19728-2025 tillsynsbegäran mail.docx", "A 19728-2025")</f>
        <v/>
      </c>
      <c r="Z229">
        <f>HYPERLINK("https://klasma.github.io/Logging_2303/fåglar/A 19728-2025 prioriterade fågelarter.docx", "A 19728-2025")</f>
        <v/>
      </c>
    </row>
    <row r="230" ht="15" customHeight="1">
      <c r="A230" t="inlineStr">
        <is>
          <t>A 22054-2025</t>
        </is>
      </c>
      <c r="B230" s="1" t="n">
        <v>45785.36525462963</v>
      </c>
      <c r="C230" s="1" t="n">
        <v>45887</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49091-2022</t>
        </is>
      </c>
      <c r="B231" s="1" t="n">
        <v>44860</v>
      </c>
      <c r="C231" s="1" t="n">
        <v>45887</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20774-2024</t>
        </is>
      </c>
      <c r="B232" s="1" t="n">
        <v>45436.94644675926</v>
      </c>
      <c r="C232" s="1" t="n">
        <v>45887</v>
      </c>
      <c r="D232" t="inlineStr">
        <is>
          <t>JÄMTLANDS LÄN</t>
        </is>
      </c>
      <c r="E232" t="inlineStr">
        <is>
          <t>RAGUNDA</t>
        </is>
      </c>
      <c r="F232" t="inlineStr">
        <is>
          <t>SCA</t>
        </is>
      </c>
      <c r="G232" t="n">
        <v>2.3</v>
      </c>
      <c r="H232" t="n">
        <v>0</v>
      </c>
      <c r="I232" t="n">
        <v>1</v>
      </c>
      <c r="J232" t="n">
        <v>0</v>
      </c>
      <c r="K232" t="n">
        <v>0</v>
      </c>
      <c r="L232" t="n">
        <v>0</v>
      </c>
      <c r="M232" t="n">
        <v>0</v>
      </c>
      <c r="N232" t="n">
        <v>0</v>
      </c>
      <c r="O232" t="n">
        <v>0</v>
      </c>
      <c r="P232" t="n">
        <v>0</v>
      </c>
      <c r="Q232" t="n">
        <v>1</v>
      </c>
      <c r="R232" s="2" t="inlineStr">
        <is>
          <t>Fjällig taggsvamp s.str.</t>
        </is>
      </c>
      <c r="S232">
        <f>HYPERLINK("https://klasma.github.io/Logging_2303/artfynd/A 20774-2024 artfynd.xlsx", "A 20774-2024")</f>
        <v/>
      </c>
      <c r="T232">
        <f>HYPERLINK("https://klasma.github.io/Logging_2303/kartor/A 20774-2024 karta.png", "A 20774-2024")</f>
        <v/>
      </c>
      <c r="V232">
        <f>HYPERLINK("https://klasma.github.io/Logging_2303/klagomål/A 20774-2024 FSC-klagomål.docx", "A 20774-2024")</f>
        <v/>
      </c>
      <c r="W232">
        <f>HYPERLINK("https://klasma.github.io/Logging_2303/klagomålsmail/A 20774-2024 FSC-klagomål mail.docx", "A 20774-2024")</f>
        <v/>
      </c>
      <c r="X232">
        <f>HYPERLINK("https://klasma.github.io/Logging_2303/tillsyn/A 20774-2024 tillsynsbegäran.docx", "A 20774-2024")</f>
        <v/>
      </c>
      <c r="Y232">
        <f>HYPERLINK("https://klasma.github.io/Logging_2303/tillsynsmail/A 20774-2024 tillsynsbegäran mail.docx", "A 20774-2024")</f>
        <v/>
      </c>
    </row>
    <row r="233" ht="15" customHeight="1">
      <c r="A233" t="inlineStr">
        <is>
          <t>A 32445-2025</t>
        </is>
      </c>
      <c r="B233" s="1" t="n">
        <v>45838.38627314815</v>
      </c>
      <c r="C233" s="1" t="n">
        <v>45887</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52898-2020</t>
        </is>
      </c>
      <c r="B234" s="1" t="n">
        <v>44119</v>
      </c>
      <c r="C234" s="1" t="n">
        <v>45887</v>
      </c>
      <c r="D234" t="inlineStr">
        <is>
          <t>JÄMTLANDS LÄN</t>
        </is>
      </c>
      <c r="E234" t="inlineStr">
        <is>
          <t>RAGUNDA</t>
        </is>
      </c>
      <c r="G234" t="n">
        <v>1.4</v>
      </c>
      <c r="H234" t="n">
        <v>1</v>
      </c>
      <c r="I234" t="n">
        <v>0</v>
      </c>
      <c r="J234" t="n">
        <v>0</v>
      </c>
      <c r="K234" t="n">
        <v>0</v>
      </c>
      <c r="L234" t="n">
        <v>0</v>
      </c>
      <c r="M234" t="n">
        <v>0</v>
      </c>
      <c r="N234" t="n">
        <v>0</v>
      </c>
      <c r="O234" t="n">
        <v>0</v>
      </c>
      <c r="P234" t="n">
        <v>0</v>
      </c>
      <c r="Q234" t="n">
        <v>1</v>
      </c>
      <c r="R234" s="2" t="inlineStr">
        <is>
          <t>Revlummer</t>
        </is>
      </c>
      <c r="S234">
        <f>HYPERLINK("https://klasma.github.io/Logging_2303/artfynd/A 52898-2020 artfynd.xlsx", "A 52898-2020")</f>
        <v/>
      </c>
      <c r="T234">
        <f>HYPERLINK("https://klasma.github.io/Logging_2303/kartor/A 52898-2020 karta.png", "A 52898-2020")</f>
        <v/>
      </c>
      <c r="V234">
        <f>HYPERLINK("https://klasma.github.io/Logging_2303/klagomål/A 52898-2020 FSC-klagomål.docx", "A 52898-2020")</f>
        <v/>
      </c>
      <c r="W234">
        <f>HYPERLINK("https://klasma.github.io/Logging_2303/klagomålsmail/A 52898-2020 FSC-klagomål mail.docx", "A 52898-2020")</f>
        <v/>
      </c>
      <c r="X234">
        <f>HYPERLINK("https://klasma.github.io/Logging_2303/tillsyn/A 52898-2020 tillsynsbegäran.docx", "A 52898-2020")</f>
        <v/>
      </c>
      <c r="Y234">
        <f>HYPERLINK("https://klasma.github.io/Logging_2303/tillsynsmail/A 52898-2020 tillsynsbegäran mail.docx", "A 52898-2020")</f>
        <v/>
      </c>
    </row>
    <row r="235" ht="15" customHeight="1">
      <c r="A235" t="inlineStr">
        <is>
          <t>A 26317-2024</t>
        </is>
      </c>
      <c r="B235" s="1" t="n">
        <v>45468</v>
      </c>
      <c r="C235" s="1" t="n">
        <v>45887</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29921-2024</t>
        </is>
      </c>
      <c r="B236" s="1" t="n">
        <v>45487.92863425926</v>
      </c>
      <c r="C236" s="1" t="n">
        <v>45887</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30485-2024</t>
        </is>
      </c>
      <c r="B237" s="1" t="n">
        <v>45491.95008101852</v>
      </c>
      <c r="C237" s="1" t="n">
        <v>45887</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31773-2021</t>
        </is>
      </c>
      <c r="B238" s="1" t="n">
        <v>44369</v>
      </c>
      <c r="C238" s="1" t="n">
        <v>45887</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48477-2023</t>
        </is>
      </c>
      <c r="B239" s="1" t="n">
        <v>45206</v>
      </c>
      <c r="C239" s="1" t="n">
        <v>45887</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48477-2023 artfynd.xlsx", "A 48477-2023")</f>
        <v/>
      </c>
      <c r="T239">
        <f>HYPERLINK("https://klasma.github.io/Logging_2303/kartor/A 48477-2023 karta.png", "A 48477-2023")</f>
        <v/>
      </c>
      <c r="V239">
        <f>HYPERLINK("https://klasma.github.io/Logging_2303/klagomål/A 48477-2023 FSC-klagomål.docx", "A 48477-2023")</f>
        <v/>
      </c>
      <c r="W239">
        <f>HYPERLINK("https://klasma.github.io/Logging_2303/klagomålsmail/A 48477-2023 FSC-klagomål mail.docx", "A 48477-2023")</f>
        <v/>
      </c>
      <c r="X239">
        <f>HYPERLINK("https://klasma.github.io/Logging_2303/tillsyn/A 48477-2023 tillsynsbegäran.docx", "A 48477-2023")</f>
        <v/>
      </c>
      <c r="Y239">
        <f>HYPERLINK("https://klasma.github.io/Logging_2303/tillsynsmail/A 48477-2023 tillsynsbegäran mail.docx", "A 48477-2023")</f>
        <v/>
      </c>
    </row>
    <row r="240" ht="15" customHeight="1">
      <c r="A240" t="inlineStr">
        <is>
          <t>A 56090-2024</t>
        </is>
      </c>
      <c r="B240" s="1" t="n">
        <v>45624.40665509259</v>
      </c>
      <c r="C240" s="1" t="n">
        <v>45887</v>
      </c>
      <c r="D240" t="inlineStr">
        <is>
          <t>JÄMTLANDS LÄN</t>
        </is>
      </c>
      <c r="E240" t="inlineStr">
        <is>
          <t>RAGUNDA</t>
        </is>
      </c>
      <c r="F240" t="inlineStr">
        <is>
          <t>SCA</t>
        </is>
      </c>
      <c r="G240" t="n">
        <v>15.2</v>
      </c>
      <c r="H240" t="n">
        <v>0</v>
      </c>
      <c r="I240" t="n">
        <v>0</v>
      </c>
      <c r="J240" t="n">
        <v>1</v>
      </c>
      <c r="K240" t="n">
        <v>0</v>
      </c>
      <c r="L240" t="n">
        <v>0</v>
      </c>
      <c r="M240" t="n">
        <v>0</v>
      </c>
      <c r="N240" t="n">
        <v>0</v>
      </c>
      <c r="O240" t="n">
        <v>1</v>
      </c>
      <c r="P240" t="n">
        <v>0</v>
      </c>
      <c r="Q240" t="n">
        <v>1</v>
      </c>
      <c r="R240" s="2" t="inlineStr">
        <is>
          <t>Blanksvart spiklav</t>
        </is>
      </c>
      <c r="S240">
        <f>HYPERLINK("https://klasma.github.io/Logging_2303/artfynd/A 56090-2024 artfynd.xlsx", "A 56090-2024")</f>
        <v/>
      </c>
      <c r="T240">
        <f>HYPERLINK("https://klasma.github.io/Logging_2303/kartor/A 56090-2024 karta.png", "A 56090-2024")</f>
        <v/>
      </c>
      <c r="V240">
        <f>HYPERLINK("https://klasma.github.io/Logging_2303/klagomål/A 56090-2024 FSC-klagomål.docx", "A 56090-2024")</f>
        <v/>
      </c>
      <c r="W240">
        <f>HYPERLINK("https://klasma.github.io/Logging_2303/klagomålsmail/A 56090-2024 FSC-klagomål mail.docx", "A 56090-2024")</f>
        <v/>
      </c>
      <c r="X240">
        <f>HYPERLINK("https://klasma.github.io/Logging_2303/tillsyn/A 56090-2024 tillsynsbegäran.docx", "A 56090-2024")</f>
        <v/>
      </c>
      <c r="Y240">
        <f>HYPERLINK("https://klasma.github.io/Logging_2303/tillsynsmail/A 56090-2024 tillsynsbegäran mail.docx", "A 56090-2024")</f>
        <v/>
      </c>
    </row>
    <row r="241" ht="15" customHeight="1">
      <c r="A241" t="inlineStr">
        <is>
          <t>A 36854-2023</t>
        </is>
      </c>
      <c r="B241" s="1" t="n">
        <v>45153</v>
      </c>
      <c r="C241" s="1" t="n">
        <v>45887</v>
      </c>
      <c r="D241" t="inlineStr">
        <is>
          <t>JÄMTLANDS LÄN</t>
        </is>
      </c>
      <c r="E241" t="inlineStr">
        <is>
          <t>RAGUNDA</t>
        </is>
      </c>
      <c r="G241" t="n">
        <v>4</v>
      </c>
      <c r="H241" t="n">
        <v>1</v>
      </c>
      <c r="I241" t="n">
        <v>0</v>
      </c>
      <c r="J241" t="n">
        <v>1</v>
      </c>
      <c r="K241" t="n">
        <v>0</v>
      </c>
      <c r="L241" t="n">
        <v>0</v>
      </c>
      <c r="M241" t="n">
        <v>0</v>
      </c>
      <c r="N241" t="n">
        <v>0</v>
      </c>
      <c r="O241" t="n">
        <v>1</v>
      </c>
      <c r="P241" t="n">
        <v>0</v>
      </c>
      <c r="Q241" t="n">
        <v>1</v>
      </c>
      <c r="R241" s="2" t="inlineStr">
        <is>
          <t>Talltita</t>
        </is>
      </c>
      <c r="S241">
        <f>HYPERLINK("https://klasma.github.io/Logging_2303/artfynd/A 36854-2023 artfynd.xlsx", "A 36854-2023")</f>
        <v/>
      </c>
      <c r="T241">
        <f>HYPERLINK("https://klasma.github.io/Logging_2303/kartor/A 36854-2023 karta.png", "A 36854-2023")</f>
        <v/>
      </c>
      <c r="V241">
        <f>HYPERLINK("https://klasma.github.io/Logging_2303/klagomål/A 36854-2023 FSC-klagomål.docx", "A 36854-2023")</f>
        <v/>
      </c>
      <c r="W241">
        <f>HYPERLINK("https://klasma.github.io/Logging_2303/klagomålsmail/A 36854-2023 FSC-klagomål mail.docx", "A 36854-2023")</f>
        <v/>
      </c>
      <c r="X241">
        <f>HYPERLINK("https://klasma.github.io/Logging_2303/tillsyn/A 36854-2023 tillsynsbegäran.docx", "A 36854-2023")</f>
        <v/>
      </c>
      <c r="Y241">
        <f>HYPERLINK("https://klasma.github.io/Logging_2303/tillsynsmail/A 36854-2023 tillsynsbegäran mail.docx", "A 36854-2023")</f>
        <v/>
      </c>
      <c r="Z241">
        <f>HYPERLINK("https://klasma.github.io/Logging_2303/fåglar/A 36854-2023 prioriterade fågelarter.docx", "A 36854-2023")</f>
        <v/>
      </c>
    </row>
    <row r="242" ht="15" customHeight="1">
      <c r="A242" t="inlineStr">
        <is>
          <t>A 36975-2023</t>
        </is>
      </c>
      <c r="B242" s="1" t="n">
        <v>45154</v>
      </c>
      <c r="C242" s="1" t="n">
        <v>45887</v>
      </c>
      <c r="D242" t="inlineStr">
        <is>
          <t>JÄMTLANDS LÄN</t>
        </is>
      </c>
      <c r="E242" t="inlineStr">
        <is>
          <t>RAGUNDA</t>
        </is>
      </c>
      <c r="F242" t="inlineStr">
        <is>
          <t>SCA</t>
        </is>
      </c>
      <c r="G242" t="n">
        <v>3.8</v>
      </c>
      <c r="H242" t="n">
        <v>0</v>
      </c>
      <c r="I242" t="n">
        <v>0</v>
      </c>
      <c r="J242" t="n">
        <v>0</v>
      </c>
      <c r="K242" t="n">
        <v>1</v>
      </c>
      <c r="L242" t="n">
        <v>0</v>
      </c>
      <c r="M242" t="n">
        <v>0</v>
      </c>
      <c r="N242" t="n">
        <v>0</v>
      </c>
      <c r="O242" t="n">
        <v>1</v>
      </c>
      <c r="P242" t="n">
        <v>1</v>
      </c>
      <c r="Q242" t="n">
        <v>1</v>
      </c>
      <c r="R242" s="2" t="inlineStr">
        <is>
          <t>Gräddporing</t>
        </is>
      </c>
      <c r="S242">
        <f>HYPERLINK("https://klasma.github.io/Logging_2303/artfynd/A 36975-2023 artfynd.xlsx", "A 36975-2023")</f>
        <v/>
      </c>
      <c r="T242">
        <f>HYPERLINK("https://klasma.github.io/Logging_2303/kartor/A 36975-2023 karta.png", "A 36975-2023")</f>
        <v/>
      </c>
      <c r="V242">
        <f>HYPERLINK("https://klasma.github.io/Logging_2303/klagomål/A 36975-2023 FSC-klagomål.docx", "A 36975-2023")</f>
        <v/>
      </c>
      <c r="W242">
        <f>HYPERLINK("https://klasma.github.io/Logging_2303/klagomålsmail/A 36975-2023 FSC-klagomål mail.docx", "A 36975-2023")</f>
        <v/>
      </c>
      <c r="X242">
        <f>HYPERLINK("https://klasma.github.io/Logging_2303/tillsyn/A 36975-2023 tillsynsbegäran.docx", "A 36975-2023")</f>
        <v/>
      </c>
      <c r="Y242">
        <f>HYPERLINK("https://klasma.github.io/Logging_2303/tillsynsmail/A 36975-2023 tillsynsbegäran mail.docx", "A 36975-2023")</f>
        <v/>
      </c>
    </row>
    <row r="243" ht="15" customHeight="1">
      <c r="A243" t="inlineStr">
        <is>
          <t>A 35750-2023</t>
        </is>
      </c>
      <c r="B243" s="1" t="n">
        <v>45147</v>
      </c>
      <c r="C243" s="1" t="n">
        <v>45887</v>
      </c>
      <c r="D243" t="inlineStr">
        <is>
          <t>JÄMTLANDS LÄN</t>
        </is>
      </c>
      <c r="E243" t="inlineStr">
        <is>
          <t>RAGUNDA</t>
        </is>
      </c>
      <c r="F243" t="inlineStr">
        <is>
          <t>SCA</t>
        </is>
      </c>
      <c r="G243" t="n">
        <v>4.8</v>
      </c>
      <c r="H243" t="n">
        <v>0</v>
      </c>
      <c r="I243" t="n">
        <v>0</v>
      </c>
      <c r="J243" t="n">
        <v>1</v>
      </c>
      <c r="K243" t="n">
        <v>0</v>
      </c>
      <c r="L243" t="n">
        <v>0</v>
      </c>
      <c r="M243" t="n">
        <v>0</v>
      </c>
      <c r="N243" t="n">
        <v>0</v>
      </c>
      <c r="O243" t="n">
        <v>1</v>
      </c>
      <c r="P243" t="n">
        <v>0</v>
      </c>
      <c r="Q243" t="n">
        <v>1</v>
      </c>
      <c r="R243" s="2" t="inlineStr">
        <is>
          <t>Grantaggsvamp</t>
        </is>
      </c>
      <c r="S243">
        <f>HYPERLINK("https://klasma.github.io/Logging_2303/artfynd/A 35750-2023 artfynd.xlsx", "A 35750-2023")</f>
        <v/>
      </c>
      <c r="T243">
        <f>HYPERLINK("https://klasma.github.io/Logging_2303/kartor/A 35750-2023 karta.png", "A 35750-2023")</f>
        <v/>
      </c>
      <c r="V243">
        <f>HYPERLINK("https://klasma.github.io/Logging_2303/klagomål/A 35750-2023 FSC-klagomål.docx", "A 35750-2023")</f>
        <v/>
      </c>
      <c r="W243">
        <f>HYPERLINK("https://klasma.github.io/Logging_2303/klagomålsmail/A 35750-2023 FSC-klagomål mail.docx", "A 35750-2023")</f>
        <v/>
      </c>
      <c r="X243">
        <f>HYPERLINK("https://klasma.github.io/Logging_2303/tillsyn/A 35750-2023 tillsynsbegäran.docx", "A 35750-2023")</f>
        <v/>
      </c>
      <c r="Y243">
        <f>HYPERLINK("https://klasma.github.io/Logging_2303/tillsynsmail/A 35750-2023 tillsynsbegäran mail.docx", "A 35750-2023")</f>
        <v/>
      </c>
    </row>
    <row r="244" ht="15" customHeight="1">
      <c r="A244" t="inlineStr">
        <is>
          <t>A 10884-2025</t>
        </is>
      </c>
      <c r="B244" s="1" t="n">
        <v>45722.65670138889</v>
      </c>
      <c r="C244" s="1" t="n">
        <v>45887</v>
      </c>
      <c r="D244" t="inlineStr">
        <is>
          <t>JÄMTLANDS LÄN</t>
        </is>
      </c>
      <c r="E244" t="inlineStr">
        <is>
          <t>RAGUNDA</t>
        </is>
      </c>
      <c r="F244" t="inlineStr">
        <is>
          <t>SCA</t>
        </is>
      </c>
      <c r="G244" t="n">
        <v>5.4</v>
      </c>
      <c r="H244" t="n">
        <v>0</v>
      </c>
      <c r="I244" t="n">
        <v>1</v>
      </c>
      <c r="J244" t="n">
        <v>0</v>
      </c>
      <c r="K244" t="n">
        <v>0</v>
      </c>
      <c r="L244" t="n">
        <v>0</v>
      </c>
      <c r="M244" t="n">
        <v>0</v>
      </c>
      <c r="N244" t="n">
        <v>0</v>
      </c>
      <c r="O244" t="n">
        <v>0</v>
      </c>
      <c r="P244" t="n">
        <v>0</v>
      </c>
      <c r="Q244" t="n">
        <v>1</v>
      </c>
      <c r="R244" s="2" t="inlineStr">
        <is>
          <t>Dropptaggsvamp</t>
        </is>
      </c>
      <c r="S244">
        <f>HYPERLINK("https://klasma.github.io/Logging_2303/artfynd/A 10884-2025 artfynd.xlsx", "A 10884-2025")</f>
        <v/>
      </c>
      <c r="T244">
        <f>HYPERLINK("https://klasma.github.io/Logging_2303/kartor/A 10884-2025 karta.png", "A 10884-2025")</f>
        <v/>
      </c>
      <c r="V244">
        <f>HYPERLINK("https://klasma.github.io/Logging_2303/klagomål/A 10884-2025 FSC-klagomål.docx", "A 10884-2025")</f>
        <v/>
      </c>
      <c r="W244">
        <f>HYPERLINK("https://klasma.github.io/Logging_2303/klagomålsmail/A 10884-2025 FSC-klagomål mail.docx", "A 10884-2025")</f>
        <v/>
      </c>
      <c r="X244">
        <f>HYPERLINK("https://klasma.github.io/Logging_2303/tillsyn/A 10884-2025 tillsynsbegäran.docx", "A 10884-2025")</f>
        <v/>
      </c>
      <c r="Y244">
        <f>HYPERLINK("https://klasma.github.io/Logging_2303/tillsynsmail/A 10884-2025 tillsynsbegäran mail.docx", "A 10884-2025")</f>
        <v/>
      </c>
    </row>
    <row r="245" ht="15" customHeight="1">
      <c r="A245" t="inlineStr">
        <is>
          <t>A 18985-2023</t>
        </is>
      </c>
      <c r="B245" s="1" t="n">
        <v>45044</v>
      </c>
      <c r="C245" s="1" t="n">
        <v>45887</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32069-2024</t>
        </is>
      </c>
      <c r="B246" s="1" t="n">
        <v>45510</v>
      </c>
      <c r="C246" s="1" t="n">
        <v>45887</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50164-2023</t>
        </is>
      </c>
      <c r="B247" s="1" t="n">
        <v>45208</v>
      </c>
      <c r="C247" s="1" t="n">
        <v>45887</v>
      </c>
      <c r="D247" t="inlineStr">
        <is>
          <t>JÄMTLANDS LÄN</t>
        </is>
      </c>
      <c r="E247" t="inlineStr">
        <is>
          <t>RAGUNDA</t>
        </is>
      </c>
      <c r="G247" t="n">
        <v>2.9</v>
      </c>
      <c r="H247" t="n">
        <v>0</v>
      </c>
      <c r="I247" t="n">
        <v>0</v>
      </c>
      <c r="J247" t="n">
        <v>0</v>
      </c>
      <c r="K247" t="n">
        <v>1</v>
      </c>
      <c r="L247" t="n">
        <v>0</v>
      </c>
      <c r="M247" t="n">
        <v>0</v>
      </c>
      <c r="N247" t="n">
        <v>0</v>
      </c>
      <c r="O247" t="n">
        <v>1</v>
      </c>
      <c r="P247" t="n">
        <v>1</v>
      </c>
      <c r="Q247" t="n">
        <v>1</v>
      </c>
      <c r="R247" s="2" t="inlineStr">
        <is>
          <t>Mindre barkplattbagge</t>
        </is>
      </c>
      <c r="S247">
        <f>HYPERLINK("https://klasma.github.io/Logging_2303/artfynd/A 50164-2023 artfynd.xlsx", "A 50164-2023")</f>
        <v/>
      </c>
      <c r="T247">
        <f>HYPERLINK("https://klasma.github.io/Logging_2303/kartor/A 50164-2023 karta.png", "A 50164-2023")</f>
        <v/>
      </c>
      <c r="V247">
        <f>HYPERLINK("https://klasma.github.io/Logging_2303/klagomål/A 50164-2023 FSC-klagomål.docx", "A 50164-2023")</f>
        <v/>
      </c>
      <c r="W247">
        <f>HYPERLINK("https://klasma.github.io/Logging_2303/klagomålsmail/A 50164-2023 FSC-klagomål mail.docx", "A 50164-2023")</f>
        <v/>
      </c>
      <c r="X247">
        <f>HYPERLINK("https://klasma.github.io/Logging_2303/tillsyn/A 50164-2023 tillsynsbegäran.docx", "A 50164-2023")</f>
        <v/>
      </c>
      <c r="Y247">
        <f>HYPERLINK("https://klasma.github.io/Logging_2303/tillsynsmail/A 50164-2023 tillsynsbegäran mail.docx", "A 50164-2023")</f>
        <v/>
      </c>
    </row>
    <row r="248" ht="15" customHeight="1">
      <c r="A248" t="inlineStr">
        <is>
          <t>A 2929-2024</t>
        </is>
      </c>
      <c r="B248" s="1" t="n">
        <v>45315</v>
      </c>
      <c r="C248" s="1" t="n">
        <v>45887</v>
      </c>
      <c r="D248" t="inlineStr">
        <is>
          <t>JÄMTLANDS LÄN</t>
        </is>
      </c>
      <c r="E248" t="inlineStr">
        <is>
          <t>RAGUNDA</t>
        </is>
      </c>
      <c r="G248" t="n">
        <v>1</v>
      </c>
      <c r="H248" t="n">
        <v>0</v>
      </c>
      <c r="I248" t="n">
        <v>0</v>
      </c>
      <c r="J248" t="n">
        <v>1</v>
      </c>
      <c r="K248" t="n">
        <v>0</v>
      </c>
      <c r="L248" t="n">
        <v>0</v>
      </c>
      <c r="M248" t="n">
        <v>0</v>
      </c>
      <c r="N248" t="n">
        <v>0</v>
      </c>
      <c r="O248" t="n">
        <v>1</v>
      </c>
      <c r="P248" t="n">
        <v>0</v>
      </c>
      <c r="Q248" t="n">
        <v>1</v>
      </c>
      <c r="R248" s="2" t="inlineStr">
        <is>
          <t>Klådris</t>
        </is>
      </c>
      <c r="S248">
        <f>HYPERLINK("https://klasma.github.io/Logging_2303/artfynd/A 2929-2024 artfynd.xlsx", "A 2929-2024")</f>
        <v/>
      </c>
      <c r="T248">
        <f>HYPERLINK("https://klasma.github.io/Logging_2303/kartor/A 2929-2024 karta.png", "A 2929-2024")</f>
        <v/>
      </c>
      <c r="V248">
        <f>HYPERLINK("https://klasma.github.io/Logging_2303/klagomål/A 2929-2024 FSC-klagomål.docx", "A 2929-2024")</f>
        <v/>
      </c>
      <c r="W248">
        <f>HYPERLINK("https://klasma.github.io/Logging_2303/klagomålsmail/A 2929-2024 FSC-klagomål mail.docx", "A 2929-2024")</f>
        <v/>
      </c>
      <c r="X248">
        <f>HYPERLINK("https://klasma.github.io/Logging_2303/tillsyn/A 2929-2024 tillsynsbegäran.docx", "A 2929-2024")</f>
        <v/>
      </c>
      <c r="Y248">
        <f>HYPERLINK("https://klasma.github.io/Logging_2303/tillsynsmail/A 2929-2024 tillsynsbegäran mail.docx", "A 2929-2024")</f>
        <v/>
      </c>
    </row>
    <row r="249" ht="15" customHeight="1">
      <c r="A249" t="inlineStr">
        <is>
          <t>A 50233-2024</t>
        </is>
      </c>
      <c r="B249" s="1" t="n">
        <v>45600.55265046296</v>
      </c>
      <c r="C249" s="1" t="n">
        <v>45887</v>
      </c>
      <c r="D249" t="inlineStr">
        <is>
          <t>JÄMTLANDS LÄN</t>
        </is>
      </c>
      <c r="E249" t="inlineStr">
        <is>
          <t>RAGUNDA</t>
        </is>
      </c>
      <c r="F249" t="inlineStr">
        <is>
          <t>SCA</t>
        </is>
      </c>
      <c r="G249" t="n">
        <v>5.6</v>
      </c>
      <c r="H249" t="n">
        <v>0</v>
      </c>
      <c r="I249" t="n">
        <v>0</v>
      </c>
      <c r="J249" t="n">
        <v>1</v>
      </c>
      <c r="K249" t="n">
        <v>0</v>
      </c>
      <c r="L249" t="n">
        <v>0</v>
      </c>
      <c r="M249" t="n">
        <v>0</v>
      </c>
      <c r="N249" t="n">
        <v>0</v>
      </c>
      <c r="O249" t="n">
        <v>1</v>
      </c>
      <c r="P249" t="n">
        <v>0</v>
      </c>
      <c r="Q249" t="n">
        <v>1</v>
      </c>
      <c r="R249" s="2" t="inlineStr">
        <is>
          <t>Granticka</t>
        </is>
      </c>
      <c r="S249">
        <f>HYPERLINK("https://klasma.github.io/Logging_2303/artfynd/A 50233-2024 artfynd.xlsx", "A 50233-2024")</f>
        <v/>
      </c>
      <c r="T249">
        <f>HYPERLINK("https://klasma.github.io/Logging_2303/kartor/A 50233-2024 karta.png", "A 50233-2024")</f>
        <v/>
      </c>
      <c r="V249">
        <f>HYPERLINK("https://klasma.github.io/Logging_2303/klagomål/A 50233-2024 FSC-klagomål.docx", "A 50233-2024")</f>
        <v/>
      </c>
      <c r="W249">
        <f>HYPERLINK("https://klasma.github.io/Logging_2303/klagomålsmail/A 50233-2024 FSC-klagomål mail.docx", "A 50233-2024")</f>
        <v/>
      </c>
      <c r="X249">
        <f>HYPERLINK("https://klasma.github.io/Logging_2303/tillsyn/A 50233-2024 tillsynsbegäran.docx", "A 50233-2024")</f>
        <v/>
      </c>
      <c r="Y249">
        <f>HYPERLINK("https://klasma.github.io/Logging_2303/tillsynsmail/A 50233-2024 tillsynsbegäran mail.docx", "A 50233-2024")</f>
        <v/>
      </c>
    </row>
    <row r="250" ht="15" customHeight="1">
      <c r="A250" t="inlineStr">
        <is>
          <t>A 57941-2020</t>
        </is>
      </c>
      <c r="B250" s="1" t="n">
        <v>44141</v>
      </c>
      <c r="C250" s="1" t="n">
        <v>45887</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61441-2020</t>
        </is>
      </c>
      <c r="B251" s="1" t="n">
        <v>44157</v>
      </c>
      <c r="C251" s="1" t="n">
        <v>45887</v>
      </c>
      <c r="D251" t="inlineStr">
        <is>
          <t>JÄMTLANDS LÄN</t>
        </is>
      </c>
      <c r="E251" t="inlineStr">
        <is>
          <t>RAGUNDA</t>
        </is>
      </c>
      <c r="G251" t="n">
        <v>0.4</v>
      </c>
      <c r="H251" t="n">
        <v>0</v>
      </c>
      <c r="I251" t="n">
        <v>0</v>
      </c>
      <c r="J251" t="n">
        <v>0</v>
      </c>
      <c r="K251" t="n">
        <v>0</v>
      </c>
      <c r="L251" t="n">
        <v>0</v>
      </c>
      <c r="M251" t="n">
        <v>0</v>
      </c>
      <c r="N251" t="n">
        <v>0</v>
      </c>
      <c r="O251" t="n">
        <v>0</v>
      </c>
      <c r="P251" t="n">
        <v>0</v>
      </c>
      <c r="Q251" t="n">
        <v>0</v>
      </c>
      <c r="R251" s="2" t="inlineStr"/>
    </row>
    <row r="252" ht="15" customHeight="1">
      <c r="A252" t="inlineStr">
        <is>
          <t>A 69618-2020</t>
        </is>
      </c>
      <c r="B252" s="1" t="n">
        <v>44195</v>
      </c>
      <c r="C252" s="1" t="n">
        <v>45887</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45887</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45887</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45887</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45887</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45887</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45887</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45887</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45887</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45887</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45887</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45887</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45887</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45887</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45887</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45887</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45887</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45887</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45887</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45887</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45887</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45887</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45887</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45887</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45887</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45887</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45887</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45887</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51016-2020</t>
        </is>
      </c>
      <c r="B280" s="1" t="n">
        <v>44111</v>
      </c>
      <c r="C280" s="1" t="n">
        <v>45887</v>
      </c>
      <c r="D280" t="inlineStr">
        <is>
          <t>JÄMTLANDS LÄN</t>
        </is>
      </c>
      <c r="E280" t="inlineStr">
        <is>
          <t>RAGUNDA</t>
        </is>
      </c>
      <c r="G280" t="n">
        <v>1</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45887</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45887</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45887</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45887</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45887</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45887</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45887</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45887</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45887</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45887</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45887</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45887</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42899-2020</t>
        </is>
      </c>
      <c r="B293" s="1" t="n">
        <v>44078</v>
      </c>
      <c r="C293" s="1" t="n">
        <v>45887</v>
      </c>
      <c r="D293" t="inlineStr">
        <is>
          <t>JÄMTLANDS LÄN</t>
        </is>
      </c>
      <c r="E293" t="inlineStr">
        <is>
          <t>RAGUNDA</t>
        </is>
      </c>
      <c r="G293" t="n">
        <v>0.6</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45887</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45887</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45887</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45887</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45887</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45887</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45887</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45887</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45887</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45887</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45887</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45887</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45887</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45887</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45887</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45887</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45887</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44511-2020</t>
        </is>
      </c>
      <c r="B311" s="1" t="n">
        <v>44084</v>
      </c>
      <c r="C311" s="1" t="n">
        <v>45887</v>
      </c>
      <c r="D311" t="inlineStr">
        <is>
          <t>JÄMTLANDS LÄN</t>
        </is>
      </c>
      <c r="E311" t="inlineStr">
        <is>
          <t>RAGUNDA</t>
        </is>
      </c>
      <c r="G311" t="n">
        <v>0.6</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45887</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45887</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45887</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45887</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45887</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45887</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45887</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45887</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45887</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45887</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45887</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40742-2020</t>
        </is>
      </c>
      <c r="B323" s="1" t="n">
        <v>44069</v>
      </c>
      <c r="C323" s="1" t="n">
        <v>45887</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45887</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45887</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45887</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45887</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45887</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45887</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45887</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51004-2020</t>
        </is>
      </c>
      <c r="B331" s="1" t="n">
        <v>44111</v>
      </c>
      <c r="C331" s="1" t="n">
        <v>45887</v>
      </c>
      <c r="D331" t="inlineStr">
        <is>
          <t>JÄMTLANDS LÄN</t>
        </is>
      </c>
      <c r="E331" t="inlineStr">
        <is>
          <t>RAGUNDA</t>
        </is>
      </c>
      <c r="G331" t="n">
        <v>2.8</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45887</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45887</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45887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45887</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45887</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45887</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5130-2021</t>
        </is>
      </c>
      <c r="B338" s="1" t="n">
        <v>44228</v>
      </c>
      <c r="C338" s="1" t="n">
        <v>45887</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45887</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45887</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45887</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45887</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45887</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45887</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45887</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45887</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45887</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21984-2022</t>
        </is>
      </c>
      <c r="B348" s="1" t="n">
        <v>44704</v>
      </c>
      <c r="C348" s="1" t="n">
        <v>45887</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45887</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26945-2021</t>
        </is>
      </c>
      <c r="B350" s="1" t="n">
        <v>44349.91995370371</v>
      </c>
      <c r="C350" s="1" t="n">
        <v>45887</v>
      </c>
      <c r="D350" t="inlineStr">
        <is>
          <t>JÄMTLANDS LÄN</t>
        </is>
      </c>
      <c r="E350" t="inlineStr">
        <is>
          <t>RAGUNDA</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19600-2021</t>
        </is>
      </c>
      <c r="B351" s="1" t="n">
        <v>44308</v>
      </c>
      <c r="C351" s="1" t="n">
        <v>45887</v>
      </c>
      <c r="D351" t="inlineStr">
        <is>
          <t>JÄMTLANDS LÄN</t>
        </is>
      </c>
      <c r="E351" t="inlineStr">
        <is>
          <t>RAGUNDA</t>
        </is>
      </c>
      <c r="G351" t="n">
        <v>4.3</v>
      </c>
      <c r="H351" t="n">
        <v>0</v>
      </c>
      <c r="I351" t="n">
        <v>0</v>
      </c>
      <c r="J351" t="n">
        <v>0</v>
      </c>
      <c r="K351" t="n">
        <v>0</v>
      </c>
      <c r="L351" t="n">
        <v>0</v>
      </c>
      <c r="M351" t="n">
        <v>0</v>
      </c>
      <c r="N351" t="n">
        <v>0</v>
      </c>
      <c r="O351" t="n">
        <v>0</v>
      </c>
      <c r="P351" t="n">
        <v>0</v>
      </c>
      <c r="Q351" t="n">
        <v>0</v>
      </c>
      <c r="R351" s="2" t="inlineStr"/>
    </row>
    <row r="352" ht="15" customHeight="1">
      <c r="A352" t="inlineStr">
        <is>
          <t>A 9185-2022</t>
        </is>
      </c>
      <c r="B352" s="1" t="n">
        <v>44615</v>
      </c>
      <c r="C352" s="1" t="n">
        <v>45887</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45887</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16460-2022</t>
        </is>
      </c>
      <c r="B354" s="1" t="n">
        <v>44671</v>
      </c>
      <c r="C354" s="1" t="n">
        <v>45887</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34348-2021</t>
        </is>
      </c>
      <c r="B355" s="1" t="n">
        <v>44379</v>
      </c>
      <c r="C355" s="1" t="n">
        <v>45887</v>
      </c>
      <c r="D355" t="inlineStr">
        <is>
          <t>JÄMTLANDS LÄN</t>
        </is>
      </c>
      <c r="E355" t="inlineStr">
        <is>
          <t>RAGUNDA</t>
        </is>
      </c>
      <c r="G355" t="n">
        <v>8.1</v>
      </c>
      <c r="H355" t="n">
        <v>0</v>
      </c>
      <c r="I355" t="n">
        <v>0</v>
      </c>
      <c r="J355" t="n">
        <v>0</v>
      </c>
      <c r="K355" t="n">
        <v>0</v>
      </c>
      <c r="L355" t="n">
        <v>0</v>
      </c>
      <c r="M355" t="n">
        <v>0</v>
      </c>
      <c r="N355" t="n">
        <v>0</v>
      </c>
      <c r="O355" t="n">
        <v>0</v>
      </c>
      <c r="P355" t="n">
        <v>0</v>
      </c>
      <c r="Q355" t="n">
        <v>0</v>
      </c>
      <c r="R355" s="2" t="inlineStr"/>
    </row>
    <row r="356" ht="15" customHeight="1">
      <c r="A356" t="inlineStr">
        <is>
          <t>A 42208-2020</t>
        </is>
      </c>
      <c r="B356" s="1" t="n">
        <v>44075</v>
      </c>
      <c r="C356" s="1" t="n">
        <v>45887</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41346-2020</t>
        </is>
      </c>
      <c r="B357" s="1" t="n">
        <v>44071</v>
      </c>
      <c r="C357" s="1" t="n">
        <v>45887</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44241-2021</t>
        </is>
      </c>
      <c r="B358" s="1" t="n">
        <v>44434.94517361111</v>
      </c>
      <c r="C358" s="1" t="n">
        <v>45887</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25253-2022</t>
        </is>
      </c>
      <c r="B359" s="1" t="n">
        <v>44729.94136574074</v>
      </c>
      <c r="C359" s="1" t="n">
        <v>45887</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21195-2022</t>
        </is>
      </c>
      <c r="B360" s="1" t="n">
        <v>44704.94229166667</v>
      </c>
      <c r="C360" s="1" t="n">
        <v>45887</v>
      </c>
      <c r="D360" t="inlineStr">
        <is>
          <t>JÄMTLANDS LÄN</t>
        </is>
      </c>
      <c r="E360" t="inlineStr">
        <is>
          <t>RAGUNDA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49531-2022</t>
        </is>
      </c>
      <c r="B361" s="1" t="n">
        <v>44861</v>
      </c>
      <c r="C361" s="1" t="n">
        <v>45887</v>
      </c>
      <c r="D361" t="inlineStr">
        <is>
          <t>JÄMTLANDS LÄN</t>
        </is>
      </c>
      <c r="E361" t="inlineStr">
        <is>
          <t>RAGUNDA</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39698-2022</t>
        </is>
      </c>
      <c r="B362" s="1" t="n">
        <v>44818</v>
      </c>
      <c r="C362" s="1" t="n">
        <v>45887</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45887</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45887</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45887</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48056-2020</t>
        </is>
      </c>
      <c r="B366" s="1" t="n">
        <v>44099</v>
      </c>
      <c r="C366" s="1" t="n">
        <v>45887</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57246-2020</t>
        </is>
      </c>
      <c r="B367" s="1" t="n">
        <v>44138</v>
      </c>
      <c r="C367" s="1" t="n">
        <v>45887</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40213-2021</t>
        </is>
      </c>
      <c r="B368" s="1" t="n">
        <v>44418.9369212963</v>
      </c>
      <c r="C368" s="1" t="n">
        <v>45887</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10120-2022</t>
        </is>
      </c>
      <c r="B369" s="1" t="n">
        <v>44621</v>
      </c>
      <c r="C369" s="1" t="n">
        <v>45887</v>
      </c>
      <c r="D369" t="inlineStr">
        <is>
          <t>JÄMTLANDS LÄN</t>
        </is>
      </c>
      <c r="E369" t="inlineStr">
        <is>
          <t>RAGUNDA</t>
        </is>
      </c>
      <c r="G369" t="n">
        <v>0.4</v>
      </c>
      <c r="H369" t="n">
        <v>0</v>
      </c>
      <c r="I369" t="n">
        <v>0</v>
      </c>
      <c r="J369" t="n">
        <v>0</v>
      </c>
      <c r="K369" t="n">
        <v>0</v>
      </c>
      <c r="L369" t="n">
        <v>0</v>
      </c>
      <c r="M369" t="n">
        <v>0</v>
      </c>
      <c r="N369" t="n">
        <v>0</v>
      </c>
      <c r="O369" t="n">
        <v>0</v>
      </c>
      <c r="P369" t="n">
        <v>0</v>
      </c>
      <c r="Q369" t="n">
        <v>0</v>
      </c>
      <c r="R369" s="2" t="inlineStr"/>
    </row>
    <row r="370" ht="15" customHeight="1">
      <c r="A370" t="inlineStr">
        <is>
          <t>A 57730-2020</t>
        </is>
      </c>
      <c r="B370" s="1" t="n">
        <v>44140</v>
      </c>
      <c r="C370" s="1" t="n">
        <v>45887</v>
      </c>
      <c r="D370" t="inlineStr">
        <is>
          <t>JÄMTLANDS LÄN</t>
        </is>
      </c>
      <c r="E370" t="inlineStr">
        <is>
          <t>RAGUNDA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41875-2020</t>
        </is>
      </c>
      <c r="B371" s="1" t="n">
        <v>44074</v>
      </c>
      <c r="C371" s="1" t="n">
        <v>45887</v>
      </c>
      <c r="D371" t="inlineStr">
        <is>
          <t>JÄMTLANDS LÄN</t>
        </is>
      </c>
      <c r="E371" t="inlineStr">
        <is>
          <t>RAGUNDA</t>
        </is>
      </c>
      <c r="F371" t="inlineStr">
        <is>
          <t>Naturvårdsverket</t>
        </is>
      </c>
      <c r="G371" t="n">
        <v>3.3</v>
      </c>
      <c r="H371" t="n">
        <v>0</v>
      </c>
      <c r="I371" t="n">
        <v>0</v>
      </c>
      <c r="J371" t="n">
        <v>0</v>
      </c>
      <c r="K371" t="n">
        <v>0</v>
      </c>
      <c r="L371" t="n">
        <v>0</v>
      </c>
      <c r="M371" t="n">
        <v>0</v>
      </c>
      <c r="N371" t="n">
        <v>0</v>
      </c>
      <c r="O371" t="n">
        <v>0</v>
      </c>
      <c r="P371" t="n">
        <v>0</v>
      </c>
      <c r="Q371" t="n">
        <v>0</v>
      </c>
      <c r="R371" s="2" t="inlineStr"/>
    </row>
    <row r="372" ht="15" customHeight="1">
      <c r="A372" t="inlineStr">
        <is>
          <t>A 41887-2020</t>
        </is>
      </c>
      <c r="B372" s="1" t="n">
        <v>44074</v>
      </c>
      <c r="C372" s="1" t="n">
        <v>45887</v>
      </c>
      <c r="D372" t="inlineStr">
        <is>
          <t>JÄMTLANDS LÄN</t>
        </is>
      </c>
      <c r="E372" t="inlineStr">
        <is>
          <t>RAGUNDA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13964-2022</t>
        </is>
      </c>
      <c r="B373" s="1" t="n">
        <v>44650</v>
      </c>
      <c r="C373" s="1" t="n">
        <v>45887</v>
      </c>
      <c r="D373" t="inlineStr">
        <is>
          <t>JÄMTLANDS LÄN</t>
        </is>
      </c>
      <c r="E373" t="inlineStr">
        <is>
          <t>RAGUNDA</t>
        </is>
      </c>
      <c r="G373" t="n">
        <v>2.6</v>
      </c>
      <c r="H373" t="n">
        <v>0</v>
      </c>
      <c r="I373" t="n">
        <v>0</v>
      </c>
      <c r="J373" t="n">
        <v>0</v>
      </c>
      <c r="K373" t="n">
        <v>0</v>
      </c>
      <c r="L373" t="n">
        <v>0</v>
      </c>
      <c r="M373" t="n">
        <v>0</v>
      </c>
      <c r="N373" t="n">
        <v>0</v>
      </c>
      <c r="O373" t="n">
        <v>0</v>
      </c>
      <c r="P373" t="n">
        <v>0</v>
      </c>
      <c r="Q373" t="n">
        <v>0</v>
      </c>
      <c r="R373" s="2" t="inlineStr"/>
    </row>
    <row r="374" ht="15" customHeight="1">
      <c r="A374" t="inlineStr">
        <is>
          <t>A 33279-2022</t>
        </is>
      </c>
      <c r="B374" s="1" t="n">
        <v>44788</v>
      </c>
      <c r="C374" s="1" t="n">
        <v>45887</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47567-2022</t>
        </is>
      </c>
      <c r="B375" s="1" t="n">
        <v>44853</v>
      </c>
      <c r="C375" s="1" t="n">
        <v>45887</v>
      </c>
      <c r="D375" t="inlineStr">
        <is>
          <t>JÄMTLANDS LÄN</t>
        </is>
      </c>
      <c r="E375" t="inlineStr">
        <is>
          <t>RAGUNDA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35749-2022</t>
        </is>
      </c>
      <c r="B376" s="1" t="n">
        <v>44799.94394675926</v>
      </c>
      <c r="C376" s="1" t="n">
        <v>45887</v>
      </c>
      <c r="D376" t="inlineStr">
        <is>
          <t>JÄMTLANDS LÄN</t>
        </is>
      </c>
      <c r="E376" t="inlineStr">
        <is>
          <t>RAGUNDA</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1858-2022</t>
        </is>
      </c>
      <c r="B377" s="1" t="n">
        <v>44574</v>
      </c>
      <c r="C377" s="1" t="n">
        <v>45887</v>
      </c>
      <c r="D377" t="inlineStr">
        <is>
          <t>JÄMTLANDS LÄN</t>
        </is>
      </c>
      <c r="E377" t="inlineStr">
        <is>
          <t>RAGUNDA</t>
        </is>
      </c>
      <c r="G377" t="n">
        <v>5.7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45887</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43040-2021</t>
        </is>
      </c>
      <c r="B379" s="1" t="n">
        <v>44431</v>
      </c>
      <c r="C379" s="1" t="n">
        <v>45887</v>
      </c>
      <c r="D379" t="inlineStr">
        <is>
          <t>JÄMTLANDS LÄN</t>
        </is>
      </c>
      <c r="E379" t="inlineStr">
        <is>
          <t>RAGUNDA</t>
        </is>
      </c>
      <c r="G379" t="n">
        <v>4.9</v>
      </c>
      <c r="H379" t="n">
        <v>0</v>
      </c>
      <c r="I379" t="n">
        <v>0</v>
      </c>
      <c r="J379" t="n">
        <v>0</v>
      </c>
      <c r="K379" t="n">
        <v>0</v>
      </c>
      <c r="L379" t="n">
        <v>0</v>
      </c>
      <c r="M379" t="n">
        <v>0</v>
      </c>
      <c r="N379" t="n">
        <v>0</v>
      </c>
      <c r="O379" t="n">
        <v>0</v>
      </c>
      <c r="P379" t="n">
        <v>0</v>
      </c>
      <c r="Q379" t="n">
        <v>0</v>
      </c>
      <c r="R379" s="2" t="inlineStr"/>
    </row>
    <row r="380" ht="15" customHeight="1">
      <c r="A380" t="inlineStr">
        <is>
          <t>A 54836-2022</t>
        </is>
      </c>
      <c r="B380" s="1" t="n">
        <v>44883.94918981481</v>
      </c>
      <c r="C380" s="1" t="n">
        <v>45887</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53522-2020</t>
        </is>
      </c>
      <c r="B381" s="1" t="n">
        <v>44124</v>
      </c>
      <c r="C381" s="1" t="n">
        <v>45887</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9187-2022</t>
        </is>
      </c>
      <c r="B382" s="1" t="n">
        <v>44615</v>
      </c>
      <c r="C382" s="1" t="n">
        <v>45887</v>
      </c>
      <c r="D382" t="inlineStr">
        <is>
          <t>JÄMTLANDS LÄN</t>
        </is>
      </c>
      <c r="E382" t="inlineStr">
        <is>
          <t>RAGUNDA</t>
        </is>
      </c>
      <c r="G382" t="n">
        <v>2</v>
      </c>
      <c r="H382" t="n">
        <v>0</v>
      </c>
      <c r="I382" t="n">
        <v>0</v>
      </c>
      <c r="J382" t="n">
        <v>0</v>
      </c>
      <c r="K382" t="n">
        <v>0</v>
      </c>
      <c r="L382" t="n">
        <v>0</v>
      </c>
      <c r="M382" t="n">
        <v>0</v>
      </c>
      <c r="N382" t="n">
        <v>0</v>
      </c>
      <c r="O382" t="n">
        <v>0</v>
      </c>
      <c r="P382" t="n">
        <v>0</v>
      </c>
      <c r="Q382" t="n">
        <v>0</v>
      </c>
      <c r="R382" s="2" t="inlineStr"/>
    </row>
    <row r="383" ht="15" customHeight="1">
      <c r="A383" t="inlineStr">
        <is>
          <t>A 57713-2020</t>
        </is>
      </c>
      <c r="B383" s="1" t="n">
        <v>44140</v>
      </c>
      <c r="C383" s="1" t="n">
        <v>45887</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38733-2022</t>
        </is>
      </c>
      <c r="B384" s="1" t="n">
        <v>44815</v>
      </c>
      <c r="C384" s="1" t="n">
        <v>45887</v>
      </c>
      <c r="D384" t="inlineStr">
        <is>
          <t>JÄMTLANDS LÄN</t>
        </is>
      </c>
      <c r="E384" t="inlineStr">
        <is>
          <t>RAGUNDA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45887</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6177-2022</t>
        </is>
      </c>
      <c r="B386" s="1" t="n">
        <v>44599.98685185185</v>
      </c>
      <c r="C386" s="1" t="n">
        <v>45887</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58984-2021</t>
        </is>
      </c>
      <c r="B387" s="1" t="n">
        <v>44489.94711805556</v>
      </c>
      <c r="C387" s="1" t="n">
        <v>45887</v>
      </c>
      <c r="D387" t="inlineStr">
        <is>
          <t>JÄMTLANDS LÄN</t>
        </is>
      </c>
      <c r="E387" t="inlineStr">
        <is>
          <t>RAGUNDA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40978-2022</t>
        </is>
      </c>
      <c r="B388" s="1" t="n">
        <v>44823</v>
      </c>
      <c r="C388" s="1" t="n">
        <v>45887</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24741-2022</t>
        </is>
      </c>
      <c r="B389" s="1" t="n">
        <v>44727</v>
      </c>
      <c r="C389" s="1" t="n">
        <v>45887</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45887</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48536-2022</t>
        </is>
      </c>
      <c r="B391" s="1" t="n">
        <v>44858</v>
      </c>
      <c r="C391" s="1" t="n">
        <v>45887</v>
      </c>
      <c r="D391" t="inlineStr">
        <is>
          <t>JÄMTLANDS LÄN</t>
        </is>
      </c>
      <c r="E391" t="inlineStr">
        <is>
          <t>RAGUNDA</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41613-2021</t>
        </is>
      </c>
      <c r="B392" s="1" t="n">
        <v>44425</v>
      </c>
      <c r="C392" s="1" t="n">
        <v>45887</v>
      </c>
      <c r="D392" t="inlineStr">
        <is>
          <t>JÄMTLANDS LÄN</t>
        </is>
      </c>
      <c r="E392" t="inlineStr">
        <is>
          <t>RAGUNDA</t>
        </is>
      </c>
      <c r="F392" t="inlineStr">
        <is>
          <t>Kommuner</t>
        </is>
      </c>
      <c r="G392" t="n">
        <v>1.5</v>
      </c>
      <c r="H392" t="n">
        <v>0</v>
      </c>
      <c r="I392" t="n">
        <v>0</v>
      </c>
      <c r="J392" t="n">
        <v>0</v>
      </c>
      <c r="K392" t="n">
        <v>0</v>
      </c>
      <c r="L392" t="n">
        <v>0</v>
      </c>
      <c r="M392" t="n">
        <v>0</v>
      </c>
      <c r="N392" t="n">
        <v>0</v>
      </c>
      <c r="O392" t="n">
        <v>0</v>
      </c>
      <c r="P392" t="n">
        <v>0</v>
      </c>
      <c r="Q392" t="n">
        <v>0</v>
      </c>
      <c r="R392" s="2" t="inlineStr"/>
    </row>
    <row r="393" ht="15" customHeight="1">
      <c r="A393" t="inlineStr">
        <is>
          <t>A 46048-2022</t>
        </is>
      </c>
      <c r="B393" s="1" t="n">
        <v>44846</v>
      </c>
      <c r="C393" s="1" t="n">
        <v>45887</v>
      </c>
      <c r="D393" t="inlineStr">
        <is>
          <t>JÄMTLANDS LÄN</t>
        </is>
      </c>
      <c r="E393" t="inlineStr">
        <is>
          <t>RAGUNDA</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44068.62614583333</v>
      </c>
      <c r="C394" s="1" t="n">
        <v>45887</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45887</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45887</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45887</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32288-2022</t>
        </is>
      </c>
      <c r="B398" s="1" t="n">
        <v>44781</v>
      </c>
      <c r="C398" s="1" t="n">
        <v>45887</v>
      </c>
      <c r="D398" t="inlineStr">
        <is>
          <t>JÄMTLANDS LÄN</t>
        </is>
      </c>
      <c r="E398" t="inlineStr">
        <is>
          <t>RAGUNDA</t>
        </is>
      </c>
      <c r="G398" t="n">
        <v>0.8</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45887</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45887</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47803-2022</t>
        </is>
      </c>
      <c r="B401" s="1" t="n">
        <v>44854.95390046296</v>
      </c>
      <c r="C401" s="1" t="n">
        <v>45887</v>
      </c>
      <c r="D401" t="inlineStr">
        <is>
          <t>JÄMTLANDS LÄN</t>
        </is>
      </c>
      <c r="E401" t="inlineStr">
        <is>
          <t>RAGUNDA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42652-2022</t>
        </is>
      </c>
      <c r="B402" s="1" t="n">
        <v>44831.94846064815</v>
      </c>
      <c r="C402" s="1" t="n">
        <v>45887</v>
      </c>
      <c r="D402" t="inlineStr">
        <is>
          <t>JÄMTLANDS LÄN</t>
        </is>
      </c>
      <c r="E402" t="inlineStr">
        <is>
          <t>RAGUNDA</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42653-2022</t>
        </is>
      </c>
      <c r="B403" s="1" t="n">
        <v>44831.9485300926</v>
      </c>
      <c r="C403" s="1" t="n">
        <v>45887</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32986-2022</t>
        </is>
      </c>
      <c r="B404" s="1" t="n">
        <v>44784.94157407407</v>
      </c>
      <c r="C404" s="1" t="n">
        <v>45887</v>
      </c>
      <c r="D404" t="inlineStr">
        <is>
          <t>JÄMTLANDS LÄN</t>
        </is>
      </c>
      <c r="E404" t="inlineStr">
        <is>
          <t>RAGUNDA</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56193-2022</t>
        </is>
      </c>
      <c r="B405" s="1" t="n">
        <v>44889</v>
      </c>
      <c r="C405" s="1" t="n">
        <v>45887</v>
      </c>
      <c r="D405" t="inlineStr">
        <is>
          <t>JÄMTLANDS LÄN</t>
        </is>
      </c>
      <c r="E405" t="inlineStr">
        <is>
          <t>RAGUNDA</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37806-2021</t>
        </is>
      </c>
      <c r="B406" s="1" t="n">
        <v>44402.42243055555</v>
      </c>
      <c r="C406" s="1" t="n">
        <v>45887</v>
      </c>
      <c r="D406" t="inlineStr">
        <is>
          <t>JÄMTLANDS LÄN</t>
        </is>
      </c>
      <c r="E406" t="inlineStr">
        <is>
          <t>RAGUNDA</t>
        </is>
      </c>
      <c r="G406" t="n">
        <v>0.3</v>
      </c>
      <c r="H406" t="n">
        <v>0</v>
      </c>
      <c r="I406" t="n">
        <v>0</v>
      </c>
      <c r="J406" t="n">
        <v>0</v>
      </c>
      <c r="K406" t="n">
        <v>0</v>
      </c>
      <c r="L406" t="n">
        <v>0</v>
      </c>
      <c r="M406" t="n">
        <v>0</v>
      </c>
      <c r="N406" t="n">
        <v>0</v>
      </c>
      <c r="O406" t="n">
        <v>0</v>
      </c>
      <c r="P406" t="n">
        <v>0</v>
      </c>
      <c r="Q406" t="n">
        <v>0</v>
      </c>
      <c r="R406" s="2" t="inlineStr"/>
    </row>
    <row r="407" ht="15" customHeight="1">
      <c r="A407" t="inlineStr">
        <is>
          <t>A 5515-2022</t>
        </is>
      </c>
      <c r="B407" s="1" t="n">
        <v>44595</v>
      </c>
      <c r="C407" s="1" t="n">
        <v>45887</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28597-2021</t>
        </is>
      </c>
      <c r="B408" s="1" t="n">
        <v>44356.91935185185</v>
      </c>
      <c r="C408" s="1" t="n">
        <v>45887</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45887</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45887</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42882-2022</t>
        </is>
      </c>
      <c r="B411" s="1" t="n">
        <v>44832.95300925926</v>
      </c>
      <c r="C411" s="1" t="n">
        <v>45887</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42267-2022</t>
        </is>
      </c>
      <c r="B412" s="1" t="n">
        <v>44830</v>
      </c>
      <c r="C412" s="1" t="n">
        <v>45887</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31854-2022</t>
        </is>
      </c>
      <c r="B413" s="1" t="n">
        <v>44776</v>
      </c>
      <c r="C413" s="1" t="n">
        <v>45887</v>
      </c>
      <c r="D413" t="inlineStr">
        <is>
          <t>JÄMTLANDS LÄN</t>
        </is>
      </c>
      <c r="E413" t="inlineStr">
        <is>
          <t>RAGUNDA</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45887</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45887</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45887</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45887</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11780-2024</t>
        </is>
      </c>
      <c r="B418" s="1" t="n">
        <v>45374</v>
      </c>
      <c r="C418" s="1" t="n">
        <v>45887</v>
      </c>
      <c r="D418" t="inlineStr">
        <is>
          <t>JÄMTLANDS LÄN</t>
        </is>
      </c>
      <c r="E418" t="inlineStr">
        <is>
          <t>RAGUNDA</t>
        </is>
      </c>
      <c r="G418" t="n">
        <v>14.6</v>
      </c>
      <c r="H418" t="n">
        <v>0</v>
      </c>
      <c r="I418" t="n">
        <v>0</v>
      </c>
      <c r="J418" t="n">
        <v>0</v>
      </c>
      <c r="K418" t="n">
        <v>0</v>
      </c>
      <c r="L418" t="n">
        <v>0</v>
      </c>
      <c r="M418" t="n">
        <v>0</v>
      </c>
      <c r="N418" t="n">
        <v>0</v>
      </c>
      <c r="O418" t="n">
        <v>0</v>
      </c>
      <c r="P418" t="n">
        <v>0</v>
      </c>
      <c r="Q418" t="n">
        <v>0</v>
      </c>
      <c r="R418" s="2" t="inlineStr"/>
    </row>
    <row r="419" ht="15" customHeight="1">
      <c r="A419" t="inlineStr">
        <is>
          <t>A 65017-2021</t>
        </is>
      </c>
      <c r="B419" s="1" t="n">
        <v>44512</v>
      </c>
      <c r="C419" s="1" t="n">
        <v>45887</v>
      </c>
      <c r="D419" t="inlineStr">
        <is>
          <t>JÄMTLANDS LÄN</t>
        </is>
      </c>
      <c r="E419" t="inlineStr">
        <is>
          <t>RAGUNDA</t>
        </is>
      </c>
      <c r="G419" t="n">
        <v>2.3</v>
      </c>
      <c r="H419" t="n">
        <v>0</v>
      </c>
      <c r="I419" t="n">
        <v>0</v>
      </c>
      <c r="J419" t="n">
        <v>0</v>
      </c>
      <c r="K419" t="n">
        <v>0</v>
      </c>
      <c r="L419" t="n">
        <v>0</v>
      </c>
      <c r="M419" t="n">
        <v>0</v>
      </c>
      <c r="N419" t="n">
        <v>0</v>
      </c>
      <c r="O419" t="n">
        <v>0</v>
      </c>
      <c r="P419" t="n">
        <v>0</v>
      </c>
      <c r="Q419" t="n">
        <v>0</v>
      </c>
      <c r="R419" s="2" t="inlineStr"/>
    </row>
    <row r="420" ht="15" customHeight="1">
      <c r="A420" t="inlineStr">
        <is>
          <t>A 13917-2023</t>
        </is>
      </c>
      <c r="B420" s="1" t="n">
        <v>45007</v>
      </c>
      <c r="C420" s="1" t="n">
        <v>45887</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18820-2023</t>
        </is>
      </c>
      <c r="B421" s="1" t="n">
        <v>45042</v>
      </c>
      <c r="C421" s="1" t="n">
        <v>45887</v>
      </c>
      <c r="D421" t="inlineStr">
        <is>
          <t>JÄMTLANDS LÄN</t>
        </is>
      </c>
      <c r="E421" t="inlineStr">
        <is>
          <t>RAGUNDA</t>
        </is>
      </c>
      <c r="G421" t="n">
        <v>18.8</v>
      </c>
      <c r="H421" t="n">
        <v>0</v>
      </c>
      <c r="I421" t="n">
        <v>0</v>
      </c>
      <c r="J421" t="n">
        <v>0</v>
      </c>
      <c r="K421" t="n">
        <v>0</v>
      </c>
      <c r="L421" t="n">
        <v>0</v>
      </c>
      <c r="M421" t="n">
        <v>0</v>
      </c>
      <c r="N421" t="n">
        <v>0</v>
      </c>
      <c r="O421" t="n">
        <v>0</v>
      </c>
      <c r="P421" t="n">
        <v>0</v>
      </c>
      <c r="Q421" t="n">
        <v>0</v>
      </c>
      <c r="R421" s="2" t="inlineStr"/>
    </row>
    <row r="422" ht="15" customHeight="1">
      <c r="A422" t="inlineStr">
        <is>
          <t>A 12660-2024</t>
        </is>
      </c>
      <c r="B422" s="1" t="n">
        <v>45384</v>
      </c>
      <c r="C422" s="1" t="n">
        <v>45887</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25332-2023</t>
        </is>
      </c>
      <c r="B423" s="1" t="n">
        <v>45086.94010416666</v>
      </c>
      <c r="C423" s="1" t="n">
        <v>45887</v>
      </c>
      <c r="D423" t="inlineStr">
        <is>
          <t>JÄMTLANDS LÄN</t>
        </is>
      </c>
      <c r="E423" t="inlineStr">
        <is>
          <t>RAGUNDA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11249-2025</t>
        </is>
      </c>
      <c r="B424" s="1" t="n">
        <v>45726.3860300926</v>
      </c>
      <c r="C424" s="1" t="n">
        <v>45887</v>
      </c>
      <c r="D424" t="inlineStr">
        <is>
          <t>JÄMTLANDS LÄN</t>
        </is>
      </c>
      <c r="E424" t="inlineStr">
        <is>
          <t>RAGUNDA</t>
        </is>
      </c>
      <c r="G424" t="n">
        <v>1.5</v>
      </c>
      <c r="H424" t="n">
        <v>0</v>
      </c>
      <c r="I424" t="n">
        <v>0</v>
      </c>
      <c r="J424" t="n">
        <v>0</v>
      </c>
      <c r="K424" t="n">
        <v>0</v>
      </c>
      <c r="L424" t="n">
        <v>0</v>
      </c>
      <c r="M424" t="n">
        <v>0</v>
      </c>
      <c r="N424" t="n">
        <v>0</v>
      </c>
      <c r="O424" t="n">
        <v>0</v>
      </c>
      <c r="P424" t="n">
        <v>0</v>
      </c>
      <c r="Q424" t="n">
        <v>0</v>
      </c>
      <c r="R424" s="2" t="inlineStr"/>
    </row>
    <row r="425" ht="15" customHeight="1">
      <c r="A425" t="inlineStr">
        <is>
          <t>A 11147-2025</t>
        </is>
      </c>
      <c r="B425" s="1" t="n">
        <v>45723.67777777778</v>
      </c>
      <c r="C425" s="1" t="n">
        <v>45887</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24280-2021</t>
        </is>
      </c>
      <c r="B426" s="1" t="n">
        <v>44336</v>
      </c>
      <c r="C426" s="1" t="n">
        <v>45887</v>
      </c>
      <c r="D426" t="inlineStr">
        <is>
          <t>JÄMTLANDS LÄN</t>
        </is>
      </c>
      <c r="E426" t="inlineStr">
        <is>
          <t>RAGUNDA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33615-2023</t>
        </is>
      </c>
      <c r="B427" s="1" t="n">
        <v>45119</v>
      </c>
      <c r="C427" s="1" t="n">
        <v>45887</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43132-2023</t>
        </is>
      </c>
      <c r="B428" s="1" t="n">
        <v>45182</v>
      </c>
      <c r="C428" s="1" t="n">
        <v>45887</v>
      </c>
      <c r="D428" t="inlineStr">
        <is>
          <t>JÄMTLANDS LÄN</t>
        </is>
      </c>
      <c r="E428" t="inlineStr">
        <is>
          <t>RAGUNDA</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47568-2022</t>
        </is>
      </c>
      <c r="B429" s="1" t="n">
        <v>44853.9499537037</v>
      </c>
      <c r="C429" s="1" t="n">
        <v>45887</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22131-2021</t>
        </is>
      </c>
      <c r="B430" s="1" t="n">
        <v>44323</v>
      </c>
      <c r="C430" s="1" t="n">
        <v>45887</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59557-2023</t>
        </is>
      </c>
      <c r="B431" s="1" t="n">
        <v>45253</v>
      </c>
      <c r="C431" s="1" t="n">
        <v>45887</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14821-2025</t>
        </is>
      </c>
      <c r="B432" s="1" t="n">
        <v>45743.36</v>
      </c>
      <c r="C432" s="1" t="n">
        <v>45887</v>
      </c>
      <c r="D432" t="inlineStr">
        <is>
          <t>JÄMTLANDS LÄN</t>
        </is>
      </c>
      <c r="E432" t="inlineStr">
        <is>
          <t>RAGUNDA</t>
        </is>
      </c>
      <c r="F432" t="inlineStr">
        <is>
          <t>Kyrkan</t>
        </is>
      </c>
      <c r="G432" t="n">
        <v>6.4</v>
      </c>
      <c r="H432" t="n">
        <v>0</v>
      </c>
      <c r="I432" t="n">
        <v>0</v>
      </c>
      <c r="J432" t="n">
        <v>0</v>
      </c>
      <c r="K432" t="n">
        <v>0</v>
      </c>
      <c r="L432" t="n">
        <v>0</v>
      </c>
      <c r="M432" t="n">
        <v>0</v>
      </c>
      <c r="N432" t="n">
        <v>0</v>
      </c>
      <c r="O432" t="n">
        <v>0</v>
      </c>
      <c r="P432" t="n">
        <v>0</v>
      </c>
      <c r="Q432" t="n">
        <v>0</v>
      </c>
      <c r="R432" s="2" t="inlineStr"/>
    </row>
    <row r="433" ht="15" customHeight="1">
      <c r="A433" t="inlineStr">
        <is>
          <t>A 50157-2023</t>
        </is>
      </c>
      <c r="B433" s="1" t="n">
        <v>45208</v>
      </c>
      <c r="C433" s="1" t="n">
        <v>45887</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38664-2022</t>
        </is>
      </c>
      <c r="B434" s="1" t="n">
        <v>44813</v>
      </c>
      <c r="C434" s="1" t="n">
        <v>45887</v>
      </c>
      <c r="D434" t="inlineStr">
        <is>
          <t>JÄMTLANDS LÄN</t>
        </is>
      </c>
      <c r="E434" t="inlineStr">
        <is>
          <t>RAGUNDA</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42893-2022</t>
        </is>
      </c>
      <c r="B435" s="1" t="n">
        <v>44832</v>
      </c>
      <c r="C435" s="1" t="n">
        <v>45887</v>
      </c>
      <c r="D435" t="inlineStr">
        <is>
          <t>JÄMTLANDS LÄN</t>
        </is>
      </c>
      <c r="E435" t="inlineStr">
        <is>
          <t>RAGUNDA</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8654-2024</t>
        </is>
      </c>
      <c r="B436" s="1" t="n">
        <v>45356.03784722222</v>
      </c>
      <c r="C436" s="1" t="n">
        <v>45887</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9325-2024</t>
        </is>
      </c>
      <c r="B437" s="1" t="n">
        <v>45358.95813657407</v>
      </c>
      <c r="C437" s="1" t="n">
        <v>45887</v>
      </c>
      <c r="D437" t="inlineStr">
        <is>
          <t>JÄMTLANDS LÄN</t>
        </is>
      </c>
      <c r="E437" t="inlineStr">
        <is>
          <t>RAGUNDA</t>
        </is>
      </c>
      <c r="G437" t="n">
        <v>3.1</v>
      </c>
      <c r="H437" t="n">
        <v>0</v>
      </c>
      <c r="I437" t="n">
        <v>0</v>
      </c>
      <c r="J437" t="n">
        <v>0</v>
      </c>
      <c r="K437" t="n">
        <v>0</v>
      </c>
      <c r="L437" t="n">
        <v>0</v>
      </c>
      <c r="M437" t="n">
        <v>0</v>
      </c>
      <c r="N437" t="n">
        <v>0</v>
      </c>
      <c r="O437" t="n">
        <v>0</v>
      </c>
      <c r="P437" t="n">
        <v>0</v>
      </c>
      <c r="Q437" t="n">
        <v>0</v>
      </c>
      <c r="R437" s="2" t="inlineStr"/>
    </row>
    <row r="438" ht="15" customHeight="1">
      <c r="A438" t="inlineStr">
        <is>
          <t>A 38425-2022</t>
        </is>
      </c>
      <c r="B438" s="1" t="n">
        <v>44812.94709490741</v>
      </c>
      <c r="C438" s="1" t="n">
        <v>45887</v>
      </c>
      <c r="D438" t="inlineStr">
        <is>
          <t>JÄMTLANDS LÄN</t>
        </is>
      </c>
      <c r="E438" t="inlineStr">
        <is>
          <t>RAGUNDA</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36922-2022</t>
        </is>
      </c>
      <c r="B439" s="1" t="n">
        <v>44805.94592592592</v>
      </c>
      <c r="C439" s="1" t="n">
        <v>45887</v>
      </c>
      <c r="D439" t="inlineStr">
        <is>
          <t>JÄMTLANDS LÄN</t>
        </is>
      </c>
      <c r="E439" t="inlineStr">
        <is>
          <t>RAGUNDA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4348-2023</t>
        </is>
      </c>
      <c r="B440" s="1" t="n">
        <v>44953</v>
      </c>
      <c r="C440" s="1" t="n">
        <v>45887</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8678-2023</t>
        </is>
      </c>
      <c r="B441" s="1" t="n">
        <v>44977.98660879629</v>
      </c>
      <c r="C441" s="1" t="n">
        <v>45887</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60936-2024</t>
        </is>
      </c>
      <c r="B442" s="1" t="n">
        <v>45645.36743055555</v>
      </c>
      <c r="C442" s="1" t="n">
        <v>45887</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29766-2023</t>
        </is>
      </c>
      <c r="B443" s="1" t="n">
        <v>45098</v>
      </c>
      <c r="C443" s="1" t="n">
        <v>45887</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45887</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14513-2025</t>
        </is>
      </c>
      <c r="B445" s="1" t="n">
        <v>45741.63675925926</v>
      </c>
      <c r="C445" s="1" t="n">
        <v>45887</v>
      </c>
      <c r="D445" t="inlineStr">
        <is>
          <t>JÄMTLANDS LÄN</t>
        </is>
      </c>
      <c r="E445" t="inlineStr">
        <is>
          <t>RAGUNDA</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45887</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19401-2025</t>
        </is>
      </c>
      <c r="B447" s="1" t="n">
        <v>45769.67767361111</v>
      </c>
      <c r="C447" s="1" t="n">
        <v>45887</v>
      </c>
      <c r="D447" t="inlineStr">
        <is>
          <t>JÄMTLANDS LÄN</t>
        </is>
      </c>
      <c r="E447" t="inlineStr">
        <is>
          <t>RAGUNDA</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36340-2024</t>
        </is>
      </c>
      <c r="B448" s="1" t="n">
        <v>45534.64285879629</v>
      </c>
      <c r="C448" s="1" t="n">
        <v>45887</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23304-2023</t>
        </is>
      </c>
      <c r="B449" s="1" t="n">
        <v>45075.945</v>
      </c>
      <c r="C449" s="1" t="n">
        <v>45887</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9326-2024</t>
        </is>
      </c>
      <c r="B450" s="1" t="n">
        <v>45358.95818287037</v>
      </c>
      <c r="C450" s="1" t="n">
        <v>45887</v>
      </c>
      <c r="D450" t="inlineStr">
        <is>
          <t>JÄMTLANDS LÄN</t>
        </is>
      </c>
      <c r="E450" t="inlineStr">
        <is>
          <t>RAGUNDA</t>
        </is>
      </c>
      <c r="G450" t="n">
        <v>0.7</v>
      </c>
      <c r="H450" t="n">
        <v>0</v>
      </c>
      <c r="I450" t="n">
        <v>0</v>
      </c>
      <c r="J450" t="n">
        <v>0</v>
      </c>
      <c r="K450" t="n">
        <v>0</v>
      </c>
      <c r="L450" t="n">
        <v>0</v>
      </c>
      <c r="M450" t="n">
        <v>0</v>
      </c>
      <c r="N450" t="n">
        <v>0</v>
      </c>
      <c r="O450" t="n">
        <v>0</v>
      </c>
      <c r="P450" t="n">
        <v>0</v>
      </c>
      <c r="Q450" t="n">
        <v>0</v>
      </c>
      <c r="R450" s="2" t="inlineStr"/>
    </row>
    <row r="451" ht="15" customHeight="1">
      <c r="A451" t="inlineStr">
        <is>
          <t>A 21401-2024</t>
        </is>
      </c>
      <c r="B451" s="1" t="n">
        <v>45441.33313657407</v>
      </c>
      <c r="C451" s="1" t="n">
        <v>45887</v>
      </c>
      <c r="D451" t="inlineStr">
        <is>
          <t>JÄMTLANDS LÄN</t>
        </is>
      </c>
      <c r="E451" t="inlineStr">
        <is>
          <t>RAGUNDA</t>
        </is>
      </c>
      <c r="G451" t="n">
        <v>3.7</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45280.92645833334</v>
      </c>
      <c r="C452" s="1" t="n">
        <v>45887</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60935-2024</t>
        </is>
      </c>
      <c r="B453" s="1" t="n">
        <v>45645.36740740741</v>
      </c>
      <c r="C453" s="1" t="n">
        <v>45887</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5930-2025</t>
        </is>
      </c>
      <c r="B454" s="1" t="n">
        <v>45695.44724537037</v>
      </c>
      <c r="C454" s="1" t="n">
        <v>45887</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7281-2025</t>
        </is>
      </c>
      <c r="B455" s="1" t="n">
        <v>45702.63572916666</v>
      </c>
      <c r="C455" s="1" t="n">
        <v>45887</v>
      </c>
      <c r="D455" t="inlineStr">
        <is>
          <t>JÄMTLANDS LÄN</t>
        </is>
      </c>
      <c r="E455" t="inlineStr">
        <is>
          <t>RAGUNDA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18952-2025</t>
        </is>
      </c>
      <c r="B456" s="1" t="n">
        <v>45764.51113425926</v>
      </c>
      <c r="C456" s="1" t="n">
        <v>45887</v>
      </c>
      <c r="D456" t="inlineStr">
        <is>
          <t>JÄMTLANDS LÄN</t>
        </is>
      </c>
      <c r="E456" t="inlineStr">
        <is>
          <t>RAGUNDA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28596-2021</t>
        </is>
      </c>
      <c r="B457" s="1" t="n">
        <v>44356</v>
      </c>
      <c r="C457" s="1" t="n">
        <v>45887</v>
      </c>
      <c r="D457" t="inlineStr">
        <is>
          <t>JÄMTLANDS LÄN</t>
        </is>
      </c>
      <c r="E457" t="inlineStr">
        <is>
          <t>RAGUNDA</t>
        </is>
      </c>
      <c r="G457" t="n">
        <v>5.4</v>
      </c>
      <c r="H457" t="n">
        <v>0</v>
      </c>
      <c r="I457" t="n">
        <v>0</v>
      </c>
      <c r="J457" t="n">
        <v>0</v>
      </c>
      <c r="K457" t="n">
        <v>0</v>
      </c>
      <c r="L457" t="n">
        <v>0</v>
      </c>
      <c r="M457" t="n">
        <v>0</v>
      </c>
      <c r="N457" t="n">
        <v>0</v>
      </c>
      <c r="O457" t="n">
        <v>0</v>
      </c>
      <c r="P457" t="n">
        <v>0</v>
      </c>
      <c r="Q457" t="n">
        <v>0</v>
      </c>
      <c r="R457" s="2" t="inlineStr"/>
    </row>
    <row r="458" ht="15" customHeight="1">
      <c r="A458" t="inlineStr">
        <is>
          <t>A 13935-2024</t>
        </is>
      </c>
      <c r="B458" s="1" t="n">
        <v>45391.95329861111</v>
      </c>
      <c r="C458" s="1" t="n">
        <v>45887</v>
      </c>
      <c r="D458" t="inlineStr">
        <is>
          <t>JÄMTLANDS LÄN</t>
        </is>
      </c>
      <c r="E458" t="inlineStr">
        <is>
          <t>RAGUNDA</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14156-2024</t>
        </is>
      </c>
      <c r="B459" s="1" t="n">
        <v>45392</v>
      </c>
      <c r="C459" s="1" t="n">
        <v>45887</v>
      </c>
      <c r="D459" t="inlineStr">
        <is>
          <t>JÄMTLANDS LÄN</t>
        </is>
      </c>
      <c r="E459" t="inlineStr">
        <is>
          <t>RAGUNDA</t>
        </is>
      </c>
      <c r="G459" t="n">
        <v>0.6</v>
      </c>
      <c r="H459" t="n">
        <v>0</v>
      </c>
      <c r="I459" t="n">
        <v>0</v>
      </c>
      <c r="J459" t="n">
        <v>0</v>
      </c>
      <c r="K459" t="n">
        <v>0</v>
      </c>
      <c r="L459" t="n">
        <v>0</v>
      </c>
      <c r="M459" t="n">
        <v>0</v>
      </c>
      <c r="N459" t="n">
        <v>0</v>
      </c>
      <c r="O459" t="n">
        <v>0</v>
      </c>
      <c r="P459" t="n">
        <v>0</v>
      </c>
      <c r="Q459" t="n">
        <v>0</v>
      </c>
      <c r="R459" s="2" t="inlineStr"/>
    </row>
    <row r="460" ht="15" customHeight="1">
      <c r="A460" t="inlineStr">
        <is>
          <t>A 14157-2024</t>
        </is>
      </c>
      <c r="B460" s="1" t="n">
        <v>45392.92903935185</v>
      </c>
      <c r="C460" s="1" t="n">
        <v>45887</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36106-2022</t>
        </is>
      </c>
      <c r="B461" s="1" t="n">
        <v>44802.94811342593</v>
      </c>
      <c r="C461" s="1" t="n">
        <v>45887</v>
      </c>
      <c r="D461" t="inlineStr">
        <is>
          <t>JÄMTLANDS LÄN</t>
        </is>
      </c>
      <c r="E461" t="inlineStr">
        <is>
          <t>RAGUNDA</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58847-2024</t>
        </is>
      </c>
      <c r="B462" s="1" t="n">
        <v>45636.3864699074</v>
      </c>
      <c r="C462" s="1" t="n">
        <v>45887</v>
      </c>
      <c r="D462" t="inlineStr">
        <is>
          <t>JÄMTLANDS LÄN</t>
        </is>
      </c>
      <c r="E462" t="inlineStr">
        <is>
          <t>RAGUNDA</t>
        </is>
      </c>
      <c r="F462" t="inlineStr">
        <is>
          <t>SCA</t>
        </is>
      </c>
      <c r="G462" t="n">
        <v>8</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45887</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18777-2024</t>
        </is>
      </c>
      <c r="B464" s="1" t="n">
        <v>45426</v>
      </c>
      <c r="C464" s="1" t="n">
        <v>45887</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21661-2023</t>
        </is>
      </c>
      <c r="B465" s="1" t="n">
        <v>45063</v>
      </c>
      <c r="C465" s="1" t="n">
        <v>45887</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59670-2023</t>
        </is>
      </c>
      <c r="B466" s="1" t="n">
        <v>45254.96516203704</v>
      </c>
      <c r="C466" s="1" t="n">
        <v>45887</v>
      </c>
      <c r="D466" t="inlineStr">
        <is>
          <t>JÄMTLANDS LÄN</t>
        </is>
      </c>
      <c r="E466" t="inlineStr">
        <is>
          <t>RAGUNDA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7722-2023</t>
        </is>
      </c>
      <c r="B467" s="1" t="n">
        <v>44972.94140046297</v>
      </c>
      <c r="C467" s="1" t="n">
        <v>45887</v>
      </c>
      <c r="D467" t="inlineStr">
        <is>
          <t>JÄMTLANDS LÄN</t>
        </is>
      </c>
      <c r="E467" t="inlineStr">
        <is>
          <t>RAGUNDA</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12585-2024</t>
        </is>
      </c>
      <c r="B468" s="1" t="n">
        <v>45379.93637731481</v>
      </c>
      <c r="C468" s="1" t="n">
        <v>45887</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15581-2024</t>
        </is>
      </c>
      <c r="B469" s="1" t="n">
        <v>45401</v>
      </c>
      <c r="C469" s="1" t="n">
        <v>45887</v>
      </c>
      <c r="D469" t="inlineStr">
        <is>
          <t>JÄMTLANDS LÄN</t>
        </is>
      </c>
      <c r="E469" t="inlineStr">
        <is>
          <t>RAGUNDA</t>
        </is>
      </c>
      <c r="F469" t="inlineStr">
        <is>
          <t>Kommuner</t>
        </is>
      </c>
      <c r="G469" t="n">
        <v>2.2</v>
      </c>
      <c r="H469" t="n">
        <v>0</v>
      </c>
      <c r="I469" t="n">
        <v>0</v>
      </c>
      <c r="J469" t="n">
        <v>0</v>
      </c>
      <c r="K469" t="n">
        <v>0</v>
      </c>
      <c r="L469" t="n">
        <v>0</v>
      </c>
      <c r="M469" t="n">
        <v>0</v>
      </c>
      <c r="N469" t="n">
        <v>0</v>
      </c>
      <c r="O469" t="n">
        <v>0</v>
      </c>
      <c r="P469" t="n">
        <v>0</v>
      </c>
      <c r="Q469" t="n">
        <v>0</v>
      </c>
      <c r="R469" s="2" t="inlineStr"/>
    </row>
    <row r="470" ht="15" customHeight="1">
      <c r="A470" t="inlineStr">
        <is>
          <t>A 15611-2024</t>
        </is>
      </c>
      <c r="B470" s="1" t="n">
        <v>45401</v>
      </c>
      <c r="C470" s="1" t="n">
        <v>45887</v>
      </c>
      <c r="D470" t="inlineStr">
        <is>
          <t>JÄMTLANDS LÄN</t>
        </is>
      </c>
      <c r="E470" t="inlineStr">
        <is>
          <t>RAGUNDA</t>
        </is>
      </c>
      <c r="F470" t="inlineStr">
        <is>
          <t>SCA</t>
        </is>
      </c>
      <c r="G470" t="n">
        <v>10.3</v>
      </c>
      <c r="H470" t="n">
        <v>0</v>
      </c>
      <c r="I470" t="n">
        <v>0</v>
      </c>
      <c r="J470" t="n">
        <v>0</v>
      </c>
      <c r="K470" t="n">
        <v>0</v>
      </c>
      <c r="L470" t="n">
        <v>0</v>
      </c>
      <c r="M470" t="n">
        <v>0</v>
      </c>
      <c r="N470" t="n">
        <v>0</v>
      </c>
      <c r="O470" t="n">
        <v>0</v>
      </c>
      <c r="P470" t="n">
        <v>0</v>
      </c>
      <c r="Q470" t="n">
        <v>0</v>
      </c>
      <c r="R470" s="2" t="inlineStr"/>
    </row>
    <row r="471" ht="15" customHeight="1">
      <c r="A471" t="inlineStr">
        <is>
          <t>A 58193-2022</t>
        </is>
      </c>
      <c r="B471" s="1" t="n">
        <v>44900.95700231481</v>
      </c>
      <c r="C471" s="1" t="n">
        <v>45887</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7281-2024</t>
        </is>
      </c>
      <c r="B472" s="1" t="n">
        <v>45344</v>
      </c>
      <c r="C472" s="1" t="n">
        <v>45887</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20653-2025</t>
        </is>
      </c>
      <c r="B473" s="1" t="n">
        <v>45776.40311342593</v>
      </c>
      <c r="C473" s="1" t="n">
        <v>45887</v>
      </c>
      <c r="D473" t="inlineStr">
        <is>
          <t>JÄMTLANDS LÄN</t>
        </is>
      </c>
      <c r="E473" t="inlineStr">
        <is>
          <t>RAGUNDA</t>
        </is>
      </c>
      <c r="G473" t="n">
        <v>10.8</v>
      </c>
      <c r="H473" t="n">
        <v>0</v>
      </c>
      <c r="I473" t="n">
        <v>0</v>
      </c>
      <c r="J473" t="n">
        <v>0</v>
      </c>
      <c r="K473" t="n">
        <v>0</v>
      </c>
      <c r="L473" t="n">
        <v>0</v>
      </c>
      <c r="M473" t="n">
        <v>0</v>
      </c>
      <c r="N473" t="n">
        <v>0</v>
      </c>
      <c r="O473" t="n">
        <v>0</v>
      </c>
      <c r="P473" t="n">
        <v>0</v>
      </c>
      <c r="Q473" t="n">
        <v>0</v>
      </c>
      <c r="R473" s="2" t="inlineStr"/>
    </row>
    <row r="474" ht="15" customHeight="1">
      <c r="A474" t="inlineStr">
        <is>
          <t>A 20777-2025</t>
        </is>
      </c>
      <c r="B474" s="1" t="n">
        <v>45776.59422453704</v>
      </c>
      <c r="C474" s="1" t="n">
        <v>45887</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18194-2025</t>
        </is>
      </c>
      <c r="B475" s="1" t="n">
        <v>45761.67744212963</v>
      </c>
      <c r="C475" s="1" t="n">
        <v>45887</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19382-2025</t>
        </is>
      </c>
      <c r="B476" s="1" t="n">
        <v>45769.65659722222</v>
      </c>
      <c r="C476" s="1" t="n">
        <v>45887</v>
      </c>
      <c r="D476" t="inlineStr">
        <is>
          <t>JÄMTLANDS LÄN</t>
        </is>
      </c>
      <c r="E476" t="inlineStr">
        <is>
          <t>RAGUNDA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19403-2025</t>
        </is>
      </c>
      <c r="B477" s="1" t="n">
        <v>45769.67790509259</v>
      </c>
      <c r="C477" s="1" t="n">
        <v>45887</v>
      </c>
      <c r="D477" t="inlineStr">
        <is>
          <t>JÄMTLANDS LÄN</t>
        </is>
      </c>
      <c r="E477" t="inlineStr">
        <is>
          <t>RAGUNDA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26991-2023</t>
        </is>
      </c>
      <c r="B478" s="1" t="n">
        <v>45093.92207175926</v>
      </c>
      <c r="C478" s="1" t="n">
        <v>45887</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20722-2025</t>
        </is>
      </c>
      <c r="B479" s="1" t="n">
        <v>45776.50651620371</v>
      </c>
      <c r="C479" s="1" t="n">
        <v>45887</v>
      </c>
      <c r="D479" t="inlineStr">
        <is>
          <t>JÄMTLANDS LÄN</t>
        </is>
      </c>
      <c r="E479" t="inlineStr">
        <is>
          <t>RAGUNDA</t>
        </is>
      </c>
      <c r="F479" t="inlineStr">
        <is>
          <t>Kommuner</t>
        </is>
      </c>
      <c r="G479" t="n">
        <v>0.8</v>
      </c>
      <c r="H479" t="n">
        <v>0</v>
      </c>
      <c r="I479" t="n">
        <v>0</v>
      </c>
      <c r="J479" t="n">
        <v>0</v>
      </c>
      <c r="K479" t="n">
        <v>0</v>
      </c>
      <c r="L479" t="n">
        <v>0</v>
      </c>
      <c r="M479" t="n">
        <v>0</v>
      </c>
      <c r="N479" t="n">
        <v>0</v>
      </c>
      <c r="O479" t="n">
        <v>0</v>
      </c>
      <c r="P479" t="n">
        <v>0</v>
      </c>
      <c r="Q479" t="n">
        <v>0</v>
      </c>
      <c r="R479" s="2" t="inlineStr"/>
    </row>
    <row r="480" ht="15" customHeight="1">
      <c r="A480" t="inlineStr">
        <is>
          <t>A 20728-2025</t>
        </is>
      </c>
      <c r="B480" s="1" t="n">
        <v>45776.51130787037</v>
      </c>
      <c r="C480" s="1" t="n">
        <v>45887</v>
      </c>
      <c r="D480" t="inlineStr">
        <is>
          <t>JÄMTLANDS LÄN</t>
        </is>
      </c>
      <c r="E480" t="inlineStr">
        <is>
          <t>RAGUNDA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60225-2022</t>
        </is>
      </c>
      <c r="B481" s="1" t="n">
        <v>44903</v>
      </c>
      <c r="C481" s="1" t="n">
        <v>45887</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13299-2024</t>
        </is>
      </c>
      <c r="B482" s="1" t="n">
        <v>45386.68003472222</v>
      </c>
      <c r="C482" s="1" t="n">
        <v>45887</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61045-2022</t>
        </is>
      </c>
      <c r="B483" s="1" t="n">
        <v>44914</v>
      </c>
      <c r="C483" s="1" t="n">
        <v>45887</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58537-2022</t>
        </is>
      </c>
      <c r="B484" s="1" t="n">
        <v>44894</v>
      </c>
      <c r="C484" s="1" t="n">
        <v>45887</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21332-2025</t>
        </is>
      </c>
      <c r="B485" s="1" t="n">
        <v>45782.36506944444</v>
      </c>
      <c r="C485" s="1" t="n">
        <v>45887</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21430-2025</t>
        </is>
      </c>
      <c r="B486" s="1" t="n">
        <v>45782.51099537037</v>
      </c>
      <c r="C486" s="1" t="n">
        <v>45887</v>
      </c>
      <c r="D486" t="inlineStr">
        <is>
          <t>JÄMTLANDS LÄN</t>
        </is>
      </c>
      <c r="E486" t="inlineStr">
        <is>
          <t>RAGUNDA</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16320-2025</t>
        </is>
      </c>
      <c r="B487" s="1" t="n">
        <v>45751.34859953704</v>
      </c>
      <c r="C487" s="1" t="n">
        <v>45887</v>
      </c>
      <c r="D487" t="inlineStr">
        <is>
          <t>JÄMTLANDS LÄN</t>
        </is>
      </c>
      <c r="E487" t="inlineStr">
        <is>
          <t>RAGUNDA</t>
        </is>
      </c>
      <c r="F487" t="inlineStr">
        <is>
          <t>SCA</t>
        </is>
      </c>
      <c r="G487" t="n">
        <v>16.2</v>
      </c>
      <c r="H487" t="n">
        <v>0</v>
      </c>
      <c r="I487" t="n">
        <v>0</v>
      </c>
      <c r="J487" t="n">
        <v>0</v>
      </c>
      <c r="K487" t="n">
        <v>0</v>
      </c>
      <c r="L487" t="n">
        <v>0</v>
      </c>
      <c r="M487" t="n">
        <v>0</v>
      </c>
      <c r="N487" t="n">
        <v>0</v>
      </c>
      <c r="O487" t="n">
        <v>0</v>
      </c>
      <c r="P487" t="n">
        <v>0</v>
      </c>
      <c r="Q487" t="n">
        <v>0</v>
      </c>
      <c r="R487" s="2" t="inlineStr"/>
    </row>
    <row r="488" ht="15" customHeight="1">
      <c r="A488" t="inlineStr">
        <is>
          <t>A 21405-2025</t>
        </is>
      </c>
      <c r="B488" s="1" t="n">
        <v>45782.49032407408</v>
      </c>
      <c r="C488" s="1" t="n">
        <v>45887</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21406-2025</t>
        </is>
      </c>
      <c r="B489" s="1" t="n">
        <v>45782.49046296296</v>
      </c>
      <c r="C489" s="1" t="n">
        <v>45887</v>
      </c>
      <c r="D489" t="inlineStr">
        <is>
          <t>JÄMTLANDS LÄN</t>
        </is>
      </c>
      <c r="E489" t="inlineStr">
        <is>
          <t>RAGUNDA</t>
        </is>
      </c>
      <c r="F489" t="inlineStr">
        <is>
          <t>SCA</t>
        </is>
      </c>
      <c r="G489" t="n">
        <v>8.6</v>
      </c>
      <c r="H489" t="n">
        <v>0</v>
      </c>
      <c r="I489" t="n">
        <v>0</v>
      </c>
      <c r="J489" t="n">
        <v>0</v>
      </c>
      <c r="K489" t="n">
        <v>0</v>
      </c>
      <c r="L489" t="n">
        <v>0</v>
      </c>
      <c r="M489" t="n">
        <v>0</v>
      </c>
      <c r="N489" t="n">
        <v>0</v>
      </c>
      <c r="O489" t="n">
        <v>0</v>
      </c>
      <c r="P489" t="n">
        <v>0</v>
      </c>
      <c r="Q489" t="n">
        <v>0</v>
      </c>
      <c r="R489" s="2" t="inlineStr"/>
    </row>
    <row r="490" ht="15" customHeight="1">
      <c r="A490" t="inlineStr">
        <is>
          <t>A 21432-2025</t>
        </is>
      </c>
      <c r="B490" s="1" t="n">
        <v>45782.51109953703</v>
      </c>
      <c r="C490" s="1" t="n">
        <v>45887</v>
      </c>
      <c r="D490" t="inlineStr">
        <is>
          <t>JÄMTLANDS LÄN</t>
        </is>
      </c>
      <c r="E490" t="inlineStr">
        <is>
          <t>RAGUNDA</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45887</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21550-2025</t>
        </is>
      </c>
      <c r="B492" s="1" t="n">
        <v>45782.67758101852</v>
      </c>
      <c r="C492" s="1" t="n">
        <v>45887</v>
      </c>
      <c r="D492" t="inlineStr">
        <is>
          <t>JÄMTLANDS LÄN</t>
        </is>
      </c>
      <c r="E492" t="inlineStr">
        <is>
          <t>RAGUNDA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21451-2025</t>
        </is>
      </c>
      <c r="B493" s="1" t="n">
        <v>45782.55287037037</v>
      </c>
      <c r="C493" s="1" t="n">
        <v>45887</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21150-2025</t>
        </is>
      </c>
      <c r="B494" s="1" t="n">
        <v>45779.34417824074</v>
      </c>
      <c r="C494" s="1" t="n">
        <v>45887</v>
      </c>
      <c r="D494" t="inlineStr">
        <is>
          <t>JÄMTLANDS LÄN</t>
        </is>
      </c>
      <c r="E494" t="inlineStr">
        <is>
          <t>RAGUNDA</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21177-2025</t>
        </is>
      </c>
      <c r="B495" s="1" t="n">
        <v>45779.4281712963</v>
      </c>
      <c r="C495" s="1" t="n">
        <v>45887</v>
      </c>
      <c r="D495" t="inlineStr">
        <is>
          <t>JÄMTLANDS LÄN</t>
        </is>
      </c>
      <c r="E495" t="inlineStr">
        <is>
          <t>RAGUNDA</t>
        </is>
      </c>
      <c r="F495" t="inlineStr">
        <is>
          <t>SCA</t>
        </is>
      </c>
      <c r="G495" t="n">
        <v>16.1</v>
      </c>
      <c r="H495" t="n">
        <v>0</v>
      </c>
      <c r="I495" t="n">
        <v>0</v>
      </c>
      <c r="J495" t="n">
        <v>0</v>
      </c>
      <c r="K495" t="n">
        <v>0</v>
      </c>
      <c r="L495" t="n">
        <v>0</v>
      </c>
      <c r="M495" t="n">
        <v>0</v>
      </c>
      <c r="N495" t="n">
        <v>0</v>
      </c>
      <c r="O495" t="n">
        <v>0</v>
      </c>
      <c r="P495" t="n">
        <v>0</v>
      </c>
      <c r="Q495" t="n">
        <v>0</v>
      </c>
      <c r="R495" s="2" t="inlineStr"/>
    </row>
    <row r="496" ht="15" customHeight="1">
      <c r="A496" t="inlineStr">
        <is>
          <t>A 21331-2025</t>
        </is>
      </c>
      <c r="B496" s="1" t="n">
        <v>45782.36494212963</v>
      </c>
      <c r="C496" s="1" t="n">
        <v>45887</v>
      </c>
      <c r="D496" t="inlineStr">
        <is>
          <t>JÄMTLANDS LÄN</t>
        </is>
      </c>
      <c r="E496" t="inlineStr">
        <is>
          <t>RAGUNDA</t>
        </is>
      </c>
      <c r="F496" t="inlineStr">
        <is>
          <t>SCA</t>
        </is>
      </c>
      <c r="G496" t="n">
        <v>23.1</v>
      </c>
      <c r="H496" t="n">
        <v>0</v>
      </c>
      <c r="I496" t="n">
        <v>0</v>
      </c>
      <c r="J496" t="n">
        <v>0</v>
      </c>
      <c r="K496" t="n">
        <v>0</v>
      </c>
      <c r="L496" t="n">
        <v>0</v>
      </c>
      <c r="M496" t="n">
        <v>0</v>
      </c>
      <c r="N496" t="n">
        <v>0</v>
      </c>
      <c r="O496" t="n">
        <v>0</v>
      </c>
      <c r="P496" t="n">
        <v>0</v>
      </c>
      <c r="Q496" t="n">
        <v>0</v>
      </c>
      <c r="R496" s="2" t="inlineStr"/>
    </row>
    <row r="497" ht="15" customHeight="1">
      <c r="A497" t="inlineStr">
        <is>
          <t>A 11557-2023</t>
        </is>
      </c>
      <c r="B497" s="1" t="n">
        <v>44993.94950231481</v>
      </c>
      <c r="C497" s="1" t="n">
        <v>45887</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11562-2023</t>
        </is>
      </c>
      <c r="B498" s="1" t="n">
        <v>44993</v>
      </c>
      <c r="C498" s="1" t="n">
        <v>45887</v>
      </c>
      <c r="D498" t="inlineStr">
        <is>
          <t>JÄMTLANDS LÄN</t>
        </is>
      </c>
      <c r="E498" t="inlineStr">
        <is>
          <t>RAGUNDA</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21214-2025</t>
        </is>
      </c>
      <c r="B499" s="1" t="n">
        <v>45779.49025462963</v>
      </c>
      <c r="C499" s="1" t="n">
        <v>45887</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22941-2024</t>
        </is>
      </c>
      <c r="B500" s="1" t="n">
        <v>45448.94520833333</v>
      </c>
      <c r="C500" s="1" t="n">
        <v>45887</v>
      </c>
      <c r="D500" t="inlineStr">
        <is>
          <t>JÄMTLANDS LÄN</t>
        </is>
      </c>
      <c r="E500" t="inlineStr">
        <is>
          <t>RAGUNDA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5175-2023</t>
        </is>
      </c>
      <c r="B501" s="1" t="n">
        <v>44958.94298611111</v>
      </c>
      <c r="C501" s="1" t="n">
        <v>45887</v>
      </c>
      <c r="D501" t="inlineStr">
        <is>
          <t>JÄMTLANDS LÄN</t>
        </is>
      </c>
      <c r="E501" t="inlineStr">
        <is>
          <t>RAGUNDA</t>
        </is>
      </c>
      <c r="F501" t="inlineStr">
        <is>
          <t>SCA</t>
        </is>
      </c>
      <c r="G501" t="n">
        <v>17.9</v>
      </c>
      <c r="H501" t="n">
        <v>0</v>
      </c>
      <c r="I501" t="n">
        <v>0</v>
      </c>
      <c r="J501" t="n">
        <v>0</v>
      </c>
      <c r="K501" t="n">
        <v>0</v>
      </c>
      <c r="L501" t="n">
        <v>0</v>
      </c>
      <c r="M501" t="n">
        <v>0</v>
      </c>
      <c r="N501" t="n">
        <v>0</v>
      </c>
      <c r="O501" t="n">
        <v>0</v>
      </c>
      <c r="P501" t="n">
        <v>0</v>
      </c>
      <c r="Q501" t="n">
        <v>0</v>
      </c>
      <c r="R501" s="2" t="inlineStr"/>
    </row>
    <row r="502" ht="15" customHeight="1">
      <c r="A502" t="inlineStr">
        <is>
          <t>A 44881-2023</t>
        </is>
      </c>
      <c r="B502" s="1" t="n">
        <v>45187</v>
      </c>
      <c r="C502" s="1" t="n">
        <v>45887</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52345-2024</t>
        </is>
      </c>
      <c r="B503" s="1" t="n">
        <v>45609.34412037037</v>
      </c>
      <c r="C503" s="1" t="n">
        <v>45887</v>
      </c>
      <c r="D503" t="inlineStr">
        <is>
          <t>JÄMTLANDS LÄN</t>
        </is>
      </c>
      <c r="E503" t="inlineStr">
        <is>
          <t>RAGUNDA</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41343-2024</t>
        </is>
      </c>
      <c r="B504" s="1" t="n">
        <v>45559.67745370371</v>
      </c>
      <c r="C504" s="1" t="n">
        <v>45887</v>
      </c>
      <c r="D504" t="inlineStr">
        <is>
          <t>JÄMTLANDS LÄN</t>
        </is>
      </c>
      <c r="E504" t="inlineStr">
        <is>
          <t>RAGUNDA</t>
        </is>
      </c>
      <c r="F504" t="inlineStr">
        <is>
          <t>SCA</t>
        </is>
      </c>
      <c r="G504" t="n">
        <v>25.1</v>
      </c>
      <c r="H504" t="n">
        <v>0</v>
      </c>
      <c r="I504" t="n">
        <v>0</v>
      </c>
      <c r="J504" t="n">
        <v>0</v>
      </c>
      <c r="K504" t="n">
        <v>0</v>
      </c>
      <c r="L504" t="n">
        <v>0</v>
      </c>
      <c r="M504" t="n">
        <v>0</v>
      </c>
      <c r="N504" t="n">
        <v>0</v>
      </c>
      <c r="O504" t="n">
        <v>0</v>
      </c>
      <c r="P504" t="n">
        <v>0</v>
      </c>
      <c r="Q504" t="n">
        <v>0</v>
      </c>
      <c r="R504" s="2" t="inlineStr"/>
    </row>
    <row r="505" ht="15" customHeight="1">
      <c r="A505" t="inlineStr">
        <is>
          <t>A 12039-2023</t>
        </is>
      </c>
      <c r="B505" s="1" t="n">
        <v>44995.98341435185</v>
      </c>
      <c r="C505" s="1" t="n">
        <v>45887</v>
      </c>
      <c r="D505" t="inlineStr">
        <is>
          <t>JÄMTLANDS LÄN</t>
        </is>
      </c>
      <c r="E505" t="inlineStr">
        <is>
          <t>RAGUNDA</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12050-2023</t>
        </is>
      </c>
      <c r="B506" s="1" t="n">
        <v>44995.98644675926</v>
      </c>
      <c r="C506" s="1" t="n">
        <v>45887</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2751-2024</t>
        </is>
      </c>
      <c r="B507" s="1" t="n">
        <v>45314</v>
      </c>
      <c r="C507" s="1" t="n">
        <v>45887</v>
      </c>
      <c r="D507" t="inlineStr">
        <is>
          <t>JÄMTLANDS LÄN</t>
        </is>
      </c>
      <c r="E507" t="inlineStr">
        <is>
          <t>RAGUNDA</t>
        </is>
      </c>
      <c r="G507" t="n">
        <v>1.8</v>
      </c>
      <c r="H507" t="n">
        <v>0</v>
      </c>
      <c r="I507" t="n">
        <v>0</v>
      </c>
      <c r="J507" t="n">
        <v>0</v>
      </c>
      <c r="K507" t="n">
        <v>0</v>
      </c>
      <c r="L507" t="n">
        <v>0</v>
      </c>
      <c r="M507" t="n">
        <v>0</v>
      </c>
      <c r="N507" t="n">
        <v>0</v>
      </c>
      <c r="O507" t="n">
        <v>0</v>
      </c>
      <c r="P507" t="n">
        <v>0</v>
      </c>
      <c r="Q507" t="n">
        <v>0</v>
      </c>
      <c r="R507" s="2" t="inlineStr"/>
    </row>
    <row r="508" ht="15" customHeight="1">
      <c r="A508" t="inlineStr">
        <is>
          <t>A 36986-2023</t>
        </is>
      </c>
      <c r="B508" s="1" t="n">
        <v>45154.95525462963</v>
      </c>
      <c r="C508" s="1" t="n">
        <v>45887</v>
      </c>
      <c r="D508" t="inlineStr">
        <is>
          <t>JÄMTLANDS LÄN</t>
        </is>
      </c>
      <c r="E508" t="inlineStr">
        <is>
          <t>RAGUNDA</t>
        </is>
      </c>
      <c r="F508" t="inlineStr">
        <is>
          <t>SCA</t>
        </is>
      </c>
      <c r="G508" t="n">
        <v>0.2</v>
      </c>
      <c r="H508" t="n">
        <v>0</v>
      </c>
      <c r="I508" t="n">
        <v>0</v>
      </c>
      <c r="J508" t="n">
        <v>0</v>
      </c>
      <c r="K508" t="n">
        <v>0</v>
      </c>
      <c r="L508" t="n">
        <v>0</v>
      </c>
      <c r="M508" t="n">
        <v>0</v>
      </c>
      <c r="N508" t="n">
        <v>0</v>
      </c>
      <c r="O508" t="n">
        <v>0</v>
      </c>
      <c r="P508" t="n">
        <v>0</v>
      </c>
      <c r="Q508" t="n">
        <v>0</v>
      </c>
      <c r="R508" s="2" t="inlineStr"/>
    </row>
    <row r="509" ht="15" customHeight="1">
      <c r="A509" t="inlineStr">
        <is>
          <t>A 14368-2024</t>
        </is>
      </c>
      <c r="B509" s="1" t="n">
        <v>45393.94431712963</v>
      </c>
      <c r="C509" s="1" t="n">
        <v>45887</v>
      </c>
      <c r="D509" t="inlineStr">
        <is>
          <t>JÄMTLANDS LÄN</t>
        </is>
      </c>
      <c r="E509" t="inlineStr">
        <is>
          <t>RAGUNDA</t>
        </is>
      </c>
      <c r="F509" t="inlineStr">
        <is>
          <t>Naturvårdsverket</t>
        </is>
      </c>
      <c r="G509" t="n">
        <v>1.6</v>
      </c>
      <c r="H509" t="n">
        <v>0</v>
      </c>
      <c r="I509" t="n">
        <v>0</v>
      </c>
      <c r="J509" t="n">
        <v>0</v>
      </c>
      <c r="K509" t="n">
        <v>0</v>
      </c>
      <c r="L509" t="n">
        <v>0</v>
      </c>
      <c r="M509" t="n">
        <v>0</v>
      </c>
      <c r="N509" t="n">
        <v>0</v>
      </c>
      <c r="O509" t="n">
        <v>0</v>
      </c>
      <c r="P509" t="n">
        <v>0</v>
      </c>
      <c r="Q509" t="n">
        <v>0</v>
      </c>
      <c r="R509" s="2" t="inlineStr"/>
    </row>
    <row r="510" ht="15" customHeight="1">
      <c r="A510" t="inlineStr">
        <is>
          <t>A 18159-2023</t>
        </is>
      </c>
      <c r="B510" s="1" t="n">
        <v>45040.94277777777</v>
      </c>
      <c r="C510" s="1" t="n">
        <v>45887</v>
      </c>
      <c r="D510" t="inlineStr">
        <is>
          <t>JÄMTLANDS LÄN</t>
        </is>
      </c>
      <c r="E510" t="inlineStr">
        <is>
          <t>RAGUNDA</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60629-2023</t>
        </is>
      </c>
      <c r="B511" s="1" t="n">
        <v>45259</v>
      </c>
      <c r="C511" s="1" t="n">
        <v>45887</v>
      </c>
      <c r="D511" t="inlineStr">
        <is>
          <t>JÄMTLANDS LÄN</t>
        </is>
      </c>
      <c r="E511" t="inlineStr">
        <is>
          <t>RAGUNDA</t>
        </is>
      </c>
      <c r="G511" t="n">
        <v>3.4</v>
      </c>
      <c r="H511" t="n">
        <v>0</v>
      </c>
      <c r="I511" t="n">
        <v>0</v>
      </c>
      <c r="J511" t="n">
        <v>0</v>
      </c>
      <c r="K511" t="n">
        <v>0</v>
      </c>
      <c r="L511" t="n">
        <v>0</v>
      </c>
      <c r="M511" t="n">
        <v>0</v>
      </c>
      <c r="N511" t="n">
        <v>0</v>
      </c>
      <c r="O511" t="n">
        <v>0</v>
      </c>
      <c r="P511" t="n">
        <v>0</v>
      </c>
      <c r="Q511" t="n">
        <v>0</v>
      </c>
      <c r="R511" s="2" t="inlineStr"/>
    </row>
    <row r="512" ht="15" customHeight="1">
      <c r="A512" t="inlineStr">
        <is>
          <t>A 44066-2024</t>
        </is>
      </c>
      <c r="B512" s="1" t="n">
        <v>45572.60363425926</v>
      </c>
      <c r="C512" s="1" t="n">
        <v>45887</v>
      </c>
      <c r="D512" t="inlineStr">
        <is>
          <t>JÄMTLANDS LÄN</t>
        </is>
      </c>
      <c r="E512" t="inlineStr">
        <is>
          <t>RAGUNDA</t>
        </is>
      </c>
      <c r="G512" t="n">
        <v>6.4</v>
      </c>
      <c r="H512" t="n">
        <v>0</v>
      </c>
      <c r="I512" t="n">
        <v>0</v>
      </c>
      <c r="J512" t="n">
        <v>0</v>
      </c>
      <c r="K512" t="n">
        <v>0</v>
      </c>
      <c r="L512" t="n">
        <v>0</v>
      </c>
      <c r="M512" t="n">
        <v>0</v>
      </c>
      <c r="N512" t="n">
        <v>0</v>
      </c>
      <c r="O512" t="n">
        <v>0</v>
      </c>
      <c r="P512" t="n">
        <v>0</v>
      </c>
      <c r="Q512" t="n">
        <v>0</v>
      </c>
      <c r="R512" s="2" t="inlineStr"/>
    </row>
    <row r="513" ht="15" customHeight="1">
      <c r="A513" t="inlineStr">
        <is>
          <t>A 13700-2023</t>
        </is>
      </c>
      <c r="B513" s="1" t="n">
        <v>45006</v>
      </c>
      <c r="C513" s="1" t="n">
        <v>45887</v>
      </c>
      <c r="D513" t="inlineStr">
        <is>
          <t>JÄMTLANDS LÄN</t>
        </is>
      </c>
      <c r="E513" t="inlineStr">
        <is>
          <t>RAGUNDA</t>
        </is>
      </c>
      <c r="F513" t="inlineStr">
        <is>
          <t>SCA</t>
        </is>
      </c>
      <c r="G513" t="n">
        <v>50.3</v>
      </c>
      <c r="H513" t="n">
        <v>0</v>
      </c>
      <c r="I513" t="n">
        <v>0</v>
      </c>
      <c r="J513" t="n">
        <v>0</v>
      </c>
      <c r="K513" t="n">
        <v>0</v>
      </c>
      <c r="L513" t="n">
        <v>0</v>
      </c>
      <c r="M513" t="n">
        <v>0</v>
      </c>
      <c r="N513" t="n">
        <v>0</v>
      </c>
      <c r="O513" t="n">
        <v>0</v>
      </c>
      <c r="P513" t="n">
        <v>0</v>
      </c>
      <c r="Q513" t="n">
        <v>0</v>
      </c>
      <c r="R513" s="2" t="inlineStr"/>
    </row>
    <row r="514" ht="15" customHeight="1">
      <c r="A514" t="inlineStr">
        <is>
          <t>A 57889-2024</t>
        </is>
      </c>
      <c r="B514" s="1" t="n">
        <v>45631.46665509259</v>
      </c>
      <c r="C514" s="1" t="n">
        <v>45887</v>
      </c>
      <c r="D514" t="inlineStr">
        <is>
          <t>JÄMTLANDS LÄN</t>
        </is>
      </c>
      <c r="E514" t="inlineStr">
        <is>
          <t>RAGUNDA</t>
        </is>
      </c>
      <c r="G514" t="n">
        <v>11.1</v>
      </c>
      <c r="H514" t="n">
        <v>0</v>
      </c>
      <c r="I514" t="n">
        <v>0</v>
      </c>
      <c r="J514" t="n">
        <v>0</v>
      </c>
      <c r="K514" t="n">
        <v>0</v>
      </c>
      <c r="L514" t="n">
        <v>0</v>
      </c>
      <c r="M514" t="n">
        <v>0</v>
      </c>
      <c r="N514" t="n">
        <v>0</v>
      </c>
      <c r="O514" t="n">
        <v>0</v>
      </c>
      <c r="P514" t="n">
        <v>0</v>
      </c>
      <c r="Q514" t="n">
        <v>0</v>
      </c>
      <c r="R514" s="2" t="inlineStr"/>
    </row>
    <row r="515" ht="15" customHeight="1">
      <c r="A515" t="inlineStr">
        <is>
          <t>A 22388-2025</t>
        </is>
      </c>
      <c r="B515" s="1" t="n">
        <v>45786.51077546296</v>
      </c>
      <c r="C515" s="1" t="n">
        <v>45887</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37543-2023</t>
        </is>
      </c>
      <c r="B516" s="1" t="n">
        <v>45158.94231481481</v>
      </c>
      <c r="C516" s="1" t="n">
        <v>45887</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53171-2024</t>
        </is>
      </c>
      <c r="B517" s="1" t="n">
        <v>45611.65679398148</v>
      </c>
      <c r="C517" s="1" t="n">
        <v>45887</v>
      </c>
      <c r="D517" t="inlineStr">
        <is>
          <t>JÄMTLANDS LÄN</t>
        </is>
      </c>
      <c r="E517" t="inlineStr">
        <is>
          <t>RAGUNDA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1523-2024</t>
        </is>
      </c>
      <c r="B518" s="1" t="n">
        <v>45306</v>
      </c>
      <c r="C518" s="1" t="n">
        <v>45887</v>
      </c>
      <c r="D518" t="inlineStr">
        <is>
          <t>JÄMTLANDS LÄN</t>
        </is>
      </c>
      <c r="E518" t="inlineStr">
        <is>
          <t>RAGUNDA</t>
        </is>
      </c>
      <c r="G518" t="n">
        <v>4.1</v>
      </c>
      <c r="H518" t="n">
        <v>0</v>
      </c>
      <c r="I518" t="n">
        <v>0</v>
      </c>
      <c r="J518" t="n">
        <v>0</v>
      </c>
      <c r="K518" t="n">
        <v>0</v>
      </c>
      <c r="L518" t="n">
        <v>0</v>
      </c>
      <c r="M518" t="n">
        <v>0</v>
      </c>
      <c r="N518" t="n">
        <v>0</v>
      </c>
      <c r="O518" t="n">
        <v>0</v>
      </c>
      <c r="P518" t="n">
        <v>0</v>
      </c>
      <c r="Q518" t="n">
        <v>0</v>
      </c>
      <c r="R518" s="2" t="inlineStr"/>
    </row>
    <row r="519" ht="15" customHeight="1">
      <c r="A519" t="inlineStr">
        <is>
          <t>A 64265-2023</t>
        </is>
      </c>
      <c r="B519" s="1" t="n">
        <v>45279.94572916667</v>
      </c>
      <c r="C519" s="1" t="n">
        <v>45887</v>
      </c>
      <c r="D519" t="inlineStr">
        <is>
          <t>JÄMTLANDS LÄN</t>
        </is>
      </c>
      <c r="E519" t="inlineStr">
        <is>
          <t>RAGUNDA</t>
        </is>
      </c>
      <c r="F519" t="inlineStr">
        <is>
          <t>SCA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44605-2024</t>
        </is>
      </c>
      <c r="B520" s="1" t="n">
        <v>45574.51185185185</v>
      </c>
      <c r="C520" s="1" t="n">
        <v>45887</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22948-2024</t>
        </is>
      </c>
      <c r="B521" s="1" t="n">
        <v>45448.94600694445</v>
      </c>
      <c r="C521" s="1" t="n">
        <v>45887</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19438-2023</t>
        </is>
      </c>
      <c r="B522" s="1" t="n">
        <v>45049</v>
      </c>
      <c r="C522" s="1" t="n">
        <v>45887</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22898-2025</t>
        </is>
      </c>
      <c r="B523" s="1" t="n">
        <v>45790.40670138889</v>
      </c>
      <c r="C523" s="1" t="n">
        <v>45887</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53136-2024</t>
        </is>
      </c>
      <c r="B524" s="1" t="n">
        <v>45611.5953125</v>
      </c>
      <c r="C524" s="1" t="n">
        <v>45887</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52228-2024</t>
        </is>
      </c>
      <c r="B525" s="1" t="n">
        <v>45608.6078587963</v>
      </c>
      <c r="C525" s="1" t="n">
        <v>45887</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59372-2024</t>
        </is>
      </c>
      <c r="B526" s="1" t="n">
        <v>45638.34431712963</v>
      </c>
      <c r="C526" s="1" t="n">
        <v>45887</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62115-2024</t>
        </is>
      </c>
      <c r="B527" s="1" t="n">
        <v>45656</v>
      </c>
      <c r="C527" s="1" t="n">
        <v>45887</v>
      </c>
      <c r="D527" t="inlineStr">
        <is>
          <t>JÄMTLANDS LÄN</t>
        </is>
      </c>
      <c r="E527" t="inlineStr">
        <is>
          <t>RAGUNDA</t>
        </is>
      </c>
      <c r="G527" t="n">
        <v>3.3</v>
      </c>
      <c r="H527" t="n">
        <v>0</v>
      </c>
      <c r="I527" t="n">
        <v>0</v>
      </c>
      <c r="J527" t="n">
        <v>0</v>
      </c>
      <c r="K527" t="n">
        <v>0</v>
      </c>
      <c r="L527" t="n">
        <v>0</v>
      </c>
      <c r="M527" t="n">
        <v>0</v>
      </c>
      <c r="N527" t="n">
        <v>0</v>
      </c>
      <c r="O527" t="n">
        <v>0</v>
      </c>
      <c r="P527" t="n">
        <v>0</v>
      </c>
      <c r="Q527" t="n">
        <v>0</v>
      </c>
      <c r="R527" s="2" t="inlineStr"/>
    </row>
    <row r="528" ht="15" customHeight="1">
      <c r="A528" t="inlineStr">
        <is>
          <t>A 4594-2024</t>
        </is>
      </c>
      <c r="B528" s="1" t="n">
        <v>45327.94459490741</v>
      </c>
      <c r="C528" s="1" t="n">
        <v>45887</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3018-2024</t>
        </is>
      </c>
      <c r="B529" s="1" t="n">
        <v>45315.9492824074</v>
      </c>
      <c r="C529" s="1" t="n">
        <v>45887</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48065-2023</t>
        </is>
      </c>
      <c r="B530" s="1" t="n">
        <v>45204.94399305555</v>
      </c>
      <c r="C530" s="1" t="n">
        <v>45887</v>
      </c>
      <c r="D530" t="inlineStr">
        <is>
          <t>JÄMTLANDS LÄN</t>
        </is>
      </c>
      <c r="E530" t="inlineStr">
        <is>
          <t>RAGUNDA</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44597-2024</t>
        </is>
      </c>
      <c r="B531" s="1" t="n">
        <v>45574.51087962963</v>
      </c>
      <c r="C531" s="1" t="n">
        <v>45887</v>
      </c>
      <c r="D531" t="inlineStr">
        <is>
          <t>JÄMTLANDS LÄN</t>
        </is>
      </c>
      <c r="E531" t="inlineStr">
        <is>
          <t>RAGUNDA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44598-2024</t>
        </is>
      </c>
      <c r="B532" s="1" t="n">
        <v>45574.51090277778</v>
      </c>
      <c r="C532" s="1" t="n">
        <v>45887</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49659-2023</t>
        </is>
      </c>
      <c r="B533" s="1" t="n">
        <v>45211.95134259259</v>
      </c>
      <c r="C533" s="1" t="n">
        <v>45887</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23734-2024</t>
        </is>
      </c>
      <c r="B534" s="1" t="n">
        <v>45454.95960648148</v>
      </c>
      <c r="C534" s="1" t="n">
        <v>45887</v>
      </c>
      <c r="D534" t="inlineStr">
        <is>
          <t>JÄMTLANDS LÄN</t>
        </is>
      </c>
      <c r="E534" t="inlineStr">
        <is>
          <t>RAGUNDA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12653-2024</t>
        </is>
      </c>
      <c r="B535" s="1" t="n">
        <v>45384</v>
      </c>
      <c r="C535" s="1" t="n">
        <v>45887</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23405-2025</t>
        </is>
      </c>
      <c r="B536" s="1" t="n">
        <v>45792.34527777778</v>
      </c>
      <c r="C536" s="1" t="n">
        <v>45887</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23654-2025</t>
        </is>
      </c>
      <c r="B537" s="1" t="n">
        <v>45792.71905092592</v>
      </c>
      <c r="C537" s="1" t="n">
        <v>45887</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23507-2025</t>
        </is>
      </c>
      <c r="B538" s="1" t="n">
        <v>45792.49023148148</v>
      </c>
      <c r="C538" s="1" t="n">
        <v>45887</v>
      </c>
      <c r="D538" t="inlineStr">
        <is>
          <t>JÄMTLANDS LÄN</t>
        </is>
      </c>
      <c r="E538" t="inlineStr">
        <is>
          <t>RAGUNDA</t>
        </is>
      </c>
      <c r="F538" t="inlineStr">
        <is>
          <t>SCA</t>
        </is>
      </c>
      <c r="G538" t="n">
        <v>16.4</v>
      </c>
      <c r="H538" t="n">
        <v>0</v>
      </c>
      <c r="I538" t="n">
        <v>0</v>
      </c>
      <c r="J538" t="n">
        <v>0</v>
      </c>
      <c r="K538" t="n">
        <v>0</v>
      </c>
      <c r="L538" t="n">
        <v>0</v>
      </c>
      <c r="M538" t="n">
        <v>0</v>
      </c>
      <c r="N538" t="n">
        <v>0</v>
      </c>
      <c r="O538" t="n">
        <v>0</v>
      </c>
      <c r="P538" t="n">
        <v>0</v>
      </c>
      <c r="Q538" t="n">
        <v>0</v>
      </c>
      <c r="R538" s="2" t="inlineStr"/>
    </row>
    <row r="539" ht="15" customHeight="1">
      <c r="A539" t="inlineStr">
        <is>
          <t>A 34483-2023</t>
        </is>
      </c>
      <c r="B539" s="1" t="n">
        <v>45139.94681712963</v>
      </c>
      <c r="C539" s="1" t="n">
        <v>45887</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23567-2024</t>
        </is>
      </c>
      <c r="B540" s="1" t="n">
        <v>45453.95538194444</v>
      </c>
      <c r="C540" s="1" t="n">
        <v>45887</v>
      </c>
      <c r="D540" t="inlineStr">
        <is>
          <t>JÄMTLANDS LÄN</t>
        </is>
      </c>
      <c r="E540" t="inlineStr">
        <is>
          <t>RAGUNDA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23586-2025</t>
        </is>
      </c>
      <c r="B541" s="1" t="n">
        <v>45792.63584490741</v>
      </c>
      <c r="C541" s="1" t="n">
        <v>45887</v>
      </c>
      <c r="D541" t="inlineStr">
        <is>
          <t>JÄMTLANDS LÄN</t>
        </is>
      </c>
      <c r="E541" t="inlineStr">
        <is>
          <t>RAGUNDA</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23413-2025</t>
        </is>
      </c>
      <c r="B542" s="1" t="n">
        <v>45792.34606481482</v>
      </c>
      <c r="C542" s="1" t="n">
        <v>45887</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57116-2024</t>
        </is>
      </c>
      <c r="B543" s="1" t="n">
        <v>45629.36513888889</v>
      </c>
      <c r="C543" s="1" t="n">
        <v>45887</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38312-2024</t>
        </is>
      </c>
      <c r="B544" s="1" t="n">
        <v>45545.64957175926</v>
      </c>
      <c r="C544" s="1" t="n">
        <v>45887</v>
      </c>
      <c r="D544" t="inlineStr">
        <is>
          <t>JÄMTLANDS LÄN</t>
        </is>
      </c>
      <c r="E544" t="inlineStr">
        <is>
          <t>RAGUNDA</t>
        </is>
      </c>
      <c r="G544" t="n">
        <v>1.2</v>
      </c>
      <c r="H544" t="n">
        <v>0</v>
      </c>
      <c r="I544" t="n">
        <v>0</v>
      </c>
      <c r="J544" t="n">
        <v>0</v>
      </c>
      <c r="K544" t="n">
        <v>0</v>
      </c>
      <c r="L544" t="n">
        <v>0</v>
      </c>
      <c r="M544" t="n">
        <v>0</v>
      </c>
      <c r="N544" t="n">
        <v>0</v>
      </c>
      <c r="O544" t="n">
        <v>0</v>
      </c>
      <c r="P544" t="n">
        <v>0</v>
      </c>
      <c r="Q544" t="n">
        <v>0</v>
      </c>
      <c r="R544" s="2" t="inlineStr"/>
    </row>
    <row r="545" ht="15" customHeight="1">
      <c r="A545" t="inlineStr">
        <is>
          <t>A 9262-2025</t>
        </is>
      </c>
      <c r="B545" s="1" t="n">
        <v>45714.60649305556</v>
      </c>
      <c r="C545" s="1" t="n">
        <v>45887</v>
      </c>
      <c r="D545" t="inlineStr">
        <is>
          <t>JÄMTLANDS LÄN</t>
        </is>
      </c>
      <c r="E545" t="inlineStr">
        <is>
          <t>RAGUNDA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16982-2024</t>
        </is>
      </c>
      <c r="B546" s="1" t="n">
        <v>45412.02506944445</v>
      </c>
      <c r="C546" s="1" t="n">
        <v>45887</v>
      </c>
      <c r="D546" t="inlineStr">
        <is>
          <t>JÄMTLANDS LÄN</t>
        </is>
      </c>
      <c r="E546" t="inlineStr">
        <is>
          <t>RAGUNDA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53678-2022</t>
        </is>
      </c>
      <c r="B547" s="1" t="n">
        <v>44879.95768518518</v>
      </c>
      <c r="C547" s="1" t="n">
        <v>45887</v>
      </c>
      <c r="D547" t="inlineStr">
        <is>
          <t>JÄMTLANDS LÄN</t>
        </is>
      </c>
      <c r="E547" t="inlineStr">
        <is>
          <t>RAGUNDA</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14369-2024</t>
        </is>
      </c>
      <c r="B548" s="1" t="n">
        <v>45393.94459490741</v>
      </c>
      <c r="C548" s="1" t="n">
        <v>45887</v>
      </c>
      <c r="D548" t="inlineStr">
        <is>
          <t>JÄMTLANDS LÄN</t>
        </is>
      </c>
      <c r="E548" t="inlineStr">
        <is>
          <t>RAGUNDA</t>
        </is>
      </c>
      <c r="F548" t="inlineStr">
        <is>
          <t>Naturvårdsverket</t>
        </is>
      </c>
      <c r="G548" t="n">
        <v>1.8</v>
      </c>
      <c r="H548" t="n">
        <v>0</v>
      </c>
      <c r="I548" t="n">
        <v>0</v>
      </c>
      <c r="J548" t="n">
        <v>0</v>
      </c>
      <c r="K548" t="n">
        <v>0</v>
      </c>
      <c r="L548" t="n">
        <v>0</v>
      </c>
      <c r="M548" t="n">
        <v>0</v>
      </c>
      <c r="N548" t="n">
        <v>0</v>
      </c>
      <c r="O548" t="n">
        <v>0</v>
      </c>
      <c r="P548" t="n">
        <v>0</v>
      </c>
      <c r="Q548" t="n">
        <v>0</v>
      </c>
      <c r="R548" s="2" t="inlineStr"/>
    </row>
    <row r="549" ht="15" customHeight="1">
      <c r="A549" t="inlineStr">
        <is>
          <t>A 23253-2025</t>
        </is>
      </c>
      <c r="B549" s="1" t="n">
        <v>45791.53238425926</v>
      </c>
      <c r="C549" s="1" t="n">
        <v>45887</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58564-2024</t>
        </is>
      </c>
      <c r="B550" s="1" t="n">
        <v>45635.47243055556</v>
      </c>
      <c r="C550" s="1" t="n">
        <v>45887</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10639-2024</t>
        </is>
      </c>
      <c r="B551" s="1" t="n">
        <v>45367.67256944445</v>
      </c>
      <c r="C551" s="1" t="n">
        <v>45887</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53144-2024</t>
        </is>
      </c>
      <c r="B552" s="1" t="n">
        <v>45611</v>
      </c>
      <c r="C552" s="1" t="n">
        <v>45887</v>
      </c>
      <c r="D552" t="inlineStr">
        <is>
          <t>JÄMTLANDS LÄN</t>
        </is>
      </c>
      <c r="E552" t="inlineStr">
        <is>
          <t>RAGUNDA</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45887</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5806-2025</t>
        </is>
      </c>
      <c r="B554" s="1" t="n">
        <v>45694.69826388889</v>
      </c>
      <c r="C554" s="1" t="n">
        <v>45887</v>
      </c>
      <c r="D554" t="inlineStr">
        <is>
          <t>JÄMTLANDS LÄN</t>
        </is>
      </c>
      <c r="E554" t="inlineStr">
        <is>
          <t>RAGUNDA</t>
        </is>
      </c>
      <c r="F554" t="inlineStr">
        <is>
          <t>SCA</t>
        </is>
      </c>
      <c r="G554" t="n">
        <v>5.8</v>
      </c>
      <c r="H554" t="n">
        <v>0</v>
      </c>
      <c r="I554" t="n">
        <v>0</v>
      </c>
      <c r="J554" t="n">
        <v>0</v>
      </c>
      <c r="K554" t="n">
        <v>0</v>
      </c>
      <c r="L554" t="n">
        <v>0</v>
      </c>
      <c r="M554" t="n">
        <v>0</v>
      </c>
      <c r="N554" t="n">
        <v>0</v>
      </c>
      <c r="O554" t="n">
        <v>0</v>
      </c>
      <c r="P554" t="n">
        <v>0</v>
      </c>
      <c r="Q554" t="n">
        <v>0</v>
      </c>
      <c r="R554" s="2" t="inlineStr"/>
    </row>
    <row r="555" ht="15" customHeight="1">
      <c r="A555" t="inlineStr">
        <is>
          <t>A 32910-2024</t>
        </is>
      </c>
      <c r="B555" s="1" t="n">
        <v>45516.94934027778</v>
      </c>
      <c r="C555" s="1" t="n">
        <v>45887</v>
      </c>
      <c r="D555" t="inlineStr">
        <is>
          <t>JÄMTLANDS LÄN</t>
        </is>
      </c>
      <c r="E555" t="inlineStr">
        <is>
          <t>RAGUNDA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20773-2024</t>
        </is>
      </c>
      <c r="B556" s="1" t="n">
        <v>45436.94636574074</v>
      </c>
      <c r="C556" s="1" t="n">
        <v>45887</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45887</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23840-2025</t>
        </is>
      </c>
      <c r="B558" s="1" t="n">
        <v>45793</v>
      </c>
      <c r="C558" s="1" t="n">
        <v>45887</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45887</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45887</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14076-2023</t>
        </is>
      </c>
      <c r="B561" s="1" t="n">
        <v>45009.0897337963</v>
      </c>
      <c r="C561" s="1" t="n">
        <v>45887</v>
      </c>
      <c r="D561" t="inlineStr">
        <is>
          <t>JÄMTLANDS LÄN</t>
        </is>
      </c>
      <c r="E561" t="inlineStr">
        <is>
          <t>RAGUNDA</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45335-2023</t>
        </is>
      </c>
      <c r="B562" s="1" t="n">
        <v>45191</v>
      </c>
      <c r="C562" s="1" t="n">
        <v>45887</v>
      </c>
      <c r="D562" t="inlineStr">
        <is>
          <t>JÄMTLANDS LÄN</t>
        </is>
      </c>
      <c r="E562" t="inlineStr">
        <is>
          <t>RAGUNDA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10972-2022</t>
        </is>
      </c>
      <c r="B563" s="1" t="n">
        <v>44628</v>
      </c>
      <c r="C563" s="1" t="n">
        <v>45887</v>
      </c>
      <c r="D563" t="inlineStr">
        <is>
          <t>JÄMTLANDS LÄN</t>
        </is>
      </c>
      <c r="E563" t="inlineStr">
        <is>
          <t>RAGUNDA</t>
        </is>
      </c>
      <c r="G563" t="n">
        <v>9.5</v>
      </c>
      <c r="H563" t="n">
        <v>0</v>
      </c>
      <c r="I563" t="n">
        <v>0</v>
      </c>
      <c r="J563" t="n">
        <v>0</v>
      </c>
      <c r="K563" t="n">
        <v>0</v>
      </c>
      <c r="L563" t="n">
        <v>0</v>
      </c>
      <c r="M563" t="n">
        <v>0</v>
      </c>
      <c r="N563" t="n">
        <v>0</v>
      </c>
      <c r="O563" t="n">
        <v>0</v>
      </c>
      <c r="P563" t="n">
        <v>0</v>
      </c>
      <c r="Q563" t="n">
        <v>0</v>
      </c>
      <c r="R563" s="2" t="inlineStr"/>
    </row>
    <row r="564" ht="15" customHeight="1">
      <c r="A564" t="inlineStr">
        <is>
          <t>A 24157-2025</t>
        </is>
      </c>
      <c r="B564" s="1" t="n">
        <v>45796</v>
      </c>
      <c r="C564" s="1" t="n">
        <v>45887</v>
      </c>
      <c r="D564" t="inlineStr">
        <is>
          <t>JÄMTLANDS LÄN</t>
        </is>
      </c>
      <c r="E564" t="inlineStr">
        <is>
          <t>RAGUNDA</t>
        </is>
      </c>
      <c r="G564" t="n">
        <v>1.1</v>
      </c>
      <c r="H564" t="n">
        <v>0</v>
      </c>
      <c r="I564" t="n">
        <v>0</v>
      </c>
      <c r="J564" t="n">
        <v>0</v>
      </c>
      <c r="K564" t="n">
        <v>0</v>
      </c>
      <c r="L564" t="n">
        <v>0</v>
      </c>
      <c r="M564" t="n">
        <v>0</v>
      </c>
      <c r="N564" t="n">
        <v>0</v>
      </c>
      <c r="O564" t="n">
        <v>0</v>
      </c>
      <c r="P564" t="n">
        <v>0</v>
      </c>
      <c r="Q564" t="n">
        <v>0</v>
      </c>
      <c r="R564" s="2" t="inlineStr"/>
    </row>
    <row r="565" ht="15" customHeight="1">
      <c r="A565" t="inlineStr">
        <is>
          <t>A 23841-2025</t>
        </is>
      </c>
      <c r="B565" s="1" t="n">
        <v>45793.61523148148</v>
      </c>
      <c r="C565" s="1" t="n">
        <v>45887</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24149-2025</t>
        </is>
      </c>
      <c r="B566" s="1" t="n">
        <v>45796</v>
      </c>
      <c r="C566" s="1" t="n">
        <v>45887</v>
      </c>
      <c r="D566" t="inlineStr">
        <is>
          <t>JÄMTLANDS LÄN</t>
        </is>
      </c>
      <c r="E566" t="inlineStr">
        <is>
          <t>RAGUNDA</t>
        </is>
      </c>
      <c r="G566" t="n">
        <v>2.4</v>
      </c>
      <c r="H566" t="n">
        <v>0</v>
      </c>
      <c r="I566" t="n">
        <v>0</v>
      </c>
      <c r="J566" t="n">
        <v>0</v>
      </c>
      <c r="K566" t="n">
        <v>0</v>
      </c>
      <c r="L566" t="n">
        <v>0</v>
      </c>
      <c r="M566" t="n">
        <v>0</v>
      </c>
      <c r="N566" t="n">
        <v>0</v>
      </c>
      <c r="O566" t="n">
        <v>0</v>
      </c>
      <c r="P566" t="n">
        <v>0</v>
      </c>
      <c r="Q566" t="n">
        <v>0</v>
      </c>
      <c r="R566" s="2" t="inlineStr"/>
    </row>
    <row r="567" ht="15" customHeight="1">
      <c r="A567" t="inlineStr">
        <is>
          <t>A 43102-2023</t>
        </is>
      </c>
      <c r="B567" s="1" t="n">
        <v>45182</v>
      </c>
      <c r="C567" s="1" t="n">
        <v>45887</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45887</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45887</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45887</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62407-2023</t>
        </is>
      </c>
      <c r="B571" s="1" t="n">
        <v>45266</v>
      </c>
      <c r="C571" s="1" t="n">
        <v>45887</v>
      </c>
      <c r="D571" t="inlineStr">
        <is>
          <t>JÄMTLANDS LÄN</t>
        </is>
      </c>
      <c r="E571" t="inlineStr">
        <is>
          <t>RAGUNDA</t>
        </is>
      </c>
      <c r="G571" t="n">
        <v>1.6</v>
      </c>
      <c r="H571" t="n">
        <v>0</v>
      </c>
      <c r="I571" t="n">
        <v>0</v>
      </c>
      <c r="J571" t="n">
        <v>0</v>
      </c>
      <c r="K571" t="n">
        <v>0</v>
      </c>
      <c r="L571" t="n">
        <v>0</v>
      </c>
      <c r="M571" t="n">
        <v>0</v>
      </c>
      <c r="N571" t="n">
        <v>0</v>
      </c>
      <c r="O571" t="n">
        <v>0</v>
      </c>
      <c r="P571" t="n">
        <v>0</v>
      </c>
      <c r="Q571" t="n">
        <v>0</v>
      </c>
      <c r="R571" s="2" t="inlineStr"/>
    </row>
    <row r="572" ht="15" customHeight="1">
      <c r="A572" t="inlineStr">
        <is>
          <t>A 38191-2024</t>
        </is>
      </c>
      <c r="B572" s="1" t="n">
        <v>45545.49078703704</v>
      </c>
      <c r="C572" s="1" t="n">
        <v>45887</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21083-2024</t>
        </is>
      </c>
      <c r="B573" s="1" t="n">
        <v>45439.92752314815</v>
      </c>
      <c r="C573" s="1" t="n">
        <v>45887</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59759-2024</t>
        </is>
      </c>
      <c r="B574" s="1" t="n">
        <v>45639.55240740741</v>
      </c>
      <c r="C574" s="1" t="n">
        <v>45887</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12204-2025</t>
        </is>
      </c>
      <c r="B575" s="1" t="n">
        <v>45729.51074074074</v>
      </c>
      <c r="C575" s="1" t="n">
        <v>45887</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24391-2025</t>
        </is>
      </c>
      <c r="B576" s="1" t="n">
        <v>45797.63627314815</v>
      </c>
      <c r="C576" s="1" t="n">
        <v>45887</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25376-2025</t>
        </is>
      </c>
      <c r="B577" s="1" t="n">
        <v>45800.63619212963</v>
      </c>
      <c r="C577" s="1" t="n">
        <v>45887</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11245-2025</t>
        </is>
      </c>
      <c r="B578" s="1" t="n">
        <v>45726.38575231482</v>
      </c>
      <c r="C578" s="1" t="n">
        <v>45887</v>
      </c>
      <c r="D578" t="inlineStr">
        <is>
          <t>JÄMTLANDS LÄN</t>
        </is>
      </c>
      <c r="E578" t="inlineStr">
        <is>
          <t>RAGUNDA</t>
        </is>
      </c>
      <c r="G578" t="n">
        <v>2.3</v>
      </c>
      <c r="H578" t="n">
        <v>0</v>
      </c>
      <c r="I578" t="n">
        <v>0</v>
      </c>
      <c r="J578" t="n">
        <v>0</v>
      </c>
      <c r="K578" t="n">
        <v>0</v>
      </c>
      <c r="L578" t="n">
        <v>0</v>
      </c>
      <c r="M578" t="n">
        <v>0</v>
      </c>
      <c r="N578" t="n">
        <v>0</v>
      </c>
      <c r="O578" t="n">
        <v>0</v>
      </c>
      <c r="P578" t="n">
        <v>0</v>
      </c>
      <c r="Q578" t="n">
        <v>0</v>
      </c>
      <c r="R578" s="2" t="inlineStr"/>
    </row>
    <row r="579" ht="15" customHeight="1">
      <c r="A579" t="inlineStr">
        <is>
          <t>A 13905-2025</t>
        </is>
      </c>
      <c r="B579" s="1" t="n">
        <v>45737.63574074074</v>
      </c>
      <c r="C579" s="1" t="n">
        <v>45887</v>
      </c>
      <c r="D579" t="inlineStr">
        <is>
          <t>JÄMTLANDS LÄN</t>
        </is>
      </c>
      <c r="E579" t="inlineStr">
        <is>
          <t>RAGUNDA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24732-2025</t>
        </is>
      </c>
      <c r="B580" s="1" t="n">
        <v>45799.34421296296</v>
      </c>
      <c r="C580" s="1" t="n">
        <v>45887</v>
      </c>
      <c r="D580" t="inlineStr">
        <is>
          <t>JÄMTLANDS LÄN</t>
        </is>
      </c>
      <c r="E580" t="inlineStr">
        <is>
          <t>RAGUNDA</t>
        </is>
      </c>
      <c r="F580" t="inlineStr">
        <is>
          <t>SCA</t>
        </is>
      </c>
      <c r="G580" t="n">
        <v>16.2</v>
      </c>
      <c r="H580" t="n">
        <v>0</v>
      </c>
      <c r="I580" t="n">
        <v>0</v>
      </c>
      <c r="J580" t="n">
        <v>0</v>
      </c>
      <c r="K580" t="n">
        <v>0</v>
      </c>
      <c r="L580" t="n">
        <v>0</v>
      </c>
      <c r="M580" t="n">
        <v>0</v>
      </c>
      <c r="N580" t="n">
        <v>0</v>
      </c>
      <c r="O580" t="n">
        <v>0</v>
      </c>
      <c r="P580" t="n">
        <v>0</v>
      </c>
      <c r="Q580" t="n">
        <v>0</v>
      </c>
      <c r="R580" s="2" t="inlineStr"/>
    </row>
    <row r="581" ht="15" customHeight="1">
      <c r="A581" t="inlineStr">
        <is>
          <t>A 25350-2025</t>
        </is>
      </c>
      <c r="B581" s="1" t="n">
        <v>45800</v>
      </c>
      <c r="C581" s="1" t="n">
        <v>45887</v>
      </c>
      <c r="D581" t="inlineStr">
        <is>
          <t>JÄMTLANDS LÄN</t>
        </is>
      </c>
      <c r="E581" t="inlineStr">
        <is>
          <t>RAGUNDA</t>
        </is>
      </c>
      <c r="G581" t="n">
        <v>2.4</v>
      </c>
      <c r="H581" t="n">
        <v>0</v>
      </c>
      <c r="I581" t="n">
        <v>0</v>
      </c>
      <c r="J581" t="n">
        <v>0</v>
      </c>
      <c r="K581" t="n">
        <v>0</v>
      </c>
      <c r="L581" t="n">
        <v>0</v>
      </c>
      <c r="M581" t="n">
        <v>0</v>
      </c>
      <c r="N581" t="n">
        <v>0</v>
      </c>
      <c r="O581" t="n">
        <v>0</v>
      </c>
      <c r="P581" t="n">
        <v>0</v>
      </c>
      <c r="Q581" t="n">
        <v>0</v>
      </c>
      <c r="R581" s="2" t="inlineStr"/>
    </row>
    <row r="582" ht="15" customHeight="1">
      <c r="A582" t="inlineStr">
        <is>
          <t>A 25152-2025</t>
        </is>
      </c>
      <c r="B582" s="1" t="n">
        <v>45800.42743055556</v>
      </c>
      <c r="C582" s="1" t="n">
        <v>45887</v>
      </c>
      <c r="D582" t="inlineStr">
        <is>
          <t>JÄMTLANDS LÄN</t>
        </is>
      </c>
      <c r="E582" t="inlineStr">
        <is>
          <t>RAGUNDA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25175-2025</t>
        </is>
      </c>
      <c r="B583" s="1" t="n">
        <v>45800.44822916666</v>
      </c>
      <c r="C583" s="1" t="n">
        <v>45887</v>
      </c>
      <c r="D583" t="inlineStr">
        <is>
          <t>JÄMTLANDS LÄN</t>
        </is>
      </c>
      <c r="E583" t="inlineStr">
        <is>
          <t>RAGUNDA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25177-2025</t>
        </is>
      </c>
      <c r="B584" s="1" t="n">
        <v>45800.44862268519</v>
      </c>
      <c r="C584" s="1" t="n">
        <v>45887</v>
      </c>
      <c r="D584" t="inlineStr">
        <is>
          <t>JÄMTLANDS LÄN</t>
        </is>
      </c>
      <c r="E584" t="inlineStr">
        <is>
          <t>RAGUNDA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4125-2024</t>
        </is>
      </c>
      <c r="B585" s="1" t="n">
        <v>45323</v>
      </c>
      <c r="C585" s="1" t="n">
        <v>45887</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44980-2023</t>
        </is>
      </c>
      <c r="B586" s="1" t="n">
        <v>45190</v>
      </c>
      <c r="C586" s="1" t="n">
        <v>45887</v>
      </c>
      <c r="D586" t="inlineStr">
        <is>
          <t>JÄMTLANDS LÄN</t>
        </is>
      </c>
      <c r="E586" t="inlineStr">
        <is>
          <t>RAGUNDA</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25631-2025</t>
        </is>
      </c>
      <c r="B587" s="1" t="n">
        <v>45803.5946875</v>
      </c>
      <c r="C587" s="1" t="n">
        <v>45887</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25659-2025</t>
        </is>
      </c>
      <c r="B588" s="1" t="n">
        <v>45803.61552083334</v>
      </c>
      <c r="C588" s="1" t="n">
        <v>45887</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25661-2025</t>
        </is>
      </c>
      <c r="B589" s="1" t="n">
        <v>45803.61557870371</v>
      </c>
      <c r="C589" s="1" t="n">
        <v>45887</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25944-2025</t>
        </is>
      </c>
      <c r="B590" s="1" t="n">
        <v>45804.59487268519</v>
      </c>
      <c r="C590" s="1" t="n">
        <v>45887</v>
      </c>
      <c r="D590" t="inlineStr">
        <is>
          <t>JÄMTLANDS LÄN</t>
        </is>
      </c>
      <c r="E590" t="inlineStr">
        <is>
          <t>RAGUNDA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25814-2025</t>
        </is>
      </c>
      <c r="B591" s="1" t="n">
        <v>45804.42642361111</v>
      </c>
      <c r="C591" s="1" t="n">
        <v>45887</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27777-2022</t>
        </is>
      </c>
      <c r="B592" s="1" t="n">
        <v>44743</v>
      </c>
      <c r="C592" s="1" t="n">
        <v>45887</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51245-2024</t>
        </is>
      </c>
      <c r="B593" s="1" t="n">
        <v>45603.67850694444</v>
      </c>
      <c r="C593" s="1" t="n">
        <v>45887</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61923-2024</t>
        </is>
      </c>
      <c r="B594" s="1" t="n">
        <v>45653.44836805556</v>
      </c>
      <c r="C594" s="1" t="n">
        <v>45887</v>
      </c>
      <c r="D594" t="inlineStr">
        <is>
          <t>JÄMTLANDS LÄN</t>
        </is>
      </c>
      <c r="E594" t="inlineStr">
        <is>
          <t>RAGUNDA</t>
        </is>
      </c>
      <c r="F594" t="inlineStr">
        <is>
          <t>SCA</t>
        </is>
      </c>
      <c r="G594" t="n">
        <v>11.1</v>
      </c>
      <c r="H594" t="n">
        <v>0</v>
      </c>
      <c r="I594" t="n">
        <v>0</v>
      </c>
      <c r="J594" t="n">
        <v>0</v>
      </c>
      <c r="K594" t="n">
        <v>0</v>
      </c>
      <c r="L594" t="n">
        <v>0</v>
      </c>
      <c r="M594" t="n">
        <v>0</v>
      </c>
      <c r="N594" t="n">
        <v>0</v>
      </c>
      <c r="O594" t="n">
        <v>0</v>
      </c>
      <c r="P594" t="n">
        <v>0</v>
      </c>
      <c r="Q594" t="n">
        <v>0</v>
      </c>
      <c r="R594" s="2" t="inlineStr"/>
    </row>
    <row r="595" ht="15" customHeight="1">
      <c r="A595" t="inlineStr">
        <is>
          <t>A 50503-2024</t>
        </is>
      </c>
      <c r="B595" s="1" t="n">
        <v>45601.5315625</v>
      </c>
      <c r="C595" s="1" t="n">
        <v>45887</v>
      </c>
      <c r="D595" t="inlineStr">
        <is>
          <t>JÄMTLANDS LÄN</t>
        </is>
      </c>
      <c r="E595" t="inlineStr">
        <is>
          <t>RAGUNDA</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59556-2024</t>
        </is>
      </c>
      <c r="B596" s="1" t="n">
        <v>45638.63600694444</v>
      </c>
      <c r="C596" s="1" t="n">
        <v>45887</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54092-2024</t>
        </is>
      </c>
      <c r="B597" s="1" t="n">
        <v>45616.5108912037</v>
      </c>
      <c r="C597" s="1" t="n">
        <v>45887</v>
      </c>
      <c r="D597" t="inlineStr">
        <is>
          <t>JÄMTLANDS LÄN</t>
        </is>
      </c>
      <c r="E597" t="inlineStr">
        <is>
          <t>RAGUNDA</t>
        </is>
      </c>
      <c r="F597" t="inlineStr">
        <is>
          <t>Naturvårdsverket</t>
        </is>
      </c>
      <c r="G597" t="n">
        <v>1.3</v>
      </c>
      <c r="H597" t="n">
        <v>0</v>
      </c>
      <c r="I597" t="n">
        <v>0</v>
      </c>
      <c r="J597" t="n">
        <v>0</v>
      </c>
      <c r="K597" t="n">
        <v>0</v>
      </c>
      <c r="L597" t="n">
        <v>0</v>
      </c>
      <c r="M597" t="n">
        <v>0</v>
      </c>
      <c r="N597" t="n">
        <v>0</v>
      </c>
      <c r="O597" t="n">
        <v>0</v>
      </c>
      <c r="P597" t="n">
        <v>0</v>
      </c>
      <c r="Q597" t="n">
        <v>0</v>
      </c>
      <c r="R597" s="2" t="inlineStr"/>
    </row>
    <row r="598" ht="15" customHeight="1">
      <c r="A598" t="inlineStr">
        <is>
          <t>A 13302-2022</t>
        </is>
      </c>
      <c r="B598" s="1" t="n">
        <v>44644</v>
      </c>
      <c r="C598" s="1" t="n">
        <v>45887</v>
      </c>
      <c r="D598" t="inlineStr">
        <is>
          <t>JÄMTLANDS LÄN</t>
        </is>
      </c>
      <c r="E598" t="inlineStr">
        <is>
          <t>RAGUNDA</t>
        </is>
      </c>
      <c r="F598" t="inlineStr">
        <is>
          <t>SCA</t>
        </is>
      </c>
      <c r="G598" t="n">
        <v>35.6</v>
      </c>
      <c r="H598" t="n">
        <v>0</v>
      </c>
      <c r="I598" t="n">
        <v>0</v>
      </c>
      <c r="J598" t="n">
        <v>0</v>
      </c>
      <c r="K598" t="n">
        <v>0</v>
      </c>
      <c r="L598" t="n">
        <v>0</v>
      </c>
      <c r="M598" t="n">
        <v>0</v>
      </c>
      <c r="N598" t="n">
        <v>0</v>
      </c>
      <c r="O598" t="n">
        <v>0</v>
      </c>
      <c r="P598" t="n">
        <v>0</v>
      </c>
      <c r="Q598" t="n">
        <v>0</v>
      </c>
      <c r="R598" s="2" t="inlineStr"/>
    </row>
    <row r="599" ht="15" customHeight="1">
      <c r="A599" t="inlineStr">
        <is>
          <t>A 18225-2024</t>
        </is>
      </c>
      <c r="B599" s="1" t="n">
        <v>45420</v>
      </c>
      <c r="C599" s="1" t="n">
        <v>45887</v>
      </c>
      <c r="D599" t="inlineStr">
        <is>
          <t>JÄMTLANDS LÄN</t>
        </is>
      </c>
      <c r="E599" t="inlineStr">
        <is>
          <t>RAGUNDA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25597-2025</t>
        </is>
      </c>
      <c r="B600" s="1" t="n">
        <v>45803.53157407408</v>
      </c>
      <c r="C600" s="1" t="n">
        <v>45887</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25630-2025</t>
        </is>
      </c>
      <c r="B601" s="1" t="n">
        <v>45803.59417824074</v>
      </c>
      <c r="C601" s="1" t="n">
        <v>45887</v>
      </c>
      <c r="D601" t="inlineStr">
        <is>
          <t>JÄMTLANDS LÄN</t>
        </is>
      </c>
      <c r="E601" t="inlineStr">
        <is>
          <t>RAGUNDA</t>
        </is>
      </c>
      <c r="G601" t="n">
        <v>6.9</v>
      </c>
      <c r="H601" t="n">
        <v>0</v>
      </c>
      <c r="I601" t="n">
        <v>0</v>
      </c>
      <c r="J601" t="n">
        <v>0</v>
      </c>
      <c r="K601" t="n">
        <v>0</v>
      </c>
      <c r="L601" t="n">
        <v>0</v>
      </c>
      <c r="M601" t="n">
        <v>0</v>
      </c>
      <c r="N601" t="n">
        <v>0</v>
      </c>
      <c r="O601" t="n">
        <v>0</v>
      </c>
      <c r="P601" t="n">
        <v>0</v>
      </c>
      <c r="Q601" t="n">
        <v>0</v>
      </c>
      <c r="R601" s="2" t="inlineStr"/>
    </row>
    <row r="602" ht="15" customHeight="1">
      <c r="A602" t="inlineStr">
        <is>
          <t>A 61598-2024</t>
        </is>
      </c>
      <c r="B602" s="1" t="n">
        <v>45646.63605324074</v>
      </c>
      <c r="C602" s="1" t="n">
        <v>45887</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19613-2023</t>
        </is>
      </c>
      <c r="B603" s="1" t="n">
        <v>45050.94020833333</v>
      </c>
      <c r="C603" s="1" t="n">
        <v>45887</v>
      </c>
      <c r="D603" t="inlineStr">
        <is>
          <t>JÄMTLANDS LÄN</t>
        </is>
      </c>
      <c r="E603" t="inlineStr">
        <is>
          <t>RAGUNDA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7280-2024</t>
        </is>
      </c>
      <c r="B604" s="1" t="n">
        <v>45344</v>
      </c>
      <c r="C604" s="1" t="n">
        <v>45887</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25994-2025</t>
        </is>
      </c>
      <c r="B605" s="1" t="n">
        <v>45804.65672453704</v>
      </c>
      <c r="C605" s="1" t="n">
        <v>45887</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21662-2023</t>
        </is>
      </c>
      <c r="B606" s="1" t="n">
        <v>45063</v>
      </c>
      <c r="C606" s="1" t="n">
        <v>45887</v>
      </c>
      <c r="D606" t="inlineStr">
        <is>
          <t>JÄMTLANDS LÄN</t>
        </is>
      </c>
      <c r="E606" t="inlineStr">
        <is>
          <t>RAGUNDA</t>
        </is>
      </c>
      <c r="G606" t="n">
        <v>1.8</v>
      </c>
      <c r="H606" t="n">
        <v>0</v>
      </c>
      <c r="I606" t="n">
        <v>0</v>
      </c>
      <c r="J606" t="n">
        <v>0</v>
      </c>
      <c r="K606" t="n">
        <v>0</v>
      </c>
      <c r="L606" t="n">
        <v>0</v>
      </c>
      <c r="M606" t="n">
        <v>0</v>
      </c>
      <c r="N606" t="n">
        <v>0</v>
      </c>
      <c r="O606" t="n">
        <v>0</v>
      </c>
      <c r="P606" t="n">
        <v>0</v>
      </c>
      <c r="Q606" t="n">
        <v>0</v>
      </c>
      <c r="R606" s="2" t="inlineStr"/>
    </row>
    <row r="607" ht="15" customHeight="1">
      <c r="A607" t="inlineStr">
        <is>
          <t>A 61107-2024</t>
        </is>
      </c>
      <c r="B607" s="1" t="n">
        <v>45645.55665509259</v>
      </c>
      <c r="C607" s="1" t="n">
        <v>45887</v>
      </c>
      <c r="D607" t="inlineStr">
        <is>
          <t>JÄMTLANDS LÄN</t>
        </is>
      </c>
      <c r="E607" t="inlineStr">
        <is>
          <t>RAGUNDA</t>
        </is>
      </c>
      <c r="G607" t="n">
        <v>3.2</v>
      </c>
      <c r="H607" t="n">
        <v>0</v>
      </c>
      <c r="I607" t="n">
        <v>0</v>
      </c>
      <c r="J607" t="n">
        <v>0</v>
      </c>
      <c r="K607" t="n">
        <v>0</v>
      </c>
      <c r="L607" t="n">
        <v>0</v>
      </c>
      <c r="M607" t="n">
        <v>0</v>
      </c>
      <c r="N607" t="n">
        <v>0</v>
      </c>
      <c r="O607" t="n">
        <v>0</v>
      </c>
      <c r="P607" t="n">
        <v>0</v>
      </c>
      <c r="Q607" t="n">
        <v>0</v>
      </c>
      <c r="R607" s="2" t="inlineStr"/>
    </row>
    <row r="608" ht="15" customHeight="1">
      <c r="A608" t="inlineStr">
        <is>
          <t>A 34296-2025</t>
        </is>
      </c>
      <c r="B608" s="1" t="n">
        <v>45846.34454861111</v>
      </c>
      <c r="C608" s="1" t="n">
        <v>45887</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34461-2025</t>
        </is>
      </c>
      <c r="B609" s="1" t="n">
        <v>45847.34474537037</v>
      </c>
      <c r="C609" s="1" t="n">
        <v>45887</v>
      </c>
      <c r="D609" t="inlineStr">
        <is>
          <t>JÄMTLANDS LÄN</t>
        </is>
      </c>
      <c r="E609" t="inlineStr">
        <is>
          <t>RAGUNDA</t>
        </is>
      </c>
      <c r="F609" t="inlineStr">
        <is>
          <t>SCA</t>
        </is>
      </c>
      <c r="G609" t="n">
        <v>44.8</v>
      </c>
      <c r="H609" t="n">
        <v>0</v>
      </c>
      <c r="I609" t="n">
        <v>0</v>
      </c>
      <c r="J609" t="n">
        <v>0</v>
      </c>
      <c r="K609" t="n">
        <v>0</v>
      </c>
      <c r="L609" t="n">
        <v>0</v>
      </c>
      <c r="M609" t="n">
        <v>0</v>
      </c>
      <c r="N609" t="n">
        <v>0</v>
      </c>
      <c r="O609" t="n">
        <v>0</v>
      </c>
      <c r="P609" t="n">
        <v>0</v>
      </c>
      <c r="Q609" t="n">
        <v>0</v>
      </c>
      <c r="R609" s="2" t="inlineStr"/>
    </row>
    <row r="610" ht="15" customHeight="1">
      <c r="A610" t="inlineStr">
        <is>
          <t>A 5313-2025</t>
        </is>
      </c>
      <c r="B610" s="1" t="n">
        <v>45692.51069444444</v>
      </c>
      <c r="C610" s="1" t="n">
        <v>45887</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5357-2025</t>
        </is>
      </c>
      <c r="B611" s="1" t="n">
        <v>45692.57326388889</v>
      </c>
      <c r="C611" s="1" t="n">
        <v>45887</v>
      </c>
      <c r="D611" t="inlineStr">
        <is>
          <t>JÄMTLANDS LÄN</t>
        </is>
      </c>
      <c r="E611" t="inlineStr">
        <is>
          <t>RAGUNDA</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34588-2025</t>
        </is>
      </c>
      <c r="B612" s="1" t="n">
        <v>45847.61548611111</v>
      </c>
      <c r="C612" s="1" t="n">
        <v>45887</v>
      </c>
      <c r="D612" t="inlineStr">
        <is>
          <t>JÄMTLANDS LÄN</t>
        </is>
      </c>
      <c r="E612" t="inlineStr">
        <is>
          <t>RAGUNDA</t>
        </is>
      </c>
      <c r="G612" t="n">
        <v>32.3</v>
      </c>
      <c r="H612" t="n">
        <v>0</v>
      </c>
      <c r="I612" t="n">
        <v>0</v>
      </c>
      <c r="J612" t="n">
        <v>0</v>
      </c>
      <c r="K612" t="n">
        <v>0</v>
      </c>
      <c r="L612" t="n">
        <v>0</v>
      </c>
      <c r="M612" t="n">
        <v>0</v>
      </c>
      <c r="N612" t="n">
        <v>0</v>
      </c>
      <c r="O612" t="n">
        <v>0</v>
      </c>
      <c r="P612" t="n">
        <v>0</v>
      </c>
      <c r="Q612" t="n">
        <v>0</v>
      </c>
      <c r="R612" s="2" t="inlineStr"/>
    </row>
    <row r="613" ht="15" customHeight="1">
      <c r="A613" t="inlineStr">
        <is>
          <t>A 34586-2025</t>
        </is>
      </c>
      <c r="B613" s="1" t="n">
        <v>45847.61513888889</v>
      </c>
      <c r="C613" s="1" t="n">
        <v>45887</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26283-2025</t>
        </is>
      </c>
      <c r="B614" s="1" t="n">
        <v>45805.61495370371</v>
      </c>
      <c r="C614" s="1" t="n">
        <v>45887</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34607-2025</t>
        </is>
      </c>
      <c r="B615" s="1" t="n">
        <v>45847.65703703704</v>
      </c>
      <c r="C615" s="1" t="n">
        <v>45887</v>
      </c>
      <c r="D615" t="inlineStr">
        <is>
          <t>JÄMTLANDS LÄN</t>
        </is>
      </c>
      <c r="E615" t="inlineStr">
        <is>
          <t>RAGUNDA</t>
        </is>
      </c>
      <c r="F615" t="inlineStr">
        <is>
          <t>SCA</t>
        </is>
      </c>
      <c r="G615" t="n">
        <v>31.4</v>
      </c>
      <c r="H615" t="n">
        <v>0</v>
      </c>
      <c r="I615" t="n">
        <v>0</v>
      </c>
      <c r="J615" t="n">
        <v>0</v>
      </c>
      <c r="K615" t="n">
        <v>0</v>
      </c>
      <c r="L615" t="n">
        <v>0</v>
      </c>
      <c r="M615" t="n">
        <v>0</v>
      </c>
      <c r="N615" t="n">
        <v>0</v>
      </c>
      <c r="O615" t="n">
        <v>0</v>
      </c>
      <c r="P615" t="n">
        <v>0</v>
      </c>
      <c r="Q615" t="n">
        <v>0</v>
      </c>
      <c r="R615" s="2" t="inlineStr"/>
    </row>
    <row r="616" ht="15" customHeight="1">
      <c r="A616" t="inlineStr">
        <is>
          <t>A 34466-2025</t>
        </is>
      </c>
      <c r="B616" s="1" t="n">
        <v>45847.34565972222</v>
      </c>
      <c r="C616" s="1" t="n">
        <v>45887</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34772-2025</t>
        </is>
      </c>
      <c r="B617" s="1" t="n">
        <v>45848.65658564815</v>
      </c>
      <c r="C617" s="1" t="n">
        <v>45887</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50649-2022</t>
        </is>
      </c>
      <c r="B618" s="1" t="n">
        <v>44866</v>
      </c>
      <c r="C618" s="1" t="n">
        <v>45887</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44494-2024</t>
        </is>
      </c>
      <c r="B619" s="1" t="n">
        <v>45574.39081018518</v>
      </c>
      <c r="C619" s="1" t="n">
        <v>45887</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12983-2025</t>
        </is>
      </c>
      <c r="B620" s="1" t="n">
        <v>45734.4633912037</v>
      </c>
      <c r="C620" s="1" t="n">
        <v>45887</v>
      </c>
      <c r="D620" t="inlineStr">
        <is>
          <t>JÄMTLANDS LÄN</t>
        </is>
      </c>
      <c r="E620" t="inlineStr">
        <is>
          <t>RAGUNDA</t>
        </is>
      </c>
      <c r="G620" t="n">
        <v>5.2</v>
      </c>
      <c r="H620" t="n">
        <v>0</v>
      </c>
      <c r="I620" t="n">
        <v>0</v>
      </c>
      <c r="J620" t="n">
        <v>0</v>
      </c>
      <c r="K620" t="n">
        <v>0</v>
      </c>
      <c r="L620" t="n">
        <v>0</v>
      </c>
      <c r="M620" t="n">
        <v>0</v>
      </c>
      <c r="N620" t="n">
        <v>0</v>
      </c>
      <c r="O620" t="n">
        <v>0</v>
      </c>
      <c r="P620" t="n">
        <v>0</v>
      </c>
      <c r="Q620" t="n">
        <v>0</v>
      </c>
      <c r="R620" s="2" t="inlineStr"/>
    </row>
    <row r="621" ht="15" customHeight="1">
      <c r="A621" t="inlineStr">
        <is>
          <t>A 39626-2024</t>
        </is>
      </c>
      <c r="B621" s="1" t="n">
        <v>45552.44096064815</v>
      </c>
      <c r="C621" s="1" t="n">
        <v>45887</v>
      </c>
      <c r="D621" t="inlineStr">
        <is>
          <t>JÄMTLANDS LÄN</t>
        </is>
      </c>
      <c r="E621" t="inlineStr">
        <is>
          <t>RAGUNDA</t>
        </is>
      </c>
      <c r="G621" t="n">
        <v>23.5</v>
      </c>
      <c r="H621" t="n">
        <v>0</v>
      </c>
      <c r="I621" t="n">
        <v>0</v>
      </c>
      <c r="J621" t="n">
        <v>0</v>
      </c>
      <c r="K621" t="n">
        <v>0</v>
      </c>
      <c r="L621" t="n">
        <v>0</v>
      </c>
      <c r="M621" t="n">
        <v>0</v>
      </c>
      <c r="N621" t="n">
        <v>0</v>
      </c>
      <c r="O621" t="n">
        <v>0</v>
      </c>
      <c r="P621" t="n">
        <v>0</v>
      </c>
      <c r="Q621" t="n">
        <v>0</v>
      </c>
      <c r="R621" s="2" t="inlineStr"/>
    </row>
    <row r="622" ht="15" customHeight="1">
      <c r="A622" t="inlineStr">
        <is>
          <t>A 60195-2023</t>
        </is>
      </c>
      <c r="B622" s="1" t="n">
        <v>45257</v>
      </c>
      <c r="C622" s="1" t="n">
        <v>45887</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45631-2024</t>
        </is>
      </c>
      <c r="B623" s="1" t="n">
        <v>45579.47052083333</v>
      </c>
      <c r="C623" s="1" t="n">
        <v>45887</v>
      </c>
      <c r="D623" t="inlineStr">
        <is>
          <t>JÄMTLANDS LÄN</t>
        </is>
      </c>
      <c r="E623" t="inlineStr">
        <is>
          <t>RAGUNDA</t>
        </is>
      </c>
      <c r="G623" t="n">
        <v>15.1</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45887</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45887</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62135-2024</t>
        </is>
      </c>
      <c r="B626" s="1" t="n">
        <v>45656.64223379629</v>
      </c>
      <c r="C626" s="1" t="n">
        <v>45887</v>
      </c>
      <c r="D626" t="inlineStr">
        <is>
          <t>JÄMTLANDS LÄN</t>
        </is>
      </c>
      <c r="E626" t="inlineStr">
        <is>
          <t>RAGUNDA</t>
        </is>
      </c>
      <c r="G626" t="n">
        <v>1.5</v>
      </c>
      <c r="H626" t="n">
        <v>0</v>
      </c>
      <c r="I626" t="n">
        <v>0</v>
      </c>
      <c r="J626" t="n">
        <v>0</v>
      </c>
      <c r="K626" t="n">
        <v>0</v>
      </c>
      <c r="L626" t="n">
        <v>0</v>
      </c>
      <c r="M626" t="n">
        <v>0</v>
      </c>
      <c r="N626" t="n">
        <v>0</v>
      </c>
      <c r="O626" t="n">
        <v>0</v>
      </c>
      <c r="P626" t="n">
        <v>0</v>
      </c>
      <c r="Q626" t="n">
        <v>0</v>
      </c>
      <c r="R626" s="2" t="inlineStr"/>
    </row>
    <row r="627" ht="15" customHeight="1">
      <c r="A627" t="inlineStr">
        <is>
          <t>A 34463-2025</t>
        </is>
      </c>
      <c r="B627" s="1" t="n">
        <v>45847.34515046296</v>
      </c>
      <c r="C627" s="1" t="n">
        <v>45887</v>
      </c>
      <c r="D627" t="inlineStr">
        <is>
          <t>JÄMTLANDS LÄN</t>
        </is>
      </c>
      <c r="E627" t="inlineStr">
        <is>
          <t>RAGUNDA</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34468-2025</t>
        </is>
      </c>
      <c r="B628" s="1" t="n">
        <v>45847.34597222223</v>
      </c>
      <c r="C628" s="1" t="n">
        <v>45887</v>
      </c>
      <c r="D628" t="inlineStr">
        <is>
          <t>JÄMTLANDS LÄN</t>
        </is>
      </c>
      <c r="E628" t="inlineStr">
        <is>
          <t>RAGUNDA</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8802-2022</t>
        </is>
      </c>
      <c r="B629" s="1" t="n">
        <v>44614</v>
      </c>
      <c r="C629" s="1" t="n">
        <v>45887</v>
      </c>
      <c r="D629" t="inlineStr">
        <is>
          <t>JÄMTLANDS LÄN</t>
        </is>
      </c>
      <c r="E629" t="inlineStr">
        <is>
          <t>RAGUNDA</t>
        </is>
      </c>
      <c r="G629" t="n">
        <v>2.8</v>
      </c>
      <c r="H629" t="n">
        <v>0</v>
      </c>
      <c r="I629" t="n">
        <v>0</v>
      </c>
      <c r="J629" t="n">
        <v>0</v>
      </c>
      <c r="K629" t="n">
        <v>0</v>
      </c>
      <c r="L629" t="n">
        <v>0</v>
      </c>
      <c r="M629" t="n">
        <v>0</v>
      </c>
      <c r="N629" t="n">
        <v>0</v>
      </c>
      <c r="O629" t="n">
        <v>0</v>
      </c>
      <c r="P629" t="n">
        <v>0</v>
      </c>
      <c r="Q629" t="n">
        <v>0</v>
      </c>
      <c r="R629" s="2" t="inlineStr"/>
    </row>
    <row r="630" ht="15" customHeight="1">
      <c r="A630" t="inlineStr">
        <is>
          <t>A 2819-2023</t>
        </is>
      </c>
      <c r="B630" s="1" t="n">
        <v>44944</v>
      </c>
      <c r="C630" s="1" t="n">
        <v>45887</v>
      </c>
      <c r="D630" t="inlineStr">
        <is>
          <t>JÄMTLANDS LÄN</t>
        </is>
      </c>
      <c r="E630" t="inlineStr">
        <is>
          <t>RAGUNDA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34464-2025</t>
        </is>
      </c>
      <c r="B631" s="1" t="n">
        <v>45847.34528935186</v>
      </c>
      <c r="C631" s="1" t="n">
        <v>45887</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55309-2020</t>
        </is>
      </c>
      <c r="B632" s="1" t="n">
        <v>44130.9416550926</v>
      </c>
      <c r="C632" s="1" t="n">
        <v>45887</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10788-2025</t>
        </is>
      </c>
      <c r="B633" s="1" t="n">
        <v>45722.48982638889</v>
      </c>
      <c r="C633" s="1" t="n">
        <v>45887</v>
      </c>
      <c r="D633" t="inlineStr">
        <is>
          <t>JÄMTLANDS LÄN</t>
        </is>
      </c>
      <c r="E633" t="inlineStr">
        <is>
          <t>RAGUNDA</t>
        </is>
      </c>
      <c r="G633" t="n">
        <v>3.5</v>
      </c>
      <c r="H633" t="n">
        <v>0</v>
      </c>
      <c r="I633" t="n">
        <v>0</v>
      </c>
      <c r="J633" t="n">
        <v>0</v>
      </c>
      <c r="K633" t="n">
        <v>0</v>
      </c>
      <c r="L633" t="n">
        <v>0</v>
      </c>
      <c r="M633" t="n">
        <v>0</v>
      </c>
      <c r="N633" t="n">
        <v>0</v>
      </c>
      <c r="O633" t="n">
        <v>0</v>
      </c>
      <c r="P633" t="n">
        <v>0</v>
      </c>
      <c r="Q633" t="n">
        <v>0</v>
      </c>
      <c r="R633" s="2" t="inlineStr"/>
    </row>
    <row r="634" ht="15" customHeight="1">
      <c r="A634" t="inlineStr">
        <is>
          <t>A 9823-2025</t>
        </is>
      </c>
      <c r="B634" s="1" t="n">
        <v>45716</v>
      </c>
      <c r="C634" s="1" t="n">
        <v>45887</v>
      </c>
      <c r="D634" t="inlineStr">
        <is>
          <t>JÄMTLANDS LÄN</t>
        </is>
      </c>
      <c r="E634" t="inlineStr">
        <is>
          <t>RAGUNDA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9847-2025</t>
        </is>
      </c>
      <c r="B635" s="1" t="n">
        <v>45716.61487268518</v>
      </c>
      <c r="C635" s="1" t="n">
        <v>45887</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182-2023</t>
        </is>
      </c>
      <c r="B636" s="1" t="n">
        <v>44922</v>
      </c>
      <c r="C636" s="1" t="n">
        <v>45887</v>
      </c>
      <c r="D636" t="inlineStr">
        <is>
          <t>JÄMTLANDS LÄN</t>
        </is>
      </c>
      <c r="E636" t="inlineStr">
        <is>
          <t>RAGUNDA</t>
        </is>
      </c>
      <c r="G636" t="n">
        <v>1.4</v>
      </c>
      <c r="H636" t="n">
        <v>0</v>
      </c>
      <c r="I636" t="n">
        <v>0</v>
      </c>
      <c r="J636" t="n">
        <v>0</v>
      </c>
      <c r="K636" t="n">
        <v>0</v>
      </c>
      <c r="L636" t="n">
        <v>0</v>
      </c>
      <c r="M636" t="n">
        <v>0</v>
      </c>
      <c r="N636" t="n">
        <v>0</v>
      </c>
      <c r="O636" t="n">
        <v>0</v>
      </c>
      <c r="P636" t="n">
        <v>0</v>
      </c>
      <c r="Q636" t="n">
        <v>0</v>
      </c>
      <c r="R636" s="2" t="inlineStr"/>
    </row>
    <row r="637" ht="15" customHeight="1">
      <c r="A637" t="inlineStr">
        <is>
          <t>A 66011-2021</t>
        </is>
      </c>
      <c r="B637" s="1" t="n">
        <v>44517.58137731482</v>
      </c>
      <c r="C637" s="1" t="n">
        <v>45887</v>
      </c>
      <c r="D637" t="inlineStr">
        <is>
          <t>JÄMTLANDS LÄN</t>
        </is>
      </c>
      <c r="E637" t="inlineStr">
        <is>
          <t>RAGUNDA</t>
        </is>
      </c>
      <c r="G637" t="n">
        <v>1.1</v>
      </c>
      <c r="H637" t="n">
        <v>0</v>
      </c>
      <c r="I637" t="n">
        <v>0</v>
      </c>
      <c r="J637" t="n">
        <v>0</v>
      </c>
      <c r="K637" t="n">
        <v>0</v>
      </c>
      <c r="L637" t="n">
        <v>0</v>
      </c>
      <c r="M637" t="n">
        <v>0</v>
      </c>
      <c r="N637" t="n">
        <v>0</v>
      </c>
      <c r="O637" t="n">
        <v>0</v>
      </c>
      <c r="P637" t="n">
        <v>0</v>
      </c>
      <c r="Q637" t="n">
        <v>0</v>
      </c>
      <c r="R637" s="2" t="inlineStr"/>
    </row>
    <row r="638" ht="15" customHeight="1">
      <c r="A638" t="inlineStr">
        <is>
          <t>A 20987-2023</t>
        </is>
      </c>
      <c r="B638" s="1" t="n">
        <v>45056</v>
      </c>
      <c r="C638" s="1" t="n">
        <v>45887</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20994-2023</t>
        </is>
      </c>
      <c r="B639" s="1" t="n">
        <v>45056</v>
      </c>
      <c r="C639" s="1" t="n">
        <v>45887</v>
      </c>
      <c r="D639" t="inlineStr">
        <is>
          <t>JÄMTLANDS LÄN</t>
        </is>
      </c>
      <c r="E639" t="inlineStr">
        <is>
          <t>RAGUNDA</t>
        </is>
      </c>
      <c r="G639" t="n">
        <v>1.3</v>
      </c>
      <c r="H639" t="n">
        <v>0</v>
      </c>
      <c r="I639" t="n">
        <v>0</v>
      </c>
      <c r="J639" t="n">
        <v>0</v>
      </c>
      <c r="K639" t="n">
        <v>0</v>
      </c>
      <c r="L639" t="n">
        <v>0</v>
      </c>
      <c r="M639" t="n">
        <v>0</v>
      </c>
      <c r="N639" t="n">
        <v>0</v>
      </c>
      <c r="O639" t="n">
        <v>0</v>
      </c>
      <c r="P639" t="n">
        <v>0</v>
      </c>
      <c r="Q639" t="n">
        <v>0</v>
      </c>
      <c r="R639" s="2" t="inlineStr"/>
    </row>
    <row r="640" ht="15" customHeight="1">
      <c r="A640" t="inlineStr">
        <is>
          <t>A 32904-2024</t>
        </is>
      </c>
      <c r="B640" s="1" t="n">
        <v>45516.94732638889</v>
      </c>
      <c r="C640" s="1" t="n">
        <v>45887</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45887</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26246-2025</t>
        </is>
      </c>
      <c r="B642" s="1" t="n">
        <v>45805.57390046296</v>
      </c>
      <c r="C642" s="1" t="n">
        <v>45887</v>
      </c>
      <c r="D642" t="inlineStr">
        <is>
          <t>JÄMTLANDS LÄN</t>
        </is>
      </c>
      <c r="E642" t="inlineStr">
        <is>
          <t>RAGUNDA</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45887</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45887</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45887</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45887</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2001-2025</t>
        </is>
      </c>
      <c r="B647" s="1" t="n">
        <v>45672.44898148148</v>
      </c>
      <c r="C647" s="1" t="n">
        <v>45887</v>
      </c>
      <c r="D647" t="inlineStr">
        <is>
          <t>JÄMTLANDS LÄN</t>
        </is>
      </c>
      <c r="E647" t="inlineStr">
        <is>
          <t>RAGUNDA</t>
        </is>
      </c>
      <c r="F647" t="inlineStr">
        <is>
          <t>SCA</t>
        </is>
      </c>
      <c r="G647" t="n">
        <v>16.2</v>
      </c>
      <c r="H647" t="n">
        <v>0</v>
      </c>
      <c r="I647" t="n">
        <v>0</v>
      </c>
      <c r="J647" t="n">
        <v>0</v>
      </c>
      <c r="K647" t="n">
        <v>0</v>
      </c>
      <c r="L647" t="n">
        <v>0</v>
      </c>
      <c r="M647" t="n">
        <v>0</v>
      </c>
      <c r="N647" t="n">
        <v>0</v>
      </c>
      <c r="O647" t="n">
        <v>0</v>
      </c>
      <c r="P647" t="n">
        <v>0</v>
      </c>
      <c r="Q647" t="n">
        <v>0</v>
      </c>
      <c r="R647" s="2" t="inlineStr"/>
    </row>
    <row r="648" ht="15" customHeight="1">
      <c r="A648" t="inlineStr">
        <is>
          <t>A 35092-2025</t>
        </is>
      </c>
      <c r="B648" s="1" t="n">
        <v>45852.53185185185</v>
      </c>
      <c r="C648" s="1" t="n">
        <v>45887</v>
      </c>
      <c r="D648" t="inlineStr">
        <is>
          <t>JÄMTLANDS LÄN</t>
        </is>
      </c>
      <c r="E648" t="inlineStr">
        <is>
          <t>RAGUNDA</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45887</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23528-2024</t>
        </is>
      </c>
      <c r="B650" s="1" t="n">
        <v>45453.95016203704</v>
      </c>
      <c r="C650" s="1" t="n">
        <v>45887</v>
      </c>
      <c r="D650" t="inlineStr">
        <is>
          <t>JÄMTLANDS LÄN</t>
        </is>
      </c>
      <c r="E650" t="inlineStr">
        <is>
          <t>RAGUNDA</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22412-2024</t>
        </is>
      </c>
      <c r="B651" s="1" t="n">
        <v>45446.68947916666</v>
      </c>
      <c r="C651" s="1" t="n">
        <v>45887</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24196-2024</t>
        </is>
      </c>
      <c r="B652" s="1" t="n">
        <v>45456.96569444444</v>
      </c>
      <c r="C652" s="1" t="n">
        <v>45887</v>
      </c>
      <c r="D652" t="inlineStr">
        <is>
          <t>JÄMTLANDS LÄN</t>
        </is>
      </c>
      <c r="E652" t="inlineStr">
        <is>
          <t>RAGUNDA</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34999-2025</t>
        </is>
      </c>
      <c r="B653" s="1" t="n">
        <v>45850.34450231482</v>
      </c>
      <c r="C653" s="1" t="n">
        <v>45887</v>
      </c>
      <c r="D653" t="inlineStr">
        <is>
          <t>JÄMTLANDS LÄN</t>
        </is>
      </c>
      <c r="E653" t="inlineStr">
        <is>
          <t>RAGUNDA</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45887</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34998-2025</t>
        </is>
      </c>
      <c r="B655" s="1" t="n">
        <v>45850.34434027778</v>
      </c>
      <c r="C655" s="1" t="n">
        <v>45887</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45952-2023</t>
        </is>
      </c>
      <c r="B656" s="1" t="n">
        <v>45195</v>
      </c>
      <c r="C656" s="1" t="n">
        <v>45887</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45954-2023</t>
        </is>
      </c>
      <c r="B657" s="1" t="n">
        <v>45195.94679398148</v>
      </c>
      <c r="C657" s="1" t="n">
        <v>45887</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45955-2023</t>
        </is>
      </c>
      <c r="B658" s="1" t="n">
        <v>45195.94685185186</v>
      </c>
      <c r="C658" s="1" t="n">
        <v>45887</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55701-2021</t>
        </is>
      </c>
      <c r="B659" s="1" t="n">
        <v>44475</v>
      </c>
      <c r="C659" s="1" t="n">
        <v>45887</v>
      </c>
      <c r="D659" t="inlineStr">
        <is>
          <t>JÄMTLANDS LÄN</t>
        </is>
      </c>
      <c r="E659" t="inlineStr">
        <is>
          <t>RAGUNDA</t>
        </is>
      </c>
      <c r="G659" t="n">
        <v>5.6</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45887</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5308-2025</t>
        </is>
      </c>
      <c r="B661" s="1" t="n">
        <v>45692.49008101852</v>
      </c>
      <c r="C661" s="1" t="n">
        <v>45887</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34710-2025</t>
        </is>
      </c>
      <c r="B662" s="1" t="n">
        <v>45848.49774305556</v>
      </c>
      <c r="C662" s="1" t="n">
        <v>45887</v>
      </c>
      <c r="D662" t="inlineStr">
        <is>
          <t>JÄMTLANDS LÄN</t>
        </is>
      </c>
      <c r="E662" t="inlineStr">
        <is>
          <t>RAGUNDA</t>
        </is>
      </c>
      <c r="G662" t="n">
        <v>4.1</v>
      </c>
      <c r="H662" t="n">
        <v>0</v>
      </c>
      <c r="I662" t="n">
        <v>0</v>
      </c>
      <c r="J662" t="n">
        <v>0</v>
      </c>
      <c r="K662" t="n">
        <v>0</v>
      </c>
      <c r="L662" t="n">
        <v>0</v>
      </c>
      <c r="M662" t="n">
        <v>0</v>
      </c>
      <c r="N662" t="n">
        <v>0</v>
      </c>
      <c r="O662" t="n">
        <v>0</v>
      </c>
      <c r="P662" t="n">
        <v>0</v>
      </c>
      <c r="Q662" t="n">
        <v>0</v>
      </c>
      <c r="R662" s="2" t="inlineStr"/>
    </row>
    <row r="663" ht="15" customHeight="1">
      <c r="A663" t="inlineStr">
        <is>
          <t>A 51685-2020</t>
        </is>
      </c>
      <c r="B663" s="1" t="n">
        <v>44113</v>
      </c>
      <c r="C663" s="1" t="n">
        <v>45887</v>
      </c>
      <c r="D663" t="inlineStr">
        <is>
          <t>JÄMTLANDS LÄN</t>
        </is>
      </c>
      <c r="E663" t="inlineStr">
        <is>
          <t>RAGUNDA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45253-2023</t>
        </is>
      </c>
      <c r="B664" s="1" t="n">
        <v>45187</v>
      </c>
      <c r="C664" s="1" t="n">
        <v>45887</v>
      </c>
      <c r="D664" t="inlineStr">
        <is>
          <t>JÄMTLANDS LÄN</t>
        </is>
      </c>
      <c r="E664" t="inlineStr">
        <is>
          <t>RAGUNDA</t>
        </is>
      </c>
      <c r="G664" t="n">
        <v>3.3</v>
      </c>
      <c r="H664" t="n">
        <v>0</v>
      </c>
      <c r="I664" t="n">
        <v>0</v>
      </c>
      <c r="J664" t="n">
        <v>0</v>
      </c>
      <c r="K664" t="n">
        <v>0</v>
      </c>
      <c r="L664" t="n">
        <v>0</v>
      </c>
      <c r="M664" t="n">
        <v>0</v>
      </c>
      <c r="N664" t="n">
        <v>0</v>
      </c>
      <c r="O664" t="n">
        <v>0</v>
      </c>
      <c r="P664" t="n">
        <v>0</v>
      </c>
      <c r="Q664" t="n">
        <v>0</v>
      </c>
      <c r="R664" s="2" t="inlineStr"/>
    </row>
    <row r="665" ht="15" customHeight="1">
      <c r="A665" t="inlineStr">
        <is>
          <t>A 3104-2025</t>
        </is>
      </c>
      <c r="B665" s="1" t="n">
        <v>45678.67761574074</v>
      </c>
      <c r="C665" s="1" t="n">
        <v>45887</v>
      </c>
      <c r="D665" t="inlineStr">
        <is>
          <t>JÄMTLANDS LÄN</t>
        </is>
      </c>
      <c r="E665" t="inlineStr">
        <is>
          <t>RAGUNDA</t>
        </is>
      </c>
      <c r="F665" t="inlineStr">
        <is>
          <t>SCA</t>
        </is>
      </c>
      <c r="G665" t="n">
        <v>46.2</v>
      </c>
      <c r="H665" t="n">
        <v>0</v>
      </c>
      <c r="I665" t="n">
        <v>0</v>
      </c>
      <c r="J665" t="n">
        <v>0</v>
      </c>
      <c r="K665" t="n">
        <v>0</v>
      </c>
      <c r="L665" t="n">
        <v>0</v>
      </c>
      <c r="M665" t="n">
        <v>0</v>
      </c>
      <c r="N665" t="n">
        <v>0</v>
      </c>
      <c r="O665" t="n">
        <v>0</v>
      </c>
      <c r="P665" t="n">
        <v>0</v>
      </c>
      <c r="Q665" t="n">
        <v>0</v>
      </c>
      <c r="R665" s="2" t="inlineStr"/>
    </row>
    <row r="666" ht="15" customHeight="1">
      <c r="A666" t="inlineStr">
        <is>
          <t>A 24171-2021</t>
        </is>
      </c>
      <c r="B666" s="1" t="n">
        <v>44336</v>
      </c>
      <c r="C666" s="1" t="n">
        <v>45887</v>
      </c>
      <c r="D666" t="inlineStr">
        <is>
          <t>JÄMTLANDS LÄN</t>
        </is>
      </c>
      <c r="E666" t="inlineStr">
        <is>
          <t>RAGUNDA</t>
        </is>
      </c>
      <c r="G666" t="n">
        <v>3.6</v>
      </c>
      <c r="H666" t="n">
        <v>0</v>
      </c>
      <c r="I666" t="n">
        <v>0</v>
      </c>
      <c r="J666" t="n">
        <v>0</v>
      </c>
      <c r="K666" t="n">
        <v>0</v>
      </c>
      <c r="L666" t="n">
        <v>0</v>
      </c>
      <c r="M666" t="n">
        <v>0</v>
      </c>
      <c r="N666" t="n">
        <v>0</v>
      </c>
      <c r="O666" t="n">
        <v>0</v>
      </c>
      <c r="P666" t="n">
        <v>0</v>
      </c>
      <c r="Q666" t="n">
        <v>0</v>
      </c>
      <c r="R666" s="2" t="inlineStr"/>
    </row>
    <row r="667" ht="15" customHeight="1">
      <c r="A667" t="inlineStr">
        <is>
          <t>A 36046-2023</t>
        </is>
      </c>
      <c r="B667" s="1" t="n">
        <v>45148</v>
      </c>
      <c r="C667" s="1" t="n">
        <v>45887</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18193-2022</t>
        </is>
      </c>
      <c r="B668" s="1" t="n">
        <v>44684.94032407407</v>
      </c>
      <c r="C668" s="1" t="n">
        <v>45887</v>
      </c>
      <c r="D668" t="inlineStr">
        <is>
          <t>JÄMTLANDS LÄN</t>
        </is>
      </c>
      <c r="E668" t="inlineStr">
        <is>
          <t>RAGUNDA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34323-2023</t>
        </is>
      </c>
      <c r="B669" s="1" t="n">
        <v>45138.94925925926</v>
      </c>
      <c r="C669" s="1" t="n">
        <v>45887</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2224-2024</t>
        </is>
      </c>
      <c r="B670" s="1" t="n">
        <v>45309.92524305556</v>
      </c>
      <c r="C670" s="1" t="n">
        <v>45887</v>
      </c>
      <c r="D670" t="inlineStr">
        <is>
          <t>JÄMTLANDS LÄN</t>
        </is>
      </c>
      <c r="E670" t="inlineStr">
        <is>
          <t>RAGUNDA</t>
        </is>
      </c>
      <c r="G670" t="n">
        <v>0.9</v>
      </c>
      <c r="H670" t="n">
        <v>0</v>
      </c>
      <c r="I670" t="n">
        <v>0</v>
      </c>
      <c r="J670" t="n">
        <v>0</v>
      </c>
      <c r="K670" t="n">
        <v>0</v>
      </c>
      <c r="L670" t="n">
        <v>0</v>
      </c>
      <c r="M670" t="n">
        <v>0</v>
      </c>
      <c r="N670" t="n">
        <v>0</v>
      </c>
      <c r="O670" t="n">
        <v>0</v>
      </c>
      <c r="P670" t="n">
        <v>0</v>
      </c>
      <c r="Q670" t="n">
        <v>0</v>
      </c>
      <c r="R670" s="2" t="inlineStr"/>
    </row>
    <row r="671" ht="15" customHeight="1">
      <c r="A671" t="inlineStr">
        <is>
          <t>A 58843-2024</t>
        </is>
      </c>
      <c r="B671" s="1" t="n">
        <v>45636.38599537037</v>
      </c>
      <c r="C671" s="1" t="n">
        <v>45887</v>
      </c>
      <c r="D671" t="inlineStr">
        <is>
          <t>JÄMTLANDS LÄN</t>
        </is>
      </c>
      <c r="E671" t="inlineStr">
        <is>
          <t>RAGUNDA</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45953-2023</t>
        </is>
      </c>
      <c r="B672" s="1" t="n">
        <v>45195.94672453704</v>
      </c>
      <c r="C672" s="1" t="n">
        <v>45887</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35091-2025</t>
        </is>
      </c>
      <c r="B673" s="1" t="n">
        <v>45852.53168981482</v>
      </c>
      <c r="C673" s="1" t="n">
        <v>45887</v>
      </c>
      <c r="D673" t="inlineStr">
        <is>
          <t>JÄMTLANDS LÄN</t>
        </is>
      </c>
      <c r="E673" t="inlineStr">
        <is>
          <t>RAGUNDA</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51396-2024</t>
        </is>
      </c>
      <c r="B674" s="1" t="n">
        <v>45604.4190625</v>
      </c>
      <c r="C674" s="1" t="n">
        <v>45887</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34968-2025</t>
        </is>
      </c>
      <c r="B675" s="1" t="n">
        <v>45849.65663194445</v>
      </c>
      <c r="C675" s="1" t="n">
        <v>45887</v>
      </c>
      <c r="D675" t="inlineStr">
        <is>
          <t>JÄMTLANDS LÄN</t>
        </is>
      </c>
      <c r="E675" t="inlineStr">
        <is>
          <t>RAGUNDA</t>
        </is>
      </c>
      <c r="F675" t="inlineStr">
        <is>
          <t>SCA</t>
        </is>
      </c>
      <c r="G675" t="n">
        <v>20.2</v>
      </c>
      <c r="H675" t="n">
        <v>0</v>
      </c>
      <c r="I675" t="n">
        <v>0</v>
      </c>
      <c r="J675" t="n">
        <v>0</v>
      </c>
      <c r="K675" t="n">
        <v>0</v>
      </c>
      <c r="L675" t="n">
        <v>0</v>
      </c>
      <c r="M675" t="n">
        <v>0</v>
      </c>
      <c r="N675" t="n">
        <v>0</v>
      </c>
      <c r="O675" t="n">
        <v>0</v>
      </c>
      <c r="P675" t="n">
        <v>0</v>
      </c>
      <c r="Q675" t="n">
        <v>0</v>
      </c>
      <c r="R675" s="2" t="inlineStr"/>
    </row>
    <row r="676" ht="15" customHeight="1">
      <c r="A676" t="inlineStr">
        <is>
          <t>A 56702-2023</t>
        </is>
      </c>
      <c r="B676" s="1" t="n">
        <v>45243</v>
      </c>
      <c r="C676" s="1" t="n">
        <v>45887</v>
      </c>
      <c r="D676" t="inlineStr">
        <is>
          <t>JÄMTLANDS LÄN</t>
        </is>
      </c>
      <c r="E676" t="inlineStr">
        <is>
          <t>RAGUNDA</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63708-2023</t>
        </is>
      </c>
      <c r="B677" s="1" t="n">
        <v>45275.95060185185</v>
      </c>
      <c r="C677" s="1" t="n">
        <v>45887</v>
      </c>
      <c r="D677" t="inlineStr">
        <is>
          <t>JÄMTLANDS LÄN</t>
        </is>
      </c>
      <c r="E677" t="inlineStr">
        <is>
          <t>RAGUNDA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26640-2025</t>
        </is>
      </c>
      <c r="B678" s="1" t="n">
        <v>45810.36495370371</v>
      </c>
      <c r="C678" s="1" t="n">
        <v>45887</v>
      </c>
      <c r="D678" t="inlineStr">
        <is>
          <t>JÄMTLANDS LÄN</t>
        </is>
      </c>
      <c r="E678" t="inlineStr">
        <is>
          <t>RAGUNDA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30824-2023</t>
        </is>
      </c>
      <c r="B679" s="1" t="n">
        <v>45112.94303240741</v>
      </c>
      <c r="C679" s="1" t="n">
        <v>45887</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30825-2023</t>
        </is>
      </c>
      <c r="B680" s="1" t="n">
        <v>45112.94310185185</v>
      </c>
      <c r="C680" s="1" t="n">
        <v>45887</v>
      </c>
      <c r="D680" t="inlineStr">
        <is>
          <t>JÄMTLANDS LÄN</t>
        </is>
      </c>
      <c r="E680" t="inlineStr">
        <is>
          <t>RAGUNDA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12464-2025</t>
        </is>
      </c>
      <c r="B681" s="1" t="n">
        <v>45730.53208333333</v>
      </c>
      <c r="C681" s="1" t="n">
        <v>45887</v>
      </c>
      <c r="D681" t="inlineStr">
        <is>
          <t>JÄMTLANDS LÄN</t>
        </is>
      </c>
      <c r="E681" t="inlineStr">
        <is>
          <t>RAGUNDA</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34709-2025</t>
        </is>
      </c>
      <c r="B682" s="1" t="n">
        <v>45848.49761574074</v>
      </c>
      <c r="C682" s="1" t="n">
        <v>45887</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26651-2024</t>
        </is>
      </c>
      <c r="B683" s="1" t="n">
        <v>45469.94876157407</v>
      </c>
      <c r="C683" s="1" t="n">
        <v>45887</v>
      </c>
      <c r="D683" t="inlineStr">
        <is>
          <t>JÄMTLANDS LÄN</t>
        </is>
      </c>
      <c r="E683" t="inlineStr">
        <is>
          <t>RAGUNDA</t>
        </is>
      </c>
      <c r="F683" t="inlineStr">
        <is>
          <t>SCA</t>
        </is>
      </c>
      <c r="G683" t="n">
        <v>10.4</v>
      </c>
      <c r="H683" t="n">
        <v>0</v>
      </c>
      <c r="I683" t="n">
        <v>0</v>
      </c>
      <c r="J683" t="n">
        <v>0</v>
      </c>
      <c r="K683" t="n">
        <v>0</v>
      </c>
      <c r="L683" t="n">
        <v>0</v>
      </c>
      <c r="M683" t="n">
        <v>0</v>
      </c>
      <c r="N683" t="n">
        <v>0</v>
      </c>
      <c r="O683" t="n">
        <v>0</v>
      </c>
      <c r="P683" t="n">
        <v>0</v>
      </c>
      <c r="Q683" t="n">
        <v>0</v>
      </c>
      <c r="R683" s="2" t="inlineStr"/>
    </row>
    <row r="684" ht="15" customHeight="1">
      <c r="A684" t="inlineStr">
        <is>
          <t>A 31506-2024</t>
        </is>
      </c>
      <c r="B684" s="1" t="n">
        <v>45505</v>
      </c>
      <c r="C684" s="1" t="n">
        <v>45887</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53762-2023</t>
        </is>
      </c>
      <c r="B685" s="1" t="n">
        <v>45230.96376157407</v>
      </c>
      <c r="C685" s="1" t="n">
        <v>45887</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55222-2024</t>
        </is>
      </c>
      <c r="B686" s="1" t="n">
        <v>45621.57395833333</v>
      </c>
      <c r="C686" s="1" t="n">
        <v>45887</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19089-2024</t>
        </is>
      </c>
      <c r="B687" s="1" t="n">
        <v>45428.00471064815</v>
      </c>
      <c r="C687" s="1" t="n">
        <v>45887</v>
      </c>
      <c r="D687" t="inlineStr">
        <is>
          <t>JÄMTLANDS LÄN</t>
        </is>
      </c>
      <c r="E687" t="inlineStr">
        <is>
          <t>RAGUNDA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44755-2024</t>
        </is>
      </c>
      <c r="B688" s="1" t="n">
        <v>45574.61184027778</v>
      </c>
      <c r="C688" s="1" t="n">
        <v>45887</v>
      </c>
      <c r="D688" t="inlineStr">
        <is>
          <t>JÄMTLANDS LÄN</t>
        </is>
      </c>
      <c r="E688" t="inlineStr">
        <is>
          <t>RAGUNDA</t>
        </is>
      </c>
      <c r="G688" t="n">
        <v>4.4</v>
      </c>
      <c r="H688" t="n">
        <v>0</v>
      </c>
      <c r="I688" t="n">
        <v>0</v>
      </c>
      <c r="J688" t="n">
        <v>0</v>
      </c>
      <c r="K688" t="n">
        <v>0</v>
      </c>
      <c r="L688" t="n">
        <v>0</v>
      </c>
      <c r="M688" t="n">
        <v>0</v>
      </c>
      <c r="N688" t="n">
        <v>0</v>
      </c>
      <c r="O688" t="n">
        <v>0</v>
      </c>
      <c r="P688" t="n">
        <v>0</v>
      </c>
      <c r="Q688" t="n">
        <v>0</v>
      </c>
      <c r="R688" s="2" t="inlineStr"/>
    </row>
    <row r="689" ht="15" customHeight="1">
      <c r="A689" t="inlineStr">
        <is>
          <t>A 44766-2024</t>
        </is>
      </c>
      <c r="B689" s="1" t="n">
        <v>45574.62297453704</v>
      </c>
      <c r="C689" s="1" t="n">
        <v>45887</v>
      </c>
      <c r="D689" t="inlineStr">
        <is>
          <t>JÄMTLANDS LÄN</t>
        </is>
      </c>
      <c r="E689" t="inlineStr">
        <is>
          <t>RAGUNDA</t>
        </is>
      </c>
      <c r="G689" t="n">
        <v>3.2</v>
      </c>
      <c r="H689" t="n">
        <v>0</v>
      </c>
      <c r="I689" t="n">
        <v>0</v>
      </c>
      <c r="J689" t="n">
        <v>0</v>
      </c>
      <c r="K689" t="n">
        <v>0</v>
      </c>
      <c r="L689" t="n">
        <v>0</v>
      </c>
      <c r="M689" t="n">
        <v>0</v>
      </c>
      <c r="N689" t="n">
        <v>0</v>
      </c>
      <c r="O689" t="n">
        <v>0</v>
      </c>
      <c r="P689" t="n">
        <v>0</v>
      </c>
      <c r="Q689" t="n">
        <v>0</v>
      </c>
      <c r="R689" s="2" t="inlineStr"/>
    </row>
    <row r="690" ht="15" customHeight="1">
      <c r="A690" t="inlineStr">
        <is>
          <t>A 44778-2024</t>
        </is>
      </c>
      <c r="B690" s="1" t="n">
        <v>45574.63355324074</v>
      </c>
      <c r="C690" s="1" t="n">
        <v>45887</v>
      </c>
      <c r="D690" t="inlineStr">
        <is>
          <t>JÄMTLANDS LÄN</t>
        </is>
      </c>
      <c r="E690" t="inlineStr">
        <is>
          <t>RAGUNDA</t>
        </is>
      </c>
      <c r="G690" t="n">
        <v>5.5</v>
      </c>
      <c r="H690" t="n">
        <v>0</v>
      </c>
      <c r="I690" t="n">
        <v>0</v>
      </c>
      <c r="J690" t="n">
        <v>0</v>
      </c>
      <c r="K690" t="n">
        <v>0</v>
      </c>
      <c r="L690" t="n">
        <v>0</v>
      </c>
      <c r="M690" t="n">
        <v>0</v>
      </c>
      <c r="N690" t="n">
        <v>0</v>
      </c>
      <c r="O690" t="n">
        <v>0</v>
      </c>
      <c r="P690" t="n">
        <v>0</v>
      </c>
      <c r="Q690" t="n">
        <v>0</v>
      </c>
      <c r="R690" s="2" t="inlineStr"/>
    </row>
    <row r="691" ht="15" customHeight="1">
      <c r="A691" t="inlineStr">
        <is>
          <t>A 8795-2022</t>
        </is>
      </c>
      <c r="B691" s="1" t="n">
        <v>44614</v>
      </c>
      <c r="C691" s="1" t="n">
        <v>45887</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44656.94708333333</v>
      </c>
      <c r="C692" s="1" t="n">
        <v>45887</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35355-2025</t>
        </is>
      </c>
      <c r="B693" s="1" t="n">
        <v>45854.65663194445</v>
      </c>
      <c r="C693" s="1" t="n">
        <v>45887</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50486-2023</t>
        </is>
      </c>
      <c r="B694" s="1" t="n">
        <v>45216.92424768519</v>
      </c>
      <c r="C694" s="1" t="n">
        <v>45887</v>
      </c>
      <c r="D694" t="inlineStr">
        <is>
          <t>JÄMTLANDS LÄN</t>
        </is>
      </c>
      <c r="E694" t="inlineStr">
        <is>
          <t>RAGUNDA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6257-2025</t>
        </is>
      </c>
      <c r="B695" s="1" t="n">
        <v>45698.59409722222</v>
      </c>
      <c r="C695" s="1" t="n">
        <v>45887</v>
      </c>
      <c r="D695" t="inlineStr">
        <is>
          <t>JÄMTLANDS LÄN</t>
        </is>
      </c>
      <c r="E695" t="inlineStr">
        <is>
          <t>RAGUNDA</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42508-2023</t>
        </is>
      </c>
      <c r="B696" s="1" t="n">
        <v>45180.95907407408</v>
      </c>
      <c r="C696" s="1" t="n">
        <v>45887</v>
      </c>
      <c r="D696" t="inlineStr">
        <is>
          <t>JÄMTLANDS LÄN</t>
        </is>
      </c>
      <c r="E696" t="inlineStr">
        <is>
          <t>RAGUNDA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9084-2023</t>
        </is>
      </c>
      <c r="B697" s="1" t="n">
        <v>44979</v>
      </c>
      <c r="C697" s="1" t="n">
        <v>45887</v>
      </c>
      <c r="D697" t="inlineStr">
        <is>
          <t>JÄMTLANDS LÄN</t>
        </is>
      </c>
      <c r="E697" t="inlineStr">
        <is>
          <t>RAGUNDA</t>
        </is>
      </c>
      <c r="G697" t="n">
        <v>1.9</v>
      </c>
      <c r="H697" t="n">
        <v>0</v>
      </c>
      <c r="I697" t="n">
        <v>0</v>
      </c>
      <c r="J697" t="n">
        <v>0</v>
      </c>
      <c r="K697" t="n">
        <v>0</v>
      </c>
      <c r="L697" t="n">
        <v>0</v>
      </c>
      <c r="M697" t="n">
        <v>0</v>
      </c>
      <c r="N697" t="n">
        <v>0</v>
      </c>
      <c r="O697" t="n">
        <v>0</v>
      </c>
      <c r="P697" t="n">
        <v>0</v>
      </c>
      <c r="Q697" t="n">
        <v>0</v>
      </c>
      <c r="R697" s="2" t="inlineStr"/>
    </row>
    <row r="698" ht="15" customHeight="1">
      <c r="A698" t="inlineStr">
        <is>
          <t>A 9360-2023</t>
        </is>
      </c>
      <c r="B698" s="1" t="n">
        <v>44980.93865740741</v>
      </c>
      <c r="C698" s="1" t="n">
        <v>45887</v>
      </c>
      <c r="D698" t="inlineStr">
        <is>
          <t>JÄMTLANDS LÄN</t>
        </is>
      </c>
      <c r="E698" t="inlineStr">
        <is>
          <t>RAGUNDA</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66706-2021</t>
        </is>
      </c>
      <c r="B699" s="1" t="n">
        <v>44519.94440972222</v>
      </c>
      <c r="C699" s="1" t="n">
        <v>45887</v>
      </c>
      <c r="D699" t="inlineStr">
        <is>
          <t>JÄMTLANDS LÄN</t>
        </is>
      </c>
      <c r="E699" t="inlineStr">
        <is>
          <t>RAGUNDA</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59286-2023</t>
        </is>
      </c>
      <c r="B700" s="1" t="n">
        <v>45253</v>
      </c>
      <c r="C700" s="1" t="n">
        <v>45887</v>
      </c>
      <c r="D700" t="inlineStr">
        <is>
          <t>JÄMTLANDS LÄN</t>
        </is>
      </c>
      <c r="E700" t="inlineStr">
        <is>
          <t>RAGUNDA</t>
        </is>
      </c>
      <c r="G700" t="n">
        <v>1</v>
      </c>
      <c r="H700" t="n">
        <v>0</v>
      </c>
      <c r="I700" t="n">
        <v>0</v>
      </c>
      <c r="J700" t="n">
        <v>0</v>
      </c>
      <c r="K700" t="n">
        <v>0</v>
      </c>
      <c r="L700" t="n">
        <v>0</v>
      </c>
      <c r="M700" t="n">
        <v>0</v>
      </c>
      <c r="N700" t="n">
        <v>0</v>
      </c>
      <c r="O700" t="n">
        <v>0</v>
      </c>
      <c r="P700" t="n">
        <v>0</v>
      </c>
      <c r="Q700" t="n">
        <v>0</v>
      </c>
      <c r="R700" s="2" t="inlineStr"/>
    </row>
    <row r="701" ht="15" customHeight="1">
      <c r="A701" t="inlineStr">
        <is>
          <t>A 32259-2024</t>
        </is>
      </c>
      <c r="B701" s="1" t="n">
        <v>45511</v>
      </c>
      <c r="C701" s="1" t="n">
        <v>45887</v>
      </c>
      <c r="D701" t="inlineStr">
        <is>
          <t>JÄMTLANDS LÄN</t>
        </is>
      </c>
      <c r="E701" t="inlineStr">
        <is>
          <t>RAGUNDA</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19404-2025</t>
        </is>
      </c>
      <c r="B702" s="1" t="n">
        <v>45769.67802083334</v>
      </c>
      <c r="C702" s="1" t="n">
        <v>45887</v>
      </c>
      <c r="D702" t="inlineStr">
        <is>
          <t>JÄMTLANDS LÄN</t>
        </is>
      </c>
      <c r="E702" t="inlineStr">
        <is>
          <t>RAGUNDA</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18778-2024</t>
        </is>
      </c>
      <c r="B703" s="1" t="n">
        <v>45426</v>
      </c>
      <c r="C703" s="1" t="n">
        <v>45887</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18781-2024</t>
        </is>
      </c>
      <c r="B704" s="1" t="n">
        <v>45426</v>
      </c>
      <c r="C704" s="1" t="n">
        <v>45887</v>
      </c>
      <c r="D704" t="inlineStr">
        <is>
          <t>JÄMTLANDS LÄN</t>
        </is>
      </c>
      <c r="E704" t="inlineStr">
        <is>
          <t>RAGUNDA</t>
        </is>
      </c>
      <c r="G704" t="n">
        <v>0.9</v>
      </c>
      <c r="H704" t="n">
        <v>0</v>
      </c>
      <c r="I704" t="n">
        <v>0</v>
      </c>
      <c r="J704" t="n">
        <v>0</v>
      </c>
      <c r="K704" t="n">
        <v>0</v>
      </c>
      <c r="L704" t="n">
        <v>0</v>
      </c>
      <c r="M704" t="n">
        <v>0</v>
      </c>
      <c r="N704" t="n">
        <v>0</v>
      </c>
      <c r="O704" t="n">
        <v>0</v>
      </c>
      <c r="P704" t="n">
        <v>0</v>
      </c>
      <c r="Q704" t="n">
        <v>0</v>
      </c>
      <c r="R704" s="2" t="inlineStr"/>
    </row>
    <row r="705" ht="15" customHeight="1">
      <c r="A705" t="inlineStr">
        <is>
          <t>A 17248-2023</t>
        </is>
      </c>
      <c r="B705" s="1" t="n">
        <v>45033</v>
      </c>
      <c r="C705" s="1" t="n">
        <v>45887</v>
      </c>
      <c r="D705" t="inlineStr">
        <is>
          <t>JÄMTLANDS LÄN</t>
        </is>
      </c>
      <c r="E705" t="inlineStr">
        <is>
          <t>RAGUNDA</t>
        </is>
      </c>
      <c r="G705" t="n">
        <v>3</v>
      </c>
      <c r="H705" t="n">
        <v>0</v>
      </c>
      <c r="I705" t="n">
        <v>0</v>
      </c>
      <c r="J705" t="n">
        <v>0</v>
      </c>
      <c r="K705" t="n">
        <v>0</v>
      </c>
      <c r="L705" t="n">
        <v>0</v>
      </c>
      <c r="M705" t="n">
        <v>0</v>
      </c>
      <c r="N705" t="n">
        <v>0</v>
      </c>
      <c r="O705" t="n">
        <v>0</v>
      </c>
      <c r="P705" t="n">
        <v>0</v>
      </c>
      <c r="Q705" t="n">
        <v>0</v>
      </c>
      <c r="R705" s="2" t="inlineStr"/>
    </row>
    <row r="706" ht="15" customHeight="1">
      <c r="A706" t="inlineStr">
        <is>
          <t>A 35541-2025</t>
        </is>
      </c>
      <c r="B706" s="1" t="n">
        <v>45856.46931712963</v>
      </c>
      <c r="C706" s="1" t="n">
        <v>45887</v>
      </c>
      <c r="D706" t="inlineStr">
        <is>
          <t>JÄMTLANDS LÄN</t>
        </is>
      </c>
      <c r="E706" t="inlineStr">
        <is>
          <t>RAGUNDA</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35462-2025</t>
        </is>
      </c>
      <c r="B707" s="1" t="n">
        <v>45855.61523148148</v>
      </c>
      <c r="C707" s="1" t="n">
        <v>45887</v>
      </c>
      <c r="D707" t="inlineStr">
        <is>
          <t>JÄMTLANDS LÄN</t>
        </is>
      </c>
      <c r="E707" t="inlineStr">
        <is>
          <t>RAGUNDA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35477-2025</t>
        </is>
      </c>
      <c r="B708" s="1" t="n">
        <v>45855.67899305555</v>
      </c>
      <c r="C708" s="1" t="n">
        <v>45887</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53263-2024</t>
        </is>
      </c>
      <c r="B709" s="1" t="n">
        <v>45614.34541666666</v>
      </c>
      <c r="C709" s="1" t="n">
        <v>45887</v>
      </c>
      <c r="D709" t="inlineStr">
        <is>
          <t>JÄMTLANDS LÄN</t>
        </is>
      </c>
      <c r="E709" t="inlineStr">
        <is>
          <t>RAGUNDA</t>
        </is>
      </c>
      <c r="G709" t="n">
        <v>1.9</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45887</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58630-2024</t>
        </is>
      </c>
      <c r="B711" s="1" t="n">
        <v>45635.57331018519</v>
      </c>
      <c r="C711" s="1" t="n">
        <v>45887</v>
      </c>
      <c r="D711" t="inlineStr">
        <is>
          <t>JÄMTLANDS LÄN</t>
        </is>
      </c>
      <c r="E711" t="inlineStr">
        <is>
          <t>RAGUNDA</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7284-2025</t>
        </is>
      </c>
      <c r="B712" s="1" t="n">
        <v>45702.63604166666</v>
      </c>
      <c r="C712" s="1" t="n">
        <v>45887</v>
      </c>
      <c r="D712" t="inlineStr">
        <is>
          <t>JÄMTLANDS LÄN</t>
        </is>
      </c>
      <c r="E712" t="inlineStr">
        <is>
          <t>RAGUNDA</t>
        </is>
      </c>
      <c r="F712" t="inlineStr">
        <is>
          <t>SCA</t>
        </is>
      </c>
      <c r="G712" t="n">
        <v>0.3</v>
      </c>
      <c r="H712" t="n">
        <v>0</v>
      </c>
      <c r="I712" t="n">
        <v>0</v>
      </c>
      <c r="J712" t="n">
        <v>0</v>
      </c>
      <c r="K712" t="n">
        <v>0</v>
      </c>
      <c r="L712" t="n">
        <v>0</v>
      </c>
      <c r="M712" t="n">
        <v>0</v>
      </c>
      <c r="N712" t="n">
        <v>0</v>
      </c>
      <c r="O712" t="n">
        <v>0</v>
      </c>
      <c r="P712" t="n">
        <v>0</v>
      </c>
      <c r="Q712" t="n">
        <v>0</v>
      </c>
      <c r="R712" s="2" t="inlineStr"/>
    </row>
    <row r="713" ht="15" customHeight="1">
      <c r="A713" t="inlineStr">
        <is>
          <t>A 14896-2022</t>
        </is>
      </c>
      <c r="B713" s="1" t="n">
        <v>44656</v>
      </c>
      <c r="C713" s="1" t="n">
        <v>45887</v>
      </c>
      <c r="D713" t="inlineStr">
        <is>
          <t>JÄMTLANDS LÄN</t>
        </is>
      </c>
      <c r="E713" t="inlineStr">
        <is>
          <t>RAGUNDA</t>
        </is>
      </c>
      <c r="F713" t="inlineStr">
        <is>
          <t>SCA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11551-2024</t>
        </is>
      </c>
      <c r="B714" s="1" t="n">
        <v>45372.95762731481</v>
      </c>
      <c r="C714" s="1" t="n">
        <v>45887</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57839-2022</t>
        </is>
      </c>
      <c r="B715" s="1" t="n">
        <v>44897</v>
      </c>
      <c r="C715" s="1" t="n">
        <v>45887</v>
      </c>
      <c r="D715" t="inlineStr">
        <is>
          <t>JÄMTLANDS LÄN</t>
        </is>
      </c>
      <c r="E715" t="inlineStr">
        <is>
          <t>RAGUNDA</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60663-2022</t>
        </is>
      </c>
      <c r="B716" s="1" t="n">
        <v>44911.93846064815</v>
      </c>
      <c r="C716" s="1" t="n">
        <v>45887</v>
      </c>
      <c r="D716" t="inlineStr">
        <is>
          <t>JÄMTLANDS LÄN</t>
        </is>
      </c>
      <c r="E716" t="inlineStr">
        <is>
          <t>RAGUNDA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60012-2023</t>
        </is>
      </c>
      <c r="B717" s="1" t="n">
        <v>45257</v>
      </c>
      <c r="C717" s="1" t="n">
        <v>45887</v>
      </c>
      <c r="D717" t="inlineStr">
        <is>
          <t>JÄMTLANDS LÄN</t>
        </is>
      </c>
      <c r="E717" t="inlineStr">
        <is>
          <t>RAGUNDA</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20221-2025</t>
        </is>
      </c>
      <c r="B718" s="1" t="n">
        <v>45772.6565625</v>
      </c>
      <c r="C718" s="1" t="n">
        <v>45887</v>
      </c>
      <c r="D718" t="inlineStr">
        <is>
          <t>JÄMTLANDS LÄN</t>
        </is>
      </c>
      <c r="E718" t="inlineStr">
        <is>
          <t>RAGUNDA</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18989-2025</t>
        </is>
      </c>
      <c r="B719" s="1" t="n">
        <v>45764</v>
      </c>
      <c r="C719" s="1" t="n">
        <v>45887</v>
      </c>
      <c r="D719" t="inlineStr">
        <is>
          <t>JÄMTLANDS LÄN</t>
        </is>
      </c>
      <c r="E719" t="inlineStr">
        <is>
          <t>RAGUNDA</t>
        </is>
      </c>
      <c r="G719" t="n">
        <v>0.9</v>
      </c>
      <c r="H719" t="n">
        <v>0</v>
      </c>
      <c r="I719" t="n">
        <v>0</v>
      </c>
      <c r="J719" t="n">
        <v>0</v>
      </c>
      <c r="K719" t="n">
        <v>0</v>
      </c>
      <c r="L719" t="n">
        <v>0</v>
      </c>
      <c r="M719" t="n">
        <v>0</v>
      </c>
      <c r="N719" t="n">
        <v>0</v>
      </c>
      <c r="O719" t="n">
        <v>0</v>
      </c>
      <c r="P719" t="n">
        <v>0</v>
      </c>
      <c r="Q719" t="n">
        <v>0</v>
      </c>
      <c r="R719" s="2" t="inlineStr"/>
    </row>
    <row r="720" ht="15" customHeight="1">
      <c r="A720" t="inlineStr">
        <is>
          <t>A 30053-2024</t>
        </is>
      </c>
      <c r="B720" s="1" t="n">
        <v>45488.94747685185</v>
      </c>
      <c r="C720" s="1" t="n">
        <v>45887</v>
      </c>
      <c r="D720" t="inlineStr">
        <is>
          <t>JÄMTLANDS LÄN</t>
        </is>
      </c>
      <c r="E720" t="inlineStr">
        <is>
          <t>RAGUNDA</t>
        </is>
      </c>
      <c r="F720" t="inlineStr">
        <is>
          <t>SCA</t>
        </is>
      </c>
      <c r="G720" t="n">
        <v>9.6</v>
      </c>
      <c r="H720" t="n">
        <v>0</v>
      </c>
      <c r="I720" t="n">
        <v>0</v>
      </c>
      <c r="J720" t="n">
        <v>0</v>
      </c>
      <c r="K720" t="n">
        <v>0</v>
      </c>
      <c r="L720" t="n">
        <v>0</v>
      </c>
      <c r="M720" t="n">
        <v>0</v>
      </c>
      <c r="N720" t="n">
        <v>0</v>
      </c>
      <c r="O720" t="n">
        <v>0</v>
      </c>
      <c r="P720" t="n">
        <v>0</v>
      </c>
      <c r="Q720" t="n">
        <v>0</v>
      </c>
      <c r="R720" s="2" t="inlineStr"/>
    </row>
    <row r="721" ht="15" customHeight="1">
      <c r="A721" t="inlineStr">
        <is>
          <t>A 59496-2024</t>
        </is>
      </c>
      <c r="B721" s="1" t="n">
        <v>45638</v>
      </c>
      <c r="C721" s="1" t="n">
        <v>45887</v>
      </c>
      <c r="D721" t="inlineStr">
        <is>
          <t>JÄMTLANDS LÄN</t>
        </is>
      </c>
      <c r="E721" t="inlineStr">
        <is>
          <t>RAGUNDA</t>
        </is>
      </c>
      <c r="G721" t="n">
        <v>13.1</v>
      </c>
      <c r="H721" t="n">
        <v>0</v>
      </c>
      <c r="I721" t="n">
        <v>0</v>
      </c>
      <c r="J721" t="n">
        <v>0</v>
      </c>
      <c r="K721" t="n">
        <v>0</v>
      </c>
      <c r="L721" t="n">
        <v>0</v>
      </c>
      <c r="M721" t="n">
        <v>0</v>
      </c>
      <c r="N721" t="n">
        <v>0</v>
      </c>
      <c r="O721" t="n">
        <v>0</v>
      </c>
      <c r="P721" t="n">
        <v>0</v>
      </c>
      <c r="Q721" t="n">
        <v>0</v>
      </c>
      <c r="R721" s="2" t="inlineStr"/>
    </row>
    <row r="722" ht="15" customHeight="1">
      <c r="A722" t="inlineStr">
        <is>
          <t>A 37265-2024</t>
        </is>
      </c>
      <c r="B722" s="1" t="n">
        <v>45540.38564814815</v>
      </c>
      <c r="C722" s="1" t="n">
        <v>45887</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18612-2024</t>
        </is>
      </c>
      <c r="B723" s="1" t="n">
        <v>45425.96239583333</v>
      </c>
      <c r="C723" s="1" t="n">
        <v>45887</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48249-2024</t>
        </is>
      </c>
      <c r="B724" s="1" t="n">
        <v>45590.40675925926</v>
      </c>
      <c r="C724" s="1" t="n">
        <v>45887</v>
      </c>
      <c r="D724" t="inlineStr">
        <is>
          <t>JÄMTLANDS LÄN</t>
        </is>
      </c>
      <c r="E724" t="inlineStr">
        <is>
          <t>RAGUNDA</t>
        </is>
      </c>
      <c r="F724" t="inlineStr">
        <is>
          <t>SCA</t>
        </is>
      </c>
      <c r="G724" t="n">
        <v>14.4</v>
      </c>
      <c r="H724" t="n">
        <v>0</v>
      </c>
      <c r="I724" t="n">
        <v>0</v>
      </c>
      <c r="J724" t="n">
        <v>0</v>
      </c>
      <c r="K724" t="n">
        <v>0</v>
      </c>
      <c r="L724" t="n">
        <v>0</v>
      </c>
      <c r="M724" t="n">
        <v>0</v>
      </c>
      <c r="N724" t="n">
        <v>0</v>
      </c>
      <c r="O724" t="n">
        <v>0</v>
      </c>
      <c r="P724" t="n">
        <v>0</v>
      </c>
      <c r="Q724" t="n">
        <v>0</v>
      </c>
      <c r="R724" s="2" t="inlineStr"/>
    </row>
    <row r="725" ht="15" customHeight="1">
      <c r="A725" t="inlineStr">
        <is>
          <t>A 35689-2025</t>
        </is>
      </c>
      <c r="B725" s="1" t="n">
        <v>45860.30229166667</v>
      </c>
      <c r="C725" s="1" t="n">
        <v>45887</v>
      </c>
      <c r="D725" t="inlineStr">
        <is>
          <t>JÄMTLANDS LÄN</t>
        </is>
      </c>
      <c r="E725" t="inlineStr">
        <is>
          <t>RAGUNDA</t>
        </is>
      </c>
      <c r="G725" t="n">
        <v>1.9</v>
      </c>
      <c r="H725" t="n">
        <v>0</v>
      </c>
      <c r="I725" t="n">
        <v>0</v>
      </c>
      <c r="J725" t="n">
        <v>0</v>
      </c>
      <c r="K725" t="n">
        <v>0</v>
      </c>
      <c r="L725" t="n">
        <v>0</v>
      </c>
      <c r="M725" t="n">
        <v>0</v>
      </c>
      <c r="N725" t="n">
        <v>0</v>
      </c>
      <c r="O725" t="n">
        <v>0</v>
      </c>
      <c r="P725" t="n">
        <v>0</v>
      </c>
      <c r="Q725" t="n">
        <v>0</v>
      </c>
      <c r="R725" s="2" t="inlineStr"/>
    </row>
    <row r="726" ht="15" customHeight="1">
      <c r="A726" t="inlineStr">
        <is>
          <t>A 35265-2023</t>
        </is>
      </c>
      <c r="B726" s="1" t="n">
        <v>45145.95326388889</v>
      </c>
      <c r="C726" s="1" t="n">
        <v>45887</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31435-2022</t>
        </is>
      </c>
      <c r="B727" s="1" t="n">
        <v>44774</v>
      </c>
      <c r="C727" s="1" t="n">
        <v>45887</v>
      </c>
      <c r="D727" t="inlineStr">
        <is>
          <t>JÄMTLANDS LÄN</t>
        </is>
      </c>
      <c r="E727" t="inlineStr">
        <is>
          <t>RAGUNDA</t>
        </is>
      </c>
      <c r="G727" t="n">
        <v>1.6</v>
      </c>
      <c r="H727" t="n">
        <v>0</v>
      </c>
      <c r="I727" t="n">
        <v>0</v>
      </c>
      <c r="J727" t="n">
        <v>0</v>
      </c>
      <c r="K727" t="n">
        <v>0</v>
      </c>
      <c r="L727" t="n">
        <v>0</v>
      </c>
      <c r="M727" t="n">
        <v>0</v>
      </c>
      <c r="N727" t="n">
        <v>0</v>
      </c>
      <c r="O727" t="n">
        <v>0</v>
      </c>
      <c r="P727" t="n">
        <v>0</v>
      </c>
      <c r="Q727" t="n">
        <v>0</v>
      </c>
      <c r="R727" s="2" t="inlineStr"/>
    </row>
    <row r="728" ht="15" customHeight="1">
      <c r="A728" t="inlineStr">
        <is>
          <t>A 50211-2023</t>
        </is>
      </c>
      <c r="B728" s="1" t="n">
        <v>45215.94657407407</v>
      </c>
      <c r="C728" s="1" t="n">
        <v>45887</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28084-2025</t>
        </is>
      </c>
      <c r="B729" s="1" t="n">
        <v>45817.71910879629</v>
      </c>
      <c r="C729" s="1" t="n">
        <v>45887</v>
      </c>
      <c r="D729" t="inlineStr">
        <is>
          <t>JÄMTLANDS LÄN</t>
        </is>
      </c>
      <c r="E729" t="inlineStr">
        <is>
          <t>RAGUNDA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28216-2025</t>
        </is>
      </c>
      <c r="B730" s="1" t="n">
        <v>45818.46898148148</v>
      </c>
      <c r="C730" s="1" t="n">
        <v>45887</v>
      </c>
      <c r="D730" t="inlineStr">
        <is>
          <t>JÄMTLANDS LÄN</t>
        </is>
      </c>
      <c r="E730" t="inlineStr">
        <is>
          <t>RAGUNDA</t>
        </is>
      </c>
      <c r="G730" t="n">
        <v>6.6</v>
      </c>
      <c r="H730" t="n">
        <v>0</v>
      </c>
      <c r="I730" t="n">
        <v>0</v>
      </c>
      <c r="J730" t="n">
        <v>0</v>
      </c>
      <c r="K730" t="n">
        <v>0</v>
      </c>
      <c r="L730" t="n">
        <v>0</v>
      </c>
      <c r="M730" t="n">
        <v>0</v>
      </c>
      <c r="N730" t="n">
        <v>0</v>
      </c>
      <c r="O730" t="n">
        <v>0</v>
      </c>
      <c r="P730" t="n">
        <v>0</v>
      </c>
      <c r="Q730" t="n">
        <v>0</v>
      </c>
      <c r="R730" s="2" t="inlineStr"/>
    </row>
    <row r="731" ht="15" customHeight="1">
      <c r="A731" t="inlineStr">
        <is>
          <t>A 35658-2025</t>
        </is>
      </c>
      <c r="B731" s="1" t="n">
        <v>45859.594375</v>
      </c>
      <c r="C731" s="1" t="n">
        <v>45887</v>
      </c>
      <c r="D731" t="inlineStr">
        <is>
          <t>JÄMTLANDS LÄN</t>
        </is>
      </c>
      <c r="E731" t="inlineStr">
        <is>
          <t>RAGUNDA</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61934-2022</t>
        </is>
      </c>
      <c r="B732" s="1" t="n">
        <v>44917</v>
      </c>
      <c r="C732" s="1" t="n">
        <v>45887</v>
      </c>
      <c r="D732" t="inlineStr">
        <is>
          <t>JÄMTLANDS LÄN</t>
        </is>
      </c>
      <c r="E732" t="inlineStr">
        <is>
          <t>RAGUNDA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11558-2023</t>
        </is>
      </c>
      <c r="B733" s="1" t="n">
        <v>44993.94958333333</v>
      </c>
      <c r="C733" s="1" t="n">
        <v>45887</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16529-2022</t>
        </is>
      </c>
      <c r="B734" s="1" t="n">
        <v>44671</v>
      </c>
      <c r="C734" s="1" t="n">
        <v>45887</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40269-2022</t>
        </is>
      </c>
      <c r="B735" s="1" t="n">
        <v>44820</v>
      </c>
      <c r="C735" s="1" t="n">
        <v>45887</v>
      </c>
      <c r="D735" t="inlineStr">
        <is>
          <t>JÄMTLANDS LÄN</t>
        </is>
      </c>
      <c r="E735" t="inlineStr">
        <is>
          <t>RAGUNDA</t>
        </is>
      </c>
      <c r="F735" t="inlineStr">
        <is>
          <t>SCA</t>
        </is>
      </c>
      <c r="G735" t="n">
        <v>77.8</v>
      </c>
      <c r="H735" t="n">
        <v>0</v>
      </c>
      <c r="I735" t="n">
        <v>0</v>
      </c>
      <c r="J735" t="n">
        <v>0</v>
      </c>
      <c r="K735" t="n">
        <v>0</v>
      </c>
      <c r="L735" t="n">
        <v>0</v>
      </c>
      <c r="M735" t="n">
        <v>0</v>
      </c>
      <c r="N735" t="n">
        <v>0</v>
      </c>
      <c r="O735" t="n">
        <v>0</v>
      </c>
      <c r="P735" t="n">
        <v>0</v>
      </c>
      <c r="Q735" t="n">
        <v>0</v>
      </c>
      <c r="R735" s="2" t="inlineStr"/>
    </row>
    <row r="736" ht="15" customHeight="1">
      <c r="A736" t="inlineStr">
        <is>
          <t>A 49648-2023</t>
        </is>
      </c>
      <c r="B736" s="1" t="n">
        <v>45211.95061342593</v>
      </c>
      <c r="C736" s="1" t="n">
        <v>45887</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44536-2022</t>
        </is>
      </c>
      <c r="B737" s="1" t="n">
        <v>44839</v>
      </c>
      <c r="C737" s="1" t="n">
        <v>45887</v>
      </c>
      <c r="D737" t="inlineStr">
        <is>
          <t>JÄMTLANDS LÄN</t>
        </is>
      </c>
      <c r="E737" t="inlineStr">
        <is>
          <t>RAGUNDA</t>
        </is>
      </c>
      <c r="G737" t="n">
        <v>4</v>
      </c>
      <c r="H737" t="n">
        <v>0</v>
      </c>
      <c r="I737" t="n">
        <v>0</v>
      </c>
      <c r="J737" t="n">
        <v>0</v>
      </c>
      <c r="K737" t="n">
        <v>0</v>
      </c>
      <c r="L737" t="n">
        <v>0</v>
      </c>
      <c r="M737" t="n">
        <v>0</v>
      </c>
      <c r="N737" t="n">
        <v>0</v>
      </c>
      <c r="O737" t="n">
        <v>0</v>
      </c>
      <c r="P737" t="n">
        <v>0</v>
      </c>
      <c r="Q737" t="n">
        <v>0</v>
      </c>
      <c r="R737" s="2" t="inlineStr"/>
    </row>
    <row r="738" ht="15" customHeight="1">
      <c r="A738" t="inlineStr">
        <is>
          <t>A 36212-2023</t>
        </is>
      </c>
      <c r="B738" s="1" t="n">
        <v>45149.95241898148</v>
      </c>
      <c r="C738" s="1" t="n">
        <v>45887</v>
      </c>
      <c r="D738" t="inlineStr">
        <is>
          <t>JÄMTLANDS LÄN</t>
        </is>
      </c>
      <c r="E738" t="inlineStr">
        <is>
          <t>RAGUNDA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10754-2025</t>
        </is>
      </c>
      <c r="B739" s="1" t="n">
        <v>45722.44849537037</v>
      </c>
      <c r="C739" s="1" t="n">
        <v>45887</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53860-2023</t>
        </is>
      </c>
      <c r="B740" s="1" t="n">
        <v>45224</v>
      </c>
      <c r="C740" s="1" t="n">
        <v>45887</v>
      </c>
      <c r="D740" t="inlineStr">
        <is>
          <t>JÄMTLANDS LÄN</t>
        </is>
      </c>
      <c r="E740" t="inlineStr">
        <is>
          <t>RAGUNDA</t>
        </is>
      </c>
      <c r="G740" t="n">
        <v>3.3</v>
      </c>
      <c r="H740" t="n">
        <v>0</v>
      </c>
      <c r="I740" t="n">
        <v>0</v>
      </c>
      <c r="J740" t="n">
        <v>0</v>
      </c>
      <c r="K740" t="n">
        <v>0</v>
      </c>
      <c r="L740" t="n">
        <v>0</v>
      </c>
      <c r="M740" t="n">
        <v>0</v>
      </c>
      <c r="N740" t="n">
        <v>0</v>
      </c>
      <c r="O740" t="n">
        <v>0</v>
      </c>
      <c r="P740" t="n">
        <v>0</v>
      </c>
      <c r="Q740" t="n">
        <v>0</v>
      </c>
      <c r="R740" s="2" t="inlineStr"/>
    </row>
    <row r="741" ht="15" customHeight="1">
      <c r="A741" t="inlineStr">
        <is>
          <t>A 54599-2023</t>
        </is>
      </c>
      <c r="B741" s="1" t="n">
        <v>45233.92591435185</v>
      </c>
      <c r="C741" s="1" t="n">
        <v>45887</v>
      </c>
      <c r="D741" t="inlineStr">
        <is>
          <t>JÄMTLANDS LÄN</t>
        </is>
      </c>
      <c r="E741" t="inlineStr">
        <is>
          <t>RAGUNDA</t>
        </is>
      </c>
      <c r="G741" t="n">
        <v>3.7</v>
      </c>
      <c r="H741" t="n">
        <v>0</v>
      </c>
      <c r="I741" t="n">
        <v>0</v>
      </c>
      <c r="J741" t="n">
        <v>0</v>
      </c>
      <c r="K741" t="n">
        <v>0</v>
      </c>
      <c r="L741" t="n">
        <v>0</v>
      </c>
      <c r="M741" t="n">
        <v>0</v>
      </c>
      <c r="N741" t="n">
        <v>0</v>
      </c>
      <c r="O741" t="n">
        <v>0</v>
      </c>
      <c r="P741" t="n">
        <v>0</v>
      </c>
      <c r="Q741" t="n">
        <v>0</v>
      </c>
      <c r="R741" s="2" t="inlineStr"/>
    </row>
    <row r="742" ht="15" customHeight="1">
      <c r="A742" t="inlineStr">
        <is>
          <t>A 28637-2025</t>
        </is>
      </c>
      <c r="B742" s="1" t="n">
        <v>45819.6359375</v>
      </c>
      <c r="C742" s="1" t="n">
        <v>45887</v>
      </c>
      <c r="D742" t="inlineStr">
        <is>
          <t>JÄMTLANDS LÄN</t>
        </is>
      </c>
      <c r="E742" t="inlineStr">
        <is>
          <t>RAGUNDA</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58194-2022</t>
        </is>
      </c>
      <c r="B743" s="1" t="n">
        <v>44900</v>
      </c>
      <c r="C743" s="1" t="n">
        <v>45887</v>
      </c>
      <c r="D743" t="inlineStr">
        <is>
          <t>JÄMTLANDS LÄN</t>
        </is>
      </c>
      <c r="E743" t="inlineStr">
        <is>
          <t>RAGUNDA</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10610-2024</t>
        </is>
      </c>
      <c r="B744" s="1" t="n">
        <v>45367.04693287037</v>
      </c>
      <c r="C744" s="1" t="n">
        <v>45887</v>
      </c>
      <c r="D744" t="inlineStr">
        <is>
          <t>JÄMTLANDS LÄN</t>
        </is>
      </c>
      <c r="E744" t="inlineStr">
        <is>
          <t>RAGUNDA</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42875-2024</t>
        </is>
      </c>
      <c r="B745" s="1" t="n">
        <v>45566.68125</v>
      </c>
      <c r="C745" s="1" t="n">
        <v>45887</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8779-2025</t>
        </is>
      </c>
      <c r="B746" s="1" t="n">
        <v>45712.61552083334</v>
      </c>
      <c r="C746" s="1" t="n">
        <v>45887</v>
      </c>
      <c r="D746" t="inlineStr">
        <is>
          <t>JÄMTLANDS LÄN</t>
        </is>
      </c>
      <c r="E746" t="inlineStr">
        <is>
          <t>RAGUNDA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20574-2025</t>
        </is>
      </c>
      <c r="B747" s="1" t="n">
        <v>45775.67747685185</v>
      </c>
      <c r="C747" s="1" t="n">
        <v>45887</v>
      </c>
      <c r="D747" t="inlineStr">
        <is>
          <t>JÄMTLANDS LÄN</t>
        </is>
      </c>
      <c r="E747" t="inlineStr">
        <is>
          <t>RAGUNDA</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16676-2022</t>
        </is>
      </c>
      <c r="B748" s="1" t="n">
        <v>44672.94018518519</v>
      </c>
      <c r="C748" s="1" t="n">
        <v>45887</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15864-2024</t>
        </is>
      </c>
      <c r="B749" s="1" t="n">
        <v>45404.99792824074</v>
      </c>
      <c r="C749" s="1" t="n">
        <v>45887</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c r="U749">
        <f>HYPERLINK("https://klasma.github.io/Logging_2303/knärot/A 15864-2024 karta knärot.png", "A 15864-2024")</f>
        <v/>
      </c>
      <c r="V749">
        <f>HYPERLINK("https://klasma.github.io/Logging_2303/klagomål/A 15864-2024 FSC-klagomål.docx", "A 15864-2024")</f>
        <v/>
      </c>
      <c r="W749">
        <f>HYPERLINK("https://klasma.github.io/Logging_2303/klagomålsmail/A 15864-2024 FSC-klagomål mail.docx", "A 15864-2024")</f>
        <v/>
      </c>
      <c r="X749">
        <f>HYPERLINK("https://klasma.github.io/Logging_2303/tillsyn/A 15864-2024 tillsynsbegäran.docx", "A 15864-2024")</f>
        <v/>
      </c>
      <c r="Y749">
        <f>HYPERLINK("https://klasma.github.io/Logging_2303/tillsynsmail/A 15864-2024 tillsynsbegäran mail.docx", "A 15864-2024")</f>
        <v/>
      </c>
    </row>
    <row r="750" ht="15" customHeight="1">
      <c r="A750" t="inlineStr">
        <is>
          <t>A 57078-2023</t>
        </is>
      </c>
      <c r="B750" s="1" t="n">
        <v>45244.96774305555</v>
      </c>
      <c r="C750" s="1" t="n">
        <v>45887</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4015-2022</t>
        </is>
      </c>
      <c r="B751" s="1" t="n">
        <v>44587.92149305555</v>
      </c>
      <c r="C751" s="1" t="n">
        <v>45887</v>
      </c>
      <c r="D751" t="inlineStr">
        <is>
          <t>JÄMTLANDS LÄN</t>
        </is>
      </c>
      <c r="E751" t="inlineStr">
        <is>
          <t>RAGUNDA</t>
        </is>
      </c>
      <c r="G751" t="n">
        <v>3.9</v>
      </c>
      <c r="H751" t="n">
        <v>0</v>
      </c>
      <c r="I751" t="n">
        <v>0</v>
      </c>
      <c r="J751" t="n">
        <v>0</v>
      </c>
      <c r="K751" t="n">
        <v>0</v>
      </c>
      <c r="L751" t="n">
        <v>0</v>
      </c>
      <c r="M751" t="n">
        <v>0</v>
      </c>
      <c r="N751" t="n">
        <v>0</v>
      </c>
      <c r="O751" t="n">
        <v>0</v>
      </c>
      <c r="P751" t="n">
        <v>0</v>
      </c>
      <c r="Q751" t="n">
        <v>0</v>
      </c>
      <c r="R751" s="2" t="inlineStr"/>
    </row>
    <row r="752" ht="15" customHeight="1">
      <c r="A752" t="inlineStr">
        <is>
          <t>A 28973-2025</t>
        </is>
      </c>
      <c r="B752" s="1" t="n">
        <v>45821.34513888889</v>
      </c>
      <c r="C752" s="1" t="n">
        <v>45887</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2599-2023</t>
        </is>
      </c>
      <c r="B753" s="1" t="n">
        <v>44943.94802083333</v>
      </c>
      <c r="C753" s="1" t="n">
        <v>45887</v>
      </c>
      <c r="D753" t="inlineStr">
        <is>
          <t>JÄMTLANDS LÄN</t>
        </is>
      </c>
      <c r="E753" t="inlineStr">
        <is>
          <t>RAGUNDA</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29723-2025</t>
        </is>
      </c>
      <c r="B754" s="1" t="n">
        <v>45825.57675925926</v>
      </c>
      <c r="C754" s="1" t="n">
        <v>45887</v>
      </c>
      <c r="D754" t="inlineStr">
        <is>
          <t>JÄMTLANDS LÄN</t>
        </is>
      </c>
      <c r="E754" t="inlineStr">
        <is>
          <t>RAGUNDA</t>
        </is>
      </c>
      <c r="G754" t="n">
        <v>3.1</v>
      </c>
      <c r="H754" t="n">
        <v>0</v>
      </c>
      <c r="I754" t="n">
        <v>0</v>
      </c>
      <c r="J754" t="n">
        <v>0</v>
      </c>
      <c r="K754" t="n">
        <v>0</v>
      </c>
      <c r="L754" t="n">
        <v>0</v>
      </c>
      <c r="M754" t="n">
        <v>0</v>
      </c>
      <c r="N754" t="n">
        <v>0</v>
      </c>
      <c r="O754" t="n">
        <v>0</v>
      </c>
      <c r="P754" t="n">
        <v>0</v>
      </c>
      <c r="Q754" t="n">
        <v>0</v>
      </c>
      <c r="R754" s="2" t="inlineStr"/>
    </row>
    <row r="755" ht="15" customHeight="1">
      <c r="A755" t="inlineStr">
        <is>
          <t>A 29731-2025</t>
        </is>
      </c>
      <c r="B755" s="1" t="n">
        <v>45825.58252314815</v>
      </c>
      <c r="C755" s="1" t="n">
        <v>45887</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12976-2025</t>
        </is>
      </c>
      <c r="B756" s="1" t="n">
        <v>45734.45268518518</v>
      </c>
      <c r="C756" s="1" t="n">
        <v>45887</v>
      </c>
      <c r="D756" t="inlineStr">
        <is>
          <t>JÄMTLANDS LÄN</t>
        </is>
      </c>
      <c r="E756" t="inlineStr">
        <is>
          <t>RAGUNDA</t>
        </is>
      </c>
      <c r="G756" t="n">
        <v>24.2</v>
      </c>
      <c r="H756" t="n">
        <v>0</v>
      </c>
      <c r="I756" t="n">
        <v>0</v>
      </c>
      <c r="J756" t="n">
        <v>0</v>
      </c>
      <c r="K756" t="n">
        <v>0</v>
      </c>
      <c r="L756" t="n">
        <v>0</v>
      </c>
      <c r="M756" t="n">
        <v>0</v>
      </c>
      <c r="N756" t="n">
        <v>0</v>
      </c>
      <c r="O756" t="n">
        <v>0</v>
      </c>
      <c r="P756" t="n">
        <v>0</v>
      </c>
      <c r="Q756" t="n">
        <v>0</v>
      </c>
      <c r="R756" s="2" t="inlineStr"/>
    </row>
    <row r="757" ht="15" customHeight="1">
      <c r="A757" t="inlineStr">
        <is>
          <t>A 59044-2022</t>
        </is>
      </c>
      <c r="B757" s="1" t="n">
        <v>44903</v>
      </c>
      <c r="C757" s="1" t="n">
        <v>45887</v>
      </c>
      <c r="D757" t="inlineStr">
        <is>
          <t>JÄMTLANDS LÄN</t>
        </is>
      </c>
      <c r="E757" t="inlineStr">
        <is>
          <t>RAGUNDA</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4014-2022</t>
        </is>
      </c>
      <c r="B758" s="1" t="n">
        <v>44587.92144675926</v>
      </c>
      <c r="C758" s="1" t="n">
        <v>45887</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8243-2024</t>
        </is>
      </c>
      <c r="B759" s="1" t="n">
        <v>45351.98532407408</v>
      </c>
      <c r="C759" s="1" t="n">
        <v>45887</v>
      </c>
      <c r="D759" t="inlineStr">
        <is>
          <t>JÄMTLANDS LÄN</t>
        </is>
      </c>
      <c r="E759" t="inlineStr">
        <is>
          <t>RAGUNDA</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6902-2024</t>
        </is>
      </c>
      <c r="B760" s="1" t="n">
        <v>45342</v>
      </c>
      <c r="C760" s="1" t="n">
        <v>45887</v>
      </c>
      <c r="D760" t="inlineStr">
        <is>
          <t>JÄMTLANDS LÄN</t>
        </is>
      </c>
      <c r="E760" t="inlineStr">
        <is>
          <t>RAGUNDA</t>
        </is>
      </c>
      <c r="F760" t="inlineStr">
        <is>
          <t>SCA</t>
        </is>
      </c>
      <c r="G760" t="n">
        <v>18.7</v>
      </c>
      <c r="H760" t="n">
        <v>0</v>
      </c>
      <c r="I760" t="n">
        <v>0</v>
      </c>
      <c r="J760" t="n">
        <v>0</v>
      </c>
      <c r="K760" t="n">
        <v>0</v>
      </c>
      <c r="L760" t="n">
        <v>0</v>
      </c>
      <c r="M760" t="n">
        <v>0</v>
      </c>
      <c r="N760" t="n">
        <v>0</v>
      </c>
      <c r="O760" t="n">
        <v>0</v>
      </c>
      <c r="P760" t="n">
        <v>0</v>
      </c>
      <c r="Q760" t="n">
        <v>0</v>
      </c>
      <c r="R760" s="2" t="inlineStr"/>
    </row>
    <row r="761" ht="15" customHeight="1">
      <c r="A761" t="inlineStr">
        <is>
          <t>A 6905-2024</t>
        </is>
      </c>
      <c r="B761" s="1" t="n">
        <v>45342.9462037037</v>
      </c>
      <c r="C761" s="1" t="n">
        <v>45887</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56286-2023</t>
        </is>
      </c>
      <c r="B762" s="1" t="n">
        <v>45241.95741898148</v>
      </c>
      <c r="C762" s="1" t="n">
        <v>45887</v>
      </c>
      <c r="D762" t="inlineStr">
        <is>
          <t>JÄMTLANDS LÄN</t>
        </is>
      </c>
      <c r="E762" t="inlineStr">
        <is>
          <t>RAGUNDA</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56287-2023</t>
        </is>
      </c>
      <c r="B763" s="1" t="n">
        <v>45241</v>
      </c>
      <c r="C763" s="1" t="n">
        <v>45887</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59658-2023</t>
        </is>
      </c>
      <c r="B764" s="1" t="n">
        <v>45254.96402777778</v>
      </c>
      <c r="C764" s="1" t="n">
        <v>45887</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53989-2024</t>
        </is>
      </c>
      <c r="B765" s="1" t="n">
        <v>45616.34479166667</v>
      </c>
      <c r="C765" s="1" t="n">
        <v>45887</v>
      </c>
      <c r="D765" t="inlineStr">
        <is>
          <t>JÄMTLANDS LÄN</t>
        </is>
      </c>
      <c r="E765" t="inlineStr">
        <is>
          <t>RAGUNDA</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42509-2023</t>
        </is>
      </c>
      <c r="B766" s="1" t="n">
        <v>45180</v>
      </c>
      <c r="C766" s="1" t="n">
        <v>45887</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42510-2023</t>
        </is>
      </c>
      <c r="B767" s="1" t="n">
        <v>45180.95927083334</v>
      </c>
      <c r="C767" s="1" t="n">
        <v>45887</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29714-2025</t>
        </is>
      </c>
      <c r="B768" s="1" t="n">
        <v>45825.56762731481</v>
      </c>
      <c r="C768" s="1" t="n">
        <v>45887</v>
      </c>
      <c r="D768" t="inlineStr">
        <is>
          <t>JÄMTLANDS LÄN</t>
        </is>
      </c>
      <c r="E768" t="inlineStr">
        <is>
          <t>RAGUNDA</t>
        </is>
      </c>
      <c r="G768" t="n">
        <v>2.7</v>
      </c>
      <c r="H768" t="n">
        <v>0</v>
      </c>
      <c r="I768" t="n">
        <v>0</v>
      </c>
      <c r="J768" t="n">
        <v>0</v>
      </c>
      <c r="K768" t="n">
        <v>0</v>
      </c>
      <c r="L768" t="n">
        <v>0</v>
      </c>
      <c r="M768" t="n">
        <v>0</v>
      </c>
      <c r="N768" t="n">
        <v>0</v>
      </c>
      <c r="O768" t="n">
        <v>0</v>
      </c>
      <c r="P768" t="n">
        <v>0</v>
      </c>
      <c r="Q768" t="n">
        <v>0</v>
      </c>
      <c r="R768" s="2" t="inlineStr"/>
    </row>
    <row r="769" ht="15" customHeight="1">
      <c r="A769" t="inlineStr">
        <is>
          <t>A 11048-2023</t>
        </is>
      </c>
      <c r="B769" s="1" t="n">
        <v>44991</v>
      </c>
      <c r="C769" s="1" t="n">
        <v>45887</v>
      </c>
      <c r="D769" t="inlineStr">
        <is>
          <t>JÄMTLANDS LÄN</t>
        </is>
      </c>
      <c r="E769" t="inlineStr">
        <is>
          <t>RAGUNDA</t>
        </is>
      </c>
      <c r="F769" t="inlineStr">
        <is>
          <t>SCA</t>
        </is>
      </c>
      <c r="G769" t="n">
        <v>13.5</v>
      </c>
      <c r="H769" t="n">
        <v>0</v>
      </c>
      <c r="I769" t="n">
        <v>0</v>
      </c>
      <c r="J769" t="n">
        <v>0</v>
      </c>
      <c r="K769" t="n">
        <v>0</v>
      </c>
      <c r="L769" t="n">
        <v>0</v>
      </c>
      <c r="M769" t="n">
        <v>0</v>
      </c>
      <c r="N769" t="n">
        <v>0</v>
      </c>
      <c r="O769" t="n">
        <v>0</v>
      </c>
      <c r="P769" t="n">
        <v>0</v>
      </c>
      <c r="Q769" t="n">
        <v>0</v>
      </c>
      <c r="R769" s="2" t="inlineStr"/>
    </row>
    <row r="770" ht="15" customHeight="1">
      <c r="A770" t="inlineStr">
        <is>
          <t>A 28081-2022</t>
        </is>
      </c>
      <c r="B770" s="1" t="n">
        <v>44746</v>
      </c>
      <c r="C770" s="1" t="n">
        <v>45887</v>
      </c>
      <c r="D770" t="inlineStr">
        <is>
          <t>JÄMTLANDS LÄN</t>
        </is>
      </c>
      <c r="E770" t="inlineStr">
        <is>
          <t>RAGUNDA</t>
        </is>
      </c>
      <c r="G770" t="n">
        <v>7.2</v>
      </c>
      <c r="H770" t="n">
        <v>0</v>
      </c>
      <c r="I770" t="n">
        <v>0</v>
      </c>
      <c r="J770" t="n">
        <v>0</v>
      </c>
      <c r="K770" t="n">
        <v>0</v>
      </c>
      <c r="L770" t="n">
        <v>0</v>
      </c>
      <c r="M770" t="n">
        <v>0</v>
      </c>
      <c r="N770" t="n">
        <v>0</v>
      </c>
      <c r="O770" t="n">
        <v>0</v>
      </c>
      <c r="P770" t="n">
        <v>0</v>
      </c>
      <c r="Q770" t="n">
        <v>0</v>
      </c>
      <c r="R770" s="2" t="inlineStr"/>
    </row>
    <row r="771" ht="15" customHeight="1">
      <c r="A771" t="inlineStr">
        <is>
          <t>A 30088-2025</t>
        </is>
      </c>
      <c r="B771" s="1" t="n">
        <v>45826.65759259259</v>
      </c>
      <c r="C771" s="1" t="n">
        <v>45887</v>
      </c>
      <c r="D771" t="inlineStr">
        <is>
          <t>JÄMTLANDS LÄN</t>
        </is>
      </c>
      <c r="E771" t="inlineStr">
        <is>
          <t>RAGUNDA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36553-2025</t>
        </is>
      </c>
      <c r="B772" s="1" t="n">
        <v>45870.34439814815</v>
      </c>
      <c r="C772" s="1" t="n">
        <v>45887</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31463-2024</t>
        </is>
      </c>
      <c r="B773" s="1" t="n">
        <v>45505</v>
      </c>
      <c r="C773" s="1" t="n">
        <v>45887</v>
      </c>
      <c r="D773" t="inlineStr">
        <is>
          <t>JÄMTLANDS LÄN</t>
        </is>
      </c>
      <c r="E773" t="inlineStr">
        <is>
          <t>RAGUNDA</t>
        </is>
      </c>
      <c r="F773" t="inlineStr">
        <is>
          <t>SCA</t>
        </is>
      </c>
      <c r="G773" t="n">
        <v>20.3</v>
      </c>
      <c r="H773" t="n">
        <v>0</v>
      </c>
      <c r="I773" t="n">
        <v>0</v>
      </c>
      <c r="J773" t="n">
        <v>0</v>
      </c>
      <c r="K773" t="n">
        <v>0</v>
      </c>
      <c r="L773" t="n">
        <v>0</v>
      </c>
      <c r="M773" t="n">
        <v>0</v>
      </c>
      <c r="N773" t="n">
        <v>0</v>
      </c>
      <c r="O773" t="n">
        <v>0</v>
      </c>
      <c r="P773" t="n">
        <v>0</v>
      </c>
      <c r="Q773" t="n">
        <v>0</v>
      </c>
      <c r="R773" s="2" t="inlineStr"/>
    </row>
    <row r="774" ht="15" customHeight="1">
      <c r="A774" t="inlineStr">
        <is>
          <t>A 37324-2022</t>
        </is>
      </c>
      <c r="B774" s="1" t="n">
        <v>44806</v>
      </c>
      <c r="C774" s="1" t="n">
        <v>45887</v>
      </c>
      <c r="D774" t="inlineStr">
        <is>
          <t>JÄMTLANDS LÄN</t>
        </is>
      </c>
      <c r="E774" t="inlineStr">
        <is>
          <t>RAGUNDA</t>
        </is>
      </c>
      <c r="G774" t="n">
        <v>2.3</v>
      </c>
      <c r="H774" t="n">
        <v>0</v>
      </c>
      <c r="I774" t="n">
        <v>0</v>
      </c>
      <c r="J774" t="n">
        <v>0</v>
      </c>
      <c r="K774" t="n">
        <v>0</v>
      </c>
      <c r="L774" t="n">
        <v>0</v>
      </c>
      <c r="M774" t="n">
        <v>0</v>
      </c>
      <c r="N774" t="n">
        <v>0</v>
      </c>
      <c r="O774" t="n">
        <v>0</v>
      </c>
      <c r="P774" t="n">
        <v>0</v>
      </c>
      <c r="Q774" t="n">
        <v>0</v>
      </c>
      <c r="R774" s="2" t="inlineStr"/>
    </row>
    <row r="775" ht="15" customHeight="1">
      <c r="A775" t="inlineStr">
        <is>
          <t>A 61088-2020</t>
        </is>
      </c>
      <c r="B775" s="1" t="n">
        <v>44153</v>
      </c>
      <c r="C775" s="1" t="n">
        <v>45887</v>
      </c>
      <c r="D775" t="inlineStr">
        <is>
          <t>JÄMTLANDS LÄN</t>
        </is>
      </c>
      <c r="E775" t="inlineStr">
        <is>
          <t>RAGUNDA</t>
        </is>
      </c>
      <c r="G775" t="n">
        <v>1.2</v>
      </c>
      <c r="H775" t="n">
        <v>0</v>
      </c>
      <c r="I775" t="n">
        <v>0</v>
      </c>
      <c r="J775" t="n">
        <v>0</v>
      </c>
      <c r="K775" t="n">
        <v>0</v>
      </c>
      <c r="L775" t="n">
        <v>0</v>
      </c>
      <c r="M775" t="n">
        <v>0</v>
      </c>
      <c r="N775" t="n">
        <v>0</v>
      </c>
      <c r="O775" t="n">
        <v>0</v>
      </c>
      <c r="P775" t="n">
        <v>0</v>
      </c>
      <c r="Q775" t="n">
        <v>0</v>
      </c>
      <c r="R775" s="2" t="inlineStr"/>
    </row>
    <row r="776" ht="15" customHeight="1">
      <c r="A776" t="inlineStr">
        <is>
          <t>A 16364-2023</t>
        </is>
      </c>
      <c r="B776" s="1" t="n">
        <v>45028</v>
      </c>
      <c r="C776" s="1" t="n">
        <v>45887</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30348-2025</t>
        </is>
      </c>
      <c r="B777" s="1" t="n">
        <v>45827.53178240741</v>
      </c>
      <c r="C777" s="1" t="n">
        <v>45887</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30434-2025</t>
        </is>
      </c>
      <c r="B778" s="1" t="n">
        <v>45827.63582175926</v>
      </c>
      <c r="C778" s="1" t="n">
        <v>45887</v>
      </c>
      <c r="D778" t="inlineStr">
        <is>
          <t>JÄMTLANDS LÄN</t>
        </is>
      </c>
      <c r="E778" t="inlineStr">
        <is>
          <t>RAGUNDA</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36541-2025</t>
        </is>
      </c>
      <c r="B779" s="1" t="n">
        <v>45869.65666666667</v>
      </c>
      <c r="C779" s="1" t="n">
        <v>45887</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36544-2025</t>
        </is>
      </c>
      <c r="B780" s="1" t="n">
        <v>45869.67744212963</v>
      </c>
      <c r="C780" s="1" t="n">
        <v>45887</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19727-2025</t>
        </is>
      </c>
      <c r="B781" s="1" t="n">
        <v>45771.36538194444</v>
      </c>
      <c r="C781" s="1" t="n">
        <v>45887</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37008-2025</t>
        </is>
      </c>
      <c r="B782" s="1" t="n">
        <v>45874.69844907407</v>
      </c>
      <c r="C782" s="1" t="n">
        <v>45887</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62106-2023</t>
        </is>
      </c>
      <c r="B783" s="1" t="n">
        <v>45266.95082175926</v>
      </c>
      <c r="C783" s="1" t="n">
        <v>45887</v>
      </c>
      <c r="D783" t="inlineStr">
        <is>
          <t>JÄMTLANDS LÄN</t>
        </is>
      </c>
      <c r="E783" t="inlineStr">
        <is>
          <t>RAGUNDA</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46549-2023</t>
        </is>
      </c>
      <c r="B784" s="1" t="n">
        <v>45197.94171296297</v>
      </c>
      <c r="C784" s="1" t="n">
        <v>45887</v>
      </c>
      <c r="D784" t="inlineStr">
        <is>
          <t>JÄMTLANDS LÄN</t>
        </is>
      </c>
      <c r="E784" t="inlineStr">
        <is>
          <t>RAGUNDA</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4592-2024</t>
        </is>
      </c>
      <c r="B785" s="1" t="n">
        <v>45327.94443287037</v>
      </c>
      <c r="C785" s="1" t="n">
        <v>45887</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18984-2023</t>
        </is>
      </c>
      <c r="B786" s="1" t="n">
        <v>45044</v>
      </c>
      <c r="C786" s="1" t="n">
        <v>45887</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45887</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45887</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30883-2025</t>
        </is>
      </c>
      <c r="B789" s="1" t="n">
        <v>45832.34552083333</v>
      </c>
      <c r="C789" s="1" t="n">
        <v>45887</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55214-2022</t>
        </is>
      </c>
      <c r="B790" s="1" t="n">
        <v>44886</v>
      </c>
      <c r="C790" s="1" t="n">
        <v>45887</v>
      </c>
      <c r="D790" t="inlineStr">
        <is>
          <t>JÄMTLANDS LÄN</t>
        </is>
      </c>
      <c r="E790" t="inlineStr">
        <is>
          <t>RAGUNDA</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53019-2023</t>
        </is>
      </c>
      <c r="B791" s="1" t="n">
        <v>45222</v>
      </c>
      <c r="C791" s="1" t="n">
        <v>45887</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59996-2023</t>
        </is>
      </c>
      <c r="B792" s="1" t="n">
        <v>45257.92826388889</v>
      </c>
      <c r="C792" s="1" t="n">
        <v>45887</v>
      </c>
      <c r="D792" t="inlineStr">
        <is>
          <t>JÄMTLANDS LÄN</t>
        </is>
      </c>
      <c r="E792" t="inlineStr">
        <is>
          <t>RAGUNDA</t>
        </is>
      </c>
      <c r="G792" t="n">
        <v>2.7</v>
      </c>
      <c r="H792" t="n">
        <v>0</v>
      </c>
      <c r="I792" t="n">
        <v>0</v>
      </c>
      <c r="J792" t="n">
        <v>0</v>
      </c>
      <c r="K792" t="n">
        <v>0</v>
      </c>
      <c r="L792" t="n">
        <v>0</v>
      </c>
      <c r="M792" t="n">
        <v>0</v>
      </c>
      <c r="N792" t="n">
        <v>0</v>
      </c>
      <c r="O792" t="n">
        <v>0</v>
      </c>
      <c r="P792" t="n">
        <v>0</v>
      </c>
      <c r="Q792" t="n">
        <v>0</v>
      </c>
      <c r="R792" s="2" t="inlineStr"/>
    </row>
    <row r="793" ht="15" customHeight="1">
      <c r="A793" t="inlineStr">
        <is>
          <t>A 1537-2024</t>
        </is>
      </c>
      <c r="B793" s="1" t="n">
        <v>45306</v>
      </c>
      <c r="C793" s="1" t="n">
        <v>45887</v>
      </c>
      <c r="D793" t="inlineStr">
        <is>
          <t>JÄMTLANDS LÄN</t>
        </is>
      </c>
      <c r="E793" t="inlineStr">
        <is>
          <t>RAGUNDA</t>
        </is>
      </c>
      <c r="G793" t="n">
        <v>0.2</v>
      </c>
      <c r="H793" t="n">
        <v>0</v>
      </c>
      <c r="I793" t="n">
        <v>0</v>
      </c>
      <c r="J793" t="n">
        <v>0</v>
      </c>
      <c r="K793" t="n">
        <v>0</v>
      </c>
      <c r="L793" t="n">
        <v>0</v>
      </c>
      <c r="M793" t="n">
        <v>0</v>
      </c>
      <c r="N793" t="n">
        <v>0</v>
      </c>
      <c r="O793" t="n">
        <v>0</v>
      </c>
      <c r="P793" t="n">
        <v>0</v>
      </c>
      <c r="Q793" t="n">
        <v>0</v>
      </c>
      <c r="R793" s="2" t="inlineStr"/>
    </row>
    <row r="794" ht="15" customHeight="1">
      <c r="A794" t="inlineStr">
        <is>
          <t>A 36994-2025</t>
        </is>
      </c>
      <c r="B794" s="1" t="n">
        <v>45874.67746527777</v>
      </c>
      <c r="C794" s="1" t="n">
        <v>45887</v>
      </c>
      <c r="D794" t="inlineStr">
        <is>
          <t>JÄMTLANDS LÄN</t>
        </is>
      </c>
      <c r="E794" t="inlineStr">
        <is>
          <t>RAGUNDA</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45832.34524305556</v>
      </c>
      <c r="C795" s="1" t="n">
        <v>45887</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30887-2025</t>
        </is>
      </c>
      <c r="B796" s="1" t="n">
        <v>45832.3459375</v>
      </c>
      <c r="C796" s="1" t="n">
        <v>45887</v>
      </c>
      <c r="D796" t="inlineStr">
        <is>
          <t>JÄMTLANDS LÄN</t>
        </is>
      </c>
      <c r="E796" t="inlineStr">
        <is>
          <t>RAGUNDA</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40246-2024</t>
        </is>
      </c>
      <c r="B797" s="1" t="n">
        <v>45554.61583333334</v>
      </c>
      <c r="C797" s="1" t="n">
        <v>45887</v>
      </c>
      <c r="D797" t="inlineStr">
        <is>
          <t>JÄMTLANDS LÄN</t>
        </is>
      </c>
      <c r="E797" t="inlineStr">
        <is>
          <t>RAGUNDA</t>
        </is>
      </c>
      <c r="G797" t="n">
        <v>1</v>
      </c>
      <c r="H797" t="n">
        <v>0</v>
      </c>
      <c r="I797" t="n">
        <v>0</v>
      </c>
      <c r="J797" t="n">
        <v>0</v>
      </c>
      <c r="K797" t="n">
        <v>0</v>
      </c>
      <c r="L797" t="n">
        <v>0</v>
      </c>
      <c r="M797" t="n">
        <v>0</v>
      </c>
      <c r="N797" t="n">
        <v>0</v>
      </c>
      <c r="O797" t="n">
        <v>0</v>
      </c>
      <c r="P797" t="n">
        <v>0</v>
      </c>
      <c r="Q797" t="n">
        <v>0</v>
      </c>
      <c r="R797" s="2" t="inlineStr"/>
    </row>
    <row r="798" ht="15" customHeight="1">
      <c r="A798" t="inlineStr">
        <is>
          <t>A 29257-2024</t>
        </is>
      </c>
      <c r="B798" s="1" t="n">
        <v>45482.94815972223</v>
      </c>
      <c r="C798" s="1" t="n">
        <v>45887</v>
      </c>
      <c r="D798" t="inlineStr">
        <is>
          <t>JÄMTLANDS LÄN</t>
        </is>
      </c>
      <c r="E798" t="inlineStr">
        <is>
          <t>RAGUNDA</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36947-2025</t>
        </is>
      </c>
      <c r="B799" s="1" t="n">
        <v>45874.59496527778</v>
      </c>
      <c r="C799" s="1" t="n">
        <v>45887</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32874-2025</t>
        </is>
      </c>
      <c r="B800" s="1" t="n">
        <v>45839</v>
      </c>
      <c r="C800" s="1" t="n">
        <v>45887</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40051-2020</t>
        </is>
      </c>
      <c r="B801" s="1" t="n">
        <v>44067</v>
      </c>
      <c r="C801" s="1" t="n">
        <v>45887</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55487-2023</t>
        </is>
      </c>
      <c r="B802" s="1" t="n">
        <v>45238</v>
      </c>
      <c r="C802" s="1" t="n">
        <v>45887</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20770-2024</t>
        </is>
      </c>
      <c r="B803" s="1" t="n">
        <v>45436.94613425926</v>
      </c>
      <c r="C803" s="1" t="n">
        <v>45887</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37292-2025</t>
        </is>
      </c>
      <c r="B804" s="1" t="n">
        <v>45876.53188657408</v>
      </c>
      <c r="C804" s="1" t="n">
        <v>45887</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31882-2025</t>
        </is>
      </c>
      <c r="B805" s="1" t="n">
        <v>45834.65662037037</v>
      </c>
      <c r="C805" s="1" t="n">
        <v>45887</v>
      </c>
      <c r="D805" t="inlineStr">
        <is>
          <t>JÄMTLANDS LÄN</t>
        </is>
      </c>
      <c r="E805" t="inlineStr">
        <is>
          <t>RAGUNDA</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19383-2025</t>
        </is>
      </c>
      <c r="B806" s="1" t="n">
        <v>45769.65688657408</v>
      </c>
      <c r="C806" s="1" t="n">
        <v>45887</v>
      </c>
      <c r="D806" t="inlineStr">
        <is>
          <t>JÄMTLANDS LÄN</t>
        </is>
      </c>
      <c r="E806" t="inlineStr">
        <is>
          <t>RAGUNDA</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12783-2023</t>
        </is>
      </c>
      <c r="B807" s="1" t="n">
        <v>45000</v>
      </c>
      <c r="C807" s="1" t="n">
        <v>45887</v>
      </c>
      <c r="D807" t="inlineStr">
        <is>
          <t>JÄMTLANDS LÄN</t>
        </is>
      </c>
      <c r="E807" t="inlineStr">
        <is>
          <t>RAGUNDA</t>
        </is>
      </c>
      <c r="G807" t="n">
        <v>0.9</v>
      </c>
      <c r="H807" t="n">
        <v>0</v>
      </c>
      <c r="I807" t="n">
        <v>0</v>
      </c>
      <c r="J807" t="n">
        <v>0</v>
      </c>
      <c r="K807" t="n">
        <v>0</v>
      </c>
      <c r="L807" t="n">
        <v>0</v>
      </c>
      <c r="M807" t="n">
        <v>0</v>
      </c>
      <c r="N807" t="n">
        <v>0</v>
      </c>
      <c r="O807" t="n">
        <v>0</v>
      </c>
      <c r="P807" t="n">
        <v>0</v>
      </c>
      <c r="Q807" t="n">
        <v>0</v>
      </c>
      <c r="R807" s="2" t="inlineStr"/>
    </row>
    <row r="808" ht="15" customHeight="1">
      <c r="A808" t="inlineStr">
        <is>
          <t>A 35153-2024</t>
        </is>
      </c>
      <c r="B808" s="1" t="n">
        <v>45530</v>
      </c>
      <c r="C808" s="1" t="n">
        <v>45887</v>
      </c>
      <c r="D808" t="inlineStr">
        <is>
          <t>JÄMTLANDS LÄN</t>
        </is>
      </c>
      <c r="E808" t="inlineStr">
        <is>
          <t>RAGUNDA</t>
        </is>
      </c>
      <c r="G808" t="n">
        <v>2.7</v>
      </c>
      <c r="H808" t="n">
        <v>0</v>
      </c>
      <c r="I808" t="n">
        <v>0</v>
      </c>
      <c r="J808" t="n">
        <v>0</v>
      </c>
      <c r="K808" t="n">
        <v>0</v>
      </c>
      <c r="L808" t="n">
        <v>0</v>
      </c>
      <c r="M808" t="n">
        <v>0</v>
      </c>
      <c r="N808" t="n">
        <v>0</v>
      </c>
      <c r="O808" t="n">
        <v>0</v>
      </c>
      <c r="P808" t="n">
        <v>0</v>
      </c>
      <c r="Q808" t="n">
        <v>0</v>
      </c>
      <c r="R808" s="2" t="inlineStr"/>
    </row>
    <row r="809" ht="15" customHeight="1">
      <c r="A809" t="inlineStr">
        <is>
          <t>A 32075-2025</t>
        </is>
      </c>
      <c r="B809" s="1" t="n">
        <v>45835.4506712963</v>
      </c>
      <c r="C809" s="1" t="n">
        <v>45887</v>
      </c>
      <c r="D809" t="inlineStr">
        <is>
          <t>JÄMTLANDS LÄN</t>
        </is>
      </c>
      <c r="E809" t="inlineStr">
        <is>
          <t>RAGUNDA</t>
        </is>
      </c>
      <c r="G809" t="n">
        <v>1.1</v>
      </c>
      <c r="H809" t="n">
        <v>0</v>
      </c>
      <c r="I809" t="n">
        <v>0</v>
      </c>
      <c r="J809" t="n">
        <v>0</v>
      </c>
      <c r="K809" t="n">
        <v>0</v>
      </c>
      <c r="L809" t="n">
        <v>0</v>
      </c>
      <c r="M809" t="n">
        <v>0</v>
      </c>
      <c r="N809" t="n">
        <v>0</v>
      </c>
      <c r="O809" t="n">
        <v>0</v>
      </c>
      <c r="P809" t="n">
        <v>0</v>
      </c>
      <c r="Q809" t="n">
        <v>0</v>
      </c>
      <c r="R809" s="2" t="inlineStr"/>
    </row>
    <row r="810" ht="15" customHeight="1">
      <c r="A810" t="inlineStr">
        <is>
          <t>A 32762-2025</t>
        </is>
      </c>
      <c r="B810" s="1" t="n">
        <v>45838</v>
      </c>
      <c r="C810" s="1" t="n">
        <v>45887</v>
      </c>
      <c r="D810" t="inlineStr">
        <is>
          <t>JÄMTLANDS LÄN</t>
        </is>
      </c>
      <c r="E810" t="inlineStr">
        <is>
          <t>RAGUNDA</t>
        </is>
      </c>
      <c r="G810" t="n">
        <v>0.6</v>
      </c>
      <c r="H810" t="n">
        <v>0</v>
      </c>
      <c r="I810" t="n">
        <v>0</v>
      </c>
      <c r="J810" t="n">
        <v>0</v>
      </c>
      <c r="K810" t="n">
        <v>0</v>
      </c>
      <c r="L810" t="n">
        <v>0</v>
      </c>
      <c r="M810" t="n">
        <v>0</v>
      </c>
      <c r="N810" t="n">
        <v>0</v>
      </c>
      <c r="O810" t="n">
        <v>0</v>
      </c>
      <c r="P810" t="n">
        <v>0</v>
      </c>
      <c r="Q810" t="n">
        <v>0</v>
      </c>
      <c r="R810" s="2" t="inlineStr"/>
    </row>
    <row r="811" ht="15" customHeight="1">
      <c r="A811" t="inlineStr">
        <is>
          <t>A 61197-2023</t>
        </is>
      </c>
      <c r="B811" s="1" t="n">
        <v>45260</v>
      </c>
      <c r="C811" s="1" t="n">
        <v>45887</v>
      </c>
      <c r="D811" t="inlineStr">
        <is>
          <t>JÄMTLANDS LÄN</t>
        </is>
      </c>
      <c r="E811" t="inlineStr">
        <is>
          <t>RAGUNDA</t>
        </is>
      </c>
      <c r="G811" t="n">
        <v>2.5</v>
      </c>
      <c r="H811" t="n">
        <v>0</v>
      </c>
      <c r="I811" t="n">
        <v>0</v>
      </c>
      <c r="J811" t="n">
        <v>0</v>
      </c>
      <c r="K811" t="n">
        <v>0</v>
      </c>
      <c r="L811" t="n">
        <v>0</v>
      </c>
      <c r="M811" t="n">
        <v>0</v>
      </c>
      <c r="N811" t="n">
        <v>0</v>
      </c>
      <c r="O811" t="n">
        <v>0</v>
      </c>
      <c r="P811" t="n">
        <v>0</v>
      </c>
      <c r="Q811" t="n">
        <v>0</v>
      </c>
      <c r="R811" s="2" t="inlineStr"/>
    </row>
    <row r="812" ht="15" customHeight="1">
      <c r="A812" t="inlineStr">
        <is>
          <t>A 21853-2024</t>
        </is>
      </c>
      <c r="B812" s="1" t="n">
        <v>45442.96296296296</v>
      </c>
      <c r="C812" s="1" t="n">
        <v>45887</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32306-2025</t>
        </is>
      </c>
      <c r="B813" s="1" t="n">
        <v>45835.72046296296</v>
      </c>
      <c r="C813" s="1" t="n">
        <v>45887</v>
      </c>
      <c r="D813" t="inlineStr">
        <is>
          <t>JÄMTLANDS LÄN</t>
        </is>
      </c>
      <c r="E813" t="inlineStr">
        <is>
          <t>RAGUNDA</t>
        </is>
      </c>
      <c r="G813" t="n">
        <v>10.2</v>
      </c>
      <c r="H813" t="n">
        <v>0</v>
      </c>
      <c r="I813" t="n">
        <v>0</v>
      </c>
      <c r="J813" t="n">
        <v>0</v>
      </c>
      <c r="K813" t="n">
        <v>0</v>
      </c>
      <c r="L813" t="n">
        <v>0</v>
      </c>
      <c r="M813" t="n">
        <v>0</v>
      </c>
      <c r="N813" t="n">
        <v>0</v>
      </c>
      <c r="O813" t="n">
        <v>0</v>
      </c>
      <c r="P813" t="n">
        <v>0</v>
      </c>
      <c r="Q813" t="n">
        <v>0</v>
      </c>
      <c r="R813" s="2" t="inlineStr"/>
    </row>
    <row r="814" ht="15" customHeight="1">
      <c r="A814" t="inlineStr">
        <is>
          <t>A 50160-2023</t>
        </is>
      </c>
      <c r="B814" s="1" t="n">
        <v>45208</v>
      </c>
      <c r="C814" s="1" t="n">
        <v>45887</v>
      </c>
      <c r="D814" t="inlineStr">
        <is>
          <t>JÄMTLANDS LÄN</t>
        </is>
      </c>
      <c r="E814" t="inlineStr">
        <is>
          <t>RAGUNDA</t>
        </is>
      </c>
      <c r="G814" t="n">
        <v>4.6</v>
      </c>
      <c r="H814" t="n">
        <v>0</v>
      </c>
      <c r="I814" t="n">
        <v>0</v>
      </c>
      <c r="J814" t="n">
        <v>0</v>
      </c>
      <c r="K814" t="n">
        <v>0</v>
      </c>
      <c r="L814" t="n">
        <v>0</v>
      </c>
      <c r="M814" t="n">
        <v>0</v>
      </c>
      <c r="N814" t="n">
        <v>0</v>
      </c>
      <c r="O814" t="n">
        <v>0</v>
      </c>
      <c r="P814" t="n">
        <v>0</v>
      </c>
      <c r="Q814" t="n">
        <v>0</v>
      </c>
      <c r="R814" s="2" t="inlineStr"/>
    </row>
    <row r="815" ht="15" customHeight="1">
      <c r="A815" t="inlineStr">
        <is>
          <t>A 29775-2023</t>
        </is>
      </c>
      <c r="B815" s="1" t="n">
        <v>45098</v>
      </c>
      <c r="C815" s="1" t="n">
        <v>45887</v>
      </c>
      <c r="D815" t="inlineStr">
        <is>
          <t>JÄMTLANDS LÄN</t>
        </is>
      </c>
      <c r="E815" t="inlineStr">
        <is>
          <t>RAGUNDA</t>
        </is>
      </c>
      <c r="G815" t="n">
        <v>3.6</v>
      </c>
      <c r="H815" t="n">
        <v>0</v>
      </c>
      <c r="I815" t="n">
        <v>0</v>
      </c>
      <c r="J815" t="n">
        <v>0</v>
      </c>
      <c r="K815" t="n">
        <v>0</v>
      </c>
      <c r="L815" t="n">
        <v>0</v>
      </c>
      <c r="M815" t="n">
        <v>0</v>
      </c>
      <c r="N815" t="n">
        <v>0</v>
      </c>
      <c r="O815" t="n">
        <v>0</v>
      </c>
      <c r="P815" t="n">
        <v>0</v>
      </c>
      <c r="Q815" t="n">
        <v>0</v>
      </c>
      <c r="R815" s="2" t="inlineStr"/>
    </row>
    <row r="816" ht="15" customHeight="1">
      <c r="A816" t="inlineStr">
        <is>
          <t>A 32757-2025</t>
        </is>
      </c>
      <c r="B816" s="1" t="n">
        <v>45838</v>
      </c>
      <c r="C816" s="1" t="n">
        <v>45887</v>
      </c>
      <c r="D816" t="inlineStr">
        <is>
          <t>JÄMTLANDS LÄN</t>
        </is>
      </c>
      <c r="E816" t="inlineStr">
        <is>
          <t>RAGUNDA</t>
        </is>
      </c>
      <c r="G816" t="n">
        <v>4.5</v>
      </c>
      <c r="H816" t="n">
        <v>0</v>
      </c>
      <c r="I816" t="n">
        <v>0</v>
      </c>
      <c r="J816" t="n">
        <v>0</v>
      </c>
      <c r="K816" t="n">
        <v>0</v>
      </c>
      <c r="L816" t="n">
        <v>0</v>
      </c>
      <c r="M816" t="n">
        <v>0</v>
      </c>
      <c r="N816" t="n">
        <v>0</v>
      </c>
      <c r="O816" t="n">
        <v>0</v>
      </c>
      <c r="P816" t="n">
        <v>0</v>
      </c>
      <c r="Q816" t="n">
        <v>0</v>
      </c>
      <c r="R816" s="2" t="inlineStr"/>
    </row>
    <row r="817" ht="15" customHeight="1">
      <c r="A817" t="inlineStr">
        <is>
          <t>A 32660-2025</t>
        </is>
      </c>
      <c r="B817" s="1" t="n">
        <v>45838.67887731481</v>
      </c>
      <c r="C817" s="1" t="n">
        <v>45887</v>
      </c>
      <c r="D817" t="inlineStr">
        <is>
          <t>JÄMTLANDS LÄN</t>
        </is>
      </c>
      <c r="E817" t="inlineStr">
        <is>
          <t>RAGUNDA</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40365-2024</t>
        </is>
      </c>
      <c r="B818" s="1" t="n">
        <v>45555.38509259259</v>
      </c>
      <c r="C818" s="1" t="n">
        <v>45887</v>
      </c>
      <c r="D818" t="inlineStr">
        <is>
          <t>JÄMTLANDS LÄN</t>
        </is>
      </c>
      <c r="E818" t="inlineStr">
        <is>
          <t>RAGUNDA</t>
        </is>
      </c>
      <c r="G818" t="n">
        <v>7.8</v>
      </c>
      <c r="H818" t="n">
        <v>0</v>
      </c>
      <c r="I818" t="n">
        <v>0</v>
      </c>
      <c r="J818" t="n">
        <v>0</v>
      </c>
      <c r="K818" t="n">
        <v>0</v>
      </c>
      <c r="L818" t="n">
        <v>0</v>
      </c>
      <c r="M818" t="n">
        <v>0</v>
      </c>
      <c r="N818" t="n">
        <v>0</v>
      </c>
      <c r="O818" t="n">
        <v>0</v>
      </c>
      <c r="P818" t="n">
        <v>0</v>
      </c>
      <c r="Q818" t="n">
        <v>0</v>
      </c>
      <c r="R818" s="2" t="inlineStr"/>
    </row>
    <row r="819" ht="15" customHeight="1">
      <c r="A819" t="inlineStr">
        <is>
          <t>A 32527-2025</t>
        </is>
      </c>
      <c r="B819" s="1" t="n">
        <v>45838.48996527777</v>
      </c>
      <c r="C819" s="1" t="n">
        <v>45887</v>
      </c>
      <c r="D819" t="inlineStr">
        <is>
          <t>JÄMTLANDS LÄN</t>
        </is>
      </c>
      <c r="E819" t="inlineStr">
        <is>
          <t>RAGUNDA</t>
        </is>
      </c>
      <c r="G819" t="n">
        <v>5</v>
      </c>
      <c r="H819" t="n">
        <v>0</v>
      </c>
      <c r="I819" t="n">
        <v>0</v>
      </c>
      <c r="J819" t="n">
        <v>0</v>
      </c>
      <c r="K819" t="n">
        <v>0</v>
      </c>
      <c r="L819" t="n">
        <v>0</v>
      </c>
      <c r="M819" t="n">
        <v>0</v>
      </c>
      <c r="N819" t="n">
        <v>0</v>
      </c>
      <c r="O819" t="n">
        <v>0</v>
      </c>
      <c r="P819" t="n">
        <v>0</v>
      </c>
      <c r="Q819" t="n">
        <v>0</v>
      </c>
      <c r="R819" s="2" t="inlineStr"/>
    </row>
    <row r="820" ht="15" customHeight="1">
      <c r="A820" t="inlineStr">
        <is>
          <t>A 31135-2023</t>
        </is>
      </c>
      <c r="B820" s="1" t="n">
        <v>45103</v>
      </c>
      <c r="C820" s="1" t="n">
        <v>45887</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13767-2022</t>
        </is>
      </c>
      <c r="B821" s="1" t="n">
        <v>44649.47048611111</v>
      </c>
      <c r="C821" s="1" t="n">
        <v>45887</v>
      </c>
      <c r="D821" t="inlineStr">
        <is>
          <t>JÄMTLANDS LÄN</t>
        </is>
      </c>
      <c r="E821" t="inlineStr">
        <is>
          <t>RAGUNDA</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32021-2025</t>
        </is>
      </c>
      <c r="B822" s="1" t="n">
        <v>45835.40668981482</v>
      </c>
      <c r="C822" s="1" t="n">
        <v>45887</v>
      </c>
      <c r="D822" t="inlineStr">
        <is>
          <t>JÄMTLANDS LÄN</t>
        </is>
      </c>
      <c r="E822" t="inlineStr">
        <is>
          <t>RAGUNDA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22569-2023</t>
        </is>
      </c>
      <c r="B823" s="1" t="n">
        <v>45069</v>
      </c>
      <c r="C823" s="1" t="n">
        <v>45887</v>
      </c>
      <c r="D823" t="inlineStr">
        <is>
          <t>JÄMTLANDS LÄN</t>
        </is>
      </c>
      <c r="E823" t="inlineStr">
        <is>
          <t>RAGUNDA</t>
        </is>
      </c>
      <c r="G823" t="n">
        <v>6.6</v>
      </c>
      <c r="H823" t="n">
        <v>0</v>
      </c>
      <c r="I823" t="n">
        <v>0</v>
      </c>
      <c r="J823" t="n">
        <v>0</v>
      </c>
      <c r="K823" t="n">
        <v>0</v>
      </c>
      <c r="L823" t="n">
        <v>0</v>
      </c>
      <c r="M823" t="n">
        <v>0</v>
      </c>
      <c r="N823" t="n">
        <v>0</v>
      </c>
      <c r="O823" t="n">
        <v>0</v>
      </c>
      <c r="P823" t="n">
        <v>0</v>
      </c>
      <c r="Q823" t="n">
        <v>0</v>
      </c>
      <c r="R823" s="2" t="inlineStr"/>
    </row>
    <row r="824" ht="15" customHeight="1">
      <c r="A824" t="inlineStr">
        <is>
          <t>A 32655-2025</t>
        </is>
      </c>
      <c r="B824" s="1" t="n">
        <v>45838.67800925926</v>
      </c>
      <c r="C824" s="1" t="n">
        <v>45887</v>
      </c>
      <c r="D824" t="inlineStr">
        <is>
          <t>JÄMTLANDS LÄN</t>
        </is>
      </c>
      <c r="E824" t="inlineStr">
        <is>
          <t>RAGUNDA</t>
        </is>
      </c>
      <c r="G824" t="n">
        <v>2.8</v>
      </c>
      <c r="H824" t="n">
        <v>0</v>
      </c>
      <c r="I824" t="n">
        <v>0</v>
      </c>
      <c r="J824" t="n">
        <v>0</v>
      </c>
      <c r="K824" t="n">
        <v>0</v>
      </c>
      <c r="L824" t="n">
        <v>0</v>
      </c>
      <c r="M824" t="n">
        <v>0</v>
      </c>
      <c r="N824" t="n">
        <v>0</v>
      </c>
      <c r="O824" t="n">
        <v>0</v>
      </c>
      <c r="P824" t="n">
        <v>0</v>
      </c>
      <c r="Q824" t="n">
        <v>0</v>
      </c>
      <c r="R824" s="2" t="inlineStr"/>
    </row>
    <row r="825" ht="15" customHeight="1">
      <c r="A825" t="inlineStr">
        <is>
          <t>A 32151-2025</t>
        </is>
      </c>
      <c r="B825" s="1" t="n">
        <v>45835.53166666667</v>
      </c>
      <c r="C825" s="1" t="n">
        <v>45887</v>
      </c>
      <c r="D825" t="inlineStr">
        <is>
          <t>JÄMTLANDS LÄN</t>
        </is>
      </c>
      <c r="E825" t="inlineStr">
        <is>
          <t>RAGUNDA</t>
        </is>
      </c>
      <c r="F825" t="inlineStr">
        <is>
          <t>SCA</t>
        </is>
      </c>
      <c r="G825" t="n">
        <v>12.3</v>
      </c>
      <c r="H825" t="n">
        <v>0</v>
      </c>
      <c r="I825" t="n">
        <v>0</v>
      </c>
      <c r="J825" t="n">
        <v>0</v>
      </c>
      <c r="K825" t="n">
        <v>0</v>
      </c>
      <c r="L825" t="n">
        <v>0</v>
      </c>
      <c r="M825" t="n">
        <v>0</v>
      </c>
      <c r="N825" t="n">
        <v>0</v>
      </c>
      <c r="O825" t="n">
        <v>0</v>
      </c>
      <c r="P825" t="n">
        <v>0</v>
      </c>
      <c r="Q825" t="n">
        <v>0</v>
      </c>
      <c r="R825" s="2" t="inlineStr"/>
    </row>
    <row r="826" ht="15" customHeight="1">
      <c r="A826" t="inlineStr">
        <is>
          <t>A 4212-2024</t>
        </is>
      </c>
      <c r="B826" s="1" t="n">
        <v>45324</v>
      </c>
      <c r="C826" s="1" t="n">
        <v>45887</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32096-2025</t>
        </is>
      </c>
      <c r="B827" s="1" t="n">
        <v>45835.46334490741</v>
      </c>
      <c r="C827" s="1" t="n">
        <v>45887</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32088-2025</t>
        </is>
      </c>
      <c r="B828" s="1" t="n">
        <v>45835.45686342593</v>
      </c>
      <c r="C828" s="1" t="n">
        <v>45887</v>
      </c>
      <c r="D828" t="inlineStr">
        <is>
          <t>JÄMTLANDS LÄN</t>
        </is>
      </c>
      <c r="E828" t="inlineStr">
        <is>
          <t>RAGUNDA</t>
        </is>
      </c>
      <c r="G828" t="n">
        <v>0.8</v>
      </c>
      <c r="H828" t="n">
        <v>0</v>
      </c>
      <c r="I828" t="n">
        <v>0</v>
      </c>
      <c r="J828" t="n">
        <v>0</v>
      </c>
      <c r="K828" t="n">
        <v>0</v>
      </c>
      <c r="L828" t="n">
        <v>0</v>
      </c>
      <c r="M828" t="n">
        <v>0</v>
      </c>
      <c r="N828" t="n">
        <v>0</v>
      </c>
      <c r="O828" t="n">
        <v>0</v>
      </c>
      <c r="P828" t="n">
        <v>0</v>
      </c>
      <c r="Q828" t="n">
        <v>0</v>
      </c>
      <c r="R828" s="2" t="inlineStr"/>
    </row>
    <row r="829" ht="15" customHeight="1">
      <c r="A829" t="inlineStr">
        <is>
          <t>A 43405-2023</t>
        </is>
      </c>
      <c r="B829" s="1" t="n">
        <v>45183.95563657407</v>
      </c>
      <c r="C829" s="1" t="n">
        <v>45887</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32748-2025</t>
        </is>
      </c>
      <c r="B830" s="1" t="n">
        <v>45839.42822916667</v>
      </c>
      <c r="C830" s="1" t="n">
        <v>45887</v>
      </c>
      <c r="D830" t="inlineStr">
        <is>
          <t>JÄMTLANDS LÄN</t>
        </is>
      </c>
      <c r="E830" t="inlineStr">
        <is>
          <t>RAGUNDA</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32777-2025</t>
        </is>
      </c>
      <c r="B831" s="1" t="n">
        <v>45839.46915509259</v>
      </c>
      <c r="C831" s="1" t="n">
        <v>45887</v>
      </c>
      <c r="D831" t="inlineStr">
        <is>
          <t>JÄMTLANDS LÄN</t>
        </is>
      </c>
      <c r="E831" t="inlineStr">
        <is>
          <t>RAGUNDA</t>
        </is>
      </c>
      <c r="F831" t="inlineStr">
        <is>
          <t>SCA</t>
        </is>
      </c>
      <c r="G831" t="n">
        <v>21.7</v>
      </c>
      <c r="H831" t="n">
        <v>0</v>
      </c>
      <c r="I831" t="n">
        <v>0</v>
      </c>
      <c r="J831" t="n">
        <v>0</v>
      </c>
      <c r="K831" t="n">
        <v>0</v>
      </c>
      <c r="L831" t="n">
        <v>0</v>
      </c>
      <c r="M831" t="n">
        <v>0</v>
      </c>
      <c r="N831" t="n">
        <v>0</v>
      </c>
      <c r="O831" t="n">
        <v>0</v>
      </c>
      <c r="P831" t="n">
        <v>0</v>
      </c>
      <c r="Q831" t="n">
        <v>0</v>
      </c>
      <c r="R831" s="2" t="inlineStr"/>
    </row>
    <row r="832" ht="15" customHeight="1">
      <c r="A832" t="inlineStr">
        <is>
          <t>A 32430-2025</t>
        </is>
      </c>
      <c r="B832" s="1" t="n">
        <v>45838.36532407408</v>
      </c>
      <c r="C832" s="1" t="n">
        <v>45887</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60456-2023</t>
        </is>
      </c>
      <c r="B833" s="1" t="n">
        <v>45258</v>
      </c>
      <c r="C833" s="1" t="n">
        <v>45887</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56984-2022</t>
        </is>
      </c>
      <c r="B834" s="1" t="n">
        <v>44894.79018518519</v>
      </c>
      <c r="C834" s="1" t="n">
        <v>45887</v>
      </c>
      <c r="D834" t="inlineStr">
        <is>
          <t>JÄMTLANDS LÄN</t>
        </is>
      </c>
      <c r="E834" t="inlineStr">
        <is>
          <t>RAGUNDA</t>
        </is>
      </c>
      <c r="G834" t="n">
        <v>1.4</v>
      </c>
      <c r="H834" t="n">
        <v>0</v>
      </c>
      <c r="I834" t="n">
        <v>0</v>
      </c>
      <c r="J834" t="n">
        <v>0</v>
      </c>
      <c r="K834" t="n">
        <v>0</v>
      </c>
      <c r="L834" t="n">
        <v>0</v>
      </c>
      <c r="M834" t="n">
        <v>0</v>
      </c>
      <c r="N834" t="n">
        <v>0</v>
      </c>
      <c r="O834" t="n">
        <v>0</v>
      </c>
      <c r="P834" t="n">
        <v>0</v>
      </c>
      <c r="Q834" t="n">
        <v>0</v>
      </c>
      <c r="R834" s="2" t="inlineStr"/>
    </row>
    <row r="835" ht="15" customHeight="1">
      <c r="A835" t="inlineStr">
        <is>
          <t>A 32796-2025</t>
        </is>
      </c>
      <c r="B835" s="1" t="n">
        <v>45839.49082175926</v>
      </c>
      <c r="C835" s="1" t="n">
        <v>45887</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32747-2025</t>
        </is>
      </c>
      <c r="B836" s="1" t="n">
        <v>45839.42810185185</v>
      </c>
      <c r="C836" s="1" t="n">
        <v>45887</v>
      </c>
      <c r="D836" t="inlineStr">
        <is>
          <t>JÄMTLANDS LÄN</t>
        </is>
      </c>
      <c r="E836" t="inlineStr">
        <is>
          <t>RAGUNDA</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5958-2023</t>
        </is>
      </c>
      <c r="B837" s="1" t="n">
        <v>44963</v>
      </c>
      <c r="C837" s="1" t="n">
        <v>45887</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58438-2022</t>
        </is>
      </c>
      <c r="B838" s="1" t="n">
        <v>44901</v>
      </c>
      <c r="C838" s="1" t="n">
        <v>45887</v>
      </c>
      <c r="D838" t="inlineStr">
        <is>
          <t>JÄMTLANDS LÄN</t>
        </is>
      </c>
      <c r="E838" t="inlineStr">
        <is>
          <t>RAGUNDA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58442-2022</t>
        </is>
      </c>
      <c r="B839" s="1" t="n">
        <v>44901</v>
      </c>
      <c r="C839" s="1" t="n">
        <v>45887</v>
      </c>
      <c r="D839" t="inlineStr">
        <is>
          <t>JÄMTLANDS LÄN</t>
        </is>
      </c>
      <c r="E839" t="inlineStr">
        <is>
          <t>RAGUNDA</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50521-2024</t>
        </is>
      </c>
      <c r="B840" s="1" t="n">
        <v>45601.55331018518</v>
      </c>
      <c r="C840" s="1" t="n">
        <v>45887</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32751-2025</t>
        </is>
      </c>
      <c r="B841" s="1" t="n">
        <v>45839.42864583333</v>
      </c>
      <c r="C841" s="1" t="n">
        <v>45887</v>
      </c>
      <c r="D841" t="inlineStr">
        <is>
          <t>JÄMTLANDS LÄN</t>
        </is>
      </c>
      <c r="E841" t="inlineStr">
        <is>
          <t>RAGUNDA</t>
        </is>
      </c>
      <c r="F841" t="inlineStr">
        <is>
          <t>SCA</t>
        </is>
      </c>
      <c r="G841" t="n">
        <v>10</v>
      </c>
      <c r="H841" t="n">
        <v>0</v>
      </c>
      <c r="I841" t="n">
        <v>0</v>
      </c>
      <c r="J841" t="n">
        <v>0</v>
      </c>
      <c r="K841" t="n">
        <v>0</v>
      </c>
      <c r="L841" t="n">
        <v>0</v>
      </c>
      <c r="M841" t="n">
        <v>0</v>
      </c>
      <c r="N841" t="n">
        <v>0</v>
      </c>
      <c r="O841" t="n">
        <v>0</v>
      </c>
      <c r="P841" t="n">
        <v>0</v>
      </c>
      <c r="Q841" t="n">
        <v>0</v>
      </c>
      <c r="R841" s="2" t="inlineStr"/>
    </row>
    <row r="842" ht="15" customHeight="1">
      <c r="A842" t="inlineStr">
        <is>
          <t>A 29920-2024</t>
        </is>
      </c>
      <c r="B842" s="1" t="n">
        <v>45487.92856481481</v>
      </c>
      <c r="C842" s="1" t="n">
        <v>45887</v>
      </c>
      <c r="D842" t="inlineStr">
        <is>
          <t>JÄMTLANDS LÄN</t>
        </is>
      </c>
      <c r="E842" t="inlineStr">
        <is>
          <t>RAGUNDA</t>
        </is>
      </c>
      <c r="G842" t="n">
        <v>3.4</v>
      </c>
      <c r="H842" t="n">
        <v>0</v>
      </c>
      <c r="I842" t="n">
        <v>0</v>
      </c>
      <c r="J842" t="n">
        <v>0</v>
      </c>
      <c r="K842" t="n">
        <v>0</v>
      </c>
      <c r="L842" t="n">
        <v>0</v>
      </c>
      <c r="M842" t="n">
        <v>0</v>
      </c>
      <c r="N842" t="n">
        <v>0</v>
      </c>
      <c r="O842" t="n">
        <v>0</v>
      </c>
      <c r="P842" t="n">
        <v>0</v>
      </c>
      <c r="Q842" t="n">
        <v>0</v>
      </c>
      <c r="R842" s="2" t="inlineStr"/>
    </row>
    <row r="843" ht="15" customHeight="1">
      <c r="A843" t="inlineStr">
        <is>
          <t>A 32846-2025</t>
        </is>
      </c>
      <c r="B843" s="1" t="n">
        <v>45839.57331018519</v>
      </c>
      <c r="C843" s="1" t="n">
        <v>45887</v>
      </c>
      <c r="D843" t="inlineStr">
        <is>
          <t>JÄMTLANDS LÄN</t>
        </is>
      </c>
      <c r="E843" t="inlineStr">
        <is>
          <t>RAGUNDA</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62011-2022</t>
        </is>
      </c>
      <c r="B844" s="1" t="n">
        <v>44914</v>
      </c>
      <c r="C844" s="1" t="n">
        <v>45887</v>
      </c>
      <c r="D844" t="inlineStr">
        <is>
          <t>JÄMTLANDS LÄN</t>
        </is>
      </c>
      <c r="E844" t="inlineStr">
        <is>
          <t>RAGUNDA</t>
        </is>
      </c>
      <c r="G844" t="n">
        <v>0.3</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45887</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49229-2024</t>
        </is>
      </c>
      <c r="B846" s="1" t="n">
        <v>45595.42738425926</v>
      </c>
      <c r="C846" s="1" t="n">
        <v>45887</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55524-2024</t>
        </is>
      </c>
      <c r="B847" s="1" t="n">
        <v>45622.47435185185</v>
      </c>
      <c r="C847" s="1" t="n">
        <v>45887</v>
      </c>
      <c r="D847" t="inlineStr">
        <is>
          <t>JÄMTLANDS LÄN</t>
        </is>
      </c>
      <c r="E847" t="inlineStr">
        <is>
          <t>RAGUNDA</t>
        </is>
      </c>
      <c r="G847" t="n">
        <v>1.4</v>
      </c>
      <c r="H847" t="n">
        <v>0</v>
      </c>
      <c r="I847" t="n">
        <v>0</v>
      </c>
      <c r="J847" t="n">
        <v>0</v>
      </c>
      <c r="K847" t="n">
        <v>0</v>
      </c>
      <c r="L847" t="n">
        <v>0</v>
      </c>
      <c r="M847" t="n">
        <v>0</v>
      </c>
      <c r="N847" t="n">
        <v>0</v>
      </c>
      <c r="O847" t="n">
        <v>0</v>
      </c>
      <c r="P847" t="n">
        <v>0</v>
      </c>
      <c r="Q847" t="n">
        <v>0</v>
      </c>
      <c r="R847" s="2" t="inlineStr"/>
    </row>
    <row r="848" ht="15" customHeight="1">
      <c r="A848" t="inlineStr">
        <is>
          <t>A 19419-2024</t>
        </is>
      </c>
      <c r="B848" s="1" t="n">
        <v>45429</v>
      </c>
      <c r="C848" s="1" t="n">
        <v>45887</v>
      </c>
      <c r="D848" t="inlineStr">
        <is>
          <t>JÄMTLANDS LÄN</t>
        </is>
      </c>
      <c r="E848" t="inlineStr">
        <is>
          <t>RAGUNDA</t>
        </is>
      </c>
      <c r="G848" t="n">
        <v>3.5</v>
      </c>
      <c r="H848" t="n">
        <v>0</v>
      </c>
      <c r="I848" t="n">
        <v>0</v>
      </c>
      <c r="J848" t="n">
        <v>0</v>
      </c>
      <c r="K848" t="n">
        <v>0</v>
      </c>
      <c r="L848" t="n">
        <v>0</v>
      </c>
      <c r="M848" t="n">
        <v>0</v>
      </c>
      <c r="N848" t="n">
        <v>0</v>
      </c>
      <c r="O848" t="n">
        <v>0</v>
      </c>
      <c r="P848" t="n">
        <v>0</v>
      </c>
      <c r="Q848" t="n">
        <v>0</v>
      </c>
      <c r="R848" s="2" t="inlineStr"/>
    </row>
    <row r="849" ht="15" customHeight="1">
      <c r="A849" t="inlineStr">
        <is>
          <t>A 22311-2024</t>
        </is>
      </c>
      <c r="B849" s="1" t="n">
        <v>45446.57052083333</v>
      </c>
      <c r="C849" s="1" t="n">
        <v>45887</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19866-2023</t>
        </is>
      </c>
      <c r="B850" s="1" t="n">
        <v>45053.94313657407</v>
      </c>
      <c r="C850" s="1" t="n">
        <v>45887</v>
      </c>
      <c r="D850" t="inlineStr">
        <is>
          <t>JÄMTLANDS LÄN</t>
        </is>
      </c>
      <c r="E850" t="inlineStr">
        <is>
          <t>RAGUNDA</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53935-2022</t>
        </is>
      </c>
      <c r="B851" s="1" t="n">
        <v>44880</v>
      </c>
      <c r="C851" s="1" t="n">
        <v>45887</v>
      </c>
      <c r="D851" t="inlineStr">
        <is>
          <t>JÄMTLANDS LÄN</t>
        </is>
      </c>
      <c r="E851" t="inlineStr">
        <is>
          <t>RAGUNDA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9504-2025</t>
        </is>
      </c>
      <c r="B852" s="1" t="n">
        <v>45714</v>
      </c>
      <c r="C852" s="1" t="n">
        <v>45887</v>
      </c>
      <c r="D852" t="inlineStr">
        <is>
          <t>JÄMTLANDS LÄN</t>
        </is>
      </c>
      <c r="E852" t="inlineStr">
        <is>
          <t>RAGUNDA</t>
        </is>
      </c>
      <c r="G852" t="n">
        <v>6</v>
      </c>
      <c r="H852" t="n">
        <v>0</v>
      </c>
      <c r="I852" t="n">
        <v>0</v>
      </c>
      <c r="J852" t="n">
        <v>0</v>
      </c>
      <c r="K852" t="n">
        <v>0</v>
      </c>
      <c r="L852" t="n">
        <v>0</v>
      </c>
      <c r="M852" t="n">
        <v>0</v>
      </c>
      <c r="N852" t="n">
        <v>0</v>
      </c>
      <c r="O852" t="n">
        <v>0</v>
      </c>
      <c r="P852" t="n">
        <v>0</v>
      </c>
      <c r="Q852" t="n">
        <v>0</v>
      </c>
      <c r="R852" s="2" t="inlineStr"/>
    </row>
    <row r="853" ht="15" customHeight="1">
      <c r="A853" t="inlineStr">
        <is>
          <t>A 18631-2024</t>
        </is>
      </c>
      <c r="B853" s="1" t="n">
        <v>45425.96494212963</v>
      </c>
      <c r="C853" s="1" t="n">
        <v>45887</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33763-2025</t>
        </is>
      </c>
      <c r="B854" s="1" t="n">
        <v>45842.38579861111</v>
      </c>
      <c r="C854" s="1" t="n">
        <v>45887</v>
      </c>
      <c r="D854" t="inlineStr">
        <is>
          <t>JÄMTLANDS LÄN</t>
        </is>
      </c>
      <c r="E854" t="inlineStr">
        <is>
          <t>RAGUNDA</t>
        </is>
      </c>
      <c r="F854" t="inlineStr">
        <is>
          <t>SCA</t>
        </is>
      </c>
      <c r="G854" t="n">
        <v>13.4</v>
      </c>
      <c r="H854" t="n">
        <v>0</v>
      </c>
      <c r="I854" t="n">
        <v>0</v>
      </c>
      <c r="J854" t="n">
        <v>0</v>
      </c>
      <c r="K854" t="n">
        <v>0</v>
      </c>
      <c r="L854" t="n">
        <v>0</v>
      </c>
      <c r="M854" t="n">
        <v>0</v>
      </c>
      <c r="N854" t="n">
        <v>0</v>
      </c>
      <c r="O854" t="n">
        <v>0</v>
      </c>
      <c r="P854" t="n">
        <v>0</v>
      </c>
      <c r="Q854" t="n">
        <v>0</v>
      </c>
      <c r="R854" s="2" t="inlineStr"/>
    </row>
    <row r="855" ht="15" customHeight="1">
      <c r="A855" t="inlineStr">
        <is>
          <t>A 33556-2025</t>
        </is>
      </c>
      <c r="B855" s="1" t="n">
        <v>45841.57427083333</v>
      </c>
      <c r="C855" s="1" t="n">
        <v>45887</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46211-2024</t>
        </is>
      </c>
      <c r="B856" s="1" t="n">
        <v>45581.55260416667</v>
      </c>
      <c r="C856" s="1" t="n">
        <v>45887</v>
      </c>
      <c r="D856" t="inlineStr">
        <is>
          <t>JÄMTLANDS LÄN</t>
        </is>
      </c>
      <c r="E856" t="inlineStr">
        <is>
          <t>RAGUNDA</t>
        </is>
      </c>
      <c r="G856" t="n">
        <v>7.3</v>
      </c>
      <c r="H856" t="n">
        <v>0</v>
      </c>
      <c r="I856" t="n">
        <v>0</v>
      </c>
      <c r="J856" t="n">
        <v>0</v>
      </c>
      <c r="K856" t="n">
        <v>0</v>
      </c>
      <c r="L856" t="n">
        <v>0</v>
      </c>
      <c r="M856" t="n">
        <v>0</v>
      </c>
      <c r="N856" t="n">
        <v>0</v>
      </c>
      <c r="O856" t="n">
        <v>0</v>
      </c>
      <c r="P856" t="n">
        <v>0</v>
      </c>
      <c r="Q856" t="n">
        <v>0</v>
      </c>
      <c r="R856" s="2" t="inlineStr"/>
    </row>
    <row r="857" ht="15" customHeight="1">
      <c r="A857" t="inlineStr">
        <is>
          <t>A 33790-2025</t>
        </is>
      </c>
      <c r="B857" s="1" t="n">
        <v>45842.42608796297</v>
      </c>
      <c r="C857" s="1" t="n">
        <v>45887</v>
      </c>
      <c r="D857" t="inlineStr">
        <is>
          <t>JÄMTLANDS LÄN</t>
        </is>
      </c>
      <c r="E857" t="inlineStr">
        <is>
          <t>RAGUNDA</t>
        </is>
      </c>
      <c r="G857" t="n">
        <v>0.3</v>
      </c>
      <c r="H857" t="n">
        <v>0</v>
      </c>
      <c r="I857" t="n">
        <v>0</v>
      </c>
      <c r="J857" t="n">
        <v>0</v>
      </c>
      <c r="K857" t="n">
        <v>0</v>
      </c>
      <c r="L857" t="n">
        <v>0</v>
      </c>
      <c r="M857" t="n">
        <v>0</v>
      </c>
      <c r="N857" t="n">
        <v>0</v>
      </c>
      <c r="O857" t="n">
        <v>0</v>
      </c>
      <c r="P857" t="n">
        <v>0</v>
      </c>
      <c r="Q857" t="n">
        <v>0</v>
      </c>
      <c r="R857" s="2" t="inlineStr"/>
    </row>
    <row r="858" ht="15" customHeight="1">
      <c r="A858" t="inlineStr">
        <is>
          <t>A 12805-2025</t>
        </is>
      </c>
      <c r="B858" s="1" t="n">
        <v>45733.61497685185</v>
      </c>
      <c r="C858" s="1" t="n">
        <v>45887</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8679-2023</t>
        </is>
      </c>
      <c r="B859" s="1" t="n">
        <v>44977.98670138889</v>
      </c>
      <c r="C859" s="1" t="n">
        <v>45887</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14158-2024</t>
        </is>
      </c>
      <c r="B860" s="1" t="n">
        <v>45392</v>
      </c>
      <c r="C860" s="1" t="n">
        <v>45887</v>
      </c>
      <c r="D860" t="inlineStr">
        <is>
          <t>JÄMTLANDS LÄN</t>
        </is>
      </c>
      <c r="E860" t="inlineStr">
        <is>
          <t>RAGUNDA</t>
        </is>
      </c>
      <c r="G860" t="n">
        <v>0.7</v>
      </c>
      <c r="H860" t="n">
        <v>0</v>
      </c>
      <c r="I860" t="n">
        <v>0</v>
      </c>
      <c r="J860" t="n">
        <v>0</v>
      </c>
      <c r="K860" t="n">
        <v>0</v>
      </c>
      <c r="L860" t="n">
        <v>0</v>
      </c>
      <c r="M860" t="n">
        <v>0</v>
      </c>
      <c r="N860" t="n">
        <v>0</v>
      </c>
      <c r="O860" t="n">
        <v>0</v>
      </c>
      <c r="P860" t="n">
        <v>0</v>
      </c>
      <c r="Q860" t="n">
        <v>0</v>
      </c>
      <c r="R860" s="2" t="inlineStr"/>
    </row>
    <row r="861" ht="15" customHeight="1">
      <c r="A861" t="inlineStr">
        <is>
          <t>A 33650-2025</t>
        </is>
      </c>
      <c r="B861" s="1" t="n">
        <v>45841.6571412037</v>
      </c>
      <c r="C861" s="1" t="n">
        <v>45887</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55649-2023</t>
        </is>
      </c>
      <c r="B862" s="1" t="n">
        <v>45238</v>
      </c>
      <c r="C862" s="1" t="n">
        <v>45887</v>
      </c>
      <c r="D862" t="inlineStr">
        <is>
          <t>JÄMTLANDS LÄN</t>
        </is>
      </c>
      <c r="E862" t="inlineStr">
        <is>
          <t>RAGUNDA</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11062-2023</t>
        </is>
      </c>
      <c r="B863" s="1" t="n">
        <v>44991</v>
      </c>
      <c r="C863" s="1" t="n">
        <v>45887</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53769-2023</t>
        </is>
      </c>
      <c r="B864" s="1" t="n">
        <v>45230</v>
      </c>
      <c r="C864" s="1" t="n">
        <v>45887</v>
      </c>
      <c r="D864" t="inlineStr">
        <is>
          <t>JÄMTLANDS LÄN</t>
        </is>
      </c>
      <c r="E864" t="inlineStr">
        <is>
          <t>RAGUNDA</t>
        </is>
      </c>
      <c r="F864" t="inlineStr">
        <is>
          <t>SCA</t>
        </is>
      </c>
      <c r="G864" t="n">
        <v>11.6</v>
      </c>
      <c r="H864" t="n">
        <v>0</v>
      </c>
      <c r="I864" t="n">
        <v>0</v>
      </c>
      <c r="J864" t="n">
        <v>0</v>
      </c>
      <c r="K864" t="n">
        <v>0</v>
      </c>
      <c r="L864" t="n">
        <v>0</v>
      </c>
      <c r="M864" t="n">
        <v>0</v>
      </c>
      <c r="N864" t="n">
        <v>0</v>
      </c>
      <c r="O864" t="n">
        <v>0</v>
      </c>
      <c r="P864" t="n">
        <v>0</v>
      </c>
      <c r="Q864" t="n">
        <v>0</v>
      </c>
      <c r="R864" s="2" t="inlineStr"/>
    </row>
    <row r="865" ht="15" customHeight="1">
      <c r="A865" t="inlineStr">
        <is>
          <t>A 12024-2022</t>
        </is>
      </c>
      <c r="B865" s="1" t="n">
        <v>44635</v>
      </c>
      <c r="C865" s="1" t="n">
        <v>45887</v>
      </c>
      <c r="D865" t="inlineStr">
        <is>
          <t>JÄMTLANDS LÄN</t>
        </is>
      </c>
      <c r="E865" t="inlineStr">
        <is>
          <t>RAGUNDA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40919-2024</t>
        </is>
      </c>
      <c r="B866" s="1" t="n">
        <v>45558.63575231482</v>
      </c>
      <c r="C866" s="1" t="n">
        <v>45887</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15024-2022</t>
        </is>
      </c>
      <c r="B867" s="1" t="n">
        <v>44657</v>
      </c>
      <c r="C867" s="1" t="n">
        <v>45887</v>
      </c>
      <c r="D867" t="inlineStr">
        <is>
          <t>JÄMTLANDS LÄN</t>
        </is>
      </c>
      <c r="E867" t="inlineStr">
        <is>
          <t>RAGUNDA</t>
        </is>
      </c>
      <c r="G867" t="n">
        <v>1.8</v>
      </c>
      <c r="H867" t="n">
        <v>0</v>
      </c>
      <c r="I867" t="n">
        <v>0</v>
      </c>
      <c r="J867" t="n">
        <v>0</v>
      </c>
      <c r="K867" t="n">
        <v>0</v>
      </c>
      <c r="L867" t="n">
        <v>0</v>
      </c>
      <c r="M867" t="n">
        <v>0</v>
      </c>
      <c r="N867" t="n">
        <v>0</v>
      </c>
      <c r="O867" t="n">
        <v>0</v>
      </c>
      <c r="P867" t="n">
        <v>0</v>
      </c>
      <c r="Q867" t="n">
        <v>0</v>
      </c>
      <c r="R867" s="2" t="inlineStr"/>
    </row>
    <row r="868" ht="15" customHeight="1">
      <c r="A868" t="inlineStr">
        <is>
          <t>A 48192-2024</t>
        </is>
      </c>
      <c r="B868" s="1" t="n">
        <v>45590</v>
      </c>
      <c r="C868" s="1" t="n">
        <v>45887</v>
      </c>
      <c r="D868" t="inlineStr">
        <is>
          <t>JÄMTLANDS LÄN</t>
        </is>
      </c>
      <c r="E868" t="inlineStr">
        <is>
          <t>RAGUNDA</t>
        </is>
      </c>
      <c r="G868" t="n">
        <v>2.3</v>
      </c>
      <c r="H868" t="n">
        <v>0</v>
      </c>
      <c r="I868" t="n">
        <v>0</v>
      </c>
      <c r="J868" t="n">
        <v>0</v>
      </c>
      <c r="K868" t="n">
        <v>0</v>
      </c>
      <c r="L868" t="n">
        <v>0</v>
      </c>
      <c r="M868" t="n">
        <v>0</v>
      </c>
      <c r="N868" t="n">
        <v>0</v>
      </c>
      <c r="O868" t="n">
        <v>0</v>
      </c>
      <c r="P868" t="n">
        <v>0</v>
      </c>
      <c r="Q868" t="n">
        <v>0</v>
      </c>
      <c r="R868" s="2" t="inlineStr"/>
    </row>
    <row r="869" ht="15" customHeight="1">
      <c r="A869" t="inlineStr">
        <is>
          <t>A 69153-2021</t>
        </is>
      </c>
      <c r="B869" s="1" t="n">
        <v>44530.94694444445</v>
      </c>
      <c r="C869" s="1" t="n">
        <v>45887</v>
      </c>
      <c r="D869" t="inlineStr">
        <is>
          <t>JÄMTLANDS LÄN</t>
        </is>
      </c>
      <c r="E869" t="inlineStr">
        <is>
          <t>RAGUNDA</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12768-2022</t>
        </is>
      </c>
      <c r="B870" s="1" t="n">
        <v>44641</v>
      </c>
      <c r="C870" s="1" t="n">
        <v>45887</v>
      </c>
      <c r="D870" t="inlineStr">
        <is>
          <t>JÄMTLANDS LÄN</t>
        </is>
      </c>
      <c r="E870" t="inlineStr">
        <is>
          <t>RAGUNDA</t>
        </is>
      </c>
      <c r="F870" t="inlineStr">
        <is>
          <t>SCA</t>
        </is>
      </c>
      <c r="G870" t="n">
        <v>8</v>
      </c>
      <c r="H870" t="n">
        <v>0</v>
      </c>
      <c r="I870" t="n">
        <v>0</v>
      </c>
      <c r="J870" t="n">
        <v>0</v>
      </c>
      <c r="K870" t="n">
        <v>0</v>
      </c>
      <c r="L870" t="n">
        <v>0</v>
      </c>
      <c r="M870" t="n">
        <v>0</v>
      </c>
      <c r="N870" t="n">
        <v>0</v>
      </c>
      <c r="O870" t="n">
        <v>0</v>
      </c>
      <c r="P870" t="n">
        <v>0</v>
      </c>
      <c r="Q870" t="n">
        <v>0</v>
      </c>
      <c r="R870" s="2" t="inlineStr"/>
    </row>
    <row r="871" ht="15" customHeight="1">
      <c r="A871" t="inlineStr">
        <is>
          <t>A 12773-2022</t>
        </is>
      </c>
      <c r="B871" s="1" t="n">
        <v>44641</v>
      </c>
      <c r="C871" s="1" t="n">
        <v>45887</v>
      </c>
      <c r="D871" t="inlineStr">
        <is>
          <t>JÄMTLANDS LÄN</t>
        </is>
      </c>
      <c r="E871" t="inlineStr">
        <is>
          <t>RAGUNDA</t>
        </is>
      </c>
      <c r="F871" t="inlineStr">
        <is>
          <t>SCA</t>
        </is>
      </c>
      <c r="G871" t="n">
        <v>14.7</v>
      </c>
      <c r="H871" t="n">
        <v>0</v>
      </c>
      <c r="I871" t="n">
        <v>0</v>
      </c>
      <c r="J871" t="n">
        <v>0</v>
      </c>
      <c r="K871" t="n">
        <v>0</v>
      </c>
      <c r="L871" t="n">
        <v>0</v>
      </c>
      <c r="M871" t="n">
        <v>0</v>
      </c>
      <c r="N871" t="n">
        <v>0</v>
      </c>
      <c r="O871" t="n">
        <v>0</v>
      </c>
      <c r="P871" t="n">
        <v>0</v>
      </c>
      <c r="Q871" t="n">
        <v>0</v>
      </c>
      <c r="R871" s="2" t="inlineStr"/>
    </row>
    <row r="872" ht="15" customHeight="1">
      <c r="A872" t="inlineStr">
        <is>
          <t>A 4882-2023</t>
        </is>
      </c>
      <c r="B872" s="1" t="n">
        <v>44957.94075231482</v>
      </c>
      <c r="C872" s="1" t="n">
        <v>45887</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39608-2024</t>
        </is>
      </c>
      <c r="B873" s="1" t="n">
        <v>45552.39113425926</v>
      </c>
      <c r="C873" s="1" t="n">
        <v>45887</v>
      </c>
      <c r="D873" t="inlineStr">
        <is>
          <t>JÄMTLANDS LÄN</t>
        </is>
      </c>
      <c r="E873" t="inlineStr">
        <is>
          <t>RAGUNDA</t>
        </is>
      </c>
      <c r="G873" t="n">
        <v>3.2</v>
      </c>
      <c r="H873" t="n">
        <v>0</v>
      </c>
      <c r="I873" t="n">
        <v>0</v>
      </c>
      <c r="J873" t="n">
        <v>0</v>
      </c>
      <c r="K873" t="n">
        <v>0</v>
      </c>
      <c r="L873" t="n">
        <v>0</v>
      </c>
      <c r="M873" t="n">
        <v>0</v>
      </c>
      <c r="N873" t="n">
        <v>0</v>
      </c>
      <c r="O873" t="n">
        <v>0</v>
      </c>
      <c r="P873" t="n">
        <v>0</v>
      </c>
      <c r="Q873" t="n">
        <v>0</v>
      </c>
      <c r="R873" s="2" t="inlineStr"/>
    </row>
    <row r="874" ht="15" customHeight="1">
      <c r="A874" t="inlineStr">
        <is>
          <t>A 18454-2021</t>
        </is>
      </c>
      <c r="B874" s="1" t="n">
        <v>44305.92047453704</v>
      </c>
      <c r="C874" s="1" t="n">
        <v>45887</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26455-2023</t>
        </is>
      </c>
      <c r="B875" s="1" t="n">
        <v>45092</v>
      </c>
      <c r="C875" s="1" t="n">
        <v>45887</v>
      </c>
      <c r="D875" t="inlineStr">
        <is>
          <t>JÄMTLANDS LÄN</t>
        </is>
      </c>
      <c r="E875" t="inlineStr">
        <is>
          <t>RAGUNDA</t>
        </is>
      </c>
      <c r="G875" t="n">
        <v>3.8</v>
      </c>
      <c r="H875" t="n">
        <v>0</v>
      </c>
      <c r="I875" t="n">
        <v>0</v>
      </c>
      <c r="J875" t="n">
        <v>0</v>
      </c>
      <c r="K875" t="n">
        <v>0</v>
      </c>
      <c r="L875" t="n">
        <v>0</v>
      </c>
      <c r="M875" t="n">
        <v>0</v>
      </c>
      <c r="N875" t="n">
        <v>0</v>
      </c>
      <c r="O875" t="n">
        <v>0</v>
      </c>
      <c r="P875" t="n">
        <v>0</v>
      </c>
      <c r="Q875" t="n">
        <v>0</v>
      </c>
      <c r="R875" s="2" t="inlineStr"/>
    </row>
    <row r="876" ht="15" customHeight="1">
      <c r="A876" t="inlineStr">
        <is>
          <t>A 18375-2022</t>
        </is>
      </c>
      <c r="B876" s="1" t="n">
        <v>44685</v>
      </c>
      <c r="C876" s="1" t="n">
        <v>45887</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55536-2024</t>
        </is>
      </c>
      <c r="B877" s="1" t="n">
        <v>45622</v>
      </c>
      <c r="C877" s="1" t="n">
        <v>45887</v>
      </c>
      <c r="D877" t="inlineStr">
        <is>
          <t>JÄMTLANDS LÄN</t>
        </is>
      </c>
      <c r="E877" t="inlineStr">
        <is>
          <t>RAGUNDA</t>
        </is>
      </c>
      <c r="G877" t="n">
        <v>0.8</v>
      </c>
      <c r="H877" t="n">
        <v>0</v>
      </c>
      <c r="I877" t="n">
        <v>0</v>
      </c>
      <c r="J877" t="n">
        <v>0</v>
      </c>
      <c r="K877" t="n">
        <v>0</v>
      </c>
      <c r="L877" t="n">
        <v>0</v>
      </c>
      <c r="M877" t="n">
        <v>0</v>
      </c>
      <c r="N877" t="n">
        <v>0</v>
      </c>
      <c r="O877" t="n">
        <v>0</v>
      </c>
      <c r="P877" t="n">
        <v>0</v>
      </c>
      <c r="Q877" t="n">
        <v>0</v>
      </c>
      <c r="R877" s="2" t="inlineStr"/>
    </row>
    <row r="878" ht="15" customHeight="1">
      <c r="A878" t="inlineStr">
        <is>
          <t>A 2411-2023</t>
        </is>
      </c>
      <c r="B878" s="1" t="n">
        <v>44942</v>
      </c>
      <c r="C878" s="1" t="n">
        <v>45887</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11834-2023</t>
        </is>
      </c>
      <c r="B879" s="1" t="n">
        <v>44994.94296296296</v>
      </c>
      <c r="C879" s="1" t="n">
        <v>45887</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53264-2024</t>
        </is>
      </c>
      <c r="B880" s="1" t="n">
        <v>45614.34545138889</v>
      </c>
      <c r="C880" s="1" t="n">
        <v>45887</v>
      </c>
      <c r="D880" t="inlineStr">
        <is>
          <t>JÄMTLANDS LÄN</t>
        </is>
      </c>
      <c r="E880" t="inlineStr">
        <is>
          <t>RAGUNDA</t>
        </is>
      </c>
      <c r="G880" t="n">
        <v>1.4</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45887</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5967-2021</t>
        </is>
      </c>
      <c r="B882" s="1" t="n">
        <v>44231</v>
      </c>
      <c r="C882" s="1" t="n">
        <v>45887</v>
      </c>
      <c r="D882" t="inlineStr">
        <is>
          <t>JÄMTLANDS LÄN</t>
        </is>
      </c>
      <c r="E882" t="inlineStr">
        <is>
          <t>RAGUNDA</t>
        </is>
      </c>
      <c r="G882" t="n">
        <v>3.6</v>
      </c>
      <c r="H882" t="n">
        <v>0</v>
      </c>
      <c r="I882" t="n">
        <v>0</v>
      </c>
      <c r="J882" t="n">
        <v>0</v>
      </c>
      <c r="K882" t="n">
        <v>0</v>
      </c>
      <c r="L882" t="n">
        <v>0</v>
      </c>
      <c r="M882" t="n">
        <v>0</v>
      </c>
      <c r="N882" t="n">
        <v>0</v>
      </c>
      <c r="O882" t="n">
        <v>0</v>
      </c>
      <c r="P882" t="n">
        <v>0</v>
      </c>
      <c r="Q882" t="n">
        <v>0</v>
      </c>
      <c r="R882" s="2" t="inlineStr"/>
    </row>
    <row r="883" ht="15" customHeight="1">
      <c r="A883" t="inlineStr">
        <is>
          <t>A 50431-2024</t>
        </is>
      </c>
      <c r="B883" s="1" t="n">
        <v>45601.40686342592</v>
      </c>
      <c r="C883" s="1" t="n">
        <v>45887</v>
      </c>
      <c r="D883" t="inlineStr">
        <is>
          <t>JÄMTLANDS LÄN</t>
        </is>
      </c>
      <c r="E883" t="inlineStr">
        <is>
          <t>RAGUNDA</t>
        </is>
      </c>
      <c r="F883" t="inlineStr">
        <is>
          <t>SCA</t>
        </is>
      </c>
      <c r="G883" t="n">
        <v>8.5</v>
      </c>
      <c r="H883" t="n">
        <v>0</v>
      </c>
      <c r="I883" t="n">
        <v>0</v>
      </c>
      <c r="J883" t="n">
        <v>0</v>
      </c>
      <c r="K883" t="n">
        <v>0</v>
      </c>
      <c r="L883" t="n">
        <v>0</v>
      </c>
      <c r="M883" t="n">
        <v>0</v>
      </c>
      <c r="N883" t="n">
        <v>0</v>
      </c>
      <c r="O883" t="n">
        <v>0</v>
      </c>
      <c r="P883" t="n">
        <v>0</v>
      </c>
      <c r="Q883" t="n">
        <v>0</v>
      </c>
      <c r="R883" s="2" t="inlineStr"/>
    </row>
    <row r="884" ht="15" customHeight="1">
      <c r="A884" t="inlineStr">
        <is>
          <t>A 16334-2025</t>
        </is>
      </c>
      <c r="B884" s="1" t="n">
        <v>45751.36490740741</v>
      </c>
      <c r="C884" s="1" t="n">
        <v>45887</v>
      </c>
      <c r="D884" t="inlineStr">
        <is>
          <t>JÄMTLANDS LÄN</t>
        </is>
      </c>
      <c r="E884" t="inlineStr">
        <is>
          <t>RAGUNDA</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7284-2024</t>
        </is>
      </c>
      <c r="B885" s="1" t="n">
        <v>45344.92865740741</v>
      </c>
      <c r="C885" s="1" t="n">
        <v>45887</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7285-2024</t>
        </is>
      </c>
      <c r="B886" s="1" t="n">
        <v>45344.92873842592</v>
      </c>
      <c r="C886" s="1" t="n">
        <v>45887</v>
      </c>
      <c r="D886" t="inlineStr">
        <is>
          <t>JÄMTLANDS LÄN</t>
        </is>
      </c>
      <c r="E886" t="inlineStr">
        <is>
          <t>RAGUNDA</t>
        </is>
      </c>
      <c r="G886" t="n">
        <v>0.5</v>
      </c>
      <c r="H886" t="n">
        <v>0</v>
      </c>
      <c r="I886" t="n">
        <v>0</v>
      </c>
      <c r="J886" t="n">
        <v>0</v>
      </c>
      <c r="K886" t="n">
        <v>0</v>
      </c>
      <c r="L886" t="n">
        <v>0</v>
      </c>
      <c r="M886" t="n">
        <v>0</v>
      </c>
      <c r="N886" t="n">
        <v>0</v>
      </c>
      <c r="O886" t="n">
        <v>0</v>
      </c>
      <c r="P886" t="n">
        <v>0</v>
      </c>
      <c r="Q886" t="n">
        <v>0</v>
      </c>
      <c r="R886" s="2" t="inlineStr"/>
    </row>
    <row r="887" ht="15" customHeight="1">
      <c r="A887" t="inlineStr">
        <is>
          <t>A 2242-2024</t>
        </is>
      </c>
      <c r="B887" s="1" t="n">
        <v>45309</v>
      </c>
      <c r="C887" s="1" t="n">
        <v>45887</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2248-2024</t>
        </is>
      </c>
      <c r="B888" s="1" t="n">
        <v>45309</v>
      </c>
      <c r="C888" s="1" t="n">
        <v>45887</v>
      </c>
      <c r="D888" t="inlineStr">
        <is>
          <t>JÄMTLANDS LÄN</t>
        </is>
      </c>
      <c r="E888" t="inlineStr">
        <is>
          <t>RAGUNDA</t>
        </is>
      </c>
      <c r="G888" t="n">
        <v>4.2</v>
      </c>
      <c r="H888" t="n">
        <v>0</v>
      </c>
      <c r="I888" t="n">
        <v>0</v>
      </c>
      <c r="J888" t="n">
        <v>0</v>
      </c>
      <c r="K888" t="n">
        <v>0</v>
      </c>
      <c r="L888" t="n">
        <v>0</v>
      </c>
      <c r="M888" t="n">
        <v>0</v>
      </c>
      <c r="N888" t="n">
        <v>0</v>
      </c>
      <c r="O888" t="n">
        <v>0</v>
      </c>
      <c r="P888" t="n">
        <v>0</v>
      </c>
      <c r="Q888" t="n">
        <v>0</v>
      </c>
      <c r="R888" s="2" t="inlineStr"/>
    </row>
    <row r="889" ht="15" customHeight="1">
      <c r="A889" t="inlineStr">
        <is>
          <t>A 5958-2021</t>
        </is>
      </c>
      <c r="B889" s="1" t="n">
        <v>44231</v>
      </c>
      <c r="C889" s="1" t="n">
        <v>45887</v>
      </c>
      <c r="D889" t="inlineStr">
        <is>
          <t>JÄMTLANDS LÄN</t>
        </is>
      </c>
      <c r="E889" t="inlineStr">
        <is>
          <t>RAGUNDA</t>
        </is>
      </c>
      <c r="G889" t="n">
        <v>3.1</v>
      </c>
      <c r="H889" t="n">
        <v>0</v>
      </c>
      <c r="I889" t="n">
        <v>0</v>
      </c>
      <c r="J889" t="n">
        <v>0</v>
      </c>
      <c r="K889" t="n">
        <v>0</v>
      </c>
      <c r="L889" t="n">
        <v>0</v>
      </c>
      <c r="M889" t="n">
        <v>0</v>
      </c>
      <c r="N889" t="n">
        <v>0</v>
      </c>
      <c r="O889" t="n">
        <v>0</v>
      </c>
      <c r="P889" t="n">
        <v>0</v>
      </c>
      <c r="Q889" t="n">
        <v>0</v>
      </c>
      <c r="R889" s="2" t="inlineStr"/>
    </row>
    <row r="890" ht="15" customHeight="1">
      <c r="A890" t="inlineStr">
        <is>
          <t>A 24197-2024</t>
        </is>
      </c>
      <c r="B890" s="1" t="n">
        <v>45456.96601851852</v>
      </c>
      <c r="C890" s="1" t="n">
        <v>45887</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4916-2025</t>
        </is>
      </c>
      <c r="B891" s="1" t="n">
        <v>45688.68196759259</v>
      </c>
      <c r="C891" s="1" t="n">
        <v>45887</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10641-2024</t>
        </is>
      </c>
      <c r="B892" s="1" t="n">
        <v>45367.69850694444</v>
      </c>
      <c r="C892" s="1" t="n">
        <v>45887</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10644-2024</t>
        </is>
      </c>
      <c r="B893" s="1" t="n">
        <v>45367.71348379629</v>
      </c>
      <c r="C893" s="1" t="n">
        <v>45887</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17559-2023</t>
        </is>
      </c>
      <c r="B894" s="1" t="n">
        <v>45034</v>
      </c>
      <c r="C894" s="1" t="n">
        <v>45887</v>
      </c>
      <c r="D894" t="inlineStr">
        <is>
          <t>JÄMTLANDS LÄN</t>
        </is>
      </c>
      <c r="E894" t="inlineStr">
        <is>
          <t>RAGUNDA</t>
        </is>
      </c>
      <c r="G894" t="n">
        <v>7.5</v>
      </c>
      <c r="H894" t="n">
        <v>0</v>
      </c>
      <c r="I894" t="n">
        <v>0</v>
      </c>
      <c r="J894" t="n">
        <v>0</v>
      </c>
      <c r="K894" t="n">
        <v>0</v>
      </c>
      <c r="L894" t="n">
        <v>0</v>
      </c>
      <c r="M894" t="n">
        <v>0</v>
      </c>
      <c r="N894" t="n">
        <v>0</v>
      </c>
      <c r="O894" t="n">
        <v>0</v>
      </c>
      <c r="P894" t="n">
        <v>0</v>
      </c>
      <c r="Q894" t="n">
        <v>0</v>
      </c>
      <c r="R894" s="2" t="inlineStr"/>
    </row>
    <row r="895" ht="15" customHeight="1">
      <c r="A895" t="inlineStr">
        <is>
          <t>A 12475-2025</t>
        </is>
      </c>
      <c r="B895" s="1" t="n">
        <v>45730.56346064815</v>
      </c>
      <c r="C895" s="1" t="n">
        <v>45887</v>
      </c>
      <c r="D895" t="inlineStr">
        <is>
          <t>JÄMTLANDS LÄN</t>
        </is>
      </c>
      <c r="E895" t="inlineStr">
        <is>
          <t>RAGUNDA</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30826-2023</t>
        </is>
      </c>
      <c r="B896" s="1" t="n">
        <v>45112</v>
      </c>
      <c r="C896" s="1" t="n">
        <v>45887</v>
      </c>
      <c r="D896" t="inlineStr">
        <is>
          <t>JÄMTLANDS LÄN</t>
        </is>
      </c>
      <c r="E896" t="inlineStr">
        <is>
          <t>RAGUNDA</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23305-2023</t>
        </is>
      </c>
      <c r="B897" s="1" t="n">
        <v>45075.94506944445</v>
      </c>
      <c r="C897" s="1" t="n">
        <v>45887</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44889.95015046297</v>
      </c>
      <c r="C898" s="1" t="n">
        <v>45887</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17730-2022</t>
        </is>
      </c>
      <c r="B899" s="1" t="n">
        <v>44680</v>
      </c>
      <c r="C899" s="1" t="n">
        <v>45887</v>
      </c>
      <c r="D899" t="inlineStr">
        <is>
          <t>JÄMTLANDS LÄN</t>
        </is>
      </c>
      <c r="E899" t="inlineStr">
        <is>
          <t>RAGUNDA</t>
        </is>
      </c>
      <c r="G899" t="n">
        <v>3.4</v>
      </c>
      <c r="H899" t="n">
        <v>0</v>
      </c>
      <c r="I899" t="n">
        <v>0</v>
      </c>
      <c r="J899" t="n">
        <v>0</v>
      </c>
      <c r="K899" t="n">
        <v>0</v>
      </c>
      <c r="L899" t="n">
        <v>0</v>
      </c>
      <c r="M899" t="n">
        <v>0</v>
      </c>
      <c r="N899" t="n">
        <v>0</v>
      </c>
      <c r="O899" t="n">
        <v>0</v>
      </c>
      <c r="P899" t="n">
        <v>0</v>
      </c>
      <c r="Q899" t="n">
        <v>0</v>
      </c>
      <c r="R899" s="2" t="inlineStr"/>
    </row>
    <row r="900" ht="15" customHeight="1">
      <c r="A900" t="inlineStr">
        <is>
          <t>A 4615-2023</t>
        </is>
      </c>
      <c r="B900" s="1" t="n">
        <v>44956.93924768519</v>
      </c>
      <c r="C900" s="1" t="n">
        <v>45887</v>
      </c>
      <c r="D900" t="inlineStr">
        <is>
          <t>JÄMTLANDS LÄN</t>
        </is>
      </c>
      <c r="E900" t="inlineStr">
        <is>
          <t>RAGUNDA</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2673-2024</t>
        </is>
      </c>
      <c r="B901" s="1" t="n">
        <v>45314</v>
      </c>
      <c r="C901" s="1" t="n">
        <v>45887</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33621-2023</t>
        </is>
      </c>
      <c r="B902" s="1" t="n">
        <v>45119</v>
      </c>
      <c r="C902" s="1" t="n">
        <v>45887</v>
      </c>
      <c r="D902" t="inlineStr">
        <is>
          <t>JÄMTLANDS LÄN</t>
        </is>
      </c>
      <c r="E902" t="inlineStr">
        <is>
          <t>RAGUNDA</t>
        </is>
      </c>
      <c r="G902" t="n">
        <v>0.5</v>
      </c>
      <c r="H902" t="n">
        <v>0</v>
      </c>
      <c r="I902" t="n">
        <v>0</v>
      </c>
      <c r="J902" t="n">
        <v>0</v>
      </c>
      <c r="K902" t="n">
        <v>0</v>
      </c>
      <c r="L902" t="n">
        <v>0</v>
      </c>
      <c r="M902" t="n">
        <v>0</v>
      </c>
      <c r="N902" t="n">
        <v>0</v>
      </c>
      <c r="O902" t="n">
        <v>0</v>
      </c>
      <c r="P902" t="n">
        <v>0</v>
      </c>
      <c r="Q902" t="n">
        <v>0</v>
      </c>
      <c r="R902" s="2" t="inlineStr"/>
    </row>
    <row r="903" ht="15" customHeight="1">
      <c r="A903" t="inlineStr">
        <is>
          <t>A 65216-2023</t>
        </is>
      </c>
      <c r="B903" s="1" t="n">
        <v>45289</v>
      </c>
      <c r="C903" s="1" t="n">
        <v>45887</v>
      </c>
      <c r="D903" t="inlineStr">
        <is>
          <t>JÄMTLANDS LÄN</t>
        </is>
      </c>
      <c r="E903" t="inlineStr">
        <is>
          <t>RAGUNDA</t>
        </is>
      </c>
      <c r="G903" t="n">
        <v>2.9</v>
      </c>
      <c r="H903" t="n">
        <v>0</v>
      </c>
      <c r="I903" t="n">
        <v>0</v>
      </c>
      <c r="J903" t="n">
        <v>0</v>
      </c>
      <c r="K903" t="n">
        <v>0</v>
      </c>
      <c r="L903" t="n">
        <v>0</v>
      </c>
      <c r="M903" t="n">
        <v>0</v>
      </c>
      <c r="N903" t="n">
        <v>0</v>
      </c>
      <c r="O903" t="n">
        <v>0</v>
      </c>
      <c r="P903" t="n">
        <v>0</v>
      </c>
      <c r="Q903" t="n">
        <v>0</v>
      </c>
      <c r="R903" s="2" t="inlineStr"/>
    </row>
    <row r="904" ht="15" customHeight="1">
      <c r="A904" t="inlineStr">
        <is>
          <t>A 57112-2024</t>
        </is>
      </c>
      <c r="B904" s="1" t="n">
        <v>45629.36486111111</v>
      </c>
      <c r="C904" s="1" t="n">
        <v>45887</v>
      </c>
      <c r="D904" t="inlineStr">
        <is>
          <t>JÄMTLANDS LÄN</t>
        </is>
      </c>
      <c r="E904" t="inlineStr">
        <is>
          <t>RAGUNDA</t>
        </is>
      </c>
      <c r="G904" t="n">
        <v>0.7</v>
      </c>
      <c r="H904" t="n">
        <v>0</v>
      </c>
      <c r="I904" t="n">
        <v>0</v>
      </c>
      <c r="J904" t="n">
        <v>0</v>
      </c>
      <c r="K904" t="n">
        <v>0</v>
      </c>
      <c r="L904" t="n">
        <v>0</v>
      </c>
      <c r="M904" t="n">
        <v>0</v>
      </c>
      <c r="N904" t="n">
        <v>0</v>
      </c>
      <c r="O904" t="n">
        <v>0</v>
      </c>
      <c r="P904" t="n">
        <v>0</v>
      </c>
      <c r="Q904" t="n">
        <v>0</v>
      </c>
      <c r="R904" s="2" t="inlineStr"/>
    </row>
    <row r="905" ht="15" customHeight="1">
      <c r="A905" t="inlineStr">
        <is>
          <t>A 36375-2022</t>
        </is>
      </c>
      <c r="B905" s="1" t="n">
        <v>44803.94351851852</v>
      </c>
      <c r="C905" s="1" t="n">
        <v>45887</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60838-2023</t>
        </is>
      </c>
      <c r="B906" s="1" t="n">
        <v>45260.92561342593</v>
      </c>
      <c r="C906" s="1" t="n">
        <v>45887</v>
      </c>
      <c r="D906" t="inlineStr">
        <is>
          <t>JÄMTLANDS LÄN</t>
        </is>
      </c>
      <c r="E906" t="inlineStr">
        <is>
          <t>RAGUNDA</t>
        </is>
      </c>
      <c r="G906" t="n">
        <v>2.7</v>
      </c>
      <c r="H906" t="n">
        <v>0</v>
      </c>
      <c r="I906" t="n">
        <v>0</v>
      </c>
      <c r="J906" t="n">
        <v>0</v>
      </c>
      <c r="K906" t="n">
        <v>0</v>
      </c>
      <c r="L906" t="n">
        <v>0</v>
      </c>
      <c r="M906" t="n">
        <v>0</v>
      </c>
      <c r="N906" t="n">
        <v>0</v>
      </c>
      <c r="O906" t="n">
        <v>0</v>
      </c>
      <c r="P906" t="n">
        <v>0</v>
      </c>
      <c r="Q906" t="n">
        <v>0</v>
      </c>
      <c r="R906" s="2" t="inlineStr"/>
    </row>
    <row r="907" ht="15" customHeight="1">
      <c r="A907" t="inlineStr">
        <is>
          <t>A 17667-2025</t>
        </is>
      </c>
      <c r="B907" s="1" t="n">
        <v>45758.36487268518</v>
      </c>
      <c r="C907" s="1" t="n">
        <v>45887</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2133-2023</t>
        </is>
      </c>
      <c r="B908" s="1" t="n">
        <v>44939</v>
      </c>
      <c r="C908" s="1" t="n">
        <v>45887</v>
      </c>
      <c r="D908" t="inlineStr">
        <is>
          <t>JÄMTLANDS LÄN</t>
        </is>
      </c>
      <c r="E908" t="inlineStr">
        <is>
          <t>RAGUNDA</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5148-2023</t>
        </is>
      </c>
      <c r="B909" s="1" t="n">
        <v>44958</v>
      </c>
      <c r="C909" s="1" t="n">
        <v>45887</v>
      </c>
      <c r="D909" t="inlineStr">
        <is>
          <t>JÄMTLANDS LÄN</t>
        </is>
      </c>
      <c r="E909" t="inlineStr">
        <is>
          <t>RAGUNDA</t>
        </is>
      </c>
      <c r="G909" t="n">
        <v>2.9</v>
      </c>
      <c r="H909" t="n">
        <v>0</v>
      </c>
      <c r="I909" t="n">
        <v>0</v>
      </c>
      <c r="J909" t="n">
        <v>0</v>
      </c>
      <c r="K909" t="n">
        <v>0</v>
      </c>
      <c r="L909" t="n">
        <v>0</v>
      </c>
      <c r="M909" t="n">
        <v>0</v>
      </c>
      <c r="N909" t="n">
        <v>0</v>
      </c>
      <c r="O909" t="n">
        <v>0</v>
      </c>
      <c r="P909" t="n">
        <v>0</v>
      </c>
      <c r="Q909" t="n">
        <v>0</v>
      </c>
      <c r="R909" s="2" t="inlineStr"/>
    </row>
    <row r="910" ht="15" customHeight="1">
      <c r="A910" t="inlineStr">
        <is>
          <t>A 51049-2024</t>
        </is>
      </c>
      <c r="B910" s="1" t="n">
        <v>45603.44644675926</v>
      </c>
      <c r="C910" s="1" t="n">
        <v>45887</v>
      </c>
      <c r="D910" t="inlineStr">
        <is>
          <t>JÄMTLANDS LÄN</t>
        </is>
      </c>
      <c r="E910" t="inlineStr">
        <is>
          <t>RAGUNDA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55489-2024</t>
        </is>
      </c>
      <c r="B911" s="1" t="n">
        <v>45622.44774305556</v>
      </c>
      <c r="C911" s="1" t="n">
        <v>45887</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14074-2023</t>
        </is>
      </c>
      <c r="B912" s="1" t="n">
        <v>45009.089375</v>
      </c>
      <c r="C912" s="1" t="n">
        <v>45887</v>
      </c>
      <c r="D912" t="inlineStr">
        <is>
          <t>JÄMTLANDS LÄN</t>
        </is>
      </c>
      <c r="E912" t="inlineStr">
        <is>
          <t>RAGUNDA</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54764-2024</t>
        </is>
      </c>
      <c r="B913" s="1" t="n">
        <v>45618.46921296296</v>
      </c>
      <c r="C913" s="1" t="n">
        <v>45887</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49647-2024</t>
        </is>
      </c>
      <c r="B914" s="1" t="n">
        <v>45596.61533564814</v>
      </c>
      <c r="C914" s="1" t="n">
        <v>45887</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7279-2024</t>
        </is>
      </c>
      <c r="B915" s="1" t="n">
        <v>45344.92822916667</v>
      </c>
      <c r="C915" s="1" t="n">
        <v>45887</v>
      </c>
      <c r="D915" t="inlineStr">
        <is>
          <t>JÄMTLANDS LÄN</t>
        </is>
      </c>
      <c r="E915" t="inlineStr">
        <is>
          <t>RAGUNDA</t>
        </is>
      </c>
      <c r="G915" t="n">
        <v>2.1</v>
      </c>
      <c r="H915" t="n">
        <v>0</v>
      </c>
      <c r="I915" t="n">
        <v>0</v>
      </c>
      <c r="J915" t="n">
        <v>0</v>
      </c>
      <c r="K915" t="n">
        <v>0</v>
      </c>
      <c r="L915" t="n">
        <v>0</v>
      </c>
      <c r="M915" t="n">
        <v>0</v>
      </c>
      <c r="N915" t="n">
        <v>0</v>
      </c>
      <c r="O915" t="n">
        <v>0</v>
      </c>
      <c r="P915" t="n">
        <v>0</v>
      </c>
      <c r="Q915" t="n">
        <v>0</v>
      </c>
      <c r="R915" s="2" t="inlineStr"/>
    </row>
    <row r="916" ht="15" customHeight="1">
      <c r="A916" t="inlineStr">
        <is>
          <t>A 6802-2021</t>
        </is>
      </c>
      <c r="B916" s="1" t="n">
        <v>44236</v>
      </c>
      <c r="C916" s="1" t="n">
        <v>45887</v>
      </c>
      <c r="D916" t="inlineStr">
        <is>
          <t>JÄMTLANDS LÄN</t>
        </is>
      </c>
      <c r="E916" t="inlineStr">
        <is>
          <t>RAGUNDA</t>
        </is>
      </c>
      <c r="G916" t="n">
        <v>11.2</v>
      </c>
      <c r="H916" t="n">
        <v>0</v>
      </c>
      <c r="I916" t="n">
        <v>0</v>
      </c>
      <c r="J916" t="n">
        <v>0</v>
      </c>
      <c r="K916" t="n">
        <v>0</v>
      </c>
      <c r="L916" t="n">
        <v>0</v>
      </c>
      <c r="M916" t="n">
        <v>0</v>
      </c>
      <c r="N916" t="n">
        <v>0</v>
      </c>
      <c r="O916" t="n">
        <v>0</v>
      </c>
      <c r="P916" t="n">
        <v>0</v>
      </c>
      <c r="Q916" t="n">
        <v>0</v>
      </c>
      <c r="R916" s="2" t="inlineStr"/>
    </row>
    <row r="917" ht="15" customHeight="1">
      <c r="A917" t="inlineStr">
        <is>
          <t>A 64415-2023</t>
        </is>
      </c>
      <c r="B917" s="1" t="n">
        <v>45280</v>
      </c>
      <c r="C917" s="1" t="n">
        <v>45887</v>
      </c>
      <c r="D917" t="inlineStr">
        <is>
          <t>JÄMTLANDS LÄN</t>
        </is>
      </c>
      <c r="E917" t="inlineStr">
        <is>
          <t>RAGUNDA</t>
        </is>
      </c>
      <c r="G917" t="n">
        <v>5.1</v>
      </c>
      <c r="H917" t="n">
        <v>0</v>
      </c>
      <c r="I917" t="n">
        <v>0</v>
      </c>
      <c r="J917" t="n">
        <v>0</v>
      </c>
      <c r="K917" t="n">
        <v>0</v>
      </c>
      <c r="L917" t="n">
        <v>0</v>
      </c>
      <c r="M917" t="n">
        <v>0</v>
      </c>
      <c r="N917" t="n">
        <v>0</v>
      </c>
      <c r="O917" t="n">
        <v>0</v>
      </c>
      <c r="P917" t="n">
        <v>0</v>
      </c>
      <c r="Q917" t="n">
        <v>0</v>
      </c>
      <c r="R917" s="2" t="inlineStr"/>
    </row>
    <row r="918" ht="15" customHeight="1">
      <c r="A918" t="inlineStr">
        <is>
          <t>A 1809-2025</t>
        </is>
      </c>
      <c r="B918" s="1" t="n">
        <v>45671.48989583334</v>
      </c>
      <c r="C918" s="1" t="n">
        <v>45887</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33432-2023</t>
        </is>
      </c>
      <c r="B919" s="1" t="n">
        <v>45128</v>
      </c>
      <c r="C919" s="1" t="n">
        <v>45887</v>
      </c>
      <c r="D919" t="inlineStr">
        <is>
          <t>JÄMTLANDS LÄN</t>
        </is>
      </c>
      <c r="E919" t="inlineStr">
        <is>
          <t>RAGUNDA</t>
        </is>
      </c>
      <c r="F919" t="inlineStr">
        <is>
          <t>SCA</t>
        </is>
      </c>
      <c r="G919" t="n">
        <v>10</v>
      </c>
      <c r="H919" t="n">
        <v>0</v>
      </c>
      <c r="I919" t="n">
        <v>0</v>
      </c>
      <c r="J919" t="n">
        <v>0</v>
      </c>
      <c r="K919" t="n">
        <v>0</v>
      </c>
      <c r="L919" t="n">
        <v>0</v>
      </c>
      <c r="M919" t="n">
        <v>0</v>
      </c>
      <c r="N919" t="n">
        <v>0</v>
      </c>
      <c r="O919" t="n">
        <v>0</v>
      </c>
      <c r="P919" t="n">
        <v>0</v>
      </c>
      <c r="Q919" t="n">
        <v>0</v>
      </c>
      <c r="R919" s="2" t="inlineStr"/>
    </row>
    <row r="920" ht="15" customHeight="1">
      <c r="A920" t="inlineStr">
        <is>
          <t>A 38782-2021</t>
        </is>
      </c>
      <c r="B920" s="1" t="n">
        <v>44410</v>
      </c>
      <c r="C920" s="1" t="n">
        <v>45887</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16250-2022</t>
        </is>
      </c>
      <c r="B921" s="1" t="n">
        <v>44670</v>
      </c>
      <c r="C921" s="1" t="n">
        <v>45887</v>
      </c>
      <c r="D921" t="inlineStr">
        <is>
          <t>JÄMTLANDS LÄN</t>
        </is>
      </c>
      <c r="E921" t="inlineStr">
        <is>
          <t>RAGUNDA</t>
        </is>
      </c>
      <c r="G921" t="n">
        <v>1</v>
      </c>
      <c r="H921" t="n">
        <v>0</v>
      </c>
      <c r="I921" t="n">
        <v>0</v>
      </c>
      <c r="J921" t="n">
        <v>0</v>
      </c>
      <c r="K921" t="n">
        <v>0</v>
      </c>
      <c r="L921" t="n">
        <v>0</v>
      </c>
      <c r="M921" t="n">
        <v>0</v>
      </c>
      <c r="N921" t="n">
        <v>0</v>
      </c>
      <c r="O921" t="n">
        <v>0</v>
      </c>
      <c r="P921" t="n">
        <v>0</v>
      </c>
      <c r="Q921" t="n">
        <v>0</v>
      </c>
      <c r="R921" s="2" t="inlineStr"/>
    </row>
    <row r="922" ht="15" customHeight="1">
      <c r="A922" t="inlineStr">
        <is>
          <t>A 10706-2023</t>
        </is>
      </c>
      <c r="B922" s="1" t="n">
        <v>44984</v>
      </c>
      <c r="C922" s="1" t="n">
        <v>45887</v>
      </c>
      <c r="D922" t="inlineStr">
        <is>
          <t>JÄMTLANDS LÄN</t>
        </is>
      </c>
      <c r="E922" t="inlineStr">
        <is>
          <t>RAGUNDA</t>
        </is>
      </c>
      <c r="G922" t="n">
        <v>7.7</v>
      </c>
      <c r="H922" t="n">
        <v>0</v>
      </c>
      <c r="I922" t="n">
        <v>0</v>
      </c>
      <c r="J922" t="n">
        <v>0</v>
      </c>
      <c r="K922" t="n">
        <v>0</v>
      </c>
      <c r="L922" t="n">
        <v>0</v>
      </c>
      <c r="M922" t="n">
        <v>0</v>
      </c>
      <c r="N922" t="n">
        <v>0</v>
      </c>
      <c r="O922" t="n">
        <v>0</v>
      </c>
      <c r="P922" t="n">
        <v>0</v>
      </c>
      <c r="Q922" t="n">
        <v>0</v>
      </c>
      <c r="R922" s="2" t="inlineStr"/>
    </row>
    <row r="923" ht="15" customHeight="1">
      <c r="A923" t="inlineStr">
        <is>
          <t>A 891-2022</t>
        </is>
      </c>
      <c r="B923" s="1" t="n">
        <v>44571</v>
      </c>
      <c r="C923" s="1" t="n">
        <v>45887</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13334-2024</t>
        </is>
      </c>
      <c r="B924" s="1" t="n">
        <v>45386</v>
      </c>
      <c r="C924" s="1" t="n">
        <v>45887</v>
      </c>
      <c r="D924" t="inlineStr">
        <is>
          <t>JÄMTLANDS LÄN</t>
        </is>
      </c>
      <c r="E924" t="inlineStr">
        <is>
          <t>RAGUNDA</t>
        </is>
      </c>
      <c r="G924" t="n">
        <v>8.6</v>
      </c>
      <c r="H924" t="n">
        <v>0</v>
      </c>
      <c r="I924" t="n">
        <v>0</v>
      </c>
      <c r="J924" t="n">
        <v>0</v>
      </c>
      <c r="K924" t="n">
        <v>0</v>
      </c>
      <c r="L924" t="n">
        <v>0</v>
      </c>
      <c r="M924" t="n">
        <v>0</v>
      </c>
      <c r="N924" t="n">
        <v>0</v>
      </c>
      <c r="O924" t="n">
        <v>0</v>
      </c>
      <c r="P924" t="n">
        <v>0</v>
      </c>
      <c r="Q924" t="n">
        <v>0</v>
      </c>
      <c r="R924" s="2" t="inlineStr"/>
    </row>
    <row r="925" ht="15" customHeight="1">
      <c r="A925" t="inlineStr">
        <is>
          <t>A 8416-2023</t>
        </is>
      </c>
      <c r="B925" s="1" t="n">
        <v>44977.44373842593</v>
      </c>
      <c r="C925" s="1" t="n">
        <v>45887</v>
      </c>
      <c r="D925" t="inlineStr">
        <is>
          <t>JÄMTLANDS LÄN</t>
        </is>
      </c>
      <c r="E925" t="inlineStr">
        <is>
          <t>RAGUNDA</t>
        </is>
      </c>
      <c r="G925" t="n">
        <v>0.7</v>
      </c>
      <c r="H925" t="n">
        <v>0</v>
      </c>
      <c r="I925" t="n">
        <v>0</v>
      </c>
      <c r="J925" t="n">
        <v>0</v>
      </c>
      <c r="K925" t="n">
        <v>0</v>
      </c>
      <c r="L925" t="n">
        <v>0</v>
      </c>
      <c r="M925" t="n">
        <v>0</v>
      </c>
      <c r="N925" t="n">
        <v>0</v>
      </c>
      <c r="O925" t="n">
        <v>0</v>
      </c>
      <c r="P925" t="n">
        <v>0</v>
      </c>
      <c r="Q925" t="n">
        <v>0</v>
      </c>
      <c r="R925" s="2" t="inlineStr"/>
    </row>
    <row r="926" ht="15" customHeight="1">
      <c r="A926" t="inlineStr">
        <is>
          <t>A 40801-2023</t>
        </is>
      </c>
      <c r="B926" s="1" t="n">
        <v>45170</v>
      </c>
      <c r="C926" s="1" t="n">
        <v>45887</v>
      </c>
      <c r="D926" t="inlineStr">
        <is>
          <t>JÄMTLANDS LÄN</t>
        </is>
      </c>
      <c r="E926" t="inlineStr">
        <is>
          <t>RAGUNDA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55669-2023</t>
        </is>
      </c>
      <c r="B927" s="1" t="n">
        <v>45238.96797453704</v>
      </c>
      <c r="C927" s="1" t="n">
        <v>45887</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27499-2024</t>
        </is>
      </c>
      <c r="B928" s="1" t="n">
        <v>45474.50608796296</v>
      </c>
      <c r="C928" s="1" t="n">
        <v>45887</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51389-2024</t>
        </is>
      </c>
      <c r="B929" s="1" t="n">
        <v>45604.40540509259</v>
      </c>
      <c r="C929" s="1" t="n">
        <v>45887</v>
      </c>
      <c r="D929" t="inlineStr">
        <is>
          <t>JÄMTLANDS LÄN</t>
        </is>
      </c>
      <c r="E929" t="inlineStr">
        <is>
          <t>RAGUNDA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51393-2024</t>
        </is>
      </c>
      <c r="B930" s="1" t="n">
        <v>45604.41625</v>
      </c>
      <c r="C930" s="1" t="n">
        <v>45887</v>
      </c>
      <c r="D930" t="inlineStr">
        <is>
          <t>JÄMTLANDS LÄN</t>
        </is>
      </c>
      <c r="E930" t="inlineStr">
        <is>
          <t>RAGUNDA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52148-2024</t>
        </is>
      </c>
      <c r="B931" s="1" t="n">
        <v>45608.52354166667</v>
      </c>
      <c r="C931" s="1" t="n">
        <v>45887</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43339-2024</t>
        </is>
      </c>
      <c r="B932" s="1" t="n">
        <v>45568.51075231482</v>
      </c>
      <c r="C932" s="1" t="n">
        <v>45887</v>
      </c>
      <c r="D932" t="inlineStr">
        <is>
          <t>JÄMTLANDS LÄN</t>
        </is>
      </c>
      <c r="E932" t="inlineStr">
        <is>
          <t>RAGUNDA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38548-2024</t>
        </is>
      </c>
      <c r="B933" s="1" t="n">
        <v>45546</v>
      </c>
      <c r="C933" s="1" t="n">
        <v>45887</v>
      </c>
      <c r="D933" t="inlineStr">
        <is>
          <t>JÄMTLANDS LÄN</t>
        </is>
      </c>
      <c r="E933" t="inlineStr">
        <is>
          <t>RAGUNDA</t>
        </is>
      </c>
      <c r="G933" t="n">
        <v>1.4</v>
      </c>
      <c r="H933" t="n">
        <v>0</v>
      </c>
      <c r="I933" t="n">
        <v>0</v>
      </c>
      <c r="J933" t="n">
        <v>0</v>
      </c>
      <c r="K933" t="n">
        <v>0</v>
      </c>
      <c r="L933" t="n">
        <v>0</v>
      </c>
      <c r="M933" t="n">
        <v>0</v>
      </c>
      <c r="N933" t="n">
        <v>0</v>
      </c>
      <c r="O933" t="n">
        <v>0</v>
      </c>
      <c r="P933" t="n">
        <v>0</v>
      </c>
      <c r="Q933" t="n">
        <v>0</v>
      </c>
      <c r="R933" s="2" t="inlineStr"/>
    </row>
    <row r="934" ht="15" customHeight="1">
      <c r="A934" t="inlineStr">
        <is>
          <t>A 462-2023</t>
        </is>
      </c>
      <c r="B934" s="1" t="n">
        <v>44929</v>
      </c>
      <c r="C934" s="1" t="n">
        <v>45887</v>
      </c>
      <c r="D934" t="inlineStr">
        <is>
          <t>JÄMTLANDS LÄN</t>
        </is>
      </c>
      <c r="E934" t="inlineStr">
        <is>
          <t>RAGUNDA</t>
        </is>
      </c>
      <c r="G934" t="n">
        <v>4.5</v>
      </c>
      <c r="H934" t="n">
        <v>0</v>
      </c>
      <c r="I934" t="n">
        <v>0</v>
      </c>
      <c r="J934" t="n">
        <v>0</v>
      </c>
      <c r="K934" t="n">
        <v>0</v>
      </c>
      <c r="L934" t="n">
        <v>0</v>
      </c>
      <c r="M934" t="n">
        <v>0</v>
      </c>
      <c r="N934" t="n">
        <v>0</v>
      </c>
      <c r="O934" t="n">
        <v>0</v>
      </c>
      <c r="P934" t="n">
        <v>0</v>
      </c>
      <c r="Q934" t="n">
        <v>0</v>
      </c>
      <c r="R934" s="2" t="inlineStr"/>
    </row>
    <row r="935" ht="15" customHeight="1">
      <c r="A935" t="inlineStr">
        <is>
          <t>A 25304-2023</t>
        </is>
      </c>
      <c r="B935" s="1" t="n">
        <v>45086</v>
      </c>
      <c r="C935" s="1" t="n">
        <v>45887</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26026-2024</t>
        </is>
      </c>
      <c r="B936" s="1" t="n">
        <v>45467.96207175926</v>
      </c>
      <c r="C936" s="1" t="n">
        <v>45887</v>
      </c>
      <c r="D936" t="inlineStr">
        <is>
          <t>JÄMTLANDS LÄN</t>
        </is>
      </c>
      <c r="E936" t="inlineStr">
        <is>
          <t>RAGUNDA</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26645-2024</t>
        </is>
      </c>
      <c r="B937" s="1" t="n">
        <v>45469.94667824074</v>
      </c>
      <c r="C937" s="1" t="n">
        <v>45887</v>
      </c>
      <c r="D937" t="inlineStr">
        <is>
          <t>JÄMTLANDS LÄN</t>
        </is>
      </c>
      <c r="E937" t="inlineStr">
        <is>
          <t>RAGUNDA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5971-2025</t>
        </is>
      </c>
      <c r="B938" s="1" t="n">
        <v>45695.51070601852</v>
      </c>
      <c r="C938" s="1" t="n">
        <v>45887</v>
      </c>
      <c r="D938" t="inlineStr">
        <is>
          <t>JÄMTLANDS LÄN</t>
        </is>
      </c>
      <c r="E938" t="inlineStr">
        <is>
          <t>RAGUNDA</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32258-2024</t>
        </is>
      </c>
      <c r="B939" s="1" t="n">
        <v>45511</v>
      </c>
      <c r="C939" s="1" t="n">
        <v>45887</v>
      </c>
      <c r="D939" t="inlineStr">
        <is>
          <t>JÄMTLANDS LÄN</t>
        </is>
      </c>
      <c r="E939" t="inlineStr">
        <is>
          <t>RAGUNDA</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51537-2022</t>
        </is>
      </c>
      <c r="B940" s="1" t="n">
        <v>44869</v>
      </c>
      <c r="C940" s="1" t="n">
        <v>45887</v>
      </c>
      <c r="D940" t="inlineStr">
        <is>
          <t>JÄMTLANDS LÄN</t>
        </is>
      </c>
      <c r="E940" t="inlineStr">
        <is>
          <t>RAGUNDA</t>
        </is>
      </c>
      <c r="G940" t="n">
        <v>1.8</v>
      </c>
      <c r="H940" t="n">
        <v>0</v>
      </c>
      <c r="I940" t="n">
        <v>0</v>
      </c>
      <c r="J940" t="n">
        <v>0</v>
      </c>
      <c r="K940" t="n">
        <v>0</v>
      </c>
      <c r="L940" t="n">
        <v>0</v>
      </c>
      <c r="M940" t="n">
        <v>0</v>
      </c>
      <c r="N940" t="n">
        <v>0</v>
      </c>
      <c r="O940" t="n">
        <v>0</v>
      </c>
      <c r="P940" t="n">
        <v>0</v>
      </c>
      <c r="Q940" t="n">
        <v>0</v>
      </c>
      <c r="R940" s="2" t="inlineStr"/>
    </row>
    <row r="941" ht="15" customHeight="1">
      <c r="A941" t="inlineStr">
        <is>
          <t>A 15672-2021</t>
        </is>
      </c>
      <c r="B941" s="1" t="n">
        <v>44286</v>
      </c>
      <c r="C941" s="1" t="n">
        <v>45887</v>
      </c>
      <c r="D941" t="inlineStr">
        <is>
          <t>JÄMTLANDS LÄN</t>
        </is>
      </c>
      <c r="E941" t="inlineStr">
        <is>
          <t>RAGUNDA</t>
        </is>
      </c>
      <c r="G941" t="n">
        <v>1.7</v>
      </c>
      <c r="H941" t="n">
        <v>0</v>
      </c>
      <c r="I941" t="n">
        <v>0</v>
      </c>
      <c r="J941" t="n">
        <v>0</v>
      </c>
      <c r="K941" t="n">
        <v>0</v>
      </c>
      <c r="L941" t="n">
        <v>0</v>
      </c>
      <c r="M941" t="n">
        <v>0</v>
      </c>
      <c r="N941" t="n">
        <v>0</v>
      </c>
      <c r="O941" t="n">
        <v>0</v>
      </c>
      <c r="P941" t="n">
        <v>0</v>
      </c>
      <c r="Q941" t="n">
        <v>0</v>
      </c>
      <c r="R941" s="2" t="inlineStr"/>
    </row>
    <row r="942" ht="15" customHeight="1">
      <c r="A942" t="inlineStr">
        <is>
          <t>A 50650-2023</t>
        </is>
      </c>
      <c r="B942" s="1" t="n">
        <v>45210</v>
      </c>
      <c r="C942" s="1" t="n">
        <v>45887</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564-2025</t>
        </is>
      </c>
      <c r="B943" s="1" t="n">
        <v>45664.55241898148</v>
      </c>
      <c r="C943" s="1" t="n">
        <v>45887</v>
      </c>
      <c r="D943" t="inlineStr">
        <is>
          <t>JÄMTLANDS LÄN</t>
        </is>
      </c>
      <c r="E943" t="inlineStr">
        <is>
          <t>RAGUNDA</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12995-2023</t>
        </is>
      </c>
      <c r="B944" s="1" t="n">
        <v>45002.0328125</v>
      </c>
      <c r="C944" s="1" t="n">
        <v>45887</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8800-2025</t>
        </is>
      </c>
      <c r="B945" s="1" t="n">
        <v>45712.65671296296</v>
      </c>
      <c r="C945" s="1" t="n">
        <v>45887</v>
      </c>
      <c r="D945" t="inlineStr">
        <is>
          <t>JÄMTLANDS LÄN</t>
        </is>
      </c>
      <c r="E945" t="inlineStr">
        <is>
          <t>RAGUNDA</t>
        </is>
      </c>
      <c r="G945" t="n">
        <v>2.6</v>
      </c>
      <c r="H945" t="n">
        <v>0</v>
      </c>
      <c r="I945" t="n">
        <v>0</v>
      </c>
      <c r="J945" t="n">
        <v>0</v>
      </c>
      <c r="K945" t="n">
        <v>0</v>
      </c>
      <c r="L945" t="n">
        <v>0</v>
      </c>
      <c r="M945" t="n">
        <v>0</v>
      </c>
      <c r="N945" t="n">
        <v>0</v>
      </c>
      <c r="O945" t="n">
        <v>0</v>
      </c>
      <c r="P945" t="n">
        <v>0</v>
      </c>
      <c r="Q945" t="n">
        <v>0</v>
      </c>
      <c r="R945" s="2" t="inlineStr"/>
    </row>
    <row r="946" ht="15" customHeight="1">
      <c r="A946" t="inlineStr">
        <is>
          <t>A 3767-2025</t>
        </is>
      </c>
      <c r="B946" s="1" t="n">
        <v>45681.60203703704</v>
      </c>
      <c r="C946" s="1" t="n">
        <v>45887</v>
      </c>
      <c r="D946" t="inlineStr">
        <is>
          <t>JÄMTLANDS LÄN</t>
        </is>
      </c>
      <c r="E946" t="inlineStr">
        <is>
          <t>RAGUNDA</t>
        </is>
      </c>
      <c r="G946" t="n">
        <v>4.9</v>
      </c>
      <c r="H946" t="n">
        <v>0</v>
      </c>
      <c r="I946" t="n">
        <v>0</v>
      </c>
      <c r="J946" t="n">
        <v>0</v>
      </c>
      <c r="K946" t="n">
        <v>0</v>
      </c>
      <c r="L946" t="n">
        <v>0</v>
      </c>
      <c r="M946" t="n">
        <v>0</v>
      </c>
      <c r="N946" t="n">
        <v>0</v>
      </c>
      <c r="O946" t="n">
        <v>0</v>
      </c>
      <c r="P946" t="n">
        <v>0</v>
      </c>
      <c r="Q946" t="n">
        <v>0</v>
      </c>
      <c r="R946" s="2" t="inlineStr"/>
    </row>
    <row r="947" ht="15" customHeight="1">
      <c r="A947" t="inlineStr">
        <is>
          <t>A 3186-2025</t>
        </is>
      </c>
      <c r="B947" s="1" t="n">
        <v>45679.40362268518</v>
      </c>
      <c r="C947" s="1" t="n">
        <v>45887</v>
      </c>
      <c r="D947" t="inlineStr">
        <is>
          <t>JÄMTLANDS LÄN</t>
        </is>
      </c>
      <c r="E947" t="inlineStr">
        <is>
          <t>RAGUNDA</t>
        </is>
      </c>
      <c r="G947" t="n">
        <v>5.2</v>
      </c>
      <c r="H947" t="n">
        <v>0</v>
      </c>
      <c r="I947" t="n">
        <v>0</v>
      </c>
      <c r="J947" t="n">
        <v>0</v>
      </c>
      <c r="K947" t="n">
        <v>0</v>
      </c>
      <c r="L947" t="n">
        <v>0</v>
      </c>
      <c r="M947" t="n">
        <v>0</v>
      </c>
      <c r="N947" t="n">
        <v>0</v>
      </c>
      <c r="O947" t="n">
        <v>0</v>
      </c>
      <c r="P947" t="n">
        <v>0</v>
      </c>
      <c r="Q947" t="n">
        <v>0</v>
      </c>
      <c r="R947" s="2" t="inlineStr"/>
    </row>
    <row r="948" ht="15" customHeight="1">
      <c r="A948" t="inlineStr">
        <is>
          <t>A 1308-2025</t>
        </is>
      </c>
      <c r="B948" s="1" t="n">
        <v>45667.55239583334</v>
      </c>
      <c r="C948" s="1" t="n">
        <v>45887</v>
      </c>
      <c r="D948" t="inlineStr">
        <is>
          <t>JÄMTLANDS LÄN</t>
        </is>
      </c>
      <c r="E948" t="inlineStr">
        <is>
          <t>RAGUNDA</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56284-2023</t>
        </is>
      </c>
      <c r="B949" s="1" t="n">
        <v>45241.95724537037</v>
      </c>
      <c r="C949" s="1" t="n">
        <v>45887</v>
      </c>
      <c r="D949" t="inlineStr">
        <is>
          <t>JÄMTLANDS LÄN</t>
        </is>
      </c>
      <c r="E949" t="inlineStr">
        <is>
          <t>RAGUNDA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18610-2024</t>
        </is>
      </c>
      <c r="B950" s="1" t="n">
        <v>45425.96230324074</v>
      </c>
      <c r="C950" s="1" t="n">
        <v>45887</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41262-2021</t>
        </is>
      </c>
      <c r="B951" s="1" t="n">
        <v>44424</v>
      </c>
      <c r="C951" s="1" t="n">
        <v>45887</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36371-2023</t>
        </is>
      </c>
      <c r="B952" s="1" t="n">
        <v>45149</v>
      </c>
      <c r="C952" s="1" t="n">
        <v>45887</v>
      </c>
      <c r="D952" t="inlineStr">
        <is>
          <t>JÄMTLANDS LÄN</t>
        </is>
      </c>
      <c r="E952" t="inlineStr">
        <is>
          <t>RAGUNDA</t>
        </is>
      </c>
      <c r="G952" t="n">
        <v>25.7</v>
      </c>
      <c r="H952" t="n">
        <v>0</v>
      </c>
      <c r="I952" t="n">
        <v>0</v>
      </c>
      <c r="J952" t="n">
        <v>0</v>
      </c>
      <c r="K952" t="n">
        <v>0</v>
      </c>
      <c r="L952" t="n">
        <v>0</v>
      </c>
      <c r="M952" t="n">
        <v>0</v>
      </c>
      <c r="N952" t="n">
        <v>0</v>
      </c>
      <c r="O952" t="n">
        <v>0</v>
      </c>
      <c r="P952" t="n">
        <v>0</v>
      </c>
      <c r="Q952" t="n">
        <v>0</v>
      </c>
      <c r="R952" s="2" t="inlineStr"/>
    </row>
    <row r="953" ht="15" customHeight="1">
      <c r="A953" t="inlineStr">
        <is>
          <t>A 51579-2024</t>
        </is>
      </c>
      <c r="B953" s="1" t="n">
        <v>45604.63575231482</v>
      </c>
      <c r="C953" s="1" t="n">
        <v>45887</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30563-2023</t>
        </is>
      </c>
      <c r="B954" s="1" t="n">
        <v>45111.92793981481</v>
      </c>
      <c r="C954" s="1" t="n">
        <v>45887</v>
      </c>
      <c r="D954" t="inlineStr">
        <is>
          <t>JÄMTLANDS LÄN</t>
        </is>
      </c>
      <c r="E954" t="inlineStr">
        <is>
          <t>RAGUNDA</t>
        </is>
      </c>
      <c r="F954" t="inlineStr">
        <is>
          <t>Övriga Aktiebolag</t>
        </is>
      </c>
      <c r="G954" t="n">
        <v>2.3</v>
      </c>
      <c r="H954" t="n">
        <v>0</v>
      </c>
      <c r="I954" t="n">
        <v>0</v>
      </c>
      <c r="J954" t="n">
        <v>0</v>
      </c>
      <c r="K954" t="n">
        <v>0</v>
      </c>
      <c r="L954" t="n">
        <v>0</v>
      </c>
      <c r="M954" t="n">
        <v>0</v>
      </c>
      <c r="N954" t="n">
        <v>0</v>
      </c>
      <c r="O954" t="n">
        <v>0</v>
      </c>
      <c r="P954" t="n">
        <v>0</v>
      </c>
      <c r="Q954" t="n">
        <v>0</v>
      </c>
      <c r="R954" s="2" t="inlineStr"/>
    </row>
    <row r="955" ht="15" customHeight="1">
      <c r="A955" t="inlineStr">
        <is>
          <t>A 8886-2024</t>
        </is>
      </c>
      <c r="B955" s="1" t="n">
        <v>45357.05300925926</v>
      </c>
      <c r="C955" s="1" t="n">
        <v>45887</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18615-2024</t>
        </is>
      </c>
      <c r="B956" s="1" t="n">
        <v>45425.96275462963</v>
      </c>
      <c r="C956" s="1" t="n">
        <v>45887</v>
      </c>
      <c r="D956" t="inlineStr">
        <is>
          <t>JÄMTLANDS LÄN</t>
        </is>
      </c>
      <c r="E956" t="inlineStr">
        <is>
          <t>RAGUNDA</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44630-2023</t>
        </is>
      </c>
      <c r="B957" s="1" t="n">
        <v>45184</v>
      </c>
      <c r="C957" s="1" t="n">
        <v>45887</v>
      </c>
      <c r="D957" t="inlineStr">
        <is>
          <t>JÄMTLANDS LÄN</t>
        </is>
      </c>
      <c r="E957" t="inlineStr">
        <is>
          <t>RAGUNDA</t>
        </is>
      </c>
      <c r="G957" t="n">
        <v>3.4</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45887</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45887</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23303-2024</t>
        </is>
      </c>
      <c r="B960" s="1" t="n">
        <v>45453.4444212963</v>
      </c>
      <c r="C960" s="1" t="n">
        <v>45887</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45887</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45887</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3938-2024</t>
        </is>
      </c>
      <c r="B963" s="1" t="n">
        <v>45322</v>
      </c>
      <c r="C963" s="1" t="n">
        <v>45887</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62081-2022</t>
        </is>
      </c>
      <c r="B964" s="1" t="n">
        <v>44918</v>
      </c>
      <c r="C964" s="1" t="n">
        <v>45887</v>
      </c>
      <c r="D964" t="inlineStr">
        <is>
          <t>JÄMTLANDS LÄN</t>
        </is>
      </c>
      <c r="E964" t="inlineStr">
        <is>
          <t>RAGUNDA</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36246-2024</t>
        </is>
      </c>
      <c r="B965" s="1" t="n">
        <v>45534</v>
      </c>
      <c r="C965" s="1" t="n">
        <v>45887</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32063-2024</t>
        </is>
      </c>
      <c r="B966" s="1" t="n">
        <v>45510</v>
      </c>
      <c r="C966" s="1" t="n">
        <v>45887</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5307-2025</t>
        </is>
      </c>
      <c r="B967" s="1" t="n">
        <v>45692.48993055556</v>
      </c>
      <c r="C967" s="1" t="n">
        <v>45887</v>
      </c>
      <c r="D967" t="inlineStr">
        <is>
          <t>JÄMTLANDS LÄN</t>
        </is>
      </c>
      <c r="E967" t="inlineStr">
        <is>
          <t>RAGUNDA</t>
        </is>
      </c>
      <c r="F967" t="inlineStr">
        <is>
          <t>SCA</t>
        </is>
      </c>
      <c r="G967" t="n">
        <v>20.9</v>
      </c>
      <c r="H967" t="n">
        <v>0</v>
      </c>
      <c r="I967" t="n">
        <v>0</v>
      </c>
      <c r="J967" t="n">
        <v>0</v>
      </c>
      <c r="K967" t="n">
        <v>0</v>
      </c>
      <c r="L967" t="n">
        <v>0</v>
      </c>
      <c r="M967" t="n">
        <v>0</v>
      </c>
      <c r="N967" t="n">
        <v>0</v>
      </c>
      <c r="O967" t="n">
        <v>0</v>
      </c>
      <c r="P967" t="n">
        <v>0</v>
      </c>
      <c r="Q967" t="n">
        <v>0</v>
      </c>
      <c r="R967" s="2" t="inlineStr"/>
    </row>
    <row r="968" ht="15" customHeight="1">
      <c r="A968" t="inlineStr">
        <is>
          <t>A 48066-2022</t>
        </is>
      </c>
      <c r="B968" s="1" t="n">
        <v>44855</v>
      </c>
      <c r="C968" s="1" t="n">
        <v>45887</v>
      </c>
      <c r="D968" t="inlineStr">
        <is>
          <t>JÄMTLANDS LÄN</t>
        </is>
      </c>
      <c r="E968" t="inlineStr">
        <is>
          <t>RAGUNDA</t>
        </is>
      </c>
      <c r="F968" t="inlineStr">
        <is>
          <t>SCA</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55508-2024</t>
        </is>
      </c>
      <c r="B969" s="1" t="n">
        <v>45622.46200231482</v>
      </c>
      <c r="C969" s="1" t="n">
        <v>45887</v>
      </c>
      <c r="D969" t="inlineStr">
        <is>
          <t>JÄMTLANDS LÄN</t>
        </is>
      </c>
      <c r="E969" t="inlineStr">
        <is>
          <t>RAGUNDA</t>
        </is>
      </c>
      <c r="G969" t="n">
        <v>1.8</v>
      </c>
      <c r="H969" t="n">
        <v>0</v>
      </c>
      <c r="I969" t="n">
        <v>0</v>
      </c>
      <c r="J969" t="n">
        <v>0</v>
      </c>
      <c r="K969" t="n">
        <v>0</v>
      </c>
      <c r="L969" t="n">
        <v>0</v>
      </c>
      <c r="M969" t="n">
        <v>0</v>
      </c>
      <c r="N969" t="n">
        <v>0</v>
      </c>
      <c r="O969" t="n">
        <v>0</v>
      </c>
      <c r="P969" t="n">
        <v>0</v>
      </c>
      <c r="Q969" t="n">
        <v>0</v>
      </c>
      <c r="R969" s="2" t="inlineStr"/>
    </row>
    <row r="970" ht="15" customHeight="1">
      <c r="A970" t="inlineStr">
        <is>
          <t>A 26942-2021</t>
        </is>
      </c>
      <c r="B970" s="1" t="n">
        <v>44349.91978009259</v>
      </c>
      <c r="C970" s="1" t="n">
        <v>45887</v>
      </c>
      <c r="D970" t="inlineStr">
        <is>
          <t>JÄMTLANDS LÄN</t>
        </is>
      </c>
      <c r="E970" t="inlineStr">
        <is>
          <t>RAGUNDA</t>
        </is>
      </c>
      <c r="G970" t="n">
        <v>6.2</v>
      </c>
      <c r="H970" t="n">
        <v>0</v>
      </c>
      <c r="I970" t="n">
        <v>0</v>
      </c>
      <c r="J970" t="n">
        <v>0</v>
      </c>
      <c r="K970" t="n">
        <v>0</v>
      </c>
      <c r="L970" t="n">
        <v>0</v>
      </c>
      <c r="M970" t="n">
        <v>0</v>
      </c>
      <c r="N970" t="n">
        <v>0</v>
      </c>
      <c r="O970" t="n">
        <v>0</v>
      </c>
      <c r="P970" t="n">
        <v>0</v>
      </c>
      <c r="Q970" t="n">
        <v>0</v>
      </c>
      <c r="R970" s="2" t="inlineStr"/>
    </row>
    <row r="971" ht="15" customHeight="1">
      <c r="A971" t="inlineStr">
        <is>
          <t>A 56504-2024</t>
        </is>
      </c>
      <c r="B971" s="1" t="n">
        <v>45625.51068287037</v>
      </c>
      <c r="C971" s="1" t="n">
        <v>45887</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5938-2025</t>
        </is>
      </c>
      <c r="B972" s="1" t="n">
        <v>45695.45868055556</v>
      </c>
      <c r="C972" s="1" t="n">
        <v>45887</v>
      </c>
      <c r="D972" t="inlineStr">
        <is>
          <t>JÄMTLANDS LÄN</t>
        </is>
      </c>
      <c r="E972" t="inlineStr">
        <is>
          <t>RAGUNDA</t>
        </is>
      </c>
      <c r="G972" t="n">
        <v>1</v>
      </c>
      <c r="H972" t="n">
        <v>0</v>
      </c>
      <c r="I972" t="n">
        <v>0</v>
      </c>
      <c r="J972" t="n">
        <v>0</v>
      </c>
      <c r="K972" t="n">
        <v>0</v>
      </c>
      <c r="L972" t="n">
        <v>0</v>
      </c>
      <c r="M972" t="n">
        <v>0</v>
      </c>
      <c r="N972" t="n">
        <v>0</v>
      </c>
      <c r="O972" t="n">
        <v>0</v>
      </c>
      <c r="P972" t="n">
        <v>0</v>
      </c>
      <c r="Q972" t="n">
        <v>0</v>
      </c>
      <c r="R972" s="2" t="inlineStr"/>
    </row>
    <row r="973" ht="15" customHeight="1">
      <c r="A973" t="inlineStr">
        <is>
          <t>A 12521-2023</t>
        </is>
      </c>
      <c r="B973" s="1" t="n">
        <v>45000</v>
      </c>
      <c r="C973" s="1" t="n">
        <v>45887</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3720-2025</t>
        </is>
      </c>
      <c r="B974" s="1" t="n">
        <v>45681.5315625</v>
      </c>
      <c r="C974" s="1" t="n">
        <v>45887</v>
      </c>
      <c r="D974" t="inlineStr">
        <is>
          <t>JÄMTLANDS LÄN</t>
        </is>
      </c>
      <c r="E974" t="inlineStr">
        <is>
          <t>RAGUNDA</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45887</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2339-2025</t>
        </is>
      </c>
      <c r="B976" s="1" t="n">
        <v>45673.66358796296</v>
      </c>
      <c r="C976" s="1" t="n">
        <v>45887</v>
      </c>
      <c r="D976" t="inlineStr">
        <is>
          <t>JÄMTLANDS LÄN</t>
        </is>
      </c>
      <c r="E976" t="inlineStr">
        <is>
          <t>RAGUNDA</t>
        </is>
      </c>
      <c r="G976" t="n">
        <v>5</v>
      </c>
      <c r="H976" t="n">
        <v>0</v>
      </c>
      <c r="I976" t="n">
        <v>0</v>
      </c>
      <c r="J976" t="n">
        <v>0</v>
      </c>
      <c r="K976" t="n">
        <v>0</v>
      </c>
      <c r="L976" t="n">
        <v>0</v>
      </c>
      <c r="M976" t="n">
        <v>0</v>
      </c>
      <c r="N976" t="n">
        <v>0</v>
      </c>
      <c r="O976" t="n">
        <v>0</v>
      </c>
      <c r="P976" t="n">
        <v>0</v>
      </c>
      <c r="Q976" t="n">
        <v>0</v>
      </c>
      <c r="R976" s="2" t="inlineStr"/>
    </row>
    <row r="977" ht="15" customHeight="1">
      <c r="A977" t="inlineStr">
        <is>
          <t>A 17742-2022</t>
        </is>
      </c>
      <c r="B977" s="1" t="n">
        <v>44680.95246527778</v>
      </c>
      <c r="C977" s="1" t="n">
        <v>45887</v>
      </c>
      <c r="D977" t="inlineStr">
        <is>
          <t>JÄMTLANDS LÄN</t>
        </is>
      </c>
      <c r="E977" t="inlineStr">
        <is>
          <t>RAGUNDA</t>
        </is>
      </c>
      <c r="F977" t="inlineStr">
        <is>
          <t>SCA</t>
        </is>
      </c>
      <c r="G977" t="n">
        <v>7.2</v>
      </c>
      <c r="H977" t="n">
        <v>0</v>
      </c>
      <c r="I977" t="n">
        <v>0</v>
      </c>
      <c r="J977" t="n">
        <v>0</v>
      </c>
      <c r="K977" t="n">
        <v>0</v>
      </c>
      <c r="L977" t="n">
        <v>0</v>
      </c>
      <c r="M977" t="n">
        <v>0</v>
      </c>
      <c r="N977" t="n">
        <v>0</v>
      </c>
      <c r="O977" t="n">
        <v>0</v>
      </c>
      <c r="P977" t="n">
        <v>0</v>
      </c>
      <c r="Q977" t="n">
        <v>0</v>
      </c>
      <c r="R977" s="2" t="inlineStr"/>
    </row>
    <row r="978" ht="15" customHeight="1">
      <c r="A978" t="inlineStr">
        <is>
          <t>A 35537-2021</t>
        </is>
      </c>
      <c r="B978" s="1" t="n">
        <v>44384</v>
      </c>
      <c r="C978" s="1" t="n">
        <v>45887</v>
      </c>
      <c r="D978" t="inlineStr">
        <is>
          <t>JÄMTLANDS LÄN</t>
        </is>
      </c>
      <c r="E978" t="inlineStr">
        <is>
          <t>RAGUNDA</t>
        </is>
      </c>
      <c r="G978" t="n">
        <v>3.1</v>
      </c>
      <c r="H978" t="n">
        <v>0</v>
      </c>
      <c r="I978" t="n">
        <v>0</v>
      </c>
      <c r="J978" t="n">
        <v>0</v>
      </c>
      <c r="K978" t="n">
        <v>0</v>
      </c>
      <c r="L978" t="n">
        <v>0</v>
      </c>
      <c r="M978" t="n">
        <v>0</v>
      </c>
      <c r="N978" t="n">
        <v>0</v>
      </c>
      <c r="O978" t="n">
        <v>0</v>
      </c>
      <c r="P978" t="n">
        <v>0</v>
      </c>
      <c r="Q978" t="n">
        <v>0</v>
      </c>
      <c r="R978" s="2" t="inlineStr"/>
    </row>
    <row r="979" ht="15" customHeight="1">
      <c r="A979" t="inlineStr">
        <is>
          <t>A 50555-2024</t>
        </is>
      </c>
      <c r="B979" s="1" t="n">
        <v>45601.59518518519</v>
      </c>
      <c r="C979" s="1" t="n">
        <v>45887</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53676-2022</t>
        </is>
      </c>
      <c r="B980" s="1" t="n">
        <v>44879</v>
      </c>
      <c r="C980" s="1" t="n">
        <v>45887</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18248-2023</t>
        </is>
      </c>
      <c r="B981" s="1" t="n">
        <v>45040</v>
      </c>
      <c r="C981" s="1" t="n">
        <v>45887</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45887</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14212-2023</t>
        </is>
      </c>
      <c r="B983" s="1" t="n">
        <v>45009</v>
      </c>
      <c r="C983" s="1" t="n">
        <v>45887</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30459-2021</t>
        </is>
      </c>
      <c r="B984" s="1" t="n">
        <v>44362</v>
      </c>
      <c r="C984" s="1" t="n">
        <v>45887</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29263-2024</t>
        </is>
      </c>
      <c r="B985" s="1" t="n">
        <v>45482.94891203703</v>
      </c>
      <c r="C985" s="1" t="n">
        <v>45887</v>
      </c>
      <c r="D985" t="inlineStr">
        <is>
          <t>JÄMTLANDS LÄN</t>
        </is>
      </c>
      <c r="E985" t="inlineStr">
        <is>
          <t>RAGUNDA</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29265-2024</t>
        </is>
      </c>
      <c r="B986" s="1" t="n">
        <v>45482.9491087963</v>
      </c>
      <c r="C986" s="1" t="n">
        <v>45887</v>
      </c>
      <c r="D986" t="inlineStr">
        <is>
          <t>JÄMTLANDS LÄN</t>
        </is>
      </c>
      <c r="E986" t="inlineStr">
        <is>
          <t>RAGUNDA</t>
        </is>
      </c>
      <c r="F986" t="inlineStr">
        <is>
          <t>SCA</t>
        </is>
      </c>
      <c r="G986" t="n">
        <v>11.6</v>
      </c>
      <c r="H986" t="n">
        <v>0</v>
      </c>
      <c r="I986" t="n">
        <v>0</v>
      </c>
      <c r="J986" t="n">
        <v>0</v>
      </c>
      <c r="K986" t="n">
        <v>0</v>
      </c>
      <c r="L986" t="n">
        <v>0</v>
      </c>
      <c r="M986" t="n">
        <v>0</v>
      </c>
      <c r="N986" t="n">
        <v>0</v>
      </c>
      <c r="O986" t="n">
        <v>0</v>
      </c>
      <c r="P986" t="n">
        <v>0</v>
      </c>
      <c r="Q986" t="n">
        <v>0</v>
      </c>
      <c r="R986" s="2" t="inlineStr"/>
    </row>
    <row r="987" ht="15" customHeight="1">
      <c r="A987" t="inlineStr">
        <is>
          <t>A 20772-2024</t>
        </is>
      </c>
      <c r="B987" s="1" t="n">
        <v>45436.94628472222</v>
      </c>
      <c r="C987" s="1" t="n">
        <v>45887</v>
      </c>
      <c r="D987" t="inlineStr">
        <is>
          <t>JÄMTLANDS LÄN</t>
        </is>
      </c>
      <c r="E987" t="inlineStr">
        <is>
          <t>RAGUNDA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18614-2024</t>
        </is>
      </c>
      <c r="B988" s="1" t="n">
        <v>45425.96263888889</v>
      </c>
      <c r="C988" s="1" t="n">
        <v>45887</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13898-2023</t>
        </is>
      </c>
      <c r="B989" s="1" t="n">
        <v>45008.01408564814</v>
      </c>
      <c r="C989" s="1" t="n">
        <v>45887</v>
      </c>
      <c r="D989" t="inlineStr">
        <is>
          <t>JÄMTLANDS LÄN</t>
        </is>
      </c>
      <c r="E989" t="inlineStr">
        <is>
          <t>RAGUNDA</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41693-2023</t>
        </is>
      </c>
      <c r="B990" s="1" t="n">
        <v>45176</v>
      </c>
      <c r="C990" s="1" t="n">
        <v>45887</v>
      </c>
      <c r="D990" t="inlineStr">
        <is>
          <t>JÄMTLANDS LÄN</t>
        </is>
      </c>
      <c r="E990" t="inlineStr">
        <is>
          <t>RAGUNDA</t>
        </is>
      </c>
      <c r="G990" t="n">
        <v>5.5</v>
      </c>
      <c r="H990" t="n">
        <v>0</v>
      </c>
      <c r="I990" t="n">
        <v>0</v>
      </c>
      <c r="J990" t="n">
        <v>0</v>
      </c>
      <c r="K990" t="n">
        <v>0</v>
      </c>
      <c r="L990" t="n">
        <v>0</v>
      </c>
      <c r="M990" t="n">
        <v>0</v>
      </c>
      <c r="N990" t="n">
        <v>0</v>
      </c>
      <c r="O990" t="n">
        <v>0</v>
      </c>
      <c r="P990" t="n">
        <v>0</v>
      </c>
      <c r="Q990" t="n">
        <v>0</v>
      </c>
      <c r="R990" s="2" t="inlineStr"/>
    </row>
    <row r="991" ht="15" customHeight="1">
      <c r="A991" t="inlineStr">
        <is>
          <t>A 53757-2024</t>
        </is>
      </c>
      <c r="B991" s="1" t="n">
        <v>45615.50034722222</v>
      </c>
      <c r="C991" s="1" t="n">
        <v>45887</v>
      </c>
      <c r="D991" t="inlineStr">
        <is>
          <t>JÄMTLANDS LÄN</t>
        </is>
      </c>
      <c r="E991" t="inlineStr">
        <is>
          <t>RAGUNDA</t>
        </is>
      </c>
      <c r="G991" t="n">
        <v>2</v>
      </c>
      <c r="H991" t="n">
        <v>0</v>
      </c>
      <c r="I991" t="n">
        <v>0</v>
      </c>
      <c r="J991" t="n">
        <v>0</v>
      </c>
      <c r="K991" t="n">
        <v>0</v>
      </c>
      <c r="L991" t="n">
        <v>0</v>
      </c>
      <c r="M991" t="n">
        <v>0</v>
      </c>
      <c r="N991" t="n">
        <v>0</v>
      </c>
      <c r="O991" t="n">
        <v>0</v>
      </c>
      <c r="P991" t="n">
        <v>0</v>
      </c>
      <c r="Q991" t="n">
        <v>0</v>
      </c>
      <c r="R991" s="2" t="inlineStr"/>
    </row>
    <row r="992" ht="15" customHeight="1">
      <c r="A992" t="inlineStr">
        <is>
          <t>A 19246-2023</t>
        </is>
      </c>
      <c r="B992" s="1" t="n">
        <v>45048.94340277778</v>
      </c>
      <c r="C992" s="1" t="n">
        <v>45887</v>
      </c>
      <c r="D992" t="inlineStr">
        <is>
          <t>JÄMTLANDS LÄN</t>
        </is>
      </c>
      <c r="E992" t="inlineStr">
        <is>
          <t>RAGUNDA</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464-2023</t>
        </is>
      </c>
      <c r="B993" s="1" t="n">
        <v>44929.92489583333</v>
      </c>
      <c r="C993" s="1" t="n">
        <v>45887</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49649-2024</t>
        </is>
      </c>
      <c r="B994" s="1" t="n">
        <v>45596.61553240741</v>
      </c>
      <c r="C994" s="1" t="n">
        <v>45887</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20426-2024</t>
        </is>
      </c>
      <c r="B995" s="1" t="n">
        <v>45435</v>
      </c>
      <c r="C995" s="1" t="n">
        <v>45887</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3770-2025</t>
        </is>
      </c>
      <c r="B996" s="1" t="n">
        <v>45681.6050925926</v>
      </c>
      <c r="C996" s="1" t="n">
        <v>45887</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41344-2024</t>
        </is>
      </c>
      <c r="B997" s="1" t="n">
        <v>45559.67759259259</v>
      </c>
      <c r="C997" s="1" t="n">
        <v>45887</v>
      </c>
      <c r="D997" t="inlineStr">
        <is>
          <t>JÄMTLANDS LÄN</t>
        </is>
      </c>
      <c r="E997" t="inlineStr">
        <is>
          <t>RAGUNDA</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58955-2024</t>
        </is>
      </c>
      <c r="B998" s="1" t="n">
        <v>45636.57329861111</v>
      </c>
      <c r="C998" s="1" t="n">
        <v>45887</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4878-2022</t>
        </is>
      </c>
      <c r="B999" s="1" t="n">
        <v>44593</v>
      </c>
      <c r="C999" s="1" t="n">
        <v>45887</v>
      </c>
      <c r="D999" t="inlineStr">
        <is>
          <t>JÄMTLANDS LÄN</t>
        </is>
      </c>
      <c r="E999" t="inlineStr">
        <is>
          <t>RAGUNDA</t>
        </is>
      </c>
      <c r="G999" t="n">
        <v>21.7</v>
      </c>
      <c r="H999" t="n">
        <v>0</v>
      </c>
      <c r="I999" t="n">
        <v>0</v>
      </c>
      <c r="J999" t="n">
        <v>0</v>
      </c>
      <c r="K999" t="n">
        <v>0</v>
      </c>
      <c r="L999" t="n">
        <v>0</v>
      </c>
      <c r="M999" t="n">
        <v>0</v>
      </c>
      <c r="N999" t="n">
        <v>0</v>
      </c>
      <c r="O999" t="n">
        <v>0</v>
      </c>
      <c r="P999" t="n">
        <v>0</v>
      </c>
      <c r="Q999" t="n">
        <v>0</v>
      </c>
      <c r="R999" s="2" t="inlineStr"/>
    </row>
    <row r="1000" ht="15" customHeight="1">
      <c r="A1000" t="inlineStr">
        <is>
          <t>A 11252-2025</t>
        </is>
      </c>
      <c r="B1000" s="1" t="n">
        <v>45726.38615740741</v>
      </c>
      <c r="C1000" s="1" t="n">
        <v>45887</v>
      </c>
      <c r="D1000" t="inlineStr">
        <is>
          <t>JÄMTLANDS LÄN</t>
        </is>
      </c>
      <c r="E1000" t="inlineStr">
        <is>
          <t>RAGUNDA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11253-2025</t>
        </is>
      </c>
      <c r="B1001" s="1" t="n">
        <v>45726.3862037037</v>
      </c>
      <c r="C1001" s="1" t="n">
        <v>45887</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7668-2025</t>
        </is>
      </c>
      <c r="B1002" s="1" t="n">
        <v>45706.34450231482</v>
      </c>
      <c r="C1002" s="1" t="n">
        <v>45887</v>
      </c>
      <c r="D1002" t="inlineStr">
        <is>
          <t>JÄMTLANDS LÄN</t>
        </is>
      </c>
      <c r="E1002" t="inlineStr">
        <is>
          <t>RAGUNDA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9548-2025</t>
        </is>
      </c>
      <c r="B1003" s="1" t="n">
        <v>45715.59405092592</v>
      </c>
      <c r="C1003" s="1" t="n">
        <v>45887</v>
      </c>
      <c r="D1003" t="inlineStr">
        <is>
          <t>JÄMTLANDS LÄN</t>
        </is>
      </c>
      <c r="E1003" t="inlineStr">
        <is>
          <t>RAGUNDA</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39489-2023</t>
        </is>
      </c>
      <c r="B1004" s="1" t="n">
        <v>45166</v>
      </c>
      <c r="C1004" s="1" t="n">
        <v>45887</v>
      </c>
      <c r="D1004" t="inlineStr">
        <is>
          <t>JÄMTLANDS LÄN</t>
        </is>
      </c>
      <c r="E1004" t="inlineStr">
        <is>
          <t>RAGUNDA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57237-2022</t>
        </is>
      </c>
      <c r="B1005" s="1" t="n">
        <v>44889</v>
      </c>
      <c r="C1005" s="1" t="n">
        <v>45887</v>
      </c>
      <c r="D1005" t="inlineStr">
        <is>
          <t>JÄMTLANDS LÄN</t>
        </is>
      </c>
      <c r="E1005" t="inlineStr">
        <is>
          <t>RAGUNDA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11058-2025</t>
        </is>
      </c>
      <c r="B1006" s="1" t="n">
        <v>45723.51079861111</v>
      </c>
      <c r="C1006" s="1" t="n">
        <v>45887</v>
      </c>
      <c r="D1006" t="inlineStr">
        <is>
          <t>JÄMTLANDS LÄN</t>
        </is>
      </c>
      <c r="E1006" t="inlineStr">
        <is>
          <t>RAGUNDA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13263-2025</t>
        </is>
      </c>
      <c r="B1007" s="1" t="n">
        <v>45735.53177083333</v>
      </c>
      <c r="C1007" s="1" t="n">
        <v>45887</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13276-2025</t>
        </is>
      </c>
      <c r="B1008" s="1" t="n">
        <v>45735.5517824074</v>
      </c>
      <c r="C1008" s="1" t="n">
        <v>45887</v>
      </c>
      <c r="D1008" t="inlineStr">
        <is>
          <t>JÄMTLANDS LÄN</t>
        </is>
      </c>
      <c r="E1008" t="inlineStr">
        <is>
          <t>RAGUNDA</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12405-2025</t>
        </is>
      </c>
      <c r="B1009" s="1" t="n">
        <v>45730.42738425926</v>
      </c>
      <c r="C1009" s="1" t="n">
        <v>45887</v>
      </c>
      <c r="D1009" t="inlineStr">
        <is>
          <t>JÄMTLANDS LÄN</t>
        </is>
      </c>
      <c r="E1009" t="inlineStr">
        <is>
          <t>RAGUNDA</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12808-2025</t>
        </is>
      </c>
      <c r="B1010" s="1" t="n">
        <v>45733.61554398148</v>
      </c>
      <c r="C1010" s="1" t="n">
        <v>45887</v>
      </c>
      <c r="D1010" t="inlineStr">
        <is>
          <t>JÄMTLANDS LÄN</t>
        </is>
      </c>
      <c r="E1010" t="inlineStr">
        <is>
          <t>RAGUNDA</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46546-2023</t>
        </is>
      </c>
      <c r="B1011" s="1" t="n">
        <v>45197.94152777778</v>
      </c>
      <c r="C1011" s="1" t="n">
        <v>45887</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6716-2025</t>
        </is>
      </c>
      <c r="B1012" s="1" t="n">
        <v>45700.57324074074</v>
      </c>
      <c r="C1012" s="1" t="n">
        <v>45887</v>
      </c>
      <c r="D1012" t="inlineStr">
        <is>
          <t>JÄMTLANDS LÄN</t>
        </is>
      </c>
      <c r="E1012" t="inlineStr">
        <is>
          <t>RAGUNDA</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30823-2023</t>
        </is>
      </c>
      <c r="B1013" s="1" t="n">
        <v>45112</v>
      </c>
      <c r="C1013" s="1" t="n">
        <v>45887</v>
      </c>
      <c r="D1013" t="inlineStr">
        <is>
          <t>JÄMTLANDS LÄN</t>
        </is>
      </c>
      <c r="E1013" t="inlineStr">
        <is>
          <t>RAGUNDA</t>
        </is>
      </c>
      <c r="F1013" t="inlineStr">
        <is>
          <t>SCA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15554-2025</t>
        </is>
      </c>
      <c r="B1014" s="1" t="n">
        <v>45747.67739583334</v>
      </c>
      <c r="C1014" s="1" t="n">
        <v>45887</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30484-2024</t>
        </is>
      </c>
      <c r="B1015" s="1" t="n">
        <v>45491</v>
      </c>
      <c r="C1015" s="1" t="n">
        <v>45887</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57170-2024</t>
        </is>
      </c>
      <c r="B1016" s="1" t="n">
        <v>45629.42759259259</v>
      </c>
      <c r="C1016" s="1" t="n">
        <v>45887</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11288-2022</t>
        </is>
      </c>
      <c r="B1017" s="1" t="n">
        <v>44629</v>
      </c>
      <c r="C1017" s="1" t="n">
        <v>45887</v>
      </c>
      <c r="D1017" t="inlineStr">
        <is>
          <t>JÄMTLANDS LÄN</t>
        </is>
      </c>
      <c r="E1017" t="inlineStr">
        <is>
          <t>RAGUNDA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45053.94305555556</v>
      </c>
      <c r="C1018" s="1" t="n">
        <v>45887</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1554-2024</t>
        </is>
      </c>
      <c r="B1019" s="1" t="n">
        <v>45306</v>
      </c>
      <c r="C1019" s="1" t="n">
        <v>45887</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29940-2023</t>
        </is>
      </c>
      <c r="B1020" s="1" t="n">
        <v>45107</v>
      </c>
      <c r="C1020" s="1" t="n">
        <v>45887</v>
      </c>
      <c r="D1020" t="inlineStr">
        <is>
          <t>JÄMTLANDS LÄN</t>
        </is>
      </c>
      <c r="E1020" t="inlineStr">
        <is>
          <t>RAGUNDA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22011-2023</t>
        </is>
      </c>
      <c r="B1021" s="1" t="n">
        <v>45068</v>
      </c>
      <c r="C1021" s="1" t="n">
        <v>45887</v>
      </c>
      <c r="D1021" t="inlineStr">
        <is>
          <t>JÄMTLANDS LÄN</t>
        </is>
      </c>
      <c r="E1021" t="inlineStr">
        <is>
          <t>RAGUNDA</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66471-2021</t>
        </is>
      </c>
      <c r="B1022" s="1" t="n">
        <v>44518</v>
      </c>
      <c r="C1022" s="1" t="n">
        <v>45887</v>
      </c>
      <c r="D1022" t="inlineStr">
        <is>
          <t>JÄMTLANDS LÄN</t>
        </is>
      </c>
      <c r="E1022" t="inlineStr">
        <is>
          <t>RAGUNDA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13389-2025</t>
        </is>
      </c>
      <c r="B1023" s="1" t="n">
        <v>45735.69842592593</v>
      </c>
      <c r="C1023" s="1" t="n">
        <v>45887</v>
      </c>
      <c r="D1023" t="inlineStr">
        <is>
          <t>JÄMTLANDS LÄN</t>
        </is>
      </c>
      <c r="E1023" t="inlineStr">
        <is>
          <t>RAGUNDA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22731-2023</t>
        </is>
      </c>
      <c r="B1024" s="1" t="n">
        <v>45071</v>
      </c>
      <c r="C1024" s="1" t="n">
        <v>45887</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2831-2024</t>
        </is>
      </c>
      <c r="B1025" s="1" t="n">
        <v>45314.92758101852</v>
      </c>
      <c r="C1025" s="1" t="n">
        <v>45887</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33877-2023</t>
        </is>
      </c>
      <c r="B1026" s="1" t="n">
        <v>45133</v>
      </c>
      <c r="C1026" s="1" t="n">
        <v>45887</v>
      </c>
      <c r="D1026" t="inlineStr">
        <is>
          <t>JÄMTLANDS LÄN</t>
        </is>
      </c>
      <c r="E1026" t="inlineStr">
        <is>
          <t>RAGUNDA</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8775-2025</t>
        </is>
      </c>
      <c r="B1027" s="1" t="n">
        <v>45712.61502314815</v>
      </c>
      <c r="C1027" s="1" t="n">
        <v>45887</v>
      </c>
      <c r="D1027" t="inlineStr">
        <is>
          <t>JÄMTLANDS LÄN</t>
        </is>
      </c>
      <c r="E1027" t="inlineStr">
        <is>
          <t>RAGUNDA</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13264-2025</t>
        </is>
      </c>
      <c r="B1028" s="1" t="n">
        <v>45735</v>
      </c>
      <c r="C1028" s="1" t="n">
        <v>45887</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8776-2025</t>
        </is>
      </c>
      <c r="B1029" s="1" t="n">
        <v>45712.61510416667</v>
      </c>
      <c r="C1029" s="1" t="n">
        <v>45887</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57749-2024</t>
        </is>
      </c>
      <c r="B1030" s="1" t="n">
        <v>45630.7862037037</v>
      </c>
      <c r="C1030" s="1" t="n">
        <v>45887</v>
      </c>
      <c r="D1030" t="inlineStr">
        <is>
          <t>JÄMTLANDS LÄN</t>
        </is>
      </c>
      <c r="E1030" t="inlineStr">
        <is>
          <t>RAGUNDA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5067-2024</t>
        </is>
      </c>
      <c r="B1031" s="1" t="n">
        <v>45329.95806712963</v>
      </c>
      <c r="C1031" s="1" t="n">
        <v>45887</v>
      </c>
      <c r="D1031" t="inlineStr">
        <is>
          <t>JÄMTLANDS LÄN</t>
        </is>
      </c>
      <c r="E1031" t="inlineStr">
        <is>
          <t>RAGUNDA</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37268-2024</t>
        </is>
      </c>
      <c r="B1032" s="1" t="n">
        <v>45540.38586805556</v>
      </c>
      <c r="C1032" s="1" t="n">
        <v>45887</v>
      </c>
      <c r="D1032" t="inlineStr">
        <is>
          <t>JÄMTLANDS LÄN</t>
        </is>
      </c>
      <c r="E1032" t="inlineStr">
        <is>
          <t>RAGUNDA</t>
        </is>
      </c>
      <c r="F1032" t="inlineStr">
        <is>
          <t>SCA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41885-2020</t>
        </is>
      </c>
      <c r="B1033" s="1" t="n">
        <v>44074</v>
      </c>
      <c r="C1033" s="1" t="n">
        <v>45887</v>
      </c>
      <c r="D1033" t="inlineStr">
        <is>
          <t>JÄMTLANDS LÄN</t>
        </is>
      </c>
      <c r="E1033" t="inlineStr">
        <is>
          <t>RAGUNDA</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5429-2024</t>
        </is>
      </c>
      <c r="B1034" s="1" t="n">
        <v>45331.92746527777</v>
      </c>
      <c r="C1034" s="1" t="n">
        <v>45887</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41179-2022</t>
        </is>
      </c>
      <c r="B1035" s="1" t="n">
        <v>44825</v>
      </c>
      <c r="C1035" s="1" t="n">
        <v>45887</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17598-2021</t>
        </is>
      </c>
      <c r="B1036" s="1" t="n">
        <v>44299</v>
      </c>
      <c r="C1036" s="1" t="n">
        <v>45887</v>
      </c>
      <c r="D1036" t="inlineStr">
        <is>
          <t>JÄMTLANDS LÄN</t>
        </is>
      </c>
      <c r="E1036" t="inlineStr">
        <is>
          <t>RAGUNDA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62541-2022</t>
        </is>
      </c>
      <c r="B1037" s="1" t="n">
        <v>44917</v>
      </c>
      <c r="C1037" s="1" t="n">
        <v>45887</v>
      </c>
      <c r="D1037" t="inlineStr">
        <is>
          <t>JÄMTLANDS LÄN</t>
        </is>
      </c>
      <c r="E1037" t="inlineStr">
        <is>
          <t>RAGUNDA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28742-2023</t>
        </is>
      </c>
      <c r="B1038" s="1" t="n">
        <v>45103</v>
      </c>
      <c r="C1038" s="1" t="n">
        <v>45887</v>
      </c>
      <c r="D1038" t="inlineStr">
        <is>
          <t>JÄMTLANDS LÄN</t>
        </is>
      </c>
      <c r="E1038" t="inlineStr">
        <is>
          <t>RAGUNDA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61400-2022</t>
        </is>
      </c>
      <c r="B1039" s="1" t="n">
        <v>44915</v>
      </c>
      <c r="C1039" s="1" t="n">
        <v>45887</v>
      </c>
      <c r="D1039" t="inlineStr">
        <is>
          <t>JÄMTLANDS LÄN</t>
        </is>
      </c>
      <c r="E1039" t="inlineStr">
        <is>
          <t>RAGUNDA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45887</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38270-2021</t>
        </is>
      </c>
      <c r="B1041" s="1" t="n">
        <v>44405.92065972222</v>
      </c>
      <c r="C1041" s="1" t="n">
        <v>45887</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4866-2025</t>
        </is>
      </c>
      <c r="B1042" s="1" t="n">
        <v>45688.67542824074</v>
      </c>
      <c r="C1042" s="1" t="n">
        <v>45887</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22981-2023</t>
        </is>
      </c>
      <c r="B1043" s="1" t="n">
        <v>45072.92737268518</v>
      </c>
      <c r="C1043" s="1" t="n">
        <v>45887</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21726-2023</t>
        </is>
      </c>
      <c r="B1044" s="1" t="n">
        <v>45065.42894675926</v>
      </c>
      <c r="C1044" s="1" t="n">
        <v>45887</v>
      </c>
      <c r="D1044" t="inlineStr">
        <is>
          <t>JÄMTLANDS LÄN</t>
        </is>
      </c>
      <c r="E1044" t="inlineStr">
        <is>
          <t>RAGUNDA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55514-2024</t>
        </is>
      </c>
      <c r="B1045" s="1" t="n">
        <v>45622.46910879629</v>
      </c>
      <c r="C1045" s="1" t="n">
        <v>45887</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179-2025</t>
        </is>
      </c>
      <c r="B1046" s="1" t="n">
        <v>45659.69822916666</v>
      </c>
      <c r="C1046" s="1" t="n">
        <v>45887</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24441-2024</t>
        </is>
      </c>
      <c r="B1047" s="1" t="n">
        <v>45457.96372685185</v>
      </c>
      <c r="C1047" s="1" t="n">
        <v>45887</v>
      </c>
      <c r="D1047" t="inlineStr">
        <is>
          <t>JÄMTLANDS LÄN</t>
        </is>
      </c>
      <c r="E1047" t="inlineStr">
        <is>
          <t>RAGUNDA</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20088-2023</t>
        </is>
      </c>
      <c r="B1048" s="1" t="n">
        <v>45054</v>
      </c>
      <c r="C1048" s="1" t="n">
        <v>45887</v>
      </c>
      <c r="D1048" t="inlineStr">
        <is>
          <t>JÄMTLANDS LÄN</t>
        </is>
      </c>
      <c r="E1048" t="inlineStr">
        <is>
          <t>RAGUNDA</t>
        </is>
      </c>
      <c r="F1048" t="inlineStr">
        <is>
          <t>SCA</t>
        </is>
      </c>
      <c r="G1048" t="n">
        <v>23.4</v>
      </c>
      <c r="H1048" t="n">
        <v>0</v>
      </c>
      <c r="I1048" t="n">
        <v>0</v>
      </c>
      <c r="J1048" t="n">
        <v>0</v>
      </c>
      <c r="K1048" t="n">
        <v>0</v>
      </c>
      <c r="L1048" t="n">
        <v>0</v>
      </c>
      <c r="M1048" t="n">
        <v>0</v>
      </c>
      <c r="N1048" t="n">
        <v>0</v>
      </c>
      <c r="O1048" t="n">
        <v>0</v>
      </c>
      <c r="P1048" t="n">
        <v>0</v>
      </c>
      <c r="Q1048" t="n">
        <v>0</v>
      </c>
      <c r="R1048" s="2" t="inlineStr"/>
    </row>
    <row r="1049" ht="15" customHeight="1">
      <c r="A1049" t="inlineStr">
        <is>
          <t>A 934-2023</t>
        </is>
      </c>
      <c r="B1049" s="1" t="n">
        <v>44932.93927083333</v>
      </c>
      <c r="C1049" s="1" t="n">
        <v>45887</v>
      </c>
      <c r="D1049" t="inlineStr">
        <is>
          <t>JÄMTLANDS LÄN</t>
        </is>
      </c>
      <c r="E1049" t="inlineStr">
        <is>
          <t>RAGUNDA</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37242-2024</t>
        </is>
      </c>
      <c r="B1050" s="1" t="n">
        <v>45540.34428240741</v>
      </c>
      <c r="C1050" s="1" t="n">
        <v>45887</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9232-2025</t>
        </is>
      </c>
      <c r="B1051" s="1" t="n">
        <v>45714.55064814815</v>
      </c>
      <c r="C1051" s="1" t="n">
        <v>45887</v>
      </c>
      <c r="D1051" t="inlineStr">
        <is>
          <t>JÄMTLANDS LÄN</t>
        </is>
      </c>
      <c r="E1051" t="inlineStr">
        <is>
          <t>RAGUNDA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41656-2023</t>
        </is>
      </c>
      <c r="B1052" s="1" t="n">
        <v>45175</v>
      </c>
      <c r="C1052" s="1" t="n">
        <v>45887</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36317-2024</t>
        </is>
      </c>
      <c r="B1053" s="1" t="n">
        <v>45534.63537037037</v>
      </c>
      <c r="C1053" s="1" t="n">
        <v>45887</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59136-2023</t>
        </is>
      </c>
      <c r="B1054" s="1" t="n">
        <v>45251</v>
      </c>
      <c r="C1054" s="1" t="n">
        <v>45887</v>
      </c>
      <c r="D1054" t="inlineStr">
        <is>
          <t>JÄMTLANDS LÄN</t>
        </is>
      </c>
      <c r="E1054" t="inlineStr">
        <is>
          <t>RAGUNDA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35274-2023</t>
        </is>
      </c>
      <c r="B1055" s="1" t="n">
        <v>45145</v>
      </c>
      <c r="C1055" s="1" t="n">
        <v>45887</v>
      </c>
      <c r="D1055" t="inlineStr">
        <is>
          <t>JÄMTLANDS LÄN</t>
        </is>
      </c>
      <c r="E1055" t="inlineStr">
        <is>
          <t>RAGUNDA</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64264-2023</t>
        </is>
      </c>
      <c r="B1056" s="1" t="n">
        <v>45279.94564814815</v>
      </c>
      <c r="C1056" s="1" t="n">
        <v>45887</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36226-2023</t>
        </is>
      </c>
      <c r="B1057" s="1" t="n">
        <v>45149.95372685185</v>
      </c>
      <c r="C1057" s="1" t="n">
        <v>45887</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26347-2023</t>
        </is>
      </c>
      <c r="B1058" s="1" t="n">
        <v>45091</v>
      </c>
      <c r="C1058" s="1" t="n">
        <v>45887</v>
      </c>
      <c r="D1058" t="inlineStr">
        <is>
          <t>JÄMTLANDS LÄN</t>
        </is>
      </c>
      <c r="E1058" t="inlineStr">
        <is>
          <t>RAGUNDA</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59368-2022</t>
        </is>
      </c>
      <c r="B1059" s="1" t="n">
        <v>44904.94824074074</v>
      </c>
      <c r="C1059" s="1" t="n">
        <v>45887</v>
      </c>
      <c r="D1059" t="inlineStr">
        <is>
          <t>JÄMTLANDS LÄN</t>
        </is>
      </c>
      <c r="E1059" t="inlineStr">
        <is>
          <t>RAGUNDA</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893-2025</t>
        </is>
      </c>
      <c r="B1060" s="1" t="n">
        <v>45665.65684027778</v>
      </c>
      <c r="C1060" s="1" t="n">
        <v>45887</v>
      </c>
      <c r="D1060" t="inlineStr">
        <is>
          <t>JÄMTLANDS LÄN</t>
        </is>
      </c>
      <c r="E1060" t="inlineStr">
        <is>
          <t>RAGUNDA</t>
        </is>
      </c>
      <c r="F1060" t="inlineStr">
        <is>
          <t>SCA</t>
        </is>
      </c>
      <c r="G1060" t="n">
        <v>45.1</v>
      </c>
      <c r="H1060" t="n">
        <v>0</v>
      </c>
      <c r="I1060" t="n">
        <v>0</v>
      </c>
      <c r="J1060" t="n">
        <v>0</v>
      </c>
      <c r="K1060" t="n">
        <v>0</v>
      </c>
      <c r="L1060" t="n">
        <v>0</v>
      </c>
      <c r="M1060" t="n">
        <v>0</v>
      </c>
      <c r="N1060" t="n">
        <v>0</v>
      </c>
      <c r="O1060" t="n">
        <v>0</v>
      </c>
      <c r="P1060" t="n">
        <v>0</v>
      </c>
      <c r="Q1060" t="n">
        <v>0</v>
      </c>
      <c r="R1060" s="2" t="inlineStr"/>
    </row>
    <row r="1061" ht="15" customHeight="1">
      <c r="A1061" t="inlineStr">
        <is>
          <t>A 51538-2022</t>
        </is>
      </c>
      <c r="B1061" s="1" t="n">
        <v>44869</v>
      </c>
      <c r="C1061" s="1" t="n">
        <v>45887</v>
      </c>
      <c r="D1061" t="inlineStr">
        <is>
          <t>JÄMTLANDS LÄN</t>
        </is>
      </c>
      <c r="E1061" t="inlineStr">
        <is>
          <t>RAGUNDA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59492-2024</t>
        </is>
      </c>
      <c r="B1062" s="1" t="n">
        <v>45638</v>
      </c>
      <c r="C1062" s="1" t="n">
        <v>45887</v>
      </c>
      <c r="D1062" t="inlineStr">
        <is>
          <t>JÄMTLANDS LÄN</t>
        </is>
      </c>
      <c r="E1062" t="inlineStr">
        <is>
          <t>RAGUNDA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61109-2024</t>
        </is>
      </c>
      <c r="B1063" s="1" t="n">
        <v>45645.55672453704</v>
      </c>
      <c r="C1063" s="1" t="n">
        <v>45887</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7520-2023</t>
        </is>
      </c>
      <c r="B1064" s="1" t="n">
        <v>44971</v>
      </c>
      <c r="C1064" s="1" t="n">
        <v>45887</v>
      </c>
      <c r="D1064" t="inlineStr">
        <is>
          <t>JÄMTLANDS LÄN</t>
        </is>
      </c>
      <c r="E1064" t="inlineStr">
        <is>
          <t>RAGUNDA</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53549-2024</t>
        </is>
      </c>
      <c r="B1065" s="1" t="n">
        <v>45614.63869212963</v>
      </c>
      <c r="C1065" s="1" t="n">
        <v>45887</v>
      </c>
      <c r="D1065" t="inlineStr">
        <is>
          <t>JÄMTLANDS LÄN</t>
        </is>
      </c>
      <c r="E1065" t="inlineStr">
        <is>
          <t>RAGUNDA</t>
        </is>
      </c>
      <c r="F1065" t="inlineStr">
        <is>
          <t>Kyrkan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27373-2023</t>
        </is>
      </c>
      <c r="B1066" s="1" t="n">
        <v>45096.93866898148</v>
      </c>
      <c r="C1066" s="1" t="n">
        <v>45887</v>
      </c>
      <c r="D1066" t="inlineStr">
        <is>
          <t>JÄMTLANDS LÄN</t>
        </is>
      </c>
      <c r="E1066" t="inlineStr">
        <is>
          <t>RAGUNDA</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53955-2022</t>
        </is>
      </c>
      <c r="B1067" s="1" t="n">
        <v>44880.95741898148</v>
      </c>
      <c r="C1067" s="1" t="n">
        <v>45887</v>
      </c>
      <c r="D1067" t="inlineStr">
        <is>
          <t>JÄMTLANDS LÄN</t>
        </is>
      </c>
      <c r="E1067" t="inlineStr">
        <is>
          <t>RAGUNDA</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65341-2020</t>
        </is>
      </c>
      <c r="B1068" s="1" t="n">
        <v>44173</v>
      </c>
      <c r="C1068" s="1" t="n">
        <v>45887</v>
      </c>
      <c r="D1068" t="inlineStr">
        <is>
          <t>JÄMTLANDS LÄN</t>
        </is>
      </c>
      <c r="E1068" t="inlineStr">
        <is>
          <t>RAGUNDA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9567-2025</t>
        </is>
      </c>
      <c r="B1069" s="1" t="n">
        <v>45715.61523148148</v>
      </c>
      <c r="C1069" s="1" t="n">
        <v>45887</v>
      </c>
      <c r="D1069" t="inlineStr">
        <is>
          <t>JÄMTLANDS LÄN</t>
        </is>
      </c>
      <c r="E1069" t="inlineStr">
        <is>
          <t>RAGUNDA</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53287-2022</t>
        </is>
      </c>
      <c r="B1070" s="1" t="n">
        <v>44876</v>
      </c>
      <c r="C1070" s="1" t="n">
        <v>45887</v>
      </c>
      <c r="D1070" t="inlineStr">
        <is>
          <t>JÄMTLANDS LÄN</t>
        </is>
      </c>
      <c r="E1070" t="inlineStr">
        <is>
          <t>RAGUNDA</t>
        </is>
      </c>
      <c r="F1070" t="inlineStr">
        <is>
          <t>SCA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16321-2025</t>
        </is>
      </c>
      <c r="B1071" s="1" t="n">
        <v>45751.34873842593</v>
      </c>
      <c r="C1071" s="1" t="n">
        <v>45887</v>
      </c>
      <c r="D1071" t="inlineStr">
        <is>
          <t>JÄMTLANDS LÄN</t>
        </is>
      </c>
      <c r="E1071" t="inlineStr">
        <is>
          <t>RAGUNDA</t>
        </is>
      </c>
      <c r="F1071" t="inlineStr">
        <is>
          <t>SCA</t>
        </is>
      </c>
      <c r="G1071" t="n">
        <v>63.3</v>
      </c>
      <c r="H1071" t="n">
        <v>0</v>
      </c>
      <c r="I1071" t="n">
        <v>0</v>
      </c>
      <c r="J1071" t="n">
        <v>0</v>
      </c>
      <c r="K1071" t="n">
        <v>0</v>
      </c>
      <c r="L1071" t="n">
        <v>0</v>
      </c>
      <c r="M1071" t="n">
        <v>0</v>
      </c>
      <c r="N1071" t="n">
        <v>0</v>
      </c>
      <c r="O1071" t="n">
        <v>0</v>
      </c>
      <c r="P1071" t="n">
        <v>0</v>
      </c>
      <c r="Q1071" t="n">
        <v>0</v>
      </c>
      <c r="R1071" s="2" t="inlineStr"/>
    </row>
    <row r="1072" ht="15" customHeight="1">
      <c r="A1072" t="inlineStr">
        <is>
          <t>A 51646-2023</t>
        </is>
      </c>
      <c r="B1072" s="1" t="n">
        <v>45215</v>
      </c>
      <c r="C1072" s="1" t="n">
        <v>45887</v>
      </c>
      <c r="D1072" t="inlineStr">
        <is>
          <t>JÄMTLANDS LÄN</t>
        </is>
      </c>
      <c r="E1072" t="inlineStr">
        <is>
          <t>RAGUNDA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55904-2022</t>
        </is>
      </c>
      <c r="B1073" s="1" t="n">
        <v>44888</v>
      </c>
      <c r="C1073" s="1" t="n">
        <v>45887</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65898-2020</t>
        </is>
      </c>
      <c r="B1074" s="1" t="n">
        <v>44174</v>
      </c>
      <c r="C1074" s="1" t="n">
        <v>45887</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29319-2023</t>
        </is>
      </c>
      <c r="B1075" s="1" t="n">
        <v>45105</v>
      </c>
      <c r="C1075" s="1" t="n">
        <v>45887</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17323-2025</t>
        </is>
      </c>
      <c r="B1076" s="1" t="n">
        <v>45756.63601851852</v>
      </c>
      <c r="C1076" s="1" t="n">
        <v>45887</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19854-2025</t>
        </is>
      </c>
      <c r="B1077" s="1" t="n">
        <v>45771.51074074074</v>
      </c>
      <c r="C1077" s="1" t="n">
        <v>45887</v>
      </c>
      <c r="D1077" t="inlineStr">
        <is>
          <t>JÄMTLANDS LÄN</t>
        </is>
      </c>
      <c r="E1077" t="inlineStr">
        <is>
          <t>RAGUNDA</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6688-2024</t>
        </is>
      </c>
      <c r="B1078" s="1" t="n">
        <v>45341</v>
      </c>
      <c r="C1078" s="1" t="n">
        <v>45887</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30642-2024</t>
        </is>
      </c>
      <c r="B1079" s="1" t="n">
        <v>45495.57677083334</v>
      </c>
      <c r="C1079" s="1" t="n">
        <v>45887</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19486-2024</t>
        </is>
      </c>
      <c r="B1080" s="1" t="n">
        <v>45429</v>
      </c>
      <c r="C1080" s="1" t="n">
        <v>45887</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13941-2025</t>
        </is>
      </c>
      <c r="B1081" s="1" t="n">
        <v>45737.69822916666</v>
      </c>
      <c r="C1081" s="1" t="n">
        <v>45887</v>
      </c>
      <c r="D1081" t="inlineStr">
        <is>
          <t>JÄMTLANDS LÄN</t>
        </is>
      </c>
      <c r="E1081" t="inlineStr">
        <is>
          <t>RAGUNDA</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26646-2023</t>
        </is>
      </c>
      <c r="B1082" s="1" t="n">
        <v>45092</v>
      </c>
      <c r="C1082" s="1" t="n">
        <v>45887</v>
      </c>
      <c r="D1082" t="inlineStr">
        <is>
          <t>JÄMTLANDS LÄN</t>
        </is>
      </c>
      <c r="E1082" t="inlineStr">
        <is>
          <t>RAGUNDA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16635-2025</t>
        </is>
      </c>
      <c r="B1083" s="1" t="n">
        <v>45754</v>
      </c>
      <c r="C1083" s="1" t="n">
        <v>45887</v>
      </c>
      <c r="D1083" t="inlineStr">
        <is>
          <t>JÄMTLANDS LÄN</t>
        </is>
      </c>
      <c r="E1083" t="inlineStr">
        <is>
          <t>RAGUNDA</t>
        </is>
      </c>
      <c r="F1083" t="inlineStr">
        <is>
          <t>SCA</t>
        </is>
      </c>
      <c r="G1083" t="n">
        <v>55.4</v>
      </c>
      <c r="H1083" t="n">
        <v>0</v>
      </c>
      <c r="I1083" t="n">
        <v>0</v>
      </c>
      <c r="J1083" t="n">
        <v>0</v>
      </c>
      <c r="K1083" t="n">
        <v>0</v>
      </c>
      <c r="L1083" t="n">
        <v>0</v>
      </c>
      <c r="M1083" t="n">
        <v>0</v>
      </c>
      <c r="N1083" t="n">
        <v>0</v>
      </c>
      <c r="O1083" t="n">
        <v>0</v>
      </c>
      <c r="P1083" t="n">
        <v>0</v>
      </c>
      <c r="Q1083" t="n">
        <v>0</v>
      </c>
      <c r="R1083" s="2" t="inlineStr"/>
    </row>
    <row r="1084" ht="15" customHeight="1">
      <c r="A1084" t="inlineStr">
        <is>
          <t>A 27291-2022</t>
        </is>
      </c>
      <c r="B1084" s="1" t="n">
        <v>44741.94070601852</v>
      </c>
      <c r="C1084" s="1" t="n">
        <v>45887</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49650-2024</t>
        </is>
      </c>
      <c r="B1085" s="1" t="n">
        <v>45596.61569444444</v>
      </c>
      <c r="C1085" s="1" t="n">
        <v>45887</v>
      </c>
      <c r="D1085" t="inlineStr">
        <is>
          <t>JÄMTLANDS LÄN</t>
        </is>
      </c>
      <c r="E1085" t="inlineStr">
        <is>
          <t>RAGUNDA</t>
        </is>
      </c>
      <c r="F1085" t="inlineStr">
        <is>
          <t>Naturvårdsverket</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49651-2024</t>
        </is>
      </c>
      <c r="B1086" s="1" t="n">
        <v>45596.61582175926</v>
      </c>
      <c r="C1086" s="1" t="n">
        <v>45887</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37479-2023</t>
        </is>
      </c>
      <c r="B1087" s="1" t="n">
        <v>45156</v>
      </c>
      <c r="C1087" s="1" t="n">
        <v>45887</v>
      </c>
      <c r="D1087" t="inlineStr">
        <is>
          <t>JÄMTLANDS LÄN</t>
        </is>
      </c>
      <c r="E1087" t="inlineStr">
        <is>
          <t>RAGUNDA</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6477-2024</t>
        </is>
      </c>
      <c r="B1088" s="1" t="n">
        <v>45338.95405092592</v>
      </c>
      <c r="C1088" s="1" t="n">
        <v>45887</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60443-2023</t>
        </is>
      </c>
      <c r="B1089" s="1" t="n">
        <v>45258</v>
      </c>
      <c r="C1089" s="1" t="n">
        <v>45887</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41772-2024</t>
        </is>
      </c>
      <c r="B1090" s="1" t="n">
        <v>45561.34663194444</v>
      </c>
      <c r="C1090" s="1" t="n">
        <v>45887</v>
      </c>
      <c r="D1090" t="inlineStr">
        <is>
          <t>JÄMTLANDS LÄN</t>
        </is>
      </c>
      <c r="E1090" t="inlineStr">
        <is>
          <t>RAGUNDA</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44759-2024</t>
        </is>
      </c>
      <c r="B1091" s="1" t="n">
        <v>45574.61634259259</v>
      </c>
      <c r="C1091" s="1" t="n">
        <v>45887</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993-2025</t>
        </is>
      </c>
      <c r="B1092" s="1" t="n">
        <v>45666.44943287037</v>
      </c>
      <c r="C1092" s="1" t="n">
        <v>45887</v>
      </c>
      <c r="D1092" t="inlineStr">
        <is>
          <t>JÄMTLANDS LÄN</t>
        </is>
      </c>
      <c r="E1092" t="inlineStr">
        <is>
          <t>RAGUNDA</t>
        </is>
      </c>
      <c r="G1092" t="n">
        <v>11.3</v>
      </c>
      <c r="H1092" t="n">
        <v>0</v>
      </c>
      <c r="I1092" t="n">
        <v>0</v>
      </c>
      <c r="J1092" t="n">
        <v>0</v>
      </c>
      <c r="K1092" t="n">
        <v>0</v>
      </c>
      <c r="L1092" t="n">
        <v>0</v>
      </c>
      <c r="M1092" t="n">
        <v>0</v>
      </c>
      <c r="N1092" t="n">
        <v>0</v>
      </c>
      <c r="O1092" t="n">
        <v>0</v>
      </c>
      <c r="P1092" t="n">
        <v>0</v>
      </c>
      <c r="Q1092" t="n">
        <v>0</v>
      </c>
      <c r="R1092" s="2" t="inlineStr"/>
    </row>
    <row r="1093">
      <c r="A1093" t="inlineStr">
        <is>
          <t>A 57064-2024</t>
        </is>
      </c>
      <c r="B1093" s="1" t="n">
        <v>45629.35326388889</v>
      </c>
      <c r="C1093" s="1" t="n">
        <v>45887</v>
      </c>
      <c r="D1093" t="inlineStr">
        <is>
          <t>JÄMTLANDS LÄN</t>
        </is>
      </c>
      <c r="E1093" t="inlineStr">
        <is>
          <t>RAGUNDA</t>
        </is>
      </c>
      <c r="F1093" t="inlineStr">
        <is>
          <t>Naturvårdsverket</t>
        </is>
      </c>
      <c r="G1093" t="n">
        <v>0.5</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2025-08-18T08:31:39Z</dcterms:created>
  <dcterms:modified xmlns:dcterms="http://purl.org/dc/terms/" xmlns:xsi="http://www.w3.org/2001/XMLSchema-instance" xsi:type="dcterms:W3CDTF">2025-08-18T08:31:40Z</dcterms:modified>
</cp:coreProperties>
</file>