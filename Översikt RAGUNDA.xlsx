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45826</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45826</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45826</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45826</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45826</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45826</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45826</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45826</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45826</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45826</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45826</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45826</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45826</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45826</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45826</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45826</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45826</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45826</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45826</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45826</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45826</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45826</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45826</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45826</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45826</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45826</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45826</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45826</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45826</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45826</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45826</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45826</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45826</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45826</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9347-2024</t>
        </is>
      </c>
      <c r="B38" s="1" t="n">
        <v>45359</v>
      </c>
      <c r="C38" s="1" t="n">
        <v>45826</v>
      </c>
      <c r="D38" t="inlineStr">
        <is>
          <t>JÄMTLANDS LÄN</t>
        </is>
      </c>
      <c r="E38" t="inlineStr">
        <is>
          <t>RAGUNDA</t>
        </is>
      </c>
      <c r="F38" t="inlineStr">
        <is>
          <t>SCA</t>
        </is>
      </c>
      <c r="G38" t="n">
        <v>1.6</v>
      </c>
      <c r="H38" t="n">
        <v>2</v>
      </c>
      <c r="I38" t="n">
        <v>3</v>
      </c>
      <c r="J38" t="n">
        <v>6</v>
      </c>
      <c r="K38" t="n">
        <v>2</v>
      </c>
      <c r="L38" t="n">
        <v>0</v>
      </c>
      <c r="M38" t="n">
        <v>0</v>
      </c>
      <c r="N38" t="n">
        <v>0</v>
      </c>
      <c r="O38" t="n">
        <v>8</v>
      </c>
      <c r="P38" t="n">
        <v>2</v>
      </c>
      <c r="Q38" t="n">
        <v>11</v>
      </c>
      <c r="R38" s="2" t="inlineStr">
        <is>
          <t>Knärot
Rynkskinn
Garnlav
Gultoppig fingersvamp
Kolflarnlav
Mörk kolflarnlav
Rosenticka
Vedskivlav
Rödfläckig zontaggsvamp
Svavelriska
Tvåblad</t>
        </is>
      </c>
      <c r="S38">
        <f>HYPERLINK("https://klasma.github.io/Logging_2303/artfynd/A 9347-2024 artfynd.xlsx", "A 9347-2024")</f>
        <v/>
      </c>
      <c r="T38">
        <f>HYPERLINK("https://klasma.github.io/Logging_2303/kartor/A 9347-2024 karta.png", "A 9347-2024")</f>
        <v/>
      </c>
      <c r="U38">
        <f>HYPERLINK("https://klasma.github.io/Logging_2303/knärot/A 9347-2024 karta knärot.png", "A 9347-2024")</f>
        <v/>
      </c>
      <c r="V38">
        <f>HYPERLINK("https://klasma.github.io/Logging_2303/klagomål/A 9347-2024 FSC-klagomål.docx", "A 9347-2024")</f>
        <v/>
      </c>
      <c r="W38">
        <f>HYPERLINK("https://klasma.github.io/Logging_2303/klagomålsmail/A 9347-2024 FSC-klagomål mail.docx", "A 9347-2024")</f>
        <v/>
      </c>
      <c r="X38">
        <f>HYPERLINK("https://klasma.github.io/Logging_2303/tillsyn/A 9347-2024 tillsynsbegäran.docx", "A 9347-2024")</f>
        <v/>
      </c>
      <c r="Y38">
        <f>HYPERLINK("https://klasma.github.io/Logging_2303/tillsynsmail/A 9347-2024 tillsynsbegäran mail.docx", "A 9347-2024")</f>
        <v/>
      </c>
    </row>
    <row r="39" ht="15" customHeight="1">
      <c r="A39" t="inlineStr">
        <is>
          <t>A 19313-2025</t>
        </is>
      </c>
      <c r="B39" s="1" t="n">
        <v>45769</v>
      </c>
      <c r="C39" s="1" t="n">
        <v>45826</v>
      </c>
      <c r="D39" t="inlineStr">
        <is>
          <t>JÄMTLANDS LÄN</t>
        </is>
      </c>
      <c r="E39" t="inlineStr">
        <is>
          <t>RAGUNDA</t>
        </is>
      </c>
      <c r="F39" t="inlineStr">
        <is>
          <t>SCA</t>
        </is>
      </c>
      <c r="G39" t="n">
        <v>12.4</v>
      </c>
      <c r="H39" t="n">
        <v>4</v>
      </c>
      <c r="I39" t="n">
        <v>2</v>
      </c>
      <c r="J39" t="n">
        <v>8</v>
      </c>
      <c r="K39" t="n">
        <v>0</v>
      </c>
      <c r="L39" t="n">
        <v>0</v>
      </c>
      <c r="M39" t="n">
        <v>0</v>
      </c>
      <c r="N39" t="n">
        <v>0</v>
      </c>
      <c r="O39" t="n">
        <v>8</v>
      </c>
      <c r="P39" t="n">
        <v>0</v>
      </c>
      <c r="Q39" t="n">
        <v>11</v>
      </c>
      <c r="R39" s="2" t="inlineStr">
        <is>
          <t>Garnlav
Granticka
Järpe
Leptoporus mollis
Lunglav
Talltita
Tretåig hackspett
Vitgrynig nållav
Bollvitmossa
Luddlav
Revlummer</t>
        </is>
      </c>
      <c r="S39">
        <f>HYPERLINK("https://klasma.github.io/Logging_232303/artfynd/A 19313-2025 artfynd.xlsx", "A 19313-2025")</f>
        <v/>
      </c>
      <c r="T39">
        <f>HYPERLINK("https://klasma.github.io/Logging_232303/kartor/A 19313-2025 karta.png", "A 19313-2025")</f>
        <v/>
      </c>
      <c r="V39">
        <f>HYPERLINK("https://klasma.github.io/Logging_232303/klagomål/A 19313-2025 FSC-klagomål.docx", "A 19313-2025")</f>
        <v/>
      </c>
      <c r="W39">
        <f>HYPERLINK("https://klasma.github.io/Logging_232303/klagomålsmail/A 19313-2025 FSC-klagomål mail.docx", "A 19313-2025")</f>
        <v/>
      </c>
      <c r="X39">
        <f>HYPERLINK("https://klasma.github.io/Logging_232303/tillsyn/A 19313-2025 tillsynsbegäran.docx", "A 19313-2025")</f>
        <v/>
      </c>
      <c r="Y39">
        <f>HYPERLINK("https://klasma.github.io/Logging_232303/tillsynsmail/A 19313-2025 tillsynsbegäran mail.docx", "A 19313-2025")</f>
        <v/>
      </c>
      <c r="Z39">
        <f>HYPERLINK("https://klasma.github.io/Logging_232303/fåglar/A 19313-2025 prioriterade fågelarter.docx", "A 19313-2025")</f>
        <v/>
      </c>
    </row>
    <row r="40" ht="15" customHeight="1">
      <c r="A40" t="inlineStr">
        <is>
          <t>A 25632-2025</t>
        </is>
      </c>
      <c r="B40" s="1" t="n">
        <v>45803</v>
      </c>
      <c r="C40" s="1" t="n">
        <v>45826</v>
      </c>
      <c r="D40" t="inlineStr">
        <is>
          <t>JÄMTLANDS LÄN</t>
        </is>
      </c>
      <c r="E40" t="inlineStr">
        <is>
          <t>RAGUNDA</t>
        </is>
      </c>
      <c r="G40" t="n">
        <v>13.3</v>
      </c>
      <c r="H40" t="n">
        <v>6</v>
      </c>
      <c r="I40" t="n">
        <v>3</v>
      </c>
      <c r="J40" t="n">
        <v>5</v>
      </c>
      <c r="K40" t="n">
        <v>1</v>
      </c>
      <c r="L40" t="n">
        <v>0</v>
      </c>
      <c r="M40" t="n">
        <v>0</v>
      </c>
      <c r="N40" t="n">
        <v>0</v>
      </c>
      <c r="O40" t="n">
        <v>6</v>
      </c>
      <c r="P40" t="n">
        <v>1</v>
      </c>
      <c r="Q40" t="n">
        <v>11</v>
      </c>
      <c r="R40" s="2" t="inlineStr">
        <is>
          <t>Knärot
Lunglav
Rödvingetrast
Skrovellav
Spillkråka
Tretåig hackspett
Bårdlav
Stuplav
Svart trolldruva
Blåsippa
Revlummer</t>
        </is>
      </c>
      <c r="S40">
        <f>HYPERLINK("https://klasma.github.io/Logging_232303/artfynd/A 25632-2025 artfynd.xlsx", "A 25632-2025")</f>
        <v/>
      </c>
      <c r="T40">
        <f>HYPERLINK("https://klasma.github.io/Logging_232303/kartor/A 25632-2025 karta.png", "A 25632-2025")</f>
        <v/>
      </c>
      <c r="U40">
        <f>HYPERLINK("https://klasma.github.io/Logging_232303/knärot/A 25632-2025 karta knärot.png", "A 25632-2025")</f>
        <v/>
      </c>
      <c r="V40">
        <f>HYPERLINK("https://klasma.github.io/Logging_232303/klagomål/A 25632-2025 FSC-klagomål.docx", "A 25632-2025")</f>
        <v/>
      </c>
      <c r="W40">
        <f>HYPERLINK("https://klasma.github.io/Logging_232303/klagomålsmail/A 25632-2025 FSC-klagomål mail.docx", "A 25632-2025")</f>
        <v/>
      </c>
      <c r="X40">
        <f>HYPERLINK("https://klasma.github.io/Logging_232303/tillsyn/A 25632-2025 tillsynsbegäran.docx", "A 25632-2025")</f>
        <v/>
      </c>
      <c r="Y40">
        <f>HYPERLINK("https://klasma.github.io/Logging_232303/tillsynsmail/A 25632-2025 tillsynsbegäran mail.docx", "A 25632-2025")</f>
        <v/>
      </c>
      <c r="Z40">
        <f>HYPERLINK("https://klasma.github.io/Logging_232303/fåglar/A 25632-2025 prioriterade fågelarter.docx", "A 25632-2025")</f>
        <v/>
      </c>
    </row>
    <row r="41" ht="15" customHeight="1">
      <c r="A41" t="inlineStr">
        <is>
          <t>A 13484-2022</t>
        </is>
      </c>
      <c r="B41" s="1" t="n">
        <v>44645</v>
      </c>
      <c r="C41" s="1" t="n">
        <v>45826</v>
      </c>
      <c r="D41" t="inlineStr">
        <is>
          <t>JÄMTLANDS LÄN</t>
        </is>
      </c>
      <c r="E41" t="inlineStr">
        <is>
          <t>RAGUNDA</t>
        </is>
      </c>
      <c r="F41" t="inlineStr">
        <is>
          <t>SCA</t>
        </is>
      </c>
      <c r="G41" t="n">
        <v>10.7</v>
      </c>
      <c r="H41" t="n">
        <v>0</v>
      </c>
      <c r="I41" t="n">
        <v>2</v>
      </c>
      <c r="J41" t="n">
        <v>8</v>
      </c>
      <c r="K41" t="n">
        <v>0</v>
      </c>
      <c r="L41" t="n">
        <v>0</v>
      </c>
      <c r="M41" t="n">
        <v>0</v>
      </c>
      <c r="N41" t="n">
        <v>0</v>
      </c>
      <c r="O41" t="n">
        <v>8</v>
      </c>
      <c r="P41" t="n">
        <v>0</v>
      </c>
      <c r="Q41" t="n">
        <v>10</v>
      </c>
      <c r="R41" s="2" t="inlineStr">
        <is>
          <t>Blanksvart spiklav
Dvärgbägarlav
Garnlav
Kolflarnlav
Mörk kolflarnlav
Skrovellav
Vedflamlav
Vedskivlav
Dropptaggsvamp
Skuggblåslav</t>
        </is>
      </c>
      <c r="S41">
        <f>HYPERLINK("https://klasma.github.io/Logging_2303/artfynd/A 13484-2022 artfynd.xlsx", "A 13484-2022")</f>
        <v/>
      </c>
      <c r="T41">
        <f>HYPERLINK("https://klasma.github.io/Logging_2303/kartor/A 13484-2022 karta.png", "A 13484-2022")</f>
        <v/>
      </c>
      <c r="U41">
        <f>HYPERLINK("https://klasma.github.io/Logging_2303/knärot/A 13484-2022 karta knärot.png", "A 13484-2022")</f>
        <v/>
      </c>
      <c r="V41">
        <f>HYPERLINK("https://klasma.github.io/Logging_2303/klagomål/A 13484-2022 FSC-klagomål.docx", "A 13484-2022")</f>
        <v/>
      </c>
      <c r="W41">
        <f>HYPERLINK("https://klasma.github.io/Logging_2303/klagomålsmail/A 13484-2022 FSC-klagomål mail.docx", "A 13484-2022")</f>
        <v/>
      </c>
      <c r="X41">
        <f>HYPERLINK("https://klasma.github.io/Logging_2303/tillsyn/A 13484-2022 tillsynsbegäran.docx", "A 13484-2022")</f>
        <v/>
      </c>
      <c r="Y41">
        <f>HYPERLINK("https://klasma.github.io/Logging_2303/tillsynsmail/A 13484-2022 tillsynsbegäran mail.docx", "A 13484-2022")</f>
        <v/>
      </c>
    </row>
    <row r="42" ht="15" customHeight="1">
      <c r="A42" t="inlineStr">
        <is>
          <t>A 13483-2022</t>
        </is>
      </c>
      <c r="B42" s="1" t="n">
        <v>44646</v>
      </c>
      <c r="C42" s="1" t="n">
        <v>45826</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25649-2022</t>
        </is>
      </c>
      <c r="B43" s="1" t="n">
        <v>44732</v>
      </c>
      <c r="C43" s="1" t="n">
        <v>45826</v>
      </c>
      <c r="D43" t="inlineStr">
        <is>
          <t>JÄMTLANDS LÄN</t>
        </is>
      </c>
      <c r="E43" t="inlineStr">
        <is>
          <t>RAGUNDA</t>
        </is>
      </c>
      <c r="F43" t="inlineStr">
        <is>
          <t>SCA</t>
        </is>
      </c>
      <c r="G43" t="n">
        <v>2.9</v>
      </c>
      <c r="H43" t="n">
        <v>3</v>
      </c>
      <c r="I43" t="n">
        <v>2</v>
      </c>
      <c r="J43" t="n">
        <v>4</v>
      </c>
      <c r="K43" t="n">
        <v>3</v>
      </c>
      <c r="L43" t="n">
        <v>0</v>
      </c>
      <c r="M43" t="n">
        <v>0</v>
      </c>
      <c r="N43" t="n">
        <v>0</v>
      </c>
      <c r="O43" t="n">
        <v>7</v>
      </c>
      <c r="P43" t="n">
        <v>3</v>
      </c>
      <c r="Q43" t="n">
        <v>10</v>
      </c>
      <c r="R43" s="2" t="inlineStr">
        <is>
          <t>Knärot
Rynkskinn
Ulltickeporing
Blanksvart spiklav
Garnlav
Talltita
Ullticka
Dropptaggsvamp
Tallfingersvamp
Revlummer</t>
        </is>
      </c>
      <c r="S43">
        <f>HYPERLINK("https://klasma.github.io/Logging_2303/artfynd/A 25649-2022 artfynd.xlsx", "A 25649-2022")</f>
        <v/>
      </c>
      <c r="T43">
        <f>HYPERLINK("https://klasma.github.io/Logging_2303/kartor/A 25649-2022 karta.png", "A 25649-2022")</f>
        <v/>
      </c>
      <c r="U43">
        <f>HYPERLINK("https://klasma.github.io/Logging_2303/knärot/A 25649-2022 karta knärot.png", "A 25649-2022")</f>
        <v/>
      </c>
      <c r="V43">
        <f>HYPERLINK("https://klasma.github.io/Logging_2303/klagomål/A 25649-2022 FSC-klagomål.docx", "A 25649-2022")</f>
        <v/>
      </c>
      <c r="W43">
        <f>HYPERLINK("https://klasma.github.io/Logging_2303/klagomålsmail/A 25649-2022 FSC-klagomål mail.docx", "A 25649-2022")</f>
        <v/>
      </c>
      <c r="X43">
        <f>HYPERLINK("https://klasma.github.io/Logging_2303/tillsyn/A 25649-2022 tillsynsbegäran.docx", "A 25649-2022")</f>
        <v/>
      </c>
      <c r="Y43">
        <f>HYPERLINK("https://klasma.github.io/Logging_2303/tillsynsmail/A 25649-2022 tillsynsbegäran mail.docx", "A 25649-2022")</f>
        <v/>
      </c>
      <c r="Z43">
        <f>HYPERLINK("https://klasma.github.io/Logging_2303/fåglar/A 25649-2022 prioriterade fågelarter.docx", "A 25649-2022")</f>
        <v/>
      </c>
    </row>
    <row r="44" ht="15" customHeight="1">
      <c r="A44" t="inlineStr">
        <is>
          <t>A 36943-2022</t>
        </is>
      </c>
      <c r="B44" s="1" t="n">
        <v>44805</v>
      </c>
      <c r="C44" s="1" t="n">
        <v>45826</v>
      </c>
      <c r="D44" t="inlineStr">
        <is>
          <t>JÄMTLANDS LÄN</t>
        </is>
      </c>
      <c r="E44" t="inlineStr">
        <is>
          <t>RAGUNDA</t>
        </is>
      </c>
      <c r="F44" t="inlineStr">
        <is>
          <t>SCA</t>
        </is>
      </c>
      <c r="G44" t="n">
        <v>2.2</v>
      </c>
      <c r="H44" t="n">
        <v>3</v>
      </c>
      <c r="I44" t="n">
        <v>2</v>
      </c>
      <c r="J44" t="n">
        <v>5</v>
      </c>
      <c r="K44" t="n">
        <v>1</v>
      </c>
      <c r="L44" t="n">
        <v>0</v>
      </c>
      <c r="M44" t="n">
        <v>0</v>
      </c>
      <c r="N44" t="n">
        <v>0</v>
      </c>
      <c r="O44" t="n">
        <v>6</v>
      </c>
      <c r="P44" t="n">
        <v>1</v>
      </c>
      <c r="Q44" t="n">
        <v>10</v>
      </c>
      <c r="R44" s="2" t="inlineStr">
        <is>
          <t>Knärot
Garnlav
Lunglav
Mörk kolflarnlav
Rosenticka
Ullticka
Bårdlav
Underviol
Nattviol
Blåsippa</t>
        </is>
      </c>
      <c r="S44">
        <f>HYPERLINK("https://klasma.github.io/Logging_2303/artfynd/A 36943-2022 artfynd.xlsx", "A 36943-2022")</f>
        <v/>
      </c>
      <c r="T44">
        <f>HYPERLINK("https://klasma.github.io/Logging_2303/kartor/A 36943-2022 karta.png", "A 36943-2022")</f>
        <v/>
      </c>
      <c r="U44">
        <f>HYPERLINK("https://klasma.github.io/Logging_2303/knärot/A 36943-2022 karta knärot.png", "A 36943-2022")</f>
        <v/>
      </c>
      <c r="V44">
        <f>HYPERLINK("https://klasma.github.io/Logging_2303/klagomål/A 36943-2022 FSC-klagomål.docx", "A 36943-2022")</f>
        <v/>
      </c>
      <c r="W44">
        <f>HYPERLINK("https://klasma.github.io/Logging_2303/klagomålsmail/A 36943-2022 FSC-klagomål mail.docx", "A 36943-2022")</f>
        <v/>
      </c>
      <c r="X44">
        <f>HYPERLINK("https://klasma.github.io/Logging_2303/tillsyn/A 36943-2022 tillsynsbegäran.docx", "A 36943-2022")</f>
        <v/>
      </c>
      <c r="Y44">
        <f>HYPERLINK("https://klasma.github.io/Logging_2303/tillsynsmail/A 36943-2022 tillsynsbegäran mail.docx", "A 36943-2022")</f>
        <v/>
      </c>
    </row>
    <row r="45" ht="15" customHeight="1">
      <c r="A45" t="inlineStr">
        <is>
          <t>A 55894-2022</t>
        </is>
      </c>
      <c r="B45" s="1" t="n">
        <v>44888</v>
      </c>
      <c r="C45" s="1" t="n">
        <v>45826</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18001-2024</t>
        </is>
      </c>
      <c r="B46" s="1" t="n">
        <v>45420</v>
      </c>
      <c r="C46" s="1" t="n">
        <v>45826</v>
      </c>
      <c r="D46" t="inlineStr">
        <is>
          <t>JÄMTLANDS LÄN</t>
        </is>
      </c>
      <c r="E46" t="inlineStr">
        <is>
          <t>RAGUNDA</t>
        </is>
      </c>
      <c r="F46" t="inlineStr">
        <is>
          <t>SCA</t>
        </is>
      </c>
      <c r="G46" t="n">
        <v>12.3</v>
      </c>
      <c r="H46" t="n">
        <v>0</v>
      </c>
      <c r="I46" t="n">
        <v>2</v>
      </c>
      <c r="J46" t="n">
        <v>8</v>
      </c>
      <c r="K46" t="n">
        <v>0</v>
      </c>
      <c r="L46" t="n">
        <v>0</v>
      </c>
      <c r="M46" t="n">
        <v>0</v>
      </c>
      <c r="N46" t="n">
        <v>0</v>
      </c>
      <c r="O46" t="n">
        <v>8</v>
      </c>
      <c r="P46" t="n">
        <v>0</v>
      </c>
      <c r="Q46" t="n">
        <v>10</v>
      </c>
      <c r="R46" s="2" t="inlineStr">
        <is>
          <t>Blågrå svartspik
Dvärgbägarlav
Kolflarnlav
Lunglav
Rosenticka
Skrovlig taggsvamp
Vedflamlav
Vedskivlav
Dropptaggsvamp
Vårärt</t>
        </is>
      </c>
      <c r="S46">
        <f>HYPERLINK("https://klasma.github.io/Logging_2303/artfynd/A 18001-2024 artfynd.xlsx", "A 18001-2024")</f>
        <v/>
      </c>
      <c r="T46">
        <f>HYPERLINK("https://klasma.github.io/Logging_2303/kartor/A 18001-2024 karta.png", "A 18001-2024")</f>
        <v/>
      </c>
      <c r="V46">
        <f>HYPERLINK("https://klasma.github.io/Logging_2303/klagomål/A 18001-2024 FSC-klagomål.docx", "A 18001-2024")</f>
        <v/>
      </c>
      <c r="W46">
        <f>HYPERLINK("https://klasma.github.io/Logging_2303/klagomålsmail/A 18001-2024 FSC-klagomål mail.docx", "A 18001-2024")</f>
        <v/>
      </c>
      <c r="X46">
        <f>HYPERLINK("https://klasma.github.io/Logging_2303/tillsyn/A 18001-2024 tillsynsbegäran.docx", "A 18001-2024")</f>
        <v/>
      </c>
      <c r="Y46">
        <f>HYPERLINK("https://klasma.github.io/Logging_2303/tillsynsmail/A 18001-2024 tillsynsbegäran mail.docx", "A 18001-2024")</f>
        <v/>
      </c>
    </row>
    <row r="47" ht="15" customHeight="1">
      <c r="A47" t="inlineStr">
        <is>
          <t>A 41412-2024</t>
        </is>
      </c>
      <c r="B47" s="1" t="n">
        <v>45560</v>
      </c>
      <c r="C47" s="1" t="n">
        <v>45826</v>
      </c>
      <c r="D47" t="inlineStr">
        <is>
          <t>JÄMTLANDS LÄN</t>
        </is>
      </c>
      <c r="E47" t="inlineStr">
        <is>
          <t>RAGUNDA</t>
        </is>
      </c>
      <c r="F47" t="inlineStr">
        <is>
          <t>SCA</t>
        </is>
      </c>
      <c r="G47" t="n">
        <v>1.8</v>
      </c>
      <c r="H47" t="n">
        <v>1</v>
      </c>
      <c r="I47" t="n">
        <v>5</v>
      </c>
      <c r="J47" t="n">
        <v>4</v>
      </c>
      <c r="K47" t="n">
        <v>1</v>
      </c>
      <c r="L47" t="n">
        <v>0</v>
      </c>
      <c r="M47" t="n">
        <v>0</v>
      </c>
      <c r="N47" t="n">
        <v>0</v>
      </c>
      <c r="O47" t="n">
        <v>5</v>
      </c>
      <c r="P47" t="n">
        <v>1</v>
      </c>
      <c r="Q47" t="n">
        <v>10</v>
      </c>
      <c r="R47" s="2" t="inlineStr">
        <is>
          <t>Knärot
Garnlav
Lunglav
Rosenticka
Ullticka
Bårdlav
Korallblylav
Luddlav
Stuplav
Vedticka</t>
        </is>
      </c>
      <c r="S47">
        <f>HYPERLINK("https://klasma.github.io/Logging_2303/artfynd/A 41412-2024 artfynd.xlsx", "A 41412-2024")</f>
        <v/>
      </c>
      <c r="T47">
        <f>HYPERLINK("https://klasma.github.io/Logging_2303/kartor/A 41412-2024 karta.png", "A 41412-2024")</f>
        <v/>
      </c>
      <c r="U47">
        <f>HYPERLINK("https://klasma.github.io/Logging_2303/knärot/A 41412-2024 karta knärot.png", "A 41412-2024")</f>
        <v/>
      </c>
      <c r="V47">
        <f>HYPERLINK("https://klasma.github.io/Logging_2303/klagomål/A 41412-2024 FSC-klagomål.docx", "A 41412-2024")</f>
        <v/>
      </c>
      <c r="W47">
        <f>HYPERLINK("https://klasma.github.io/Logging_2303/klagomålsmail/A 41412-2024 FSC-klagomål mail.docx", "A 41412-2024")</f>
        <v/>
      </c>
      <c r="X47">
        <f>HYPERLINK("https://klasma.github.io/Logging_2303/tillsyn/A 41412-2024 tillsynsbegäran.docx", "A 41412-2024")</f>
        <v/>
      </c>
      <c r="Y47">
        <f>HYPERLINK("https://klasma.github.io/Logging_2303/tillsynsmail/A 41412-2024 tillsynsbegäran mail.docx", "A 41412-2024")</f>
        <v/>
      </c>
    </row>
    <row r="48" ht="15" customHeight="1">
      <c r="A48" t="inlineStr">
        <is>
          <t>A 48264-2024</t>
        </is>
      </c>
      <c r="B48" s="1" t="n">
        <v>45590</v>
      </c>
      <c r="C48" s="1" t="n">
        <v>45826</v>
      </c>
      <c r="D48" t="inlineStr">
        <is>
          <t>JÄMTLANDS LÄN</t>
        </is>
      </c>
      <c r="E48" t="inlineStr">
        <is>
          <t>RAGUNDA</t>
        </is>
      </c>
      <c r="F48" t="inlineStr">
        <is>
          <t>SCA</t>
        </is>
      </c>
      <c r="G48" t="n">
        <v>10.4</v>
      </c>
      <c r="H48" t="n">
        <v>2</v>
      </c>
      <c r="I48" t="n">
        <v>3</v>
      </c>
      <c r="J48" t="n">
        <v>6</v>
      </c>
      <c r="K48" t="n">
        <v>1</v>
      </c>
      <c r="L48" t="n">
        <v>0</v>
      </c>
      <c r="M48" t="n">
        <v>0</v>
      </c>
      <c r="N48" t="n">
        <v>0</v>
      </c>
      <c r="O48" t="n">
        <v>7</v>
      </c>
      <c r="P48" t="n">
        <v>1</v>
      </c>
      <c r="Q48" t="n">
        <v>10</v>
      </c>
      <c r="R48" s="2" t="inlineStr">
        <is>
          <t>Doftticka
Gammelgransskål
Garnlav
Granticka
Gränsticka
Lunglav
Tretåig hackspett
Barkkornlav
Stuplav
Svavelriska</t>
        </is>
      </c>
      <c r="S48">
        <f>HYPERLINK("https://klasma.github.io/Logging_2303/artfynd/A 48264-2024 artfynd.xlsx", "A 48264-2024")</f>
        <v/>
      </c>
      <c r="T48">
        <f>HYPERLINK("https://klasma.github.io/Logging_2303/kartor/A 48264-2024 karta.png", "A 48264-2024")</f>
        <v/>
      </c>
      <c r="V48">
        <f>HYPERLINK("https://klasma.github.io/Logging_2303/klagomål/A 48264-2024 FSC-klagomål.docx", "A 48264-2024")</f>
        <v/>
      </c>
      <c r="W48">
        <f>HYPERLINK("https://klasma.github.io/Logging_2303/klagomålsmail/A 48264-2024 FSC-klagomål mail.docx", "A 48264-2024")</f>
        <v/>
      </c>
      <c r="X48">
        <f>HYPERLINK("https://klasma.github.io/Logging_2303/tillsyn/A 48264-2024 tillsynsbegäran.docx", "A 48264-2024")</f>
        <v/>
      </c>
      <c r="Y48">
        <f>HYPERLINK("https://klasma.github.io/Logging_2303/tillsynsmail/A 48264-2024 tillsynsbegäran mail.docx", "A 48264-2024")</f>
        <v/>
      </c>
      <c r="Z48">
        <f>HYPERLINK("https://klasma.github.io/Logging_2303/fåglar/A 48264-2024 prioriterade fågelarter.docx", "A 48264-2024")</f>
        <v/>
      </c>
    </row>
    <row r="49" ht="15" customHeight="1">
      <c r="A49" t="inlineStr">
        <is>
          <t>A 62948-2021</t>
        </is>
      </c>
      <c r="B49" s="1" t="n">
        <v>44504</v>
      </c>
      <c r="C49" s="1" t="n">
        <v>45826</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33822-2023</t>
        </is>
      </c>
      <c r="B50" s="1" t="n">
        <v>45121</v>
      </c>
      <c r="C50" s="1" t="n">
        <v>45826</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41406-2023</t>
        </is>
      </c>
      <c r="B51" s="1" t="n">
        <v>45174</v>
      </c>
      <c r="C51" s="1" t="n">
        <v>45826</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45008-2023</t>
        </is>
      </c>
      <c r="B52" s="1" t="n">
        <v>45191</v>
      </c>
      <c r="C52" s="1" t="n">
        <v>45826</v>
      </c>
      <c r="D52" t="inlineStr">
        <is>
          <t>JÄMTLANDS LÄN</t>
        </is>
      </c>
      <c r="E52" t="inlineStr">
        <is>
          <t>RAGUNDA</t>
        </is>
      </c>
      <c r="F52" t="inlineStr">
        <is>
          <t>SCA</t>
        </is>
      </c>
      <c r="G52" t="n">
        <v>3.5</v>
      </c>
      <c r="H52" t="n">
        <v>0</v>
      </c>
      <c r="I52" t="n">
        <v>4</v>
      </c>
      <c r="J52" t="n">
        <v>4</v>
      </c>
      <c r="K52" t="n">
        <v>1</v>
      </c>
      <c r="L52" t="n">
        <v>0</v>
      </c>
      <c r="M52" t="n">
        <v>0</v>
      </c>
      <c r="N52" t="n">
        <v>0</v>
      </c>
      <c r="O52" t="n">
        <v>5</v>
      </c>
      <c r="P52" t="n">
        <v>1</v>
      </c>
      <c r="Q52" t="n">
        <v>9</v>
      </c>
      <c r="R52" s="2" t="inlineStr">
        <is>
          <t>Rynkskinn
Garnlav
Granticka
Lunglav
Stiftgelélav
Bårdlav
Gytterlav
Skinnlav
Stor aspticka</t>
        </is>
      </c>
      <c r="S52">
        <f>HYPERLINK("https://klasma.github.io/Logging_2303/artfynd/A 45008-2023 artfynd.xlsx", "A 45008-2023")</f>
        <v/>
      </c>
      <c r="T52">
        <f>HYPERLINK("https://klasma.github.io/Logging_2303/kartor/A 45008-2023 karta.png", "A 45008-2023")</f>
        <v/>
      </c>
      <c r="V52">
        <f>HYPERLINK("https://klasma.github.io/Logging_2303/klagomål/A 45008-2023 FSC-klagomål.docx", "A 45008-2023")</f>
        <v/>
      </c>
      <c r="W52">
        <f>HYPERLINK("https://klasma.github.io/Logging_2303/klagomålsmail/A 45008-2023 FSC-klagomål mail.docx", "A 45008-2023")</f>
        <v/>
      </c>
      <c r="X52">
        <f>HYPERLINK("https://klasma.github.io/Logging_2303/tillsyn/A 45008-2023 tillsynsbegäran.docx", "A 45008-2023")</f>
        <v/>
      </c>
      <c r="Y52">
        <f>HYPERLINK("https://klasma.github.io/Logging_2303/tillsynsmail/A 45008-2023 tillsynsbegäran mail.docx", "A 45008-2023")</f>
        <v/>
      </c>
    </row>
    <row r="53" ht="15" customHeight="1">
      <c r="A53" t="inlineStr">
        <is>
          <t>A 12372-2024</t>
        </is>
      </c>
      <c r="B53" s="1" t="n">
        <v>45378</v>
      </c>
      <c r="C53" s="1" t="n">
        <v>45826</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32068-2024</t>
        </is>
      </c>
      <c r="B54" s="1" t="n">
        <v>45510</v>
      </c>
      <c r="C54" s="1" t="n">
        <v>45826</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36173-2024</t>
        </is>
      </c>
      <c r="B55" s="1" t="n">
        <v>45534</v>
      </c>
      <c r="C55" s="1" t="n">
        <v>45826</v>
      </c>
      <c r="D55" t="inlineStr">
        <is>
          <t>JÄMTLANDS LÄN</t>
        </is>
      </c>
      <c r="E55" t="inlineStr">
        <is>
          <t>RAGUNDA</t>
        </is>
      </c>
      <c r="G55" t="n">
        <v>12.7</v>
      </c>
      <c r="H55" t="n">
        <v>2</v>
      </c>
      <c r="I55" t="n">
        <v>2</v>
      </c>
      <c r="J55" t="n">
        <v>5</v>
      </c>
      <c r="K55" t="n">
        <v>2</v>
      </c>
      <c r="L55" t="n">
        <v>0</v>
      </c>
      <c r="M55" t="n">
        <v>0</v>
      </c>
      <c r="N55" t="n">
        <v>0</v>
      </c>
      <c r="O55" t="n">
        <v>7</v>
      </c>
      <c r="P55" t="n">
        <v>2</v>
      </c>
      <c r="Q55" t="n">
        <v>9</v>
      </c>
      <c r="R55" s="2" t="inlineStr">
        <is>
          <t>Aspgelélav
Knärot
Garnlav
Granticka
Lunglav
Tretåig hackspett
Vitgrynig nållav
Trådticka
Vedticka</t>
        </is>
      </c>
      <c r="S55">
        <f>HYPERLINK("https://klasma.github.io/Logging_2303/artfynd/A 36173-2024 artfynd.xlsx", "A 36173-2024")</f>
        <v/>
      </c>
      <c r="T55">
        <f>HYPERLINK("https://klasma.github.io/Logging_2303/kartor/A 36173-2024 karta.png", "A 36173-2024")</f>
        <v/>
      </c>
      <c r="U55">
        <f>HYPERLINK("https://klasma.github.io/Logging_2303/knärot/A 36173-2024 karta knärot.png", "A 36173-2024")</f>
        <v/>
      </c>
      <c r="V55">
        <f>HYPERLINK("https://klasma.github.io/Logging_2303/klagomål/A 36173-2024 FSC-klagomål.docx", "A 36173-2024")</f>
        <v/>
      </c>
      <c r="W55">
        <f>HYPERLINK("https://klasma.github.io/Logging_2303/klagomålsmail/A 36173-2024 FSC-klagomål mail.docx", "A 36173-2024")</f>
        <v/>
      </c>
      <c r="X55">
        <f>HYPERLINK("https://klasma.github.io/Logging_2303/tillsyn/A 36173-2024 tillsynsbegäran.docx", "A 36173-2024")</f>
        <v/>
      </c>
      <c r="Y55">
        <f>HYPERLINK("https://klasma.github.io/Logging_2303/tillsynsmail/A 36173-2024 tillsynsbegäran mail.docx", "A 36173-2024")</f>
        <v/>
      </c>
      <c r="Z55">
        <f>HYPERLINK("https://klasma.github.io/Logging_2303/fåglar/A 36173-2024 prioriterade fågelarter.docx", "A 36173-2024")</f>
        <v/>
      </c>
    </row>
    <row r="56" ht="15" customHeight="1">
      <c r="A56" t="inlineStr">
        <is>
          <t>A 4146-2025</t>
        </is>
      </c>
      <c r="B56" s="1" t="n">
        <v>45685</v>
      </c>
      <c r="C56" s="1" t="n">
        <v>45826</v>
      </c>
      <c r="D56" t="inlineStr">
        <is>
          <t>JÄMTLANDS LÄN</t>
        </is>
      </c>
      <c r="E56" t="inlineStr">
        <is>
          <t>RAGUNDA</t>
        </is>
      </c>
      <c r="G56" t="n">
        <v>10.7</v>
      </c>
      <c r="H56" t="n">
        <v>1</v>
      </c>
      <c r="I56" t="n">
        <v>5</v>
      </c>
      <c r="J56" t="n">
        <v>2</v>
      </c>
      <c r="K56" t="n">
        <v>2</v>
      </c>
      <c r="L56" t="n">
        <v>0</v>
      </c>
      <c r="M56" t="n">
        <v>0</v>
      </c>
      <c r="N56" t="n">
        <v>0</v>
      </c>
      <c r="O56" t="n">
        <v>4</v>
      </c>
      <c r="P56" t="n">
        <v>2</v>
      </c>
      <c r="Q56" t="n">
        <v>9</v>
      </c>
      <c r="R56" s="2" t="inlineStr">
        <is>
          <t>Knärot
Kopparspindling
Kolflarnlav
Lunglav
Dropptaggsvamp
Dvärgtufs
Korallblylav
Skinnlav
Stuplav</t>
        </is>
      </c>
      <c r="S56">
        <f>HYPERLINK("https://klasma.github.io/Logging_2303/artfynd/A 4146-2025 artfynd.xlsx", "A 4146-2025")</f>
        <v/>
      </c>
      <c r="T56">
        <f>HYPERLINK("https://klasma.github.io/Logging_2303/kartor/A 4146-2025 karta.png", "A 4146-2025")</f>
        <v/>
      </c>
      <c r="U56">
        <f>HYPERLINK("https://klasma.github.io/Logging_2303/knärot/A 4146-2025 karta knärot.png", "A 4146-2025")</f>
        <v/>
      </c>
      <c r="V56">
        <f>HYPERLINK("https://klasma.github.io/Logging_2303/klagomål/A 4146-2025 FSC-klagomål.docx", "A 4146-2025")</f>
        <v/>
      </c>
      <c r="W56">
        <f>HYPERLINK("https://klasma.github.io/Logging_2303/klagomålsmail/A 4146-2025 FSC-klagomål mail.docx", "A 4146-2025")</f>
        <v/>
      </c>
      <c r="X56">
        <f>HYPERLINK("https://klasma.github.io/Logging_2303/tillsyn/A 4146-2025 tillsynsbegäran.docx", "A 4146-2025")</f>
        <v/>
      </c>
      <c r="Y56">
        <f>HYPERLINK("https://klasma.github.io/Logging_2303/tillsynsmail/A 4146-2025 tillsynsbegäran mail.docx", "A 4146-2025")</f>
        <v/>
      </c>
    </row>
    <row r="57" ht="15" customHeight="1">
      <c r="A57" t="inlineStr">
        <is>
          <t>A 56215-2020</t>
        </is>
      </c>
      <c r="B57" s="1" t="n">
        <v>44133</v>
      </c>
      <c r="C57" s="1" t="n">
        <v>45826</v>
      </c>
      <c r="D57" t="inlineStr">
        <is>
          <t>JÄMTLANDS LÄN</t>
        </is>
      </c>
      <c r="E57" t="inlineStr">
        <is>
          <t>RAGUNDA</t>
        </is>
      </c>
      <c r="F57" t="inlineStr">
        <is>
          <t>SCA</t>
        </is>
      </c>
      <c r="G57" t="n">
        <v>3.4</v>
      </c>
      <c r="H57" t="n">
        <v>2</v>
      </c>
      <c r="I57" t="n">
        <v>5</v>
      </c>
      <c r="J57" t="n">
        <v>2</v>
      </c>
      <c r="K57" t="n">
        <v>0</v>
      </c>
      <c r="L57" t="n">
        <v>0</v>
      </c>
      <c r="M57" t="n">
        <v>0</v>
      </c>
      <c r="N57" t="n">
        <v>0</v>
      </c>
      <c r="O57" t="n">
        <v>2</v>
      </c>
      <c r="P57" t="n">
        <v>0</v>
      </c>
      <c r="Q57" t="n">
        <v>8</v>
      </c>
      <c r="R57" s="2" t="inlineStr">
        <is>
          <t>Granticka
Lunglav
Guckusko
Kransrams
Svart trolldruva
Tibast
Vårärt
Blåsippa</t>
        </is>
      </c>
      <c r="S57">
        <f>HYPERLINK("https://klasma.github.io/Logging_2303/artfynd/A 56215-2020 artfynd.xlsx", "A 56215-2020")</f>
        <v/>
      </c>
      <c r="T57">
        <f>HYPERLINK("https://klasma.github.io/Logging_2303/kartor/A 56215-2020 karta.png", "A 56215-2020")</f>
        <v/>
      </c>
      <c r="V57">
        <f>HYPERLINK("https://klasma.github.io/Logging_2303/klagomål/A 56215-2020 FSC-klagomål.docx", "A 56215-2020")</f>
        <v/>
      </c>
      <c r="W57">
        <f>HYPERLINK("https://klasma.github.io/Logging_2303/klagomålsmail/A 56215-2020 FSC-klagomål mail.docx", "A 56215-2020")</f>
        <v/>
      </c>
      <c r="X57">
        <f>HYPERLINK("https://klasma.github.io/Logging_2303/tillsyn/A 56215-2020 tillsynsbegäran.docx", "A 56215-2020")</f>
        <v/>
      </c>
      <c r="Y57">
        <f>HYPERLINK("https://klasma.github.io/Logging_2303/tillsynsmail/A 56215-2020 tillsynsbegäran mail.docx", "A 56215-2020")</f>
        <v/>
      </c>
    </row>
    <row r="58" ht="15" customHeight="1">
      <c r="A58" t="inlineStr">
        <is>
          <t>A 13307-2022</t>
        </is>
      </c>
      <c r="B58" s="1" t="n">
        <v>44644</v>
      </c>
      <c r="C58" s="1" t="n">
        <v>45826</v>
      </c>
      <c r="D58" t="inlineStr">
        <is>
          <t>JÄMTLANDS LÄN</t>
        </is>
      </c>
      <c r="E58" t="inlineStr">
        <is>
          <t>RAGUNDA</t>
        </is>
      </c>
      <c r="F58" t="inlineStr">
        <is>
          <t>SCA</t>
        </is>
      </c>
      <c r="G58" t="n">
        <v>6.8</v>
      </c>
      <c r="H58" t="n">
        <v>0</v>
      </c>
      <c r="I58" t="n">
        <v>3</v>
      </c>
      <c r="J58" t="n">
        <v>4</v>
      </c>
      <c r="K58" t="n">
        <v>1</v>
      </c>
      <c r="L58" t="n">
        <v>0</v>
      </c>
      <c r="M58" t="n">
        <v>0</v>
      </c>
      <c r="N58" t="n">
        <v>0</v>
      </c>
      <c r="O58" t="n">
        <v>5</v>
      </c>
      <c r="P58" t="n">
        <v>1</v>
      </c>
      <c r="Q58" t="n">
        <v>8</v>
      </c>
      <c r="R58" s="2" t="inlineStr">
        <is>
          <t>Rynkskinn
Doftskinn
Lunglav
Ullticka
Vedtrappmossa
Bårdlav
Skuggblåslav
Vedticka</t>
        </is>
      </c>
      <c r="S58">
        <f>HYPERLINK("https://klasma.github.io/Logging_2303/artfynd/A 13307-2022 artfynd.xlsx", "A 13307-2022")</f>
        <v/>
      </c>
      <c r="T58">
        <f>HYPERLINK("https://klasma.github.io/Logging_2303/kartor/A 13307-2022 karta.png", "A 13307-2022")</f>
        <v/>
      </c>
      <c r="V58">
        <f>HYPERLINK("https://klasma.github.io/Logging_2303/klagomål/A 13307-2022 FSC-klagomål.docx", "A 13307-2022")</f>
        <v/>
      </c>
      <c r="W58">
        <f>HYPERLINK("https://klasma.github.io/Logging_2303/klagomålsmail/A 13307-2022 FSC-klagomål mail.docx", "A 13307-2022")</f>
        <v/>
      </c>
      <c r="X58">
        <f>HYPERLINK("https://klasma.github.io/Logging_2303/tillsyn/A 13307-2022 tillsynsbegäran.docx", "A 13307-2022")</f>
        <v/>
      </c>
      <c r="Y58">
        <f>HYPERLINK("https://klasma.github.io/Logging_2303/tillsynsmail/A 13307-2022 tillsynsbegäran mail.docx", "A 13307-2022")</f>
        <v/>
      </c>
    </row>
    <row r="59" ht="15" customHeight="1">
      <c r="A59" t="inlineStr">
        <is>
          <t>A 58448-2022</t>
        </is>
      </c>
      <c r="B59" s="1" t="n">
        <v>44901</v>
      </c>
      <c r="C59" s="1" t="n">
        <v>45826</v>
      </c>
      <c r="D59" t="inlineStr">
        <is>
          <t>JÄMTLANDS LÄN</t>
        </is>
      </c>
      <c r="E59" t="inlineStr">
        <is>
          <t>RAGUNDA</t>
        </is>
      </c>
      <c r="F59" t="inlineStr">
        <is>
          <t>SCA</t>
        </is>
      </c>
      <c r="G59" t="n">
        <v>2.2</v>
      </c>
      <c r="H59" t="n">
        <v>2</v>
      </c>
      <c r="I59" t="n">
        <v>3</v>
      </c>
      <c r="J59" t="n">
        <v>3</v>
      </c>
      <c r="K59" t="n">
        <v>1</v>
      </c>
      <c r="L59" t="n">
        <v>0</v>
      </c>
      <c r="M59" t="n">
        <v>0</v>
      </c>
      <c r="N59" t="n">
        <v>0</v>
      </c>
      <c r="O59" t="n">
        <v>4</v>
      </c>
      <c r="P59" t="n">
        <v>1</v>
      </c>
      <c r="Q59" t="n">
        <v>8</v>
      </c>
      <c r="R59" s="2" t="inlineStr">
        <is>
          <t>Knärot
Garnlav
Lunglav
Ullticka
Luddlav
Skinnlav
Stuplav
Revlummer</t>
        </is>
      </c>
      <c r="S59">
        <f>HYPERLINK("https://klasma.github.io/Logging_2303/artfynd/A 58448-2022 artfynd.xlsx", "A 58448-2022")</f>
        <v/>
      </c>
      <c r="T59">
        <f>HYPERLINK("https://klasma.github.io/Logging_2303/kartor/A 58448-2022 karta.png", "A 58448-2022")</f>
        <v/>
      </c>
      <c r="U59">
        <f>HYPERLINK("https://klasma.github.io/Logging_2303/knärot/A 58448-2022 karta knärot.png", "A 58448-2022")</f>
        <v/>
      </c>
      <c r="V59">
        <f>HYPERLINK("https://klasma.github.io/Logging_2303/klagomål/A 58448-2022 FSC-klagomål.docx", "A 58448-2022")</f>
        <v/>
      </c>
      <c r="W59">
        <f>HYPERLINK("https://klasma.github.io/Logging_2303/klagomålsmail/A 58448-2022 FSC-klagomål mail.docx", "A 58448-2022")</f>
        <v/>
      </c>
      <c r="X59">
        <f>HYPERLINK("https://klasma.github.io/Logging_2303/tillsyn/A 58448-2022 tillsynsbegäran.docx", "A 58448-2022")</f>
        <v/>
      </c>
      <c r="Y59">
        <f>HYPERLINK("https://klasma.github.io/Logging_2303/tillsynsmail/A 58448-2022 tillsynsbegäran mail.docx", "A 58448-2022")</f>
        <v/>
      </c>
    </row>
    <row r="60" ht="15" customHeight="1">
      <c r="A60" t="inlineStr">
        <is>
          <t>A 10527-2023</t>
        </is>
      </c>
      <c r="B60" s="1" t="n">
        <v>44987</v>
      </c>
      <c r="C60" s="1" t="n">
        <v>45826</v>
      </c>
      <c r="D60" t="inlineStr">
        <is>
          <t>JÄMTLANDS LÄN</t>
        </is>
      </c>
      <c r="E60" t="inlineStr">
        <is>
          <t>RAGUNDA</t>
        </is>
      </c>
      <c r="G60" t="n">
        <v>4.6</v>
      </c>
      <c r="H60" t="n">
        <v>1</v>
      </c>
      <c r="I60" t="n">
        <v>2</v>
      </c>
      <c r="J60" t="n">
        <v>4</v>
      </c>
      <c r="K60" t="n">
        <v>2</v>
      </c>
      <c r="L60" t="n">
        <v>0</v>
      </c>
      <c r="M60" t="n">
        <v>0</v>
      </c>
      <c r="N60" t="n">
        <v>0</v>
      </c>
      <c r="O60" t="n">
        <v>6</v>
      </c>
      <c r="P60" t="n">
        <v>2</v>
      </c>
      <c r="Q60" t="n">
        <v>8</v>
      </c>
      <c r="R60" s="2" t="inlineStr">
        <is>
          <t>Rynkskinn
Sprickporing
Lunglav
Spillkråka
Stjärntagging
Ullticka
Kransrams
Vedticka</t>
        </is>
      </c>
      <c r="S60">
        <f>HYPERLINK("https://klasma.github.io/Logging_2303/artfynd/A 10527-2023 artfynd.xlsx", "A 10527-2023")</f>
        <v/>
      </c>
      <c r="T60">
        <f>HYPERLINK("https://klasma.github.io/Logging_2303/kartor/A 10527-2023 karta.png", "A 10527-2023")</f>
        <v/>
      </c>
      <c r="V60">
        <f>HYPERLINK("https://klasma.github.io/Logging_2303/klagomål/A 10527-2023 FSC-klagomål.docx", "A 10527-2023")</f>
        <v/>
      </c>
      <c r="W60">
        <f>HYPERLINK("https://klasma.github.io/Logging_2303/klagomålsmail/A 10527-2023 FSC-klagomål mail.docx", "A 10527-2023")</f>
        <v/>
      </c>
      <c r="X60">
        <f>HYPERLINK("https://klasma.github.io/Logging_2303/tillsyn/A 10527-2023 tillsynsbegäran.docx", "A 10527-2023")</f>
        <v/>
      </c>
      <c r="Y60">
        <f>HYPERLINK("https://klasma.github.io/Logging_2303/tillsynsmail/A 10527-2023 tillsynsbegäran mail.docx", "A 10527-2023")</f>
        <v/>
      </c>
      <c r="Z60">
        <f>HYPERLINK("https://klasma.github.io/Logging_2303/fåglar/A 10527-2023 prioriterade fågelarter.docx", "A 10527-2023")</f>
        <v/>
      </c>
    </row>
    <row r="61" ht="15" customHeight="1">
      <c r="A61" t="inlineStr">
        <is>
          <t>A 31197-2023</t>
        </is>
      </c>
      <c r="B61" s="1" t="n">
        <v>45113</v>
      </c>
      <c r="C61" s="1" t="n">
        <v>45826</v>
      </c>
      <c r="D61" t="inlineStr">
        <is>
          <t>JÄMTLANDS LÄN</t>
        </is>
      </c>
      <c r="E61" t="inlineStr">
        <is>
          <t>RAGUNDA</t>
        </is>
      </c>
      <c r="F61" t="inlineStr">
        <is>
          <t>SCA</t>
        </is>
      </c>
      <c r="G61" t="n">
        <v>4.6</v>
      </c>
      <c r="H61" t="n">
        <v>0</v>
      </c>
      <c r="I61" t="n">
        <v>2</v>
      </c>
      <c r="J61" t="n">
        <v>4</v>
      </c>
      <c r="K61" t="n">
        <v>2</v>
      </c>
      <c r="L61" t="n">
        <v>0</v>
      </c>
      <c r="M61" t="n">
        <v>0</v>
      </c>
      <c r="N61" t="n">
        <v>0</v>
      </c>
      <c r="O61" t="n">
        <v>6</v>
      </c>
      <c r="P61" t="n">
        <v>2</v>
      </c>
      <c r="Q61" t="n">
        <v>8</v>
      </c>
      <c r="R61" s="2" t="inlineStr">
        <is>
          <t>Gräddporing
Smalfotad taggsvamp
Dvärgbägarlav
Skrovlig taggsvamp
Vaddporing
Vedskivlav
Dropptaggsvamp
Skarp dropptaggsvamp</t>
        </is>
      </c>
      <c r="S61">
        <f>HYPERLINK("https://klasma.github.io/Logging_2303/artfynd/A 31197-2023 artfynd.xlsx", "A 31197-2023")</f>
        <v/>
      </c>
      <c r="T61">
        <f>HYPERLINK("https://klasma.github.io/Logging_2303/kartor/A 31197-2023 karta.png", "A 31197-2023")</f>
        <v/>
      </c>
      <c r="V61">
        <f>HYPERLINK("https://klasma.github.io/Logging_2303/klagomål/A 31197-2023 FSC-klagomål.docx", "A 31197-2023")</f>
        <v/>
      </c>
      <c r="W61">
        <f>HYPERLINK("https://klasma.github.io/Logging_2303/klagomålsmail/A 31197-2023 FSC-klagomål mail.docx", "A 31197-2023")</f>
        <v/>
      </c>
      <c r="X61">
        <f>HYPERLINK("https://klasma.github.io/Logging_2303/tillsyn/A 31197-2023 tillsynsbegäran.docx", "A 31197-2023")</f>
        <v/>
      </c>
      <c r="Y61">
        <f>HYPERLINK("https://klasma.github.io/Logging_2303/tillsynsmail/A 31197-2023 tillsynsbegäran mail.docx", "A 31197-2023")</f>
        <v/>
      </c>
    </row>
    <row r="62" ht="15" customHeight="1">
      <c r="A62" t="inlineStr">
        <is>
          <t>A 32475-2023</t>
        </is>
      </c>
      <c r="B62" s="1" t="n">
        <v>45120</v>
      </c>
      <c r="C62" s="1" t="n">
        <v>45826</v>
      </c>
      <c r="D62" t="inlineStr">
        <is>
          <t>JÄMTLANDS LÄN</t>
        </is>
      </c>
      <c r="E62" t="inlineStr">
        <is>
          <t>RAGUNDA</t>
        </is>
      </c>
      <c r="F62" t="inlineStr">
        <is>
          <t>SCA</t>
        </is>
      </c>
      <c r="G62" t="n">
        <v>2.4</v>
      </c>
      <c r="H62" t="n">
        <v>1</v>
      </c>
      <c r="I62" t="n">
        <v>3</v>
      </c>
      <c r="J62" t="n">
        <v>5</v>
      </c>
      <c r="K62" t="n">
        <v>0</v>
      </c>
      <c r="L62" t="n">
        <v>0</v>
      </c>
      <c r="M62" t="n">
        <v>0</v>
      </c>
      <c r="N62" t="n">
        <v>0</v>
      </c>
      <c r="O62" t="n">
        <v>5</v>
      </c>
      <c r="P62" t="n">
        <v>0</v>
      </c>
      <c r="Q62" t="n">
        <v>8</v>
      </c>
      <c r="R62" s="2" t="inlineStr">
        <is>
          <t>Blanksvart spiklav
Garnlav
Lunglav
Motaggsvamp
Tretåig hackspett
Dropptaggsvamp
Luddlav
Skarp dropptaggsvamp</t>
        </is>
      </c>
      <c r="S62">
        <f>HYPERLINK("https://klasma.github.io/Logging_2303/artfynd/A 32475-2023 artfynd.xlsx", "A 32475-2023")</f>
        <v/>
      </c>
      <c r="T62">
        <f>HYPERLINK("https://klasma.github.io/Logging_2303/kartor/A 32475-2023 karta.png", "A 32475-2023")</f>
        <v/>
      </c>
      <c r="V62">
        <f>HYPERLINK("https://klasma.github.io/Logging_2303/klagomål/A 32475-2023 FSC-klagomål.docx", "A 32475-2023")</f>
        <v/>
      </c>
      <c r="W62">
        <f>HYPERLINK("https://klasma.github.io/Logging_2303/klagomålsmail/A 32475-2023 FSC-klagomål mail.docx", "A 32475-2023")</f>
        <v/>
      </c>
      <c r="X62">
        <f>HYPERLINK("https://klasma.github.io/Logging_2303/tillsyn/A 32475-2023 tillsynsbegäran.docx", "A 32475-2023")</f>
        <v/>
      </c>
      <c r="Y62">
        <f>HYPERLINK("https://klasma.github.io/Logging_2303/tillsynsmail/A 32475-2023 tillsynsbegäran mail.docx", "A 32475-2023")</f>
        <v/>
      </c>
      <c r="Z62">
        <f>HYPERLINK("https://klasma.github.io/Logging_2303/fåglar/A 32475-2023 prioriterade fågelarter.docx", "A 32475-2023")</f>
        <v/>
      </c>
    </row>
    <row r="63" ht="15" customHeight="1">
      <c r="A63" t="inlineStr">
        <is>
          <t>A 3634-2024</t>
        </is>
      </c>
      <c r="B63" s="1" t="n">
        <v>45320</v>
      </c>
      <c r="C63" s="1" t="n">
        <v>45826</v>
      </c>
      <c r="D63" t="inlineStr">
        <is>
          <t>JÄMTLANDS LÄN</t>
        </is>
      </c>
      <c r="E63" t="inlineStr">
        <is>
          <t>RAGUNDA</t>
        </is>
      </c>
      <c r="F63" t="inlineStr">
        <is>
          <t>SCA</t>
        </is>
      </c>
      <c r="G63" t="n">
        <v>3.5</v>
      </c>
      <c r="H63" t="n">
        <v>1</v>
      </c>
      <c r="I63" t="n">
        <v>4</v>
      </c>
      <c r="J63" t="n">
        <v>3</v>
      </c>
      <c r="K63" t="n">
        <v>1</v>
      </c>
      <c r="L63" t="n">
        <v>0</v>
      </c>
      <c r="M63" t="n">
        <v>0</v>
      </c>
      <c r="N63" t="n">
        <v>0</v>
      </c>
      <c r="O63" t="n">
        <v>4</v>
      </c>
      <c r="P63" t="n">
        <v>1</v>
      </c>
      <c r="Q63" t="n">
        <v>8</v>
      </c>
      <c r="R63" s="2" t="inlineStr">
        <is>
          <t>Smalfotad taggsvamp
Garnlav
Kolflarnlav
Lunglav
Korallrot
Luddlav
Norrlandslav
Spädstarr</t>
        </is>
      </c>
      <c r="S63">
        <f>HYPERLINK("https://klasma.github.io/Logging_2303/artfynd/A 3634-2024 artfynd.xlsx", "A 3634-2024")</f>
        <v/>
      </c>
      <c r="T63">
        <f>HYPERLINK("https://klasma.github.io/Logging_2303/kartor/A 3634-2024 karta.png", "A 3634-2024")</f>
        <v/>
      </c>
      <c r="V63">
        <f>HYPERLINK("https://klasma.github.io/Logging_2303/klagomål/A 3634-2024 FSC-klagomål.docx", "A 3634-2024")</f>
        <v/>
      </c>
      <c r="W63">
        <f>HYPERLINK("https://klasma.github.io/Logging_2303/klagomålsmail/A 3634-2024 FSC-klagomål mail.docx", "A 3634-2024")</f>
        <v/>
      </c>
      <c r="X63">
        <f>HYPERLINK("https://klasma.github.io/Logging_2303/tillsyn/A 3634-2024 tillsynsbegäran.docx", "A 3634-2024")</f>
        <v/>
      </c>
      <c r="Y63">
        <f>HYPERLINK("https://klasma.github.io/Logging_2303/tillsynsmail/A 3634-2024 tillsynsbegäran mail.docx", "A 3634-2024")</f>
        <v/>
      </c>
    </row>
    <row r="64" ht="15" customHeight="1">
      <c r="A64" t="inlineStr">
        <is>
          <t>A 11986-2024</t>
        </is>
      </c>
      <c r="B64" s="1" t="n">
        <v>45376</v>
      </c>
      <c r="C64" s="1" t="n">
        <v>45826</v>
      </c>
      <c r="D64" t="inlineStr">
        <is>
          <t>JÄMTLANDS LÄN</t>
        </is>
      </c>
      <c r="E64" t="inlineStr">
        <is>
          <t>RAGUNDA</t>
        </is>
      </c>
      <c r="F64" t="inlineStr">
        <is>
          <t>SCA</t>
        </is>
      </c>
      <c r="G64" t="n">
        <v>4.6</v>
      </c>
      <c r="H64" t="n">
        <v>0</v>
      </c>
      <c r="I64" t="n">
        <v>2</v>
      </c>
      <c r="J64" t="n">
        <v>6</v>
      </c>
      <c r="K64" t="n">
        <v>0</v>
      </c>
      <c r="L64" t="n">
        <v>0</v>
      </c>
      <c r="M64" t="n">
        <v>0</v>
      </c>
      <c r="N64" t="n">
        <v>0</v>
      </c>
      <c r="O64" t="n">
        <v>6</v>
      </c>
      <c r="P64" t="n">
        <v>0</v>
      </c>
      <c r="Q64" t="n">
        <v>8</v>
      </c>
      <c r="R64" s="2" t="inlineStr">
        <is>
          <t>Dvärgbägarlav
Garnlav
Kolflarnlav
Lunglav
Mörk kolflarnlav
Nordtagging
Dropptaggsvamp
Skarp dropptaggsvamp</t>
        </is>
      </c>
      <c r="S64">
        <f>HYPERLINK("https://klasma.github.io/Logging_2303/artfynd/A 11986-2024 artfynd.xlsx", "A 11986-2024")</f>
        <v/>
      </c>
      <c r="T64">
        <f>HYPERLINK("https://klasma.github.io/Logging_2303/kartor/A 11986-2024 karta.png", "A 11986-2024")</f>
        <v/>
      </c>
      <c r="V64">
        <f>HYPERLINK("https://klasma.github.io/Logging_2303/klagomål/A 11986-2024 FSC-klagomål.docx", "A 11986-2024")</f>
        <v/>
      </c>
      <c r="W64">
        <f>HYPERLINK("https://klasma.github.io/Logging_2303/klagomålsmail/A 11986-2024 FSC-klagomål mail.docx", "A 11986-2024")</f>
        <v/>
      </c>
      <c r="X64">
        <f>HYPERLINK("https://klasma.github.io/Logging_2303/tillsyn/A 11986-2024 tillsynsbegäran.docx", "A 11986-2024")</f>
        <v/>
      </c>
      <c r="Y64">
        <f>HYPERLINK("https://klasma.github.io/Logging_2303/tillsynsmail/A 11986-2024 tillsynsbegäran mail.docx", "A 11986-2024")</f>
        <v/>
      </c>
    </row>
    <row r="65" ht="15" customHeight="1">
      <c r="A65" t="inlineStr">
        <is>
          <t>A 17812-2024</t>
        </is>
      </c>
      <c r="B65" s="1" t="n">
        <v>45419</v>
      </c>
      <c r="C65" s="1" t="n">
        <v>45826</v>
      </c>
      <c r="D65" t="inlineStr">
        <is>
          <t>JÄMTLANDS LÄN</t>
        </is>
      </c>
      <c r="E65" t="inlineStr">
        <is>
          <t>RAGUNDA</t>
        </is>
      </c>
      <c r="G65" t="n">
        <v>12.7</v>
      </c>
      <c r="H65" t="n">
        <v>3</v>
      </c>
      <c r="I65" t="n">
        <v>2</v>
      </c>
      <c r="J65" t="n">
        <v>3</v>
      </c>
      <c r="K65" t="n">
        <v>1</v>
      </c>
      <c r="L65" t="n">
        <v>0</v>
      </c>
      <c r="M65" t="n">
        <v>0</v>
      </c>
      <c r="N65" t="n">
        <v>0</v>
      </c>
      <c r="O65" t="n">
        <v>4</v>
      </c>
      <c r="P65" t="n">
        <v>1</v>
      </c>
      <c r="Q65" t="n">
        <v>8</v>
      </c>
      <c r="R65" s="2" t="inlineStr">
        <is>
          <t>Knärot
Garnlav
Lunglav
Skrovellav
Korallblylav
Vedticka
Fläcknycklar
Blåsippa</t>
        </is>
      </c>
      <c r="S65">
        <f>HYPERLINK("https://klasma.github.io/Logging_2303/artfynd/A 17812-2024 artfynd.xlsx", "A 17812-2024")</f>
        <v/>
      </c>
      <c r="T65">
        <f>HYPERLINK("https://klasma.github.io/Logging_2303/kartor/A 17812-2024 karta.png", "A 17812-2024")</f>
        <v/>
      </c>
      <c r="U65">
        <f>HYPERLINK("https://klasma.github.io/Logging_2303/knärot/A 17812-2024 karta knärot.png", "A 17812-2024")</f>
        <v/>
      </c>
      <c r="V65">
        <f>HYPERLINK("https://klasma.github.io/Logging_2303/klagomål/A 17812-2024 FSC-klagomål.docx", "A 17812-2024")</f>
        <v/>
      </c>
      <c r="W65">
        <f>HYPERLINK("https://klasma.github.io/Logging_2303/klagomålsmail/A 17812-2024 FSC-klagomål mail.docx", "A 17812-2024")</f>
        <v/>
      </c>
      <c r="X65">
        <f>HYPERLINK("https://klasma.github.io/Logging_2303/tillsyn/A 17812-2024 tillsynsbegäran.docx", "A 17812-2024")</f>
        <v/>
      </c>
      <c r="Y65">
        <f>HYPERLINK("https://klasma.github.io/Logging_2303/tillsynsmail/A 17812-2024 tillsynsbegäran mail.docx", "A 17812-2024")</f>
        <v/>
      </c>
    </row>
    <row r="66" ht="15" customHeight="1">
      <c r="A66" t="inlineStr">
        <is>
          <t>A 17793-2024</t>
        </is>
      </c>
      <c r="B66" s="1" t="n">
        <v>45418</v>
      </c>
      <c r="C66" s="1" t="n">
        <v>45826</v>
      </c>
      <c r="D66" t="inlineStr">
        <is>
          <t>JÄMTLANDS LÄN</t>
        </is>
      </c>
      <c r="E66" t="inlineStr">
        <is>
          <t>RAGUNDA</t>
        </is>
      </c>
      <c r="F66" t="inlineStr">
        <is>
          <t>Kommuner</t>
        </is>
      </c>
      <c r="G66" t="n">
        <v>19.6</v>
      </c>
      <c r="H66" t="n">
        <v>1</v>
      </c>
      <c r="I66" t="n">
        <v>1</v>
      </c>
      <c r="J66" t="n">
        <v>6</v>
      </c>
      <c r="K66" t="n">
        <v>0</v>
      </c>
      <c r="L66" t="n">
        <v>0</v>
      </c>
      <c r="M66" t="n">
        <v>0</v>
      </c>
      <c r="N66" t="n">
        <v>0</v>
      </c>
      <c r="O66" t="n">
        <v>6</v>
      </c>
      <c r="P66" t="n">
        <v>0</v>
      </c>
      <c r="Q66" t="n">
        <v>8</v>
      </c>
      <c r="R66" s="2" t="inlineStr">
        <is>
          <t>Blanksvart spiklav
Blågrå svartspik
Garnlav
Mörk kolflarnlav
Vedflamlav
Vedskivlav
Dropptaggsvamp
Skogsödla</t>
        </is>
      </c>
      <c r="S66">
        <f>HYPERLINK("https://klasma.github.io/Logging_2303/artfynd/A 17793-2024 artfynd.xlsx", "A 17793-2024")</f>
        <v/>
      </c>
      <c r="T66">
        <f>HYPERLINK("https://klasma.github.io/Logging_2303/kartor/A 17793-2024 karta.png", "A 17793-2024")</f>
        <v/>
      </c>
      <c r="V66">
        <f>HYPERLINK("https://klasma.github.io/Logging_2303/klagomål/A 17793-2024 FSC-klagomål.docx", "A 17793-2024")</f>
        <v/>
      </c>
      <c r="W66">
        <f>HYPERLINK("https://klasma.github.io/Logging_2303/klagomålsmail/A 17793-2024 FSC-klagomål mail.docx", "A 17793-2024")</f>
        <v/>
      </c>
      <c r="X66">
        <f>HYPERLINK("https://klasma.github.io/Logging_2303/tillsyn/A 17793-2024 tillsynsbegäran.docx", "A 17793-2024")</f>
        <v/>
      </c>
      <c r="Y66">
        <f>HYPERLINK("https://klasma.github.io/Logging_2303/tillsynsmail/A 17793-2024 tillsynsbegäran mail.docx", "A 17793-2024")</f>
        <v/>
      </c>
    </row>
    <row r="67" ht="15" customHeight="1">
      <c r="A67" t="inlineStr">
        <is>
          <t>A 41415-2024</t>
        </is>
      </c>
      <c r="B67" s="1" t="n">
        <v>45560</v>
      </c>
      <c r="C67" s="1" t="n">
        <v>45826</v>
      </c>
      <c r="D67" t="inlineStr">
        <is>
          <t>JÄMTLANDS LÄN</t>
        </is>
      </c>
      <c r="E67" t="inlineStr">
        <is>
          <t>RAGUNDA</t>
        </is>
      </c>
      <c r="F67" t="inlineStr">
        <is>
          <t>SCA</t>
        </is>
      </c>
      <c r="G67" t="n">
        <v>4.3</v>
      </c>
      <c r="H67" t="n">
        <v>0</v>
      </c>
      <c r="I67" t="n">
        <v>1</v>
      </c>
      <c r="J67" t="n">
        <v>7</v>
      </c>
      <c r="K67" t="n">
        <v>0</v>
      </c>
      <c r="L67" t="n">
        <v>0</v>
      </c>
      <c r="M67" t="n">
        <v>0</v>
      </c>
      <c r="N67" t="n">
        <v>0</v>
      </c>
      <c r="O67" t="n">
        <v>7</v>
      </c>
      <c r="P67" t="n">
        <v>0</v>
      </c>
      <c r="Q67" t="n">
        <v>8</v>
      </c>
      <c r="R67" s="2" t="inlineStr">
        <is>
          <t>Dvärgbägarlav
Garnlav
Mörk kolflarnlav
Orange taggsvamp
Reliktbock
Vaddporing
Vedskivlav
Dropptaggsvamp</t>
        </is>
      </c>
      <c r="S67">
        <f>HYPERLINK("https://klasma.github.io/Logging_2303/artfynd/A 41415-2024 artfynd.xlsx", "A 41415-2024")</f>
        <v/>
      </c>
      <c r="T67">
        <f>HYPERLINK("https://klasma.github.io/Logging_2303/kartor/A 41415-2024 karta.png", "A 41415-2024")</f>
        <v/>
      </c>
      <c r="V67">
        <f>HYPERLINK("https://klasma.github.io/Logging_2303/klagomål/A 41415-2024 FSC-klagomål.docx", "A 41415-2024")</f>
        <v/>
      </c>
      <c r="W67">
        <f>HYPERLINK("https://klasma.github.io/Logging_2303/klagomålsmail/A 41415-2024 FSC-klagomål mail.docx", "A 41415-2024")</f>
        <v/>
      </c>
      <c r="X67">
        <f>HYPERLINK("https://klasma.github.io/Logging_2303/tillsyn/A 41415-2024 tillsynsbegäran.docx", "A 41415-2024")</f>
        <v/>
      </c>
      <c r="Y67">
        <f>HYPERLINK("https://klasma.github.io/Logging_2303/tillsynsmail/A 41415-2024 tillsynsbegäran mail.docx", "A 41415-2024")</f>
        <v/>
      </c>
    </row>
    <row r="68" ht="15" customHeight="1">
      <c r="A68" t="inlineStr">
        <is>
          <t>A 55465-2024</t>
        </is>
      </c>
      <c r="B68" s="1" t="n">
        <v>45622</v>
      </c>
      <c r="C68" s="1" t="n">
        <v>45826</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45826</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56211-2020</t>
        </is>
      </c>
      <c r="B70" s="1" t="n">
        <v>44133</v>
      </c>
      <c r="C70" s="1" t="n">
        <v>45826</v>
      </c>
      <c r="D70" t="inlineStr">
        <is>
          <t>JÄMTLANDS LÄN</t>
        </is>
      </c>
      <c r="E70" t="inlineStr">
        <is>
          <t>RAGUNDA</t>
        </is>
      </c>
      <c r="F70" t="inlineStr">
        <is>
          <t>SCA</t>
        </is>
      </c>
      <c r="G70" t="n">
        <v>7.1</v>
      </c>
      <c r="H70" t="n">
        <v>1</v>
      </c>
      <c r="I70" t="n">
        <v>4</v>
      </c>
      <c r="J70" t="n">
        <v>2</v>
      </c>
      <c r="K70" t="n">
        <v>0</v>
      </c>
      <c r="L70" t="n">
        <v>0</v>
      </c>
      <c r="M70" t="n">
        <v>0</v>
      </c>
      <c r="N70" t="n">
        <v>0</v>
      </c>
      <c r="O70" t="n">
        <v>2</v>
      </c>
      <c r="P70" t="n">
        <v>0</v>
      </c>
      <c r="Q70" t="n">
        <v>7</v>
      </c>
      <c r="R70" s="2" t="inlineStr">
        <is>
          <t>Kolflarnlav
Lunglav
Korallblylav
Skinnlav
Stor aspticka
Vårärt
Blåsippa</t>
        </is>
      </c>
      <c r="S70">
        <f>HYPERLINK("https://klasma.github.io/Logging_2303/artfynd/A 56211-2020 artfynd.xlsx", "A 56211-2020")</f>
        <v/>
      </c>
      <c r="T70">
        <f>HYPERLINK("https://klasma.github.io/Logging_2303/kartor/A 56211-2020 karta.png", "A 56211-2020")</f>
        <v/>
      </c>
      <c r="V70">
        <f>HYPERLINK("https://klasma.github.io/Logging_2303/klagomål/A 56211-2020 FSC-klagomål.docx", "A 56211-2020")</f>
        <v/>
      </c>
      <c r="W70">
        <f>HYPERLINK("https://klasma.github.io/Logging_2303/klagomålsmail/A 56211-2020 FSC-klagomål mail.docx", "A 56211-2020")</f>
        <v/>
      </c>
      <c r="X70">
        <f>HYPERLINK("https://klasma.github.io/Logging_2303/tillsyn/A 56211-2020 tillsynsbegäran.docx", "A 56211-2020")</f>
        <v/>
      </c>
      <c r="Y70">
        <f>HYPERLINK("https://klasma.github.io/Logging_2303/tillsynsmail/A 56211-2020 tillsynsbegäran mail.docx", "A 56211-2020")</f>
        <v/>
      </c>
    </row>
    <row r="71" ht="15" customHeight="1">
      <c r="A71" t="inlineStr">
        <is>
          <t>A 24169-2021</t>
        </is>
      </c>
      <c r="B71" s="1" t="n">
        <v>44336</v>
      </c>
      <c r="C71" s="1" t="n">
        <v>45826</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45020-2021</t>
        </is>
      </c>
      <c r="B72" s="1" t="n">
        <v>44438</v>
      </c>
      <c r="C72" s="1" t="n">
        <v>45826</v>
      </c>
      <c r="D72" t="inlineStr">
        <is>
          <t>JÄMTLANDS LÄN</t>
        </is>
      </c>
      <c r="E72" t="inlineStr">
        <is>
          <t>RAGUNDA</t>
        </is>
      </c>
      <c r="F72" t="inlineStr">
        <is>
          <t>SCA</t>
        </is>
      </c>
      <c r="G72" t="n">
        <v>3.1</v>
      </c>
      <c r="H72" t="n">
        <v>0</v>
      </c>
      <c r="I72" t="n">
        <v>0</v>
      </c>
      <c r="J72" t="n">
        <v>6</v>
      </c>
      <c r="K72" t="n">
        <v>1</v>
      </c>
      <c r="L72" t="n">
        <v>0</v>
      </c>
      <c r="M72" t="n">
        <v>0</v>
      </c>
      <c r="N72" t="n">
        <v>0</v>
      </c>
      <c r="O72" t="n">
        <v>7</v>
      </c>
      <c r="P72" t="n">
        <v>1</v>
      </c>
      <c r="Q72" t="n">
        <v>7</v>
      </c>
      <c r="R72" s="2" t="inlineStr">
        <is>
          <t>Fläckporing
Blanksvart spiklav
Dvärgbägarlav
Mörk kolflarnlav
Nordtagging
Vedskivlav
Vitplätt</t>
        </is>
      </c>
      <c r="S72">
        <f>HYPERLINK("https://klasma.github.io/Logging_2303/artfynd/A 45020-2021 artfynd.xlsx", "A 45020-2021")</f>
        <v/>
      </c>
      <c r="T72">
        <f>HYPERLINK("https://klasma.github.io/Logging_2303/kartor/A 45020-2021 karta.png", "A 45020-2021")</f>
        <v/>
      </c>
      <c r="V72">
        <f>HYPERLINK("https://klasma.github.io/Logging_2303/klagomål/A 45020-2021 FSC-klagomål.docx", "A 45020-2021")</f>
        <v/>
      </c>
      <c r="W72">
        <f>HYPERLINK("https://klasma.github.io/Logging_2303/klagomålsmail/A 45020-2021 FSC-klagomål mail.docx", "A 45020-2021")</f>
        <v/>
      </c>
      <c r="X72">
        <f>HYPERLINK("https://klasma.github.io/Logging_2303/tillsyn/A 45020-2021 tillsynsbegäran.docx", "A 45020-2021")</f>
        <v/>
      </c>
      <c r="Y72">
        <f>HYPERLINK("https://klasma.github.io/Logging_2303/tillsynsmail/A 45020-2021 tillsynsbegäran mail.docx", "A 45020-2021")</f>
        <v/>
      </c>
    </row>
    <row r="73" ht="15" customHeight="1">
      <c r="A73" t="inlineStr">
        <is>
          <t>A 15665-2022</t>
        </is>
      </c>
      <c r="B73" s="1" t="n">
        <v>44662</v>
      </c>
      <c r="C73" s="1" t="n">
        <v>45826</v>
      </c>
      <c r="D73" t="inlineStr">
        <is>
          <t>JÄMTLANDS LÄN</t>
        </is>
      </c>
      <c r="E73" t="inlineStr">
        <is>
          <t>RAGUNDA</t>
        </is>
      </c>
      <c r="F73" t="inlineStr">
        <is>
          <t>SCA</t>
        </is>
      </c>
      <c r="G73" t="n">
        <v>4.8</v>
      </c>
      <c r="H73" t="n">
        <v>3</v>
      </c>
      <c r="I73" t="n">
        <v>1</v>
      </c>
      <c r="J73" t="n">
        <v>5</v>
      </c>
      <c r="K73" t="n">
        <v>0</v>
      </c>
      <c r="L73" t="n">
        <v>0</v>
      </c>
      <c r="M73" t="n">
        <v>0</v>
      </c>
      <c r="N73" t="n">
        <v>0</v>
      </c>
      <c r="O73" t="n">
        <v>5</v>
      </c>
      <c r="P73" t="n">
        <v>0</v>
      </c>
      <c r="Q73" t="n">
        <v>7</v>
      </c>
      <c r="R73" s="2" t="inlineStr">
        <is>
          <t>Garnlav
Granticka
Spillkråka
Tretåig hackspett
Ullticka
Vedticka
Revlummer</t>
        </is>
      </c>
      <c r="S73">
        <f>HYPERLINK("https://klasma.github.io/Logging_2303/artfynd/A 15665-2022 artfynd.xlsx", "A 15665-2022")</f>
        <v/>
      </c>
      <c r="T73">
        <f>HYPERLINK("https://klasma.github.io/Logging_2303/kartor/A 15665-2022 karta.png", "A 15665-2022")</f>
        <v/>
      </c>
      <c r="V73">
        <f>HYPERLINK("https://klasma.github.io/Logging_2303/klagomål/A 15665-2022 FSC-klagomål.docx", "A 15665-2022")</f>
        <v/>
      </c>
      <c r="W73">
        <f>HYPERLINK("https://klasma.github.io/Logging_2303/klagomålsmail/A 15665-2022 FSC-klagomål mail.docx", "A 15665-2022")</f>
        <v/>
      </c>
      <c r="X73">
        <f>HYPERLINK("https://klasma.github.io/Logging_2303/tillsyn/A 15665-2022 tillsynsbegäran.docx", "A 15665-2022")</f>
        <v/>
      </c>
      <c r="Y73">
        <f>HYPERLINK("https://klasma.github.io/Logging_2303/tillsynsmail/A 15665-2022 tillsynsbegäran mail.docx", "A 15665-2022")</f>
        <v/>
      </c>
      <c r="Z73">
        <f>HYPERLINK("https://klasma.github.io/Logging_2303/fåglar/A 15665-2022 prioriterade fågelarter.docx", "A 15665-2022")</f>
        <v/>
      </c>
    </row>
    <row r="74" ht="15" customHeight="1">
      <c r="A74" t="inlineStr">
        <is>
          <t>A 36693-2022</t>
        </is>
      </c>
      <c r="B74" s="1" t="n">
        <v>44804</v>
      </c>
      <c r="C74" s="1" t="n">
        <v>45826</v>
      </c>
      <c r="D74" t="inlineStr">
        <is>
          <t>JÄMTLANDS LÄN</t>
        </is>
      </c>
      <c r="E74" t="inlineStr">
        <is>
          <t>RAGUNDA</t>
        </is>
      </c>
      <c r="F74" t="inlineStr">
        <is>
          <t>SCA</t>
        </is>
      </c>
      <c r="G74" t="n">
        <v>9.1</v>
      </c>
      <c r="H74" t="n">
        <v>2</v>
      </c>
      <c r="I74" t="n">
        <v>0</v>
      </c>
      <c r="J74" t="n">
        <v>7</v>
      </c>
      <c r="K74" t="n">
        <v>0</v>
      </c>
      <c r="L74" t="n">
        <v>0</v>
      </c>
      <c r="M74" t="n">
        <v>0</v>
      </c>
      <c r="N74" t="n">
        <v>0</v>
      </c>
      <c r="O74" t="n">
        <v>7</v>
      </c>
      <c r="P74" t="n">
        <v>0</v>
      </c>
      <c r="Q74" t="n">
        <v>7</v>
      </c>
      <c r="R74" s="2" t="inlineStr">
        <is>
          <t>Garnlav
Harticka
Lunglav
Talltita
Tretåig hackspett
Ullticka
Vitgrynig nållav</t>
        </is>
      </c>
      <c r="S74">
        <f>HYPERLINK("https://klasma.github.io/Logging_2303/artfynd/A 36693-2022 artfynd.xlsx", "A 36693-2022")</f>
        <v/>
      </c>
      <c r="T74">
        <f>HYPERLINK("https://klasma.github.io/Logging_2303/kartor/A 36693-2022 karta.png", "A 36693-2022")</f>
        <v/>
      </c>
      <c r="V74">
        <f>HYPERLINK("https://klasma.github.io/Logging_2303/klagomål/A 36693-2022 FSC-klagomål.docx", "A 36693-2022")</f>
        <v/>
      </c>
      <c r="W74">
        <f>HYPERLINK("https://klasma.github.io/Logging_2303/klagomålsmail/A 36693-2022 FSC-klagomål mail.docx", "A 36693-2022")</f>
        <v/>
      </c>
      <c r="X74">
        <f>HYPERLINK("https://klasma.github.io/Logging_2303/tillsyn/A 36693-2022 tillsynsbegäran.docx", "A 36693-2022")</f>
        <v/>
      </c>
      <c r="Y74">
        <f>HYPERLINK("https://klasma.github.io/Logging_2303/tillsynsmail/A 36693-2022 tillsynsbegäran mail.docx", "A 36693-2022")</f>
        <v/>
      </c>
      <c r="Z74">
        <f>HYPERLINK("https://klasma.github.io/Logging_2303/fåglar/A 36693-2022 prioriterade fågelarter.docx", "A 36693-2022")</f>
        <v/>
      </c>
    </row>
    <row r="75" ht="15" customHeight="1">
      <c r="A75" t="inlineStr">
        <is>
          <t>A 61386-2022</t>
        </is>
      </c>
      <c r="B75" s="1" t="n">
        <v>44915</v>
      </c>
      <c r="C75" s="1" t="n">
        <v>45826</v>
      </c>
      <c r="D75" t="inlineStr">
        <is>
          <t>JÄMTLANDS LÄN</t>
        </is>
      </c>
      <c r="E75" t="inlineStr">
        <is>
          <t>RAGUNDA</t>
        </is>
      </c>
      <c r="F75" t="inlineStr">
        <is>
          <t>Övriga Aktiebolag</t>
        </is>
      </c>
      <c r="G75" t="n">
        <v>19.7</v>
      </c>
      <c r="H75" t="n">
        <v>1</v>
      </c>
      <c r="I75" t="n">
        <v>2</v>
      </c>
      <c r="J75" t="n">
        <v>3</v>
      </c>
      <c r="K75" t="n">
        <v>2</v>
      </c>
      <c r="L75" t="n">
        <v>0</v>
      </c>
      <c r="M75" t="n">
        <v>0</v>
      </c>
      <c r="N75" t="n">
        <v>0</v>
      </c>
      <c r="O75" t="n">
        <v>5</v>
      </c>
      <c r="P75" t="n">
        <v>2</v>
      </c>
      <c r="Q75" t="n">
        <v>7</v>
      </c>
      <c r="R75" s="2" t="inlineStr">
        <is>
          <t>Knärot
Rynkskinn
Lunglav
Rosenticka
Ullticka
Svart trolldruva
Vanlig flatbagge</t>
        </is>
      </c>
      <c r="S75">
        <f>HYPERLINK("https://klasma.github.io/Logging_2303/artfynd/A 61386-2022 artfynd.xlsx", "A 61386-2022")</f>
        <v/>
      </c>
      <c r="T75">
        <f>HYPERLINK("https://klasma.github.io/Logging_2303/kartor/A 61386-2022 karta.png", "A 61386-2022")</f>
        <v/>
      </c>
      <c r="U75">
        <f>HYPERLINK("https://klasma.github.io/Logging_2303/knärot/A 61386-2022 karta knärot.png", "A 61386-2022")</f>
        <v/>
      </c>
      <c r="V75">
        <f>HYPERLINK("https://klasma.github.io/Logging_2303/klagomål/A 61386-2022 FSC-klagomål.docx", "A 61386-2022")</f>
        <v/>
      </c>
      <c r="W75">
        <f>HYPERLINK("https://klasma.github.io/Logging_2303/klagomålsmail/A 61386-2022 FSC-klagomål mail.docx", "A 61386-2022")</f>
        <v/>
      </c>
      <c r="X75">
        <f>HYPERLINK("https://klasma.github.io/Logging_2303/tillsyn/A 61386-2022 tillsynsbegäran.docx", "A 61386-2022")</f>
        <v/>
      </c>
      <c r="Y75">
        <f>HYPERLINK("https://klasma.github.io/Logging_2303/tillsynsmail/A 61386-2022 tillsynsbegäran mail.docx", "A 61386-2022")</f>
        <v/>
      </c>
    </row>
    <row r="76" ht="15" customHeight="1">
      <c r="A76" t="inlineStr">
        <is>
          <t>A 11829-2023</t>
        </is>
      </c>
      <c r="B76" s="1" t="n">
        <v>44994</v>
      </c>
      <c r="C76" s="1" t="n">
        <v>45826</v>
      </c>
      <c r="D76" t="inlineStr">
        <is>
          <t>JÄMTLANDS LÄN</t>
        </is>
      </c>
      <c r="E76" t="inlineStr">
        <is>
          <t>RAGUNDA</t>
        </is>
      </c>
      <c r="F76" t="inlineStr">
        <is>
          <t>SCA</t>
        </is>
      </c>
      <c r="G76" t="n">
        <v>1.8</v>
      </c>
      <c r="H76" t="n">
        <v>0</v>
      </c>
      <c r="I76" t="n">
        <v>1</v>
      </c>
      <c r="J76" t="n">
        <v>6</v>
      </c>
      <c r="K76" t="n">
        <v>0</v>
      </c>
      <c r="L76" t="n">
        <v>0</v>
      </c>
      <c r="M76" t="n">
        <v>0</v>
      </c>
      <c r="N76" t="n">
        <v>0</v>
      </c>
      <c r="O76" t="n">
        <v>6</v>
      </c>
      <c r="P76" t="n">
        <v>0</v>
      </c>
      <c r="Q76" t="n">
        <v>7</v>
      </c>
      <c r="R76" s="2" t="inlineStr">
        <is>
          <t>Garnlav
Kolflarnlav
Lunglav
Ullticka
Vedflamlav
Vedtrappmossa
Vedticka</t>
        </is>
      </c>
      <c r="S76">
        <f>HYPERLINK("https://klasma.github.io/Logging_2303/artfynd/A 11829-2023 artfynd.xlsx", "A 11829-2023")</f>
        <v/>
      </c>
      <c r="T76">
        <f>HYPERLINK("https://klasma.github.io/Logging_2303/kartor/A 11829-2023 karta.png", "A 11829-2023")</f>
        <v/>
      </c>
      <c r="U76">
        <f>HYPERLINK("https://klasma.github.io/Logging_2303/knärot/A 11829-2023 karta knärot.png", "A 11829-2023")</f>
        <v/>
      </c>
      <c r="V76">
        <f>HYPERLINK("https://klasma.github.io/Logging_2303/klagomål/A 11829-2023 FSC-klagomål.docx", "A 11829-2023")</f>
        <v/>
      </c>
      <c r="W76">
        <f>HYPERLINK("https://klasma.github.io/Logging_2303/klagomålsmail/A 11829-2023 FSC-klagomål mail.docx", "A 11829-2023")</f>
        <v/>
      </c>
      <c r="X76">
        <f>HYPERLINK("https://klasma.github.io/Logging_2303/tillsyn/A 11829-2023 tillsynsbegäran.docx", "A 11829-2023")</f>
        <v/>
      </c>
      <c r="Y76">
        <f>HYPERLINK("https://klasma.github.io/Logging_2303/tillsynsmail/A 11829-2023 tillsynsbegäran mail.docx", "A 11829-2023")</f>
        <v/>
      </c>
    </row>
    <row r="77" ht="15" customHeight="1">
      <c r="A77" t="inlineStr">
        <is>
          <t>A 33806-2023</t>
        </is>
      </c>
      <c r="B77" s="1" t="n">
        <v>45121</v>
      </c>
      <c r="C77" s="1" t="n">
        <v>45826</v>
      </c>
      <c r="D77" t="inlineStr">
        <is>
          <t>JÄMTLANDS LÄN</t>
        </is>
      </c>
      <c r="E77" t="inlineStr">
        <is>
          <t>RAGUNDA</t>
        </is>
      </c>
      <c r="G77" t="n">
        <v>12</v>
      </c>
      <c r="H77" t="n">
        <v>2</v>
      </c>
      <c r="I77" t="n">
        <v>0</v>
      </c>
      <c r="J77" t="n">
        <v>5</v>
      </c>
      <c r="K77" t="n">
        <v>1</v>
      </c>
      <c r="L77" t="n">
        <v>0</v>
      </c>
      <c r="M77" t="n">
        <v>0</v>
      </c>
      <c r="N77" t="n">
        <v>0</v>
      </c>
      <c r="O77" t="n">
        <v>6</v>
      </c>
      <c r="P77" t="n">
        <v>1</v>
      </c>
      <c r="Q77" t="n">
        <v>7</v>
      </c>
      <c r="R77" s="2" t="inlineStr">
        <is>
          <t>Knärot
Granticka
Koralltaggsvamp
Lunglav
Persiljespindling
Äggvaxskivling
Blåsippa</t>
        </is>
      </c>
      <c r="S77">
        <f>HYPERLINK("https://klasma.github.io/Logging_2303/artfynd/A 33806-2023 artfynd.xlsx", "A 33806-2023")</f>
        <v/>
      </c>
      <c r="T77">
        <f>HYPERLINK("https://klasma.github.io/Logging_2303/kartor/A 33806-2023 karta.png", "A 33806-2023")</f>
        <v/>
      </c>
      <c r="U77">
        <f>HYPERLINK("https://klasma.github.io/Logging_2303/knärot/A 33806-2023 karta knärot.png", "A 33806-2023")</f>
        <v/>
      </c>
      <c r="V77">
        <f>HYPERLINK("https://klasma.github.io/Logging_2303/klagomål/A 33806-2023 FSC-klagomål.docx", "A 33806-2023")</f>
        <v/>
      </c>
      <c r="W77">
        <f>HYPERLINK("https://klasma.github.io/Logging_2303/klagomålsmail/A 33806-2023 FSC-klagomål mail.docx", "A 33806-2023")</f>
        <v/>
      </c>
      <c r="X77">
        <f>HYPERLINK("https://klasma.github.io/Logging_2303/tillsyn/A 33806-2023 tillsynsbegäran.docx", "A 33806-2023")</f>
        <v/>
      </c>
      <c r="Y77">
        <f>HYPERLINK("https://klasma.github.io/Logging_2303/tillsynsmail/A 33806-2023 tillsynsbegäran mail.docx", "A 33806-2023")</f>
        <v/>
      </c>
    </row>
    <row r="78" ht="15" customHeight="1">
      <c r="A78" t="inlineStr">
        <is>
          <t>A 37237-2023</t>
        </is>
      </c>
      <c r="B78" s="1" t="n">
        <v>45155</v>
      </c>
      <c r="C78" s="1" t="n">
        <v>45826</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37237-2023 artfynd.xlsx", "A 37237-2023")</f>
        <v/>
      </c>
      <c r="T78">
        <f>HYPERLINK("https://klasma.github.io/Logging_2303/kartor/A 37237-2023 karta.png", "A 37237-2023")</f>
        <v/>
      </c>
      <c r="U78">
        <f>HYPERLINK("https://klasma.github.io/Logging_2303/knärot/A 37237-2023 karta knärot.png", "A 37237-2023")</f>
        <v/>
      </c>
      <c r="V78">
        <f>HYPERLINK("https://klasma.github.io/Logging_2303/klagomål/A 37237-2023 FSC-klagomål.docx", "A 37237-2023")</f>
        <v/>
      </c>
      <c r="W78">
        <f>HYPERLINK("https://klasma.github.io/Logging_2303/klagomålsmail/A 37237-2023 FSC-klagomål mail.docx", "A 37237-2023")</f>
        <v/>
      </c>
      <c r="X78">
        <f>HYPERLINK("https://klasma.github.io/Logging_2303/tillsyn/A 37237-2023 tillsynsbegäran.docx", "A 37237-2023")</f>
        <v/>
      </c>
      <c r="Y78">
        <f>HYPERLINK("https://klasma.github.io/Logging_2303/tillsynsmail/A 37237-2023 tillsynsbegäran mail.docx", "A 37237-2023")</f>
        <v/>
      </c>
    </row>
    <row r="79" ht="15" customHeight="1">
      <c r="A79" t="inlineStr">
        <is>
          <t>A 37485-2023</t>
        </is>
      </c>
      <c r="B79" s="1" t="n">
        <v>45156</v>
      </c>
      <c r="C79" s="1" t="n">
        <v>45826</v>
      </c>
      <c r="D79" t="inlineStr">
        <is>
          <t>JÄMTLANDS LÄN</t>
        </is>
      </c>
      <c r="E79" t="inlineStr">
        <is>
          <t>RAGUNDA</t>
        </is>
      </c>
      <c r="F79" t="inlineStr">
        <is>
          <t>SCA</t>
        </is>
      </c>
      <c r="G79" t="n">
        <v>32.3</v>
      </c>
      <c r="H79" t="n">
        <v>2</v>
      </c>
      <c r="I79" t="n">
        <v>2</v>
      </c>
      <c r="J79" t="n">
        <v>5</v>
      </c>
      <c r="K79" t="n">
        <v>0</v>
      </c>
      <c r="L79" t="n">
        <v>0</v>
      </c>
      <c r="M79" t="n">
        <v>0</v>
      </c>
      <c r="N79" t="n">
        <v>0</v>
      </c>
      <c r="O79" t="n">
        <v>5</v>
      </c>
      <c r="P79" t="n">
        <v>0</v>
      </c>
      <c r="Q79" t="n">
        <v>7</v>
      </c>
      <c r="R79" s="2" t="inlineStr">
        <is>
          <t>Garnlav
Granticka
Tretåig hackspett
Ullticka
Violettgrå tagellav
Spindelblomster
Trådticka</t>
        </is>
      </c>
      <c r="S79">
        <f>HYPERLINK("https://klasma.github.io/Logging_2303/artfynd/A 37485-2023 artfynd.xlsx", "A 37485-2023")</f>
        <v/>
      </c>
      <c r="T79">
        <f>HYPERLINK("https://klasma.github.io/Logging_2303/kartor/A 37485-2023 karta.png", "A 37485-2023")</f>
        <v/>
      </c>
      <c r="V79">
        <f>HYPERLINK("https://klasma.github.io/Logging_2303/klagomål/A 37485-2023 FSC-klagomål.docx", "A 37485-2023")</f>
        <v/>
      </c>
      <c r="W79">
        <f>HYPERLINK("https://klasma.github.io/Logging_2303/klagomålsmail/A 37485-2023 FSC-klagomål mail.docx", "A 37485-2023")</f>
        <v/>
      </c>
      <c r="X79">
        <f>HYPERLINK("https://klasma.github.io/Logging_2303/tillsyn/A 37485-2023 tillsynsbegäran.docx", "A 37485-2023")</f>
        <v/>
      </c>
      <c r="Y79">
        <f>HYPERLINK("https://klasma.github.io/Logging_2303/tillsynsmail/A 37485-2023 tillsynsbegäran mail.docx", "A 37485-2023")</f>
        <v/>
      </c>
      <c r="Z79">
        <f>HYPERLINK("https://klasma.github.io/Logging_2303/fåglar/A 37485-2023 prioriterade fågelarter.docx", "A 37485-2023")</f>
        <v/>
      </c>
    </row>
    <row r="80" ht="15" customHeight="1">
      <c r="A80" t="inlineStr">
        <is>
          <t>A 41719-2023</t>
        </is>
      </c>
      <c r="B80" s="1" t="n">
        <v>45176</v>
      </c>
      <c r="C80" s="1" t="n">
        <v>45826</v>
      </c>
      <c r="D80" t="inlineStr">
        <is>
          <t>JÄMTLANDS LÄN</t>
        </is>
      </c>
      <c r="E80" t="inlineStr">
        <is>
          <t>RAGUNDA</t>
        </is>
      </c>
      <c r="G80" t="n">
        <v>14.3</v>
      </c>
      <c r="H80" t="n">
        <v>1</v>
      </c>
      <c r="I80" t="n">
        <v>1</v>
      </c>
      <c r="J80" t="n">
        <v>5</v>
      </c>
      <c r="K80" t="n">
        <v>0</v>
      </c>
      <c r="L80" t="n">
        <v>0</v>
      </c>
      <c r="M80" t="n">
        <v>0</v>
      </c>
      <c r="N80" t="n">
        <v>0</v>
      </c>
      <c r="O80" t="n">
        <v>5</v>
      </c>
      <c r="P80" t="n">
        <v>0</v>
      </c>
      <c r="Q80" t="n">
        <v>7</v>
      </c>
      <c r="R80" s="2" t="inlineStr">
        <is>
          <t>Dvärgbägarlav
Garnlav
Lunglav
Rosenticka
Vedflikmossa
Skinnlav
Tjäder</t>
        </is>
      </c>
      <c r="S80">
        <f>HYPERLINK("https://klasma.github.io/Logging_2303/artfynd/A 41719-2023 artfynd.xlsx", "A 41719-2023")</f>
        <v/>
      </c>
      <c r="T80">
        <f>HYPERLINK("https://klasma.github.io/Logging_2303/kartor/A 41719-2023 karta.png", "A 41719-2023")</f>
        <v/>
      </c>
      <c r="V80">
        <f>HYPERLINK("https://klasma.github.io/Logging_2303/klagomål/A 41719-2023 FSC-klagomål.docx", "A 41719-2023")</f>
        <v/>
      </c>
      <c r="W80">
        <f>HYPERLINK("https://klasma.github.io/Logging_2303/klagomålsmail/A 41719-2023 FSC-klagomål mail.docx", "A 41719-2023")</f>
        <v/>
      </c>
      <c r="X80">
        <f>HYPERLINK("https://klasma.github.io/Logging_2303/tillsyn/A 41719-2023 tillsynsbegäran.docx", "A 41719-2023")</f>
        <v/>
      </c>
      <c r="Y80">
        <f>HYPERLINK("https://klasma.github.io/Logging_2303/tillsynsmail/A 41719-2023 tillsynsbegäran mail.docx", "A 41719-2023")</f>
        <v/>
      </c>
      <c r="Z80">
        <f>HYPERLINK("https://klasma.github.io/Logging_2303/fåglar/A 41719-2023 prioriterade fågelarter.docx", "A 41719-2023")</f>
        <v/>
      </c>
    </row>
    <row r="81" ht="15" customHeight="1">
      <c r="A81" t="inlineStr">
        <is>
          <t>A 41759-2023</t>
        </is>
      </c>
      <c r="B81" s="1" t="n">
        <v>45176</v>
      </c>
      <c r="C81" s="1" t="n">
        <v>45826</v>
      </c>
      <c r="D81" t="inlineStr">
        <is>
          <t>JÄMTLANDS LÄN</t>
        </is>
      </c>
      <c r="E81" t="inlineStr">
        <is>
          <t>RAGUNDA</t>
        </is>
      </c>
      <c r="G81" t="n">
        <v>4.8</v>
      </c>
      <c r="H81" t="n">
        <v>3</v>
      </c>
      <c r="I81" t="n">
        <v>2</v>
      </c>
      <c r="J81" t="n">
        <v>3</v>
      </c>
      <c r="K81" t="n">
        <v>0</v>
      </c>
      <c r="L81" t="n">
        <v>0</v>
      </c>
      <c r="M81" t="n">
        <v>0</v>
      </c>
      <c r="N81" t="n">
        <v>0</v>
      </c>
      <c r="O81" t="n">
        <v>3</v>
      </c>
      <c r="P81" t="n">
        <v>0</v>
      </c>
      <c r="Q81" t="n">
        <v>7</v>
      </c>
      <c r="R81" s="2" t="inlineStr">
        <is>
          <t>Ullticka
Vedflikmossa
Äggvaxskivling
Kransrams
Plattlummer
Tjäder
Blåsippa</t>
        </is>
      </c>
      <c r="S81">
        <f>HYPERLINK("https://klasma.github.io/Logging_2303/artfynd/A 41759-2023 artfynd.xlsx", "A 41759-2023")</f>
        <v/>
      </c>
      <c r="T81">
        <f>HYPERLINK("https://klasma.github.io/Logging_2303/kartor/A 41759-2023 karta.png", "A 41759-2023")</f>
        <v/>
      </c>
      <c r="U81">
        <f>HYPERLINK("https://klasma.github.io/Logging_2303/knärot/A 41759-2023 karta knärot.png", "A 41759-2023")</f>
        <v/>
      </c>
      <c r="V81">
        <f>HYPERLINK("https://klasma.github.io/Logging_2303/klagomål/A 41759-2023 FSC-klagomål.docx", "A 41759-2023")</f>
        <v/>
      </c>
      <c r="W81">
        <f>HYPERLINK("https://klasma.github.io/Logging_2303/klagomålsmail/A 41759-2023 FSC-klagomål mail.docx", "A 41759-2023")</f>
        <v/>
      </c>
      <c r="X81">
        <f>HYPERLINK("https://klasma.github.io/Logging_2303/tillsyn/A 41759-2023 tillsynsbegäran.docx", "A 41759-2023")</f>
        <v/>
      </c>
      <c r="Y81">
        <f>HYPERLINK("https://klasma.github.io/Logging_2303/tillsynsmail/A 41759-2023 tillsynsbegäran mail.docx", "A 41759-2023")</f>
        <v/>
      </c>
      <c r="Z81">
        <f>HYPERLINK("https://klasma.github.io/Logging_2303/fåglar/A 41759-2023 prioriterade fågelarter.docx", "A 41759-2023")</f>
        <v/>
      </c>
    </row>
    <row r="82" ht="15" customHeight="1">
      <c r="A82" t="inlineStr">
        <is>
          <t>A 41929-2023</t>
        </is>
      </c>
      <c r="B82" s="1" t="n">
        <v>45176</v>
      </c>
      <c r="C82" s="1" t="n">
        <v>45826</v>
      </c>
      <c r="D82" t="inlineStr">
        <is>
          <t>JÄMTLANDS LÄN</t>
        </is>
      </c>
      <c r="E82" t="inlineStr">
        <is>
          <t>RAGUNDA</t>
        </is>
      </c>
      <c r="F82" t="inlineStr">
        <is>
          <t>SCA</t>
        </is>
      </c>
      <c r="G82" t="n">
        <v>13.2</v>
      </c>
      <c r="H82" t="n">
        <v>3</v>
      </c>
      <c r="I82" t="n">
        <v>3</v>
      </c>
      <c r="J82" t="n">
        <v>2</v>
      </c>
      <c r="K82" t="n">
        <v>1</v>
      </c>
      <c r="L82" t="n">
        <v>0</v>
      </c>
      <c r="M82" t="n">
        <v>0</v>
      </c>
      <c r="N82" t="n">
        <v>0</v>
      </c>
      <c r="O82" t="n">
        <v>3</v>
      </c>
      <c r="P82" t="n">
        <v>1</v>
      </c>
      <c r="Q82" t="n">
        <v>7</v>
      </c>
      <c r="R82" s="2" t="inlineStr">
        <is>
          <t>Knärot
Rosenticka
Ullticka
Grönkulla
Svart trolldruva
Vårärt
Blåsippa</t>
        </is>
      </c>
      <c r="S82">
        <f>HYPERLINK("https://klasma.github.io/Logging_2303/artfynd/A 41929-2023 artfynd.xlsx", "A 41929-2023")</f>
        <v/>
      </c>
      <c r="T82">
        <f>HYPERLINK("https://klasma.github.io/Logging_2303/kartor/A 41929-2023 karta.png", "A 41929-2023")</f>
        <v/>
      </c>
      <c r="U82">
        <f>HYPERLINK("https://klasma.github.io/Logging_2303/knärot/A 41929-2023 karta knärot.png", "A 41929-2023")</f>
        <v/>
      </c>
      <c r="V82">
        <f>HYPERLINK("https://klasma.github.io/Logging_2303/klagomål/A 41929-2023 FSC-klagomål.docx", "A 41929-2023")</f>
        <v/>
      </c>
      <c r="W82">
        <f>HYPERLINK("https://klasma.github.io/Logging_2303/klagomålsmail/A 41929-2023 FSC-klagomål mail.docx", "A 41929-2023")</f>
        <v/>
      </c>
      <c r="X82">
        <f>HYPERLINK("https://klasma.github.io/Logging_2303/tillsyn/A 41929-2023 tillsynsbegäran.docx", "A 41929-2023")</f>
        <v/>
      </c>
      <c r="Y82">
        <f>HYPERLINK("https://klasma.github.io/Logging_2303/tillsynsmail/A 41929-2023 tillsynsbegäran mail.docx", "A 41929-2023")</f>
        <v/>
      </c>
    </row>
    <row r="83" ht="15" customHeight="1">
      <c r="A83" t="inlineStr">
        <is>
          <t>A 15977-2024</t>
        </is>
      </c>
      <c r="B83" s="1" t="n">
        <v>45405</v>
      </c>
      <c r="C83" s="1" t="n">
        <v>45826</v>
      </c>
      <c r="D83" t="inlineStr">
        <is>
          <t>JÄMTLANDS LÄN</t>
        </is>
      </c>
      <c r="E83" t="inlineStr">
        <is>
          <t>RAGUNDA</t>
        </is>
      </c>
      <c r="F83" t="inlineStr">
        <is>
          <t>Kommuner</t>
        </is>
      </c>
      <c r="G83" t="n">
        <v>12.1</v>
      </c>
      <c r="H83" t="n">
        <v>0</v>
      </c>
      <c r="I83" t="n">
        <v>1</v>
      </c>
      <c r="J83" t="n">
        <v>6</v>
      </c>
      <c r="K83" t="n">
        <v>0</v>
      </c>
      <c r="L83" t="n">
        <v>0</v>
      </c>
      <c r="M83" t="n">
        <v>0</v>
      </c>
      <c r="N83" t="n">
        <v>0</v>
      </c>
      <c r="O83" t="n">
        <v>6</v>
      </c>
      <c r="P83" t="n">
        <v>0</v>
      </c>
      <c r="Q83" t="n">
        <v>7</v>
      </c>
      <c r="R83" s="2" t="inlineStr">
        <is>
          <t>Blanksvart spiklav
Dvärgbägarlav
Garnlav
Mörk kolflarnlav
Ullticka
Vedflamlav
Dropptaggsvamp</t>
        </is>
      </c>
      <c r="S83">
        <f>HYPERLINK("https://klasma.github.io/Logging_2303/artfynd/A 15977-2024 artfynd.xlsx", "A 15977-2024")</f>
        <v/>
      </c>
      <c r="T83">
        <f>HYPERLINK("https://klasma.github.io/Logging_2303/kartor/A 15977-2024 karta.png", "A 15977-2024")</f>
        <v/>
      </c>
      <c r="V83">
        <f>HYPERLINK("https://klasma.github.io/Logging_2303/klagomål/A 15977-2024 FSC-klagomål.docx", "A 15977-2024")</f>
        <v/>
      </c>
      <c r="W83">
        <f>HYPERLINK("https://klasma.github.io/Logging_2303/klagomålsmail/A 15977-2024 FSC-klagomål mail.docx", "A 15977-2024")</f>
        <v/>
      </c>
      <c r="X83">
        <f>HYPERLINK("https://klasma.github.io/Logging_2303/tillsyn/A 15977-2024 tillsynsbegäran.docx", "A 15977-2024")</f>
        <v/>
      </c>
      <c r="Y83">
        <f>HYPERLINK("https://klasma.github.io/Logging_2303/tillsynsmail/A 15977-2024 tillsynsbegäran mail.docx", "A 15977-2024")</f>
        <v/>
      </c>
    </row>
    <row r="84" ht="15" customHeight="1">
      <c r="A84" t="inlineStr">
        <is>
          <t>A 18628-2024</t>
        </is>
      </c>
      <c r="B84" s="1" t="n">
        <v>45426</v>
      </c>
      <c r="C84" s="1" t="n">
        <v>45826</v>
      </c>
      <c r="D84" t="inlineStr">
        <is>
          <t>JÄMTLANDS LÄN</t>
        </is>
      </c>
      <c r="E84" t="inlineStr">
        <is>
          <t>RAGUNDA</t>
        </is>
      </c>
      <c r="F84" t="inlineStr">
        <is>
          <t>SCA</t>
        </is>
      </c>
      <c r="G84" t="n">
        <v>5</v>
      </c>
      <c r="H84" t="n">
        <v>2</v>
      </c>
      <c r="I84" t="n">
        <v>2</v>
      </c>
      <c r="J84" t="n">
        <v>3</v>
      </c>
      <c r="K84" t="n">
        <v>1</v>
      </c>
      <c r="L84" t="n">
        <v>0</v>
      </c>
      <c r="M84" t="n">
        <v>0</v>
      </c>
      <c r="N84" t="n">
        <v>0</v>
      </c>
      <c r="O84" t="n">
        <v>4</v>
      </c>
      <c r="P84" t="n">
        <v>1</v>
      </c>
      <c r="Q84" t="n">
        <v>7</v>
      </c>
      <c r="R84" s="2" t="inlineStr">
        <is>
          <t>Gräddporing
Garnlav
Mörk kolflarnlav
Tretåig hackspett
Dropptaggsvamp
Vedticka
Huggorm</t>
        </is>
      </c>
      <c r="S84">
        <f>HYPERLINK("https://klasma.github.io/Logging_2303/artfynd/A 18628-2024 artfynd.xlsx", "A 18628-2024")</f>
        <v/>
      </c>
      <c r="T84">
        <f>HYPERLINK("https://klasma.github.io/Logging_2303/kartor/A 18628-2024 karta.png", "A 18628-2024")</f>
        <v/>
      </c>
      <c r="V84">
        <f>HYPERLINK("https://klasma.github.io/Logging_2303/klagomål/A 18628-2024 FSC-klagomål.docx", "A 18628-2024")</f>
        <v/>
      </c>
      <c r="W84">
        <f>HYPERLINK("https://klasma.github.io/Logging_2303/klagomålsmail/A 18628-2024 FSC-klagomål mail.docx", "A 18628-2024")</f>
        <v/>
      </c>
      <c r="X84">
        <f>HYPERLINK("https://klasma.github.io/Logging_2303/tillsyn/A 18628-2024 tillsynsbegäran.docx", "A 18628-2024")</f>
        <v/>
      </c>
      <c r="Y84">
        <f>HYPERLINK("https://klasma.github.io/Logging_2303/tillsynsmail/A 18628-2024 tillsynsbegäran mail.docx", "A 18628-2024")</f>
        <v/>
      </c>
      <c r="Z84">
        <f>HYPERLINK("https://klasma.github.io/Logging_2303/fåglar/A 18628-2024 prioriterade fågelarter.docx", "A 18628-2024")</f>
        <v/>
      </c>
    </row>
    <row r="85" ht="15" customHeight="1">
      <c r="A85" t="inlineStr">
        <is>
          <t>A 19036-2024</t>
        </is>
      </c>
      <c r="B85" s="1" t="n">
        <v>45427</v>
      </c>
      <c r="C85" s="1" t="n">
        <v>45826</v>
      </c>
      <c r="D85" t="inlineStr">
        <is>
          <t>JÄMTLANDS LÄN</t>
        </is>
      </c>
      <c r="E85" t="inlineStr">
        <is>
          <t>RAGUNDA</t>
        </is>
      </c>
      <c r="G85" t="n">
        <v>18</v>
      </c>
      <c r="H85" t="n">
        <v>0</v>
      </c>
      <c r="I85" t="n">
        <v>3</v>
      </c>
      <c r="J85" t="n">
        <v>4</v>
      </c>
      <c r="K85" t="n">
        <v>0</v>
      </c>
      <c r="L85" t="n">
        <v>0</v>
      </c>
      <c r="M85" t="n">
        <v>0</v>
      </c>
      <c r="N85" t="n">
        <v>0</v>
      </c>
      <c r="O85" t="n">
        <v>4</v>
      </c>
      <c r="P85" t="n">
        <v>0</v>
      </c>
      <c r="Q85" t="n">
        <v>7</v>
      </c>
      <c r="R85" s="2" t="inlineStr">
        <is>
          <t>Blå taggsvamp
Orange taggsvamp
Skrovlig taggsvamp
Svartvit taggsvamp
Dropptaggsvamp
Rödfläckig zontaggsvamp
Skarp dropptaggsvamp</t>
        </is>
      </c>
      <c r="S85">
        <f>HYPERLINK("https://klasma.github.io/Logging_2303/artfynd/A 19036-2024 artfynd.xlsx", "A 19036-2024")</f>
        <v/>
      </c>
      <c r="T85">
        <f>HYPERLINK("https://klasma.github.io/Logging_2303/kartor/A 19036-2024 karta.png", "A 19036-2024")</f>
        <v/>
      </c>
      <c r="V85">
        <f>HYPERLINK("https://klasma.github.io/Logging_2303/klagomål/A 19036-2024 FSC-klagomål.docx", "A 19036-2024")</f>
        <v/>
      </c>
      <c r="W85">
        <f>HYPERLINK("https://klasma.github.io/Logging_2303/klagomålsmail/A 19036-2024 FSC-klagomål mail.docx", "A 19036-2024")</f>
        <v/>
      </c>
      <c r="X85">
        <f>HYPERLINK("https://klasma.github.io/Logging_2303/tillsyn/A 19036-2024 tillsynsbegäran.docx", "A 19036-2024")</f>
        <v/>
      </c>
      <c r="Y85">
        <f>HYPERLINK("https://klasma.github.io/Logging_2303/tillsynsmail/A 19036-2024 tillsynsbegäran mail.docx", "A 19036-2024")</f>
        <v/>
      </c>
    </row>
    <row r="86" ht="15" customHeight="1">
      <c r="A86" t="inlineStr">
        <is>
          <t>A 20397-2024</t>
        </is>
      </c>
      <c r="B86" s="1" t="n">
        <v>45435</v>
      </c>
      <c r="C86" s="1" t="n">
        <v>45826</v>
      </c>
      <c r="D86" t="inlineStr">
        <is>
          <t>JÄMTLANDS LÄN</t>
        </is>
      </c>
      <c r="E86" t="inlineStr">
        <is>
          <t>RAGUNDA</t>
        </is>
      </c>
      <c r="G86" t="n">
        <v>18.5</v>
      </c>
      <c r="H86" t="n">
        <v>1</v>
      </c>
      <c r="I86" t="n">
        <v>4</v>
      </c>
      <c r="J86" t="n">
        <v>2</v>
      </c>
      <c r="K86" t="n">
        <v>1</v>
      </c>
      <c r="L86" t="n">
        <v>0</v>
      </c>
      <c r="M86" t="n">
        <v>0</v>
      </c>
      <c r="N86" t="n">
        <v>0</v>
      </c>
      <c r="O86" t="n">
        <v>3</v>
      </c>
      <c r="P86" t="n">
        <v>1</v>
      </c>
      <c r="Q86" t="n">
        <v>7</v>
      </c>
      <c r="R86" s="2" t="inlineStr">
        <is>
          <t>Lateritticka
Lunglav
Tallticka
Dropptaggsvamp
Finbräken
Guckusko
Svart trolldruva</t>
        </is>
      </c>
      <c r="S86">
        <f>HYPERLINK("https://klasma.github.io/Logging_2303/artfynd/A 20397-2024 artfynd.xlsx", "A 20397-2024")</f>
        <v/>
      </c>
      <c r="T86">
        <f>HYPERLINK("https://klasma.github.io/Logging_2303/kartor/A 20397-2024 karta.png", "A 20397-2024")</f>
        <v/>
      </c>
      <c r="V86">
        <f>HYPERLINK("https://klasma.github.io/Logging_2303/klagomål/A 20397-2024 FSC-klagomål.docx", "A 20397-2024")</f>
        <v/>
      </c>
      <c r="W86">
        <f>HYPERLINK("https://klasma.github.io/Logging_2303/klagomålsmail/A 20397-2024 FSC-klagomål mail.docx", "A 20397-2024")</f>
        <v/>
      </c>
      <c r="X86">
        <f>HYPERLINK("https://klasma.github.io/Logging_2303/tillsyn/A 20397-2024 tillsynsbegäran.docx", "A 20397-2024")</f>
        <v/>
      </c>
      <c r="Y86">
        <f>HYPERLINK("https://klasma.github.io/Logging_2303/tillsynsmail/A 20397-2024 tillsynsbegäran mail.docx", "A 20397-2024")</f>
        <v/>
      </c>
    </row>
    <row r="87" ht="15" customHeight="1">
      <c r="A87" t="inlineStr">
        <is>
          <t>A 27913-2024</t>
        </is>
      </c>
      <c r="B87" s="1" t="n">
        <v>45476</v>
      </c>
      <c r="C87" s="1" t="n">
        <v>45826</v>
      </c>
      <c r="D87" t="inlineStr">
        <is>
          <t>JÄMTLANDS LÄN</t>
        </is>
      </c>
      <c r="E87" t="inlineStr">
        <is>
          <t>RAGUNDA</t>
        </is>
      </c>
      <c r="F87" t="inlineStr">
        <is>
          <t>SCA</t>
        </is>
      </c>
      <c r="G87" t="n">
        <v>11.1</v>
      </c>
      <c r="H87" t="n">
        <v>2</v>
      </c>
      <c r="I87" t="n">
        <v>4</v>
      </c>
      <c r="J87" t="n">
        <v>2</v>
      </c>
      <c r="K87" t="n">
        <v>1</v>
      </c>
      <c r="L87" t="n">
        <v>0</v>
      </c>
      <c r="M87" t="n">
        <v>0</v>
      </c>
      <c r="N87" t="n">
        <v>0</v>
      </c>
      <c r="O87" t="n">
        <v>3</v>
      </c>
      <c r="P87" t="n">
        <v>1</v>
      </c>
      <c r="Q87" t="n">
        <v>7</v>
      </c>
      <c r="R87" s="2" t="inlineStr">
        <is>
          <t>Knärot
Kolflarnlav
Lunglav
Bårdlav
Kransrams
Lappranunkel
Skinnlav</t>
        </is>
      </c>
      <c r="S87">
        <f>HYPERLINK("https://klasma.github.io/Logging_2303/artfynd/A 27913-2024 artfynd.xlsx", "A 27913-2024")</f>
        <v/>
      </c>
      <c r="T87">
        <f>HYPERLINK("https://klasma.github.io/Logging_2303/kartor/A 27913-2024 karta.png", "A 27913-2024")</f>
        <v/>
      </c>
      <c r="U87">
        <f>HYPERLINK("https://klasma.github.io/Logging_2303/knärot/A 27913-2024 karta knärot.png", "A 27913-2024")</f>
        <v/>
      </c>
      <c r="V87">
        <f>HYPERLINK("https://klasma.github.io/Logging_2303/klagomål/A 27913-2024 FSC-klagomål.docx", "A 27913-2024")</f>
        <v/>
      </c>
      <c r="W87">
        <f>HYPERLINK("https://klasma.github.io/Logging_2303/klagomålsmail/A 27913-2024 FSC-klagomål mail.docx", "A 27913-2024")</f>
        <v/>
      </c>
      <c r="X87">
        <f>HYPERLINK("https://klasma.github.io/Logging_2303/tillsyn/A 27913-2024 tillsynsbegäran.docx", "A 27913-2024")</f>
        <v/>
      </c>
      <c r="Y87">
        <f>HYPERLINK("https://klasma.github.io/Logging_2303/tillsynsmail/A 27913-2024 tillsynsbegäran mail.docx", "A 27913-2024")</f>
        <v/>
      </c>
    </row>
    <row r="88" ht="15" customHeight="1">
      <c r="A88" t="inlineStr">
        <is>
          <t>A 29366-2024</t>
        </is>
      </c>
      <c r="B88" s="1" t="n">
        <v>45483</v>
      </c>
      <c r="C88" s="1" t="n">
        <v>45826</v>
      </c>
      <c r="D88" t="inlineStr">
        <is>
          <t>JÄMTLANDS LÄN</t>
        </is>
      </c>
      <c r="E88" t="inlineStr">
        <is>
          <t>RAGUNDA</t>
        </is>
      </c>
      <c r="G88" t="n">
        <v>8.199999999999999</v>
      </c>
      <c r="H88" t="n">
        <v>0</v>
      </c>
      <c r="I88" t="n">
        <v>4</v>
      </c>
      <c r="J88" t="n">
        <v>2</v>
      </c>
      <c r="K88" t="n">
        <v>1</v>
      </c>
      <c r="L88" t="n">
        <v>0</v>
      </c>
      <c r="M88" t="n">
        <v>0</v>
      </c>
      <c r="N88" t="n">
        <v>0</v>
      </c>
      <c r="O88" t="n">
        <v>3</v>
      </c>
      <c r="P88" t="n">
        <v>1</v>
      </c>
      <c r="Q88" t="n">
        <v>7</v>
      </c>
      <c r="R88" s="2" t="inlineStr">
        <is>
          <t>Smalskaftslav
Lunglav
Vitgrynig nållav
Bårdlav
Dvärgtufs
Skinnlav
Stuplav</t>
        </is>
      </c>
      <c r="S88">
        <f>HYPERLINK("https://klasma.github.io/Logging_2303/artfynd/A 29366-2024 artfynd.xlsx", "A 29366-2024")</f>
        <v/>
      </c>
      <c r="T88">
        <f>HYPERLINK("https://klasma.github.io/Logging_2303/kartor/A 29366-2024 karta.png", "A 29366-2024")</f>
        <v/>
      </c>
      <c r="V88">
        <f>HYPERLINK("https://klasma.github.io/Logging_2303/klagomål/A 29366-2024 FSC-klagomål.docx", "A 29366-2024")</f>
        <v/>
      </c>
      <c r="W88">
        <f>HYPERLINK("https://klasma.github.io/Logging_2303/klagomålsmail/A 29366-2024 FSC-klagomål mail.docx", "A 29366-2024")</f>
        <v/>
      </c>
      <c r="X88">
        <f>HYPERLINK("https://klasma.github.io/Logging_2303/tillsyn/A 29366-2024 tillsynsbegäran.docx", "A 29366-2024")</f>
        <v/>
      </c>
      <c r="Y88">
        <f>HYPERLINK("https://klasma.github.io/Logging_2303/tillsynsmail/A 29366-2024 tillsynsbegäran mail.docx", "A 29366-2024")</f>
        <v/>
      </c>
    </row>
    <row r="89" ht="15" customHeight="1">
      <c r="A89" t="inlineStr">
        <is>
          <t>A 19251-2025</t>
        </is>
      </c>
      <c r="B89" s="1" t="n">
        <v>45769</v>
      </c>
      <c r="C89" s="1" t="n">
        <v>45826</v>
      </c>
      <c r="D89" t="inlineStr">
        <is>
          <t>JÄMTLANDS LÄN</t>
        </is>
      </c>
      <c r="E89" t="inlineStr">
        <is>
          <t>RAGUNDA</t>
        </is>
      </c>
      <c r="F89" t="inlineStr">
        <is>
          <t>SCA</t>
        </is>
      </c>
      <c r="G89" t="n">
        <v>4.2</v>
      </c>
      <c r="H89" t="n">
        <v>0</v>
      </c>
      <c r="I89" t="n">
        <v>0</v>
      </c>
      <c r="J89" t="n">
        <v>6</v>
      </c>
      <c r="K89" t="n">
        <v>1</v>
      </c>
      <c r="L89" t="n">
        <v>0</v>
      </c>
      <c r="M89" t="n">
        <v>0</v>
      </c>
      <c r="N89" t="n">
        <v>0</v>
      </c>
      <c r="O89" t="n">
        <v>7</v>
      </c>
      <c r="P89" t="n">
        <v>1</v>
      </c>
      <c r="Q89" t="n">
        <v>7</v>
      </c>
      <c r="R89" s="2" t="inlineStr">
        <is>
          <t>Rynkskinn
Garnlav
Granticka
Lunglav
Rosenticka
Ullticka
Vitgrynig nållav</t>
        </is>
      </c>
      <c r="S89">
        <f>HYPERLINK("https://klasma.github.io/Logging_232303/artfynd/A 19251-2025 artfynd.xlsx", "A 19251-2025")</f>
        <v/>
      </c>
      <c r="T89">
        <f>HYPERLINK("https://klasma.github.io/Logging_232303/kartor/A 19251-2025 karta.png", "A 19251-2025")</f>
        <v/>
      </c>
      <c r="V89">
        <f>HYPERLINK("https://klasma.github.io/Logging_232303/klagomål/A 19251-2025 FSC-klagomål.docx", "A 19251-2025")</f>
        <v/>
      </c>
      <c r="W89">
        <f>HYPERLINK("https://klasma.github.io/Logging_232303/klagomålsmail/A 19251-2025 FSC-klagomål mail.docx", "A 19251-2025")</f>
        <v/>
      </c>
      <c r="X89">
        <f>HYPERLINK("https://klasma.github.io/Logging_232303/tillsyn/A 19251-2025 tillsynsbegäran.docx", "A 19251-2025")</f>
        <v/>
      </c>
      <c r="Y89">
        <f>HYPERLINK("https://klasma.github.io/Logging_232303/tillsynsmail/A 19251-2025 tillsynsbegäran mail.docx", "A 19251-2025")</f>
        <v/>
      </c>
    </row>
    <row r="90" ht="15" customHeight="1">
      <c r="A90" t="inlineStr">
        <is>
          <t>A 25016-2025</t>
        </is>
      </c>
      <c r="B90" s="1" t="n">
        <v>45799</v>
      </c>
      <c r="C90" s="1" t="n">
        <v>45826</v>
      </c>
      <c r="D90" t="inlineStr">
        <is>
          <t>JÄMTLANDS LÄN</t>
        </is>
      </c>
      <c r="E90" t="inlineStr">
        <is>
          <t>RAGUNDA</t>
        </is>
      </c>
      <c r="F90" t="inlineStr">
        <is>
          <t>SCA</t>
        </is>
      </c>
      <c r="G90" t="n">
        <v>17.9</v>
      </c>
      <c r="H90" t="n">
        <v>0</v>
      </c>
      <c r="I90" t="n">
        <v>3</v>
      </c>
      <c r="J90" t="n">
        <v>4</v>
      </c>
      <c r="K90" t="n">
        <v>0</v>
      </c>
      <c r="L90" t="n">
        <v>0</v>
      </c>
      <c r="M90" t="n">
        <v>0</v>
      </c>
      <c r="N90" t="n">
        <v>0</v>
      </c>
      <c r="O90" t="n">
        <v>4</v>
      </c>
      <c r="P90" t="n">
        <v>0</v>
      </c>
      <c r="Q90" t="n">
        <v>7</v>
      </c>
      <c r="R90" s="2" t="inlineStr">
        <is>
          <t>Garnlav
Granticka
Lunglav
Ullticka
Bårdlav
Stuplav
Vedticka</t>
        </is>
      </c>
      <c r="S90">
        <f>HYPERLINK("https://klasma.github.io/Logging_232303/artfynd/A 25016-2025 artfynd.xlsx", "A 25016-2025")</f>
        <v/>
      </c>
      <c r="T90">
        <f>HYPERLINK("https://klasma.github.io/Logging_232303/kartor/A 25016-2025 karta.png", "A 25016-2025")</f>
        <v/>
      </c>
      <c r="V90">
        <f>HYPERLINK("https://klasma.github.io/Logging_232303/klagomål/A 25016-2025 FSC-klagomål.docx", "A 25016-2025")</f>
        <v/>
      </c>
      <c r="W90">
        <f>HYPERLINK("https://klasma.github.io/Logging_232303/klagomålsmail/A 25016-2025 FSC-klagomål mail.docx", "A 25016-2025")</f>
        <v/>
      </c>
      <c r="X90">
        <f>HYPERLINK("https://klasma.github.io/Logging_232303/tillsyn/A 25016-2025 tillsynsbegäran.docx", "A 25016-2025")</f>
        <v/>
      </c>
      <c r="Y90">
        <f>HYPERLINK("https://klasma.github.io/Logging_232303/tillsynsmail/A 25016-2025 tillsynsbegäran mail.docx", "A 25016-2025")</f>
        <v/>
      </c>
    </row>
    <row r="91" ht="15" customHeight="1">
      <c r="A91" t="inlineStr">
        <is>
          <t>A 26750-2025</t>
        </is>
      </c>
      <c r="B91" s="1" t="n">
        <v>45810</v>
      </c>
      <c r="C91" s="1" t="n">
        <v>45826</v>
      </c>
      <c r="D91" t="inlineStr">
        <is>
          <t>JÄMTLANDS LÄN</t>
        </is>
      </c>
      <c r="E91" t="inlineStr">
        <is>
          <t>RAGUNDA</t>
        </is>
      </c>
      <c r="G91" t="n">
        <v>18</v>
      </c>
      <c r="H91" t="n">
        <v>0</v>
      </c>
      <c r="I91" t="n">
        <v>3</v>
      </c>
      <c r="J91" t="n">
        <v>4</v>
      </c>
      <c r="K91" t="n">
        <v>0</v>
      </c>
      <c r="L91" t="n">
        <v>0</v>
      </c>
      <c r="M91" t="n">
        <v>0</v>
      </c>
      <c r="N91" t="n">
        <v>0</v>
      </c>
      <c r="O91" t="n">
        <v>4</v>
      </c>
      <c r="P91" t="n">
        <v>0</v>
      </c>
      <c r="Q91" t="n">
        <v>7</v>
      </c>
      <c r="R91" s="2" t="inlineStr">
        <is>
          <t>Blå taggsvamp
Orange taggsvamp
Skrovlig taggsvamp
Svartvit taggsvamp
Dropptaggsvamp
Rödfläckig zontaggsvamp
Skarp dropptaggsvamp</t>
        </is>
      </c>
      <c r="S91">
        <f>HYPERLINK("https://klasma.github.io/Logging_232303/artfynd/A 26750-2025 artfynd.xlsx", "A 26750-2025")</f>
        <v/>
      </c>
      <c r="T91">
        <f>HYPERLINK("https://klasma.github.io/Logging_232303/kartor/A 26750-2025 karta.png", "A 26750-2025")</f>
        <v/>
      </c>
      <c r="V91">
        <f>HYPERLINK("https://klasma.github.io/Logging_232303/klagomål/A 26750-2025 FSC-klagomål.docx", "A 26750-2025")</f>
        <v/>
      </c>
      <c r="W91">
        <f>HYPERLINK("https://klasma.github.io/Logging_232303/klagomålsmail/A 26750-2025 FSC-klagomål mail.docx", "A 26750-2025")</f>
        <v/>
      </c>
      <c r="X91">
        <f>HYPERLINK("https://klasma.github.io/Logging_232303/tillsyn/A 26750-2025 tillsynsbegäran.docx", "A 26750-2025")</f>
        <v/>
      </c>
      <c r="Y91">
        <f>HYPERLINK("https://klasma.github.io/Logging_232303/tillsynsmail/A 26750-2025 tillsynsbegäran mail.docx", "A 26750-2025")</f>
        <v/>
      </c>
    </row>
    <row r="92" ht="15" customHeight="1">
      <c r="A92" t="inlineStr">
        <is>
          <t>A 24644-2020</t>
        </is>
      </c>
      <c r="B92" s="1" t="n">
        <v>43977</v>
      </c>
      <c r="C92" s="1" t="n">
        <v>45826</v>
      </c>
      <c r="D92" t="inlineStr">
        <is>
          <t>JÄMTLANDS LÄN</t>
        </is>
      </c>
      <c r="E92" t="inlineStr">
        <is>
          <t>RAGUNDA</t>
        </is>
      </c>
      <c r="F92" t="inlineStr">
        <is>
          <t>SCA</t>
        </is>
      </c>
      <c r="G92" t="n">
        <v>21.6</v>
      </c>
      <c r="H92" t="n">
        <v>0</v>
      </c>
      <c r="I92" t="n">
        <v>2</v>
      </c>
      <c r="J92" t="n">
        <v>4</v>
      </c>
      <c r="K92" t="n">
        <v>0</v>
      </c>
      <c r="L92" t="n">
        <v>0</v>
      </c>
      <c r="M92" t="n">
        <v>0</v>
      </c>
      <c r="N92" t="n">
        <v>0</v>
      </c>
      <c r="O92" t="n">
        <v>4</v>
      </c>
      <c r="P92" t="n">
        <v>0</v>
      </c>
      <c r="Q92" t="n">
        <v>6</v>
      </c>
      <c r="R92" s="2" t="inlineStr">
        <is>
          <t>Luddfingersvamp
Lunglav
Mörk kolflarnlav
Orange taggsvamp
Korallblylav
Stuplav</t>
        </is>
      </c>
      <c r="S92">
        <f>HYPERLINK("https://klasma.github.io/Logging_2303/artfynd/A 24644-2020 artfynd.xlsx", "A 24644-2020")</f>
        <v/>
      </c>
      <c r="T92">
        <f>HYPERLINK("https://klasma.github.io/Logging_2303/kartor/A 24644-2020 karta.png", "A 24644-2020")</f>
        <v/>
      </c>
      <c r="V92">
        <f>HYPERLINK("https://klasma.github.io/Logging_2303/klagomål/A 24644-2020 FSC-klagomål.docx", "A 24644-2020")</f>
        <v/>
      </c>
      <c r="W92">
        <f>HYPERLINK("https://klasma.github.io/Logging_2303/klagomålsmail/A 24644-2020 FSC-klagomål mail.docx", "A 24644-2020")</f>
        <v/>
      </c>
      <c r="X92">
        <f>HYPERLINK("https://klasma.github.io/Logging_2303/tillsyn/A 24644-2020 tillsynsbegäran.docx", "A 24644-2020")</f>
        <v/>
      </c>
      <c r="Y92">
        <f>HYPERLINK("https://klasma.github.io/Logging_2303/tillsynsmail/A 24644-2020 tillsynsbegäran mail.docx", "A 24644-2020")</f>
        <v/>
      </c>
    </row>
    <row r="93" ht="15" customHeight="1">
      <c r="A93" t="inlineStr">
        <is>
          <t>A 50987-2020</t>
        </is>
      </c>
      <c r="B93" s="1" t="n">
        <v>44111</v>
      </c>
      <c r="C93" s="1" t="n">
        <v>45826</v>
      </c>
      <c r="D93" t="inlineStr">
        <is>
          <t>JÄMTLANDS LÄN</t>
        </is>
      </c>
      <c r="E93" t="inlineStr">
        <is>
          <t>RAGUNDA</t>
        </is>
      </c>
      <c r="G93" t="n">
        <v>6.7</v>
      </c>
      <c r="H93" t="n">
        <v>2</v>
      </c>
      <c r="I93" t="n">
        <v>0</v>
      </c>
      <c r="J93" t="n">
        <v>3</v>
      </c>
      <c r="K93" t="n">
        <v>2</v>
      </c>
      <c r="L93" t="n">
        <v>0</v>
      </c>
      <c r="M93" t="n">
        <v>0</v>
      </c>
      <c r="N93" t="n">
        <v>0</v>
      </c>
      <c r="O93" t="n">
        <v>5</v>
      </c>
      <c r="P93" t="n">
        <v>2</v>
      </c>
      <c r="Q93" t="n">
        <v>6</v>
      </c>
      <c r="R93" s="2" t="inlineStr">
        <is>
          <t>Knärot
Norsk näverlav
Garnlav
Skrovellav
Vedtrappmossa
Lavskrika</t>
        </is>
      </c>
      <c r="S93">
        <f>HYPERLINK("https://klasma.github.io/Logging_2303/artfynd/A 50987-2020 artfynd.xlsx", "A 50987-2020")</f>
        <v/>
      </c>
      <c r="T93">
        <f>HYPERLINK("https://klasma.github.io/Logging_2303/kartor/A 50987-2020 karta.png", "A 50987-2020")</f>
        <v/>
      </c>
      <c r="U93">
        <f>HYPERLINK("https://klasma.github.io/Logging_2303/knärot/A 50987-2020 karta knärot.png", "A 50987-2020")</f>
        <v/>
      </c>
      <c r="V93">
        <f>HYPERLINK("https://klasma.github.io/Logging_2303/klagomål/A 50987-2020 FSC-klagomål.docx", "A 50987-2020")</f>
        <v/>
      </c>
      <c r="W93">
        <f>HYPERLINK("https://klasma.github.io/Logging_2303/klagomålsmail/A 50987-2020 FSC-klagomål mail.docx", "A 50987-2020")</f>
        <v/>
      </c>
      <c r="X93">
        <f>HYPERLINK("https://klasma.github.io/Logging_2303/tillsyn/A 50987-2020 tillsynsbegäran.docx", "A 50987-2020")</f>
        <v/>
      </c>
      <c r="Y93">
        <f>HYPERLINK("https://klasma.github.io/Logging_2303/tillsynsmail/A 50987-2020 tillsynsbegäran mail.docx", "A 50987-2020")</f>
        <v/>
      </c>
      <c r="Z93">
        <f>HYPERLINK("https://klasma.github.io/Logging_2303/fåglar/A 50987-2020 prioriterade fågelarter.docx", "A 50987-2020")</f>
        <v/>
      </c>
    </row>
    <row r="94" ht="15" customHeight="1">
      <c r="A94" t="inlineStr">
        <is>
          <t>A 1762-2021</t>
        </is>
      </c>
      <c r="B94" s="1" t="n">
        <v>44209</v>
      </c>
      <c r="C94" s="1" t="n">
        <v>45826</v>
      </c>
      <c r="D94" t="inlineStr">
        <is>
          <t>JÄMTLANDS LÄN</t>
        </is>
      </c>
      <c r="E94" t="inlineStr">
        <is>
          <t>RAGUNDA</t>
        </is>
      </c>
      <c r="G94" t="n">
        <v>1</v>
      </c>
      <c r="H94" t="n">
        <v>2</v>
      </c>
      <c r="I94" t="n">
        <v>4</v>
      </c>
      <c r="J94" t="n">
        <v>0</v>
      </c>
      <c r="K94" t="n">
        <v>0</v>
      </c>
      <c r="L94" t="n">
        <v>0</v>
      </c>
      <c r="M94" t="n">
        <v>0</v>
      </c>
      <c r="N94" t="n">
        <v>0</v>
      </c>
      <c r="O94" t="n">
        <v>0</v>
      </c>
      <c r="P94" t="n">
        <v>0</v>
      </c>
      <c r="Q94" t="n">
        <v>6</v>
      </c>
      <c r="R94" s="2" t="inlineStr">
        <is>
          <t>Aspvedgnagare
Strutbräken
Svart trolldruva
Tibast
Blåsippa
Revlummer</t>
        </is>
      </c>
      <c r="S94">
        <f>HYPERLINK("https://klasma.github.io/Logging_2303/artfynd/A 1762-2021 artfynd.xlsx", "A 1762-2021")</f>
        <v/>
      </c>
      <c r="T94">
        <f>HYPERLINK("https://klasma.github.io/Logging_2303/kartor/A 1762-2021 karta.png", "A 1762-2021")</f>
        <v/>
      </c>
      <c r="V94">
        <f>HYPERLINK("https://klasma.github.io/Logging_2303/klagomål/A 1762-2021 FSC-klagomål.docx", "A 1762-2021")</f>
        <v/>
      </c>
      <c r="W94">
        <f>HYPERLINK("https://klasma.github.io/Logging_2303/klagomålsmail/A 1762-2021 FSC-klagomål mail.docx", "A 1762-2021")</f>
        <v/>
      </c>
      <c r="X94">
        <f>HYPERLINK("https://klasma.github.io/Logging_2303/tillsyn/A 1762-2021 tillsynsbegäran.docx", "A 1762-2021")</f>
        <v/>
      </c>
      <c r="Y94">
        <f>HYPERLINK("https://klasma.github.io/Logging_2303/tillsynsmail/A 1762-2021 tillsynsbegäran mail.docx", "A 1762-2021")</f>
        <v/>
      </c>
    </row>
    <row r="95" ht="15" customHeight="1">
      <c r="A95" t="inlineStr">
        <is>
          <t>A 31840-2022</t>
        </is>
      </c>
      <c r="B95" s="1" t="n">
        <v>44777</v>
      </c>
      <c r="C95" s="1" t="n">
        <v>45826</v>
      </c>
      <c r="D95" t="inlineStr">
        <is>
          <t>JÄMTLANDS LÄN</t>
        </is>
      </c>
      <c r="E95" t="inlineStr">
        <is>
          <t>RAGUNDA</t>
        </is>
      </c>
      <c r="F95" t="inlineStr">
        <is>
          <t>SCA</t>
        </is>
      </c>
      <c r="G95" t="n">
        <v>3.9</v>
      </c>
      <c r="H95" t="n">
        <v>1</v>
      </c>
      <c r="I95" t="n">
        <v>2</v>
      </c>
      <c r="J95" t="n">
        <v>4</v>
      </c>
      <c r="K95" t="n">
        <v>0</v>
      </c>
      <c r="L95" t="n">
        <v>0</v>
      </c>
      <c r="M95" t="n">
        <v>0</v>
      </c>
      <c r="N95" t="n">
        <v>0</v>
      </c>
      <c r="O95" t="n">
        <v>4</v>
      </c>
      <c r="P95" t="n">
        <v>0</v>
      </c>
      <c r="Q95" t="n">
        <v>6</v>
      </c>
      <c r="R95" s="2" t="inlineStr">
        <is>
          <t>Barrviolspindling
Tretåig hackspett
Vitgrynig nållav
Äggvaxskivling
Fjällig taggsvamp s.str.
Svavelriska</t>
        </is>
      </c>
      <c r="S95">
        <f>HYPERLINK("https://klasma.github.io/Logging_2303/artfynd/A 31840-2022 artfynd.xlsx", "A 31840-2022")</f>
        <v/>
      </c>
      <c r="T95">
        <f>HYPERLINK("https://klasma.github.io/Logging_2303/kartor/A 31840-2022 karta.png", "A 31840-2022")</f>
        <v/>
      </c>
      <c r="V95">
        <f>HYPERLINK("https://klasma.github.io/Logging_2303/klagomål/A 31840-2022 FSC-klagomål.docx", "A 31840-2022")</f>
        <v/>
      </c>
      <c r="W95">
        <f>HYPERLINK("https://klasma.github.io/Logging_2303/klagomålsmail/A 31840-2022 FSC-klagomål mail.docx", "A 31840-2022")</f>
        <v/>
      </c>
      <c r="X95">
        <f>HYPERLINK("https://klasma.github.io/Logging_2303/tillsyn/A 31840-2022 tillsynsbegäran.docx", "A 31840-2022")</f>
        <v/>
      </c>
      <c r="Y95">
        <f>HYPERLINK("https://klasma.github.io/Logging_2303/tillsynsmail/A 31840-2022 tillsynsbegäran mail.docx", "A 31840-2022")</f>
        <v/>
      </c>
      <c r="Z95">
        <f>HYPERLINK("https://klasma.github.io/Logging_2303/fåglar/A 31840-2022 prioriterade fågelarter.docx", "A 31840-2022")</f>
        <v/>
      </c>
    </row>
    <row r="96" ht="15" customHeight="1">
      <c r="A96" t="inlineStr">
        <is>
          <t>A 53021-2022</t>
        </is>
      </c>
      <c r="B96" s="1" t="n">
        <v>44875</v>
      </c>
      <c r="C96" s="1" t="n">
        <v>45826</v>
      </c>
      <c r="D96" t="inlineStr">
        <is>
          <t>JÄMTLANDS LÄN</t>
        </is>
      </c>
      <c r="E96" t="inlineStr">
        <is>
          <t>RAGUNDA</t>
        </is>
      </c>
      <c r="F96" t="inlineStr">
        <is>
          <t>SCA</t>
        </is>
      </c>
      <c r="G96" t="n">
        <v>6.1</v>
      </c>
      <c r="H96" t="n">
        <v>0</v>
      </c>
      <c r="I96" t="n">
        <v>2</v>
      </c>
      <c r="J96" t="n">
        <v>4</v>
      </c>
      <c r="K96" t="n">
        <v>0</v>
      </c>
      <c r="L96" t="n">
        <v>0</v>
      </c>
      <c r="M96" t="n">
        <v>0</v>
      </c>
      <c r="N96" t="n">
        <v>0</v>
      </c>
      <c r="O96" t="n">
        <v>4</v>
      </c>
      <c r="P96" t="n">
        <v>0</v>
      </c>
      <c r="Q96" t="n">
        <v>6</v>
      </c>
      <c r="R96" s="2" t="inlineStr">
        <is>
          <t>Gammelgransskål
Garnlav
Granticka
Vitgrynig nållav
Bollvitmossa
Ögonpyrola</t>
        </is>
      </c>
      <c r="S96">
        <f>HYPERLINK("https://klasma.github.io/Logging_2303/artfynd/A 53021-2022 artfynd.xlsx", "A 53021-2022")</f>
        <v/>
      </c>
      <c r="T96">
        <f>HYPERLINK("https://klasma.github.io/Logging_2303/kartor/A 53021-2022 karta.png", "A 53021-2022")</f>
        <v/>
      </c>
      <c r="V96">
        <f>HYPERLINK("https://klasma.github.io/Logging_2303/klagomål/A 53021-2022 FSC-klagomål.docx", "A 53021-2022")</f>
        <v/>
      </c>
      <c r="W96">
        <f>HYPERLINK("https://klasma.github.io/Logging_2303/klagomålsmail/A 53021-2022 FSC-klagomål mail.docx", "A 53021-2022")</f>
        <v/>
      </c>
      <c r="X96">
        <f>HYPERLINK("https://klasma.github.io/Logging_2303/tillsyn/A 53021-2022 tillsynsbegäran.docx", "A 53021-2022")</f>
        <v/>
      </c>
      <c r="Y96">
        <f>HYPERLINK("https://klasma.github.io/Logging_2303/tillsynsmail/A 53021-2022 tillsynsbegäran mail.docx", "A 53021-2022")</f>
        <v/>
      </c>
    </row>
    <row r="97" ht="15" customHeight="1">
      <c r="A97" t="inlineStr">
        <is>
          <t>A 53277-2022</t>
        </is>
      </c>
      <c r="B97" s="1" t="n">
        <v>44876</v>
      </c>
      <c r="C97" s="1" t="n">
        <v>45826</v>
      </c>
      <c r="D97" t="inlineStr">
        <is>
          <t>JÄMTLANDS LÄN</t>
        </is>
      </c>
      <c r="E97" t="inlineStr">
        <is>
          <t>RAGUNDA</t>
        </is>
      </c>
      <c r="F97" t="inlineStr">
        <is>
          <t>SCA</t>
        </is>
      </c>
      <c r="G97" t="n">
        <v>2.5</v>
      </c>
      <c r="H97" t="n">
        <v>1</v>
      </c>
      <c r="I97" t="n">
        <v>3</v>
      </c>
      <c r="J97" t="n">
        <v>3</v>
      </c>
      <c r="K97" t="n">
        <v>0</v>
      </c>
      <c r="L97" t="n">
        <v>0</v>
      </c>
      <c r="M97" t="n">
        <v>0</v>
      </c>
      <c r="N97" t="n">
        <v>0</v>
      </c>
      <c r="O97" t="n">
        <v>3</v>
      </c>
      <c r="P97" t="n">
        <v>0</v>
      </c>
      <c r="Q97" t="n">
        <v>6</v>
      </c>
      <c r="R97" s="2" t="inlineStr">
        <is>
          <t>Garnlav
Kolflarnlav
Ullticka
Dropptaggsvamp
Plattlummer
Vedticka</t>
        </is>
      </c>
      <c r="S97">
        <f>HYPERLINK("https://klasma.github.io/Logging_2303/artfynd/A 53277-2022 artfynd.xlsx", "A 53277-2022")</f>
        <v/>
      </c>
      <c r="T97">
        <f>HYPERLINK("https://klasma.github.io/Logging_2303/kartor/A 53277-2022 karta.png", "A 53277-2022")</f>
        <v/>
      </c>
      <c r="V97">
        <f>HYPERLINK("https://klasma.github.io/Logging_2303/klagomål/A 53277-2022 FSC-klagomål.docx", "A 53277-2022")</f>
        <v/>
      </c>
      <c r="W97">
        <f>HYPERLINK("https://klasma.github.io/Logging_2303/klagomålsmail/A 53277-2022 FSC-klagomål mail.docx", "A 53277-2022")</f>
        <v/>
      </c>
      <c r="X97">
        <f>HYPERLINK("https://klasma.github.io/Logging_2303/tillsyn/A 53277-2022 tillsynsbegäran.docx", "A 53277-2022")</f>
        <v/>
      </c>
      <c r="Y97">
        <f>HYPERLINK("https://klasma.github.io/Logging_2303/tillsynsmail/A 53277-2022 tillsynsbegäran mail.docx", "A 53277-2022")</f>
        <v/>
      </c>
    </row>
    <row r="98" ht="15" customHeight="1">
      <c r="A98" t="inlineStr">
        <is>
          <t>A 60669-2022</t>
        </is>
      </c>
      <c r="B98" s="1" t="n">
        <v>44911</v>
      </c>
      <c r="C98" s="1" t="n">
        <v>45826</v>
      </c>
      <c r="D98" t="inlineStr">
        <is>
          <t>JÄMTLANDS LÄN</t>
        </is>
      </c>
      <c r="E98" t="inlineStr">
        <is>
          <t>RAGUNDA</t>
        </is>
      </c>
      <c r="F98" t="inlineStr">
        <is>
          <t>SCA</t>
        </is>
      </c>
      <c r="G98" t="n">
        <v>2.3</v>
      </c>
      <c r="H98" t="n">
        <v>0</v>
      </c>
      <c r="I98" t="n">
        <v>1</v>
      </c>
      <c r="J98" t="n">
        <v>5</v>
      </c>
      <c r="K98" t="n">
        <v>0</v>
      </c>
      <c r="L98" t="n">
        <v>0</v>
      </c>
      <c r="M98" t="n">
        <v>0</v>
      </c>
      <c r="N98" t="n">
        <v>0</v>
      </c>
      <c r="O98" t="n">
        <v>5</v>
      </c>
      <c r="P98" t="n">
        <v>0</v>
      </c>
      <c r="Q98" t="n">
        <v>6</v>
      </c>
      <c r="R98" s="2" t="inlineStr">
        <is>
          <t>Dvärgbägarlav
Garnlav
Kolflarnlav
Lunglav
Vedskivlav
Dropptaggsvamp</t>
        </is>
      </c>
      <c r="S98">
        <f>HYPERLINK("https://klasma.github.io/Logging_2303/artfynd/A 60669-2022 artfynd.xlsx", "A 60669-2022")</f>
        <v/>
      </c>
      <c r="T98">
        <f>HYPERLINK("https://klasma.github.io/Logging_2303/kartor/A 60669-2022 karta.png", "A 60669-2022")</f>
        <v/>
      </c>
      <c r="V98">
        <f>HYPERLINK("https://klasma.github.io/Logging_2303/klagomål/A 60669-2022 FSC-klagomål.docx", "A 60669-2022")</f>
        <v/>
      </c>
      <c r="W98">
        <f>HYPERLINK("https://klasma.github.io/Logging_2303/klagomålsmail/A 60669-2022 FSC-klagomål mail.docx", "A 60669-2022")</f>
        <v/>
      </c>
      <c r="X98">
        <f>HYPERLINK("https://klasma.github.io/Logging_2303/tillsyn/A 60669-2022 tillsynsbegäran.docx", "A 60669-2022")</f>
        <v/>
      </c>
      <c r="Y98">
        <f>HYPERLINK("https://klasma.github.io/Logging_2303/tillsynsmail/A 60669-2022 tillsynsbegäran mail.docx", "A 60669-2022")</f>
        <v/>
      </c>
    </row>
    <row r="99" ht="15" customHeight="1">
      <c r="A99" t="inlineStr">
        <is>
          <t>A 933-2023</t>
        </is>
      </c>
      <c r="B99" s="1" t="n">
        <v>44932</v>
      </c>
      <c r="C99" s="1" t="n">
        <v>45826</v>
      </c>
      <c r="D99" t="inlineStr">
        <is>
          <t>JÄMTLANDS LÄN</t>
        </is>
      </c>
      <c r="E99" t="inlineStr">
        <is>
          <t>RAGUNDA</t>
        </is>
      </c>
      <c r="F99" t="inlineStr">
        <is>
          <t>SCA</t>
        </is>
      </c>
      <c r="G99" t="n">
        <v>2</v>
      </c>
      <c r="H99" t="n">
        <v>3</v>
      </c>
      <c r="I99" t="n">
        <v>3</v>
      </c>
      <c r="J99" t="n">
        <v>0</v>
      </c>
      <c r="K99" t="n">
        <v>0</v>
      </c>
      <c r="L99" t="n">
        <v>1</v>
      </c>
      <c r="M99" t="n">
        <v>0</v>
      </c>
      <c r="N99" t="n">
        <v>0</v>
      </c>
      <c r="O99" t="n">
        <v>1</v>
      </c>
      <c r="P99" t="n">
        <v>1</v>
      </c>
      <c r="Q99" t="n">
        <v>6</v>
      </c>
      <c r="R99" s="2" t="inlineStr">
        <is>
          <t>Trolldruvemätare
Stor aspticka
Svart trolldruva
Tvåblad
Nattviol
Gullviva</t>
        </is>
      </c>
      <c r="S99">
        <f>HYPERLINK("https://klasma.github.io/Logging_2303/artfynd/A 933-2023 artfynd.xlsx", "A 933-2023")</f>
        <v/>
      </c>
      <c r="T99">
        <f>HYPERLINK("https://klasma.github.io/Logging_2303/kartor/A 933-2023 karta.png", "A 933-2023")</f>
        <v/>
      </c>
      <c r="V99">
        <f>HYPERLINK("https://klasma.github.io/Logging_2303/klagomål/A 933-2023 FSC-klagomål.docx", "A 933-2023")</f>
        <v/>
      </c>
      <c r="W99">
        <f>HYPERLINK("https://klasma.github.io/Logging_2303/klagomålsmail/A 933-2023 FSC-klagomål mail.docx", "A 933-2023")</f>
        <v/>
      </c>
      <c r="X99">
        <f>HYPERLINK("https://klasma.github.io/Logging_2303/tillsyn/A 933-2023 tillsynsbegäran.docx", "A 933-2023")</f>
        <v/>
      </c>
      <c r="Y99">
        <f>HYPERLINK("https://klasma.github.io/Logging_2303/tillsynsmail/A 933-2023 tillsynsbegäran mail.docx", "A 933-2023")</f>
        <v/>
      </c>
    </row>
    <row r="100" ht="15" customHeight="1">
      <c r="A100" t="inlineStr">
        <is>
          <t>A 11828-2023</t>
        </is>
      </c>
      <c r="B100" s="1" t="n">
        <v>44994</v>
      </c>
      <c r="C100" s="1" t="n">
        <v>45826</v>
      </c>
      <c r="D100" t="inlineStr">
        <is>
          <t>JÄMTLANDS LÄN</t>
        </is>
      </c>
      <c r="E100" t="inlineStr">
        <is>
          <t>RAGUNDA</t>
        </is>
      </c>
      <c r="F100" t="inlineStr">
        <is>
          <t>SCA</t>
        </is>
      </c>
      <c r="G100" t="n">
        <v>2.7</v>
      </c>
      <c r="H100" t="n">
        <v>0</v>
      </c>
      <c r="I100" t="n">
        <v>0</v>
      </c>
      <c r="J100" t="n">
        <v>6</v>
      </c>
      <c r="K100" t="n">
        <v>0</v>
      </c>
      <c r="L100" t="n">
        <v>0</v>
      </c>
      <c r="M100" t="n">
        <v>0</v>
      </c>
      <c r="N100" t="n">
        <v>0</v>
      </c>
      <c r="O100" t="n">
        <v>6</v>
      </c>
      <c r="P100" t="n">
        <v>0</v>
      </c>
      <c r="Q100" t="n">
        <v>6</v>
      </c>
      <c r="R100" s="2" t="inlineStr">
        <is>
          <t>Dvärgbägarlav
Garnlav
Kolflarnlav
Mörk kolflarnlav
Vedskivlav
Vedtrappmossa</t>
        </is>
      </c>
      <c r="S100">
        <f>HYPERLINK("https://klasma.github.io/Logging_2303/artfynd/A 11828-2023 artfynd.xlsx", "A 11828-2023")</f>
        <v/>
      </c>
      <c r="T100">
        <f>HYPERLINK("https://klasma.github.io/Logging_2303/kartor/A 11828-2023 karta.png", "A 11828-2023")</f>
        <v/>
      </c>
      <c r="V100">
        <f>HYPERLINK("https://klasma.github.io/Logging_2303/klagomål/A 11828-2023 FSC-klagomål.docx", "A 11828-2023")</f>
        <v/>
      </c>
      <c r="W100">
        <f>HYPERLINK("https://klasma.github.io/Logging_2303/klagomålsmail/A 11828-2023 FSC-klagomål mail.docx", "A 11828-2023")</f>
        <v/>
      </c>
      <c r="X100">
        <f>HYPERLINK("https://klasma.github.io/Logging_2303/tillsyn/A 11828-2023 tillsynsbegäran.docx", "A 11828-2023")</f>
        <v/>
      </c>
      <c r="Y100">
        <f>HYPERLINK("https://klasma.github.io/Logging_2303/tillsynsmail/A 11828-2023 tillsynsbegäran mail.docx", "A 11828-2023")</f>
        <v/>
      </c>
    </row>
    <row r="101" ht="15" customHeight="1">
      <c r="A101" t="inlineStr">
        <is>
          <t>A 15073-2023</t>
        </is>
      </c>
      <c r="B101" s="1" t="n">
        <v>45015</v>
      </c>
      <c r="C101" s="1" t="n">
        <v>45826</v>
      </c>
      <c r="D101" t="inlineStr">
        <is>
          <t>JÄMTLANDS LÄN</t>
        </is>
      </c>
      <c r="E101" t="inlineStr">
        <is>
          <t>RAGUNDA</t>
        </is>
      </c>
      <c r="G101" t="n">
        <v>18.8</v>
      </c>
      <c r="H101" t="n">
        <v>1</v>
      </c>
      <c r="I101" t="n">
        <v>1</v>
      </c>
      <c r="J101" t="n">
        <v>4</v>
      </c>
      <c r="K101" t="n">
        <v>1</v>
      </c>
      <c r="L101" t="n">
        <v>0</v>
      </c>
      <c r="M101" t="n">
        <v>0</v>
      </c>
      <c r="N101" t="n">
        <v>0</v>
      </c>
      <c r="O101" t="n">
        <v>5</v>
      </c>
      <c r="P101" t="n">
        <v>1</v>
      </c>
      <c r="Q101" t="n">
        <v>6</v>
      </c>
      <c r="R101" s="2" t="inlineStr">
        <is>
          <t>Knärot
Garnlav
Kolflarnlav
Lunglav
Vedtrappmossa
Bårdlav</t>
        </is>
      </c>
      <c r="S101">
        <f>HYPERLINK("https://klasma.github.io/Logging_2303/artfynd/A 15073-2023 artfynd.xlsx", "A 15073-2023")</f>
        <v/>
      </c>
      <c r="T101">
        <f>HYPERLINK("https://klasma.github.io/Logging_2303/kartor/A 15073-2023 karta.png", "A 15073-2023")</f>
        <v/>
      </c>
      <c r="U101">
        <f>HYPERLINK("https://klasma.github.io/Logging_2303/knärot/A 15073-2023 karta knärot.png", "A 15073-2023")</f>
        <v/>
      </c>
      <c r="V101">
        <f>HYPERLINK("https://klasma.github.io/Logging_2303/klagomål/A 15073-2023 FSC-klagomål.docx", "A 15073-2023")</f>
        <v/>
      </c>
      <c r="W101">
        <f>HYPERLINK("https://klasma.github.io/Logging_2303/klagomålsmail/A 15073-2023 FSC-klagomål mail.docx", "A 15073-2023")</f>
        <v/>
      </c>
      <c r="X101">
        <f>HYPERLINK("https://klasma.github.io/Logging_2303/tillsyn/A 15073-2023 tillsynsbegäran.docx", "A 15073-2023")</f>
        <v/>
      </c>
      <c r="Y101">
        <f>HYPERLINK("https://klasma.github.io/Logging_2303/tillsynsmail/A 15073-2023 tillsynsbegäran mail.docx", "A 15073-2023")</f>
        <v/>
      </c>
    </row>
    <row r="102" ht="15" customHeight="1">
      <c r="A102" t="inlineStr">
        <is>
          <t>A 16195-2023</t>
        </is>
      </c>
      <c r="B102" s="1" t="n">
        <v>45027</v>
      </c>
      <c r="C102" s="1" t="n">
        <v>45826</v>
      </c>
      <c r="D102" t="inlineStr">
        <is>
          <t>JÄMTLANDS LÄN</t>
        </is>
      </c>
      <c r="E102" t="inlineStr">
        <is>
          <t>RAGUNDA</t>
        </is>
      </c>
      <c r="F102" t="inlineStr">
        <is>
          <t>SCA</t>
        </is>
      </c>
      <c r="G102" t="n">
        <v>11.3</v>
      </c>
      <c r="H102" t="n">
        <v>2</v>
      </c>
      <c r="I102" t="n">
        <v>2</v>
      </c>
      <c r="J102" t="n">
        <v>3</v>
      </c>
      <c r="K102" t="n">
        <v>1</v>
      </c>
      <c r="L102" t="n">
        <v>0</v>
      </c>
      <c r="M102" t="n">
        <v>0</v>
      </c>
      <c r="N102" t="n">
        <v>0</v>
      </c>
      <c r="O102" t="n">
        <v>4</v>
      </c>
      <c r="P102" t="n">
        <v>1</v>
      </c>
      <c r="Q102" t="n">
        <v>6</v>
      </c>
      <c r="R102" s="2" t="inlineStr">
        <is>
          <t>Knärot
Blå taggsvamp
Blågrå svartspik
Skrovlig taggsvamp
Dropptaggsvamp
Plattlummer</t>
        </is>
      </c>
      <c r="S102">
        <f>HYPERLINK("https://klasma.github.io/Logging_2303/artfynd/A 16195-2023 artfynd.xlsx", "A 16195-2023")</f>
        <v/>
      </c>
      <c r="T102">
        <f>HYPERLINK("https://klasma.github.io/Logging_2303/kartor/A 16195-2023 karta.png", "A 16195-2023")</f>
        <v/>
      </c>
      <c r="U102">
        <f>HYPERLINK("https://klasma.github.io/Logging_2303/knärot/A 16195-2023 karta knärot.png", "A 16195-2023")</f>
        <v/>
      </c>
      <c r="V102">
        <f>HYPERLINK("https://klasma.github.io/Logging_2303/klagomål/A 16195-2023 FSC-klagomål.docx", "A 16195-2023")</f>
        <v/>
      </c>
      <c r="W102">
        <f>HYPERLINK("https://klasma.github.io/Logging_2303/klagomålsmail/A 16195-2023 FSC-klagomål mail.docx", "A 16195-2023")</f>
        <v/>
      </c>
      <c r="X102">
        <f>HYPERLINK("https://klasma.github.io/Logging_2303/tillsyn/A 16195-2023 tillsynsbegäran.docx", "A 16195-2023")</f>
        <v/>
      </c>
      <c r="Y102">
        <f>HYPERLINK("https://klasma.github.io/Logging_2303/tillsynsmail/A 16195-2023 tillsynsbegäran mail.docx", "A 16195-2023")</f>
        <v/>
      </c>
    </row>
    <row r="103" ht="15" customHeight="1">
      <c r="A103" t="inlineStr">
        <is>
          <t>A 22469-2023</t>
        </is>
      </c>
      <c r="B103" s="1" t="n">
        <v>45070</v>
      </c>
      <c r="C103" s="1" t="n">
        <v>45826</v>
      </c>
      <c r="D103" t="inlineStr">
        <is>
          <t>JÄMTLANDS LÄN</t>
        </is>
      </c>
      <c r="E103" t="inlineStr">
        <is>
          <t>RAGUNDA</t>
        </is>
      </c>
      <c r="F103" t="inlineStr">
        <is>
          <t>SCA</t>
        </is>
      </c>
      <c r="G103" t="n">
        <v>9.199999999999999</v>
      </c>
      <c r="H103" t="n">
        <v>0</v>
      </c>
      <c r="I103" t="n">
        <v>2</v>
      </c>
      <c r="J103" t="n">
        <v>4</v>
      </c>
      <c r="K103" t="n">
        <v>0</v>
      </c>
      <c r="L103" t="n">
        <v>0</v>
      </c>
      <c r="M103" t="n">
        <v>0</v>
      </c>
      <c r="N103" t="n">
        <v>0</v>
      </c>
      <c r="O103" t="n">
        <v>4</v>
      </c>
      <c r="P103" t="n">
        <v>0</v>
      </c>
      <c r="Q103" t="n">
        <v>6</v>
      </c>
      <c r="R103" s="2" t="inlineStr">
        <is>
          <t>Dvärgbägarlav
Garnlav
Kolflarnlav
Lunglav
Dropptaggsvamp
Källmossor</t>
        </is>
      </c>
      <c r="S103">
        <f>HYPERLINK("https://klasma.github.io/Logging_2303/artfynd/A 22469-2023 artfynd.xlsx", "A 22469-2023")</f>
        <v/>
      </c>
      <c r="T103">
        <f>HYPERLINK("https://klasma.github.io/Logging_2303/kartor/A 22469-2023 karta.png", "A 22469-2023")</f>
        <v/>
      </c>
      <c r="V103">
        <f>HYPERLINK("https://klasma.github.io/Logging_2303/klagomål/A 22469-2023 FSC-klagomål.docx", "A 22469-2023")</f>
        <v/>
      </c>
      <c r="W103">
        <f>HYPERLINK("https://klasma.github.io/Logging_2303/klagomålsmail/A 22469-2023 FSC-klagomål mail.docx", "A 22469-2023")</f>
        <v/>
      </c>
      <c r="X103">
        <f>HYPERLINK("https://klasma.github.io/Logging_2303/tillsyn/A 22469-2023 tillsynsbegäran.docx", "A 22469-2023")</f>
        <v/>
      </c>
      <c r="Y103">
        <f>HYPERLINK("https://klasma.github.io/Logging_2303/tillsynsmail/A 22469-2023 tillsynsbegäran mail.docx", "A 22469-2023")</f>
        <v/>
      </c>
    </row>
    <row r="104" ht="15" customHeight="1">
      <c r="A104" t="inlineStr">
        <is>
          <t>A 55646-2023</t>
        </is>
      </c>
      <c r="B104" s="1" t="n">
        <v>45238</v>
      </c>
      <c r="C104" s="1" t="n">
        <v>45826</v>
      </c>
      <c r="D104" t="inlineStr">
        <is>
          <t>JÄMTLANDS LÄN</t>
        </is>
      </c>
      <c r="E104" t="inlineStr">
        <is>
          <t>RAGUNDA</t>
        </is>
      </c>
      <c r="F104" t="inlineStr">
        <is>
          <t>SCA</t>
        </is>
      </c>
      <c r="G104" t="n">
        <v>3.9</v>
      </c>
      <c r="H104" t="n">
        <v>0</v>
      </c>
      <c r="I104" t="n">
        <v>1</v>
      </c>
      <c r="J104" t="n">
        <v>5</v>
      </c>
      <c r="K104" t="n">
        <v>0</v>
      </c>
      <c r="L104" t="n">
        <v>0</v>
      </c>
      <c r="M104" t="n">
        <v>0</v>
      </c>
      <c r="N104" t="n">
        <v>0</v>
      </c>
      <c r="O104" t="n">
        <v>5</v>
      </c>
      <c r="P104" t="n">
        <v>0</v>
      </c>
      <c r="Q104" t="n">
        <v>6</v>
      </c>
      <c r="R104" s="2" t="inlineStr">
        <is>
          <t>Gammelgransskål
Garnlav
Lunglav
Skrovellav
Småflikig brosklav
Korallblylav</t>
        </is>
      </c>
      <c r="S104">
        <f>HYPERLINK("https://klasma.github.io/Logging_2303/artfynd/A 55646-2023 artfynd.xlsx", "A 55646-2023")</f>
        <v/>
      </c>
      <c r="T104">
        <f>HYPERLINK("https://klasma.github.io/Logging_2303/kartor/A 55646-2023 karta.png", "A 55646-2023")</f>
        <v/>
      </c>
      <c r="V104">
        <f>HYPERLINK("https://klasma.github.io/Logging_2303/klagomål/A 55646-2023 FSC-klagomål.docx", "A 55646-2023")</f>
        <v/>
      </c>
      <c r="W104">
        <f>HYPERLINK("https://klasma.github.io/Logging_2303/klagomålsmail/A 55646-2023 FSC-klagomål mail.docx", "A 55646-2023")</f>
        <v/>
      </c>
      <c r="X104">
        <f>HYPERLINK("https://klasma.github.io/Logging_2303/tillsyn/A 55646-2023 tillsynsbegäran.docx", "A 55646-2023")</f>
        <v/>
      </c>
      <c r="Y104">
        <f>HYPERLINK("https://klasma.github.io/Logging_2303/tillsynsmail/A 55646-2023 tillsynsbegäran mail.docx", "A 55646-2023")</f>
        <v/>
      </c>
    </row>
    <row r="105" ht="15" customHeight="1">
      <c r="A105" t="inlineStr">
        <is>
          <t>A 9330-2024</t>
        </is>
      </c>
      <c r="B105" s="1" t="n">
        <v>45359</v>
      </c>
      <c r="C105" s="1" t="n">
        <v>45826</v>
      </c>
      <c r="D105" t="inlineStr">
        <is>
          <t>JÄMTLANDS LÄN</t>
        </is>
      </c>
      <c r="E105" t="inlineStr">
        <is>
          <t>RAGUNDA</t>
        </is>
      </c>
      <c r="F105" t="inlineStr">
        <is>
          <t>SCA</t>
        </is>
      </c>
      <c r="G105" t="n">
        <v>13</v>
      </c>
      <c r="H105" t="n">
        <v>0</v>
      </c>
      <c r="I105" t="n">
        <v>0</v>
      </c>
      <c r="J105" t="n">
        <v>3</v>
      </c>
      <c r="K105" t="n">
        <v>3</v>
      </c>
      <c r="L105" t="n">
        <v>0</v>
      </c>
      <c r="M105" t="n">
        <v>0</v>
      </c>
      <c r="N105" t="n">
        <v>0</v>
      </c>
      <c r="O105" t="n">
        <v>6</v>
      </c>
      <c r="P105" t="n">
        <v>3</v>
      </c>
      <c r="Q105" t="n">
        <v>6</v>
      </c>
      <c r="R105" s="2" t="inlineStr">
        <is>
          <t>Goliatmusseron
Smalfotad taggsvamp
Tajgataggsvamp
Kolflarnlav
Reliktbock
Vedskivlav</t>
        </is>
      </c>
      <c r="S105">
        <f>HYPERLINK("https://klasma.github.io/Logging_2303/artfynd/A 9330-2024 artfynd.xlsx", "A 9330-2024")</f>
        <v/>
      </c>
      <c r="T105">
        <f>HYPERLINK("https://klasma.github.io/Logging_2303/kartor/A 9330-2024 karta.png", "A 9330-2024")</f>
        <v/>
      </c>
      <c r="V105">
        <f>HYPERLINK("https://klasma.github.io/Logging_2303/klagomål/A 9330-2024 FSC-klagomål.docx", "A 9330-2024")</f>
        <v/>
      </c>
      <c r="W105">
        <f>HYPERLINK("https://klasma.github.io/Logging_2303/klagomålsmail/A 9330-2024 FSC-klagomål mail.docx", "A 9330-2024")</f>
        <v/>
      </c>
      <c r="X105">
        <f>HYPERLINK("https://klasma.github.io/Logging_2303/tillsyn/A 9330-2024 tillsynsbegäran.docx", "A 9330-2024")</f>
        <v/>
      </c>
      <c r="Y105">
        <f>HYPERLINK("https://klasma.github.io/Logging_2303/tillsynsmail/A 9330-2024 tillsynsbegäran mail.docx", "A 9330-2024")</f>
        <v/>
      </c>
    </row>
    <row r="106" ht="15" customHeight="1">
      <c r="A106" t="inlineStr">
        <is>
          <t>A 24431-2024</t>
        </is>
      </c>
      <c r="B106" s="1" t="n">
        <v>45458</v>
      </c>
      <c r="C106" s="1" t="n">
        <v>45826</v>
      </c>
      <c r="D106" t="inlineStr">
        <is>
          <t>JÄMTLANDS LÄN</t>
        </is>
      </c>
      <c r="E106" t="inlineStr">
        <is>
          <t>RAGUNDA</t>
        </is>
      </c>
      <c r="F106" t="inlineStr">
        <is>
          <t>SCA</t>
        </is>
      </c>
      <c r="G106" t="n">
        <v>3.6</v>
      </c>
      <c r="H106" t="n">
        <v>1</v>
      </c>
      <c r="I106" t="n">
        <v>0</v>
      </c>
      <c r="J106" t="n">
        <v>6</v>
      </c>
      <c r="K106" t="n">
        <v>0</v>
      </c>
      <c r="L106" t="n">
        <v>0</v>
      </c>
      <c r="M106" t="n">
        <v>0</v>
      </c>
      <c r="N106" t="n">
        <v>0</v>
      </c>
      <c r="O106" t="n">
        <v>6</v>
      </c>
      <c r="P106" t="n">
        <v>0</v>
      </c>
      <c r="Q106" t="n">
        <v>6</v>
      </c>
      <c r="R106" s="2" t="inlineStr">
        <is>
          <t>Doftskinn
Gammelgransskål
Rosenticka
Tretåig hackspett
Ullticka
Vitgrynig nållav</t>
        </is>
      </c>
      <c r="S106">
        <f>HYPERLINK("https://klasma.github.io/Logging_2303/artfynd/A 24431-2024 artfynd.xlsx", "A 24431-2024")</f>
        <v/>
      </c>
      <c r="T106">
        <f>HYPERLINK("https://klasma.github.io/Logging_2303/kartor/A 24431-2024 karta.png", "A 24431-2024")</f>
        <v/>
      </c>
      <c r="V106">
        <f>HYPERLINK("https://klasma.github.io/Logging_2303/klagomål/A 24431-2024 FSC-klagomål.docx", "A 24431-2024")</f>
        <v/>
      </c>
      <c r="W106">
        <f>HYPERLINK("https://klasma.github.io/Logging_2303/klagomålsmail/A 24431-2024 FSC-klagomål mail.docx", "A 24431-2024")</f>
        <v/>
      </c>
      <c r="X106">
        <f>HYPERLINK("https://klasma.github.io/Logging_2303/tillsyn/A 24431-2024 tillsynsbegäran.docx", "A 24431-2024")</f>
        <v/>
      </c>
      <c r="Y106">
        <f>HYPERLINK("https://klasma.github.io/Logging_2303/tillsynsmail/A 24431-2024 tillsynsbegäran mail.docx", "A 24431-2024")</f>
        <v/>
      </c>
      <c r="Z106">
        <f>HYPERLINK("https://klasma.github.io/Logging_2303/fåglar/A 24431-2024 prioriterade fågelarter.docx", "A 24431-2024")</f>
        <v/>
      </c>
    </row>
    <row r="107" ht="15" customHeight="1">
      <c r="A107" t="inlineStr">
        <is>
          <t>A 26326-2024</t>
        </is>
      </c>
      <c r="B107" s="1" t="n">
        <v>45469</v>
      </c>
      <c r="C107" s="1" t="n">
        <v>45826</v>
      </c>
      <c r="D107" t="inlineStr">
        <is>
          <t>JÄMTLANDS LÄN</t>
        </is>
      </c>
      <c r="E107" t="inlineStr">
        <is>
          <t>RAGUNDA</t>
        </is>
      </c>
      <c r="F107" t="inlineStr">
        <is>
          <t>SCA</t>
        </is>
      </c>
      <c r="G107" t="n">
        <v>1.8</v>
      </c>
      <c r="H107" t="n">
        <v>1</v>
      </c>
      <c r="I107" t="n">
        <v>1</v>
      </c>
      <c r="J107" t="n">
        <v>4</v>
      </c>
      <c r="K107" t="n">
        <v>1</v>
      </c>
      <c r="L107" t="n">
        <v>0</v>
      </c>
      <c r="M107" t="n">
        <v>0</v>
      </c>
      <c r="N107" t="n">
        <v>0</v>
      </c>
      <c r="O107" t="n">
        <v>5</v>
      </c>
      <c r="P107" t="n">
        <v>1</v>
      </c>
      <c r="Q107" t="n">
        <v>6</v>
      </c>
      <c r="R107" s="2" t="inlineStr">
        <is>
          <t>Knärot
Gammelgransskål
Kortskaftad ärgspik
Mörk kolflarnlav
Vedtrappmossa
Gytterlav</t>
        </is>
      </c>
      <c r="S107">
        <f>HYPERLINK("https://klasma.github.io/Logging_2303/artfynd/A 26326-2024 artfynd.xlsx", "A 26326-2024")</f>
        <v/>
      </c>
      <c r="T107">
        <f>HYPERLINK("https://klasma.github.io/Logging_2303/kartor/A 26326-2024 karta.png", "A 26326-2024")</f>
        <v/>
      </c>
      <c r="U107">
        <f>HYPERLINK("https://klasma.github.io/Logging_2303/knärot/A 26326-2024 karta knärot.png", "A 26326-2024")</f>
        <v/>
      </c>
      <c r="V107">
        <f>HYPERLINK("https://klasma.github.io/Logging_2303/klagomål/A 26326-2024 FSC-klagomål.docx", "A 26326-2024")</f>
        <v/>
      </c>
      <c r="W107">
        <f>HYPERLINK("https://klasma.github.io/Logging_2303/klagomålsmail/A 26326-2024 FSC-klagomål mail.docx", "A 26326-2024")</f>
        <v/>
      </c>
      <c r="X107">
        <f>HYPERLINK("https://klasma.github.io/Logging_2303/tillsyn/A 26326-2024 tillsynsbegäran.docx", "A 26326-2024")</f>
        <v/>
      </c>
      <c r="Y107">
        <f>HYPERLINK("https://klasma.github.io/Logging_2303/tillsynsmail/A 26326-2024 tillsynsbegäran mail.docx", "A 26326-2024")</f>
        <v/>
      </c>
    </row>
    <row r="108" ht="15" customHeight="1">
      <c r="A108" t="inlineStr">
        <is>
          <t>A 27322-2024</t>
        </is>
      </c>
      <c r="B108" s="1" t="n">
        <v>45472</v>
      </c>
      <c r="C108" s="1" t="n">
        <v>45826</v>
      </c>
      <c r="D108" t="inlineStr">
        <is>
          <t>JÄMTLANDS LÄN</t>
        </is>
      </c>
      <c r="E108" t="inlineStr">
        <is>
          <t>RAGUNDA</t>
        </is>
      </c>
      <c r="G108" t="n">
        <v>2.3</v>
      </c>
      <c r="H108" t="n">
        <v>1</v>
      </c>
      <c r="I108" t="n">
        <v>0</v>
      </c>
      <c r="J108" t="n">
        <v>5</v>
      </c>
      <c r="K108" t="n">
        <v>1</v>
      </c>
      <c r="L108" t="n">
        <v>0</v>
      </c>
      <c r="M108" t="n">
        <v>0</v>
      </c>
      <c r="N108" t="n">
        <v>0</v>
      </c>
      <c r="O108" t="n">
        <v>6</v>
      </c>
      <c r="P108" t="n">
        <v>1</v>
      </c>
      <c r="Q108" t="n">
        <v>6</v>
      </c>
      <c r="R108" s="2" t="inlineStr">
        <is>
          <t>Knärot
Gammelgransskål
Garnlav
Lunglav
Skrovellav
Vedtrappmossa</t>
        </is>
      </c>
      <c r="S108">
        <f>HYPERLINK("https://klasma.github.io/Logging_2303/artfynd/A 27322-2024 artfynd.xlsx", "A 27322-2024")</f>
        <v/>
      </c>
      <c r="T108">
        <f>HYPERLINK("https://klasma.github.io/Logging_2303/kartor/A 27322-2024 karta.png", "A 27322-2024")</f>
        <v/>
      </c>
      <c r="U108">
        <f>HYPERLINK("https://klasma.github.io/Logging_2303/knärot/A 27322-2024 karta knärot.png", "A 27322-2024")</f>
        <v/>
      </c>
      <c r="V108">
        <f>HYPERLINK("https://klasma.github.io/Logging_2303/klagomål/A 27322-2024 FSC-klagomål.docx", "A 27322-2024")</f>
        <v/>
      </c>
      <c r="W108">
        <f>HYPERLINK("https://klasma.github.io/Logging_2303/klagomålsmail/A 27322-2024 FSC-klagomål mail.docx", "A 27322-2024")</f>
        <v/>
      </c>
      <c r="X108">
        <f>HYPERLINK("https://klasma.github.io/Logging_2303/tillsyn/A 27322-2024 tillsynsbegäran.docx", "A 27322-2024")</f>
        <v/>
      </c>
      <c r="Y108">
        <f>HYPERLINK("https://klasma.github.io/Logging_2303/tillsynsmail/A 27322-2024 tillsynsbegäran mail.docx", "A 27322-2024")</f>
        <v/>
      </c>
    </row>
    <row r="109" ht="15" customHeight="1">
      <c r="A109" t="inlineStr">
        <is>
          <t>A 35411-2024</t>
        </is>
      </c>
      <c r="B109" s="1" t="n">
        <v>45531</v>
      </c>
      <c r="C109" s="1" t="n">
        <v>45826</v>
      </c>
      <c r="D109" t="inlineStr">
        <is>
          <t>JÄMTLANDS LÄN</t>
        </is>
      </c>
      <c r="E109" t="inlineStr">
        <is>
          <t>RAGUNDA</t>
        </is>
      </c>
      <c r="F109" t="inlineStr">
        <is>
          <t>SCA</t>
        </is>
      </c>
      <c r="G109" t="n">
        <v>2.5</v>
      </c>
      <c r="H109" t="n">
        <v>0</v>
      </c>
      <c r="I109" t="n">
        <v>2</v>
      </c>
      <c r="J109" t="n">
        <v>4</v>
      </c>
      <c r="K109" t="n">
        <v>0</v>
      </c>
      <c r="L109" t="n">
        <v>0</v>
      </c>
      <c r="M109" t="n">
        <v>0</v>
      </c>
      <c r="N109" t="n">
        <v>0</v>
      </c>
      <c r="O109" t="n">
        <v>4</v>
      </c>
      <c r="P109" t="n">
        <v>0</v>
      </c>
      <c r="Q109" t="n">
        <v>6</v>
      </c>
      <c r="R109" s="2" t="inlineStr">
        <is>
          <t>Garnlav
Lunglav
Vedskivlav
Vitplätt
Dropptaggsvamp
Skinnlav</t>
        </is>
      </c>
      <c r="S109">
        <f>HYPERLINK("https://klasma.github.io/Logging_2303/artfynd/A 35411-2024 artfynd.xlsx", "A 35411-2024")</f>
        <v/>
      </c>
      <c r="T109">
        <f>HYPERLINK("https://klasma.github.io/Logging_2303/kartor/A 35411-2024 karta.png", "A 35411-2024")</f>
        <v/>
      </c>
      <c r="V109">
        <f>HYPERLINK("https://klasma.github.io/Logging_2303/klagomål/A 35411-2024 FSC-klagomål.docx", "A 35411-2024")</f>
        <v/>
      </c>
      <c r="W109">
        <f>HYPERLINK("https://klasma.github.io/Logging_2303/klagomålsmail/A 35411-2024 FSC-klagomål mail.docx", "A 35411-2024")</f>
        <v/>
      </c>
      <c r="X109">
        <f>HYPERLINK("https://klasma.github.io/Logging_2303/tillsyn/A 35411-2024 tillsynsbegäran.docx", "A 35411-2024")</f>
        <v/>
      </c>
      <c r="Y109">
        <f>HYPERLINK("https://klasma.github.io/Logging_2303/tillsynsmail/A 35411-2024 tillsynsbegäran mail.docx", "A 35411-2024")</f>
        <v/>
      </c>
    </row>
    <row r="110" ht="15" customHeight="1">
      <c r="A110" t="inlineStr">
        <is>
          <t>A 35424-2024</t>
        </is>
      </c>
      <c r="B110" s="1" t="n">
        <v>45531</v>
      </c>
      <c r="C110" s="1" t="n">
        <v>45826</v>
      </c>
      <c r="D110" t="inlineStr">
        <is>
          <t>JÄMTLANDS LÄN</t>
        </is>
      </c>
      <c r="E110" t="inlineStr">
        <is>
          <t>RAGUNDA</t>
        </is>
      </c>
      <c r="F110" t="inlineStr">
        <is>
          <t>SCA</t>
        </is>
      </c>
      <c r="G110" t="n">
        <v>3</v>
      </c>
      <c r="H110" t="n">
        <v>3</v>
      </c>
      <c r="I110" t="n">
        <v>3</v>
      </c>
      <c r="J110" t="n">
        <v>2</v>
      </c>
      <c r="K110" t="n">
        <v>0</v>
      </c>
      <c r="L110" t="n">
        <v>0</v>
      </c>
      <c r="M110" t="n">
        <v>0</v>
      </c>
      <c r="N110" t="n">
        <v>0</v>
      </c>
      <c r="O110" t="n">
        <v>2</v>
      </c>
      <c r="P110" t="n">
        <v>0</v>
      </c>
      <c r="Q110" t="n">
        <v>6</v>
      </c>
      <c r="R110" s="2" t="inlineStr">
        <is>
          <t>Grantaggsvamp
Skogsfru
Korallrot
Kransrams
Tibast
Revlummer</t>
        </is>
      </c>
      <c r="S110">
        <f>HYPERLINK("https://klasma.github.io/Logging_2303/artfynd/A 35424-2024 artfynd.xlsx", "A 35424-2024")</f>
        <v/>
      </c>
      <c r="T110">
        <f>HYPERLINK("https://klasma.github.io/Logging_2303/kartor/A 35424-2024 karta.png", "A 35424-2024")</f>
        <v/>
      </c>
      <c r="V110">
        <f>HYPERLINK("https://klasma.github.io/Logging_2303/klagomål/A 35424-2024 FSC-klagomål.docx", "A 35424-2024")</f>
        <v/>
      </c>
      <c r="W110">
        <f>HYPERLINK("https://klasma.github.io/Logging_2303/klagomålsmail/A 35424-2024 FSC-klagomål mail.docx", "A 35424-2024")</f>
        <v/>
      </c>
      <c r="X110">
        <f>HYPERLINK("https://klasma.github.io/Logging_2303/tillsyn/A 35424-2024 tillsynsbegäran.docx", "A 35424-2024")</f>
        <v/>
      </c>
      <c r="Y110">
        <f>HYPERLINK("https://klasma.github.io/Logging_2303/tillsynsmail/A 35424-2024 tillsynsbegäran mail.docx", "A 35424-2024")</f>
        <v/>
      </c>
    </row>
    <row r="111" ht="15" customHeight="1">
      <c r="A111" t="inlineStr">
        <is>
          <t>A 37858-2024</t>
        </is>
      </c>
      <c r="B111" s="1" t="n">
        <v>45544</v>
      </c>
      <c r="C111" s="1" t="n">
        <v>45826</v>
      </c>
      <c r="D111" t="inlineStr">
        <is>
          <t>JÄMTLANDS LÄN</t>
        </is>
      </c>
      <c r="E111" t="inlineStr">
        <is>
          <t>RAGUNDA</t>
        </is>
      </c>
      <c r="G111" t="n">
        <v>2.6</v>
      </c>
      <c r="H111" t="n">
        <v>2</v>
      </c>
      <c r="I111" t="n">
        <v>0</v>
      </c>
      <c r="J111" t="n">
        <v>5</v>
      </c>
      <c r="K111" t="n">
        <v>0</v>
      </c>
      <c r="L111" t="n">
        <v>0</v>
      </c>
      <c r="M111" t="n">
        <v>0</v>
      </c>
      <c r="N111" t="n">
        <v>0</v>
      </c>
      <c r="O111" t="n">
        <v>5</v>
      </c>
      <c r="P111" t="n">
        <v>0</v>
      </c>
      <c r="Q111" t="n">
        <v>6</v>
      </c>
      <c r="R111" s="2" t="inlineStr">
        <is>
          <t>Garnlav
Granticka
Lunglav
Rosenticka
Spillkråka
Revlummer</t>
        </is>
      </c>
      <c r="S111">
        <f>HYPERLINK("https://klasma.github.io/Logging_2303/artfynd/A 37858-2024 artfynd.xlsx", "A 37858-2024")</f>
        <v/>
      </c>
      <c r="T111">
        <f>HYPERLINK("https://klasma.github.io/Logging_2303/kartor/A 37858-2024 karta.png", "A 37858-2024")</f>
        <v/>
      </c>
      <c r="V111">
        <f>HYPERLINK("https://klasma.github.io/Logging_2303/klagomål/A 37858-2024 FSC-klagomål.docx", "A 37858-2024")</f>
        <v/>
      </c>
      <c r="W111">
        <f>HYPERLINK("https://klasma.github.io/Logging_2303/klagomålsmail/A 37858-2024 FSC-klagomål mail.docx", "A 37858-2024")</f>
        <v/>
      </c>
      <c r="X111">
        <f>HYPERLINK("https://klasma.github.io/Logging_2303/tillsyn/A 37858-2024 tillsynsbegäran.docx", "A 37858-2024")</f>
        <v/>
      </c>
      <c r="Y111">
        <f>HYPERLINK("https://klasma.github.io/Logging_2303/tillsynsmail/A 37858-2024 tillsynsbegäran mail.docx", "A 37858-2024")</f>
        <v/>
      </c>
      <c r="Z111">
        <f>HYPERLINK("https://klasma.github.io/Logging_2303/fåglar/A 37858-2024 prioriterade fågelarter.docx", "A 37858-2024")</f>
        <v/>
      </c>
    </row>
    <row r="112" ht="15" customHeight="1">
      <c r="A112" t="inlineStr">
        <is>
          <t>A 40170-2024</t>
        </is>
      </c>
      <c r="B112" s="1" t="n">
        <v>45554</v>
      </c>
      <c r="C112" s="1" t="n">
        <v>45826</v>
      </c>
      <c r="D112" t="inlineStr">
        <is>
          <t>JÄMTLANDS LÄN</t>
        </is>
      </c>
      <c r="E112" t="inlineStr">
        <is>
          <t>RAGUNDA</t>
        </is>
      </c>
      <c r="G112" t="n">
        <v>6.9</v>
      </c>
      <c r="H112" t="n">
        <v>1</v>
      </c>
      <c r="I112" t="n">
        <v>1</v>
      </c>
      <c r="J112" t="n">
        <v>4</v>
      </c>
      <c r="K112" t="n">
        <v>1</v>
      </c>
      <c r="L112" t="n">
        <v>0</v>
      </c>
      <c r="M112" t="n">
        <v>0</v>
      </c>
      <c r="N112" t="n">
        <v>0</v>
      </c>
      <c r="O112" t="n">
        <v>5</v>
      </c>
      <c r="P112" t="n">
        <v>1</v>
      </c>
      <c r="Q112" t="n">
        <v>6</v>
      </c>
      <c r="R112" s="2" t="inlineStr">
        <is>
          <t>Knärot
Lunglav
Vedflamlav
Vedskivlav
Vedtrappmossa
Bårdlav</t>
        </is>
      </c>
      <c r="S112">
        <f>HYPERLINK("https://klasma.github.io/Logging_2303/artfynd/A 40170-2024 artfynd.xlsx", "A 40170-2024")</f>
        <v/>
      </c>
      <c r="T112">
        <f>HYPERLINK("https://klasma.github.io/Logging_2303/kartor/A 40170-2024 karta.png", "A 40170-2024")</f>
        <v/>
      </c>
      <c r="U112">
        <f>HYPERLINK("https://klasma.github.io/Logging_2303/knärot/A 40170-2024 karta knärot.png", "A 40170-2024")</f>
        <v/>
      </c>
      <c r="V112">
        <f>HYPERLINK("https://klasma.github.io/Logging_2303/klagomål/A 40170-2024 FSC-klagomål.docx", "A 40170-2024")</f>
        <v/>
      </c>
      <c r="W112">
        <f>HYPERLINK("https://klasma.github.io/Logging_2303/klagomålsmail/A 40170-2024 FSC-klagomål mail.docx", "A 40170-2024")</f>
        <v/>
      </c>
      <c r="X112">
        <f>HYPERLINK("https://klasma.github.io/Logging_2303/tillsyn/A 40170-2024 tillsynsbegäran.docx", "A 40170-2024")</f>
        <v/>
      </c>
      <c r="Y112">
        <f>HYPERLINK("https://klasma.github.io/Logging_2303/tillsynsmail/A 40170-2024 tillsynsbegäran mail.docx", "A 40170-2024")</f>
        <v/>
      </c>
    </row>
    <row r="113" ht="15" customHeight="1">
      <c r="A113" t="inlineStr">
        <is>
          <t>A 49556-2024</t>
        </is>
      </c>
      <c r="B113" s="1" t="n">
        <v>45596</v>
      </c>
      <c r="C113" s="1" t="n">
        <v>45826</v>
      </c>
      <c r="D113" t="inlineStr">
        <is>
          <t>JÄMTLANDS LÄN</t>
        </is>
      </c>
      <c r="E113" t="inlineStr">
        <is>
          <t>RAGUNDA</t>
        </is>
      </c>
      <c r="F113" t="inlineStr">
        <is>
          <t>SCA</t>
        </is>
      </c>
      <c r="G113" t="n">
        <v>38.8</v>
      </c>
      <c r="H113" t="n">
        <v>2</v>
      </c>
      <c r="I113" t="n">
        <v>3</v>
      </c>
      <c r="J113" t="n">
        <v>1</v>
      </c>
      <c r="K113" t="n">
        <v>1</v>
      </c>
      <c r="L113" t="n">
        <v>0</v>
      </c>
      <c r="M113" t="n">
        <v>0</v>
      </c>
      <c r="N113" t="n">
        <v>0</v>
      </c>
      <c r="O113" t="n">
        <v>2</v>
      </c>
      <c r="P113" t="n">
        <v>1</v>
      </c>
      <c r="Q113" t="n">
        <v>6</v>
      </c>
      <c r="R113" s="2" t="inlineStr">
        <is>
          <t>Knärot
Lunglav
Dropptaggsvamp
Skinnlav
Vårärt
Blåsippa</t>
        </is>
      </c>
      <c r="S113">
        <f>HYPERLINK("https://klasma.github.io/Logging_2303/artfynd/A 49556-2024 artfynd.xlsx", "A 49556-2024")</f>
        <v/>
      </c>
      <c r="T113">
        <f>HYPERLINK("https://klasma.github.io/Logging_2303/kartor/A 49556-2024 karta.png", "A 49556-2024")</f>
        <v/>
      </c>
      <c r="U113">
        <f>HYPERLINK("https://klasma.github.io/Logging_2303/knärot/A 49556-2024 karta knärot.png", "A 49556-2024")</f>
        <v/>
      </c>
      <c r="V113">
        <f>HYPERLINK("https://klasma.github.io/Logging_2303/klagomål/A 49556-2024 FSC-klagomål.docx", "A 49556-2024")</f>
        <v/>
      </c>
      <c r="W113">
        <f>HYPERLINK("https://klasma.github.io/Logging_2303/klagomålsmail/A 49556-2024 FSC-klagomål mail.docx", "A 49556-2024")</f>
        <v/>
      </c>
      <c r="X113">
        <f>HYPERLINK("https://klasma.github.io/Logging_2303/tillsyn/A 49556-2024 tillsynsbegäran.docx", "A 49556-2024")</f>
        <v/>
      </c>
      <c r="Y113">
        <f>HYPERLINK("https://klasma.github.io/Logging_2303/tillsynsmail/A 49556-2024 tillsynsbegäran mail.docx", "A 49556-2024")</f>
        <v/>
      </c>
    </row>
    <row r="114" ht="15" customHeight="1">
      <c r="A114" t="inlineStr">
        <is>
          <t>A 12040-2025</t>
        </is>
      </c>
      <c r="B114" s="1" t="n">
        <v>45728</v>
      </c>
      <c r="C114" s="1" t="n">
        <v>45826</v>
      </c>
      <c r="D114" t="inlineStr">
        <is>
          <t>JÄMTLANDS LÄN</t>
        </is>
      </c>
      <c r="E114" t="inlineStr">
        <is>
          <t>RAGUNDA</t>
        </is>
      </c>
      <c r="F114" t="inlineStr">
        <is>
          <t>SCA</t>
        </is>
      </c>
      <c r="G114" t="n">
        <v>28.5</v>
      </c>
      <c r="H114" t="n">
        <v>0</v>
      </c>
      <c r="I114" t="n">
        <v>2</v>
      </c>
      <c r="J114" t="n">
        <v>4</v>
      </c>
      <c r="K114" t="n">
        <v>0</v>
      </c>
      <c r="L114" t="n">
        <v>0</v>
      </c>
      <c r="M114" t="n">
        <v>0</v>
      </c>
      <c r="N114" t="n">
        <v>0</v>
      </c>
      <c r="O114" t="n">
        <v>4</v>
      </c>
      <c r="P114" t="n">
        <v>0</v>
      </c>
      <c r="Q114" t="n">
        <v>6</v>
      </c>
      <c r="R114" s="2" t="inlineStr">
        <is>
          <t>Blå taggsvamp
Skrovlig taggsvamp
Tallriska
Äggvaxskivling
Dropptaggsvamp
Skarp dropptaggsvamp</t>
        </is>
      </c>
      <c r="S114">
        <f>HYPERLINK("https://klasma.github.io/Logging_232303/artfynd/A 12040-2025 artfynd.xlsx", "A 12040-2025")</f>
        <v/>
      </c>
      <c r="T114">
        <f>HYPERLINK("https://klasma.github.io/Logging_232303/kartor/A 12040-2025 karta.png", "A 12040-2025")</f>
        <v/>
      </c>
      <c r="V114">
        <f>HYPERLINK("https://klasma.github.io/Logging_232303/klagomål/A 12040-2025 FSC-klagomål.docx", "A 12040-2025")</f>
        <v/>
      </c>
      <c r="W114">
        <f>HYPERLINK("https://klasma.github.io/Logging_232303/klagomålsmail/A 12040-2025 FSC-klagomål mail.docx", "A 12040-2025")</f>
        <v/>
      </c>
      <c r="X114">
        <f>HYPERLINK("https://klasma.github.io/Logging_232303/tillsyn/A 12040-2025 tillsynsbegäran.docx", "A 12040-2025")</f>
        <v/>
      </c>
      <c r="Y114">
        <f>HYPERLINK("https://klasma.github.io/Logging_232303/tillsynsmail/A 12040-2025 tillsynsbegäran mail.docx", "A 12040-2025")</f>
        <v/>
      </c>
    </row>
    <row r="115" ht="15" customHeight="1">
      <c r="A115" t="inlineStr">
        <is>
          <t>A 21244-2025</t>
        </is>
      </c>
      <c r="B115" s="1" t="n">
        <v>45779</v>
      </c>
      <c r="C115" s="1" t="n">
        <v>45826</v>
      </c>
      <c r="D115" t="inlineStr">
        <is>
          <t>JÄMTLANDS LÄN</t>
        </is>
      </c>
      <c r="E115" t="inlineStr">
        <is>
          <t>RAGUNDA</t>
        </is>
      </c>
      <c r="F115" t="inlineStr">
        <is>
          <t>SCA</t>
        </is>
      </c>
      <c r="G115" t="n">
        <v>4.1</v>
      </c>
      <c r="H115" t="n">
        <v>0</v>
      </c>
      <c r="I115" t="n">
        <v>2</v>
      </c>
      <c r="J115" t="n">
        <v>3</v>
      </c>
      <c r="K115" t="n">
        <v>1</v>
      </c>
      <c r="L115" t="n">
        <v>0</v>
      </c>
      <c r="M115" t="n">
        <v>0</v>
      </c>
      <c r="N115" t="n">
        <v>0</v>
      </c>
      <c r="O115" t="n">
        <v>4</v>
      </c>
      <c r="P115" t="n">
        <v>1</v>
      </c>
      <c r="Q115" t="n">
        <v>6</v>
      </c>
      <c r="R115" s="2" t="inlineStr">
        <is>
          <t>Ulltickeporing
Garnlav
Lunglav
Ullticka
Stuplav
Vedticka</t>
        </is>
      </c>
      <c r="S115">
        <f>HYPERLINK("https://klasma.github.io/Logging_232303/artfynd/A 21244-2025 artfynd.xlsx", "A 21244-2025")</f>
        <v/>
      </c>
      <c r="T115">
        <f>HYPERLINK("https://klasma.github.io/Logging_232303/kartor/A 21244-2025 karta.png", "A 21244-2025")</f>
        <v/>
      </c>
      <c r="V115">
        <f>HYPERLINK("https://klasma.github.io/Logging_232303/klagomål/A 21244-2025 FSC-klagomål.docx", "A 21244-2025")</f>
        <v/>
      </c>
      <c r="W115">
        <f>HYPERLINK("https://klasma.github.io/Logging_232303/klagomålsmail/A 21244-2025 FSC-klagomål mail.docx", "A 21244-2025")</f>
        <v/>
      </c>
      <c r="X115">
        <f>HYPERLINK("https://klasma.github.io/Logging_232303/tillsyn/A 21244-2025 tillsynsbegäran.docx", "A 21244-2025")</f>
        <v/>
      </c>
      <c r="Y115">
        <f>HYPERLINK("https://klasma.github.io/Logging_232303/tillsynsmail/A 21244-2025 tillsynsbegäran mail.docx", "A 21244-2025")</f>
        <v/>
      </c>
    </row>
    <row r="116" ht="15" customHeight="1">
      <c r="A116" t="inlineStr">
        <is>
          <t>A 12519-2020</t>
        </is>
      </c>
      <c r="B116" s="1" t="n">
        <v>43896</v>
      </c>
      <c r="C116" s="1" t="n">
        <v>45826</v>
      </c>
      <c r="D116" t="inlineStr">
        <is>
          <t>JÄMTLANDS LÄN</t>
        </is>
      </c>
      <c r="E116" t="inlineStr">
        <is>
          <t>RAGUNDA</t>
        </is>
      </c>
      <c r="F116" t="inlineStr">
        <is>
          <t>SCA</t>
        </is>
      </c>
      <c r="G116" t="n">
        <v>3.1</v>
      </c>
      <c r="H116" t="n">
        <v>1</v>
      </c>
      <c r="I116" t="n">
        <v>1</v>
      </c>
      <c r="J116" t="n">
        <v>3</v>
      </c>
      <c r="K116" t="n">
        <v>1</v>
      </c>
      <c r="L116" t="n">
        <v>0</v>
      </c>
      <c r="M116" t="n">
        <v>0</v>
      </c>
      <c r="N116" t="n">
        <v>0</v>
      </c>
      <c r="O116" t="n">
        <v>4</v>
      </c>
      <c r="P116" t="n">
        <v>1</v>
      </c>
      <c r="Q116" t="n">
        <v>5</v>
      </c>
      <c r="R116" s="2" t="inlineStr">
        <is>
          <t>Knärot
Garnlav
Kolflarnlav
Lunglav
Dropptaggsvamp</t>
        </is>
      </c>
      <c r="S116">
        <f>HYPERLINK("https://klasma.github.io/Logging_2303/artfynd/A 12519-2020 artfynd.xlsx", "A 12519-2020")</f>
        <v/>
      </c>
      <c r="T116">
        <f>HYPERLINK("https://klasma.github.io/Logging_2303/kartor/A 12519-2020 karta.png", "A 12519-2020")</f>
        <v/>
      </c>
      <c r="U116">
        <f>HYPERLINK("https://klasma.github.io/Logging_2303/knärot/A 12519-2020 karta knärot.png", "A 12519-2020")</f>
        <v/>
      </c>
      <c r="V116">
        <f>HYPERLINK("https://klasma.github.io/Logging_2303/klagomål/A 12519-2020 FSC-klagomål.docx", "A 12519-2020")</f>
        <v/>
      </c>
      <c r="W116">
        <f>HYPERLINK("https://klasma.github.io/Logging_2303/klagomålsmail/A 12519-2020 FSC-klagomål mail.docx", "A 12519-2020")</f>
        <v/>
      </c>
      <c r="X116">
        <f>HYPERLINK("https://klasma.github.io/Logging_2303/tillsyn/A 12519-2020 tillsynsbegäran.docx", "A 12519-2020")</f>
        <v/>
      </c>
      <c r="Y116">
        <f>HYPERLINK("https://klasma.github.io/Logging_2303/tillsynsmail/A 12519-2020 tillsynsbegäran mail.docx", "A 12519-2020")</f>
        <v/>
      </c>
    </row>
    <row r="117" ht="15" customHeight="1">
      <c r="A117" t="inlineStr">
        <is>
          <t>A 57197-2020</t>
        </is>
      </c>
      <c r="B117" s="1" t="n">
        <v>44139</v>
      </c>
      <c r="C117" s="1" t="n">
        <v>45826</v>
      </c>
      <c r="D117" t="inlineStr">
        <is>
          <t>JÄMTLANDS LÄN</t>
        </is>
      </c>
      <c r="E117" t="inlineStr">
        <is>
          <t>RAGUNDA</t>
        </is>
      </c>
      <c r="G117" t="n">
        <v>9.1</v>
      </c>
      <c r="H117" t="n">
        <v>2</v>
      </c>
      <c r="I117" t="n">
        <v>2</v>
      </c>
      <c r="J117" t="n">
        <v>3</v>
      </c>
      <c r="K117" t="n">
        <v>0</v>
      </c>
      <c r="L117" t="n">
        <v>0</v>
      </c>
      <c r="M117" t="n">
        <v>0</v>
      </c>
      <c r="N117" t="n">
        <v>0</v>
      </c>
      <c r="O117" t="n">
        <v>3</v>
      </c>
      <c r="P117" t="n">
        <v>0</v>
      </c>
      <c r="Q117" t="n">
        <v>5</v>
      </c>
      <c r="R117" s="2" t="inlineStr">
        <is>
          <t>Dvärgbägarlav
Kolflarnlav
Spillkråka
Dropptaggsvamp
Tvåblad</t>
        </is>
      </c>
      <c r="S117">
        <f>HYPERLINK("https://klasma.github.io/Logging_2303/artfynd/A 57197-2020 artfynd.xlsx", "A 57197-2020")</f>
        <v/>
      </c>
      <c r="T117">
        <f>HYPERLINK("https://klasma.github.io/Logging_2303/kartor/A 57197-2020 karta.png", "A 57197-2020")</f>
        <v/>
      </c>
      <c r="V117">
        <f>HYPERLINK("https://klasma.github.io/Logging_2303/klagomål/A 57197-2020 FSC-klagomål.docx", "A 57197-2020")</f>
        <v/>
      </c>
      <c r="W117">
        <f>HYPERLINK("https://klasma.github.io/Logging_2303/klagomålsmail/A 57197-2020 FSC-klagomål mail.docx", "A 57197-2020")</f>
        <v/>
      </c>
      <c r="X117">
        <f>HYPERLINK("https://klasma.github.io/Logging_2303/tillsyn/A 57197-2020 tillsynsbegäran.docx", "A 57197-2020")</f>
        <v/>
      </c>
      <c r="Y117">
        <f>HYPERLINK("https://klasma.github.io/Logging_2303/tillsynsmail/A 57197-2020 tillsynsbegäran mail.docx", "A 57197-2020")</f>
        <v/>
      </c>
      <c r="Z117">
        <f>HYPERLINK("https://klasma.github.io/Logging_2303/fåglar/A 57197-2020 prioriterade fågelarter.docx", "A 57197-2020")</f>
        <v/>
      </c>
    </row>
    <row r="118" ht="15" customHeight="1">
      <c r="A118" t="inlineStr">
        <is>
          <t>A 57718-2020</t>
        </is>
      </c>
      <c r="B118" s="1" t="n">
        <v>44140</v>
      </c>
      <c r="C118" s="1" t="n">
        <v>45826</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Lunglav
Ullticka
Korallblylav
Luddlav
Stuplav</t>
        </is>
      </c>
      <c r="S118">
        <f>HYPERLINK("https://klasma.github.io/Logging_2303/artfynd/A 57718-2020 artfynd.xlsx", "A 57718-2020")</f>
        <v/>
      </c>
      <c r="T118">
        <f>HYPERLINK("https://klasma.github.io/Logging_2303/kartor/A 57718-2020 karta.png", "A 57718-2020")</f>
        <v/>
      </c>
      <c r="V118">
        <f>HYPERLINK("https://klasma.github.io/Logging_2303/klagomål/A 57718-2020 FSC-klagomål.docx", "A 57718-2020")</f>
        <v/>
      </c>
      <c r="W118">
        <f>HYPERLINK("https://klasma.github.io/Logging_2303/klagomålsmail/A 57718-2020 FSC-klagomål mail.docx", "A 57718-2020")</f>
        <v/>
      </c>
      <c r="X118">
        <f>HYPERLINK("https://klasma.github.io/Logging_2303/tillsyn/A 57718-2020 tillsynsbegäran.docx", "A 57718-2020")</f>
        <v/>
      </c>
      <c r="Y118">
        <f>HYPERLINK("https://klasma.github.io/Logging_2303/tillsynsmail/A 57718-2020 tillsynsbegäran mail.docx", "A 57718-2020")</f>
        <v/>
      </c>
    </row>
    <row r="119" ht="15" customHeight="1">
      <c r="A119" t="inlineStr">
        <is>
          <t>A 13482-2022</t>
        </is>
      </c>
      <c r="B119" s="1" t="n">
        <v>44645</v>
      </c>
      <c r="C119" s="1" t="n">
        <v>45826</v>
      </c>
      <c r="D119" t="inlineStr">
        <is>
          <t>JÄMTLANDS LÄN</t>
        </is>
      </c>
      <c r="E119" t="inlineStr">
        <is>
          <t>RAGUNDA</t>
        </is>
      </c>
      <c r="F119" t="inlineStr">
        <is>
          <t>SCA</t>
        </is>
      </c>
      <c r="G119" t="n">
        <v>6.6</v>
      </c>
      <c r="H119" t="n">
        <v>0</v>
      </c>
      <c r="I119" t="n">
        <v>0</v>
      </c>
      <c r="J119" t="n">
        <v>5</v>
      </c>
      <c r="K119" t="n">
        <v>0</v>
      </c>
      <c r="L119" t="n">
        <v>0</v>
      </c>
      <c r="M119" t="n">
        <v>0</v>
      </c>
      <c r="N119" t="n">
        <v>0</v>
      </c>
      <c r="O119" t="n">
        <v>5</v>
      </c>
      <c r="P119" t="n">
        <v>0</v>
      </c>
      <c r="Q119" t="n">
        <v>5</v>
      </c>
      <c r="R119" s="2" t="inlineStr">
        <is>
          <t>Dvärgbägarlav
Garnlav
Lunglav
Mörk kolflarnlav
Vedskivlav</t>
        </is>
      </c>
      <c r="S119">
        <f>HYPERLINK("https://klasma.github.io/Logging_2303/artfynd/A 13482-2022 artfynd.xlsx", "A 13482-2022")</f>
        <v/>
      </c>
      <c r="T119">
        <f>HYPERLINK("https://klasma.github.io/Logging_2303/kartor/A 13482-2022 karta.png", "A 13482-2022")</f>
        <v/>
      </c>
      <c r="U119">
        <f>HYPERLINK("https://klasma.github.io/Logging_2303/knärot/A 13482-2022 karta knärot.png", "A 13482-2022")</f>
        <v/>
      </c>
      <c r="V119">
        <f>HYPERLINK("https://klasma.github.io/Logging_2303/klagomål/A 13482-2022 FSC-klagomål.docx", "A 13482-2022")</f>
        <v/>
      </c>
      <c r="W119">
        <f>HYPERLINK("https://klasma.github.io/Logging_2303/klagomålsmail/A 13482-2022 FSC-klagomål mail.docx", "A 13482-2022")</f>
        <v/>
      </c>
      <c r="X119">
        <f>HYPERLINK("https://klasma.github.io/Logging_2303/tillsyn/A 13482-2022 tillsynsbegäran.docx", "A 13482-2022")</f>
        <v/>
      </c>
      <c r="Y119">
        <f>HYPERLINK("https://klasma.github.io/Logging_2303/tillsynsmail/A 13482-2022 tillsynsbegäran mail.docx", "A 13482-2022")</f>
        <v/>
      </c>
    </row>
    <row r="120" ht="15" customHeight="1">
      <c r="A120" t="inlineStr">
        <is>
          <t>A 14908-2022</t>
        </is>
      </c>
      <c r="B120" s="1" t="n">
        <v>44656</v>
      </c>
      <c r="C120" s="1" t="n">
        <v>45826</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Garnlav
Skrovellav
Bårdlav
Källmossa
Ögonpyrola</t>
        </is>
      </c>
      <c r="S120">
        <f>HYPERLINK("https://klasma.github.io/Logging_2303/artfynd/A 14908-2022 artfynd.xlsx", "A 14908-2022")</f>
        <v/>
      </c>
      <c r="T120">
        <f>HYPERLINK("https://klasma.github.io/Logging_2303/kartor/A 14908-2022 karta.png", "A 14908-2022")</f>
        <v/>
      </c>
      <c r="V120">
        <f>HYPERLINK("https://klasma.github.io/Logging_2303/klagomål/A 14908-2022 FSC-klagomål.docx", "A 14908-2022")</f>
        <v/>
      </c>
      <c r="W120">
        <f>HYPERLINK("https://klasma.github.io/Logging_2303/klagomålsmail/A 14908-2022 FSC-klagomål mail.docx", "A 14908-2022")</f>
        <v/>
      </c>
      <c r="X120">
        <f>HYPERLINK("https://klasma.github.io/Logging_2303/tillsyn/A 14908-2022 tillsynsbegäran.docx", "A 14908-2022")</f>
        <v/>
      </c>
      <c r="Y120">
        <f>HYPERLINK("https://klasma.github.io/Logging_2303/tillsynsmail/A 14908-2022 tillsynsbegäran mail.docx", "A 14908-2022")</f>
        <v/>
      </c>
    </row>
    <row r="121" ht="15" customHeight="1">
      <c r="A121" t="inlineStr">
        <is>
          <t>A 26143-2022</t>
        </is>
      </c>
      <c r="B121" s="1" t="n">
        <v>44734</v>
      </c>
      <c r="C121" s="1" t="n">
        <v>45826</v>
      </c>
      <c r="D121" t="inlineStr">
        <is>
          <t>JÄMTLANDS LÄN</t>
        </is>
      </c>
      <c r="E121" t="inlineStr">
        <is>
          <t>RAGUNDA</t>
        </is>
      </c>
      <c r="F121" t="inlineStr">
        <is>
          <t>SCA</t>
        </is>
      </c>
      <c r="G121" t="n">
        <v>4.4</v>
      </c>
      <c r="H121" t="n">
        <v>0</v>
      </c>
      <c r="I121" t="n">
        <v>2</v>
      </c>
      <c r="J121" t="n">
        <v>2</v>
      </c>
      <c r="K121" t="n">
        <v>1</v>
      </c>
      <c r="L121" t="n">
        <v>0</v>
      </c>
      <c r="M121" t="n">
        <v>0</v>
      </c>
      <c r="N121" t="n">
        <v>0</v>
      </c>
      <c r="O121" t="n">
        <v>3</v>
      </c>
      <c r="P121" t="n">
        <v>1</v>
      </c>
      <c r="Q121" t="n">
        <v>5</v>
      </c>
      <c r="R121" s="2" t="inlineStr">
        <is>
          <t>Gräddporing
Kolflarnlav
Lunglav
Dropptaggsvamp
Skinnlav</t>
        </is>
      </c>
      <c r="S121">
        <f>HYPERLINK("https://klasma.github.io/Logging_2303/artfynd/A 26143-2022 artfynd.xlsx", "A 26143-2022")</f>
        <v/>
      </c>
      <c r="T121">
        <f>HYPERLINK("https://klasma.github.io/Logging_2303/kartor/A 26143-2022 karta.png", "A 26143-2022")</f>
        <v/>
      </c>
      <c r="V121">
        <f>HYPERLINK("https://klasma.github.io/Logging_2303/klagomål/A 26143-2022 FSC-klagomål.docx", "A 26143-2022")</f>
        <v/>
      </c>
      <c r="W121">
        <f>HYPERLINK("https://klasma.github.io/Logging_2303/klagomålsmail/A 26143-2022 FSC-klagomål mail.docx", "A 26143-2022")</f>
        <v/>
      </c>
      <c r="X121">
        <f>HYPERLINK("https://klasma.github.io/Logging_2303/tillsyn/A 26143-2022 tillsynsbegäran.docx", "A 26143-2022")</f>
        <v/>
      </c>
      <c r="Y121">
        <f>HYPERLINK("https://klasma.github.io/Logging_2303/tillsynsmail/A 26143-2022 tillsynsbegäran mail.docx", "A 26143-2022")</f>
        <v/>
      </c>
    </row>
    <row r="122" ht="15" customHeight="1">
      <c r="A122" t="inlineStr">
        <is>
          <t>A 50340-2022</t>
        </is>
      </c>
      <c r="B122" s="1" t="n">
        <v>44865</v>
      </c>
      <c r="C122" s="1" t="n">
        <v>45826</v>
      </c>
      <c r="D122" t="inlineStr">
        <is>
          <t>JÄMTLANDS LÄN</t>
        </is>
      </c>
      <c r="E122" t="inlineStr">
        <is>
          <t>RAGUNDA</t>
        </is>
      </c>
      <c r="F122" t="inlineStr">
        <is>
          <t>SCA</t>
        </is>
      </c>
      <c r="G122" t="n">
        <v>12.8</v>
      </c>
      <c r="H122" t="n">
        <v>0</v>
      </c>
      <c r="I122" t="n">
        <v>1</v>
      </c>
      <c r="J122" t="n">
        <v>4</v>
      </c>
      <c r="K122" t="n">
        <v>0</v>
      </c>
      <c r="L122" t="n">
        <v>0</v>
      </c>
      <c r="M122" t="n">
        <v>0</v>
      </c>
      <c r="N122" t="n">
        <v>0</v>
      </c>
      <c r="O122" t="n">
        <v>4</v>
      </c>
      <c r="P122" t="n">
        <v>0</v>
      </c>
      <c r="Q122" t="n">
        <v>5</v>
      </c>
      <c r="R122" s="2" t="inlineStr">
        <is>
          <t>Gammelgransskål
Garnlav
Kolflarnlav
Lunglav
Stor aspticka</t>
        </is>
      </c>
      <c r="S122">
        <f>HYPERLINK("https://klasma.github.io/Logging_2303/artfynd/A 50340-2022 artfynd.xlsx", "A 50340-2022")</f>
        <v/>
      </c>
      <c r="T122">
        <f>HYPERLINK("https://klasma.github.io/Logging_2303/kartor/A 50340-2022 karta.png", "A 50340-2022")</f>
        <v/>
      </c>
      <c r="V122">
        <f>HYPERLINK("https://klasma.github.io/Logging_2303/klagomål/A 50340-2022 FSC-klagomål.docx", "A 50340-2022")</f>
        <v/>
      </c>
      <c r="W122">
        <f>HYPERLINK("https://klasma.github.io/Logging_2303/klagomålsmail/A 50340-2022 FSC-klagomål mail.docx", "A 50340-2022")</f>
        <v/>
      </c>
      <c r="X122">
        <f>HYPERLINK("https://klasma.github.io/Logging_2303/tillsyn/A 50340-2022 tillsynsbegäran.docx", "A 50340-2022")</f>
        <v/>
      </c>
      <c r="Y122">
        <f>HYPERLINK("https://klasma.github.io/Logging_2303/tillsynsmail/A 50340-2022 tillsynsbegäran mail.docx", "A 50340-2022")</f>
        <v/>
      </c>
    </row>
    <row r="123" ht="15" customHeight="1">
      <c r="A123" t="inlineStr">
        <is>
          <t>A 60683-2022</t>
        </is>
      </c>
      <c r="B123" s="1" t="n">
        <v>44911</v>
      </c>
      <c r="C123" s="1" t="n">
        <v>45826</v>
      </c>
      <c r="D123" t="inlineStr">
        <is>
          <t>JÄMTLANDS LÄN</t>
        </is>
      </c>
      <c r="E123" t="inlineStr">
        <is>
          <t>RAGUNDA</t>
        </is>
      </c>
      <c r="F123" t="inlineStr">
        <is>
          <t>SCA</t>
        </is>
      </c>
      <c r="G123" t="n">
        <v>2.4</v>
      </c>
      <c r="H123" t="n">
        <v>2</v>
      </c>
      <c r="I123" t="n">
        <v>2</v>
      </c>
      <c r="J123" t="n">
        <v>1</v>
      </c>
      <c r="K123" t="n">
        <v>0</v>
      </c>
      <c r="L123" t="n">
        <v>0</v>
      </c>
      <c r="M123" t="n">
        <v>0</v>
      </c>
      <c r="N123" t="n">
        <v>0</v>
      </c>
      <c r="O123" t="n">
        <v>1</v>
      </c>
      <c r="P123" t="n">
        <v>0</v>
      </c>
      <c r="Q123" t="n">
        <v>5</v>
      </c>
      <c r="R123" s="2" t="inlineStr">
        <is>
          <t>Granticka
Blodticka
Diskvaxskivling
Fläcknycklar
Blåsippa</t>
        </is>
      </c>
      <c r="S123">
        <f>HYPERLINK("https://klasma.github.io/Logging_2303/artfynd/A 60683-2022 artfynd.xlsx", "A 60683-2022")</f>
        <v/>
      </c>
      <c r="T123">
        <f>HYPERLINK("https://klasma.github.io/Logging_2303/kartor/A 60683-2022 karta.png", "A 60683-2022")</f>
        <v/>
      </c>
      <c r="V123">
        <f>HYPERLINK("https://klasma.github.io/Logging_2303/klagomål/A 60683-2022 FSC-klagomål.docx", "A 60683-2022")</f>
        <v/>
      </c>
      <c r="W123">
        <f>HYPERLINK("https://klasma.github.io/Logging_2303/klagomålsmail/A 60683-2022 FSC-klagomål mail.docx", "A 60683-2022")</f>
        <v/>
      </c>
      <c r="X123">
        <f>HYPERLINK("https://klasma.github.io/Logging_2303/tillsyn/A 60683-2022 tillsynsbegäran.docx", "A 60683-2022")</f>
        <v/>
      </c>
      <c r="Y123">
        <f>HYPERLINK("https://klasma.github.io/Logging_2303/tillsynsmail/A 60683-2022 tillsynsbegäran mail.docx", "A 60683-2022")</f>
        <v/>
      </c>
    </row>
    <row r="124" ht="15" customHeight="1">
      <c r="A124" t="inlineStr">
        <is>
          <t>A 13266-2023</t>
        </is>
      </c>
      <c r="B124" s="1" t="n">
        <v>45002</v>
      </c>
      <c r="C124" s="1" t="n">
        <v>45826</v>
      </c>
      <c r="D124" t="inlineStr">
        <is>
          <t>JÄMTLANDS LÄN</t>
        </is>
      </c>
      <c r="E124" t="inlineStr">
        <is>
          <t>RAGUNDA</t>
        </is>
      </c>
      <c r="F124" t="inlineStr">
        <is>
          <t>SCA</t>
        </is>
      </c>
      <c r="G124" t="n">
        <v>4.1</v>
      </c>
      <c r="H124" t="n">
        <v>1</v>
      </c>
      <c r="I124" t="n">
        <v>0</v>
      </c>
      <c r="J124" t="n">
        <v>4</v>
      </c>
      <c r="K124" t="n">
        <v>0</v>
      </c>
      <c r="L124" t="n">
        <v>0</v>
      </c>
      <c r="M124" t="n">
        <v>0</v>
      </c>
      <c r="N124" t="n">
        <v>0</v>
      </c>
      <c r="O124" t="n">
        <v>4</v>
      </c>
      <c r="P124" t="n">
        <v>0</v>
      </c>
      <c r="Q124" t="n">
        <v>5</v>
      </c>
      <c r="R124" s="2" t="inlineStr">
        <is>
          <t>Gammelgransskål
Garnlav
Granticka
Lunglav
Revlummer</t>
        </is>
      </c>
      <c r="S124">
        <f>HYPERLINK("https://klasma.github.io/Logging_2303/artfynd/A 13266-2023 artfynd.xlsx", "A 13266-2023")</f>
        <v/>
      </c>
      <c r="T124">
        <f>HYPERLINK("https://klasma.github.io/Logging_2303/kartor/A 13266-2023 karta.png", "A 13266-2023")</f>
        <v/>
      </c>
      <c r="V124">
        <f>HYPERLINK("https://klasma.github.io/Logging_2303/klagomål/A 13266-2023 FSC-klagomål.docx", "A 13266-2023")</f>
        <v/>
      </c>
      <c r="W124">
        <f>HYPERLINK("https://klasma.github.io/Logging_2303/klagomålsmail/A 13266-2023 FSC-klagomål mail.docx", "A 13266-2023")</f>
        <v/>
      </c>
      <c r="X124">
        <f>HYPERLINK("https://klasma.github.io/Logging_2303/tillsyn/A 13266-2023 tillsynsbegäran.docx", "A 13266-2023")</f>
        <v/>
      </c>
      <c r="Y124">
        <f>HYPERLINK("https://klasma.github.io/Logging_2303/tillsynsmail/A 13266-2023 tillsynsbegäran mail.docx", "A 13266-2023")</f>
        <v/>
      </c>
    </row>
    <row r="125" ht="15" customHeight="1">
      <c r="A125" t="inlineStr">
        <is>
          <t>A 43106-2023</t>
        </is>
      </c>
      <c r="B125" s="1" t="n">
        <v>45182</v>
      </c>
      <c r="C125" s="1" t="n">
        <v>45826</v>
      </c>
      <c r="D125" t="inlineStr">
        <is>
          <t>JÄMTLANDS LÄN</t>
        </is>
      </c>
      <c r="E125" t="inlineStr">
        <is>
          <t>RAGUNDA</t>
        </is>
      </c>
      <c r="F125" t="inlineStr">
        <is>
          <t>SCA</t>
        </is>
      </c>
      <c r="G125" t="n">
        <v>7.6</v>
      </c>
      <c r="H125" t="n">
        <v>0</v>
      </c>
      <c r="I125" t="n">
        <v>0</v>
      </c>
      <c r="J125" t="n">
        <v>5</v>
      </c>
      <c r="K125" t="n">
        <v>0</v>
      </c>
      <c r="L125" t="n">
        <v>0</v>
      </c>
      <c r="M125" t="n">
        <v>0</v>
      </c>
      <c r="N125" t="n">
        <v>0</v>
      </c>
      <c r="O125" t="n">
        <v>5</v>
      </c>
      <c r="P125" t="n">
        <v>0</v>
      </c>
      <c r="Q125" t="n">
        <v>5</v>
      </c>
      <c r="R125" s="2" t="inlineStr">
        <is>
          <t>Blanksvart spiklav
Blågrå svartspik
Harticka
Rosenticka
Ullticka</t>
        </is>
      </c>
      <c r="S125">
        <f>HYPERLINK("https://klasma.github.io/Logging_2303/artfynd/A 43106-2023 artfynd.xlsx", "A 43106-2023")</f>
        <v/>
      </c>
      <c r="T125">
        <f>HYPERLINK("https://klasma.github.io/Logging_2303/kartor/A 43106-2023 karta.png", "A 43106-2023")</f>
        <v/>
      </c>
      <c r="V125">
        <f>HYPERLINK("https://klasma.github.io/Logging_2303/klagomål/A 43106-2023 FSC-klagomål.docx", "A 43106-2023")</f>
        <v/>
      </c>
      <c r="W125">
        <f>HYPERLINK("https://klasma.github.io/Logging_2303/klagomålsmail/A 43106-2023 FSC-klagomål mail.docx", "A 43106-2023")</f>
        <v/>
      </c>
      <c r="X125">
        <f>HYPERLINK("https://klasma.github.io/Logging_2303/tillsyn/A 43106-2023 tillsynsbegäran.docx", "A 43106-2023")</f>
        <v/>
      </c>
      <c r="Y125">
        <f>HYPERLINK("https://klasma.github.io/Logging_2303/tillsynsmail/A 43106-2023 tillsynsbegäran mail.docx", "A 43106-2023")</f>
        <v/>
      </c>
    </row>
    <row r="126" ht="15" customHeight="1">
      <c r="A126" t="inlineStr">
        <is>
          <t>A 45969-2023</t>
        </is>
      </c>
      <c r="B126" s="1" t="n">
        <v>45195</v>
      </c>
      <c r="C126" s="1" t="n">
        <v>45826</v>
      </c>
      <c r="D126" t="inlineStr">
        <is>
          <t>JÄMTLANDS LÄN</t>
        </is>
      </c>
      <c r="E126" t="inlineStr">
        <is>
          <t>RAGUNDA</t>
        </is>
      </c>
      <c r="F126" t="inlineStr">
        <is>
          <t>SCA</t>
        </is>
      </c>
      <c r="G126" t="n">
        <v>9.300000000000001</v>
      </c>
      <c r="H126" t="n">
        <v>1</v>
      </c>
      <c r="I126" t="n">
        <v>4</v>
      </c>
      <c r="J126" t="n">
        <v>1</v>
      </c>
      <c r="K126" t="n">
        <v>0</v>
      </c>
      <c r="L126" t="n">
        <v>0</v>
      </c>
      <c r="M126" t="n">
        <v>0</v>
      </c>
      <c r="N126" t="n">
        <v>0</v>
      </c>
      <c r="O126" t="n">
        <v>1</v>
      </c>
      <c r="P126" t="n">
        <v>0</v>
      </c>
      <c r="Q126" t="n">
        <v>5</v>
      </c>
      <c r="R126" s="2" t="inlineStr">
        <is>
          <t>Lunglav
Dropptaggsvamp
Grönpyrola
Plattlummer
Skarp dropptaggsvamp</t>
        </is>
      </c>
      <c r="S126">
        <f>HYPERLINK("https://klasma.github.io/Logging_2303/artfynd/A 45969-2023 artfynd.xlsx", "A 45969-2023")</f>
        <v/>
      </c>
      <c r="T126">
        <f>HYPERLINK("https://klasma.github.io/Logging_2303/kartor/A 45969-2023 karta.png", "A 45969-2023")</f>
        <v/>
      </c>
      <c r="V126">
        <f>HYPERLINK("https://klasma.github.io/Logging_2303/klagomål/A 45969-2023 FSC-klagomål.docx", "A 45969-2023")</f>
        <v/>
      </c>
      <c r="W126">
        <f>HYPERLINK("https://klasma.github.io/Logging_2303/klagomålsmail/A 45969-2023 FSC-klagomål mail.docx", "A 45969-2023")</f>
        <v/>
      </c>
      <c r="X126">
        <f>HYPERLINK("https://klasma.github.io/Logging_2303/tillsyn/A 45969-2023 tillsynsbegäran.docx", "A 45969-2023")</f>
        <v/>
      </c>
      <c r="Y126">
        <f>HYPERLINK("https://klasma.github.io/Logging_2303/tillsynsmail/A 45969-2023 tillsynsbegäran mail.docx", "A 45969-2023")</f>
        <v/>
      </c>
    </row>
    <row r="127" ht="15" customHeight="1">
      <c r="A127" t="inlineStr">
        <is>
          <t>A 51032-2023</t>
        </is>
      </c>
      <c r="B127" s="1" t="n">
        <v>45218</v>
      </c>
      <c r="C127" s="1" t="n">
        <v>45826</v>
      </c>
      <c r="D127" t="inlineStr">
        <is>
          <t>JÄMTLANDS LÄN</t>
        </is>
      </c>
      <c r="E127" t="inlineStr">
        <is>
          <t>RAGUNDA</t>
        </is>
      </c>
      <c r="G127" t="n">
        <v>3.5</v>
      </c>
      <c r="H127" t="n">
        <v>3</v>
      </c>
      <c r="I127" t="n">
        <v>3</v>
      </c>
      <c r="J127" t="n">
        <v>1</v>
      </c>
      <c r="K127" t="n">
        <v>0</v>
      </c>
      <c r="L127" t="n">
        <v>0</v>
      </c>
      <c r="M127" t="n">
        <v>0</v>
      </c>
      <c r="N127" t="n">
        <v>0</v>
      </c>
      <c r="O127" t="n">
        <v>1</v>
      </c>
      <c r="P127" t="n">
        <v>0</v>
      </c>
      <c r="Q127" t="n">
        <v>5</v>
      </c>
      <c r="R127" s="2" t="inlineStr">
        <is>
          <t>Gultoppig fingersvamp
Grönkulla
Svart trolldruva
Tvåblad
Blåsippa</t>
        </is>
      </c>
      <c r="S127">
        <f>HYPERLINK("https://klasma.github.io/Logging_2303/artfynd/A 51032-2023 artfynd.xlsx", "A 51032-2023")</f>
        <v/>
      </c>
      <c r="T127">
        <f>HYPERLINK("https://klasma.github.io/Logging_2303/kartor/A 51032-2023 karta.png", "A 51032-2023")</f>
        <v/>
      </c>
      <c r="V127">
        <f>HYPERLINK("https://klasma.github.io/Logging_2303/klagomål/A 51032-2023 FSC-klagomål.docx", "A 51032-2023")</f>
        <v/>
      </c>
      <c r="W127">
        <f>HYPERLINK("https://klasma.github.io/Logging_2303/klagomålsmail/A 51032-2023 FSC-klagomål mail.docx", "A 51032-2023")</f>
        <v/>
      </c>
      <c r="X127">
        <f>HYPERLINK("https://klasma.github.io/Logging_2303/tillsyn/A 51032-2023 tillsynsbegäran.docx", "A 51032-2023")</f>
        <v/>
      </c>
      <c r="Y127">
        <f>HYPERLINK("https://klasma.github.io/Logging_2303/tillsynsmail/A 51032-2023 tillsynsbegäran mail.docx", "A 51032-2023")</f>
        <v/>
      </c>
    </row>
    <row r="128" ht="15" customHeight="1">
      <c r="A128" t="inlineStr">
        <is>
          <t>A 57073-2023</t>
        </is>
      </c>
      <c r="B128" s="1" t="n">
        <v>45245</v>
      </c>
      <c r="C128" s="1" t="n">
        <v>45826</v>
      </c>
      <c r="D128" t="inlineStr">
        <is>
          <t>JÄMTLANDS LÄN</t>
        </is>
      </c>
      <c r="E128" t="inlineStr">
        <is>
          <t>RAGUNDA</t>
        </is>
      </c>
      <c r="F128" t="inlineStr">
        <is>
          <t>SCA</t>
        </is>
      </c>
      <c r="G128" t="n">
        <v>4.1</v>
      </c>
      <c r="H128" t="n">
        <v>1</v>
      </c>
      <c r="I128" t="n">
        <v>0</v>
      </c>
      <c r="J128" t="n">
        <v>4</v>
      </c>
      <c r="K128" t="n">
        <v>1</v>
      </c>
      <c r="L128" t="n">
        <v>0</v>
      </c>
      <c r="M128" t="n">
        <v>0</v>
      </c>
      <c r="N128" t="n">
        <v>0</v>
      </c>
      <c r="O128" t="n">
        <v>5</v>
      </c>
      <c r="P128" t="n">
        <v>1</v>
      </c>
      <c r="Q128" t="n">
        <v>5</v>
      </c>
      <c r="R128" s="2" t="inlineStr">
        <is>
          <t>Aspgelélav
Granticka
Lunglav
Tretåig hackspett
Ullticka</t>
        </is>
      </c>
      <c r="S128">
        <f>HYPERLINK("https://klasma.github.io/Logging_2303/artfynd/A 57073-2023 artfynd.xlsx", "A 57073-2023")</f>
        <v/>
      </c>
      <c r="T128">
        <f>HYPERLINK("https://klasma.github.io/Logging_2303/kartor/A 57073-2023 karta.png", "A 57073-2023")</f>
        <v/>
      </c>
      <c r="V128">
        <f>HYPERLINK("https://klasma.github.io/Logging_2303/klagomål/A 57073-2023 FSC-klagomål.docx", "A 57073-2023")</f>
        <v/>
      </c>
      <c r="W128">
        <f>HYPERLINK("https://klasma.github.io/Logging_2303/klagomålsmail/A 57073-2023 FSC-klagomål mail.docx", "A 57073-2023")</f>
        <v/>
      </c>
      <c r="X128">
        <f>HYPERLINK("https://klasma.github.io/Logging_2303/tillsyn/A 57073-2023 tillsynsbegäran.docx", "A 57073-2023")</f>
        <v/>
      </c>
      <c r="Y128">
        <f>HYPERLINK("https://klasma.github.io/Logging_2303/tillsynsmail/A 57073-2023 tillsynsbegäran mail.docx", "A 57073-2023")</f>
        <v/>
      </c>
      <c r="Z128">
        <f>HYPERLINK("https://klasma.github.io/Logging_2303/fåglar/A 57073-2023 prioriterade fågelarter.docx", "A 57073-2023")</f>
        <v/>
      </c>
    </row>
    <row r="129" ht="15" customHeight="1">
      <c r="A129" t="inlineStr">
        <is>
          <t>A 2249-2024</t>
        </is>
      </c>
      <c r="B129" s="1" t="n">
        <v>45309</v>
      </c>
      <c r="C129" s="1" t="n">
        <v>45826</v>
      </c>
      <c r="D129" t="inlineStr">
        <is>
          <t>JÄMTLANDS LÄN</t>
        </is>
      </c>
      <c r="E129" t="inlineStr">
        <is>
          <t>RAGUNDA</t>
        </is>
      </c>
      <c r="G129" t="n">
        <v>4.9</v>
      </c>
      <c r="H129" t="n">
        <v>0</v>
      </c>
      <c r="I129" t="n">
        <v>3</v>
      </c>
      <c r="J129" t="n">
        <v>2</v>
      </c>
      <c r="K129" t="n">
        <v>0</v>
      </c>
      <c r="L129" t="n">
        <v>0</v>
      </c>
      <c r="M129" t="n">
        <v>0</v>
      </c>
      <c r="N129" t="n">
        <v>0</v>
      </c>
      <c r="O129" t="n">
        <v>2</v>
      </c>
      <c r="P129" t="n">
        <v>0</v>
      </c>
      <c r="Q129" t="n">
        <v>5</v>
      </c>
      <c r="R129" s="2" t="inlineStr">
        <is>
          <t>Lunglav
Äggvaxskivling
Bollvitmossa
Bårdlav
Stuplav</t>
        </is>
      </c>
      <c r="S129">
        <f>HYPERLINK("https://klasma.github.io/Logging_2303/artfynd/A 2249-2024 artfynd.xlsx", "A 2249-2024")</f>
        <v/>
      </c>
      <c r="T129">
        <f>HYPERLINK("https://klasma.github.io/Logging_2303/kartor/A 2249-2024 karta.png", "A 2249-2024")</f>
        <v/>
      </c>
      <c r="V129">
        <f>HYPERLINK("https://klasma.github.io/Logging_2303/klagomål/A 2249-2024 FSC-klagomål.docx", "A 2249-2024")</f>
        <v/>
      </c>
      <c r="W129">
        <f>HYPERLINK("https://klasma.github.io/Logging_2303/klagomålsmail/A 2249-2024 FSC-klagomål mail.docx", "A 2249-2024")</f>
        <v/>
      </c>
      <c r="X129">
        <f>HYPERLINK("https://klasma.github.io/Logging_2303/tillsyn/A 2249-2024 tillsynsbegäran.docx", "A 2249-2024")</f>
        <v/>
      </c>
      <c r="Y129">
        <f>HYPERLINK("https://klasma.github.io/Logging_2303/tillsynsmail/A 2249-2024 tillsynsbegäran mail.docx", "A 2249-2024")</f>
        <v/>
      </c>
    </row>
    <row r="130" ht="15" customHeight="1">
      <c r="A130" t="inlineStr">
        <is>
          <t>A 15379-2024</t>
        </is>
      </c>
      <c r="B130" s="1" t="n">
        <v>45401</v>
      </c>
      <c r="C130" s="1" t="n">
        <v>45826</v>
      </c>
      <c r="D130" t="inlineStr">
        <is>
          <t>JÄMTLANDS LÄN</t>
        </is>
      </c>
      <c r="E130" t="inlineStr">
        <is>
          <t>RAGUNDA</t>
        </is>
      </c>
      <c r="F130" t="inlineStr">
        <is>
          <t>SCA</t>
        </is>
      </c>
      <c r="G130" t="n">
        <v>4.2</v>
      </c>
      <c r="H130" t="n">
        <v>3</v>
      </c>
      <c r="I130" t="n">
        <v>3</v>
      </c>
      <c r="J130" t="n">
        <v>0</v>
      </c>
      <c r="K130" t="n">
        <v>1</v>
      </c>
      <c r="L130" t="n">
        <v>0</v>
      </c>
      <c r="M130" t="n">
        <v>0</v>
      </c>
      <c r="N130" t="n">
        <v>0</v>
      </c>
      <c r="O130" t="n">
        <v>1</v>
      </c>
      <c r="P130" t="n">
        <v>1</v>
      </c>
      <c r="Q130" t="n">
        <v>5</v>
      </c>
      <c r="R130" s="2" t="inlineStr">
        <is>
          <t>Knärot
Finbräken
Guckusko
Svavelriska
Blåsippa</t>
        </is>
      </c>
      <c r="S130">
        <f>HYPERLINK("https://klasma.github.io/Logging_2303/artfynd/A 15379-2024 artfynd.xlsx", "A 15379-2024")</f>
        <v/>
      </c>
      <c r="T130">
        <f>HYPERLINK("https://klasma.github.io/Logging_2303/kartor/A 15379-2024 karta.png", "A 15379-2024")</f>
        <v/>
      </c>
      <c r="U130">
        <f>HYPERLINK("https://klasma.github.io/Logging_2303/knärot/A 15379-2024 karta knärot.png", "A 15379-2024")</f>
        <v/>
      </c>
      <c r="V130">
        <f>HYPERLINK("https://klasma.github.io/Logging_2303/klagomål/A 15379-2024 FSC-klagomål.docx", "A 15379-2024")</f>
        <v/>
      </c>
      <c r="W130">
        <f>HYPERLINK("https://klasma.github.io/Logging_2303/klagomålsmail/A 15379-2024 FSC-klagomål mail.docx", "A 15379-2024")</f>
        <v/>
      </c>
      <c r="X130">
        <f>HYPERLINK("https://klasma.github.io/Logging_2303/tillsyn/A 15379-2024 tillsynsbegäran.docx", "A 15379-2024")</f>
        <v/>
      </c>
      <c r="Y130">
        <f>HYPERLINK("https://klasma.github.io/Logging_2303/tillsynsmail/A 15379-2024 tillsynsbegäran mail.docx", "A 15379-2024")</f>
        <v/>
      </c>
    </row>
    <row r="131" ht="15" customHeight="1">
      <c r="A131" t="inlineStr">
        <is>
          <t>A 18629-2024</t>
        </is>
      </c>
      <c r="B131" s="1" t="n">
        <v>45426</v>
      </c>
      <c r="C131" s="1" t="n">
        <v>45826</v>
      </c>
      <c r="D131" t="inlineStr">
        <is>
          <t>JÄMTLANDS LÄN</t>
        </is>
      </c>
      <c r="E131" t="inlineStr">
        <is>
          <t>RAGUNDA</t>
        </is>
      </c>
      <c r="F131" t="inlineStr">
        <is>
          <t>SCA</t>
        </is>
      </c>
      <c r="G131" t="n">
        <v>1.6</v>
      </c>
      <c r="H131" t="n">
        <v>2</v>
      </c>
      <c r="I131" t="n">
        <v>1</v>
      </c>
      <c r="J131" t="n">
        <v>3</v>
      </c>
      <c r="K131" t="n">
        <v>0</v>
      </c>
      <c r="L131" t="n">
        <v>0</v>
      </c>
      <c r="M131" t="n">
        <v>0</v>
      </c>
      <c r="N131" t="n">
        <v>0</v>
      </c>
      <c r="O131" t="n">
        <v>3</v>
      </c>
      <c r="P131" t="n">
        <v>0</v>
      </c>
      <c r="Q131" t="n">
        <v>5</v>
      </c>
      <c r="R131" s="2" t="inlineStr">
        <is>
          <t>Garnlav
Lunglav
Tretåig hackspett
Stuplav
Fläcknycklar</t>
        </is>
      </c>
      <c r="S131">
        <f>HYPERLINK("https://klasma.github.io/Logging_2303/artfynd/A 18629-2024 artfynd.xlsx", "A 18629-2024")</f>
        <v/>
      </c>
      <c r="T131">
        <f>HYPERLINK("https://klasma.github.io/Logging_2303/kartor/A 18629-2024 karta.png", "A 18629-2024")</f>
        <v/>
      </c>
      <c r="V131">
        <f>HYPERLINK("https://klasma.github.io/Logging_2303/klagomål/A 18629-2024 FSC-klagomål.docx", "A 18629-2024")</f>
        <v/>
      </c>
      <c r="W131">
        <f>HYPERLINK("https://klasma.github.io/Logging_2303/klagomålsmail/A 18629-2024 FSC-klagomål mail.docx", "A 18629-2024")</f>
        <v/>
      </c>
      <c r="X131">
        <f>HYPERLINK("https://klasma.github.io/Logging_2303/tillsyn/A 18629-2024 tillsynsbegäran.docx", "A 18629-2024")</f>
        <v/>
      </c>
      <c r="Y131">
        <f>HYPERLINK("https://klasma.github.io/Logging_2303/tillsynsmail/A 18629-2024 tillsynsbegäran mail.docx", "A 18629-2024")</f>
        <v/>
      </c>
      <c r="Z131">
        <f>HYPERLINK("https://klasma.github.io/Logging_2303/fåglar/A 18629-2024 prioriterade fågelarter.docx", "A 18629-2024")</f>
        <v/>
      </c>
    </row>
    <row r="132" ht="15" customHeight="1">
      <c r="A132" t="inlineStr">
        <is>
          <t>A 22469-2024</t>
        </is>
      </c>
      <c r="B132" s="1" t="n">
        <v>45447</v>
      </c>
      <c r="C132" s="1" t="n">
        <v>45826</v>
      </c>
      <c r="D132" t="inlineStr">
        <is>
          <t>JÄMTLANDS LÄN</t>
        </is>
      </c>
      <c r="E132" t="inlineStr">
        <is>
          <t>RAGUNDA</t>
        </is>
      </c>
      <c r="F132" t="inlineStr">
        <is>
          <t>SCA</t>
        </is>
      </c>
      <c r="G132" t="n">
        <v>5.2</v>
      </c>
      <c r="H132" t="n">
        <v>1</v>
      </c>
      <c r="I132" t="n">
        <v>2</v>
      </c>
      <c r="J132" t="n">
        <v>3</v>
      </c>
      <c r="K132" t="n">
        <v>0</v>
      </c>
      <c r="L132" t="n">
        <v>0</v>
      </c>
      <c r="M132" t="n">
        <v>0</v>
      </c>
      <c r="N132" t="n">
        <v>0</v>
      </c>
      <c r="O132" t="n">
        <v>3</v>
      </c>
      <c r="P132" t="n">
        <v>0</v>
      </c>
      <c r="Q132" t="n">
        <v>5</v>
      </c>
      <c r="R132" s="2" t="inlineStr">
        <is>
          <t>Gammelgransskål
Garnlav
Lunglav
Gytterlav
Tvåblad</t>
        </is>
      </c>
      <c r="S132">
        <f>HYPERLINK("https://klasma.github.io/Logging_2303/artfynd/A 22469-2024 artfynd.xlsx", "A 22469-2024")</f>
        <v/>
      </c>
      <c r="T132">
        <f>HYPERLINK("https://klasma.github.io/Logging_2303/kartor/A 22469-2024 karta.png", "A 22469-2024")</f>
        <v/>
      </c>
      <c r="V132">
        <f>HYPERLINK("https://klasma.github.io/Logging_2303/klagomål/A 22469-2024 FSC-klagomål.docx", "A 22469-2024")</f>
        <v/>
      </c>
      <c r="W132">
        <f>HYPERLINK("https://klasma.github.io/Logging_2303/klagomålsmail/A 22469-2024 FSC-klagomål mail.docx", "A 22469-2024")</f>
        <v/>
      </c>
      <c r="X132">
        <f>HYPERLINK("https://klasma.github.io/Logging_2303/tillsyn/A 22469-2024 tillsynsbegäran.docx", "A 22469-2024")</f>
        <v/>
      </c>
      <c r="Y132">
        <f>HYPERLINK("https://klasma.github.io/Logging_2303/tillsynsmail/A 22469-2024 tillsynsbegäran mail.docx", "A 22469-2024")</f>
        <v/>
      </c>
    </row>
    <row r="133" ht="15" customHeight="1">
      <c r="A133" t="inlineStr">
        <is>
          <t>A 27313-2024</t>
        </is>
      </c>
      <c r="B133" s="1" t="n">
        <v>45472</v>
      </c>
      <c r="C133" s="1" t="n">
        <v>45826</v>
      </c>
      <c r="D133" t="inlineStr">
        <is>
          <t>JÄMTLANDS LÄN</t>
        </is>
      </c>
      <c r="E133" t="inlineStr">
        <is>
          <t>RAGUNDA</t>
        </is>
      </c>
      <c r="G133" t="n">
        <v>2.1</v>
      </c>
      <c r="H133" t="n">
        <v>2</v>
      </c>
      <c r="I133" t="n">
        <v>0</v>
      </c>
      <c r="J133" t="n">
        <v>3</v>
      </c>
      <c r="K133" t="n">
        <v>1</v>
      </c>
      <c r="L133" t="n">
        <v>0</v>
      </c>
      <c r="M133" t="n">
        <v>0</v>
      </c>
      <c r="N133" t="n">
        <v>0</v>
      </c>
      <c r="O133" t="n">
        <v>4</v>
      </c>
      <c r="P133" t="n">
        <v>1</v>
      </c>
      <c r="Q133" t="n">
        <v>5</v>
      </c>
      <c r="R133" s="2" t="inlineStr">
        <is>
          <t>Knärot
Gammelgransskål
Garnlav
Lunglav
Nattviol</t>
        </is>
      </c>
      <c r="S133">
        <f>HYPERLINK("https://klasma.github.io/Logging_2303/artfynd/A 27313-2024 artfynd.xlsx", "A 27313-2024")</f>
        <v/>
      </c>
      <c r="T133">
        <f>HYPERLINK("https://klasma.github.io/Logging_2303/kartor/A 27313-2024 karta.png", "A 27313-2024")</f>
        <v/>
      </c>
      <c r="U133">
        <f>HYPERLINK("https://klasma.github.io/Logging_2303/knärot/A 27313-2024 karta knärot.png", "A 27313-2024")</f>
        <v/>
      </c>
      <c r="V133">
        <f>HYPERLINK("https://klasma.github.io/Logging_2303/klagomål/A 27313-2024 FSC-klagomål.docx", "A 27313-2024")</f>
        <v/>
      </c>
      <c r="W133">
        <f>HYPERLINK("https://klasma.github.io/Logging_2303/klagomålsmail/A 27313-2024 FSC-klagomål mail.docx", "A 27313-2024")</f>
        <v/>
      </c>
      <c r="X133">
        <f>HYPERLINK("https://klasma.github.io/Logging_2303/tillsyn/A 27313-2024 tillsynsbegäran.docx", "A 27313-2024")</f>
        <v/>
      </c>
      <c r="Y133">
        <f>HYPERLINK("https://klasma.github.io/Logging_2303/tillsynsmail/A 27313-2024 tillsynsbegäran mail.docx", "A 27313-2024")</f>
        <v/>
      </c>
    </row>
    <row r="134" ht="15" customHeight="1">
      <c r="A134" t="inlineStr">
        <is>
          <t>A 38169-2024</t>
        </is>
      </c>
      <c r="B134" s="1" t="n">
        <v>45545</v>
      </c>
      <c r="C134" s="1" t="n">
        <v>45826</v>
      </c>
      <c r="D134" t="inlineStr">
        <is>
          <t>JÄMTLANDS LÄN</t>
        </is>
      </c>
      <c r="E134" t="inlineStr">
        <is>
          <t>RAGUNDA</t>
        </is>
      </c>
      <c r="G134" t="n">
        <v>7.5</v>
      </c>
      <c r="H134" t="n">
        <v>2</v>
      </c>
      <c r="I134" t="n">
        <v>0</v>
      </c>
      <c r="J134" t="n">
        <v>5</v>
      </c>
      <c r="K134" t="n">
        <v>0</v>
      </c>
      <c r="L134" t="n">
        <v>0</v>
      </c>
      <c r="M134" t="n">
        <v>0</v>
      </c>
      <c r="N134" t="n">
        <v>0</v>
      </c>
      <c r="O134" t="n">
        <v>5</v>
      </c>
      <c r="P134" t="n">
        <v>0</v>
      </c>
      <c r="Q134" t="n">
        <v>5</v>
      </c>
      <c r="R134" s="2" t="inlineStr">
        <is>
          <t>Garnlav
Lunglav
Skrovellav
Talltita
Tretåig hackspett</t>
        </is>
      </c>
      <c r="S134">
        <f>HYPERLINK("https://klasma.github.io/Logging_2303/artfynd/A 38169-2024 artfynd.xlsx", "A 38169-2024")</f>
        <v/>
      </c>
      <c r="T134">
        <f>HYPERLINK("https://klasma.github.io/Logging_2303/kartor/A 38169-2024 karta.png", "A 38169-2024")</f>
        <v/>
      </c>
      <c r="V134">
        <f>HYPERLINK("https://klasma.github.io/Logging_2303/klagomål/A 38169-2024 FSC-klagomål.docx", "A 38169-2024")</f>
        <v/>
      </c>
      <c r="W134">
        <f>HYPERLINK("https://klasma.github.io/Logging_2303/klagomålsmail/A 38169-2024 FSC-klagomål mail.docx", "A 38169-2024")</f>
        <v/>
      </c>
      <c r="X134">
        <f>HYPERLINK("https://klasma.github.io/Logging_2303/tillsyn/A 38169-2024 tillsynsbegäran.docx", "A 38169-2024")</f>
        <v/>
      </c>
      <c r="Y134">
        <f>HYPERLINK("https://klasma.github.io/Logging_2303/tillsynsmail/A 38169-2024 tillsynsbegäran mail.docx", "A 38169-2024")</f>
        <v/>
      </c>
      <c r="Z134">
        <f>HYPERLINK("https://klasma.github.io/Logging_2303/fåglar/A 38169-2024 prioriterade fågelarter.docx", "A 38169-2024")</f>
        <v/>
      </c>
    </row>
    <row r="135" ht="15" customHeight="1">
      <c r="A135" t="inlineStr">
        <is>
          <t>A 39365-2024</t>
        </is>
      </c>
      <c r="B135" s="1" t="n">
        <v>45551</v>
      </c>
      <c r="C135" s="1" t="n">
        <v>45826</v>
      </c>
      <c r="D135" t="inlineStr">
        <is>
          <t>JÄMTLANDS LÄN</t>
        </is>
      </c>
      <c r="E135" t="inlineStr">
        <is>
          <t>RAGUNDA</t>
        </is>
      </c>
      <c r="F135" t="inlineStr">
        <is>
          <t>SCA</t>
        </is>
      </c>
      <c r="G135" t="n">
        <v>7.3</v>
      </c>
      <c r="H135" t="n">
        <v>0</v>
      </c>
      <c r="I135" t="n">
        <v>3</v>
      </c>
      <c r="J135" t="n">
        <v>2</v>
      </c>
      <c r="K135" t="n">
        <v>0</v>
      </c>
      <c r="L135" t="n">
        <v>0</v>
      </c>
      <c r="M135" t="n">
        <v>0</v>
      </c>
      <c r="N135" t="n">
        <v>0</v>
      </c>
      <c r="O135" t="n">
        <v>2</v>
      </c>
      <c r="P135" t="n">
        <v>0</v>
      </c>
      <c r="Q135" t="n">
        <v>5</v>
      </c>
      <c r="R135" s="2" t="inlineStr">
        <is>
          <t>Lunglav
Ullticka
Korallblylav
Stor aspticka
Vedticka</t>
        </is>
      </c>
      <c r="S135">
        <f>HYPERLINK("https://klasma.github.io/Logging_2303/artfynd/A 39365-2024 artfynd.xlsx", "A 39365-2024")</f>
        <v/>
      </c>
      <c r="T135">
        <f>HYPERLINK("https://klasma.github.io/Logging_2303/kartor/A 39365-2024 karta.png", "A 39365-2024")</f>
        <v/>
      </c>
      <c r="U135">
        <f>HYPERLINK("https://klasma.github.io/Logging_2303/knärot/A 39365-2024 karta knärot.png", "A 39365-2024")</f>
        <v/>
      </c>
      <c r="V135">
        <f>HYPERLINK("https://klasma.github.io/Logging_2303/klagomål/A 39365-2024 FSC-klagomål.docx", "A 39365-2024")</f>
        <v/>
      </c>
      <c r="W135">
        <f>HYPERLINK("https://klasma.github.io/Logging_2303/klagomålsmail/A 39365-2024 FSC-klagomål mail.docx", "A 39365-2024")</f>
        <v/>
      </c>
      <c r="X135">
        <f>HYPERLINK("https://klasma.github.io/Logging_2303/tillsyn/A 39365-2024 tillsynsbegäran.docx", "A 39365-2024")</f>
        <v/>
      </c>
      <c r="Y135">
        <f>HYPERLINK("https://klasma.github.io/Logging_2303/tillsynsmail/A 39365-2024 tillsynsbegäran mail.docx", "A 39365-2024")</f>
        <v/>
      </c>
    </row>
    <row r="136" ht="15" customHeight="1">
      <c r="A136" t="inlineStr">
        <is>
          <t>A 45687-2024</t>
        </is>
      </c>
      <c r="B136" s="1" t="n">
        <v>45579</v>
      </c>
      <c r="C136" s="1" t="n">
        <v>45826</v>
      </c>
      <c r="D136" t="inlineStr">
        <is>
          <t>JÄMTLANDS LÄN</t>
        </is>
      </c>
      <c r="E136" t="inlineStr">
        <is>
          <t>RAGUNDA</t>
        </is>
      </c>
      <c r="F136" t="inlineStr">
        <is>
          <t>SCA</t>
        </is>
      </c>
      <c r="G136" t="n">
        <v>8</v>
      </c>
      <c r="H136" t="n">
        <v>0</v>
      </c>
      <c r="I136" t="n">
        <v>0</v>
      </c>
      <c r="J136" t="n">
        <v>5</v>
      </c>
      <c r="K136" t="n">
        <v>0</v>
      </c>
      <c r="L136" t="n">
        <v>0</v>
      </c>
      <c r="M136" t="n">
        <v>0</v>
      </c>
      <c r="N136" t="n">
        <v>0</v>
      </c>
      <c r="O136" t="n">
        <v>5</v>
      </c>
      <c r="P136" t="n">
        <v>0</v>
      </c>
      <c r="Q136" t="n">
        <v>5</v>
      </c>
      <c r="R136" s="2" t="inlineStr">
        <is>
          <t>Garnlav
Kolflarnlav
Mörk kolflarnlav
Vedflamlav
Vedskivlav</t>
        </is>
      </c>
      <c r="S136">
        <f>HYPERLINK("https://klasma.github.io/Logging_2303/artfynd/A 45687-2024 artfynd.xlsx", "A 45687-2024")</f>
        <v/>
      </c>
      <c r="T136">
        <f>HYPERLINK("https://klasma.github.io/Logging_2303/kartor/A 45687-2024 karta.png", "A 45687-2024")</f>
        <v/>
      </c>
      <c r="V136">
        <f>HYPERLINK("https://klasma.github.io/Logging_2303/klagomål/A 45687-2024 FSC-klagomål.docx", "A 45687-2024")</f>
        <v/>
      </c>
      <c r="W136">
        <f>HYPERLINK("https://klasma.github.io/Logging_2303/klagomålsmail/A 45687-2024 FSC-klagomål mail.docx", "A 45687-2024")</f>
        <v/>
      </c>
      <c r="X136">
        <f>HYPERLINK("https://klasma.github.io/Logging_2303/tillsyn/A 45687-2024 tillsynsbegäran.docx", "A 45687-2024")</f>
        <v/>
      </c>
      <c r="Y136">
        <f>HYPERLINK("https://klasma.github.io/Logging_2303/tillsynsmail/A 45687-2024 tillsynsbegäran mail.docx", "A 45687-2024")</f>
        <v/>
      </c>
    </row>
    <row r="137" ht="15" customHeight="1">
      <c r="A137" t="inlineStr">
        <is>
          <t>A 2579-2025</t>
        </is>
      </c>
      <c r="B137" s="1" t="n">
        <v>45674</v>
      </c>
      <c r="C137" s="1" t="n">
        <v>45826</v>
      </c>
      <c r="D137" t="inlineStr">
        <is>
          <t>JÄMTLANDS LÄN</t>
        </is>
      </c>
      <c r="E137" t="inlineStr">
        <is>
          <t>RAGUNDA</t>
        </is>
      </c>
      <c r="F137" t="inlineStr">
        <is>
          <t>SCA</t>
        </is>
      </c>
      <c r="G137" t="n">
        <v>5.5</v>
      </c>
      <c r="H137" t="n">
        <v>3</v>
      </c>
      <c r="I137" t="n">
        <v>0</v>
      </c>
      <c r="J137" t="n">
        <v>4</v>
      </c>
      <c r="K137" t="n">
        <v>0</v>
      </c>
      <c r="L137" t="n">
        <v>0</v>
      </c>
      <c r="M137" t="n">
        <v>0</v>
      </c>
      <c r="N137" t="n">
        <v>0</v>
      </c>
      <c r="O137" t="n">
        <v>4</v>
      </c>
      <c r="P137" t="n">
        <v>0</v>
      </c>
      <c r="Q137" t="n">
        <v>5</v>
      </c>
      <c r="R137" s="2" t="inlineStr">
        <is>
          <t>Granticka
Rosenticka
Rördrom
Spillkråka
Revlummer</t>
        </is>
      </c>
      <c r="S137">
        <f>HYPERLINK("https://klasma.github.io/Logging_2303/artfynd/A 2579-2025 artfynd.xlsx", "A 2579-2025")</f>
        <v/>
      </c>
      <c r="T137">
        <f>HYPERLINK("https://klasma.github.io/Logging_2303/kartor/A 2579-2025 karta.png", "A 2579-2025")</f>
        <v/>
      </c>
      <c r="V137">
        <f>HYPERLINK("https://klasma.github.io/Logging_2303/klagomål/A 2579-2025 FSC-klagomål.docx", "A 2579-2025")</f>
        <v/>
      </c>
      <c r="W137">
        <f>HYPERLINK("https://klasma.github.io/Logging_2303/klagomålsmail/A 2579-2025 FSC-klagomål mail.docx", "A 2579-2025")</f>
        <v/>
      </c>
      <c r="X137">
        <f>HYPERLINK("https://klasma.github.io/Logging_2303/tillsyn/A 2579-2025 tillsynsbegäran.docx", "A 2579-2025")</f>
        <v/>
      </c>
      <c r="Y137">
        <f>HYPERLINK("https://klasma.github.io/Logging_2303/tillsynsmail/A 2579-2025 tillsynsbegäran mail.docx", "A 2579-2025")</f>
        <v/>
      </c>
      <c r="Z137">
        <f>HYPERLINK("https://klasma.github.io/Logging_2303/fåglar/A 2579-2025 prioriterade fågelarter.docx", "A 2579-2025")</f>
        <v/>
      </c>
    </row>
    <row r="138" ht="15" customHeight="1">
      <c r="A138" t="inlineStr">
        <is>
          <t>A 15244-2025</t>
        </is>
      </c>
      <c r="B138" s="1" t="n">
        <v>45744</v>
      </c>
      <c r="C138" s="1" t="n">
        <v>45826</v>
      </c>
      <c r="D138" t="inlineStr">
        <is>
          <t>JÄMTLANDS LÄN</t>
        </is>
      </c>
      <c r="E138" t="inlineStr">
        <is>
          <t>RAGUNDA</t>
        </is>
      </c>
      <c r="F138" t="inlineStr">
        <is>
          <t>SCA</t>
        </is>
      </c>
      <c r="G138" t="n">
        <v>2.6</v>
      </c>
      <c r="H138" t="n">
        <v>0</v>
      </c>
      <c r="I138" t="n">
        <v>2</v>
      </c>
      <c r="J138" t="n">
        <v>3</v>
      </c>
      <c r="K138" t="n">
        <v>0</v>
      </c>
      <c r="L138" t="n">
        <v>0</v>
      </c>
      <c r="M138" t="n">
        <v>0</v>
      </c>
      <c r="N138" t="n">
        <v>0</v>
      </c>
      <c r="O138" t="n">
        <v>3</v>
      </c>
      <c r="P138" t="n">
        <v>0</v>
      </c>
      <c r="Q138" t="n">
        <v>5</v>
      </c>
      <c r="R138" s="2" t="inlineStr">
        <is>
          <t>Garnlav
Rosenticka
Ullticka
Stuplav
Vedticka</t>
        </is>
      </c>
      <c r="S138">
        <f>HYPERLINK("https://klasma.github.io/Logging_232303/artfynd/A 15244-2025 artfynd.xlsx", "A 15244-2025")</f>
        <v/>
      </c>
      <c r="T138">
        <f>HYPERLINK("https://klasma.github.io/Logging_232303/kartor/A 15244-2025 karta.png", "A 15244-2025")</f>
        <v/>
      </c>
      <c r="V138">
        <f>HYPERLINK("https://klasma.github.io/Logging_232303/klagomål/A 15244-2025 FSC-klagomål.docx", "A 15244-2025")</f>
        <v/>
      </c>
      <c r="W138">
        <f>HYPERLINK("https://klasma.github.io/Logging_232303/klagomålsmail/A 15244-2025 FSC-klagomål mail.docx", "A 15244-2025")</f>
        <v/>
      </c>
      <c r="X138">
        <f>HYPERLINK("https://klasma.github.io/Logging_232303/tillsyn/A 15244-2025 tillsynsbegäran.docx", "A 15244-2025")</f>
        <v/>
      </c>
      <c r="Y138">
        <f>HYPERLINK("https://klasma.github.io/Logging_232303/tillsynsmail/A 15244-2025 tillsynsbegäran mail.docx", "A 15244-2025")</f>
        <v/>
      </c>
    </row>
    <row r="139" ht="15" customHeight="1">
      <c r="A139" t="inlineStr">
        <is>
          <t>A 19399-2025</t>
        </is>
      </c>
      <c r="B139" s="1" t="n">
        <v>45769</v>
      </c>
      <c r="C139" s="1" t="n">
        <v>45826</v>
      </c>
      <c r="D139" t="inlineStr">
        <is>
          <t>JÄMTLANDS LÄN</t>
        </is>
      </c>
      <c r="E139" t="inlineStr">
        <is>
          <t>RAGUNDA</t>
        </is>
      </c>
      <c r="F139" t="inlineStr">
        <is>
          <t>SCA</t>
        </is>
      </c>
      <c r="G139" t="n">
        <v>3.8</v>
      </c>
      <c r="H139" t="n">
        <v>1</v>
      </c>
      <c r="I139" t="n">
        <v>2</v>
      </c>
      <c r="J139" t="n">
        <v>2</v>
      </c>
      <c r="K139" t="n">
        <v>0</v>
      </c>
      <c r="L139" t="n">
        <v>0</v>
      </c>
      <c r="M139" t="n">
        <v>0</v>
      </c>
      <c r="N139" t="n">
        <v>0</v>
      </c>
      <c r="O139" t="n">
        <v>2</v>
      </c>
      <c r="P139" t="n">
        <v>0</v>
      </c>
      <c r="Q139" t="n">
        <v>5</v>
      </c>
      <c r="R139" s="2" t="inlineStr">
        <is>
          <t>Lunglav
Skrovellav
Skinnlav
Stuplav
Nattviol</t>
        </is>
      </c>
      <c r="S139">
        <f>HYPERLINK("https://klasma.github.io/Logging_232303/artfynd/A 19399-2025 artfynd.xlsx", "A 19399-2025")</f>
        <v/>
      </c>
      <c r="T139">
        <f>HYPERLINK("https://klasma.github.io/Logging_232303/kartor/A 19399-2025 karta.png", "A 19399-2025")</f>
        <v/>
      </c>
      <c r="V139">
        <f>HYPERLINK("https://klasma.github.io/Logging_232303/klagomål/A 19399-2025 FSC-klagomål.docx", "A 19399-2025")</f>
        <v/>
      </c>
      <c r="W139">
        <f>HYPERLINK("https://klasma.github.io/Logging_232303/klagomålsmail/A 19399-2025 FSC-klagomål mail.docx", "A 19399-2025")</f>
        <v/>
      </c>
      <c r="X139">
        <f>HYPERLINK("https://klasma.github.io/Logging_232303/tillsyn/A 19399-2025 tillsynsbegäran.docx", "A 19399-2025")</f>
        <v/>
      </c>
      <c r="Y139">
        <f>HYPERLINK("https://klasma.github.io/Logging_232303/tillsynsmail/A 19399-2025 tillsynsbegäran mail.docx", "A 19399-2025")</f>
        <v/>
      </c>
    </row>
    <row r="140" ht="15" customHeight="1">
      <c r="A140" t="inlineStr">
        <is>
          <t>A 19278-2025</t>
        </is>
      </c>
      <c r="B140" s="1" t="n">
        <v>45769</v>
      </c>
      <c r="C140" s="1" t="n">
        <v>45826</v>
      </c>
      <c r="D140" t="inlineStr">
        <is>
          <t>JÄMTLANDS LÄN</t>
        </is>
      </c>
      <c r="E140" t="inlineStr">
        <is>
          <t>RAGUNDA</t>
        </is>
      </c>
      <c r="F140" t="inlineStr">
        <is>
          <t>SCA</t>
        </is>
      </c>
      <c r="G140" t="n">
        <v>11.8</v>
      </c>
      <c r="H140" t="n">
        <v>1</v>
      </c>
      <c r="I140" t="n">
        <v>0</v>
      </c>
      <c r="J140" t="n">
        <v>5</v>
      </c>
      <c r="K140" t="n">
        <v>0</v>
      </c>
      <c r="L140" t="n">
        <v>0</v>
      </c>
      <c r="M140" t="n">
        <v>0</v>
      </c>
      <c r="N140" t="n">
        <v>0</v>
      </c>
      <c r="O140" t="n">
        <v>5</v>
      </c>
      <c r="P140" t="n">
        <v>0</v>
      </c>
      <c r="Q140" t="n">
        <v>5</v>
      </c>
      <c r="R140" s="2" t="inlineStr">
        <is>
          <t>Garnlav
Granticka
Lunglav
Tretåig hackspett
Ullticka</t>
        </is>
      </c>
      <c r="S140">
        <f>HYPERLINK("https://klasma.github.io/Logging_232303/artfynd/A 19278-2025 artfynd.xlsx", "A 19278-2025")</f>
        <v/>
      </c>
      <c r="T140">
        <f>HYPERLINK("https://klasma.github.io/Logging_232303/kartor/A 19278-2025 karta.png", "A 19278-2025")</f>
        <v/>
      </c>
      <c r="V140">
        <f>HYPERLINK("https://klasma.github.io/Logging_232303/klagomål/A 19278-2025 FSC-klagomål.docx", "A 19278-2025")</f>
        <v/>
      </c>
      <c r="W140">
        <f>HYPERLINK("https://klasma.github.io/Logging_232303/klagomålsmail/A 19278-2025 FSC-klagomål mail.docx", "A 19278-2025")</f>
        <v/>
      </c>
      <c r="X140">
        <f>HYPERLINK("https://klasma.github.io/Logging_232303/tillsyn/A 19278-2025 tillsynsbegäran.docx", "A 19278-2025")</f>
        <v/>
      </c>
      <c r="Y140">
        <f>HYPERLINK("https://klasma.github.io/Logging_232303/tillsynsmail/A 19278-2025 tillsynsbegäran mail.docx", "A 19278-2025")</f>
        <v/>
      </c>
      <c r="Z140">
        <f>HYPERLINK("https://klasma.github.io/Logging_232303/fåglar/A 19278-2025 prioriterade fågelarter.docx", "A 19278-2025")</f>
        <v/>
      </c>
    </row>
    <row r="141" ht="15" customHeight="1">
      <c r="A141" t="inlineStr">
        <is>
          <t>A 51686-2020</t>
        </is>
      </c>
      <c r="B141" s="1" t="n">
        <v>44113</v>
      </c>
      <c r="C141" s="1" t="n">
        <v>45826</v>
      </c>
      <c r="D141" t="inlineStr">
        <is>
          <t>JÄMTLANDS LÄN</t>
        </is>
      </c>
      <c r="E141" t="inlineStr">
        <is>
          <t>RAGUNDA</t>
        </is>
      </c>
      <c r="F141" t="inlineStr">
        <is>
          <t>SCA</t>
        </is>
      </c>
      <c r="G141" t="n">
        <v>1.8</v>
      </c>
      <c r="H141" t="n">
        <v>0</v>
      </c>
      <c r="I141" t="n">
        <v>1</v>
      </c>
      <c r="J141" t="n">
        <v>3</v>
      </c>
      <c r="K141" t="n">
        <v>0</v>
      </c>
      <c r="L141" t="n">
        <v>0</v>
      </c>
      <c r="M141" t="n">
        <v>0</v>
      </c>
      <c r="N141" t="n">
        <v>0</v>
      </c>
      <c r="O141" t="n">
        <v>3</v>
      </c>
      <c r="P141" t="n">
        <v>0</v>
      </c>
      <c r="Q141" t="n">
        <v>4</v>
      </c>
      <c r="R141" s="2" t="inlineStr">
        <is>
          <t>Kolflarnlav
Lunglav
Skrovellav
Stuplav</t>
        </is>
      </c>
      <c r="S141">
        <f>HYPERLINK("https://klasma.github.io/Logging_2303/artfynd/A 51686-2020 artfynd.xlsx", "A 51686-2020")</f>
        <v/>
      </c>
      <c r="T141">
        <f>HYPERLINK("https://klasma.github.io/Logging_2303/kartor/A 51686-2020 karta.png", "A 51686-2020")</f>
        <v/>
      </c>
      <c r="V141">
        <f>HYPERLINK("https://klasma.github.io/Logging_2303/klagomål/A 51686-2020 FSC-klagomål.docx", "A 51686-2020")</f>
        <v/>
      </c>
      <c r="W141">
        <f>HYPERLINK("https://klasma.github.io/Logging_2303/klagomålsmail/A 51686-2020 FSC-klagomål mail.docx", "A 51686-2020")</f>
        <v/>
      </c>
      <c r="X141">
        <f>HYPERLINK("https://klasma.github.io/Logging_2303/tillsyn/A 51686-2020 tillsynsbegäran.docx", "A 51686-2020")</f>
        <v/>
      </c>
      <c r="Y141">
        <f>HYPERLINK("https://klasma.github.io/Logging_2303/tillsynsmail/A 51686-2020 tillsynsbegäran mail.docx", "A 51686-2020")</f>
        <v/>
      </c>
    </row>
    <row r="142" ht="15" customHeight="1">
      <c r="A142" t="inlineStr">
        <is>
          <t>A 8636-2021</t>
        </is>
      </c>
      <c r="B142" s="1" t="n">
        <v>44245</v>
      </c>
      <c r="C142" s="1" t="n">
        <v>45826</v>
      </c>
      <c r="D142" t="inlineStr">
        <is>
          <t>JÄMTLANDS LÄN</t>
        </is>
      </c>
      <c r="E142" t="inlineStr">
        <is>
          <t>RAGUNDA</t>
        </is>
      </c>
      <c r="F142" t="inlineStr">
        <is>
          <t>SCA</t>
        </is>
      </c>
      <c r="G142" t="n">
        <v>6.9</v>
      </c>
      <c r="H142" t="n">
        <v>0</v>
      </c>
      <c r="I142" t="n">
        <v>3</v>
      </c>
      <c r="J142" t="n">
        <v>1</v>
      </c>
      <c r="K142" t="n">
        <v>0</v>
      </c>
      <c r="L142" t="n">
        <v>0</v>
      </c>
      <c r="M142" t="n">
        <v>0</v>
      </c>
      <c r="N142" t="n">
        <v>0</v>
      </c>
      <c r="O142" t="n">
        <v>1</v>
      </c>
      <c r="P142" t="n">
        <v>0</v>
      </c>
      <c r="Q142" t="n">
        <v>4</v>
      </c>
      <c r="R142" s="2" t="inlineStr">
        <is>
          <t>Lunglav
Luddlav
Skinnlav
Stuplav</t>
        </is>
      </c>
      <c r="S142">
        <f>HYPERLINK("https://klasma.github.io/Logging_2303/artfynd/A 8636-2021 artfynd.xlsx", "A 8636-2021")</f>
        <v/>
      </c>
      <c r="T142">
        <f>HYPERLINK("https://klasma.github.io/Logging_2303/kartor/A 8636-2021 karta.png", "A 8636-2021")</f>
        <v/>
      </c>
      <c r="V142">
        <f>HYPERLINK("https://klasma.github.io/Logging_2303/klagomål/A 8636-2021 FSC-klagomål.docx", "A 8636-2021")</f>
        <v/>
      </c>
      <c r="W142">
        <f>HYPERLINK("https://klasma.github.io/Logging_2303/klagomålsmail/A 8636-2021 FSC-klagomål mail.docx", "A 8636-2021")</f>
        <v/>
      </c>
      <c r="X142">
        <f>HYPERLINK("https://klasma.github.io/Logging_2303/tillsyn/A 8636-2021 tillsynsbegäran.docx", "A 8636-2021")</f>
        <v/>
      </c>
      <c r="Y142">
        <f>HYPERLINK("https://klasma.github.io/Logging_2303/tillsynsmail/A 8636-2021 tillsynsbegäran mail.docx", "A 8636-2021")</f>
        <v/>
      </c>
    </row>
    <row r="143" ht="15" customHeight="1">
      <c r="A143" t="inlineStr">
        <is>
          <t>A 23682-2021</t>
        </is>
      </c>
      <c r="B143" s="1" t="n">
        <v>44334</v>
      </c>
      <c r="C143" s="1" t="n">
        <v>45826</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23682-2021 artfynd.xlsx", "A 23682-2021")</f>
        <v/>
      </c>
      <c r="T143">
        <f>HYPERLINK("https://klasma.github.io/Logging_2303/kartor/A 23682-2021 karta.png", "A 23682-2021")</f>
        <v/>
      </c>
      <c r="U143">
        <f>HYPERLINK("https://klasma.github.io/Logging_2303/knärot/A 23682-2021 karta knärot.png", "A 23682-2021")</f>
        <v/>
      </c>
      <c r="V143">
        <f>HYPERLINK("https://klasma.github.io/Logging_2303/klagomål/A 23682-2021 FSC-klagomål.docx", "A 23682-2021")</f>
        <v/>
      </c>
      <c r="W143">
        <f>HYPERLINK("https://klasma.github.io/Logging_2303/klagomålsmail/A 23682-2021 FSC-klagomål mail.docx", "A 23682-2021")</f>
        <v/>
      </c>
      <c r="X143">
        <f>HYPERLINK("https://klasma.github.io/Logging_2303/tillsyn/A 23682-2021 tillsynsbegäran.docx", "A 23682-2021")</f>
        <v/>
      </c>
      <c r="Y143">
        <f>HYPERLINK("https://klasma.github.io/Logging_2303/tillsynsmail/A 23682-2021 tillsynsbegäran mail.docx", "A 23682-2021")</f>
        <v/>
      </c>
    </row>
    <row r="144" ht="15" customHeight="1">
      <c r="A144" t="inlineStr">
        <is>
          <t>A 23676-2021</t>
        </is>
      </c>
      <c r="B144" s="1" t="n">
        <v>44334</v>
      </c>
      <c r="C144" s="1" t="n">
        <v>45826</v>
      </c>
      <c r="D144" t="inlineStr">
        <is>
          <t>JÄMTLANDS LÄN</t>
        </is>
      </c>
      <c r="E144" t="inlineStr">
        <is>
          <t>RAGUNDA</t>
        </is>
      </c>
      <c r="G144" t="n">
        <v>8.5</v>
      </c>
      <c r="H144" t="n">
        <v>1</v>
      </c>
      <c r="I144" t="n">
        <v>1</v>
      </c>
      <c r="J144" t="n">
        <v>3</v>
      </c>
      <c r="K144" t="n">
        <v>0</v>
      </c>
      <c r="L144" t="n">
        <v>0</v>
      </c>
      <c r="M144" t="n">
        <v>0</v>
      </c>
      <c r="N144" t="n">
        <v>0</v>
      </c>
      <c r="O144" t="n">
        <v>3</v>
      </c>
      <c r="P144" t="n">
        <v>0</v>
      </c>
      <c r="Q144" t="n">
        <v>4</v>
      </c>
      <c r="R144" s="2" t="inlineStr">
        <is>
          <t>Lunglav
Rosenticka
Tretåig hackspett
Strutbräken</t>
        </is>
      </c>
      <c r="S144">
        <f>HYPERLINK("https://klasma.github.io/Logging_2303/artfynd/A 23676-2021 artfynd.xlsx", "A 23676-2021")</f>
        <v/>
      </c>
      <c r="T144">
        <f>HYPERLINK("https://klasma.github.io/Logging_2303/kartor/A 23676-2021 karta.png", "A 23676-2021")</f>
        <v/>
      </c>
      <c r="V144">
        <f>HYPERLINK("https://klasma.github.io/Logging_2303/klagomål/A 23676-2021 FSC-klagomål.docx", "A 23676-2021")</f>
        <v/>
      </c>
      <c r="W144">
        <f>HYPERLINK("https://klasma.github.io/Logging_2303/klagomålsmail/A 23676-2021 FSC-klagomål mail.docx", "A 23676-2021")</f>
        <v/>
      </c>
      <c r="X144">
        <f>HYPERLINK("https://klasma.github.io/Logging_2303/tillsyn/A 23676-2021 tillsynsbegäran.docx", "A 23676-2021")</f>
        <v/>
      </c>
      <c r="Y144">
        <f>HYPERLINK("https://klasma.github.io/Logging_2303/tillsynsmail/A 23676-2021 tillsynsbegäran mail.docx", "A 23676-2021")</f>
        <v/>
      </c>
      <c r="Z144">
        <f>HYPERLINK("https://klasma.github.io/Logging_2303/fåglar/A 23676-2021 prioriterade fågelarter.docx", "A 23676-2021")</f>
        <v/>
      </c>
    </row>
    <row r="145" ht="15" customHeight="1">
      <c r="A145" t="inlineStr">
        <is>
          <t>A 23663-2021</t>
        </is>
      </c>
      <c r="B145" s="1" t="n">
        <v>44334</v>
      </c>
      <c r="C145" s="1" t="n">
        <v>45826</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23663-2021 artfynd.xlsx", "A 23663-2021")</f>
        <v/>
      </c>
      <c r="T145">
        <f>HYPERLINK("https://klasma.github.io/Logging_2303/kartor/A 23663-2021 karta.png", "A 23663-2021")</f>
        <v/>
      </c>
      <c r="U145">
        <f>HYPERLINK("https://klasma.github.io/Logging_2303/knärot/A 23663-2021 karta knärot.png", "A 23663-2021")</f>
        <v/>
      </c>
      <c r="V145">
        <f>HYPERLINK("https://klasma.github.io/Logging_2303/klagomål/A 23663-2021 FSC-klagomål.docx", "A 23663-2021")</f>
        <v/>
      </c>
      <c r="W145">
        <f>HYPERLINK("https://klasma.github.io/Logging_2303/klagomålsmail/A 23663-2021 FSC-klagomål mail.docx", "A 23663-2021")</f>
        <v/>
      </c>
      <c r="X145">
        <f>HYPERLINK("https://klasma.github.io/Logging_2303/tillsyn/A 23663-2021 tillsynsbegäran.docx", "A 23663-2021")</f>
        <v/>
      </c>
      <c r="Y145">
        <f>HYPERLINK("https://klasma.github.io/Logging_2303/tillsynsmail/A 23663-2021 tillsynsbegäran mail.docx", "A 23663-2021")</f>
        <v/>
      </c>
    </row>
    <row r="146" ht="15" customHeight="1">
      <c r="A146" t="inlineStr">
        <is>
          <t>A 47165-2021</t>
        </is>
      </c>
      <c r="B146" s="1" t="n">
        <v>44446</v>
      </c>
      <c r="C146" s="1" t="n">
        <v>45826</v>
      </c>
      <c r="D146" t="inlineStr">
        <is>
          <t>JÄMTLANDS LÄN</t>
        </is>
      </c>
      <c r="E146" t="inlineStr">
        <is>
          <t>RAGUNDA</t>
        </is>
      </c>
      <c r="F146" t="inlineStr">
        <is>
          <t>SCA</t>
        </is>
      </c>
      <c r="G146" t="n">
        <v>1.8</v>
      </c>
      <c r="H146" t="n">
        <v>0</v>
      </c>
      <c r="I146" t="n">
        <v>0</v>
      </c>
      <c r="J146" t="n">
        <v>4</v>
      </c>
      <c r="K146" t="n">
        <v>0</v>
      </c>
      <c r="L146" t="n">
        <v>0</v>
      </c>
      <c r="M146" t="n">
        <v>0</v>
      </c>
      <c r="N146" t="n">
        <v>0</v>
      </c>
      <c r="O146" t="n">
        <v>4</v>
      </c>
      <c r="P146" t="n">
        <v>0</v>
      </c>
      <c r="Q146" t="n">
        <v>4</v>
      </c>
      <c r="R146" s="2" t="inlineStr">
        <is>
          <t>Garnlav
Lunglav
Mörk kolflarnlav
Ullticka</t>
        </is>
      </c>
      <c r="S146">
        <f>HYPERLINK("https://klasma.github.io/Logging_2303/artfynd/A 47165-2021 artfynd.xlsx", "A 47165-2021")</f>
        <v/>
      </c>
      <c r="T146">
        <f>HYPERLINK("https://klasma.github.io/Logging_2303/kartor/A 47165-2021 karta.png", "A 47165-2021")</f>
        <v/>
      </c>
      <c r="V146">
        <f>HYPERLINK("https://klasma.github.io/Logging_2303/klagomål/A 47165-2021 FSC-klagomål.docx", "A 47165-2021")</f>
        <v/>
      </c>
      <c r="W146">
        <f>HYPERLINK("https://klasma.github.io/Logging_2303/klagomålsmail/A 47165-2021 FSC-klagomål mail.docx", "A 47165-2021")</f>
        <v/>
      </c>
      <c r="X146">
        <f>HYPERLINK("https://klasma.github.io/Logging_2303/tillsyn/A 47165-2021 tillsynsbegäran.docx", "A 47165-2021")</f>
        <v/>
      </c>
      <c r="Y146">
        <f>HYPERLINK("https://klasma.github.io/Logging_2303/tillsynsmail/A 47165-2021 tillsynsbegäran mail.docx", "A 47165-2021")</f>
        <v/>
      </c>
    </row>
    <row r="147" ht="15" customHeight="1">
      <c r="A147" t="inlineStr">
        <is>
          <t>A 8413-2022</t>
        </is>
      </c>
      <c r="B147" s="1" t="n">
        <v>44610</v>
      </c>
      <c r="C147" s="1" t="n">
        <v>45826</v>
      </c>
      <c r="D147" t="inlineStr">
        <is>
          <t>JÄMTLANDS LÄN</t>
        </is>
      </c>
      <c r="E147" t="inlineStr">
        <is>
          <t>RAGUNDA</t>
        </is>
      </c>
      <c r="F147" t="inlineStr">
        <is>
          <t>SCA</t>
        </is>
      </c>
      <c r="G147" t="n">
        <v>2.2</v>
      </c>
      <c r="H147" t="n">
        <v>0</v>
      </c>
      <c r="I147" t="n">
        <v>1</v>
      </c>
      <c r="J147" t="n">
        <v>3</v>
      </c>
      <c r="K147" t="n">
        <v>0</v>
      </c>
      <c r="L147" t="n">
        <v>0</v>
      </c>
      <c r="M147" t="n">
        <v>0</v>
      </c>
      <c r="N147" t="n">
        <v>0</v>
      </c>
      <c r="O147" t="n">
        <v>3</v>
      </c>
      <c r="P147" t="n">
        <v>0</v>
      </c>
      <c r="Q147" t="n">
        <v>4</v>
      </c>
      <c r="R147" s="2" t="inlineStr">
        <is>
          <t>Garnlav
Kolflarnlav
Lunglav
Källmossor</t>
        </is>
      </c>
      <c r="S147">
        <f>HYPERLINK("https://klasma.github.io/Logging_2303/artfynd/A 8413-2022 artfynd.xlsx", "A 8413-2022")</f>
        <v/>
      </c>
      <c r="T147">
        <f>HYPERLINK("https://klasma.github.io/Logging_2303/kartor/A 8413-2022 karta.png", "A 8413-2022")</f>
        <v/>
      </c>
      <c r="V147">
        <f>HYPERLINK("https://klasma.github.io/Logging_2303/klagomål/A 8413-2022 FSC-klagomål.docx", "A 8413-2022")</f>
        <v/>
      </c>
      <c r="W147">
        <f>HYPERLINK("https://klasma.github.io/Logging_2303/klagomålsmail/A 8413-2022 FSC-klagomål mail.docx", "A 8413-2022")</f>
        <v/>
      </c>
      <c r="X147">
        <f>HYPERLINK("https://klasma.github.io/Logging_2303/tillsyn/A 8413-2022 tillsynsbegäran.docx", "A 8413-2022")</f>
        <v/>
      </c>
      <c r="Y147">
        <f>HYPERLINK("https://klasma.github.io/Logging_2303/tillsynsmail/A 8413-2022 tillsynsbegäran mail.docx", "A 8413-2022")</f>
        <v/>
      </c>
    </row>
    <row r="148" ht="15" customHeight="1">
      <c r="A148" t="inlineStr">
        <is>
          <t>A 10697-2022</t>
        </is>
      </c>
      <c r="B148" s="1" t="n">
        <v>44624</v>
      </c>
      <c r="C148" s="1" t="n">
        <v>45826</v>
      </c>
      <c r="D148" t="inlineStr">
        <is>
          <t>JÄMTLANDS LÄN</t>
        </is>
      </c>
      <c r="E148" t="inlineStr">
        <is>
          <t>RAGUNDA</t>
        </is>
      </c>
      <c r="F148" t="inlineStr">
        <is>
          <t>SCA</t>
        </is>
      </c>
      <c r="G148" t="n">
        <v>3.9</v>
      </c>
      <c r="H148" t="n">
        <v>0</v>
      </c>
      <c r="I148" t="n">
        <v>2</v>
      </c>
      <c r="J148" t="n">
        <v>2</v>
      </c>
      <c r="K148" t="n">
        <v>0</v>
      </c>
      <c r="L148" t="n">
        <v>0</v>
      </c>
      <c r="M148" t="n">
        <v>0</v>
      </c>
      <c r="N148" t="n">
        <v>0</v>
      </c>
      <c r="O148" t="n">
        <v>2</v>
      </c>
      <c r="P148" t="n">
        <v>0</v>
      </c>
      <c r="Q148" t="n">
        <v>4</v>
      </c>
      <c r="R148" s="2" t="inlineStr">
        <is>
          <t>Garnlav
Lunglav
Källmossa
Stuplav</t>
        </is>
      </c>
      <c r="S148">
        <f>HYPERLINK("https://klasma.github.io/Logging_2303/artfynd/A 10697-2022 artfynd.xlsx", "A 10697-2022")</f>
        <v/>
      </c>
      <c r="T148">
        <f>HYPERLINK("https://klasma.github.io/Logging_2303/kartor/A 10697-2022 karta.png", "A 10697-2022")</f>
        <v/>
      </c>
      <c r="V148">
        <f>HYPERLINK("https://klasma.github.io/Logging_2303/klagomål/A 10697-2022 FSC-klagomål.docx", "A 10697-2022")</f>
        <v/>
      </c>
      <c r="W148">
        <f>HYPERLINK("https://klasma.github.io/Logging_2303/klagomålsmail/A 10697-2022 FSC-klagomål mail.docx", "A 10697-2022")</f>
        <v/>
      </c>
      <c r="X148">
        <f>HYPERLINK("https://klasma.github.io/Logging_2303/tillsyn/A 10697-2022 tillsynsbegäran.docx", "A 10697-2022")</f>
        <v/>
      </c>
      <c r="Y148">
        <f>HYPERLINK("https://klasma.github.io/Logging_2303/tillsynsmail/A 10697-2022 tillsynsbegäran mail.docx", "A 10697-2022")</f>
        <v/>
      </c>
    </row>
    <row r="149" ht="15" customHeight="1">
      <c r="A149" t="inlineStr">
        <is>
          <t>A 15667-2022</t>
        </is>
      </c>
      <c r="B149" s="1" t="n">
        <v>44662</v>
      </c>
      <c r="C149" s="1" t="n">
        <v>45826</v>
      </c>
      <c r="D149" t="inlineStr">
        <is>
          <t>JÄMTLANDS LÄN</t>
        </is>
      </c>
      <c r="E149" t="inlineStr">
        <is>
          <t>RAGUNDA</t>
        </is>
      </c>
      <c r="F149" t="inlineStr">
        <is>
          <t>SCA</t>
        </is>
      </c>
      <c r="G149" t="n">
        <v>2.9</v>
      </c>
      <c r="H149" t="n">
        <v>0</v>
      </c>
      <c r="I149" t="n">
        <v>2</v>
      </c>
      <c r="J149" t="n">
        <v>2</v>
      </c>
      <c r="K149" t="n">
        <v>0</v>
      </c>
      <c r="L149" t="n">
        <v>0</v>
      </c>
      <c r="M149" t="n">
        <v>0</v>
      </c>
      <c r="N149" t="n">
        <v>0</v>
      </c>
      <c r="O149" t="n">
        <v>2</v>
      </c>
      <c r="P149" t="n">
        <v>0</v>
      </c>
      <c r="Q149" t="n">
        <v>4</v>
      </c>
      <c r="R149" s="2" t="inlineStr">
        <is>
          <t>Garnlav
Lunglav
Källmossa
Ögonpyrola</t>
        </is>
      </c>
      <c r="S149">
        <f>HYPERLINK("https://klasma.github.io/Logging_2303/artfynd/A 15667-2022 artfynd.xlsx", "A 15667-2022")</f>
        <v/>
      </c>
      <c r="T149">
        <f>HYPERLINK("https://klasma.github.io/Logging_2303/kartor/A 15667-2022 karta.png", "A 15667-2022")</f>
        <v/>
      </c>
      <c r="V149">
        <f>HYPERLINK("https://klasma.github.io/Logging_2303/klagomål/A 15667-2022 FSC-klagomål.docx", "A 15667-2022")</f>
        <v/>
      </c>
      <c r="W149">
        <f>HYPERLINK("https://klasma.github.io/Logging_2303/klagomålsmail/A 15667-2022 FSC-klagomål mail.docx", "A 15667-2022")</f>
        <v/>
      </c>
      <c r="X149">
        <f>HYPERLINK("https://klasma.github.io/Logging_2303/tillsyn/A 15667-2022 tillsynsbegäran.docx", "A 15667-2022")</f>
        <v/>
      </c>
      <c r="Y149">
        <f>HYPERLINK("https://klasma.github.io/Logging_2303/tillsynsmail/A 15667-2022 tillsynsbegäran mail.docx", "A 15667-2022")</f>
        <v/>
      </c>
    </row>
    <row r="150" ht="15" customHeight="1">
      <c r="A150" t="inlineStr">
        <is>
          <t>A 17092-2022</t>
        </is>
      </c>
      <c r="B150" s="1" t="n">
        <v>44677</v>
      </c>
      <c r="C150" s="1" t="n">
        <v>45826</v>
      </c>
      <c r="D150" t="inlineStr">
        <is>
          <t>JÄMTLANDS LÄN</t>
        </is>
      </c>
      <c r="E150" t="inlineStr">
        <is>
          <t>RAGUNDA</t>
        </is>
      </c>
      <c r="G150" t="n">
        <v>21.2</v>
      </c>
      <c r="H150" t="n">
        <v>1</v>
      </c>
      <c r="I150" t="n">
        <v>0</v>
      </c>
      <c r="J150" t="n">
        <v>3</v>
      </c>
      <c r="K150" t="n">
        <v>1</v>
      </c>
      <c r="L150" t="n">
        <v>0</v>
      </c>
      <c r="M150" t="n">
        <v>0</v>
      </c>
      <c r="N150" t="n">
        <v>0</v>
      </c>
      <c r="O150" t="n">
        <v>4</v>
      </c>
      <c r="P150" t="n">
        <v>1</v>
      </c>
      <c r="Q150" t="n">
        <v>4</v>
      </c>
      <c r="R150" s="2" t="inlineStr">
        <is>
          <t>Knärot
Garnlav
Lunglav
Ullticka</t>
        </is>
      </c>
      <c r="S150">
        <f>HYPERLINK("https://klasma.github.io/Logging_2303/artfynd/A 17092-2022 artfynd.xlsx", "A 17092-2022")</f>
        <v/>
      </c>
      <c r="T150">
        <f>HYPERLINK("https://klasma.github.io/Logging_2303/kartor/A 17092-2022 karta.png", "A 17092-2022")</f>
        <v/>
      </c>
      <c r="U150">
        <f>HYPERLINK("https://klasma.github.io/Logging_2303/knärot/A 17092-2022 karta knärot.png", "A 17092-2022")</f>
        <v/>
      </c>
      <c r="V150">
        <f>HYPERLINK("https://klasma.github.io/Logging_2303/klagomål/A 17092-2022 FSC-klagomål.docx", "A 17092-2022")</f>
        <v/>
      </c>
      <c r="W150">
        <f>HYPERLINK("https://klasma.github.io/Logging_2303/klagomålsmail/A 17092-2022 FSC-klagomål mail.docx", "A 17092-2022")</f>
        <v/>
      </c>
      <c r="X150">
        <f>HYPERLINK("https://klasma.github.io/Logging_2303/tillsyn/A 17092-2022 tillsynsbegäran.docx", "A 17092-2022")</f>
        <v/>
      </c>
      <c r="Y150">
        <f>HYPERLINK("https://klasma.github.io/Logging_2303/tillsynsmail/A 17092-2022 tillsynsbegäran mail.docx", "A 17092-2022")</f>
        <v/>
      </c>
    </row>
    <row r="151" ht="15" customHeight="1">
      <c r="A151" t="inlineStr">
        <is>
          <t>A 19851-2022</t>
        </is>
      </c>
      <c r="B151" s="1" t="n">
        <v>44696</v>
      </c>
      <c r="C151" s="1" t="n">
        <v>45826</v>
      </c>
      <c r="D151" t="inlineStr">
        <is>
          <t>JÄMTLANDS LÄN</t>
        </is>
      </c>
      <c r="E151" t="inlineStr">
        <is>
          <t>RAGUNDA</t>
        </is>
      </c>
      <c r="F151" t="inlineStr">
        <is>
          <t>SCA</t>
        </is>
      </c>
      <c r="G151" t="n">
        <v>3</v>
      </c>
      <c r="H151" t="n">
        <v>2</v>
      </c>
      <c r="I151" t="n">
        <v>0</v>
      </c>
      <c r="J151" t="n">
        <v>3</v>
      </c>
      <c r="K151" t="n">
        <v>0</v>
      </c>
      <c r="L151" t="n">
        <v>0</v>
      </c>
      <c r="M151" t="n">
        <v>0</v>
      </c>
      <c r="N151" t="n">
        <v>0</v>
      </c>
      <c r="O151" t="n">
        <v>3</v>
      </c>
      <c r="P151" t="n">
        <v>0</v>
      </c>
      <c r="Q151" t="n">
        <v>4</v>
      </c>
      <c r="R151" s="2" t="inlineStr">
        <is>
          <t>Garnlav
Talltita
Ullticka
Revlummer</t>
        </is>
      </c>
      <c r="S151">
        <f>HYPERLINK("https://klasma.github.io/Logging_2303/artfynd/A 19851-2022 artfynd.xlsx", "A 19851-2022")</f>
        <v/>
      </c>
      <c r="T151">
        <f>HYPERLINK("https://klasma.github.io/Logging_2303/kartor/A 19851-2022 karta.png", "A 19851-2022")</f>
        <v/>
      </c>
      <c r="V151">
        <f>HYPERLINK("https://klasma.github.io/Logging_2303/klagomål/A 19851-2022 FSC-klagomål.docx", "A 19851-2022")</f>
        <v/>
      </c>
      <c r="W151">
        <f>HYPERLINK("https://klasma.github.io/Logging_2303/klagomålsmail/A 19851-2022 FSC-klagomål mail.docx", "A 19851-2022")</f>
        <v/>
      </c>
      <c r="X151">
        <f>HYPERLINK("https://klasma.github.io/Logging_2303/tillsyn/A 19851-2022 tillsynsbegäran.docx", "A 19851-2022")</f>
        <v/>
      </c>
      <c r="Y151">
        <f>HYPERLINK("https://klasma.github.io/Logging_2303/tillsynsmail/A 19851-2022 tillsynsbegäran mail.docx", "A 19851-2022")</f>
        <v/>
      </c>
      <c r="Z151">
        <f>HYPERLINK("https://klasma.github.io/Logging_2303/fåglar/A 19851-2022 prioriterade fågelarter.docx", "A 19851-2022")</f>
        <v/>
      </c>
    </row>
    <row r="152" ht="15" customHeight="1">
      <c r="A152" t="inlineStr">
        <is>
          <t>A 25343-2022</t>
        </is>
      </c>
      <c r="B152" s="1" t="n">
        <v>44732</v>
      </c>
      <c r="C152" s="1" t="n">
        <v>45826</v>
      </c>
      <c r="D152" t="inlineStr">
        <is>
          <t>JÄMTLANDS LÄN</t>
        </is>
      </c>
      <c r="E152" t="inlineStr">
        <is>
          <t>RAGUNDA</t>
        </is>
      </c>
      <c r="F152" t="inlineStr">
        <is>
          <t>SCA</t>
        </is>
      </c>
      <c r="G152" t="n">
        <v>1.7</v>
      </c>
      <c r="H152" t="n">
        <v>0</v>
      </c>
      <c r="I152" t="n">
        <v>2</v>
      </c>
      <c r="J152" t="n">
        <v>1</v>
      </c>
      <c r="K152" t="n">
        <v>1</v>
      </c>
      <c r="L152" t="n">
        <v>0</v>
      </c>
      <c r="M152" t="n">
        <v>0</v>
      </c>
      <c r="N152" t="n">
        <v>0</v>
      </c>
      <c r="O152" t="n">
        <v>2</v>
      </c>
      <c r="P152" t="n">
        <v>1</v>
      </c>
      <c r="Q152" t="n">
        <v>4</v>
      </c>
      <c r="R152" s="2" t="inlineStr">
        <is>
          <t>Goliatmusseron
Orange taggsvamp
Dropptaggsvamp
Skarp dropptaggsvamp</t>
        </is>
      </c>
      <c r="S152">
        <f>HYPERLINK("https://klasma.github.io/Logging_2303/artfynd/A 25343-2022 artfynd.xlsx", "A 25343-2022")</f>
        <v/>
      </c>
      <c r="T152">
        <f>HYPERLINK("https://klasma.github.io/Logging_2303/kartor/A 25343-2022 karta.png", "A 25343-2022")</f>
        <v/>
      </c>
      <c r="V152">
        <f>HYPERLINK("https://klasma.github.io/Logging_2303/klagomål/A 25343-2022 FSC-klagomål.docx", "A 25343-2022")</f>
        <v/>
      </c>
      <c r="W152">
        <f>HYPERLINK("https://klasma.github.io/Logging_2303/klagomålsmail/A 25343-2022 FSC-klagomål mail.docx", "A 25343-2022")</f>
        <v/>
      </c>
      <c r="X152">
        <f>HYPERLINK("https://klasma.github.io/Logging_2303/tillsyn/A 25343-2022 tillsynsbegäran.docx", "A 25343-2022")</f>
        <v/>
      </c>
      <c r="Y152">
        <f>HYPERLINK("https://klasma.github.io/Logging_2303/tillsynsmail/A 25343-2022 tillsynsbegäran mail.docx", "A 25343-2022")</f>
        <v/>
      </c>
    </row>
    <row r="153" ht="15" customHeight="1">
      <c r="A153" t="inlineStr">
        <is>
          <t>A 60670-2022</t>
        </is>
      </c>
      <c r="B153" s="1" t="n">
        <v>44911</v>
      </c>
      <c r="C153" s="1" t="n">
        <v>45826</v>
      </c>
      <c r="D153" t="inlineStr">
        <is>
          <t>JÄMTLANDS LÄN</t>
        </is>
      </c>
      <c r="E153" t="inlineStr">
        <is>
          <t>RAGUNDA</t>
        </is>
      </c>
      <c r="F153" t="inlineStr">
        <is>
          <t>SCA</t>
        </is>
      </c>
      <c r="G153" t="n">
        <v>5.1</v>
      </c>
      <c r="H153" t="n">
        <v>0</v>
      </c>
      <c r="I153" t="n">
        <v>0</v>
      </c>
      <c r="J153" t="n">
        <v>4</v>
      </c>
      <c r="K153" t="n">
        <v>0</v>
      </c>
      <c r="L153" t="n">
        <v>0</v>
      </c>
      <c r="M153" t="n">
        <v>0</v>
      </c>
      <c r="N153" t="n">
        <v>0</v>
      </c>
      <c r="O153" t="n">
        <v>4</v>
      </c>
      <c r="P153" t="n">
        <v>0</v>
      </c>
      <c r="Q153" t="n">
        <v>4</v>
      </c>
      <c r="R153" s="2" t="inlineStr">
        <is>
          <t>Doftskinn
Gammelgransskål
Lunglav
Ullticka</t>
        </is>
      </c>
      <c r="S153">
        <f>HYPERLINK("https://klasma.github.io/Logging_2303/artfynd/A 60670-2022 artfynd.xlsx", "A 60670-2022")</f>
        <v/>
      </c>
      <c r="T153">
        <f>HYPERLINK("https://klasma.github.io/Logging_2303/kartor/A 60670-2022 karta.png", "A 60670-2022")</f>
        <v/>
      </c>
      <c r="V153">
        <f>HYPERLINK("https://klasma.github.io/Logging_2303/klagomål/A 60670-2022 FSC-klagomål.docx", "A 60670-2022")</f>
        <v/>
      </c>
      <c r="W153">
        <f>HYPERLINK("https://klasma.github.io/Logging_2303/klagomålsmail/A 60670-2022 FSC-klagomål mail.docx", "A 60670-2022")</f>
        <v/>
      </c>
      <c r="X153">
        <f>HYPERLINK("https://klasma.github.io/Logging_2303/tillsyn/A 60670-2022 tillsynsbegäran.docx", "A 60670-2022")</f>
        <v/>
      </c>
      <c r="Y153">
        <f>HYPERLINK("https://klasma.github.io/Logging_2303/tillsynsmail/A 60670-2022 tillsynsbegäran mail.docx", "A 60670-2022")</f>
        <v/>
      </c>
    </row>
    <row r="154" ht="15" customHeight="1">
      <c r="A154" t="inlineStr">
        <is>
          <t>A 10559-2023</t>
        </is>
      </c>
      <c r="B154" s="1" t="n">
        <v>44987</v>
      </c>
      <c r="C154" s="1" t="n">
        <v>45826</v>
      </c>
      <c r="D154" t="inlineStr">
        <is>
          <t>JÄMTLANDS LÄN</t>
        </is>
      </c>
      <c r="E154" t="inlineStr">
        <is>
          <t>RAGUNDA</t>
        </is>
      </c>
      <c r="F154" t="inlineStr">
        <is>
          <t>SCA</t>
        </is>
      </c>
      <c r="G154" t="n">
        <v>3.8</v>
      </c>
      <c r="H154" t="n">
        <v>0</v>
      </c>
      <c r="I154" t="n">
        <v>1</v>
      </c>
      <c r="J154" t="n">
        <v>3</v>
      </c>
      <c r="K154" t="n">
        <v>0</v>
      </c>
      <c r="L154" t="n">
        <v>0</v>
      </c>
      <c r="M154" t="n">
        <v>0</v>
      </c>
      <c r="N154" t="n">
        <v>0</v>
      </c>
      <c r="O154" t="n">
        <v>3</v>
      </c>
      <c r="P154" t="n">
        <v>0</v>
      </c>
      <c r="Q154" t="n">
        <v>4</v>
      </c>
      <c r="R154" s="2" t="inlineStr">
        <is>
          <t>Blå taggsvamp
Garnlav
Svart taggsvamp
Dropptaggsvamp</t>
        </is>
      </c>
      <c r="S154">
        <f>HYPERLINK("https://klasma.github.io/Logging_2303/artfynd/A 10559-2023 artfynd.xlsx", "A 10559-2023")</f>
        <v/>
      </c>
      <c r="T154">
        <f>HYPERLINK("https://klasma.github.io/Logging_2303/kartor/A 10559-2023 karta.png", "A 10559-2023")</f>
        <v/>
      </c>
      <c r="V154">
        <f>HYPERLINK("https://klasma.github.io/Logging_2303/klagomål/A 10559-2023 FSC-klagomål.docx", "A 10559-2023")</f>
        <v/>
      </c>
      <c r="W154">
        <f>HYPERLINK("https://klasma.github.io/Logging_2303/klagomålsmail/A 10559-2023 FSC-klagomål mail.docx", "A 10559-2023")</f>
        <v/>
      </c>
      <c r="X154">
        <f>HYPERLINK("https://klasma.github.io/Logging_2303/tillsyn/A 10559-2023 tillsynsbegäran.docx", "A 10559-2023")</f>
        <v/>
      </c>
      <c r="Y154">
        <f>HYPERLINK("https://klasma.github.io/Logging_2303/tillsynsmail/A 10559-2023 tillsynsbegäran mail.docx", "A 10559-2023")</f>
        <v/>
      </c>
    </row>
    <row r="155" ht="15" customHeight="1">
      <c r="A155" t="inlineStr">
        <is>
          <t>A 17221-2023</t>
        </is>
      </c>
      <c r="B155" s="1" t="n">
        <v>45034</v>
      </c>
      <c r="C155" s="1" t="n">
        <v>45826</v>
      </c>
      <c r="D155" t="inlineStr">
        <is>
          <t>JÄMTLANDS LÄN</t>
        </is>
      </c>
      <c r="E155" t="inlineStr">
        <is>
          <t>RAGUNDA</t>
        </is>
      </c>
      <c r="F155" t="inlineStr">
        <is>
          <t>SCA</t>
        </is>
      </c>
      <c r="G155" t="n">
        <v>7.8</v>
      </c>
      <c r="H155" t="n">
        <v>0</v>
      </c>
      <c r="I155" t="n">
        <v>1</v>
      </c>
      <c r="J155" t="n">
        <v>3</v>
      </c>
      <c r="K155" t="n">
        <v>0</v>
      </c>
      <c r="L155" t="n">
        <v>0</v>
      </c>
      <c r="M155" t="n">
        <v>0</v>
      </c>
      <c r="N155" t="n">
        <v>0</v>
      </c>
      <c r="O155" t="n">
        <v>3</v>
      </c>
      <c r="P155" t="n">
        <v>0</v>
      </c>
      <c r="Q155" t="n">
        <v>4</v>
      </c>
      <c r="R155" s="2" t="inlineStr">
        <is>
          <t>Garnlav
Lunglav
Ullticka
Stuplav</t>
        </is>
      </c>
      <c r="S155">
        <f>HYPERLINK("https://klasma.github.io/Logging_2303/artfynd/A 17221-2023 artfynd.xlsx", "A 17221-2023")</f>
        <v/>
      </c>
      <c r="T155">
        <f>HYPERLINK("https://klasma.github.io/Logging_2303/kartor/A 17221-2023 karta.png", "A 17221-2023")</f>
        <v/>
      </c>
      <c r="V155">
        <f>HYPERLINK("https://klasma.github.io/Logging_2303/klagomål/A 17221-2023 FSC-klagomål.docx", "A 17221-2023")</f>
        <v/>
      </c>
      <c r="W155">
        <f>HYPERLINK("https://klasma.github.io/Logging_2303/klagomålsmail/A 17221-2023 FSC-klagomål mail.docx", "A 17221-2023")</f>
        <v/>
      </c>
      <c r="X155">
        <f>HYPERLINK("https://klasma.github.io/Logging_2303/tillsyn/A 17221-2023 tillsynsbegäran.docx", "A 17221-2023")</f>
        <v/>
      </c>
      <c r="Y155">
        <f>HYPERLINK("https://klasma.github.io/Logging_2303/tillsynsmail/A 17221-2023 tillsynsbegäran mail.docx", "A 17221-2023")</f>
        <v/>
      </c>
    </row>
    <row r="156" ht="15" customHeight="1">
      <c r="A156" t="inlineStr">
        <is>
          <t>A 43960-2023</t>
        </is>
      </c>
      <c r="B156" s="1" t="n">
        <v>45187</v>
      </c>
      <c r="C156" s="1" t="n">
        <v>45826</v>
      </c>
      <c r="D156" t="inlineStr">
        <is>
          <t>JÄMTLANDS LÄN</t>
        </is>
      </c>
      <c r="E156" t="inlineStr">
        <is>
          <t>RAGUNDA</t>
        </is>
      </c>
      <c r="F156" t="inlineStr">
        <is>
          <t>SCA</t>
        </is>
      </c>
      <c r="G156" t="n">
        <v>5.5</v>
      </c>
      <c r="H156" t="n">
        <v>0</v>
      </c>
      <c r="I156" t="n">
        <v>1</v>
      </c>
      <c r="J156" t="n">
        <v>3</v>
      </c>
      <c r="K156" t="n">
        <v>0</v>
      </c>
      <c r="L156" t="n">
        <v>0</v>
      </c>
      <c r="M156" t="n">
        <v>0</v>
      </c>
      <c r="N156" t="n">
        <v>0</v>
      </c>
      <c r="O156" t="n">
        <v>3</v>
      </c>
      <c r="P156" t="n">
        <v>0</v>
      </c>
      <c r="Q156" t="n">
        <v>4</v>
      </c>
      <c r="R156" s="2" t="inlineStr">
        <is>
          <t>Granticka
Vedflikmossa
Vedtrappmossa
Vedticka</t>
        </is>
      </c>
      <c r="S156">
        <f>HYPERLINK("https://klasma.github.io/Logging_2303/artfynd/A 43960-2023 artfynd.xlsx", "A 43960-2023")</f>
        <v/>
      </c>
      <c r="T156">
        <f>HYPERLINK("https://klasma.github.io/Logging_2303/kartor/A 43960-2023 karta.png", "A 43960-2023")</f>
        <v/>
      </c>
      <c r="V156">
        <f>HYPERLINK("https://klasma.github.io/Logging_2303/klagomål/A 43960-2023 FSC-klagomål.docx", "A 43960-2023")</f>
        <v/>
      </c>
      <c r="W156">
        <f>HYPERLINK("https://klasma.github.io/Logging_2303/klagomålsmail/A 43960-2023 FSC-klagomål mail.docx", "A 43960-2023")</f>
        <v/>
      </c>
      <c r="X156">
        <f>HYPERLINK("https://klasma.github.io/Logging_2303/tillsyn/A 43960-2023 tillsynsbegäran.docx", "A 43960-2023")</f>
        <v/>
      </c>
      <c r="Y156">
        <f>HYPERLINK("https://klasma.github.io/Logging_2303/tillsynsmail/A 43960-2023 tillsynsbegäran mail.docx", "A 43960-2023")</f>
        <v/>
      </c>
    </row>
    <row r="157" ht="15" customHeight="1">
      <c r="A157" t="inlineStr">
        <is>
          <t>A 53763-2023</t>
        </is>
      </c>
      <c r="B157" s="1" t="n">
        <v>45230</v>
      </c>
      <c r="C157" s="1" t="n">
        <v>45826</v>
      </c>
      <c r="D157" t="inlineStr">
        <is>
          <t>JÄMTLANDS LÄN</t>
        </is>
      </c>
      <c r="E157" t="inlineStr">
        <is>
          <t>RAGUNDA</t>
        </is>
      </c>
      <c r="F157" t="inlineStr">
        <is>
          <t>SCA</t>
        </is>
      </c>
      <c r="G157" t="n">
        <v>1.8</v>
      </c>
      <c r="H157" t="n">
        <v>0</v>
      </c>
      <c r="I157" t="n">
        <v>1</v>
      </c>
      <c r="J157" t="n">
        <v>3</v>
      </c>
      <c r="K157" t="n">
        <v>0</v>
      </c>
      <c r="L157" t="n">
        <v>0</v>
      </c>
      <c r="M157" t="n">
        <v>0</v>
      </c>
      <c r="N157" t="n">
        <v>0</v>
      </c>
      <c r="O157" t="n">
        <v>3</v>
      </c>
      <c r="P157" t="n">
        <v>0</v>
      </c>
      <c r="Q157" t="n">
        <v>4</v>
      </c>
      <c r="R157" s="2" t="inlineStr">
        <is>
          <t>Kolflarnlav
Lunglav
Skrovellav
Stuplav</t>
        </is>
      </c>
      <c r="S157">
        <f>HYPERLINK("https://klasma.github.io/Logging_2303/artfynd/A 53763-2023 artfynd.xlsx", "A 53763-2023")</f>
        <v/>
      </c>
      <c r="T157">
        <f>HYPERLINK("https://klasma.github.io/Logging_2303/kartor/A 53763-2023 karta.png", "A 53763-2023")</f>
        <v/>
      </c>
      <c r="V157">
        <f>HYPERLINK("https://klasma.github.io/Logging_2303/klagomål/A 53763-2023 FSC-klagomål.docx", "A 53763-2023")</f>
        <v/>
      </c>
      <c r="W157">
        <f>HYPERLINK("https://klasma.github.io/Logging_2303/klagomålsmail/A 53763-2023 FSC-klagomål mail.docx", "A 53763-2023")</f>
        <v/>
      </c>
      <c r="X157">
        <f>HYPERLINK("https://klasma.github.io/Logging_2303/tillsyn/A 53763-2023 tillsynsbegäran.docx", "A 53763-2023")</f>
        <v/>
      </c>
      <c r="Y157">
        <f>HYPERLINK("https://klasma.github.io/Logging_2303/tillsynsmail/A 53763-2023 tillsynsbegäran mail.docx", "A 53763-2023")</f>
        <v/>
      </c>
    </row>
    <row r="158" ht="15" customHeight="1">
      <c r="A158" t="inlineStr">
        <is>
          <t>A 62840-2023</t>
        </is>
      </c>
      <c r="B158" s="1" t="n">
        <v>45271</v>
      </c>
      <c r="C158" s="1" t="n">
        <v>45826</v>
      </c>
      <c r="D158" t="inlineStr">
        <is>
          <t>JÄMTLANDS LÄN</t>
        </is>
      </c>
      <c r="E158" t="inlineStr">
        <is>
          <t>RAGUNDA</t>
        </is>
      </c>
      <c r="F158" t="inlineStr">
        <is>
          <t>SCA</t>
        </is>
      </c>
      <c r="G158" t="n">
        <v>4</v>
      </c>
      <c r="H158" t="n">
        <v>0</v>
      </c>
      <c r="I158" t="n">
        <v>1</v>
      </c>
      <c r="J158" t="n">
        <v>3</v>
      </c>
      <c r="K158" t="n">
        <v>0</v>
      </c>
      <c r="L158" t="n">
        <v>0</v>
      </c>
      <c r="M158" t="n">
        <v>0</v>
      </c>
      <c r="N158" t="n">
        <v>0</v>
      </c>
      <c r="O158" t="n">
        <v>3</v>
      </c>
      <c r="P158" t="n">
        <v>0</v>
      </c>
      <c r="Q158" t="n">
        <v>4</v>
      </c>
      <c r="R158" s="2" t="inlineStr">
        <is>
          <t>Dvärgbägarlav
Mörk kolflarnlav
Vaddporing
Dropptaggsvamp</t>
        </is>
      </c>
      <c r="S158">
        <f>HYPERLINK("https://klasma.github.io/Logging_2303/artfynd/A 62840-2023 artfynd.xlsx", "A 62840-2023")</f>
        <v/>
      </c>
      <c r="T158">
        <f>HYPERLINK("https://klasma.github.io/Logging_2303/kartor/A 62840-2023 karta.png", "A 62840-2023")</f>
        <v/>
      </c>
      <c r="V158">
        <f>HYPERLINK("https://klasma.github.io/Logging_2303/klagomål/A 62840-2023 FSC-klagomål.docx", "A 62840-2023")</f>
        <v/>
      </c>
      <c r="W158">
        <f>HYPERLINK("https://klasma.github.io/Logging_2303/klagomålsmail/A 62840-2023 FSC-klagomål mail.docx", "A 62840-2023")</f>
        <v/>
      </c>
      <c r="X158">
        <f>HYPERLINK("https://klasma.github.io/Logging_2303/tillsyn/A 62840-2023 tillsynsbegäran.docx", "A 62840-2023")</f>
        <v/>
      </c>
      <c r="Y158">
        <f>HYPERLINK("https://klasma.github.io/Logging_2303/tillsynsmail/A 62840-2023 tillsynsbegäran mail.docx", "A 62840-2023")</f>
        <v/>
      </c>
    </row>
    <row r="159" ht="15" customHeight="1">
      <c r="A159" t="inlineStr">
        <is>
          <t>A 10214-2024</t>
        </is>
      </c>
      <c r="B159" s="1" t="n">
        <v>45364</v>
      </c>
      <c r="C159" s="1" t="n">
        <v>45826</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45826</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45826</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45826</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45826</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45826</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45826</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45826</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45826</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45826</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45826</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45826</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45826</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45826</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45826</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45826</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45826</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45826</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45826</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45826</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45826</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45826</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45826</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45826</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45826</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45826</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45826</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45826</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45826</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45826</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45826</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45826</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45826</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45826</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45826</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45826</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45826</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45826</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45826</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45826</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45826</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45826</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45826</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45826</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45826</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45826</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45826</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45826</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45826</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45826</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45826</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45826</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45826</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45826</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45826</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45826</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45826</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45826</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45826</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45826</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45826</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45826</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45826</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45826</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45826</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45826</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45826</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45826</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45826</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45826</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45826</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45826</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45826</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45826</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45826</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45826</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45826</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45826</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45826</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45826</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45826</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45826</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45826</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45826</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45826</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45826</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45826</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45826</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45826</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45826</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45826</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45826</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45826</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45826</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45826</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45826</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45826</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45826</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45826</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45826</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45826</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45826</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45826</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45826</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45826</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45826</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45826</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45826</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45826</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45826</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45826</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45826</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45826</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45826</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45826</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45826</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45826</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45826</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45826</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45826</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45826</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45826</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45826</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45826</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45826</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45826</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45826</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45826</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45826</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45826</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45826</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45826</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45826</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45826</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45826</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45826</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45826</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45826</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45826</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45826</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45826</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45826</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45826</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45826</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45826</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45826</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45826</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45826</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45826</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45826</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45826</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45826</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45826</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45826</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45826</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45826</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45826</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45826</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45826</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45826</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45826</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45826</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45826</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45826</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45826</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45826</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45826</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45826</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45826</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45826</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45826</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45826</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45826</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45826</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45826</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45826</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45826</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45826</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45826</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45826</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45826</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45826</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45826</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45826</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45826</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45826</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45826</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45826</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45826</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45826</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45826</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45826</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27573-2025</t>
        </is>
      </c>
      <c r="B351" s="1" t="n">
        <v>45813</v>
      </c>
      <c r="C351" s="1" t="n">
        <v>45826</v>
      </c>
      <c r="D351" t="inlineStr">
        <is>
          <t>JÄMTLANDS LÄN</t>
        </is>
      </c>
      <c r="E351" t="inlineStr">
        <is>
          <t>RAGUNDA</t>
        </is>
      </c>
      <c r="F351" t="inlineStr">
        <is>
          <t>SCA</t>
        </is>
      </c>
      <c r="G351" t="n">
        <v>14.9</v>
      </c>
      <c r="H351" t="n">
        <v>0</v>
      </c>
      <c r="I351" t="n">
        <v>1</v>
      </c>
      <c r="J351" t="n">
        <v>0</v>
      </c>
      <c r="K351" t="n">
        <v>0</v>
      </c>
      <c r="L351" t="n">
        <v>0</v>
      </c>
      <c r="M351" t="n">
        <v>0</v>
      </c>
      <c r="N351" t="n">
        <v>0</v>
      </c>
      <c r="O351" t="n">
        <v>0</v>
      </c>
      <c r="P351" t="n">
        <v>0</v>
      </c>
      <c r="Q351" t="n">
        <v>1</v>
      </c>
      <c r="R351" s="2" t="inlineStr">
        <is>
          <t>Skinnlav</t>
        </is>
      </c>
      <c r="S351">
        <f>HYPERLINK("https://klasma.github.io/Logging_232303/artfynd/A 27573-2025 artfynd.xlsx", "A 27573-2025")</f>
        <v/>
      </c>
      <c r="T351">
        <f>HYPERLINK("https://klasma.github.io/Logging_232303/kartor/A 27573-2025 karta.png", "A 27573-2025")</f>
        <v/>
      </c>
      <c r="U351">
        <f>HYPERLINK("https://klasma.github.io/Logging_232303/knärot/A 27573-2025 karta knärot.png", "A 27573-2025")</f>
        <v/>
      </c>
      <c r="V351">
        <f>HYPERLINK("https://klasma.github.io/Logging_232303/klagomål/A 27573-2025 FSC-klagomål.docx", "A 27573-2025")</f>
        <v/>
      </c>
      <c r="W351">
        <f>HYPERLINK("https://klasma.github.io/Logging_232303/klagomålsmail/A 27573-2025 FSC-klagomål mail.docx", "A 27573-2025")</f>
        <v/>
      </c>
      <c r="X351">
        <f>HYPERLINK("https://klasma.github.io/Logging_232303/tillsyn/A 27573-2025 tillsynsbegäran.docx", "A 27573-2025")</f>
        <v/>
      </c>
      <c r="Y351">
        <f>HYPERLINK("https://klasma.github.io/Logging_232303/tillsynsmail/A 27573-2025 tillsynsbegäran mail.docx", "A 27573-2025")</f>
        <v/>
      </c>
    </row>
    <row r="352" ht="15" customHeight="1">
      <c r="A352" t="inlineStr">
        <is>
          <t>A 19077-2019</t>
        </is>
      </c>
      <c r="B352" s="1" t="n">
        <v>43563</v>
      </c>
      <c r="C352" s="1" t="n">
        <v>45826</v>
      </c>
      <c r="D352" t="inlineStr">
        <is>
          <t>JÄMTLANDS LÄN</t>
        </is>
      </c>
      <c r="E352" t="inlineStr">
        <is>
          <t>RAGUNDA</t>
        </is>
      </c>
      <c r="G352" t="n">
        <v>11.5</v>
      </c>
      <c r="H352" t="n">
        <v>0</v>
      </c>
      <c r="I352" t="n">
        <v>0</v>
      </c>
      <c r="J352" t="n">
        <v>0</v>
      </c>
      <c r="K352" t="n">
        <v>0</v>
      </c>
      <c r="L352" t="n">
        <v>0</v>
      </c>
      <c r="M352" t="n">
        <v>0</v>
      </c>
      <c r="N352" t="n">
        <v>0</v>
      </c>
      <c r="O352" t="n">
        <v>0</v>
      </c>
      <c r="P352" t="n">
        <v>0</v>
      </c>
      <c r="Q352" t="n">
        <v>0</v>
      </c>
      <c r="R352" s="2" t="inlineStr"/>
    </row>
    <row r="353" ht="15" customHeight="1">
      <c r="A353" t="inlineStr">
        <is>
          <t>A 19543-2019</t>
        </is>
      </c>
      <c r="B353" s="1" t="n">
        <v>43565</v>
      </c>
      <c r="C353" s="1" t="n">
        <v>45826</v>
      </c>
      <c r="D353" t="inlineStr">
        <is>
          <t>JÄMTLANDS LÄN</t>
        </is>
      </c>
      <c r="E353" t="inlineStr">
        <is>
          <t>RAGUNDA</t>
        </is>
      </c>
      <c r="G353" t="n">
        <v>2.3</v>
      </c>
      <c r="H353" t="n">
        <v>0</v>
      </c>
      <c r="I353" t="n">
        <v>0</v>
      </c>
      <c r="J353" t="n">
        <v>0</v>
      </c>
      <c r="K353" t="n">
        <v>0</v>
      </c>
      <c r="L353" t="n">
        <v>0</v>
      </c>
      <c r="M353" t="n">
        <v>0</v>
      </c>
      <c r="N353" t="n">
        <v>0</v>
      </c>
      <c r="O353" t="n">
        <v>0</v>
      </c>
      <c r="P353" t="n">
        <v>0</v>
      </c>
      <c r="Q353" t="n">
        <v>0</v>
      </c>
      <c r="R353" s="2" t="inlineStr"/>
    </row>
    <row r="354" ht="15" customHeight="1">
      <c r="A354" t="inlineStr">
        <is>
          <t>A 21122-2019</t>
        </is>
      </c>
      <c r="B354" s="1" t="n">
        <v>43578</v>
      </c>
      <c r="C354" s="1" t="n">
        <v>45826</v>
      </c>
      <c r="D354" t="inlineStr">
        <is>
          <t>JÄMTLANDS LÄN</t>
        </is>
      </c>
      <c r="E354" t="inlineStr">
        <is>
          <t>RAGUNDA</t>
        </is>
      </c>
      <c r="F354" t="inlineStr">
        <is>
          <t>SCA</t>
        </is>
      </c>
      <c r="G354" t="n">
        <v>72.09999999999999</v>
      </c>
      <c r="H354" t="n">
        <v>0</v>
      </c>
      <c r="I354" t="n">
        <v>0</v>
      </c>
      <c r="J354" t="n">
        <v>0</v>
      </c>
      <c r="K354" t="n">
        <v>0</v>
      </c>
      <c r="L354" t="n">
        <v>0</v>
      </c>
      <c r="M354" t="n">
        <v>0</v>
      </c>
      <c r="N354" t="n">
        <v>0</v>
      </c>
      <c r="O354" t="n">
        <v>0</v>
      </c>
      <c r="P354" t="n">
        <v>0</v>
      </c>
      <c r="Q354" t="n">
        <v>0</v>
      </c>
      <c r="R354" s="2" t="inlineStr"/>
    </row>
    <row r="355" ht="15" customHeight="1">
      <c r="A355" t="inlineStr">
        <is>
          <t>A 21914-2019</t>
        </is>
      </c>
      <c r="B355" s="1" t="n">
        <v>43584</v>
      </c>
      <c r="C355" s="1" t="n">
        <v>45826</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22799-2019</t>
        </is>
      </c>
      <c r="B356" s="1" t="n">
        <v>43589</v>
      </c>
      <c r="C356" s="1" t="n">
        <v>45826</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23740-2019</t>
        </is>
      </c>
      <c r="B357" s="1" t="n">
        <v>43594</v>
      </c>
      <c r="C357" s="1" t="n">
        <v>45826</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23821-2019</t>
        </is>
      </c>
      <c r="B358" s="1" t="n">
        <v>43594</v>
      </c>
      <c r="C358" s="1" t="n">
        <v>45826</v>
      </c>
      <c r="D358" t="inlineStr">
        <is>
          <t>JÄMTLANDS LÄN</t>
        </is>
      </c>
      <c r="E358" t="inlineStr">
        <is>
          <t>RAGUNDA</t>
        </is>
      </c>
      <c r="G358" t="n">
        <v>0.9</v>
      </c>
      <c r="H358" t="n">
        <v>0</v>
      </c>
      <c r="I358" t="n">
        <v>0</v>
      </c>
      <c r="J358" t="n">
        <v>0</v>
      </c>
      <c r="K358" t="n">
        <v>0</v>
      </c>
      <c r="L358" t="n">
        <v>0</v>
      </c>
      <c r="M358" t="n">
        <v>0</v>
      </c>
      <c r="N358" t="n">
        <v>0</v>
      </c>
      <c r="O358" t="n">
        <v>0</v>
      </c>
      <c r="P358" t="n">
        <v>0</v>
      </c>
      <c r="Q358" t="n">
        <v>0</v>
      </c>
      <c r="R358" s="2" t="inlineStr"/>
    </row>
    <row r="359" ht="15" customHeight="1">
      <c r="A359" t="inlineStr">
        <is>
          <t>A 28251-2019</t>
        </is>
      </c>
      <c r="B359" s="1" t="n">
        <v>43622</v>
      </c>
      <c r="C359" s="1" t="n">
        <v>45826</v>
      </c>
      <c r="D359" t="inlineStr">
        <is>
          <t>JÄMTLANDS LÄN</t>
        </is>
      </c>
      <c r="E359" t="inlineStr">
        <is>
          <t>RAGUNDA</t>
        </is>
      </c>
      <c r="F359" t="inlineStr">
        <is>
          <t>SCA</t>
        </is>
      </c>
      <c r="G359" t="n">
        <v>25.7</v>
      </c>
      <c r="H359" t="n">
        <v>0</v>
      </c>
      <c r="I359" t="n">
        <v>0</v>
      </c>
      <c r="J359" t="n">
        <v>0</v>
      </c>
      <c r="K359" t="n">
        <v>0</v>
      </c>
      <c r="L359" t="n">
        <v>0</v>
      </c>
      <c r="M359" t="n">
        <v>0</v>
      </c>
      <c r="N359" t="n">
        <v>0</v>
      </c>
      <c r="O359" t="n">
        <v>0</v>
      </c>
      <c r="P359" t="n">
        <v>0</v>
      </c>
      <c r="Q359" t="n">
        <v>0</v>
      </c>
      <c r="R359" s="2" t="inlineStr"/>
    </row>
    <row r="360" ht="15" customHeight="1">
      <c r="A360" t="inlineStr">
        <is>
          <t>A 30030-2019</t>
        </is>
      </c>
      <c r="B360" s="1" t="n">
        <v>43633</v>
      </c>
      <c r="C360" s="1" t="n">
        <v>45826</v>
      </c>
      <c r="D360" t="inlineStr">
        <is>
          <t>JÄMTLANDS LÄN</t>
        </is>
      </c>
      <c r="E360" t="inlineStr">
        <is>
          <t>RAGUNDA</t>
        </is>
      </c>
      <c r="G360" t="n">
        <v>10.6</v>
      </c>
      <c r="H360" t="n">
        <v>0</v>
      </c>
      <c r="I360" t="n">
        <v>0</v>
      </c>
      <c r="J360" t="n">
        <v>0</v>
      </c>
      <c r="K360" t="n">
        <v>0</v>
      </c>
      <c r="L360" t="n">
        <v>0</v>
      </c>
      <c r="M360" t="n">
        <v>0</v>
      </c>
      <c r="N360" t="n">
        <v>0</v>
      </c>
      <c r="O360" t="n">
        <v>0</v>
      </c>
      <c r="P360" t="n">
        <v>0</v>
      </c>
      <c r="Q360" t="n">
        <v>0</v>
      </c>
      <c r="R360" s="2" t="inlineStr"/>
    </row>
    <row r="361" ht="15" customHeight="1">
      <c r="A361" t="inlineStr">
        <is>
          <t>A 30034-2019</t>
        </is>
      </c>
      <c r="B361" s="1" t="n">
        <v>43633</v>
      </c>
      <c r="C361" s="1" t="n">
        <v>45826</v>
      </c>
      <c r="D361" t="inlineStr">
        <is>
          <t>JÄMTLANDS LÄN</t>
        </is>
      </c>
      <c r="E361" t="inlineStr">
        <is>
          <t>RAGUNDA</t>
        </is>
      </c>
      <c r="G361" t="n">
        <v>5.6</v>
      </c>
      <c r="H361" t="n">
        <v>0</v>
      </c>
      <c r="I361" t="n">
        <v>0</v>
      </c>
      <c r="J361" t="n">
        <v>0</v>
      </c>
      <c r="K361" t="n">
        <v>0</v>
      </c>
      <c r="L361" t="n">
        <v>0</v>
      </c>
      <c r="M361" t="n">
        <v>0</v>
      </c>
      <c r="N361" t="n">
        <v>0</v>
      </c>
      <c r="O361" t="n">
        <v>0</v>
      </c>
      <c r="P361" t="n">
        <v>0</v>
      </c>
      <c r="Q361" t="n">
        <v>0</v>
      </c>
      <c r="R361" s="2" t="inlineStr"/>
    </row>
    <row r="362" ht="15" customHeight="1">
      <c r="A362" t="inlineStr">
        <is>
          <t>A 31299-2019</t>
        </is>
      </c>
      <c r="B362" s="1" t="n">
        <v>43640</v>
      </c>
      <c r="C362" s="1" t="n">
        <v>45826</v>
      </c>
      <c r="D362" t="inlineStr">
        <is>
          <t>JÄMTLANDS LÄN</t>
        </is>
      </c>
      <c r="E362" t="inlineStr">
        <is>
          <t>RAGUNDA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31562-2019</t>
        </is>
      </c>
      <c r="B363" s="1" t="n">
        <v>43641</v>
      </c>
      <c r="C363" s="1" t="n">
        <v>45826</v>
      </c>
      <c r="D363" t="inlineStr">
        <is>
          <t>JÄMTLANDS LÄN</t>
        </is>
      </c>
      <c r="E363" t="inlineStr">
        <is>
          <t>RAGUNDA</t>
        </is>
      </c>
      <c r="F363" t="inlineStr">
        <is>
          <t>SCA</t>
        </is>
      </c>
      <c r="G363" t="n">
        <v>10.1</v>
      </c>
      <c r="H363" t="n">
        <v>0</v>
      </c>
      <c r="I363" t="n">
        <v>0</v>
      </c>
      <c r="J363" t="n">
        <v>0</v>
      </c>
      <c r="K363" t="n">
        <v>0</v>
      </c>
      <c r="L363" t="n">
        <v>0</v>
      </c>
      <c r="M363" t="n">
        <v>0</v>
      </c>
      <c r="N363" t="n">
        <v>0</v>
      </c>
      <c r="O363" t="n">
        <v>0</v>
      </c>
      <c r="P363" t="n">
        <v>0</v>
      </c>
      <c r="Q363" t="n">
        <v>0</v>
      </c>
      <c r="R363" s="2" t="inlineStr"/>
    </row>
    <row r="364" ht="15" customHeight="1">
      <c r="A364" t="inlineStr">
        <is>
          <t>A 31563-2019</t>
        </is>
      </c>
      <c r="B364" s="1" t="n">
        <v>43641</v>
      </c>
      <c r="C364" s="1" t="n">
        <v>45826</v>
      </c>
      <c r="D364" t="inlineStr">
        <is>
          <t>JÄMTLANDS LÄN</t>
        </is>
      </c>
      <c r="E364" t="inlineStr">
        <is>
          <t>RAGUNDA</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32211-2019</t>
        </is>
      </c>
      <c r="B365" s="1" t="n">
        <v>43643</v>
      </c>
      <c r="C365" s="1" t="n">
        <v>45826</v>
      </c>
      <c r="D365" t="inlineStr">
        <is>
          <t>JÄMTLANDS LÄN</t>
        </is>
      </c>
      <c r="E365" t="inlineStr">
        <is>
          <t>RAGUNDA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33341-2019</t>
        </is>
      </c>
      <c r="B366" s="1" t="n">
        <v>43650</v>
      </c>
      <c r="C366" s="1" t="n">
        <v>45826</v>
      </c>
      <c r="D366" t="inlineStr">
        <is>
          <t>JÄMTLANDS LÄN</t>
        </is>
      </c>
      <c r="E366" t="inlineStr">
        <is>
          <t>RAGUNDA</t>
        </is>
      </c>
      <c r="F366" t="inlineStr">
        <is>
          <t>Kommuner</t>
        </is>
      </c>
      <c r="G366" t="n">
        <v>1.3</v>
      </c>
      <c r="H366" t="n">
        <v>0</v>
      </c>
      <c r="I366" t="n">
        <v>0</v>
      </c>
      <c r="J366" t="n">
        <v>0</v>
      </c>
      <c r="K366" t="n">
        <v>0</v>
      </c>
      <c r="L366" t="n">
        <v>0</v>
      </c>
      <c r="M366" t="n">
        <v>0</v>
      </c>
      <c r="N366" t="n">
        <v>0</v>
      </c>
      <c r="O366" t="n">
        <v>0</v>
      </c>
      <c r="P366" t="n">
        <v>0</v>
      </c>
      <c r="Q366" t="n">
        <v>0</v>
      </c>
      <c r="R366" s="2" t="inlineStr"/>
    </row>
    <row r="367" ht="15" customHeight="1">
      <c r="A367" t="inlineStr">
        <is>
          <t>A 35466-2019</t>
        </is>
      </c>
      <c r="B367" s="1" t="n">
        <v>43651</v>
      </c>
      <c r="C367" s="1" t="n">
        <v>45826</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34119-2019</t>
        </is>
      </c>
      <c r="B368" s="1" t="n">
        <v>43654</v>
      </c>
      <c r="C368" s="1" t="n">
        <v>45826</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34121-2019</t>
        </is>
      </c>
      <c r="B369" s="1" t="n">
        <v>43654</v>
      </c>
      <c r="C369" s="1" t="n">
        <v>45826</v>
      </c>
      <c r="D369" t="inlineStr">
        <is>
          <t>JÄMTLANDS LÄN</t>
        </is>
      </c>
      <c r="E369" t="inlineStr">
        <is>
          <t>RAGUNDA</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34490-2019</t>
        </is>
      </c>
      <c r="B370" s="1" t="n">
        <v>43656</v>
      </c>
      <c r="C370" s="1" t="n">
        <v>45826</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36230-2019</t>
        </is>
      </c>
      <c r="B371" s="1" t="n">
        <v>43669</v>
      </c>
      <c r="C371" s="1" t="n">
        <v>45826</v>
      </c>
      <c r="D371" t="inlineStr">
        <is>
          <t>JÄMTLANDS LÄN</t>
        </is>
      </c>
      <c r="E371" t="inlineStr">
        <is>
          <t>RAGUNDA</t>
        </is>
      </c>
      <c r="G371" t="n">
        <v>4.4</v>
      </c>
      <c r="H371" t="n">
        <v>0</v>
      </c>
      <c r="I371" t="n">
        <v>0</v>
      </c>
      <c r="J371" t="n">
        <v>0</v>
      </c>
      <c r="K371" t="n">
        <v>0</v>
      </c>
      <c r="L371" t="n">
        <v>0</v>
      </c>
      <c r="M371" t="n">
        <v>0</v>
      </c>
      <c r="N371" t="n">
        <v>0</v>
      </c>
      <c r="O371" t="n">
        <v>0</v>
      </c>
      <c r="P371" t="n">
        <v>0</v>
      </c>
      <c r="Q371" t="n">
        <v>0</v>
      </c>
      <c r="R371" s="2" t="inlineStr"/>
    </row>
    <row r="372" ht="15" customHeight="1">
      <c r="A372" t="inlineStr">
        <is>
          <t>A 37086-2019</t>
        </is>
      </c>
      <c r="B372" s="1" t="n">
        <v>43676</v>
      </c>
      <c r="C372" s="1" t="n">
        <v>45826</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37441-2019</t>
        </is>
      </c>
      <c r="B373" s="1" t="n">
        <v>43678</v>
      </c>
      <c r="C373" s="1" t="n">
        <v>45826</v>
      </c>
      <c r="D373" t="inlineStr">
        <is>
          <t>JÄMTLANDS LÄN</t>
        </is>
      </c>
      <c r="E373" t="inlineStr">
        <is>
          <t>RAGUNDA</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38757-2019</t>
        </is>
      </c>
      <c r="B374" s="1" t="n">
        <v>43686</v>
      </c>
      <c r="C374" s="1" t="n">
        <v>45826</v>
      </c>
      <c r="D374" t="inlineStr">
        <is>
          <t>JÄMTLANDS LÄN</t>
        </is>
      </c>
      <c r="E374" t="inlineStr">
        <is>
          <t>RAGUNDA</t>
        </is>
      </c>
      <c r="G374" t="n">
        <v>10.2</v>
      </c>
      <c r="H374" t="n">
        <v>0</v>
      </c>
      <c r="I374" t="n">
        <v>0</v>
      </c>
      <c r="J374" t="n">
        <v>0</v>
      </c>
      <c r="K374" t="n">
        <v>0</v>
      </c>
      <c r="L374" t="n">
        <v>0</v>
      </c>
      <c r="M374" t="n">
        <v>0</v>
      </c>
      <c r="N374" t="n">
        <v>0</v>
      </c>
      <c r="O374" t="n">
        <v>0</v>
      </c>
      <c r="P374" t="n">
        <v>0</v>
      </c>
      <c r="Q374" t="n">
        <v>0</v>
      </c>
      <c r="R374" s="2" t="inlineStr"/>
    </row>
    <row r="375" ht="15" customHeight="1">
      <c r="A375" t="inlineStr">
        <is>
          <t>A 42786-2019</t>
        </is>
      </c>
      <c r="B375" s="1" t="n">
        <v>43704</v>
      </c>
      <c r="C375" s="1" t="n">
        <v>45826</v>
      </c>
      <c r="D375" t="inlineStr">
        <is>
          <t>JÄMTLANDS LÄN</t>
        </is>
      </c>
      <c r="E375" t="inlineStr">
        <is>
          <t>RAGUNDA</t>
        </is>
      </c>
      <c r="F375" t="inlineStr">
        <is>
          <t>SCA</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42788-2019</t>
        </is>
      </c>
      <c r="B376" s="1" t="n">
        <v>43704</v>
      </c>
      <c r="C376" s="1" t="n">
        <v>45826</v>
      </c>
      <c r="D376" t="inlineStr">
        <is>
          <t>JÄMTLANDS LÄN</t>
        </is>
      </c>
      <c r="E376" t="inlineStr">
        <is>
          <t>RAGUNDA</t>
        </is>
      </c>
      <c r="F376" t="inlineStr">
        <is>
          <t>SCA</t>
        </is>
      </c>
      <c r="G376" t="n">
        <v>20.3</v>
      </c>
      <c r="H376" t="n">
        <v>0</v>
      </c>
      <c r="I376" t="n">
        <v>0</v>
      </c>
      <c r="J376" t="n">
        <v>0</v>
      </c>
      <c r="K376" t="n">
        <v>0</v>
      </c>
      <c r="L376" t="n">
        <v>0</v>
      </c>
      <c r="M376" t="n">
        <v>0</v>
      </c>
      <c r="N376" t="n">
        <v>0</v>
      </c>
      <c r="O376" t="n">
        <v>0</v>
      </c>
      <c r="P376" t="n">
        <v>0</v>
      </c>
      <c r="Q376" t="n">
        <v>0</v>
      </c>
      <c r="R376" s="2" t="inlineStr"/>
    </row>
    <row r="377" ht="15" customHeight="1">
      <c r="A377" t="inlineStr">
        <is>
          <t>A 42785-2019</t>
        </is>
      </c>
      <c r="B377" s="1" t="n">
        <v>43704</v>
      </c>
      <c r="C377" s="1" t="n">
        <v>45826</v>
      </c>
      <c r="D377" t="inlineStr">
        <is>
          <t>JÄMTLANDS LÄN</t>
        </is>
      </c>
      <c r="E377" t="inlineStr">
        <is>
          <t>RAGUNDA</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43412-2019</t>
        </is>
      </c>
      <c r="B378" s="1" t="n">
        <v>43706</v>
      </c>
      <c r="C378" s="1" t="n">
        <v>45826</v>
      </c>
      <c r="D378" t="inlineStr">
        <is>
          <t>JÄMTLANDS LÄN</t>
        </is>
      </c>
      <c r="E378" t="inlineStr">
        <is>
          <t>RAGUNDA</t>
        </is>
      </c>
      <c r="G378" t="n">
        <v>1.4</v>
      </c>
      <c r="H378" t="n">
        <v>0</v>
      </c>
      <c r="I378" t="n">
        <v>0</v>
      </c>
      <c r="J378" t="n">
        <v>0</v>
      </c>
      <c r="K378" t="n">
        <v>0</v>
      </c>
      <c r="L378" t="n">
        <v>0</v>
      </c>
      <c r="M378" t="n">
        <v>0</v>
      </c>
      <c r="N378" t="n">
        <v>0</v>
      </c>
      <c r="O378" t="n">
        <v>0</v>
      </c>
      <c r="P378" t="n">
        <v>0</v>
      </c>
      <c r="Q378" t="n">
        <v>0</v>
      </c>
      <c r="R378" s="2" t="inlineStr"/>
    </row>
    <row r="379" ht="15" customHeight="1">
      <c r="A379" t="inlineStr">
        <is>
          <t>A 45075-2019</t>
        </is>
      </c>
      <c r="B379" s="1" t="n">
        <v>43713</v>
      </c>
      <c r="C379" s="1" t="n">
        <v>45826</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45061-2019</t>
        </is>
      </c>
      <c r="B380" s="1" t="n">
        <v>43713</v>
      </c>
      <c r="C380" s="1" t="n">
        <v>45826</v>
      </c>
      <c r="D380" t="inlineStr">
        <is>
          <t>JÄMTLANDS LÄN</t>
        </is>
      </c>
      <c r="E380" t="inlineStr">
        <is>
          <t>RAGUNDA</t>
        </is>
      </c>
      <c r="G380" t="n">
        <v>3.3</v>
      </c>
      <c r="H380" t="n">
        <v>0</v>
      </c>
      <c r="I380" t="n">
        <v>0</v>
      </c>
      <c r="J380" t="n">
        <v>0</v>
      </c>
      <c r="K380" t="n">
        <v>0</v>
      </c>
      <c r="L380" t="n">
        <v>0</v>
      </c>
      <c r="M380" t="n">
        <v>0</v>
      </c>
      <c r="N380" t="n">
        <v>0</v>
      </c>
      <c r="O380" t="n">
        <v>0</v>
      </c>
      <c r="P380" t="n">
        <v>0</v>
      </c>
      <c r="Q380" t="n">
        <v>0</v>
      </c>
      <c r="R380" s="2" t="inlineStr"/>
    </row>
    <row r="381" ht="15" customHeight="1">
      <c r="A381" t="inlineStr">
        <is>
          <t>A 48961-2019</t>
        </is>
      </c>
      <c r="B381" s="1" t="n">
        <v>43728</v>
      </c>
      <c r="C381" s="1" t="n">
        <v>45826</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49875-2019</t>
        </is>
      </c>
      <c r="B382" s="1" t="n">
        <v>43733</v>
      </c>
      <c r="C382" s="1" t="n">
        <v>45826</v>
      </c>
      <c r="D382" t="inlineStr">
        <is>
          <t>JÄMTLANDS LÄN</t>
        </is>
      </c>
      <c r="E382" t="inlineStr">
        <is>
          <t>RAGUNDA</t>
        </is>
      </c>
      <c r="G382" t="n">
        <v>1.3</v>
      </c>
      <c r="H382" t="n">
        <v>0</v>
      </c>
      <c r="I382" t="n">
        <v>0</v>
      </c>
      <c r="J382" t="n">
        <v>0</v>
      </c>
      <c r="K382" t="n">
        <v>0</v>
      </c>
      <c r="L382" t="n">
        <v>0</v>
      </c>
      <c r="M382" t="n">
        <v>0</v>
      </c>
      <c r="N382" t="n">
        <v>0</v>
      </c>
      <c r="O382" t="n">
        <v>0</v>
      </c>
      <c r="P382" t="n">
        <v>0</v>
      </c>
      <c r="Q382" t="n">
        <v>0</v>
      </c>
      <c r="R382" s="2" t="inlineStr"/>
    </row>
    <row r="383" ht="15" customHeight="1">
      <c r="A383" t="inlineStr">
        <is>
          <t>A 49945-2019</t>
        </is>
      </c>
      <c r="B383" s="1" t="n">
        <v>43733</v>
      </c>
      <c r="C383" s="1" t="n">
        <v>45826</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52098-2019</t>
        </is>
      </c>
      <c r="B384" s="1" t="n">
        <v>43735</v>
      </c>
      <c r="C384" s="1" t="n">
        <v>45826</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51661-2019</t>
        </is>
      </c>
      <c r="B385" s="1" t="n">
        <v>43740</v>
      </c>
      <c r="C385" s="1" t="n">
        <v>45826</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53849-2019</t>
        </is>
      </c>
      <c r="B386" s="1" t="n">
        <v>43742</v>
      </c>
      <c r="C386" s="1" t="n">
        <v>45826</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52728-2019</t>
        </is>
      </c>
      <c r="B387" s="1" t="n">
        <v>43746</v>
      </c>
      <c r="C387" s="1" t="n">
        <v>45826</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55353-2019</t>
        </is>
      </c>
      <c r="B388" s="1" t="n">
        <v>43756</v>
      </c>
      <c r="C388" s="1" t="n">
        <v>45826</v>
      </c>
      <c r="D388" t="inlineStr">
        <is>
          <t>JÄMTLANDS LÄN</t>
        </is>
      </c>
      <c r="E388" t="inlineStr">
        <is>
          <t>RAGUNDA</t>
        </is>
      </c>
      <c r="G388" t="n">
        <v>2.1</v>
      </c>
      <c r="H388" t="n">
        <v>0</v>
      </c>
      <c r="I388" t="n">
        <v>0</v>
      </c>
      <c r="J388" t="n">
        <v>0</v>
      </c>
      <c r="K388" t="n">
        <v>0</v>
      </c>
      <c r="L388" t="n">
        <v>0</v>
      </c>
      <c r="M388" t="n">
        <v>0</v>
      </c>
      <c r="N388" t="n">
        <v>0</v>
      </c>
      <c r="O388" t="n">
        <v>0</v>
      </c>
      <c r="P388" t="n">
        <v>0</v>
      </c>
      <c r="Q388" t="n">
        <v>0</v>
      </c>
      <c r="R388" s="2" t="inlineStr"/>
    </row>
    <row r="389" ht="15" customHeight="1">
      <c r="A389" t="inlineStr">
        <is>
          <t>A 55875-2019</t>
        </is>
      </c>
      <c r="B389" s="1" t="n">
        <v>43759</v>
      </c>
      <c r="C389" s="1" t="n">
        <v>45826</v>
      </c>
      <c r="D389" t="inlineStr">
        <is>
          <t>JÄMTLANDS LÄN</t>
        </is>
      </c>
      <c r="E389" t="inlineStr">
        <is>
          <t>RAGUNDA</t>
        </is>
      </c>
      <c r="G389" t="n">
        <v>2.8</v>
      </c>
      <c r="H389" t="n">
        <v>0</v>
      </c>
      <c r="I389" t="n">
        <v>0</v>
      </c>
      <c r="J389" t="n">
        <v>0</v>
      </c>
      <c r="K389" t="n">
        <v>0</v>
      </c>
      <c r="L389" t="n">
        <v>0</v>
      </c>
      <c r="M389" t="n">
        <v>0</v>
      </c>
      <c r="N389" t="n">
        <v>0</v>
      </c>
      <c r="O389" t="n">
        <v>0</v>
      </c>
      <c r="P389" t="n">
        <v>0</v>
      </c>
      <c r="Q389" t="n">
        <v>0</v>
      </c>
      <c r="R389" s="2" t="inlineStr"/>
    </row>
    <row r="390" ht="15" customHeight="1">
      <c r="A390" t="inlineStr">
        <is>
          <t>A 55653-2019</t>
        </is>
      </c>
      <c r="B390" s="1" t="n">
        <v>43760</v>
      </c>
      <c r="C390" s="1" t="n">
        <v>45826</v>
      </c>
      <c r="D390" t="inlineStr">
        <is>
          <t>JÄMTLANDS LÄN</t>
        </is>
      </c>
      <c r="E390" t="inlineStr">
        <is>
          <t>RAGUNDA</t>
        </is>
      </c>
      <c r="G390" t="n">
        <v>4.2</v>
      </c>
      <c r="H390" t="n">
        <v>0</v>
      </c>
      <c r="I390" t="n">
        <v>0</v>
      </c>
      <c r="J390" t="n">
        <v>0</v>
      </c>
      <c r="K390" t="n">
        <v>0</v>
      </c>
      <c r="L390" t="n">
        <v>0</v>
      </c>
      <c r="M390" t="n">
        <v>0</v>
      </c>
      <c r="N390" t="n">
        <v>0</v>
      </c>
      <c r="O390" t="n">
        <v>0</v>
      </c>
      <c r="P390" t="n">
        <v>0</v>
      </c>
      <c r="Q390" t="n">
        <v>0</v>
      </c>
      <c r="R390" s="2" t="inlineStr"/>
    </row>
    <row r="391" ht="15" customHeight="1">
      <c r="A391" t="inlineStr">
        <is>
          <t>A 57860-2019</t>
        </is>
      </c>
      <c r="B391" s="1" t="n">
        <v>43768</v>
      </c>
      <c r="C391" s="1" t="n">
        <v>45826</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57783-2019</t>
        </is>
      </c>
      <c r="B392" s="1" t="n">
        <v>43768</v>
      </c>
      <c r="C392" s="1" t="n">
        <v>45826</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58348-2019</t>
        </is>
      </c>
      <c r="B393" s="1" t="n">
        <v>43770</v>
      </c>
      <c r="C393" s="1" t="n">
        <v>45826</v>
      </c>
      <c r="D393" t="inlineStr">
        <is>
          <t>JÄMTLANDS LÄN</t>
        </is>
      </c>
      <c r="E393" t="inlineStr">
        <is>
          <t>RAGUNDA</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58355-2019</t>
        </is>
      </c>
      <c r="B394" s="1" t="n">
        <v>43770</v>
      </c>
      <c r="C394" s="1" t="n">
        <v>45826</v>
      </c>
      <c r="D394" t="inlineStr">
        <is>
          <t>JÄMTLANDS LÄN</t>
        </is>
      </c>
      <c r="E394" t="inlineStr">
        <is>
          <t>RAGUNDA</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59484-2019</t>
        </is>
      </c>
      <c r="B395" s="1" t="n">
        <v>43773</v>
      </c>
      <c r="C395" s="1" t="n">
        <v>45826</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58795-2019</t>
        </is>
      </c>
      <c r="B396" s="1" t="n">
        <v>43773</v>
      </c>
      <c r="C396" s="1" t="n">
        <v>45826</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59501-2019</t>
        </is>
      </c>
      <c r="B397" s="1" t="n">
        <v>43773</v>
      </c>
      <c r="C397" s="1" t="n">
        <v>45826</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59194-2019</t>
        </is>
      </c>
      <c r="B398" s="1" t="n">
        <v>43775</v>
      </c>
      <c r="C398" s="1" t="n">
        <v>45826</v>
      </c>
      <c r="D398" t="inlineStr">
        <is>
          <t>JÄMTLANDS LÄN</t>
        </is>
      </c>
      <c r="E398" t="inlineStr">
        <is>
          <t>RAGUNDA</t>
        </is>
      </c>
      <c r="G398" t="n">
        <v>2.7</v>
      </c>
      <c r="H398" t="n">
        <v>0</v>
      </c>
      <c r="I398" t="n">
        <v>0</v>
      </c>
      <c r="J398" t="n">
        <v>0</v>
      </c>
      <c r="K398" t="n">
        <v>0</v>
      </c>
      <c r="L398" t="n">
        <v>0</v>
      </c>
      <c r="M398" t="n">
        <v>0</v>
      </c>
      <c r="N398" t="n">
        <v>0</v>
      </c>
      <c r="O398" t="n">
        <v>0</v>
      </c>
      <c r="P398" t="n">
        <v>0</v>
      </c>
      <c r="Q398" t="n">
        <v>0</v>
      </c>
      <c r="R398" s="2" t="inlineStr"/>
    </row>
    <row r="399" ht="15" customHeight="1">
      <c r="A399" t="inlineStr">
        <is>
          <t>A 60119-2019</t>
        </is>
      </c>
      <c r="B399" s="1" t="n">
        <v>43777</v>
      </c>
      <c r="C399" s="1" t="n">
        <v>45826</v>
      </c>
      <c r="D399" t="inlineStr">
        <is>
          <t>JÄMTLANDS LÄN</t>
        </is>
      </c>
      <c r="E399" t="inlineStr">
        <is>
          <t>RAGUNDA</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62340-2019</t>
        </is>
      </c>
      <c r="B400" s="1" t="n">
        <v>43782</v>
      </c>
      <c r="C400" s="1" t="n">
        <v>45826</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61514-2019</t>
        </is>
      </c>
      <c r="B401" s="1" t="n">
        <v>43783</v>
      </c>
      <c r="C401" s="1" t="n">
        <v>45826</v>
      </c>
      <c r="D401" t="inlineStr">
        <is>
          <t>JÄMTLANDS LÄN</t>
        </is>
      </c>
      <c r="E401" t="inlineStr">
        <is>
          <t>RAGUNDA</t>
        </is>
      </c>
      <c r="G401" t="n">
        <v>2.3</v>
      </c>
      <c r="H401" t="n">
        <v>0</v>
      </c>
      <c r="I401" t="n">
        <v>0</v>
      </c>
      <c r="J401" t="n">
        <v>0</v>
      </c>
      <c r="K401" t="n">
        <v>0</v>
      </c>
      <c r="L401" t="n">
        <v>0</v>
      </c>
      <c r="M401" t="n">
        <v>0</v>
      </c>
      <c r="N401" t="n">
        <v>0</v>
      </c>
      <c r="O401" t="n">
        <v>0</v>
      </c>
      <c r="P401" t="n">
        <v>0</v>
      </c>
      <c r="Q401" t="n">
        <v>0</v>
      </c>
      <c r="R401" s="2" t="inlineStr"/>
    </row>
    <row r="402" ht="15" customHeight="1">
      <c r="A402" t="inlineStr">
        <is>
          <t>A 62129-2019</t>
        </is>
      </c>
      <c r="B402" s="1" t="n">
        <v>43787</v>
      </c>
      <c r="C402" s="1" t="n">
        <v>45826</v>
      </c>
      <c r="D402" t="inlineStr">
        <is>
          <t>JÄMTLANDS LÄN</t>
        </is>
      </c>
      <c r="E402" t="inlineStr">
        <is>
          <t>RAGUNDA</t>
        </is>
      </c>
      <c r="G402" t="n">
        <v>1.1</v>
      </c>
      <c r="H402" t="n">
        <v>0</v>
      </c>
      <c r="I402" t="n">
        <v>0</v>
      </c>
      <c r="J402" t="n">
        <v>0</v>
      </c>
      <c r="K402" t="n">
        <v>0</v>
      </c>
      <c r="L402" t="n">
        <v>0</v>
      </c>
      <c r="M402" t="n">
        <v>0</v>
      </c>
      <c r="N402" t="n">
        <v>0</v>
      </c>
      <c r="O402" t="n">
        <v>0</v>
      </c>
      <c r="P402" t="n">
        <v>0</v>
      </c>
      <c r="Q402" t="n">
        <v>0</v>
      </c>
      <c r="R402" s="2" t="inlineStr"/>
    </row>
    <row r="403" ht="15" customHeight="1">
      <c r="A403" t="inlineStr">
        <is>
          <t>A 62484-2019</t>
        </is>
      </c>
      <c r="B403" s="1" t="n">
        <v>43788</v>
      </c>
      <c r="C403" s="1" t="n">
        <v>45826</v>
      </c>
      <c r="D403" t="inlineStr">
        <is>
          <t>JÄMTLANDS LÄN</t>
        </is>
      </c>
      <c r="E403" t="inlineStr">
        <is>
          <t>RAGUNDA</t>
        </is>
      </c>
      <c r="G403" t="n">
        <v>11.9</v>
      </c>
      <c r="H403" t="n">
        <v>0</v>
      </c>
      <c r="I403" t="n">
        <v>0</v>
      </c>
      <c r="J403" t="n">
        <v>0</v>
      </c>
      <c r="K403" t="n">
        <v>0</v>
      </c>
      <c r="L403" t="n">
        <v>0</v>
      </c>
      <c r="M403" t="n">
        <v>0</v>
      </c>
      <c r="N403" t="n">
        <v>0</v>
      </c>
      <c r="O403" t="n">
        <v>0</v>
      </c>
      <c r="P403" t="n">
        <v>0</v>
      </c>
      <c r="Q403" t="n">
        <v>0</v>
      </c>
      <c r="R403" s="2" t="inlineStr"/>
      <c r="U403">
        <f>HYPERLINK("https://klasma.github.io/Logging_2303/knärot/A 62484-2019 karta knärot.png", "A 62484-2019")</f>
        <v/>
      </c>
      <c r="V403">
        <f>HYPERLINK("https://klasma.github.io/Logging_2303/klagomål/A 62484-2019 FSC-klagomål.docx", "A 62484-2019")</f>
        <v/>
      </c>
      <c r="W403">
        <f>HYPERLINK("https://klasma.github.io/Logging_2303/klagomålsmail/A 62484-2019 FSC-klagomål mail.docx", "A 62484-2019")</f>
        <v/>
      </c>
      <c r="X403">
        <f>HYPERLINK("https://klasma.github.io/Logging_2303/tillsyn/A 62484-2019 tillsynsbegäran.docx", "A 62484-2019")</f>
        <v/>
      </c>
      <c r="Y403">
        <f>HYPERLINK("https://klasma.github.io/Logging_2303/tillsynsmail/A 62484-2019 tillsynsbegäran mail.docx", "A 62484-2019")</f>
        <v/>
      </c>
    </row>
    <row r="404" ht="15" customHeight="1">
      <c r="A404" t="inlineStr">
        <is>
          <t>A 64097-2019</t>
        </is>
      </c>
      <c r="B404" s="1" t="n">
        <v>43791</v>
      </c>
      <c r="C404" s="1" t="n">
        <v>45826</v>
      </c>
      <c r="D404" t="inlineStr">
        <is>
          <t>JÄMTLANDS LÄN</t>
        </is>
      </c>
      <c r="E404" t="inlineStr">
        <is>
          <t>RAGUNDA</t>
        </is>
      </c>
      <c r="G404" t="n">
        <v>1.3</v>
      </c>
      <c r="H404" t="n">
        <v>0</v>
      </c>
      <c r="I404" t="n">
        <v>0</v>
      </c>
      <c r="J404" t="n">
        <v>0</v>
      </c>
      <c r="K404" t="n">
        <v>0</v>
      </c>
      <c r="L404" t="n">
        <v>0</v>
      </c>
      <c r="M404" t="n">
        <v>0</v>
      </c>
      <c r="N404" t="n">
        <v>0</v>
      </c>
      <c r="O404" t="n">
        <v>0</v>
      </c>
      <c r="P404" t="n">
        <v>0</v>
      </c>
      <c r="Q404" t="n">
        <v>0</v>
      </c>
      <c r="R404" s="2" t="inlineStr"/>
    </row>
    <row r="405" ht="15" customHeight="1">
      <c r="A405" t="inlineStr">
        <is>
          <t>A 63841-2019</t>
        </is>
      </c>
      <c r="B405" s="1" t="n">
        <v>43795</v>
      </c>
      <c r="C405" s="1" t="n">
        <v>45826</v>
      </c>
      <c r="D405" t="inlineStr">
        <is>
          <t>JÄMTLANDS LÄN</t>
        </is>
      </c>
      <c r="E405" t="inlineStr">
        <is>
          <t>RAGUNDA</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64316-2019</t>
        </is>
      </c>
      <c r="B406" s="1" t="n">
        <v>43797</v>
      </c>
      <c r="C406" s="1" t="n">
        <v>45826</v>
      </c>
      <c r="D406" t="inlineStr">
        <is>
          <t>JÄMTLANDS LÄN</t>
        </is>
      </c>
      <c r="E406" t="inlineStr">
        <is>
          <t>RAGUNDA</t>
        </is>
      </c>
      <c r="G406" t="n">
        <v>1.7</v>
      </c>
      <c r="H406" t="n">
        <v>0</v>
      </c>
      <c r="I406" t="n">
        <v>0</v>
      </c>
      <c r="J406" t="n">
        <v>0</v>
      </c>
      <c r="K406" t="n">
        <v>0</v>
      </c>
      <c r="L406" t="n">
        <v>0</v>
      </c>
      <c r="M406" t="n">
        <v>0</v>
      </c>
      <c r="N406" t="n">
        <v>0</v>
      </c>
      <c r="O406" t="n">
        <v>0</v>
      </c>
      <c r="P406" t="n">
        <v>0</v>
      </c>
      <c r="Q406" t="n">
        <v>0</v>
      </c>
      <c r="R406" s="2" t="inlineStr"/>
    </row>
    <row r="407" ht="15" customHeight="1">
      <c r="A407" t="inlineStr">
        <is>
          <t>A 64432-2019</t>
        </is>
      </c>
      <c r="B407" s="1" t="n">
        <v>43797</v>
      </c>
      <c r="C407" s="1" t="n">
        <v>45826</v>
      </c>
      <c r="D407" t="inlineStr">
        <is>
          <t>JÄMTLANDS LÄN</t>
        </is>
      </c>
      <c r="E407" t="inlineStr">
        <is>
          <t>RAGUNDA</t>
        </is>
      </c>
      <c r="G407" t="n">
        <v>3.1</v>
      </c>
      <c r="H407" t="n">
        <v>0</v>
      </c>
      <c r="I407" t="n">
        <v>0</v>
      </c>
      <c r="J407" t="n">
        <v>0</v>
      </c>
      <c r="K407" t="n">
        <v>0</v>
      </c>
      <c r="L407" t="n">
        <v>0</v>
      </c>
      <c r="M407" t="n">
        <v>0</v>
      </c>
      <c r="N407" t="n">
        <v>0</v>
      </c>
      <c r="O407" t="n">
        <v>0</v>
      </c>
      <c r="P407" t="n">
        <v>0</v>
      </c>
      <c r="Q407" t="n">
        <v>0</v>
      </c>
      <c r="R407" s="2" t="inlineStr"/>
    </row>
    <row r="408" ht="15" customHeight="1">
      <c r="A408" t="inlineStr">
        <is>
          <t>A 66475-2019</t>
        </is>
      </c>
      <c r="B408" s="1" t="n">
        <v>43803</v>
      </c>
      <c r="C408" s="1" t="n">
        <v>45826</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67122-2019</t>
        </is>
      </c>
      <c r="B409" s="1" t="n">
        <v>43805</v>
      </c>
      <c r="C409" s="1" t="n">
        <v>45826</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67285-2019</t>
        </is>
      </c>
      <c r="B410" s="1" t="n">
        <v>43812</v>
      </c>
      <c r="C410" s="1" t="n">
        <v>45826</v>
      </c>
      <c r="D410" t="inlineStr">
        <is>
          <t>JÄMTLANDS LÄN</t>
        </is>
      </c>
      <c r="E410" t="inlineStr">
        <is>
          <t>RAGUNDA</t>
        </is>
      </c>
      <c r="G410" t="n">
        <v>2.5</v>
      </c>
      <c r="H410" t="n">
        <v>0</v>
      </c>
      <c r="I410" t="n">
        <v>0</v>
      </c>
      <c r="J410" t="n">
        <v>0</v>
      </c>
      <c r="K410" t="n">
        <v>0</v>
      </c>
      <c r="L410" t="n">
        <v>0</v>
      </c>
      <c r="M410" t="n">
        <v>0</v>
      </c>
      <c r="N410" t="n">
        <v>0</v>
      </c>
      <c r="O410" t="n">
        <v>0</v>
      </c>
      <c r="P410" t="n">
        <v>0</v>
      </c>
      <c r="Q410" t="n">
        <v>0</v>
      </c>
      <c r="R410" s="2" t="inlineStr"/>
    </row>
    <row r="411" ht="15" customHeight="1">
      <c r="A411" t="inlineStr">
        <is>
          <t>A 68600-2019</t>
        </is>
      </c>
      <c r="B411" s="1" t="n">
        <v>43818</v>
      </c>
      <c r="C411" s="1" t="n">
        <v>45826</v>
      </c>
      <c r="D411" t="inlineStr">
        <is>
          <t>JÄMTLANDS LÄN</t>
        </is>
      </c>
      <c r="E411" t="inlineStr">
        <is>
          <t>RAGUNDA</t>
        </is>
      </c>
      <c r="G411" t="n">
        <v>0.2</v>
      </c>
      <c r="H411" t="n">
        <v>0</v>
      </c>
      <c r="I411" t="n">
        <v>0</v>
      </c>
      <c r="J411" t="n">
        <v>0</v>
      </c>
      <c r="K411" t="n">
        <v>0</v>
      </c>
      <c r="L411" t="n">
        <v>0</v>
      </c>
      <c r="M411" t="n">
        <v>0</v>
      </c>
      <c r="N411" t="n">
        <v>0</v>
      </c>
      <c r="O411" t="n">
        <v>0</v>
      </c>
      <c r="P411" t="n">
        <v>0</v>
      </c>
      <c r="Q411" t="n">
        <v>0</v>
      </c>
      <c r="R411" s="2" t="inlineStr"/>
    </row>
    <row r="412" ht="15" customHeight="1">
      <c r="A412" t="inlineStr">
        <is>
          <t>A 68601-2019</t>
        </is>
      </c>
      <c r="B412" s="1" t="n">
        <v>43818</v>
      </c>
      <c r="C412" s="1" t="n">
        <v>45826</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68840-2019</t>
        </is>
      </c>
      <c r="B413" s="1" t="n">
        <v>43819</v>
      </c>
      <c r="C413" s="1" t="n">
        <v>45826</v>
      </c>
      <c r="D413" t="inlineStr">
        <is>
          <t>JÄMTLANDS LÄN</t>
        </is>
      </c>
      <c r="E413" t="inlineStr">
        <is>
          <t>RAGUNDA</t>
        </is>
      </c>
      <c r="G413" t="n">
        <v>2.2</v>
      </c>
      <c r="H413" t="n">
        <v>0</v>
      </c>
      <c r="I413" t="n">
        <v>0</v>
      </c>
      <c r="J413" t="n">
        <v>0</v>
      </c>
      <c r="K413" t="n">
        <v>0</v>
      </c>
      <c r="L413" t="n">
        <v>0</v>
      </c>
      <c r="M413" t="n">
        <v>0</v>
      </c>
      <c r="N413" t="n">
        <v>0</v>
      </c>
      <c r="O413" t="n">
        <v>0</v>
      </c>
      <c r="P413" t="n">
        <v>0</v>
      </c>
      <c r="Q413" t="n">
        <v>0</v>
      </c>
      <c r="R413" s="2" t="inlineStr"/>
    </row>
    <row r="414" ht="15" customHeight="1">
      <c r="A414" t="inlineStr">
        <is>
          <t>A 1784-2020</t>
        </is>
      </c>
      <c r="B414" s="1" t="n">
        <v>43833</v>
      </c>
      <c r="C414" s="1" t="n">
        <v>45826</v>
      </c>
      <c r="D414" t="inlineStr">
        <is>
          <t>JÄMTLANDS LÄN</t>
        </is>
      </c>
      <c r="E414" t="inlineStr">
        <is>
          <t>RAGUNDA</t>
        </is>
      </c>
      <c r="G414" t="n">
        <v>15.5</v>
      </c>
      <c r="H414" t="n">
        <v>0</v>
      </c>
      <c r="I414" t="n">
        <v>0</v>
      </c>
      <c r="J414" t="n">
        <v>0</v>
      </c>
      <c r="K414" t="n">
        <v>0</v>
      </c>
      <c r="L414" t="n">
        <v>0</v>
      </c>
      <c r="M414" t="n">
        <v>0</v>
      </c>
      <c r="N414" t="n">
        <v>0</v>
      </c>
      <c r="O414" t="n">
        <v>0</v>
      </c>
      <c r="P414" t="n">
        <v>0</v>
      </c>
      <c r="Q414" t="n">
        <v>0</v>
      </c>
      <c r="R414" s="2" t="inlineStr"/>
    </row>
    <row r="415" ht="15" customHeight="1">
      <c r="A415" t="inlineStr">
        <is>
          <t>A 2636-2020</t>
        </is>
      </c>
      <c r="B415" s="1" t="n">
        <v>43847</v>
      </c>
      <c r="C415" s="1" t="n">
        <v>45826</v>
      </c>
      <c r="D415" t="inlineStr">
        <is>
          <t>JÄMTLANDS LÄN</t>
        </is>
      </c>
      <c r="E415" t="inlineStr">
        <is>
          <t>RAGUNDA</t>
        </is>
      </c>
      <c r="G415" t="n">
        <v>2.9</v>
      </c>
      <c r="H415" t="n">
        <v>0</v>
      </c>
      <c r="I415" t="n">
        <v>0</v>
      </c>
      <c r="J415" t="n">
        <v>0</v>
      </c>
      <c r="K415" t="n">
        <v>0</v>
      </c>
      <c r="L415" t="n">
        <v>0</v>
      </c>
      <c r="M415" t="n">
        <v>0</v>
      </c>
      <c r="N415" t="n">
        <v>0</v>
      </c>
      <c r="O415" t="n">
        <v>0</v>
      </c>
      <c r="P415" t="n">
        <v>0</v>
      </c>
      <c r="Q415" t="n">
        <v>0</v>
      </c>
      <c r="R415" s="2" t="inlineStr"/>
    </row>
    <row r="416" ht="15" customHeight="1">
      <c r="A416" t="inlineStr">
        <is>
          <t>A 2791-2020</t>
        </is>
      </c>
      <c r="B416" s="1" t="n">
        <v>43850</v>
      </c>
      <c r="C416" s="1" t="n">
        <v>45826</v>
      </c>
      <c r="D416" t="inlineStr">
        <is>
          <t>JÄMTLANDS LÄN</t>
        </is>
      </c>
      <c r="E416" t="inlineStr">
        <is>
          <t>RAGUNDA</t>
        </is>
      </c>
      <c r="G416" t="n">
        <v>1.1</v>
      </c>
      <c r="H416" t="n">
        <v>0</v>
      </c>
      <c r="I416" t="n">
        <v>0</v>
      </c>
      <c r="J416" t="n">
        <v>0</v>
      </c>
      <c r="K416" t="n">
        <v>0</v>
      </c>
      <c r="L416" t="n">
        <v>0</v>
      </c>
      <c r="M416" t="n">
        <v>0</v>
      </c>
      <c r="N416" t="n">
        <v>0</v>
      </c>
      <c r="O416" t="n">
        <v>0</v>
      </c>
      <c r="P416" t="n">
        <v>0</v>
      </c>
      <c r="Q416" t="n">
        <v>0</v>
      </c>
      <c r="R416" s="2" t="inlineStr"/>
    </row>
    <row r="417" ht="15" customHeight="1">
      <c r="A417" t="inlineStr">
        <is>
          <t>A 6051-2020</t>
        </is>
      </c>
      <c r="B417" s="1" t="n">
        <v>43861</v>
      </c>
      <c r="C417" s="1" t="n">
        <v>45826</v>
      </c>
      <c r="D417" t="inlineStr">
        <is>
          <t>JÄMTLANDS LÄN</t>
        </is>
      </c>
      <c r="E417" t="inlineStr">
        <is>
          <t>RAGUNDA</t>
        </is>
      </c>
      <c r="G417" t="n">
        <v>3.4</v>
      </c>
      <c r="H417" t="n">
        <v>0</v>
      </c>
      <c r="I417" t="n">
        <v>0</v>
      </c>
      <c r="J417" t="n">
        <v>0</v>
      </c>
      <c r="K417" t="n">
        <v>0</v>
      </c>
      <c r="L417" t="n">
        <v>0</v>
      </c>
      <c r="M417" t="n">
        <v>0</v>
      </c>
      <c r="N417" t="n">
        <v>0</v>
      </c>
      <c r="O417" t="n">
        <v>0</v>
      </c>
      <c r="P417" t="n">
        <v>0</v>
      </c>
      <c r="Q417" t="n">
        <v>0</v>
      </c>
      <c r="R417" s="2" t="inlineStr"/>
    </row>
    <row r="418" ht="15" customHeight="1">
      <c r="A418" t="inlineStr">
        <is>
          <t>A 7071-2020</t>
        </is>
      </c>
      <c r="B418" s="1" t="n">
        <v>43868</v>
      </c>
      <c r="C418" s="1" t="n">
        <v>45826</v>
      </c>
      <c r="D418" t="inlineStr">
        <is>
          <t>JÄMTLANDS LÄN</t>
        </is>
      </c>
      <c r="E418" t="inlineStr">
        <is>
          <t>RAGUNDA</t>
        </is>
      </c>
      <c r="G418" t="n">
        <v>2.1</v>
      </c>
      <c r="H418" t="n">
        <v>0</v>
      </c>
      <c r="I418" t="n">
        <v>0</v>
      </c>
      <c r="J418" t="n">
        <v>0</v>
      </c>
      <c r="K418" t="n">
        <v>0</v>
      </c>
      <c r="L418" t="n">
        <v>0</v>
      </c>
      <c r="M418" t="n">
        <v>0</v>
      </c>
      <c r="N418" t="n">
        <v>0</v>
      </c>
      <c r="O418" t="n">
        <v>0</v>
      </c>
      <c r="P418" t="n">
        <v>0</v>
      </c>
      <c r="Q418" t="n">
        <v>0</v>
      </c>
      <c r="R418" s="2" t="inlineStr"/>
    </row>
    <row r="419" ht="15" customHeight="1">
      <c r="A419" t="inlineStr">
        <is>
          <t>A 7720-2020</t>
        </is>
      </c>
      <c r="B419" s="1" t="n">
        <v>43872</v>
      </c>
      <c r="C419" s="1" t="n">
        <v>45826</v>
      </c>
      <c r="D419" t="inlineStr">
        <is>
          <t>JÄMTLANDS LÄN</t>
        </is>
      </c>
      <c r="E419" t="inlineStr">
        <is>
          <t>RAGUNDA</t>
        </is>
      </c>
      <c r="G419" t="n">
        <v>1.5</v>
      </c>
      <c r="H419" t="n">
        <v>0</v>
      </c>
      <c r="I419" t="n">
        <v>0</v>
      </c>
      <c r="J419" t="n">
        <v>0</v>
      </c>
      <c r="K419" t="n">
        <v>0</v>
      </c>
      <c r="L419" t="n">
        <v>0</v>
      </c>
      <c r="M419" t="n">
        <v>0</v>
      </c>
      <c r="N419" t="n">
        <v>0</v>
      </c>
      <c r="O419" t="n">
        <v>0</v>
      </c>
      <c r="P419" t="n">
        <v>0</v>
      </c>
      <c r="Q419" t="n">
        <v>0</v>
      </c>
      <c r="R419" s="2" t="inlineStr"/>
    </row>
    <row r="420" ht="15" customHeight="1">
      <c r="A420" t="inlineStr">
        <is>
          <t>A 8040-2020</t>
        </is>
      </c>
      <c r="B420" s="1" t="n">
        <v>43873</v>
      </c>
      <c r="C420" s="1" t="n">
        <v>45826</v>
      </c>
      <c r="D420" t="inlineStr">
        <is>
          <t>JÄMTLANDS LÄN</t>
        </is>
      </c>
      <c r="E420" t="inlineStr">
        <is>
          <t>RAGUNDA</t>
        </is>
      </c>
      <c r="G420" t="n">
        <v>14</v>
      </c>
      <c r="H420" t="n">
        <v>0</v>
      </c>
      <c r="I420" t="n">
        <v>0</v>
      </c>
      <c r="J420" t="n">
        <v>0</v>
      </c>
      <c r="K420" t="n">
        <v>0</v>
      </c>
      <c r="L420" t="n">
        <v>0</v>
      </c>
      <c r="M420" t="n">
        <v>0</v>
      </c>
      <c r="N420" t="n">
        <v>0</v>
      </c>
      <c r="O420" t="n">
        <v>0</v>
      </c>
      <c r="P420" t="n">
        <v>0</v>
      </c>
      <c r="Q420" t="n">
        <v>0</v>
      </c>
      <c r="R420" s="2" t="inlineStr"/>
    </row>
    <row r="421" ht="15" customHeight="1">
      <c r="A421" t="inlineStr">
        <is>
          <t>A 9527-2020</t>
        </is>
      </c>
      <c r="B421" s="1" t="n">
        <v>43880</v>
      </c>
      <c r="C421" s="1" t="n">
        <v>45826</v>
      </c>
      <c r="D421" t="inlineStr">
        <is>
          <t>JÄMTLANDS LÄN</t>
        </is>
      </c>
      <c r="E421" t="inlineStr">
        <is>
          <t>RAGUNDA</t>
        </is>
      </c>
      <c r="G421" t="n">
        <v>4.7</v>
      </c>
      <c r="H421" t="n">
        <v>0</v>
      </c>
      <c r="I421" t="n">
        <v>0</v>
      </c>
      <c r="J421" t="n">
        <v>0</v>
      </c>
      <c r="K421" t="n">
        <v>0</v>
      </c>
      <c r="L421" t="n">
        <v>0</v>
      </c>
      <c r="M421" t="n">
        <v>0</v>
      </c>
      <c r="N421" t="n">
        <v>0</v>
      </c>
      <c r="O421" t="n">
        <v>0</v>
      </c>
      <c r="P421" t="n">
        <v>0</v>
      </c>
      <c r="Q421" t="n">
        <v>0</v>
      </c>
      <c r="R421" s="2" t="inlineStr"/>
    </row>
    <row r="422" ht="15" customHeight="1">
      <c r="A422" t="inlineStr">
        <is>
          <t>A 9823-2020</t>
        </is>
      </c>
      <c r="B422" s="1" t="n">
        <v>43881</v>
      </c>
      <c r="C422" s="1" t="n">
        <v>45826</v>
      </c>
      <c r="D422" t="inlineStr">
        <is>
          <t>JÄMTLANDS LÄN</t>
        </is>
      </c>
      <c r="E422" t="inlineStr">
        <is>
          <t>RAGUNDA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9962-2020</t>
        </is>
      </c>
      <c r="B423" s="1" t="n">
        <v>43882</v>
      </c>
      <c r="C423" s="1" t="n">
        <v>45826</v>
      </c>
      <c r="D423" t="inlineStr">
        <is>
          <t>JÄMTLANDS LÄN</t>
        </is>
      </c>
      <c r="E423" t="inlineStr">
        <is>
          <t>RAGUNDA</t>
        </is>
      </c>
      <c r="G423" t="n">
        <v>1.2</v>
      </c>
      <c r="H423" t="n">
        <v>0</v>
      </c>
      <c r="I423" t="n">
        <v>0</v>
      </c>
      <c r="J423" t="n">
        <v>0</v>
      </c>
      <c r="K423" t="n">
        <v>0</v>
      </c>
      <c r="L423" t="n">
        <v>0</v>
      </c>
      <c r="M423" t="n">
        <v>0</v>
      </c>
      <c r="N423" t="n">
        <v>0</v>
      </c>
      <c r="O423" t="n">
        <v>0</v>
      </c>
      <c r="P423" t="n">
        <v>0</v>
      </c>
      <c r="Q423" t="n">
        <v>0</v>
      </c>
      <c r="R423" s="2" t="inlineStr"/>
    </row>
    <row r="424" ht="15" customHeight="1">
      <c r="A424" t="inlineStr">
        <is>
          <t>A 10642-2020</t>
        </is>
      </c>
      <c r="B424" s="1" t="n">
        <v>43887</v>
      </c>
      <c r="C424" s="1" t="n">
        <v>45826</v>
      </c>
      <c r="D424" t="inlineStr">
        <is>
          <t>JÄMTLANDS LÄN</t>
        </is>
      </c>
      <c r="E424" t="inlineStr">
        <is>
          <t>RAGUNDA</t>
        </is>
      </c>
      <c r="G424" t="n">
        <v>4.6</v>
      </c>
      <c r="H424" t="n">
        <v>0</v>
      </c>
      <c r="I424" t="n">
        <v>0</v>
      </c>
      <c r="J424" t="n">
        <v>0</v>
      </c>
      <c r="K424" t="n">
        <v>0</v>
      </c>
      <c r="L424" t="n">
        <v>0</v>
      </c>
      <c r="M424" t="n">
        <v>0</v>
      </c>
      <c r="N424" t="n">
        <v>0</v>
      </c>
      <c r="O424" t="n">
        <v>0</v>
      </c>
      <c r="P424" t="n">
        <v>0</v>
      </c>
      <c r="Q424" t="n">
        <v>0</v>
      </c>
      <c r="R424" s="2" t="inlineStr"/>
    </row>
    <row r="425" ht="15" customHeight="1">
      <c r="A425" t="inlineStr">
        <is>
          <t>A 13057-2020</t>
        </is>
      </c>
      <c r="B425" s="1" t="n">
        <v>43900</v>
      </c>
      <c r="C425" s="1" t="n">
        <v>45826</v>
      </c>
      <c r="D425" t="inlineStr">
        <is>
          <t>JÄMTLANDS LÄN</t>
        </is>
      </c>
      <c r="E425" t="inlineStr">
        <is>
          <t>RAGUNDA</t>
        </is>
      </c>
      <c r="G425" t="n">
        <v>10.8</v>
      </c>
      <c r="H425" t="n">
        <v>0</v>
      </c>
      <c r="I425" t="n">
        <v>0</v>
      </c>
      <c r="J425" t="n">
        <v>0</v>
      </c>
      <c r="K425" t="n">
        <v>0</v>
      </c>
      <c r="L425" t="n">
        <v>0</v>
      </c>
      <c r="M425" t="n">
        <v>0</v>
      </c>
      <c r="N425" t="n">
        <v>0</v>
      </c>
      <c r="O425" t="n">
        <v>0</v>
      </c>
      <c r="P425" t="n">
        <v>0</v>
      </c>
      <c r="Q425" t="n">
        <v>0</v>
      </c>
      <c r="R425" s="2" t="inlineStr"/>
    </row>
    <row r="426" ht="15" customHeight="1">
      <c r="A426" t="inlineStr">
        <is>
          <t>A 13202-2020</t>
        </is>
      </c>
      <c r="B426" s="1" t="n">
        <v>43901</v>
      </c>
      <c r="C426" s="1" t="n">
        <v>45826</v>
      </c>
      <c r="D426" t="inlineStr">
        <is>
          <t>JÄMTLANDS LÄN</t>
        </is>
      </c>
      <c r="E426" t="inlineStr">
        <is>
          <t>RAGUNDA</t>
        </is>
      </c>
      <c r="G426" t="n">
        <v>6.9</v>
      </c>
      <c r="H426" t="n">
        <v>0</v>
      </c>
      <c r="I426" t="n">
        <v>0</v>
      </c>
      <c r="J426" t="n">
        <v>0</v>
      </c>
      <c r="K426" t="n">
        <v>0</v>
      </c>
      <c r="L426" t="n">
        <v>0</v>
      </c>
      <c r="M426" t="n">
        <v>0</v>
      </c>
      <c r="N426" t="n">
        <v>0</v>
      </c>
      <c r="O426" t="n">
        <v>0</v>
      </c>
      <c r="P426" t="n">
        <v>0</v>
      </c>
      <c r="Q426" t="n">
        <v>0</v>
      </c>
      <c r="R426" s="2" t="inlineStr"/>
    </row>
    <row r="427" ht="15" customHeight="1">
      <c r="A427" t="inlineStr">
        <is>
          <t>A 13563-2020</t>
        </is>
      </c>
      <c r="B427" s="1" t="n">
        <v>43902</v>
      </c>
      <c r="C427" s="1" t="n">
        <v>45826</v>
      </c>
      <c r="D427" t="inlineStr">
        <is>
          <t>JÄMTLANDS LÄN</t>
        </is>
      </c>
      <c r="E427" t="inlineStr">
        <is>
          <t>RAGUNDA</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14293-2020</t>
        </is>
      </c>
      <c r="B428" s="1" t="n">
        <v>43907</v>
      </c>
      <c r="C428" s="1" t="n">
        <v>45826</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15117-2020</t>
        </is>
      </c>
      <c r="B429" s="1" t="n">
        <v>43910</v>
      </c>
      <c r="C429" s="1" t="n">
        <v>45826</v>
      </c>
      <c r="D429" t="inlineStr">
        <is>
          <t>JÄMTLANDS LÄN</t>
        </is>
      </c>
      <c r="E429" t="inlineStr">
        <is>
          <t>RAGUNDA</t>
        </is>
      </c>
      <c r="G429" t="n">
        <v>0.6</v>
      </c>
      <c r="H429" t="n">
        <v>0</v>
      </c>
      <c r="I429" t="n">
        <v>0</v>
      </c>
      <c r="J429" t="n">
        <v>0</v>
      </c>
      <c r="K429" t="n">
        <v>0</v>
      </c>
      <c r="L429" t="n">
        <v>0</v>
      </c>
      <c r="M429" t="n">
        <v>0</v>
      </c>
      <c r="N429" t="n">
        <v>0</v>
      </c>
      <c r="O429" t="n">
        <v>0</v>
      </c>
      <c r="P429" t="n">
        <v>0</v>
      </c>
      <c r="Q429" t="n">
        <v>0</v>
      </c>
      <c r="R429" s="2" t="inlineStr"/>
    </row>
    <row r="430" ht="15" customHeight="1">
      <c r="A430" t="inlineStr">
        <is>
          <t>A 15118-2020</t>
        </is>
      </c>
      <c r="B430" s="1" t="n">
        <v>43910</v>
      </c>
      <c r="C430" s="1" t="n">
        <v>45826</v>
      </c>
      <c r="D430" t="inlineStr">
        <is>
          <t>JÄMTLANDS LÄN</t>
        </is>
      </c>
      <c r="E430" t="inlineStr">
        <is>
          <t>RAGUNDA</t>
        </is>
      </c>
      <c r="G430" t="n">
        <v>2.7</v>
      </c>
      <c r="H430" t="n">
        <v>0</v>
      </c>
      <c r="I430" t="n">
        <v>0</v>
      </c>
      <c r="J430" t="n">
        <v>0</v>
      </c>
      <c r="K430" t="n">
        <v>0</v>
      </c>
      <c r="L430" t="n">
        <v>0</v>
      </c>
      <c r="M430" t="n">
        <v>0</v>
      </c>
      <c r="N430" t="n">
        <v>0</v>
      </c>
      <c r="O430" t="n">
        <v>0</v>
      </c>
      <c r="P430" t="n">
        <v>0</v>
      </c>
      <c r="Q430" t="n">
        <v>0</v>
      </c>
      <c r="R430" s="2" t="inlineStr"/>
    </row>
    <row r="431" ht="15" customHeight="1">
      <c r="A431" t="inlineStr">
        <is>
          <t>A 15345-2020</t>
        </is>
      </c>
      <c r="B431" s="1" t="n">
        <v>43913</v>
      </c>
      <c r="C431" s="1" t="n">
        <v>45826</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17845-2020</t>
        </is>
      </c>
      <c r="B432" s="1" t="n">
        <v>43923</v>
      </c>
      <c r="C432" s="1" t="n">
        <v>45826</v>
      </c>
      <c r="D432" t="inlineStr">
        <is>
          <t>JÄMTLANDS LÄN</t>
        </is>
      </c>
      <c r="E432" t="inlineStr">
        <is>
          <t>RAGUNDA</t>
        </is>
      </c>
      <c r="G432" t="n">
        <v>12.1</v>
      </c>
      <c r="H432" t="n">
        <v>0</v>
      </c>
      <c r="I432" t="n">
        <v>0</v>
      </c>
      <c r="J432" t="n">
        <v>0</v>
      </c>
      <c r="K432" t="n">
        <v>0</v>
      </c>
      <c r="L432" t="n">
        <v>0</v>
      </c>
      <c r="M432" t="n">
        <v>0</v>
      </c>
      <c r="N432" t="n">
        <v>0</v>
      </c>
      <c r="O432" t="n">
        <v>0</v>
      </c>
      <c r="P432" t="n">
        <v>0</v>
      </c>
      <c r="Q432" t="n">
        <v>0</v>
      </c>
      <c r="R432" s="2" t="inlineStr"/>
    </row>
    <row r="433" ht="15" customHeight="1">
      <c r="A433" t="inlineStr">
        <is>
          <t>A 19918-2020</t>
        </is>
      </c>
      <c r="B433" s="1" t="n">
        <v>43943</v>
      </c>
      <c r="C433" s="1" t="n">
        <v>45826</v>
      </c>
      <c r="D433" t="inlineStr">
        <is>
          <t>JÄMTLANDS LÄN</t>
        </is>
      </c>
      <c r="E433" t="inlineStr">
        <is>
          <t>RAGUNDA</t>
        </is>
      </c>
      <c r="G433" t="n">
        <v>6.2</v>
      </c>
      <c r="H433" t="n">
        <v>0</v>
      </c>
      <c r="I433" t="n">
        <v>0</v>
      </c>
      <c r="J433" t="n">
        <v>0</v>
      </c>
      <c r="K433" t="n">
        <v>0</v>
      </c>
      <c r="L433" t="n">
        <v>0</v>
      </c>
      <c r="M433" t="n">
        <v>0</v>
      </c>
      <c r="N433" t="n">
        <v>0</v>
      </c>
      <c r="O433" t="n">
        <v>0</v>
      </c>
      <c r="P433" t="n">
        <v>0</v>
      </c>
      <c r="Q433" t="n">
        <v>0</v>
      </c>
      <c r="R433" s="2" t="inlineStr"/>
    </row>
    <row r="434" ht="15" customHeight="1">
      <c r="A434" t="inlineStr">
        <is>
          <t>A 20616-2020</t>
        </is>
      </c>
      <c r="B434" s="1" t="n">
        <v>43948</v>
      </c>
      <c r="C434" s="1" t="n">
        <v>45826</v>
      </c>
      <c r="D434" t="inlineStr">
        <is>
          <t>JÄMTLANDS LÄN</t>
        </is>
      </c>
      <c r="E434" t="inlineStr">
        <is>
          <t>RAGUNDA</t>
        </is>
      </c>
      <c r="G434" t="n">
        <v>4.1</v>
      </c>
      <c r="H434" t="n">
        <v>0</v>
      </c>
      <c r="I434" t="n">
        <v>0</v>
      </c>
      <c r="J434" t="n">
        <v>0</v>
      </c>
      <c r="K434" t="n">
        <v>0</v>
      </c>
      <c r="L434" t="n">
        <v>0</v>
      </c>
      <c r="M434" t="n">
        <v>0</v>
      </c>
      <c r="N434" t="n">
        <v>0</v>
      </c>
      <c r="O434" t="n">
        <v>0</v>
      </c>
      <c r="P434" t="n">
        <v>0</v>
      </c>
      <c r="Q434" t="n">
        <v>0</v>
      </c>
      <c r="R434" s="2" t="inlineStr"/>
    </row>
    <row r="435" ht="15" customHeight="1">
      <c r="A435" t="inlineStr">
        <is>
          <t>A 20815-2020</t>
        </is>
      </c>
      <c r="B435" s="1" t="n">
        <v>43949</v>
      </c>
      <c r="C435" s="1" t="n">
        <v>45826</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21172-2020</t>
        </is>
      </c>
      <c r="B436" s="1" t="n">
        <v>43951</v>
      </c>
      <c r="C436" s="1" t="n">
        <v>45826</v>
      </c>
      <c r="D436" t="inlineStr">
        <is>
          <t>JÄMTLANDS LÄN</t>
        </is>
      </c>
      <c r="E436" t="inlineStr">
        <is>
          <t>RAGUNDA</t>
        </is>
      </c>
      <c r="G436" t="n">
        <v>3.6</v>
      </c>
      <c r="H436" t="n">
        <v>0</v>
      </c>
      <c r="I436" t="n">
        <v>0</v>
      </c>
      <c r="J436" t="n">
        <v>0</v>
      </c>
      <c r="K436" t="n">
        <v>0</v>
      </c>
      <c r="L436" t="n">
        <v>0</v>
      </c>
      <c r="M436" t="n">
        <v>0</v>
      </c>
      <c r="N436" t="n">
        <v>0</v>
      </c>
      <c r="O436" t="n">
        <v>0</v>
      </c>
      <c r="P436" t="n">
        <v>0</v>
      </c>
      <c r="Q436" t="n">
        <v>0</v>
      </c>
      <c r="R436" s="2" t="inlineStr"/>
    </row>
    <row r="437" ht="15" customHeight="1">
      <c r="A437" t="inlineStr">
        <is>
          <t>A 21419-2020</t>
        </is>
      </c>
      <c r="B437" s="1" t="n">
        <v>43955</v>
      </c>
      <c r="C437" s="1" t="n">
        <v>45826</v>
      </c>
      <c r="D437" t="inlineStr">
        <is>
          <t>JÄMTLANDS LÄN</t>
        </is>
      </c>
      <c r="E437" t="inlineStr">
        <is>
          <t>RAGUNDA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21418-2020</t>
        </is>
      </c>
      <c r="B438" s="1" t="n">
        <v>43955</v>
      </c>
      <c r="C438" s="1" t="n">
        <v>45826</v>
      </c>
      <c r="D438" t="inlineStr">
        <is>
          <t>JÄMTLANDS LÄN</t>
        </is>
      </c>
      <c r="E438" t="inlineStr">
        <is>
          <t>RAGUNDA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21420-2020</t>
        </is>
      </c>
      <c r="B439" s="1" t="n">
        <v>43955</v>
      </c>
      <c r="C439" s="1" t="n">
        <v>45826</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21416-2020</t>
        </is>
      </c>
      <c r="B440" s="1" t="n">
        <v>43955</v>
      </c>
      <c r="C440" s="1" t="n">
        <v>45826</v>
      </c>
      <c r="D440" t="inlineStr">
        <is>
          <t>JÄMTLANDS LÄN</t>
        </is>
      </c>
      <c r="E440" t="inlineStr">
        <is>
          <t>RAGUNDA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21593-2020</t>
        </is>
      </c>
      <c r="B441" s="1" t="n">
        <v>43956</v>
      </c>
      <c r="C441" s="1" t="n">
        <v>45826</v>
      </c>
      <c r="D441" t="inlineStr">
        <is>
          <t>JÄMTLANDS LÄN</t>
        </is>
      </c>
      <c r="E441" t="inlineStr">
        <is>
          <t>RAGUNDA</t>
        </is>
      </c>
      <c r="F441" t="inlineStr">
        <is>
          <t>SCA</t>
        </is>
      </c>
      <c r="G441" t="n">
        <v>5.9</v>
      </c>
      <c r="H441" t="n">
        <v>0</v>
      </c>
      <c r="I441" t="n">
        <v>0</v>
      </c>
      <c r="J441" t="n">
        <v>0</v>
      </c>
      <c r="K441" t="n">
        <v>0</v>
      </c>
      <c r="L441" t="n">
        <v>0</v>
      </c>
      <c r="M441" t="n">
        <v>0</v>
      </c>
      <c r="N441" t="n">
        <v>0</v>
      </c>
      <c r="O441" t="n">
        <v>0</v>
      </c>
      <c r="P441" t="n">
        <v>0</v>
      </c>
      <c r="Q441" t="n">
        <v>0</v>
      </c>
      <c r="R441" s="2" t="inlineStr"/>
    </row>
    <row r="442" ht="15" customHeight="1">
      <c r="A442" t="inlineStr">
        <is>
          <t>A 21681-2020</t>
        </is>
      </c>
      <c r="B442" s="1" t="n">
        <v>43957</v>
      </c>
      <c r="C442" s="1" t="n">
        <v>45826</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22108-2020</t>
        </is>
      </c>
      <c r="B443" s="1" t="n">
        <v>43960</v>
      </c>
      <c r="C443" s="1" t="n">
        <v>45826</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22115-2020</t>
        </is>
      </c>
      <c r="B444" s="1" t="n">
        <v>43960</v>
      </c>
      <c r="C444" s="1" t="n">
        <v>45826</v>
      </c>
      <c r="D444" t="inlineStr">
        <is>
          <t>JÄMTLANDS LÄN</t>
        </is>
      </c>
      <c r="E444" t="inlineStr">
        <is>
          <t>RAGUNDA</t>
        </is>
      </c>
      <c r="F444" t="inlineStr">
        <is>
          <t>SCA</t>
        </is>
      </c>
      <c r="G444" t="n">
        <v>8.6</v>
      </c>
      <c r="H444" t="n">
        <v>0</v>
      </c>
      <c r="I444" t="n">
        <v>0</v>
      </c>
      <c r="J444" t="n">
        <v>0</v>
      </c>
      <c r="K444" t="n">
        <v>0</v>
      </c>
      <c r="L444" t="n">
        <v>0</v>
      </c>
      <c r="M444" t="n">
        <v>0</v>
      </c>
      <c r="N444" t="n">
        <v>0</v>
      </c>
      <c r="O444" t="n">
        <v>0</v>
      </c>
      <c r="P444" t="n">
        <v>0</v>
      </c>
      <c r="Q444" t="n">
        <v>0</v>
      </c>
      <c r="R444" s="2" t="inlineStr"/>
    </row>
    <row r="445" ht="15" customHeight="1">
      <c r="A445" t="inlineStr">
        <is>
          <t>A 22948-2020</t>
        </is>
      </c>
      <c r="B445" s="1" t="n">
        <v>43965</v>
      </c>
      <c r="C445" s="1" t="n">
        <v>45826</v>
      </c>
      <c r="D445" t="inlineStr">
        <is>
          <t>JÄMTLANDS LÄN</t>
        </is>
      </c>
      <c r="E445" t="inlineStr">
        <is>
          <t>RAGUNDA</t>
        </is>
      </c>
      <c r="G445" t="n">
        <v>1.7</v>
      </c>
      <c r="H445" t="n">
        <v>0</v>
      </c>
      <c r="I445" t="n">
        <v>0</v>
      </c>
      <c r="J445" t="n">
        <v>0</v>
      </c>
      <c r="K445" t="n">
        <v>0</v>
      </c>
      <c r="L445" t="n">
        <v>0</v>
      </c>
      <c r="M445" t="n">
        <v>0</v>
      </c>
      <c r="N445" t="n">
        <v>0</v>
      </c>
      <c r="O445" t="n">
        <v>0</v>
      </c>
      <c r="P445" t="n">
        <v>0</v>
      </c>
      <c r="Q445" t="n">
        <v>0</v>
      </c>
      <c r="R445" s="2" t="inlineStr"/>
    </row>
    <row r="446" ht="15" customHeight="1">
      <c r="A446" t="inlineStr">
        <is>
          <t>A 23633-2020</t>
        </is>
      </c>
      <c r="B446" s="1" t="n">
        <v>43969</v>
      </c>
      <c r="C446" s="1" t="n">
        <v>45826</v>
      </c>
      <c r="D446" t="inlineStr">
        <is>
          <t>JÄMTLANDS LÄN</t>
        </is>
      </c>
      <c r="E446" t="inlineStr">
        <is>
          <t>RAGUNDA</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24033-2020</t>
        </is>
      </c>
      <c r="B447" s="1" t="n">
        <v>43971</v>
      </c>
      <c r="C447" s="1" t="n">
        <v>45826</v>
      </c>
      <c r="D447" t="inlineStr">
        <is>
          <t>JÄMTLANDS LÄN</t>
        </is>
      </c>
      <c r="E447" t="inlineStr">
        <is>
          <t>RAGUNDA</t>
        </is>
      </c>
      <c r="G447" t="n">
        <v>3.9</v>
      </c>
      <c r="H447" t="n">
        <v>0</v>
      </c>
      <c r="I447" t="n">
        <v>0</v>
      </c>
      <c r="J447" t="n">
        <v>0</v>
      </c>
      <c r="K447" t="n">
        <v>0</v>
      </c>
      <c r="L447" t="n">
        <v>0</v>
      </c>
      <c r="M447" t="n">
        <v>0</v>
      </c>
      <c r="N447" t="n">
        <v>0</v>
      </c>
      <c r="O447" t="n">
        <v>0</v>
      </c>
      <c r="P447" t="n">
        <v>0</v>
      </c>
      <c r="Q447" t="n">
        <v>0</v>
      </c>
      <c r="R447" s="2" t="inlineStr"/>
    </row>
    <row r="448" ht="15" customHeight="1">
      <c r="A448" t="inlineStr">
        <is>
          <t>A 24032-2020</t>
        </is>
      </c>
      <c r="B448" s="1" t="n">
        <v>43971</v>
      </c>
      <c r="C448" s="1" t="n">
        <v>45826</v>
      </c>
      <c r="D448" t="inlineStr">
        <is>
          <t>JÄMTLANDS LÄN</t>
        </is>
      </c>
      <c r="E448" t="inlineStr">
        <is>
          <t>RAGUNDA</t>
        </is>
      </c>
      <c r="G448" t="n">
        <v>6.9</v>
      </c>
      <c r="H448" t="n">
        <v>0</v>
      </c>
      <c r="I448" t="n">
        <v>0</v>
      </c>
      <c r="J448" t="n">
        <v>0</v>
      </c>
      <c r="K448" t="n">
        <v>0</v>
      </c>
      <c r="L448" t="n">
        <v>0</v>
      </c>
      <c r="M448" t="n">
        <v>0</v>
      </c>
      <c r="N448" t="n">
        <v>0</v>
      </c>
      <c r="O448" t="n">
        <v>0</v>
      </c>
      <c r="P448" t="n">
        <v>0</v>
      </c>
      <c r="Q448" t="n">
        <v>0</v>
      </c>
      <c r="R448" s="2" t="inlineStr"/>
    </row>
    <row r="449" ht="15" customHeight="1">
      <c r="A449" t="inlineStr">
        <is>
          <t>A 24640-2020</t>
        </is>
      </c>
      <c r="B449" s="1" t="n">
        <v>43977</v>
      </c>
      <c r="C449" s="1" t="n">
        <v>45826</v>
      </c>
      <c r="D449" t="inlineStr">
        <is>
          <t>JÄMTLANDS LÄN</t>
        </is>
      </c>
      <c r="E449" t="inlineStr">
        <is>
          <t>RAGUNDA</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25115-2020</t>
        </is>
      </c>
      <c r="B450" s="1" t="n">
        <v>43979</v>
      </c>
      <c r="C450" s="1" t="n">
        <v>45826</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25927-2020</t>
        </is>
      </c>
      <c r="B451" s="1" t="n">
        <v>43984</v>
      </c>
      <c r="C451" s="1" t="n">
        <v>45826</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25934-2020</t>
        </is>
      </c>
      <c r="B452" s="1" t="n">
        <v>43984</v>
      </c>
      <c r="C452" s="1" t="n">
        <v>45826</v>
      </c>
      <c r="D452" t="inlineStr">
        <is>
          <t>JÄMTLANDS LÄN</t>
        </is>
      </c>
      <c r="E452" t="inlineStr">
        <is>
          <t>RAGUNDA</t>
        </is>
      </c>
      <c r="F452" t="inlineStr">
        <is>
          <t>SCA</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26264-2020</t>
        </is>
      </c>
      <c r="B453" s="1" t="n">
        <v>43986</v>
      </c>
      <c r="C453" s="1" t="n">
        <v>45826</v>
      </c>
      <c r="D453" t="inlineStr">
        <is>
          <t>JÄMTLANDS LÄN</t>
        </is>
      </c>
      <c r="E453" t="inlineStr">
        <is>
          <t>RAGUNDA</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26262-2020</t>
        </is>
      </c>
      <c r="B454" s="1" t="n">
        <v>43986</v>
      </c>
      <c r="C454" s="1" t="n">
        <v>45826</v>
      </c>
      <c r="D454" t="inlineStr">
        <is>
          <t>JÄMTLANDS LÄN</t>
        </is>
      </c>
      <c r="E454" t="inlineStr">
        <is>
          <t>RAGUNDA</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26966-2020</t>
        </is>
      </c>
      <c r="B455" s="1" t="n">
        <v>43990</v>
      </c>
      <c r="C455" s="1" t="n">
        <v>45826</v>
      </c>
      <c r="D455" t="inlineStr">
        <is>
          <t>JÄMTLANDS LÄN</t>
        </is>
      </c>
      <c r="E455" t="inlineStr">
        <is>
          <t>RAGUNDA</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27366-2020</t>
        </is>
      </c>
      <c r="B456" s="1" t="n">
        <v>43992</v>
      </c>
      <c r="C456" s="1" t="n">
        <v>45826</v>
      </c>
      <c r="D456" t="inlineStr">
        <is>
          <t>JÄMTLANDS LÄN</t>
        </is>
      </c>
      <c r="E456" t="inlineStr">
        <is>
          <t>RAGUNDA</t>
        </is>
      </c>
      <c r="G456" t="n">
        <v>2.5</v>
      </c>
      <c r="H456" t="n">
        <v>0</v>
      </c>
      <c r="I456" t="n">
        <v>0</v>
      </c>
      <c r="J456" t="n">
        <v>0</v>
      </c>
      <c r="K456" t="n">
        <v>0</v>
      </c>
      <c r="L456" t="n">
        <v>0</v>
      </c>
      <c r="M456" t="n">
        <v>0</v>
      </c>
      <c r="N456" t="n">
        <v>0</v>
      </c>
      <c r="O456" t="n">
        <v>0</v>
      </c>
      <c r="P456" t="n">
        <v>0</v>
      </c>
      <c r="Q456" t="n">
        <v>0</v>
      </c>
      <c r="R456" s="2" t="inlineStr"/>
    </row>
    <row r="457" ht="15" customHeight="1">
      <c r="A457" t="inlineStr">
        <is>
          <t>A 28776-2020</t>
        </is>
      </c>
      <c r="B457" s="1" t="n">
        <v>43999</v>
      </c>
      <c r="C457" s="1" t="n">
        <v>45826</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29382-2020</t>
        </is>
      </c>
      <c r="B458" s="1" t="n">
        <v>44000</v>
      </c>
      <c r="C458" s="1" t="n">
        <v>45826</v>
      </c>
      <c r="D458" t="inlineStr">
        <is>
          <t>JÄMTLANDS LÄN</t>
        </is>
      </c>
      <c r="E458" t="inlineStr">
        <is>
          <t>RAGUNDA</t>
        </is>
      </c>
      <c r="G458" t="n">
        <v>46.1</v>
      </c>
      <c r="H458" t="n">
        <v>0</v>
      </c>
      <c r="I458" t="n">
        <v>0</v>
      </c>
      <c r="J458" t="n">
        <v>0</v>
      </c>
      <c r="K458" t="n">
        <v>0</v>
      </c>
      <c r="L458" t="n">
        <v>0</v>
      </c>
      <c r="M458" t="n">
        <v>0</v>
      </c>
      <c r="N458" t="n">
        <v>0</v>
      </c>
      <c r="O458" t="n">
        <v>0</v>
      </c>
      <c r="P458" t="n">
        <v>0</v>
      </c>
      <c r="Q458" t="n">
        <v>0</v>
      </c>
      <c r="R458" s="2" t="inlineStr"/>
    </row>
    <row r="459" ht="15" customHeight="1">
      <c r="A459" t="inlineStr">
        <is>
          <t>A 29499-2020</t>
        </is>
      </c>
      <c r="B459" s="1" t="n">
        <v>44004</v>
      </c>
      <c r="C459" s="1" t="n">
        <v>45826</v>
      </c>
      <c r="D459" t="inlineStr">
        <is>
          <t>JÄMTLANDS LÄN</t>
        </is>
      </c>
      <c r="E459" t="inlineStr">
        <is>
          <t>RAGUNDA</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30110-2020</t>
        </is>
      </c>
      <c r="B460" s="1" t="n">
        <v>44006</v>
      </c>
      <c r="C460" s="1" t="n">
        <v>45826</v>
      </c>
      <c r="D460" t="inlineStr">
        <is>
          <t>JÄMTLANDS LÄN</t>
        </is>
      </c>
      <c r="E460" t="inlineStr">
        <is>
          <t>RAGUNDA</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31043-2020</t>
        </is>
      </c>
      <c r="B461" s="1" t="n">
        <v>44011</v>
      </c>
      <c r="C461" s="1" t="n">
        <v>45826</v>
      </c>
      <c r="D461" t="inlineStr">
        <is>
          <t>JÄMTLANDS LÄN</t>
        </is>
      </c>
      <c r="E461" t="inlineStr">
        <is>
          <t>RAGUNDA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31649-2020</t>
        </is>
      </c>
      <c r="B462" s="1" t="n">
        <v>44013</v>
      </c>
      <c r="C462" s="1" t="n">
        <v>45826</v>
      </c>
      <c r="D462" t="inlineStr">
        <is>
          <t>JÄMTLANDS LÄN</t>
        </is>
      </c>
      <c r="E462" t="inlineStr">
        <is>
          <t>RAGUNDA</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31651-2020</t>
        </is>
      </c>
      <c r="B463" s="1" t="n">
        <v>44013</v>
      </c>
      <c r="C463" s="1" t="n">
        <v>45826</v>
      </c>
      <c r="D463" t="inlineStr">
        <is>
          <t>JÄMTLANDS LÄN</t>
        </is>
      </c>
      <c r="E463" t="inlineStr">
        <is>
          <t>RAGUNDA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31652-2020</t>
        </is>
      </c>
      <c r="B464" s="1" t="n">
        <v>44013</v>
      </c>
      <c r="C464" s="1" t="n">
        <v>45826</v>
      </c>
      <c r="D464" t="inlineStr">
        <is>
          <t>JÄMTLANDS LÄN</t>
        </is>
      </c>
      <c r="E464" t="inlineStr">
        <is>
          <t>RAGUNDA</t>
        </is>
      </c>
      <c r="F464" t="inlineStr">
        <is>
          <t>SCA</t>
        </is>
      </c>
      <c r="G464" t="n">
        <v>22.1</v>
      </c>
      <c r="H464" t="n">
        <v>0</v>
      </c>
      <c r="I464" t="n">
        <v>0</v>
      </c>
      <c r="J464" t="n">
        <v>0</v>
      </c>
      <c r="K464" t="n">
        <v>0</v>
      </c>
      <c r="L464" t="n">
        <v>0</v>
      </c>
      <c r="M464" t="n">
        <v>0</v>
      </c>
      <c r="N464" t="n">
        <v>0</v>
      </c>
      <c r="O464" t="n">
        <v>0</v>
      </c>
      <c r="P464" t="n">
        <v>0</v>
      </c>
      <c r="Q464" t="n">
        <v>0</v>
      </c>
      <c r="R464" s="2" t="inlineStr"/>
    </row>
    <row r="465" ht="15" customHeight="1">
      <c r="A465" t="inlineStr">
        <is>
          <t>A 32780-2020</t>
        </is>
      </c>
      <c r="B465" s="1" t="n">
        <v>44019</v>
      </c>
      <c r="C465" s="1" t="n">
        <v>45826</v>
      </c>
      <c r="D465" t="inlineStr">
        <is>
          <t>JÄMTLANDS LÄN</t>
        </is>
      </c>
      <c r="E465" t="inlineStr">
        <is>
          <t>RAGUNDA</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33644-2020</t>
        </is>
      </c>
      <c r="B466" s="1" t="n">
        <v>44026</v>
      </c>
      <c r="C466" s="1" t="n">
        <v>45826</v>
      </c>
      <c r="D466" t="inlineStr">
        <is>
          <t>JÄMTLANDS LÄN</t>
        </is>
      </c>
      <c r="E466" t="inlineStr">
        <is>
          <t>RAGUNDA</t>
        </is>
      </c>
      <c r="G466" t="n">
        <v>4.8</v>
      </c>
      <c r="H466" t="n">
        <v>0</v>
      </c>
      <c r="I466" t="n">
        <v>0</v>
      </c>
      <c r="J466" t="n">
        <v>0</v>
      </c>
      <c r="K466" t="n">
        <v>0</v>
      </c>
      <c r="L466" t="n">
        <v>0</v>
      </c>
      <c r="M466" t="n">
        <v>0</v>
      </c>
      <c r="N466" t="n">
        <v>0</v>
      </c>
      <c r="O466" t="n">
        <v>0</v>
      </c>
      <c r="P466" t="n">
        <v>0</v>
      </c>
      <c r="Q466" t="n">
        <v>0</v>
      </c>
      <c r="R466" s="2" t="inlineStr"/>
    </row>
    <row r="467" ht="15" customHeight="1">
      <c r="A467" t="inlineStr">
        <is>
          <t>A 33932-2020</t>
        </is>
      </c>
      <c r="B467" s="1" t="n">
        <v>44027</v>
      </c>
      <c r="C467" s="1" t="n">
        <v>45826</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34204-2020</t>
        </is>
      </c>
      <c r="B468" s="1" t="n">
        <v>44029</v>
      </c>
      <c r="C468" s="1" t="n">
        <v>45826</v>
      </c>
      <c r="D468" t="inlineStr">
        <is>
          <t>JÄMTLANDS LÄN</t>
        </is>
      </c>
      <c r="E468" t="inlineStr">
        <is>
          <t>RAGUNDA</t>
        </is>
      </c>
      <c r="G468" t="n">
        <v>22.5</v>
      </c>
      <c r="H468" t="n">
        <v>0</v>
      </c>
      <c r="I468" t="n">
        <v>0</v>
      </c>
      <c r="J468" t="n">
        <v>0</v>
      </c>
      <c r="K468" t="n">
        <v>0</v>
      </c>
      <c r="L468" t="n">
        <v>0</v>
      </c>
      <c r="M468" t="n">
        <v>0</v>
      </c>
      <c r="N468" t="n">
        <v>0</v>
      </c>
      <c r="O468" t="n">
        <v>0</v>
      </c>
      <c r="P468" t="n">
        <v>0</v>
      </c>
      <c r="Q468" t="n">
        <v>0</v>
      </c>
      <c r="R468" s="2" t="inlineStr"/>
    </row>
    <row r="469" ht="15" customHeight="1">
      <c r="A469" t="inlineStr">
        <is>
          <t>A 34251-2020</t>
        </is>
      </c>
      <c r="B469" s="1" t="n">
        <v>44029</v>
      </c>
      <c r="C469" s="1" t="n">
        <v>45826</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35193-2020</t>
        </is>
      </c>
      <c r="B470" s="1" t="n">
        <v>44040</v>
      </c>
      <c r="C470" s="1" t="n">
        <v>45826</v>
      </c>
      <c r="D470" t="inlineStr">
        <is>
          <t>JÄMTLANDS LÄN</t>
        </is>
      </c>
      <c r="E470" t="inlineStr">
        <is>
          <t>RAGUNDA</t>
        </is>
      </c>
      <c r="G470" t="n">
        <v>1.1</v>
      </c>
      <c r="H470" t="n">
        <v>0</v>
      </c>
      <c r="I470" t="n">
        <v>0</v>
      </c>
      <c r="J470" t="n">
        <v>0</v>
      </c>
      <c r="K470" t="n">
        <v>0</v>
      </c>
      <c r="L470" t="n">
        <v>0</v>
      </c>
      <c r="M470" t="n">
        <v>0</v>
      </c>
      <c r="N470" t="n">
        <v>0</v>
      </c>
      <c r="O470" t="n">
        <v>0</v>
      </c>
      <c r="P470" t="n">
        <v>0</v>
      </c>
      <c r="Q470" t="n">
        <v>0</v>
      </c>
      <c r="R470" s="2" t="inlineStr"/>
    </row>
    <row r="471" ht="15" customHeight="1">
      <c r="A471" t="inlineStr">
        <is>
          <t>A 35365-2020</t>
        </is>
      </c>
      <c r="B471" s="1" t="n">
        <v>44041</v>
      </c>
      <c r="C471" s="1" t="n">
        <v>45826</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36674-2020</t>
        </is>
      </c>
      <c r="B472" s="1" t="n">
        <v>44051</v>
      </c>
      <c r="C472" s="1" t="n">
        <v>45826</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36676-2020</t>
        </is>
      </c>
      <c r="B473" s="1" t="n">
        <v>44051</v>
      </c>
      <c r="C473" s="1" t="n">
        <v>45826</v>
      </c>
      <c r="D473" t="inlineStr">
        <is>
          <t>JÄMTLANDS LÄN</t>
        </is>
      </c>
      <c r="E473" t="inlineStr">
        <is>
          <t>RAGUNDA</t>
        </is>
      </c>
      <c r="G473" t="n">
        <v>0.8</v>
      </c>
      <c r="H473" t="n">
        <v>0</v>
      </c>
      <c r="I473" t="n">
        <v>0</v>
      </c>
      <c r="J473" t="n">
        <v>0</v>
      </c>
      <c r="K473" t="n">
        <v>0</v>
      </c>
      <c r="L473" t="n">
        <v>0</v>
      </c>
      <c r="M473" t="n">
        <v>0</v>
      </c>
      <c r="N473" t="n">
        <v>0</v>
      </c>
      <c r="O473" t="n">
        <v>0</v>
      </c>
      <c r="P473" t="n">
        <v>0</v>
      </c>
      <c r="Q473" t="n">
        <v>0</v>
      </c>
      <c r="R473" s="2" t="inlineStr"/>
    </row>
    <row r="474" ht="15" customHeight="1">
      <c r="A474" t="inlineStr">
        <is>
          <t>A 37498-2020</t>
        </is>
      </c>
      <c r="B474" s="1" t="n">
        <v>44055</v>
      </c>
      <c r="C474" s="1" t="n">
        <v>45826</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39474-2020</t>
        </is>
      </c>
      <c r="B475" s="1" t="n">
        <v>44056</v>
      </c>
      <c r="C475" s="1" t="n">
        <v>45826</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38106-2020</t>
        </is>
      </c>
      <c r="B476" s="1" t="n">
        <v>44057</v>
      </c>
      <c r="C476" s="1" t="n">
        <v>45826</v>
      </c>
      <c r="D476" t="inlineStr">
        <is>
          <t>JÄMTLANDS LÄN</t>
        </is>
      </c>
      <c r="E476" t="inlineStr">
        <is>
          <t>RAGUNDA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38098-2020</t>
        </is>
      </c>
      <c r="B477" s="1" t="n">
        <v>44057</v>
      </c>
      <c r="C477" s="1" t="n">
        <v>45826</v>
      </c>
      <c r="D477" t="inlineStr">
        <is>
          <t>JÄMTLANDS LÄN</t>
        </is>
      </c>
      <c r="E477" t="inlineStr">
        <is>
          <t>RAGUNDA</t>
        </is>
      </c>
      <c r="G477" t="n">
        <v>1.2</v>
      </c>
      <c r="H477" t="n">
        <v>0</v>
      </c>
      <c r="I477" t="n">
        <v>0</v>
      </c>
      <c r="J477" t="n">
        <v>0</v>
      </c>
      <c r="K477" t="n">
        <v>0</v>
      </c>
      <c r="L477" t="n">
        <v>0</v>
      </c>
      <c r="M477" t="n">
        <v>0</v>
      </c>
      <c r="N477" t="n">
        <v>0</v>
      </c>
      <c r="O477" t="n">
        <v>0</v>
      </c>
      <c r="P477" t="n">
        <v>0</v>
      </c>
      <c r="Q477" t="n">
        <v>0</v>
      </c>
      <c r="R477" s="2" t="inlineStr"/>
    </row>
    <row r="478" ht="15" customHeight="1">
      <c r="A478" t="inlineStr">
        <is>
          <t>A 39040-2020</t>
        </is>
      </c>
      <c r="B478" s="1" t="n">
        <v>44062</v>
      </c>
      <c r="C478" s="1" t="n">
        <v>45826</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39340-2020</t>
        </is>
      </c>
      <c r="B479" s="1" t="n">
        <v>44063</v>
      </c>
      <c r="C479" s="1" t="n">
        <v>45826</v>
      </c>
      <c r="D479" t="inlineStr">
        <is>
          <t>JÄMTLANDS LÄN</t>
        </is>
      </c>
      <c r="E479" t="inlineStr">
        <is>
          <t>RAGUNDA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40051-2020</t>
        </is>
      </c>
      <c r="B480" s="1" t="n">
        <v>44067</v>
      </c>
      <c r="C480" s="1" t="n">
        <v>45826</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40316-2020</t>
        </is>
      </c>
      <c r="B481" s="1" t="n">
        <v>44068</v>
      </c>
      <c r="C481" s="1" t="n">
        <v>45826</v>
      </c>
      <c r="D481" t="inlineStr">
        <is>
          <t>JÄMTLANDS LÄN</t>
        </is>
      </c>
      <c r="E481" t="inlineStr">
        <is>
          <t>RAGUNDA</t>
        </is>
      </c>
      <c r="G481" t="n">
        <v>2.4</v>
      </c>
      <c r="H481" t="n">
        <v>0</v>
      </c>
      <c r="I481" t="n">
        <v>0</v>
      </c>
      <c r="J481" t="n">
        <v>0</v>
      </c>
      <c r="K481" t="n">
        <v>0</v>
      </c>
      <c r="L481" t="n">
        <v>0</v>
      </c>
      <c r="M481" t="n">
        <v>0</v>
      </c>
      <c r="N481" t="n">
        <v>0</v>
      </c>
      <c r="O481" t="n">
        <v>0</v>
      </c>
      <c r="P481" t="n">
        <v>0</v>
      </c>
      <c r="Q481" t="n">
        <v>0</v>
      </c>
      <c r="R481" s="2" t="inlineStr"/>
    </row>
    <row r="482" ht="15" customHeight="1">
      <c r="A482" t="inlineStr">
        <is>
          <t>A 40742-2020</t>
        </is>
      </c>
      <c r="B482" s="1" t="n">
        <v>44069</v>
      </c>
      <c r="C482" s="1" t="n">
        <v>45826</v>
      </c>
      <c r="D482" t="inlineStr">
        <is>
          <t>JÄMTLANDS LÄN</t>
        </is>
      </c>
      <c r="E482" t="inlineStr">
        <is>
          <t>RAGUNDA</t>
        </is>
      </c>
      <c r="F482" t="inlineStr">
        <is>
          <t>SCA</t>
        </is>
      </c>
      <c r="G482" t="n">
        <v>5.6</v>
      </c>
      <c r="H482" t="n">
        <v>0</v>
      </c>
      <c r="I482" t="n">
        <v>0</v>
      </c>
      <c r="J482" t="n">
        <v>0</v>
      </c>
      <c r="K482" t="n">
        <v>0</v>
      </c>
      <c r="L482" t="n">
        <v>0</v>
      </c>
      <c r="M482" t="n">
        <v>0</v>
      </c>
      <c r="N482" t="n">
        <v>0</v>
      </c>
      <c r="O482" t="n">
        <v>0</v>
      </c>
      <c r="P482" t="n">
        <v>0</v>
      </c>
      <c r="Q482" t="n">
        <v>0</v>
      </c>
      <c r="R482" s="2" t="inlineStr"/>
    </row>
    <row r="483" ht="15" customHeight="1">
      <c r="A483" t="inlineStr">
        <is>
          <t>A 41346-2020</t>
        </is>
      </c>
      <c r="B483" s="1" t="n">
        <v>44071</v>
      </c>
      <c r="C483" s="1" t="n">
        <v>45826</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41889-2020</t>
        </is>
      </c>
      <c r="B484" s="1" t="n">
        <v>44075</v>
      </c>
      <c r="C484" s="1" t="n">
        <v>45826</v>
      </c>
      <c r="D484" t="inlineStr">
        <is>
          <t>JÄMTLANDS LÄN</t>
        </is>
      </c>
      <c r="E484" t="inlineStr">
        <is>
          <t>RAGUNDA</t>
        </is>
      </c>
      <c r="F484" t="inlineStr">
        <is>
          <t>SCA</t>
        </is>
      </c>
      <c r="G484" t="n">
        <v>11.4</v>
      </c>
      <c r="H484" t="n">
        <v>0</v>
      </c>
      <c r="I484" t="n">
        <v>0</v>
      </c>
      <c r="J484" t="n">
        <v>0</v>
      </c>
      <c r="K484" t="n">
        <v>0</v>
      </c>
      <c r="L484" t="n">
        <v>0</v>
      </c>
      <c r="M484" t="n">
        <v>0</v>
      </c>
      <c r="N484" t="n">
        <v>0</v>
      </c>
      <c r="O484" t="n">
        <v>0</v>
      </c>
      <c r="P484" t="n">
        <v>0</v>
      </c>
      <c r="Q484" t="n">
        <v>0</v>
      </c>
      <c r="R484" s="2" t="inlineStr"/>
    </row>
    <row r="485" ht="15" customHeight="1">
      <c r="A485" t="inlineStr">
        <is>
          <t>A 41875-2020</t>
        </is>
      </c>
      <c r="B485" s="1" t="n">
        <v>44074</v>
      </c>
      <c r="C485" s="1" t="n">
        <v>45826</v>
      </c>
      <c r="D485" t="inlineStr">
        <is>
          <t>JÄMTLANDS LÄN</t>
        </is>
      </c>
      <c r="E485" t="inlineStr">
        <is>
          <t>RAGUNDA</t>
        </is>
      </c>
      <c r="F485" t="inlineStr">
        <is>
          <t>Naturvårdsverket</t>
        </is>
      </c>
      <c r="G485" t="n">
        <v>3.3</v>
      </c>
      <c r="H485" t="n">
        <v>0</v>
      </c>
      <c r="I485" t="n">
        <v>0</v>
      </c>
      <c r="J485" t="n">
        <v>0</v>
      </c>
      <c r="K485" t="n">
        <v>0</v>
      </c>
      <c r="L485" t="n">
        <v>0</v>
      </c>
      <c r="M485" t="n">
        <v>0</v>
      </c>
      <c r="N485" t="n">
        <v>0</v>
      </c>
      <c r="O485" t="n">
        <v>0</v>
      </c>
      <c r="P485" t="n">
        <v>0</v>
      </c>
      <c r="Q485" t="n">
        <v>0</v>
      </c>
      <c r="R485" s="2" t="inlineStr"/>
    </row>
    <row r="486" ht="15" customHeight="1">
      <c r="A486" t="inlineStr">
        <is>
          <t>A 41887-2020</t>
        </is>
      </c>
      <c r="B486" s="1" t="n">
        <v>44074</v>
      </c>
      <c r="C486" s="1" t="n">
        <v>45826</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41885-2020</t>
        </is>
      </c>
      <c r="B487" s="1" t="n">
        <v>44074</v>
      </c>
      <c r="C487" s="1" t="n">
        <v>45826</v>
      </c>
      <c r="D487" t="inlineStr">
        <is>
          <t>JÄMTLANDS LÄN</t>
        </is>
      </c>
      <c r="E487" t="inlineStr">
        <is>
          <t>RAGUNDA</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42208-2020</t>
        </is>
      </c>
      <c r="B488" s="1" t="n">
        <v>44075</v>
      </c>
      <c r="C488" s="1" t="n">
        <v>45826</v>
      </c>
      <c r="D488" t="inlineStr">
        <is>
          <t>JÄMTLANDS LÄN</t>
        </is>
      </c>
      <c r="E488" t="inlineStr">
        <is>
          <t>RAGUNDA</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42899-2020</t>
        </is>
      </c>
      <c r="B489" s="1" t="n">
        <v>44078</v>
      </c>
      <c r="C489" s="1" t="n">
        <v>45826</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43828-2020</t>
        </is>
      </c>
      <c r="B490" s="1" t="n">
        <v>44082</v>
      </c>
      <c r="C490" s="1" t="n">
        <v>45826</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44511-2020</t>
        </is>
      </c>
      <c r="B491" s="1" t="n">
        <v>44084</v>
      </c>
      <c r="C491" s="1" t="n">
        <v>45826</v>
      </c>
      <c r="D491" t="inlineStr">
        <is>
          <t>JÄMTLANDS LÄN</t>
        </is>
      </c>
      <c r="E491" t="inlineStr">
        <is>
          <t>RAGUNDA</t>
        </is>
      </c>
      <c r="G491" t="n">
        <v>0.6</v>
      </c>
      <c r="H491" t="n">
        <v>0</v>
      </c>
      <c r="I491" t="n">
        <v>0</v>
      </c>
      <c r="J491" t="n">
        <v>0</v>
      </c>
      <c r="K491" t="n">
        <v>0</v>
      </c>
      <c r="L491" t="n">
        <v>0</v>
      </c>
      <c r="M491" t="n">
        <v>0</v>
      </c>
      <c r="N491" t="n">
        <v>0</v>
      </c>
      <c r="O491" t="n">
        <v>0</v>
      </c>
      <c r="P491" t="n">
        <v>0</v>
      </c>
      <c r="Q491" t="n">
        <v>0</v>
      </c>
      <c r="R491" s="2" t="inlineStr"/>
    </row>
    <row r="492" ht="15" customHeight="1">
      <c r="A492" t="inlineStr">
        <is>
          <t>A 44498-2020</t>
        </is>
      </c>
      <c r="B492" s="1" t="n">
        <v>44084</v>
      </c>
      <c r="C492" s="1" t="n">
        <v>45826</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45272-2020</t>
        </is>
      </c>
      <c r="B493" s="1" t="n">
        <v>44084</v>
      </c>
      <c r="C493" s="1" t="n">
        <v>45826</v>
      </c>
      <c r="D493" t="inlineStr">
        <is>
          <t>JÄMTLANDS LÄN</t>
        </is>
      </c>
      <c r="E493" t="inlineStr">
        <is>
          <t>RAGUNDA</t>
        </is>
      </c>
      <c r="G493" t="n">
        <v>4.7</v>
      </c>
      <c r="H493" t="n">
        <v>0</v>
      </c>
      <c r="I493" t="n">
        <v>0</v>
      </c>
      <c r="J493" t="n">
        <v>0</v>
      </c>
      <c r="K493" t="n">
        <v>0</v>
      </c>
      <c r="L493" t="n">
        <v>0</v>
      </c>
      <c r="M493" t="n">
        <v>0</v>
      </c>
      <c r="N493" t="n">
        <v>0</v>
      </c>
      <c r="O493" t="n">
        <v>0</v>
      </c>
      <c r="P493" t="n">
        <v>0</v>
      </c>
      <c r="Q493" t="n">
        <v>0</v>
      </c>
      <c r="R493" s="2" t="inlineStr"/>
    </row>
    <row r="494" ht="15" customHeight="1">
      <c r="A494" t="inlineStr">
        <is>
          <t>A 46920-2020</t>
        </is>
      </c>
      <c r="B494" s="1" t="n">
        <v>44090</v>
      </c>
      <c r="C494" s="1" t="n">
        <v>45826</v>
      </c>
      <c r="D494" t="inlineStr">
        <is>
          <t>JÄMTLANDS LÄN</t>
        </is>
      </c>
      <c r="E494" t="inlineStr">
        <is>
          <t>RAGUNDA</t>
        </is>
      </c>
      <c r="G494" t="n">
        <v>4</v>
      </c>
      <c r="H494" t="n">
        <v>0</v>
      </c>
      <c r="I494" t="n">
        <v>0</v>
      </c>
      <c r="J494" t="n">
        <v>0</v>
      </c>
      <c r="K494" t="n">
        <v>0</v>
      </c>
      <c r="L494" t="n">
        <v>0</v>
      </c>
      <c r="M494" t="n">
        <v>0</v>
      </c>
      <c r="N494" t="n">
        <v>0</v>
      </c>
      <c r="O494" t="n">
        <v>0</v>
      </c>
      <c r="P494" t="n">
        <v>0</v>
      </c>
      <c r="Q494" t="n">
        <v>0</v>
      </c>
      <c r="R494" s="2" t="inlineStr"/>
    </row>
    <row r="495" ht="15" customHeight="1">
      <c r="A495" t="inlineStr">
        <is>
          <t>A 46496-2020</t>
        </is>
      </c>
      <c r="B495" s="1" t="n">
        <v>44095</v>
      </c>
      <c r="C495" s="1" t="n">
        <v>45826</v>
      </c>
      <c r="D495" t="inlineStr">
        <is>
          <t>JÄMTLANDS LÄN</t>
        </is>
      </c>
      <c r="E495" t="inlineStr">
        <is>
          <t>RAGUNDA</t>
        </is>
      </c>
      <c r="G495" t="n">
        <v>2</v>
      </c>
      <c r="H495" t="n">
        <v>0</v>
      </c>
      <c r="I495" t="n">
        <v>0</v>
      </c>
      <c r="J495" t="n">
        <v>0</v>
      </c>
      <c r="K495" t="n">
        <v>0</v>
      </c>
      <c r="L495" t="n">
        <v>0</v>
      </c>
      <c r="M495" t="n">
        <v>0</v>
      </c>
      <c r="N495" t="n">
        <v>0</v>
      </c>
      <c r="O495" t="n">
        <v>0</v>
      </c>
      <c r="P495" t="n">
        <v>0</v>
      </c>
      <c r="Q495" t="n">
        <v>0</v>
      </c>
      <c r="R495" s="2" t="inlineStr"/>
    </row>
    <row r="496" ht="15" customHeight="1">
      <c r="A496" t="inlineStr">
        <is>
          <t>A 47122-2020</t>
        </is>
      </c>
      <c r="B496" s="1" t="n">
        <v>44096</v>
      </c>
      <c r="C496" s="1" t="n">
        <v>45826</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47131-2020</t>
        </is>
      </c>
      <c r="B497" s="1" t="n">
        <v>44096</v>
      </c>
      <c r="C497" s="1" t="n">
        <v>45826</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47825-2020</t>
        </is>
      </c>
      <c r="B498" s="1" t="n">
        <v>44098</v>
      </c>
      <c r="C498" s="1" t="n">
        <v>45826</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48056-2020</t>
        </is>
      </c>
      <c r="B499" s="1" t="n">
        <v>44099</v>
      </c>
      <c r="C499" s="1" t="n">
        <v>45826</v>
      </c>
      <c r="D499" t="inlineStr">
        <is>
          <t>JÄMTLANDS LÄN</t>
        </is>
      </c>
      <c r="E499" t="inlineStr">
        <is>
          <t>RAGUNDA</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48806-2020</t>
        </is>
      </c>
      <c r="B500" s="1" t="n">
        <v>44103</v>
      </c>
      <c r="C500" s="1" t="n">
        <v>45826</v>
      </c>
      <c r="D500" t="inlineStr">
        <is>
          <t>JÄMTLANDS LÄN</t>
        </is>
      </c>
      <c r="E500" t="inlineStr">
        <is>
          <t>RAGUNDA</t>
        </is>
      </c>
      <c r="F500" t="inlineStr">
        <is>
          <t>Naturvårdsverket</t>
        </is>
      </c>
      <c r="G500" t="n">
        <v>3</v>
      </c>
      <c r="H500" t="n">
        <v>0</v>
      </c>
      <c r="I500" t="n">
        <v>0</v>
      </c>
      <c r="J500" t="n">
        <v>0</v>
      </c>
      <c r="K500" t="n">
        <v>0</v>
      </c>
      <c r="L500" t="n">
        <v>0</v>
      </c>
      <c r="M500" t="n">
        <v>0</v>
      </c>
      <c r="N500" t="n">
        <v>0</v>
      </c>
      <c r="O500" t="n">
        <v>0</v>
      </c>
      <c r="P500" t="n">
        <v>0</v>
      </c>
      <c r="Q500" t="n">
        <v>0</v>
      </c>
      <c r="R500" s="2" t="inlineStr"/>
    </row>
    <row r="501" ht="15" customHeight="1">
      <c r="A501" t="inlineStr">
        <is>
          <t>A 51481-2020</t>
        </is>
      </c>
      <c r="B501" s="1" t="n">
        <v>44106</v>
      </c>
      <c r="C501" s="1" t="n">
        <v>45826</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50988-2020</t>
        </is>
      </c>
      <c r="B502" s="1" t="n">
        <v>44111</v>
      </c>
      <c r="C502" s="1" t="n">
        <v>45826</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51016-2020</t>
        </is>
      </c>
      <c r="B503" s="1" t="n">
        <v>44111</v>
      </c>
      <c r="C503" s="1" t="n">
        <v>45826</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51004-2020</t>
        </is>
      </c>
      <c r="B504" s="1" t="n">
        <v>44111</v>
      </c>
      <c r="C504" s="1" t="n">
        <v>45826</v>
      </c>
      <c r="D504" t="inlineStr">
        <is>
          <t>JÄMTLANDS LÄN</t>
        </is>
      </c>
      <c r="E504" t="inlineStr">
        <is>
          <t>RAGUNDA</t>
        </is>
      </c>
      <c r="G504" t="n">
        <v>2.8</v>
      </c>
      <c r="H504" t="n">
        <v>0</v>
      </c>
      <c r="I504" t="n">
        <v>0</v>
      </c>
      <c r="J504" t="n">
        <v>0</v>
      </c>
      <c r="K504" t="n">
        <v>0</v>
      </c>
      <c r="L504" t="n">
        <v>0</v>
      </c>
      <c r="M504" t="n">
        <v>0</v>
      </c>
      <c r="N504" t="n">
        <v>0</v>
      </c>
      <c r="O504" t="n">
        <v>0</v>
      </c>
      <c r="P504" t="n">
        <v>0</v>
      </c>
      <c r="Q504" t="n">
        <v>0</v>
      </c>
      <c r="R504" s="2" t="inlineStr"/>
    </row>
    <row r="505" ht="15" customHeight="1">
      <c r="A505" t="inlineStr">
        <is>
          <t>A 51685-2020</t>
        </is>
      </c>
      <c r="B505" s="1" t="n">
        <v>44113</v>
      </c>
      <c r="C505" s="1" t="n">
        <v>45826</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53522-2020</t>
        </is>
      </c>
      <c r="B506" s="1" t="n">
        <v>44124</v>
      </c>
      <c r="C506" s="1" t="n">
        <v>45826</v>
      </c>
      <c r="D506" t="inlineStr">
        <is>
          <t>JÄMTLANDS LÄN</t>
        </is>
      </c>
      <c r="E506" t="inlineStr">
        <is>
          <t>RAGUNDA</t>
        </is>
      </c>
      <c r="G506" t="n">
        <v>1.3</v>
      </c>
      <c r="H506" t="n">
        <v>0</v>
      </c>
      <c r="I506" t="n">
        <v>0</v>
      </c>
      <c r="J506" t="n">
        <v>0</v>
      </c>
      <c r="K506" t="n">
        <v>0</v>
      </c>
      <c r="L506" t="n">
        <v>0</v>
      </c>
      <c r="M506" t="n">
        <v>0</v>
      </c>
      <c r="N506" t="n">
        <v>0</v>
      </c>
      <c r="O506" t="n">
        <v>0</v>
      </c>
      <c r="P506" t="n">
        <v>0</v>
      </c>
      <c r="Q506" t="n">
        <v>0</v>
      </c>
      <c r="R506" s="2" t="inlineStr"/>
    </row>
    <row r="507" ht="15" customHeight="1">
      <c r="A507" t="inlineStr">
        <is>
          <t>A 54199-2020</t>
        </is>
      </c>
      <c r="B507" s="1" t="n">
        <v>44126</v>
      </c>
      <c r="C507" s="1" t="n">
        <v>45826</v>
      </c>
      <c r="D507" t="inlineStr">
        <is>
          <t>JÄMTLANDS LÄN</t>
        </is>
      </c>
      <c r="E507" t="inlineStr">
        <is>
          <t>RAGUNDA</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54580-2020</t>
        </is>
      </c>
      <c r="B508" s="1" t="n">
        <v>44126</v>
      </c>
      <c r="C508" s="1" t="n">
        <v>45826</v>
      </c>
      <c r="D508" t="inlineStr">
        <is>
          <t>JÄMTLANDS LÄN</t>
        </is>
      </c>
      <c r="E508" t="inlineStr">
        <is>
          <t>RAGUNDA</t>
        </is>
      </c>
      <c r="G508" t="n">
        <v>2.8</v>
      </c>
      <c r="H508" t="n">
        <v>0</v>
      </c>
      <c r="I508" t="n">
        <v>0</v>
      </c>
      <c r="J508" t="n">
        <v>0</v>
      </c>
      <c r="K508" t="n">
        <v>0</v>
      </c>
      <c r="L508" t="n">
        <v>0</v>
      </c>
      <c r="M508" t="n">
        <v>0</v>
      </c>
      <c r="N508" t="n">
        <v>0</v>
      </c>
      <c r="O508" t="n">
        <v>0</v>
      </c>
      <c r="P508" t="n">
        <v>0</v>
      </c>
      <c r="Q508" t="n">
        <v>0</v>
      </c>
      <c r="R508" s="2" t="inlineStr"/>
    </row>
    <row r="509" ht="15" customHeight="1">
      <c r="A509" t="inlineStr">
        <is>
          <t>A 55309-2020</t>
        </is>
      </c>
      <c r="B509" s="1" t="n">
        <v>44130</v>
      </c>
      <c r="C509" s="1" t="n">
        <v>45826</v>
      </c>
      <c r="D509" t="inlineStr">
        <is>
          <t>JÄMTLANDS LÄN</t>
        </is>
      </c>
      <c r="E509" t="inlineStr">
        <is>
          <t>RAGUNDA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55926-2020</t>
        </is>
      </c>
      <c r="B510" s="1" t="n">
        <v>44132</v>
      </c>
      <c r="C510" s="1" t="n">
        <v>45826</v>
      </c>
      <c r="D510" t="inlineStr">
        <is>
          <t>JÄMTLANDS LÄN</t>
        </is>
      </c>
      <c r="E510" t="inlineStr">
        <is>
          <t>RAGUNDA</t>
        </is>
      </c>
      <c r="F510" t="inlineStr">
        <is>
          <t>SCA</t>
        </is>
      </c>
      <c r="G510" t="n">
        <v>11.5</v>
      </c>
      <c r="H510" t="n">
        <v>0</v>
      </c>
      <c r="I510" t="n">
        <v>0</v>
      </c>
      <c r="J510" t="n">
        <v>0</v>
      </c>
      <c r="K510" t="n">
        <v>0</v>
      </c>
      <c r="L510" t="n">
        <v>0</v>
      </c>
      <c r="M510" t="n">
        <v>0</v>
      </c>
      <c r="N510" t="n">
        <v>0</v>
      </c>
      <c r="O510" t="n">
        <v>0</v>
      </c>
      <c r="P510" t="n">
        <v>0</v>
      </c>
      <c r="Q510" t="n">
        <v>0</v>
      </c>
      <c r="R510" s="2" t="inlineStr"/>
    </row>
    <row r="511" ht="15" customHeight="1">
      <c r="A511" t="inlineStr">
        <is>
          <t>A 56339-2020</t>
        </is>
      </c>
      <c r="B511" s="1" t="n">
        <v>44134</v>
      </c>
      <c r="C511" s="1" t="n">
        <v>45826</v>
      </c>
      <c r="D511" t="inlineStr">
        <is>
          <t>JÄMTLANDS LÄN</t>
        </is>
      </c>
      <c r="E511" t="inlineStr">
        <is>
          <t>RAGUNDA</t>
        </is>
      </c>
      <c r="G511" t="n">
        <v>2.9</v>
      </c>
      <c r="H511" t="n">
        <v>0</v>
      </c>
      <c r="I511" t="n">
        <v>0</v>
      </c>
      <c r="J511" t="n">
        <v>0</v>
      </c>
      <c r="K511" t="n">
        <v>0</v>
      </c>
      <c r="L511" t="n">
        <v>0</v>
      </c>
      <c r="M511" t="n">
        <v>0</v>
      </c>
      <c r="N511" t="n">
        <v>0</v>
      </c>
      <c r="O511" t="n">
        <v>0</v>
      </c>
      <c r="P511" t="n">
        <v>0</v>
      </c>
      <c r="Q511" t="n">
        <v>0</v>
      </c>
      <c r="R511" s="2" t="inlineStr"/>
    </row>
    <row r="512" ht="15" customHeight="1">
      <c r="A512" t="inlineStr">
        <is>
          <t>A 56760-2020</t>
        </is>
      </c>
      <c r="B512" s="1" t="n">
        <v>44137</v>
      </c>
      <c r="C512" s="1" t="n">
        <v>45826</v>
      </c>
      <c r="D512" t="inlineStr">
        <is>
          <t>JÄMTLANDS LÄN</t>
        </is>
      </c>
      <c r="E512" t="inlineStr">
        <is>
          <t>RAGUNDA</t>
        </is>
      </c>
      <c r="G512" t="n">
        <v>1.9</v>
      </c>
      <c r="H512" t="n">
        <v>0</v>
      </c>
      <c r="I512" t="n">
        <v>0</v>
      </c>
      <c r="J512" t="n">
        <v>0</v>
      </c>
      <c r="K512" t="n">
        <v>0</v>
      </c>
      <c r="L512" t="n">
        <v>0</v>
      </c>
      <c r="M512" t="n">
        <v>0</v>
      </c>
      <c r="N512" t="n">
        <v>0</v>
      </c>
      <c r="O512" t="n">
        <v>0</v>
      </c>
      <c r="P512" t="n">
        <v>0</v>
      </c>
      <c r="Q512" t="n">
        <v>0</v>
      </c>
      <c r="R512" s="2" t="inlineStr"/>
    </row>
    <row r="513" ht="15" customHeight="1">
      <c r="A513" t="inlineStr">
        <is>
          <t>A 57246-2020</t>
        </is>
      </c>
      <c r="B513" s="1" t="n">
        <v>44138</v>
      </c>
      <c r="C513" s="1" t="n">
        <v>45826</v>
      </c>
      <c r="D513" t="inlineStr">
        <is>
          <t>JÄMTLANDS LÄN</t>
        </is>
      </c>
      <c r="E513" t="inlineStr">
        <is>
          <t>RAGUNDA</t>
        </is>
      </c>
      <c r="G513" t="n">
        <v>3.1</v>
      </c>
      <c r="H513" t="n">
        <v>0</v>
      </c>
      <c r="I513" t="n">
        <v>0</v>
      </c>
      <c r="J513" t="n">
        <v>0</v>
      </c>
      <c r="K513" t="n">
        <v>0</v>
      </c>
      <c r="L513" t="n">
        <v>0</v>
      </c>
      <c r="M513" t="n">
        <v>0</v>
      </c>
      <c r="N513" t="n">
        <v>0</v>
      </c>
      <c r="O513" t="n">
        <v>0</v>
      </c>
      <c r="P513" t="n">
        <v>0</v>
      </c>
      <c r="Q513" t="n">
        <v>0</v>
      </c>
      <c r="R513" s="2" t="inlineStr"/>
    </row>
    <row r="514" ht="15" customHeight="1">
      <c r="A514" t="inlineStr">
        <is>
          <t>A 57731-2020</t>
        </is>
      </c>
      <c r="B514" s="1" t="n">
        <v>44140</v>
      </c>
      <c r="C514" s="1" t="n">
        <v>45826</v>
      </c>
      <c r="D514" t="inlineStr">
        <is>
          <t>JÄMTLANDS LÄN</t>
        </is>
      </c>
      <c r="E514" t="inlineStr">
        <is>
          <t>RAGUNDA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57717-2020</t>
        </is>
      </c>
      <c r="B515" s="1" t="n">
        <v>44140</v>
      </c>
      <c r="C515" s="1" t="n">
        <v>45826</v>
      </c>
      <c r="D515" t="inlineStr">
        <is>
          <t>JÄMTLANDS LÄN</t>
        </is>
      </c>
      <c r="E515" t="inlineStr">
        <is>
          <t>RAGUNDA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57730-2020</t>
        </is>
      </c>
      <c r="B516" s="1" t="n">
        <v>44140</v>
      </c>
      <c r="C516" s="1" t="n">
        <v>45826</v>
      </c>
      <c r="D516" t="inlineStr">
        <is>
          <t>JÄMTLANDS LÄN</t>
        </is>
      </c>
      <c r="E516" t="inlineStr">
        <is>
          <t>RAGUNDA</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57713-2020</t>
        </is>
      </c>
      <c r="B517" s="1" t="n">
        <v>44140</v>
      </c>
      <c r="C517" s="1" t="n">
        <v>45826</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57941-2020</t>
        </is>
      </c>
      <c r="B518" s="1" t="n">
        <v>44141</v>
      </c>
      <c r="C518" s="1" t="n">
        <v>45826</v>
      </c>
      <c r="D518" t="inlineStr">
        <is>
          <t>JÄMTLANDS LÄN</t>
        </is>
      </c>
      <c r="E518" t="inlineStr">
        <is>
          <t>RAGUNDA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60744-2020</t>
        </is>
      </c>
      <c r="B519" s="1" t="n">
        <v>44153</v>
      </c>
      <c r="C519" s="1" t="n">
        <v>45826</v>
      </c>
      <c r="D519" t="inlineStr">
        <is>
          <t>JÄMTLANDS LÄN</t>
        </is>
      </c>
      <c r="E519" t="inlineStr">
        <is>
          <t>RAGUNDA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61088-2020</t>
        </is>
      </c>
      <c r="B520" s="1" t="n">
        <v>44153</v>
      </c>
      <c r="C520" s="1" t="n">
        <v>45826</v>
      </c>
      <c r="D520" t="inlineStr">
        <is>
          <t>JÄMTLANDS LÄN</t>
        </is>
      </c>
      <c r="E520" t="inlineStr">
        <is>
          <t>RAGUNDA</t>
        </is>
      </c>
      <c r="G520" t="n">
        <v>1.2</v>
      </c>
      <c r="H520" t="n">
        <v>0</v>
      </c>
      <c r="I520" t="n">
        <v>0</v>
      </c>
      <c r="J520" t="n">
        <v>0</v>
      </c>
      <c r="K520" t="n">
        <v>0</v>
      </c>
      <c r="L520" t="n">
        <v>0</v>
      </c>
      <c r="M520" t="n">
        <v>0</v>
      </c>
      <c r="N520" t="n">
        <v>0</v>
      </c>
      <c r="O520" t="n">
        <v>0</v>
      </c>
      <c r="P520" t="n">
        <v>0</v>
      </c>
      <c r="Q520" t="n">
        <v>0</v>
      </c>
      <c r="R520" s="2" t="inlineStr"/>
    </row>
    <row r="521" ht="15" customHeight="1">
      <c r="A521" t="inlineStr">
        <is>
          <t>A 61395-2020</t>
        </is>
      </c>
      <c r="B521" s="1" t="n">
        <v>44155</v>
      </c>
      <c r="C521" s="1" t="n">
        <v>45826</v>
      </c>
      <c r="D521" t="inlineStr">
        <is>
          <t>JÄMTLANDS LÄN</t>
        </is>
      </c>
      <c r="E521" t="inlineStr">
        <is>
          <t>RAGUNDA</t>
        </is>
      </c>
      <c r="G521" t="n">
        <v>4.7</v>
      </c>
      <c r="H521" t="n">
        <v>0</v>
      </c>
      <c r="I521" t="n">
        <v>0</v>
      </c>
      <c r="J521" t="n">
        <v>0</v>
      </c>
      <c r="K521" t="n">
        <v>0</v>
      </c>
      <c r="L521" t="n">
        <v>0</v>
      </c>
      <c r="M521" t="n">
        <v>0</v>
      </c>
      <c r="N521" t="n">
        <v>0</v>
      </c>
      <c r="O521" t="n">
        <v>0</v>
      </c>
      <c r="P521" t="n">
        <v>0</v>
      </c>
      <c r="Q521" t="n">
        <v>0</v>
      </c>
      <c r="R521" s="2" t="inlineStr"/>
    </row>
    <row r="522" ht="15" customHeight="1">
      <c r="A522" t="inlineStr">
        <is>
          <t>A 61441-2020</t>
        </is>
      </c>
      <c r="B522" s="1" t="n">
        <v>44157</v>
      </c>
      <c r="C522" s="1" t="n">
        <v>45826</v>
      </c>
      <c r="D522" t="inlineStr">
        <is>
          <t>JÄMTLANDS LÄN</t>
        </is>
      </c>
      <c r="E522" t="inlineStr">
        <is>
          <t>RAGUNDA</t>
        </is>
      </c>
      <c r="G522" t="n">
        <v>0.4</v>
      </c>
      <c r="H522" t="n">
        <v>0</v>
      </c>
      <c r="I522" t="n">
        <v>0</v>
      </c>
      <c r="J522" t="n">
        <v>0</v>
      </c>
      <c r="K522" t="n">
        <v>0</v>
      </c>
      <c r="L522" t="n">
        <v>0</v>
      </c>
      <c r="M522" t="n">
        <v>0</v>
      </c>
      <c r="N522" t="n">
        <v>0</v>
      </c>
      <c r="O522" t="n">
        <v>0</v>
      </c>
      <c r="P522" t="n">
        <v>0</v>
      </c>
      <c r="Q522" t="n">
        <v>0</v>
      </c>
      <c r="R522" s="2" t="inlineStr"/>
    </row>
    <row r="523" ht="15" customHeight="1">
      <c r="A523" t="inlineStr">
        <is>
          <t>A 62228-2020</t>
        </is>
      </c>
      <c r="B523" s="1" t="n">
        <v>44159</v>
      </c>
      <c r="C523" s="1" t="n">
        <v>45826</v>
      </c>
      <c r="D523" t="inlineStr">
        <is>
          <t>JÄMTLANDS LÄN</t>
        </is>
      </c>
      <c r="E523" t="inlineStr">
        <is>
          <t>RAGUNDA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63606-2020</t>
        </is>
      </c>
      <c r="B524" s="1" t="n">
        <v>44165</v>
      </c>
      <c r="C524" s="1" t="n">
        <v>45826</v>
      </c>
      <c r="D524" t="inlineStr">
        <is>
          <t>JÄMTLANDS LÄN</t>
        </is>
      </c>
      <c r="E524" t="inlineStr">
        <is>
          <t>RAGUNDA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63597-2020</t>
        </is>
      </c>
      <c r="B525" s="1" t="n">
        <v>44165</v>
      </c>
      <c r="C525" s="1" t="n">
        <v>45826</v>
      </c>
      <c r="D525" t="inlineStr">
        <is>
          <t>JÄMTLANDS LÄN</t>
        </is>
      </c>
      <c r="E525" t="inlineStr">
        <is>
          <t>RAGUNDA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64187-2020</t>
        </is>
      </c>
      <c r="B526" s="1" t="n">
        <v>44167</v>
      </c>
      <c r="C526" s="1" t="n">
        <v>45826</v>
      </c>
      <c r="D526" t="inlineStr">
        <is>
          <t>JÄMTLANDS LÄN</t>
        </is>
      </c>
      <c r="E526" t="inlineStr">
        <is>
          <t>RAGUNDA</t>
        </is>
      </c>
      <c r="F526" t="inlineStr">
        <is>
          <t>SCA</t>
        </is>
      </c>
      <c r="G526" t="n">
        <v>7.8</v>
      </c>
      <c r="H526" t="n">
        <v>0</v>
      </c>
      <c r="I526" t="n">
        <v>0</v>
      </c>
      <c r="J526" t="n">
        <v>0</v>
      </c>
      <c r="K526" t="n">
        <v>0</v>
      </c>
      <c r="L526" t="n">
        <v>0</v>
      </c>
      <c r="M526" t="n">
        <v>0</v>
      </c>
      <c r="N526" t="n">
        <v>0</v>
      </c>
      <c r="O526" t="n">
        <v>0</v>
      </c>
      <c r="P526" t="n">
        <v>0</v>
      </c>
      <c r="Q526" t="n">
        <v>0</v>
      </c>
      <c r="R526" s="2" t="inlineStr"/>
    </row>
    <row r="527" ht="15" customHeight="1">
      <c r="A527" t="inlineStr">
        <is>
          <t>A 64386-2020</t>
        </is>
      </c>
      <c r="B527" s="1" t="n">
        <v>44168</v>
      </c>
      <c r="C527" s="1" t="n">
        <v>45826</v>
      </c>
      <c r="D527" t="inlineStr">
        <is>
          <t>JÄMTLANDS LÄN</t>
        </is>
      </c>
      <c r="E527" t="inlineStr">
        <is>
          <t>RAGUNDA</t>
        </is>
      </c>
      <c r="G527" t="n">
        <v>2.5</v>
      </c>
      <c r="H527" t="n">
        <v>0</v>
      </c>
      <c r="I527" t="n">
        <v>0</v>
      </c>
      <c r="J527" t="n">
        <v>0</v>
      </c>
      <c r="K527" t="n">
        <v>0</v>
      </c>
      <c r="L527" t="n">
        <v>0</v>
      </c>
      <c r="M527" t="n">
        <v>0</v>
      </c>
      <c r="N527" t="n">
        <v>0</v>
      </c>
      <c r="O527" t="n">
        <v>0</v>
      </c>
      <c r="P527" t="n">
        <v>0</v>
      </c>
      <c r="Q527" t="n">
        <v>0</v>
      </c>
      <c r="R527" s="2" t="inlineStr"/>
    </row>
    <row r="528" ht="15" customHeight="1">
      <c r="A528" t="inlineStr">
        <is>
          <t>A 65260-2020</t>
        </is>
      </c>
      <c r="B528" s="1" t="n">
        <v>44172</v>
      </c>
      <c r="C528" s="1" t="n">
        <v>45826</v>
      </c>
      <c r="D528" t="inlineStr">
        <is>
          <t>JÄMTLANDS LÄN</t>
        </is>
      </c>
      <c r="E528" t="inlineStr">
        <is>
          <t>RAGUNDA</t>
        </is>
      </c>
      <c r="F528" t="inlineStr">
        <is>
          <t>SCA</t>
        </is>
      </c>
      <c r="G528" t="n">
        <v>7.8</v>
      </c>
      <c r="H528" t="n">
        <v>0</v>
      </c>
      <c r="I528" t="n">
        <v>0</v>
      </c>
      <c r="J528" t="n">
        <v>0</v>
      </c>
      <c r="K528" t="n">
        <v>0</v>
      </c>
      <c r="L528" t="n">
        <v>0</v>
      </c>
      <c r="M528" t="n">
        <v>0</v>
      </c>
      <c r="N528" t="n">
        <v>0</v>
      </c>
      <c r="O528" t="n">
        <v>0</v>
      </c>
      <c r="P528" t="n">
        <v>0</v>
      </c>
      <c r="Q528" t="n">
        <v>0</v>
      </c>
      <c r="R528" s="2" t="inlineStr"/>
    </row>
    <row r="529" ht="15" customHeight="1">
      <c r="A529" t="inlineStr">
        <is>
          <t>A 65341-2020</t>
        </is>
      </c>
      <c r="B529" s="1" t="n">
        <v>44173</v>
      </c>
      <c r="C529" s="1" t="n">
        <v>45826</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65898-2020</t>
        </is>
      </c>
      <c r="B530" s="1" t="n">
        <v>44174</v>
      </c>
      <c r="C530" s="1" t="n">
        <v>45826</v>
      </c>
      <c r="D530" t="inlineStr">
        <is>
          <t>JÄMTLANDS LÄN</t>
        </is>
      </c>
      <c r="E530" t="inlineStr">
        <is>
          <t>RAGUNDA</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66248-2020</t>
        </is>
      </c>
      <c r="B531" s="1" t="n">
        <v>44175</v>
      </c>
      <c r="C531" s="1" t="n">
        <v>45826</v>
      </c>
      <c r="D531" t="inlineStr">
        <is>
          <t>JÄMTLANDS LÄN</t>
        </is>
      </c>
      <c r="E531" t="inlineStr">
        <is>
          <t>RAGUNDA</t>
        </is>
      </c>
      <c r="F531" t="inlineStr">
        <is>
          <t>SCA</t>
        </is>
      </c>
      <c r="G531" t="n">
        <v>5.6</v>
      </c>
      <c r="H531" t="n">
        <v>0</v>
      </c>
      <c r="I531" t="n">
        <v>0</v>
      </c>
      <c r="J531" t="n">
        <v>0</v>
      </c>
      <c r="K531" t="n">
        <v>0</v>
      </c>
      <c r="L531" t="n">
        <v>0</v>
      </c>
      <c r="M531" t="n">
        <v>0</v>
      </c>
      <c r="N531" t="n">
        <v>0</v>
      </c>
      <c r="O531" t="n">
        <v>0</v>
      </c>
      <c r="P531" t="n">
        <v>0</v>
      </c>
      <c r="Q531" t="n">
        <v>0</v>
      </c>
      <c r="R531" s="2" t="inlineStr"/>
    </row>
    <row r="532" ht="15" customHeight="1">
      <c r="A532" t="inlineStr">
        <is>
          <t>A 69174-2020</t>
        </is>
      </c>
      <c r="B532" s="1" t="n">
        <v>44188</v>
      </c>
      <c r="C532" s="1" t="n">
        <v>45826</v>
      </c>
      <c r="D532" t="inlineStr">
        <is>
          <t>JÄMTLANDS LÄN</t>
        </is>
      </c>
      <c r="E532" t="inlineStr">
        <is>
          <t>RAGUNDA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69481-2020</t>
        </is>
      </c>
      <c r="B533" s="1" t="n">
        <v>44194</v>
      </c>
      <c r="C533" s="1" t="n">
        <v>45826</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69618-2020</t>
        </is>
      </c>
      <c r="B534" s="1" t="n">
        <v>44195</v>
      </c>
      <c r="C534" s="1" t="n">
        <v>45826</v>
      </c>
      <c r="D534" t="inlineStr">
        <is>
          <t>JÄMTLANDS LÄN</t>
        </is>
      </c>
      <c r="E534" t="inlineStr">
        <is>
          <t>RAGUNDA</t>
        </is>
      </c>
      <c r="G534" t="n">
        <v>2.4</v>
      </c>
      <c r="H534" t="n">
        <v>0</v>
      </c>
      <c r="I534" t="n">
        <v>0</v>
      </c>
      <c r="J534" t="n">
        <v>0</v>
      </c>
      <c r="K534" t="n">
        <v>0</v>
      </c>
      <c r="L534" t="n">
        <v>0</v>
      </c>
      <c r="M534" t="n">
        <v>0</v>
      </c>
      <c r="N534" t="n">
        <v>0</v>
      </c>
      <c r="O534" t="n">
        <v>0</v>
      </c>
      <c r="P534" t="n">
        <v>0</v>
      </c>
      <c r="Q534" t="n">
        <v>0</v>
      </c>
      <c r="R534" s="2" t="inlineStr"/>
    </row>
    <row r="535" ht="15" customHeight="1">
      <c r="A535" t="inlineStr">
        <is>
          <t>A 1990-2021</t>
        </is>
      </c>
      <c r="B535" s="1" t="n">
        <v>44210</v>
      </c>
      <c r="C535" s="1" t="n">
        <v>45826</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2469-2021</t>
        </is>
      </c>
      <c r="B536" s="1" t="n">
        <v>44214</v>
      </c>
      <c r="C536" s="1" t="n">
        <v>45826</v>
      </c>
      <c r="D536" t="inlineStr">
        <is>
          <t>JÄMTLANDS LÄN</t>
        </is>
      </c>
      <c r="E536" t="inlineStr">
        <is>
          <t>RAGUNDA</t>
        </is>
      </c>
      <c r="G536" t="n">
        <v>1.1</v>
      </c>
      <c r="H536" t="n">
        <v>0</v>
      </c>
      <c r="I536" t="n">
        <v>0</v>
      </c>
      <c r="J536" t="n">
        <v>0</v>
      </c>
      <c r="K536" t="n">
        <v>0</v>
      </c>
      <c r="L536" t="n">
        <v>0</v>
      </c>
      <c r="M536" t="n">
        <v>0</v>
      </c>
      <c r="N536" t="n">
        <v>0</v>
      </c>
      <c r="O536" t="n">
        <v>0</v>
      </c>
      <c r="P536" t="n">
        <v>0</v>
      </c>
      <c r="Q536" t="n">
        <v>0</v>
      </c>
      <c r="R536" s="2" t="inlineStr"/>
    </row>
    <row r="537" ht="15" customHeight="1">
      <c r="A537" t="inlineStr">
        <is>
          <t>A 3571-2021</t>
        </is>
      </c>
      <c r="B537" s="1" t="n">
        <v>44218</v>
      </c>
      <c r="C537" s="1" t="n">
        <v>45826</v>
      </c>
      <c r="D537" t="inlineStr">
        <is>
          <t>JÄMTLANDS LÄN</t>
        </is>
      </c>
      <c r="E537" t="inlineStr">
        <is>
          <t>RAGUNDA</t>
        </is>
      </c>
      <c r="G537" t="n">
        <v>2.6</v>
      </c>
      <c r="H537" t="n">
        <v>0</v>
      </c>
      <c r="I537" t="n">
        <v>0</v>
      </c>
      <c r="J537" t="n">
        <v>0</v>
      </c>
      <c r="K537" t="n">
        <v>0</v>
      </c>
      <c r="L537" t="n">
        <v>0</v>
      </c>
      <c r="M537" t="n">
        <v>0</v>
      </c>
      <c r="N537" t="n">
        <v>0</v>
      </c>
      <c r="O537" t="n">
        <v>0</v>
      </c>
      <c r="P537" t="n">
        <v>0</v>
      </c>
      <c r="Q537" t="n">
        <v>0</v>
      </c>
      <c r="R537" s="2" t="inlineStr"/>
    </row>
    <row r="538" ht="15" customHeight="1">
      <c r="A538" t="inlineStr">
        <is>
          <t>A 4826-2021</t>
        </is>
      </c>
      <c r="B538" s="1" t="n">
        <v>44225</v>
      </c>
      <c r="C538" s="1" t="n">
        <v>45826</v>
      </c>
      <c r="D538" t="inlineStr">
        <is>
          <t>JÄMTLANDS LÄN</t>
        </is>
      </c>
      <c r="E538" t="inlineStr">
        <is>
          <t>RAGUNDA</t>
        </is>
      </c>
      <c r="G538" t="n">
        <v>2.2</v>
      </c>
      <c r="H538" t="n">
        <v>0</v>
      </c>
      <c r="I538" t="n">
        <v>0</v>
      </c>
      <c r="J538" t="n">
        <v>0</v>
      </c>
      <c r="K538" t="n">
        <v>0</v>
      </c>
      <c r="L538" t="n">
        <v>0</v>
      </c>
      <c r="M538" t="n">
        <v>0</v>
      </c>
      <c r="N538" t="n">
        <v>0</v>
      </c>
      <c r="O538" t="n">
        <v>0</v>
      </c>
      <c r="P538" t="n">
        <v>0</v>
      </c>
      <c r="Q538" t="n">
        <v>0</v>
      </c>
      <c r="R538" s="2" t="inlineStr"/>
    </row>
    <row r="539" ht="15" customHeight="1">
      <c r="A539" t="inlineStr">
        <is>
          <t>A 5130-2021</t>
        </is>
      </c>
      <c r="B539" s="1" t="n">
        <v>44228</v>
      </c>
      <c r="C539" s="1" t="n">
        <v>45826</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5462-2021</t>
        </is>
      </c>
      <c r="B540" s="1" t="n">
        <v>44229</v>
      </c>
      <c r="C540" s="1" t="n">
        <v>45826</v>
      </c>
      <c r="D540" t="inlineStr">
        <is>
          <t>JÄMTLANDS LÄN</t>
        </is>
      </c>
      <c r="E540" t="inlineStr">
        <is>
          <t>RAGUNDA</t>
        </is>
      </c>
      <c r="G540" t="n">
        <v>1.8</v>
      </c>
      <c r="H540" t="n">
        <v>0</v>
      </c>
      <c r="I540" t="n">
        <v>0</v>
      </c>
      <c r="J540" t="n">
        <v>0</v>
      </c>
      <c r="K540" t="n">
        <v>0</v>
      </c>
      <c r="L540" t="n">
        <v>0</v>
      </c>
      <c r="M540" t="n">
        <v>0</v>
      </c>
      <c r="N540" t="n">
        <v>0</v>
      </c>
      <c r="O540" t="n">
        <v>0</v>
      </c>
      <c r="P540" t="n">
        <v>0</v>
      </c>
      <c r="Q540" t="n">
        <v>0</v>
      </c>
      <c r="R540" s="2" t="inlineStr"/>
    </row>
    <row r="541" ht="15" customHeight="1">
      <c r="A541" t="inlineStr">
        <is>
          <t>A 5803-2021</t>
        </is>
      </c>
      <c r="B541" s="1" t="n">
        <v>44230</v>
      </c>
      <c r="C541" s="1" t="n">
        <v>45826</v>
      </c>
      <c r="D541" t="inlineStr">
        <is>
          <t>JÄMTLANDS LÄN</t>
        </is>
      </c>
      <c r="E541" t="inlineStr">
        <is>
          <t>RAGUNDA</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5967-2021</t>
        </is>
      </c>
      <c r="B542" s="1" t="n">
        <v>44231</v>
      </c>
      <c r="C542" s="1" t="n">
        <v>45826</v>
      </c>
      <c r="D542" t="inlineStr">
        <is>
          <t>JÄMTLANDS LÄN</t>
        </is>
      </c>
      <c r="E542" t="inlineStr">
        <is>
          <t>RAGUNDA</t>
        </is>
      </c>
      <c r="G542" t="n">
        <v>3.6</v>
      </c>
      <c r="H542" t="n">
        <v>0</v>
      </c>
      <c r="I542" t="n">
        <v>0</v>
      </c>
      <c r="J542" t="n">
        <v>0</v>
      </c>
      <c r="K542" t="n">
        <v>0</v>
      </c>
      <c r="L542" t="n">
        <v>0</v>
      </c>
      <c r="M542" t="n">
        <v>0</v>
      </c>
      <c r="N542" t="n">
        <v>0</v>
      </c>
      <c r="O542" t="n">
        <v>0</v>
      </c>
      <c r="P542" t="n">
        <v>0</v>
      </c>
      <c r="Q542" t="n">
        <v>0</v>
      </c>
      <c r="R542" s="2" t="inlineStr"/>
    </row>
    <row r="543" ht="15" customHeight="1">
      <c r="A543" t="inlineStr">
        <is>
          <t>A 5958-2021</t>
        </is>
      </c>
      <c r="B543" s="1" t="n">
        <v>44231</v>
      </c>
      <c r="C543" s="1" t="n">
        <v>45826</v>
      </c>
      <c r="D543" t="inlineStr">
        <is>
          <t>JÄMTLANDS LÄN</t>
        </is>
      </c>
      <c r="E543" t="inlineStr">
        <is>
          <t>RAGUNDA</t>
        </is>
      </c>
      <c r="G543" t="n">
        <v>3.1</v>
      </c>
      <c r="H543" t="n">
        <v>0</v>
      </c>
      <c r="I543" t="n">
        <v>0</v>
      </c>
      <c r="J543" t="n">
        <v>0</v>
      </c>
      <c r="K543" t="n">
        <v>0</v>
      </c>
      <c r="L543" t="n">
        <v>0</v>
      </c>
      <c r="M543" t="n">
        <v>0</v>
      </c>
      <c r="N543" t="n">
        <v>0</v>
      </c>
      <c r="O543" t="n">
        <v>0</v>
      </c>
      <c r="P543" t="n">
        <v>0</v>
      </c>
      <c r="Q543" t="n">
        <v>0</v>
      </c>
      <c r="R543" s="2" t="inlineStr"/>
    </row>
    <row r="544" ht="15" customHeight="1">
      <c r="A544" t="inlineStr">
        <is>
          <t>A 6802-2021</t>
        </is>
      </c>
      <c r="B544" s="1" t="n">
        <v>44236</v>
      </c>
      <c r="C544" s="1" t="n">
        <v>45826</v>
      </c>
      <c r="D544" t="inlineStr">
        <is>
          <t>JÄMTLANDS LÄN</t>
        </is>
      </c>
      <c r="E544" t="inlineStr">
        <is>
          <t>RAGUNDA</t>
        </is>
      </c>
      <c r="G544" t="n">
        <v>11.2</v>
      </c>
      <c r="H544" t="n">
        <v>0</v>
      </c>
      <c r="I544" t="n">
        <v>0</v>
      </c>
      <c r="J544" t="n">
        <v>0</v>
      </c>
      <c r="K544" t="n">
        <v>0</v>
      </c>
      <c r="L544" t="n">
        <v>0</v>
      </c>
      <c r="M544" t="n">
        <v>0</v>
      </c>
      <c r="N544" t="n">
        <v>0</v>
      </c>
      <c r="O544" t="n">
        <v>0</v>
      </c>
      <c r="P544" t="n">
        <v>0</v>
      </c>
      <c r="Q544" t="n">
        <v>0</v>
      </c>
      <c r="R544" s="2" t="inlineStr"/>
    </row>
    <row r="545" ht="15" customHeight="1">
      <c r="A545" t="inlineStr">
        <is>
          <t>A 7575-2021</t>
        </is>
      </c>
      <c r="B545" s="1" t="n">
        <v>44239</v>
      </c>
      <c r="C545" s="1" t="n">
        <v>45826</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7886-2021</t>
        </is>
      </c>
      <c r="B546" s="1" t="n">
        <v>44242</v>
      </c>
      <c r="C546" s="1" t="n">
        <v>45826</v>
      </c>
      <c r="D546" t="inlineStr">
        <is>
          <t>JÄMTLANDS LÄN</t>
        </is>
      </c>
      <c r="E546" t="inlineStr">
        <is>
          <t>RAGUNDA</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8033-2021</t>
        </is>
      </c>
      <c r="B547" s="1" t="n">
        <v>44243</v>
      </c>
      <c r="C547" s="1" t="n">
        <v>45826</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8626-2021</t>
        </is>
      </c>
      <c r="B548" s="1" t="n">
        <v>44245</v>
      </c>
      <c r="C548" s="1" t="n">
        <v>45826</v>
      </c>
      <c r="D548" t="inlineStr">
        <is>
          <t>JÄMTLANDS LÄN</t>
        </is>
      </c>
      <c r="E548" t="inlineStr">
        <is>
          <t>RAGUNDA</t>
        </is>
      </c>
      <c r="G548" t="n">
        <v>3.3</v>
      </c>
      <c r="H548" t="n">
        <v>0</v>
      </c>
      <c r="I548" t="n">
        <v>0</v>
      </c>
      <c r="J548" t="n">
        <v>0</v>
      </c>
      <c r="K548" t="n">
        <v>0</v>
      </c>
      <c r="L548" t="n">
        <v>0</v>
      </c>
      <c r="M548" t="n">
        <v>0</v>
      </c>
      <c r="N548" t="n">
        <v>0</v>
      </c>
      <c r="O548" t="n">
        <v>0</v>
      </c>
      <c r="P548" t="n">
        <v>0</v>
      </c>
      <c r="Q548" t="n">
        <v>0</v>
      </c>
      <c r="R548" s="2" t="inlineStr"/>
    </row>
    <row r="549" ht="15" customHeight="1">
      <c r="A549" t="inlineStr">
        <is>
          <t>A 10938-2021</t>
        </is>
      </c>
      <c r="B549" s="1" t="n">
        <v>44259</v>
      </c>
      <c r="C549" s="1" t="n">
        <v>45826</v>
      </c>
      <c r="D549" t="inlineStr">
        <is>
          <t>JÄMTLANDS LÄN</t>
        </is>
      </c>
      <c r="E549" t="inlineStr">
        <is>
          <t>RAGUNDA</t>
        </is>
      </c>
      <c r="G549" t="n">
        <v>10.4</v>
      </c>
      <c r="H549" t="n">
        <v>0</v>
      </c>
      <c r="I549" t="n">
        <v>0</v>
      </c>
      <c r="J549" t="n">
        <v>0</v>
      </c>
      <c r="K549" t="n">
        <v>0</v>
      </c>
      <c r="L549" t="n">
        <v>0</v>
      </c>
      <c r="M549" t="n">
        <v>0</v>
      </c>
      <c r="N549" t="n">
        <v>0</v>
      </c>
      <c r="O549" t="n">
        <v>0</v>
      </c>
      <c r="P549" t="n">
        <v>0</v>
      </c>
      <c r="Q549" t="n">
        <v>0</v>
      </c>
      <c r="R549" s="2" t="inlineStr"/>
    </row>
    <row r="550" ht="15" customHeight="1">
      <c r="A550" t="inlineStr">
        <is>
          <t>A 10937-2021</t>
        </is>
      </c>
      <c r="B550" s="1" t="n">
        <v>44259</v>
      </c>
      <c r="C550" s="1" t="n">
        <v>45826</v>
      </c>
      <c r="D550" t="inlineStr">
        <is>
          <t>JÄMTLANDS LÄN</t>
        </is>
      </c>
      <c r="E550" t="inlineStr">
        <is>
          <t>RAGUNDA</t>
        </is>
      </c>
      <c r="G550" t="n">
        <v>10.8</v>
      </c>
      <c r="H550" t="n">
        <v>0</v>
      </c>
      <c r="I550" t="n">
        <v>0</v>
      </c>
      <c r="J550" t="n">
        <v>0</v>
      </c>
      <c r="K550" t="n">
        <v>0</v>
      </c>
      <c r="L550" t="n">
        <v>0</v>
      </c>
      <c r="M550" t="n">
        <v>0</v>
      </c>
      <c r="N550" t="n">
        <v>0</v>
      </c>
      <c r="O550" t="n">
        <v>0</v>
      </c>
      <c r="P550" t="n">
        <v>0</v>
      </c>
      <c r="Q550" t="n">
        <v>0</v>
      </c>
      <c r="R550" s="2" t="inlineStr"/>
    </row>
    <row r="551" ht="15" customHeight="1">
      <c r="A551" t="inlineStr">
        <is>
          <t>A 13571-2021</t>
        </is>
      </c>
      <c r="B551" s="1" t="n">
        <v>44273</v>
      </c>
      <c r="C551" s="1" t="n">
        <v>45826</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13570-2021</t>
        </is>
      </c>
      <c r="B552" s="1" t="n">
        <v>44273</v>
      </c>
      <c r="C552" s="1" t="n">
        <v>45826</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13569-2021</t>
        </is>
      </c>
      <c r="B553" s="1" t="n">
        <v>44273</v>
      </c>
      <c r="C553" s="1" t="n">
        <v>45826</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14790-2021</t>
        </is>
      </c>
      <c r="B554" s="1" t="n">
        <v>44280</v>
      </c>
      <c r="C554" s="1" t="n">
        <v>45826</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14776-2021</t>
        </is>
      </c>
      <c r="B555" s="1" t="n">
        <v>44280</v>
      </c>
      <c r="C555" s="1" t="n">
        <v>45826</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15102-2021</t>
        </is>
      </c>
      <c r="B556" s="1" t="n">
        <v>44281</v>
      </c>
      <c r="C556" s="1" t="n">
        <v>45826</v>
      </c>
      <c r="D556" t="inlineStr">
        <is>
          <t>JÄMTLANDS LÄN</t>
        </is>
      </c>
      <c r="E556" t="inlineStr">
        <is>
          <t>RAGUNDA</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15720-2021</t>
        </is>
      </c>
      <c r="B557" s="1" t="n">
        <v>44286</v>
      </c>
      <c r="C557" s="1" t="n">
        <v>45826</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15672-2021</t>
        </is>
      </c>
      <c r="B558" s="1" t="n">
        <v>44286</v>
      </c>
      <c r="C558" s="1" t="n">
        <v>45826</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16002-2021</t>
        </is>
      </c>
      <c r="B559" s="1" t="n">
        <v>44287</v>
      </c>
      <c r="C559" s="1" t="n">
        <v>45826</v>
      </c>
      <c r="D559" t="inlineStr">
        <is>
          <t>JÄMTLANDS LÄN</t>
        </is>
      </c>
      <c r="E559" t="inlineStr">
        <is>
          <t>RAGUNDA</t>
        </is>
      </c>
      <c r="G559" t="n">
        <v>3.6</v>
      </c>
      <c r="H559" t="n">
        <v>0</v>
      </c>
      <c r="I559" t="n">
        <v>0</v>
      </c>
      <c r="J559" t="n">
        <v>0</v>
      </c>
      <c r="K559" t="n">
        <v>0</v>
      </c>
      <c r="L559" t="n">
        <v>0</v>
      </c>
      <c r="M559" t="n">
        <v>0</v>
      </c>
      <c r="N559" t="n">
        <v>0</v>
      </c>
      <c r="O559" t="n">
        <v>0</v>
      </c>
      <c r="P559" t="n">
        <v>0</v>
      </c>
      <c r="Q559" t="n">
        <v>0</v>
      </c>
      <c r="R559" s="2" t="inlineStr"/>
    </row>
    <row r="560" ht="15" customHeight="1">
      <c r="A560" t="inlineStr">
        <is>
          <t>A 16379-2021</t>
        </is>
      </c>
      <c r="B560" s="1" t="n">
        <v>44292</v>
      </c>
      <c r="C560" s="1" t="n">
        <v>45826</v>
      </c>
      <c r="D560" t="inlineStr">
        <is>
          <t>JÄMTLANDS LÄN</t>
        </is>
      </c>
      <c r="E560" t="inlineStr">
        <is>
          <t>RAGUNDA</t>
        </is>
      </c>
      <c r="G560" t="n">
        <v>2</v>
      </c>
      <c r="H560" t="n">
        <v>0</v>
      </c>
      <c r="I560" t="n">
        <v>0</v>
      </c>
      <c r="J560" t="n">
        <v>0</v>
      </c>
      <c r="K560" t="n">
        <v>0</v>
      </c>
      <c r="L560" t="n">
        <v>0</v>
      </c>
      <c r="M560" t="n">
        <v>0</v>
      </c>
      <c r="N560" t="n">
        <v>0</v>
      </c>
      <c r="O560" t="n">
        <v>0</v>
      </c>
      <c r="P560" t="n">
        <v>0</v>
      </c>
      <c r="Q560" t="n">
        <v>0</v>
      </c>
      <c r="R560" s="2" t="inlineStr"/>
    </row>
    <row r="561" ht="15" customHeight="1">
      <c r="A561" t="inlineStr">
        <is>
          <t>A 17315-2021</t>
        </is>
      </c>
      <c r="B561" s="1" t="n">
        <v>44298</v>
      </c>
      <c r="C561" s="1" t="n">
        <v>45826</v>
      </c>
      <c r="D561" t="inlineStr">
        <is>
          <t>JÄMTLANDS LÄN</t>
        </is>
      </c>
      <c r="E561" t="inlineStr">
        <is>
          <t>RAGUNDA</t>
        </is>
      </c>
      <c r="G561" t="n">
        <v>0.6</v>
      </c>
      <c r="H561" t="n">
        <v>0</v>
      </c>
      <c r="I561" t="n">
        <v>0</v>
      </c>
      <c r="J561" t="n">
        <v>0</v>
      </c>
      <c r="K561" t="n">
        <v>0</v>
      </c>
      <c r="L561" t="n">
        <v>0</v>
      </c>
      <c r="M561" t="n">
        <v>0</v>
      </c>
      <c r="N561" t="n">
        <v>0</v>
      </c>
      <c r="O561" t="n">
        <v>0</v>
      </c>
      <c r="P561" t="n">
        <v>0</v>
      </c>
      <c r="Q561" t="n">
        <v>0</v>
      </c>
      <c r="R561" s="2" t="inlineStr"/>
    </row>
    <row r="562" ht="15" customHeight="1">
      <c r="A562" t="inlineStr">
        <is>
          <t>A 17598-2021</t>
        </is>
      </c>
      <c r="B562" s="1" t="n">
        <v>44299</v>
      </c>
      <c r="C562" s="1" t="n">
        <v>45826</v>
      </c>
      <c r="D562" t="inlineStr">
        <is>
          <t>JÄMTLANDS LÄN</t>
        </is>
      </c>
      <c r="E562" t="inlineStr">
        <is>
          <t>RAGUNDA</t>
        </is>
      </c>
      <c r="G562" t="n">
        <v>4.6</v>
      </c>
      <c r="H562" t="n">
        <v>0</v>
      </c>
      <c r="I562" t="n">
        <v>0</v>
      </c>
      <c r="J562" t="n">
        <v>0</v>
      </c>
      <c r="K562" t="n">
        <v>0</v>
      </c>
      <c r="L562" t="n">
        <v>0</v>
      </c>
      <c r="M562" t="n">
        <v>0</v>
      </c>
      <c r="N562" t="n">
        <v>0</v>
      </c>
      <c r="O562" t="n">
        <v>0</v>
      </c>
      <c r="P562" t="n">
        <v>0</v>
      </c>
      <c r="Q562" t="n">
        <v>0</v>
      </c>
      <c r="R562" s="2" t="inlineStr"/>
    </row>
    <row r="563" ht="15" customHeight="1">
      <c r="A563" t="inlineStr">
        <is>
          <t>A 18454-2021</t>
        </is>
      </c>
      <c r="B563" s="1" t="n">
        <v>44306</v>
      </c>
      <c r="C563" s="1" t="n">
        <v>45826</v>
      </c>
      <c r="D563" t="inlineStr">
        <is>
          <t>JÄMTLANDS LÄN</t>
        </is>
      </c>
      <c r="E563" t="inlineStr">
        <is>
          <t>RAGUNDA</t>
        </is>
      </c>
      <c r="G563" t="n">
        <v>1.3</v>
      </c>
      <c r="H563" t="n">
        <v>0</v>
      </c>
      <c r="I563" t="n">
        <v>0</v>
      </c>
      <c r="J563" t="n">
        <v>0</v>
      </c>
      <c r="K563" t="n">
        <v>0</v>
      </c>
      <c r="L563" t="n">
        <v>0</v>
      </c>
      <c r="M563" t="n">
        <v>0</v>
      </c>
      <c r="N563" t="n">
        <v>0</v>
      </c>
      <c r="O563" t="n">
        <v>0</v>
      </c>
      <c r="P563" t="n">
        <v>0</v>
      </c>
      <c r="Q563" t="n">
        <v>0</v>
      </c>
      <c r="R563" s="2" t="inlineStr"/>
    </row>
    <row r="564" ht="15" customHeight="1">
      <c r="A564" t="inlineStr">
        <is>
          <t>A 19615-2021</t>
        </is>
      </c>
      <c r="B564" s="1" t="n">
        <v>44308</v>
      </c>
      <c r="C564" s="1" t="n">
        <v>45826</v>
      </c>
      <c r="D564" t="inlineStr">
        <is>
          <t>JÄMTLANDS LÄN</t>
        </is>
      </c>
      <c r="E564" t="inlineStr">
        <is>
          <t>RAGUNDA</t>
        </is>
      </c>
      <c r="G564" t="n">
        <v>1.4</v>
      </c>
      <c r="H564" t="n">
        <v>0</v>
      </c>
      <c r="I564" t="n">
        <v>0</v>
      </c>
      <c r="J564" t="n">
        <v>0</v>
      </c>
      <c r="K564" t="n">
        <v>0</v>
      </c>
      <c r="L564" t="n">
        <v>0</v>
      </c>
      <c r="M564" t="n">
        <v>0</v>
      </c>
      <c r="N564" t="n">
        <v>0</v>
      </c>
      <c r="O564" t="n">
        <v>0</v>
      </c>
      <c r="P564" t="n">
        <v>0</v>
      </c>
      <c r="Q564" t="n">
        <v>0</v>
      </c>
      <c r="R564" s="2" t="inlineStr"/>
    </row>
    <row r="565" ht="15" customHeight="1">
      <c r="A565" t="inlineStr">
        <is>
          <t>A 19612-2021</t>
        </is>
      </c>
      <c r="B565" s="1" t="n">
        <v>44308</v>
      </c>
      <c r="C565" s="1" t="n">
        <v>45826</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19600-2021</t>
        </is>
      </c>
      <c r="B566" s="1" t="n">
        <v>44308</v>
      </c>
      <c r="C566" s="1" t="n">
        <v>45826</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19595-2021</t>
        </is>
      </c>
      <c r="B567" s="1" t="n">
        <v>44308</v>
      </c>
      <c r="C567" s="1" t="n">
        <v>45826</v>
      </c>
      <c r="D567" t="inlineStr">
        <is>
          <t>JÄMTLANDS LÄN</t>
        </is>
      </c>
      <c r="E567" t="inlineStr">
        <is>
          <t>RAGUNDA</t>
        </is>
      </c>
      <c r="G567" t="n">
        <v>5.4</v>
      </c>
      <c r="H567" t="n">
        <v>0</v>
      </c>
      <c r="I567" t="n">
        <v>0</v>
      </c>
      <c r="J567" t="n">
        <v>0</v>
      </c>
      <c r="K567" t="n">
        <v>0</v>
      </c>
      <c r="L567" t="n">
        <v>0</v>
      </c>
      <c r="M567" t="n">
        <v>0</v>
      </c>
      <c r="N567" t="n">
        <v>0</v>
      </c>
      <c r="O567" t="n">
        <v>0</v>
      </c>
      <c r="P567" t="n">
        <v>0</v>
      </c>
      <c r="Q567" t="n">
        <v>0</v>
      </c>
      <c r="R567" s="2" t="inlineStr"/>
    </row>
    <row r="568" ht="15" customHeight="1">
      <c r="A568" t="inlineStr">
        <is>
          <t>A 20548-2021</t>
        </is>
      </c>
      <c r="B568" s="1" t="n">
        <v>44315</v>
      </c>
      <c r="C568" s="1" t="n">
        <v>45826</v>
      </c>
      <c r="D568" t="inlineStr">
        <is>
          <t>JÄMTLANDS LÄN</t>
        </is>
      </c>
      <c r="E568" t="inlineStr">
        <is>
          <t>RAGUNDA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22655-2021</t>
        </is>
      </c>
      <c r="B569" s="1" t="n">
        <v>44322</v>
      </c>
      <c r="C569" s="1" t="n">
        <v>45826</v>
      </c>
      <c r="D569" t="inlineStr">
        <is>
          <t>JÄMTLANDS LÄN</t>
        </is>
      </c>
      <c r="E569" t="inlineStr">
        <is>
          <t>RAGUNDA</t>
        </is>
      </c>
      <c r="G569" t="n">
        <v>5.8</v>
      </c>
      <c r="H569" t="n">
        <v>0</v>
      </c>
      <c r="I569" t="n">
        <v>0</v>
      </c>
      <c r="J569" t="n">
        <v>0</v>
      </c>
      <c r="K569" t="n">
        <v>0</v>
      </c>
      <c r="L569" t="n">
        <v>0</v>
      </c>
      <c r="M569" t="n">
        <v>0</v>
      </c>
      <c r="N569" t="n">
        <v>0</v>
      </c>
      <c r="O569" t="n">
        <v>0</v>
      </c>
      <c r="P569" t="n">
        <v>0</v>
      </c>
      <c r="Q569" t="n">
        <v>0</v>
      </c>
      <c r="R569" s="2" t="inlineStr"/>
    </row>
    <row r="570" ht="15" customHeight="1">
      <c r="A570" t="inlineStr">
        <is>
          <t>A 22131-2021</t>
        </is>
      </c>
      <c r="B570" s="1" t="n">
        <v>44323</v>
      </c>
      <c r="C570" s="1" t="n">
        <v>45826</v>
      </c>
      <c r="D570" t="inlineStr">
        <is>
          <t>JÄMTLANDS LÄN</t>
        </is>
      </c>
      <c r="E570" t="inlineStr">
        <is>
          <t>RAGUNDA</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23169-2021</t>
        </is>
      </c>
      <c r="B571" s="1" t="n">
        <v>44332</v>
      </c>
      <c r="C571" s="1" t="n">
        <v>45826</v>
      </c>
      <c r="D571" t="inlineStr">
        <is>
          <t>JÄMTLANDS LÄN</t>
        </is>
      </c>
      <c r="E571" t="inlineStr">
        <is>
          <t>RAGUNDA</t>
        </is>
      </c>
      <c r="F571" t="inlineStr">
        <is>
          <t>SCA</t>
        </is>
      </c>
      <c r="G571" t="n">
        <v>59.9</v>
      </c>
      <c r="H571" t="n">
        <v>0</v>
      </c>
      <c r="I571" t="n">
        <v>0</v>
      </c>
      <c r="J571" t="n">
        <v>0</v>
      </c>
      <c r="K571" t="n">
        <v>0</v>
      </c>
      <c r="L571" t="n">
        <v>0</v>
      </c>
      <c r="M571" t="n">
        <v>0</v>
      </c>
      <c r="N571" t="n">
        <v>0</v>
      </c>
      <c r="O571" t="n">
        <v>0</v>
      </c>
      <c r="P571" t="n">
        <v>0</v>
      </c>
      <c r="Q571" t="n">
        <v>0</v>
      </c>
      <c r="R571" s="2" t="inlineStr"/>
    </row>
    <row r="572" ht="15" customHeight="1">
      <c r="A572" t="inlineStr">
        <is>
          <t>A 24171-2021</t>
        </is>
      </c>
      <c r="B572" s="1" t="n">
        <v>44336</v>
      </c>
      <c r="C572" s="1" t="n">
        <v>45826</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24280-2021</t>
        </is>
      </c>
      <c r="B573" s="1" t="n">
        <v>44336</v>
      </c>
      <c r="C573" s="1" t="n">
        <v>45826</v>
      </c>
      <c r="D573" t="inlineStr">
        <is>
          <t>JÄMTLANDS LÄN</t>
        </is>
      </c>
      <c r="E573" t="inlineStr">
        <is>
          <t>RAGUNDA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25811-2021</t>
        </is>
      </c>
      <c r="B574" s="1" t="n">
        <v>44344</v>
      </c>
      <c r="C574" s="1" t="n">
        <v>45826</v>
      </c>
      <c r="D574" t="inlineStr">
        <is>
          <t>JÄMTLANDS LÄN</t>
        </is>
      </c>
      <c r="E574" t="inlineStr">
        <is>
          <t>RAGUNDA</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26942-2021</t>
        </is>
      </c>
      <c r="B575" s="1" t="n">
        <v>44350</v>
      </c>
      <c r="C575" s="1" t="n">
        <v>45826</v>
      </c>
      <c r="D575" t="inlineStr">
        <is>
          <t>JÄMTLANDS LÄN</t>
        </is>
      </c>
      <c r="E575" t="inlineStr">
        <is>
          <t>RAGUNDA</t>
        </is>
      </c>
      <c r="G575" t="n">
        <v>6.2</v>
      </c>
      <c r="H575" t="n">
        <v>0</v>
      </c>
      <c r="I575" t="n">
        <v>0</v>
      </c>
      <c r="J575" t="n">
        <v>0</v>
      </c>
      <c r="K575" t="n">
        <v>0</v>
      </c>
      <c r="L575" t="n">
        <v>0</v>
      </c>
      <c r="M575" t="n">
        <v>0</v>
      </c>
      <c r="N575" t="n">
        <v>0</v>
      </c>
      <c r="O575" t="n">
        <v>0</v>
      </c>
      <c r="P575" t="n">
        <v>0</v>
      </c>
      <c r="Q575" t="n">
        <v>0</v>
      </c>
      <c r="R575" s="2" t="inlineStr"/>
    </row>
    <row r="576" ht="15" customHeight="1">
      <c r="A576" t="inlineStr">
        <is>
          <t>A 26948-2021</t>
        </is>
      </c>
      <c r="B576" s="1" t="n">
        <v>44350</v>
      </c>
      <c r="C576" s="1" t="n">
        <v>45826</v>
      </c>
      <c r="D576" t="inlineStr">
        <is>
          <t>JÄMTLANDS LÄN</t>
        </is>
      </c>
      <c r="E576" t="inlineStr">
        <is>
          <t>RAGUNDA</t>
        </is>
      </c>
      <c r="G576" t="n">
        <v>2.5</v>
      </c>
      <c r="H576" t="n">
        <v>0</v>
      </c>
      <c r="I576" t="n">
        <v>0</v>
      </c>
      <c r="J576" t="n">
        <v>0</v>
      </c>
      <c r="K576" t="n">
        <v>0</v>
      </c>
      <c r="L576" t="n">
        <v>0</v>
      </c>
      <c r="M576" t="n">
        <v>0</v>
      </c>
      <c r="N576" t="n">
        <v>0</v>
      </c>
      <c r="O576" t="n">
        <v>0</v>
      </c>
      <c r="P576" t="n">
        <v>0</v>
      </c>
      <c r="Q576" t="n">
        <v>0</v>
      </c>
      <c r="R576" s="2" t="inlineStr"/>
    </row>
    <row r="577" ht="15" customHeight="1">
      <c r="A577" t="inlineStr">
        <is>
          <t>A 26945-2021</t>
        </is>
      </c>
      <c r="B577" s="1" t="n">
        <v>44350</v>
      </c>
      <c r="C577" s="1" t="n">
        <v>45826</v>
      </c>
      <c r="D577" t="inlineStr">
        <is>
          <t>JÄMTLANDS LÄN</t>
        </is>
      </c>
      <c r="E577" t="inlineStr">
        <is>
          <t>RAGUNDA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26946-2021</t>
        </is>
      </c>
      <c r="B578" s="1" t="n">
        <v>44349</v>
      </c>
      <c r="C578" s="1" t="n">
        <v>45826</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27399-2021</t>
        </is>
      </c>
      <c r="B579" s="1" t="n">
        <v>44351</v>
      </c>
      <c r="C579" s="1" t="n">
        <v>45826</v>
      </c>
      <c r="D579" t="inlineStr">
        <is>
          <t>JÄMTLANDS LÄN</t>
        </is>
      </c>
      <c r="E579" t="inlineStr">
        <is>
          <t>RAGUNDA</t>
        </is>
      </c>
      <c r="F579" t="inlineStr">
        <is>
          <t>Kommuner</t>
        </is>
      </c>
      <c r="G579" t="n">
        <v>3.1</v>
      </c>
      <c r="H579" t="n">
        <v>0</v>
      </c>
      <c r="I579" t="n">
        <v>0</v>
      </c>
      <c r="J579" t="n">
        <v>0</v>
      </c>
      <c r="K579" t="n">
        <v>0</v>
      </c>
      <c r="L579" t="n">
        <v>0</v>
      </c>
      <c r="M579" t="n">
        <v>0</v>
      </c>
      <c r="N579" t="n">
        <v>0</v>
      </c>
      <c r="O579" t="n">
        <v>0</v>
      </c>
      <c r="P579" t="n">
        <v>0</v>
      </c>
      <c r="Q579" t="n">
        <v>0</v>
      </c>
      <c r="R579" s="2" t="inlineStr"/>
    </row>
    <row r="580" ht="15" customHeight="1">
      <c r="A580" t="inlineStr">
        <is>
          <t>A 27371-2021</t>
        </is>
      </c>
      <c r="B580" s="1" t="n">
        <v>44351</v>
      </c>
      <c r="C580" s="1" t="n">
        <v>45826</v>
      </c>
      <c r="D580" t="inlineStr">
        <is>
          <t>JÄMTLANDS LÄN</t>
        </is>
      </c>
      <c r="E580" t="inlineStr">
        <is>
          <t>RAGUNDA</t>
        </is>
      </c>
      <c r="F580" t="inlineStr">
        <is>
          <t>Kommuner</t>
        </is>
      </c>
      <c r="G580" t="n">
        <v>2.5</v>
      </c>
      <c r="H580" t="n">
        <v>0</v>
      </c>
      <c r="I580" t="n">
        <v>0</v>
      </c>
      <c r="J580" t="n">
        <v>0</v>
      </c>
      <c r="K580" t="n">
        <v>0</v>
      </c>
      <c r="L580" t="n">
        <v>0</v>
      </c>
      <c r="M580" t="n">
        <v>0</v>
      </c>
      <c r="N580" t="n">
        <v>0</v>
      </c>
      <c r="O580" t="n">
        <v>0</v>
      </c>
      <c r="P580" t="n">
        <v>0</v>
      </c>
      <c r="Q580" t="n">
        <v>0</v>
      </c>
      <c r="R580" s="2" t="inlineStr"/>
    </row>
    <row r="581" ht="15" customHeight="1">
      <c r="A581" t="inlineStr">
        <is>
          <t>A 28596-2021</t>
        </is>
      </c>
      <c r="B581" s="1" t="n">
        <v>44356</v>
      </c>
      <c r="C581" s="1" t="n">
        <v>45826</v>
      </c>
      <c r="D581" t="inlineStr">
        <is>
          <t>JÄMTLANDS LÄN</t>
        </is>
      </c>
      <c r="E581" t="inlineStr">
        <is>
          <t>RAGUNDA</t>
        </is>
      </c>
      <c r="G581" t="n">
        <v>5.4</v>
      </c>
      <c r="H581" t="n">
        <v>0</v>
      </c>
      <c r="I581" t="n">
        <v>0</v>
      </c>
      <c r="J581" t="n">
        <v>0</v>
      </c>
      <c r="K581" t="n">
        <v>0</v>
      </c>
      <c r="L581" t="n">
        <v>0</v>
      </c>
      <c r="M581" t="n">
        <v>0</v>
      </c>
      <c r="N581" t="n">
        <v>0</v>
      </c>
      <c r="O581" t="n">
        <v>0</v>
      </c>
      <c r="P581" t="n">
        <v>0</v>
      </c>
      <c r="Q581" t="n">
        <v>0</v>
      </c>
      <c r="R581" s="2" t="inlineStr"/>
    </row>
    <row r="582" ht="15" customHeight="1">
      <c r="A582" t="inlineStr">
        <is>
          <t>A 28597-2021</t>
        </is>
      </c>
      <c r="B582" s="1" t="n">
        <v>44357</v>
      </c>
      <c r="C582" s="1" t="n">
        <v>45826</v>
      </c>
      <c r="D582" t="inlineStr">
        <is>
          <t>JÄMTLANDS LÄN</t>
        </is>
      </c>
      <c r="E582" t="inlineStr">
        <is>
          <t>RAGUNDA</t>
        </is>
      </c>
      <c r="G582" t="n">
        <v>3.1</v>
      </c>
      <c r="H582" t="n">
        <v>0</v>
      </c>
      <c r="I582" t="n">
        <v>0</v>
      </c>
      <c r="J582" t="n">
        <v>0</v>
      </c>
      <c r="K582" t="n">
        <v>0</v>
      </c>
      <c r="L582" t="n">
        <v>0</v>
      </c>
      <c r="M582" t="n">
        <v>0</v>
      </c>
      <c r="N582" t="n">
        <v>0</v>
      </c>
      <c r="O582" t="n">
        <v>0</v>
      </c>
      <c r="P582" t="n">
        <v>0</v>
      </c>
      <c r="Q582" t="n">
        <v>0</v>
      </c>
      <c r="R582" s="2" t="inlineStr"/>
    </row>
    <row r="583" ht="15" customHeight="1">
      <c r="A583" t="inlineStr">
        <is>
          <t>A 28887-2021</t>
        </is>
      </c>
      <c r="B583" s="1" t="n">
        <v>44357</v>
      </c>
      <c r="C583" s="1" t="n">
        <v>45826</v>
      </c>
      <c r="D583" t="inlineStr">
        <is>
          <t>JÄMTLANDS LÄN</t>
        </is>
      </c>
      <c r="E583" t="inlineStr">
        <is>
          <t>RAGUNDA</t>
        </is>
      </c>
      <c r="G583" t="n">
        <v>1.8</v>
      </c>
      <c r="H583" t="n">
        <v>0</v>
      </c>
      <c r="I583" t="n">
        <v>0</v>
      </c>
      <c r="J583" t="n">
        <v>0</v>
      </c>
      <c r="K583" t="n">
        <v>0</v>
      </c>
      <c r="L583" t="n">
        <v>0</v>
      </c>
      <c r="M583" t="n">
        <v>0</v>
      </c>
      <c r="N583" t="n">
        <v>0</v>
      </c>
      <c r="O583" t="n">
        <v>0</v>
      </c>
      <c r="P583" t="n">
        <v>0</v>
      </c>
      <c r="Q583" t="n">
        <v>0</v>
      </c>
      <c r="R583" s="2" t="inlineStr"/>
    </row>
    <row r="584" ht="15" customHeight="1">
      <c r="A584" t="inlineStr">
        <is>
          <t>A 29409-2021</t>
        </is>
      </c>
      <c r="B584" s="1" t="n">
        <v>44361</v>
      </c>
      <c r="C584" s="1" t="n">
        <v>45826</v>
      </c>
      <c r="D584" t="inlineStr">
        <is>
          <t>JÄMTLANDS LÄN</t>
        </is>
      </c>
      <c r="E584" t="inlineStr">
        <is>
          <t>RAGUNDA</t>
        </is>
      </c>
      <c r="G584" t="n">
        <v>0.3</v>
      </c>
      <c r="H584" t="n">
        <v>0</v>
      </c>
      <c r="I584" t="n">
        <v>0</v>
      </c>
      <c r="J584" t="n">
        <v>0</v>
      </c>
      <c r="K584" t="n">
        <v>0</v>
      </c>
      <c r="L584" t="n">
        <v>0</v>
      </c>
      <c r="M584" t="n">
        <v>0</v>
      </c>
      <c r="N584" t="n">
        <v>0</v>
      </c>
      <c r="O584" t="n">
        <v>0</v>
      </c>
      <c r="P584" t="n">
        <v>0</v>
      </c>
      <c r="Q584" t="n">
        <v>0</v>
      </c>
      <c r="R584" s="2" t="inlineStr"/>
    </row>
    <row r="585" ht="15" customHeight="1">
      <c r="A585" t="inlineStr">
        <is>
          <t>A 30438-2021</t>
        </is>
      </c>
      <c r="B585" s="1" t="n">
        <v>44362</v>
      </c>
      <c r="C585" s="1" t="n">
        <v>45826</v>
      </c>
      <c r="D585" t="inlineStr">
        <is>
          <t>JÄMTLANDS LÄN</t>
        </is>
      </c>
      <c r="E585" t="inlineStr">
        <is>
          <t>RAGUNDA</t>
        </is>
      </c>
      <c r="G585" t="n">
        <v>5</v>
      </c>
      <c r="H585" t="n">
        <v>0</v>
      </c>
      <c r="I585" t="n">
        <v>0</v>
      </c>
      <c r="J585" t="n">
        <v>0</v>
      </c>
      <c r="K585" t="n">
        <v>0</v>
      </c>
      <c r="L585" t="n">
        <v>0</v>
      </c>
      <c r="M585" t="n">
        <v>0</v>
      </c>
      <c r="N585" t="n">
        <v>0</v>
      </c>
      <c r="O585" t="n">
        <v>0</v>
      </c>
      <c r="P585" t="n">
        <v>0</v>
      </c>
      <c r="Q585" t="n">
        <v>0</v>
      </c>
      <c r="R585" s="2" t="inlineStr"/>
    </row>
    <row r="586" ht="15" customHeight="1">
      <c r="A586" t="inlineStr">
        <is>
          <t>A 30459-2021</t>
        </is>
      </c>
      <c r="B586" s="1" t="n">
        <v>44362</v>
      </c>
      <c r="C586" s="1" t="n">
        <v>45826</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30581-2021</t>
        </is>
      </c>
      <c r="B587" s="1" t="n">
        <v>44365</v>
      </c>
      <c r="C587" s="1" t="n">
        <v>45826</v>
      </c>
      <c r="D587" t="inlineStr">
        <is>
          <t>JÄMTLANDS LÄN</t>
        </is>
      </c>
      <c r="E587" t="inlineStr">
        <is>
          <t>RAGUNDA</t>
        </is>
      </c>
      <c r="G587" t="n">
        <v>4.2</v>
      </c>
      <c r="H587" t="n">
        <v>0</v>
      </c>
      <c r="I587" t="n">
        <v>0</v>
      </c>
      <c r="J587" t="n">
        <v>0</v>
      </c>
      <c r="K587" t="n">
        <v>0</v>
      </c>
      <c r="L587" t="n">
        <v>0</v>
      </c>
      <c r="M587" t="n">
        <v>0</v>
      </c>
      <c r="N587" t="n">
        <v>0</v>
      </c>
      <c r="O587" t="n">
        <v>0</v>
      </c>
      <c r="P587" t="n">
        <v>0</v>
      </c>
      <c r="Q587" t="n">
        <v>0</v>
      </c>
      <c r="R587" s="2" t="inlineStr"/>
    </row>
    <row r="588" ht="15" customHeight="1">
      <c r="A588" t="inlineStr">
        <is>
          <t>A 31158-2021</t>
        </is>
      </c>
      <c r="B588" s="1" t="n">
        <v>44368</v>
      </c>
      <c r="C588" s="1" t="n">
        <v>45826</v>
      </c>
      <c r="D588" t="inlineStr">
        <is>
          <t>JÄMTLANDS LÄN</t>
        </is>
      </c>
      <c r="E588" t="inlineStr">
        <is>
          <t>RAGUNDA</t>
        </is>
      </c>
      <c r="G588" t="n">
        <v>0.5</v>
      </c>
      <c r="H588" t="n">
        <v>0</v>
      </c>
      <c r="I588" t="n">
        <v>0</v>
      </c>
      <c r="J588" t="n">
        <v>0</v>
      </c>
      <c r="K588" t="n">
        <v>0</v>
      </c>
      <c r="L588" t="n">
        <v>0</v>
      </c>
      <c r="M588" t="n">
        <v>0</v>
      </c>
      <c r="N588" t="n">
        <v>0</v>
      </c>
      <c r="O588" t="n">
        <v>0</v>
      </c>
      <c r="P588" t="n">
        <v>0</v>
      </c>
      <c r="Q588" t="n">
        <v>0</v>
      </c>
      <c r="R588" s="2" t="inlineStr"/>
    </row>
    <row r="589" ht="15" customHeight="1">
      <c r="A589" t="inlineStr">
        <is>
          <t>A 32832-2021</t>
        </is>
      </c>
      <c r="B589" s="1" t="n">
        <v>44375</v>
      </c>
      <c r="C589" s="1" t="n">
        <v>45826</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34348-2021</t>
        </is>
      </c>
      <c r="B590" s="1" t="n">
        <v>44379</v>
      </c>
      <c r="C590" s="1" t="n">
        <v>45826</v>
      </c>
      <c r="D590" t="inlineStr">
        <is>
          <t>JÄMTLANDS LÄN</t>
        </is>
      </c>
      <c r="E590" t="inlineStr">
        <is>
          <t>RAGUNDA</t>
        </is>
      </c>
      <c r="G590" t="n">
        <v>8.1</v>
      </c>
      <c r="H590" t="n">
        <v>0</v>
      </c>
      <c r="I590" t="n">
        <v>0</v>
      </c>
      <c r="J590" t="n">
        <v>0</v>
      </c>
      <c r="K590" t="n">
        <v>0</v>
      </c>
      <c r="L590" t="n">
        <v>0</v>
      </c>
      <c r="M590" t="n">
        <v>0</v>
      </c>
      <c r="N590" t="n">
        <v>0</v>
      </c>
      <c r="O590" t="n">
        <v>0</v>
      </c>
      <c r="P590" t="n">
        <v>0</v>
      </c>
      <c r="Q590" t="n">
        <v>0</v>
      </c>
      <c r="R590" s="2" t="inlineStr"/>
    </row>
    <row r="591" ht="15" customHeight="1">
      <c r="A591" t="inlineStr">
        <is>
          <t>A 35537-2021</t>
        </is>
      </c>
      <c r="B591" s="1" t="n">
        <v>44384</v>
      </c>
      <c r="C591" s="1" t="n">
        <v>45826</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35386-2021</t>
        </is>
      </c>
      <c r="B592" s="1" t="n">
        <v>44385</v>
      </c>
      <c r="C592" s="1" t="n">
        <v>45826</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35988-2021</t>
        </is>
      </c>
      <c r="B593" s="1" t="n">
        <v>44385</v>
      </c>
      <c r="C593" s="1" t="n">
        <v>45826</v>
      </c>
      <c r="D593" t="inlineStr">
        <is>
          <t>JÄMTLANDS LÄN</t>
        </is>
      </c>
      <c r="E593" t="inlineStr">
        <is>
          <t>RAGUNDA</t>
        </is>
      </c>
      <c r="G593" t="n">
        <v>4.1</v>
      </c>
      <c r="H593" t="n">
        <v>0</v>
      </c>
      <c r="I593" t="n">
        <v>0</v>
      </c>
      <c r="J593" t="n">
        <v>0</v>
      </c>
      <c r="K593" t="n">
        <v>0</v>
      </c>
      <c r="L593" t="n">
        <v>0</v>
      </c>
      <c r="M593" t="n">
        <v>0</v>
      </c>
      <c r="N593" t="n">
        <v>0</v>
      </c>
      <c r="O593" t="n">
        <v>0</v>
      </c>
      <c r="P593" t="n">
        <v>0</v>
      </c>
      <c r="Q593" t="n">
        <v>0</v>
      </c>
      <c r="R593" s="2" t="inlineStr"/>
    </row>
    <row r="594" ht="15" customHeight="1">
      <c r="A594" t="inlineStr">
        <is>
          <t>A 36227-2021</t>
        </is>
      </c>
      <c r="B594" s="1" t="n">
        <v>44390</v>
      </c>
      <c r="C594" s="1" t="n">
        <v>45826</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36228-2021</t>
        </is>
      </c>
      <c r="B595" s="1" t="n">
        <v>44390</v>
      </c>
      <c r="C595" s="1" t="n">
        <v>45826</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36230-2021</t>
        </is>
      </c>
      <c r="B596" s="1" t="n">
        <v>44390</v>
      </c>
      <c r="C596" s="1" t="n">
        <v>45826</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37227-2021</t>
        </is>
      </c>
      <c r="B597" s="1" t="n">
        <v>44396</v>
      </c>
      <c r="C597" s="1" t="n">
        <v>45826</v>
      </c>
      <c r="D597" t="inlineStr">
        <is>
          <t>JÄMTLANDS LÄN</t>
        </is>
      </c>
      <c r="E597" t="inlineStr">
        <is>
          <t>RAGUNDA</t>
        </is>
      </c>
      <c r="G597" t="n">
        <v>10.1</v>
      </c>
      <c r="H597" t="n">
        <v>0</v>
      </c>
      <c r="I597" t="n">
        <v>0</v>
      </c>
      <c r="J597" t="n">
        <v>0</v>
      </c>
      <c r="K597" t="n">
        <v>0</v>
      </c>
      <c r="L597" t="n">
        <v>0</v>
      </c>
      <c r="M597" t="n">
        <v>0</v>
      </c>
      <c r="N597" t="n">
        <v>0</v>
      </c>
      <c r="O597" t="n">
        <v>0</v>
      </c>
      <c r="P597" t="n">
        <v>0</v>
      </c>
      <c r="Q597" t="n">
        <v>0</v>
      </c>
      <c r="R597" s="2" t="inlineStr"/>
    </row>
    <row r="598" ht="15" customHeight="1">
      <c r="A598" t="inlineStr">
        <is>
          <t>A 37806-2021</t>
        </is>
      </c>
      <c r="B598" s="1" t="n">
        <v>44402</v>
      </c>
      <c r="C598" s="1" t="n">
        <v>45826</v>
      </c>
      <c r="D598" t="inlineStr">
        <is>
          <t>JÄMTLANDS LÄN</t>
        </is>
      </c>
      <c r="E598" t="inlineStr">
        <is>
          <t>RAGUNDA</t>
        </is>
      </c>
      <c r="G598" t="n">
        <v>0.3</v>
      </c>
      <c r="H598" t="n">
        <v>0</v>
      </c>
      <c r="I598" t="n">
        <v>0</v>
      </c>
      <c r="J598" t="n">
        <v>0</v>
      </c>
      <c r="K598" t="n">
        <v>0</v>
      </c>
      <c r="L598" t="n">
        <v>0</v>
      </c>
      <c r="M598" t="n">
        <v>0</v>
      </c>
      <c r="N598" t="n">
        <v>0</v>
      </c>
      <c r="O598" t="n">
        <v>0</v>
      </c>
      <c r="P598" t="n">
        <v>0</v>
      </c>
      <c r="Q598" t="n">
        <v>0</v>
      </c>
      <c r="R598" s="2" t="inlineStr"/>
    </row>
    <row r="599" ht="15" customHeight="1">
      <c r="A599" t="inlineStr">
        <is>
          <t>A 38212-2021</t>
        </is>
      </c>
      <c r="B599" s="1" t="n">
        <v>44405</v>
      </c>
      <c r="C599" s="1" t="n">
        <v>45826</v>
      </c>
      <c r="D599" t="inlineStr">
        <is>
          <t>JÄMTLANDS LÄN</t>
        </is>
      </c>
      <c r="E599" t="inlineStr">
        <is>
          <t>RAGUNDA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44406</v>
      </c>
      <c r="C600" s="1" t="n">
        <v>45826</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38269-2021</t>
        </is>
      </c>
      <c r="B601" s="1" t="n">
        <v>44406</v>
      </c>
      <c r="C601" s="1" t="n">
        <v>45826</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38782-2021</t>
        </is>
      </c>
      <c r="B602" s="1" t="n">
        <v>44410</v>
      </c>
      <c r="C602" s="1" t="n">
        <v>45826</v>
      </c>
      <c r="D602" t="inlineStr">
        <is>
          <t>JÄMTLANDS LÄN</t>
        </is>
      </c>
      <c r="E602" t="inlineStr">
        <is>
          <t>RAGUNDA</t>
        </is>
      </c>
      <c r="G602" t="n">
        <v>3.2</v>
      </c>
      <c r="H602" t="n">
        <v>0</v>
      </c>
      <c r="I602" t="n">
        <v>0</v>
      </c>
      <c r="J602" t="n">
        <v>0</v>
      </c>
      <c r="K602" t="n">
        <v>0</v>
      </c>
      <c r="L602" t="n">
        <v>0</v>
      </c>
      <c r="M602" t="n">
        <v>0</v>
      </c>
      <c r="N602" t="n">
        <v>0</v>
      </c>
      <c r="O602" t="n">
        <v>0</v>
      </c>
      <c r="P602" t="n">
        <v>0</v>
      </c>
      <c r="Q602" t="n">
        <v>0</v>
      </c>
      <c r="R602" s="2" t="inlineStr"/>
    </row>
    <row r="603" ht="15" customHeight="1">
      <c r="A603" t="inlineStr">
        <is>
          <t>A 39258-2021</t>
        </is>
      </c>
      <c r="B603" s="1" t="n">
        <v>44413</v>
      </c>
      <c r="C603" s="1" t="n">
        <v>45826</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40213-2021</t>
        </is>
      </c>
      <c r="B604" s="1" t="n">
        <v>44419</v>
      </c>
      <c r="C604" s="1" t="n">
        <v>45826</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40770-2021</t>
        </is>
      </c>
      <c r="B605" s="1" t="n">
        <v>44421</v>
      </c>
      <c r="C605" s="1" t="n">
        <v>45826</v>
      </c>
      <c r="D605" t="inlineStr">
        <is>
          <t>JÄMTLANDS LÄN</t>
        </is>
      </c>
      <c r="E605" t="inlineStr">
        <is>
          <t>RAGUNDA</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41062-2021</t>
        </is>
      </c>
      <c r="B606" s="1" t="n">
        <v>44422</v>
      </c>
      <c r="C606" s="1" t="n">
        <v>45826</v>
      </c>
      <c r="D606" t="inlineStr">
        <is>
          <t>JÄMTLANDS LÄN</t>
        </is>
      </c>
      <c r="E606" t="inlineStr">
        <is>
          <t>RAGUNDA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41262-2021</t>
        </is>
      </c>
      <c r="B607" s="1" t="n">
        <v>44424</v>
      </c>
      <c r="C607" s="1" t="n">
        <v>45826</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41613-2021</t>
        </is>
      </c>
      <c r="B608" s="1" t="n">
        <v>44425</v>
      </c>
      <c r="C608" s="1" t="n">
        <v>45826</v>
      </c>
      <c r="D608" t="inlineStr">
        <is>
          <t>JÄMTLANDS LÄN</t>
        </is>
      </c>
      <c r="E608" t="inlineStr">
        <is>
          <t>RAGUNDA</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41609-2021</t>
        </is>
      </c>
      <c r="B609" s="1" t="n">
        <v>44425</v>
      </c>
      <c r="C609" s="1" t="n">
        <v>45826</v>
      </c>
      <c r="D609" t="inlineStr">
        <is>
          <t>JÄMTLANDS LÄN</t>
        </is>
      </c>
      <c r="E609" t="inlineStr">
        <is>
          <t>RAGUNDA</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41606-2021</t>
        </is>
      </c>
      <c r="B610" s="1" t="n">
        <v>44425</v>
      </c>
      <c r="C610" s="1" t="n">
        <v>45826</v>
      </c>
      <c r="D610" t="inlineStr">
        <is>
          <t>JÄMTLANDS LÄN</t>
        </is>
      </c>
      <c r="E610" t="inlineStr">
        <is>
          <t>RAGUNDA</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42260-2021</t>
        </is>
      </c>
      <c r="B611" s="1" t="n">
        <v>44427</v>
      </c>
      <c r="C611" s="1" t="n">
        <v>45826</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42537-2021</t>
        </is>
      </c>
      <c r="B612" s="1" t="n">
        <v>44428</v>
      </c>
      <c r="C612" s="1" t="n">
        <v>45826</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43040-2021</t>
        </is>
      </c>
      <c r="B613" s="1" t="n">
        <v>44431</v>
      </c>
      <c r="C613" s="1" t="n">
        <v>45826</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44163-2021</t>
        </is>
      </c>
      <c r="B614" s="1" t="n">
        <v>44434</v>
      </c>
      <c r="C614" s="1" t="n">
        <v>45826</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44241-2021</t>
        </is>
      </c>
      <c r="B615" s="1" t="n">
        <v>44435</v>
      </c>
      <c r="C615" s="1" t="n">
        <v>45826</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44247-2021</t>
        </is>
      </c>
      <c r="B616" s="1" t="n">
        <v>44435</v>
      </c>
      <c r="C616" s="1" t="n">
        <v>45826</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46228-2021</t>
        </is>
      </c>
      <c r="B617" s="1" t="n">
        <v>44441</v>
      </c>
      <c r="C617" s="1" t="n">
        <v>45826</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46368-2021</t>
        </is>
      </c>
      <c r="B618" s="1" t="n">
        <v>44443</v>
      </c>
      <c r="C618" s="1" t="n">
        <v>45826</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46401-2021</t>
        </is>
      </c>
      <c r="B619" s="1" t="n">
        <v>44443</v>
      </c>
      <c r="C619" s="1" t="n">
        <v>45826</v>
      </c>
      <c r="D619" t="inlineStr">
        <is>
          <t>JÄMTLANDS LÄN</t>
        </is>
      </c>
      <c r="E619" t="inlineStr">
        <is>
          <t>RAGUNDA</t>
        </is>
      </c>
      <c r="G619" t="n">
        <v>7</v>
      </c>
      <c r="H619" t="n">
        <v>0</v>
      </c>
      <c r="I619" t="n">
        <v>0</v>
      </c>
      <c r="J619" t="n">
        <v>0</v>
      </c>
      <c r="K619" t="n">
        <v>0</v>
      </c>
      <c r="L619" t="n">
        <v>0</v>
      </c>
      <c r="M619" t="n">
        <v>0</v>
      </c>
      <c r="N619" t="n">
        <v>0</v>
      </c>
      <c r="O619" t="n">
        <v>0</v>
      </c>
      <c r="P619" t="n">
        <v>0</v>
      </c>
      <c r="Q619" t="n">
        <v>0</v>
      </c>
      <c r="R619" s="2" t="inlineStr"/>
    </row>
    <row r="620" ht="15" customHeight="1">
      <c r="A620" t="inlineStr">
        <is>
          <t>A 47548-2021</t>
        </is>
      </c>
      <c r="B620" s="1" t="n">
        <v>44448</v>
      </c>
      <c r="C620" s="1" t="n">
        <v>45826</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47546-2021</t>
        </is>
      </c>
      <c r="B621" s="1" t="n">
        <v>44448</v>
      </c>
      <c r="C621" s="1" t="n">
        <v>45826</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47996-2021</t>
        </is>
      </c>
      <c r="B622" s="1" t="n">
        <v>44448</v>
      </c>
      <c r="C622" s="1" t="n">
        <v>45826</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48832-2021</t>
        </is>
      </c>
      <c r="B623" s="1" t="n">
        <v>44452</v>
      </c>
      <c r="C623" s="1" t="n">
        <v>45826</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49202-2021</t>
        </is>
      </c>
      <c r="B624" s="1" t="n">
        <v>44453</v>
      </c>
      <c r="C624" s="1" t="n">
        <v>45826</v>
      </c>
      <c r="D624" t="inlineStr">
        <is>
          <t>JÄMTLANDS LÄN</t>
        </is>
      </c>
      <c r="E624" t="inlineStr">
        <is>
          <t>RAGUNDA</t>
        </is>
      </c>
      <c r="G624" t="n">
        <v>23.4</v>
      </c>
      <c r="H624" t="n">
        <v>0</v>
      </c>
      <c r="I624" t="n">
        <v>0</v>
      </c>
      <c r="J624" t="n">
        <v>0</v>
      </c>
      <c r="K624" t="n">
        <v>0</v>
      </c>
      <c r="L624" t="n">
        <v>0</v>
      </c>
      <c r="M624" t="n">
        <v>0</v>
      </c>
      <c r="N624" t="n">
        <v>0</v>
      </c>
      <c r="O624" t="n">
        <v>0</v>
      </c>
      <c r="P624" t="n">
        <v>0</v>
      </c>
      <c r="Q624" t="n">
        <v>0</v>
      </c>
      <c r="R624" s="2" t="inlineStr"/>
    </row>
    <row r="625" ht="15" customHeight="1">
      <c r="A625" t="inlineStr">
        <is>
          <t>A 50168-2021</t>
        </is>
      </c>
      <c r="B625" s="1" t="n">
        <v>44457</v>
      </c>
      <c r="C625" s="1" t="n">
        <v>45826</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52334-2021</t>
        </is>
      </c>
      <c r="B626" s="1" t="n">
        <v>44464</v>
      </c>
      <c r="C626" s="1" t="n">
        <v>45826</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52333-2021</t>
        </is>
      </c>
      <c r="B627" s="1" t="n">
        <v>44464</v>
      </c>
      <c r="C627" s="1" t="n">
        <v>45826</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55701-2021</t>
        </is>
      </c>
      <c r="B628" s="1" t="n">
        <v>44475</v>
      </c>
      <c r="C628" s="1" t="n">
        <v>45826</v>
      </c>
      <c r="D628" t="inlineStr">
        <is>
          <t>JÄMTLANDS LÄN</t>
        </is>
      </c>
      <c r="E628" t="inlineStr">
        <is>
          <t>RAGUNDA</t>
        </is>
      </c>
      <c r="G628" t="n">
        <v>5.6</v>
      </c>
      <c r="H628" t="n">
        <v>0</v>
      </c>
      <c r="I628" t="n">
        <v>0</v>
      </c>
      <c r="J628" t="n">
        <v>0</v>
      </c>
      <c r="K628" t="n">
        <v>0</v>
      </c>
      <c r="L628" t="n">
        <v>0</v>
      </c>
      <c r="M628" t="n">
        <v>0</v>
      </c>
      <c r="N628" t="n">
        <v>0</v>
      </c>
      <c r="O628" t="n">
        <v>0</v>
      </c>
      <c r="P628" t="n">
        <v>0</v>
      </c>
      <c r="Q628" t="n">
        <v>0</v>
      </c>
      <c r="R628" s="2" t="inlineStr"/>
    </row>
    <row r="629" ht="15" customHeight="1">
      <c r="A629" t="inlineStr">
        <is>
          <t>A 55932-2021</t>
        </is>
      </c>
      <c r="B629" s="1" t="n">
        <v>44476</v>
      </c>
      <c r="C629" s="1" t="n">
        <v>45826</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56055-2021</t>
        </is>
      </c>
      <c r="B630" s="1" t="n">
        <v>44477</v>
      </c>
      <c r="C630" s="1" t="n">
        <v>45826</v>
      </c>
      <c r="D630" t="inlineStr">
        <is>
          <t>JÄMTLANDS LÄN</t>
        </is>
      </c>
      <c r="E630" t="inlineStr">
        <is>
          <t>RAGUNDA</t>
        </is>
      </c>
      <c r="G630" t="n">
        <v>3.9</v>
      </c>
      <c r="H630" t="n">
        <v>0</v>
      </c>
      <c r="I630" t="n">
        <v>0</v>
      </c>
      <c r="J630" t="n">
        <v>0</v>
      </c>
      <c r="K630" t="n">
        <v>0</v>
      </c>
      <c r="L630" t="n">
        <v>0</v>
      </c>
      <c r="M630" t="n">
        <v>0</v>
      </c>
      <c r="N630" t="n">
        <v>0</v>
      </c>
      <c r="O630" t="n">
        <v>0</v>
      </c>
      <c r="P630" t="n">
        <v>0</v>
      </c>
      <c r="Q630" t="n">
        <v>0</v>
      </c>
      <c r="R630" s="2" t="inlineStr"/>
    </row>
    <row r="631" ht="15" customHeight="1">
      <c r="A631" t="inlineStr">
        <is>
          <t>A 56594-2021</t>
        </is>
      </c>
      <c r="B631" s="1" t="n">
        <v>44480</v>
      </c>
      <c r="C631" s="1" t="n">
        <v>45826</v>
      </c>
      <c r="D631" t="inlineStr">
        <is>
          <t>JÄMTLANDS LÄN</t>
        </is>
      </c>
      <c r="E631" t="inlineStr">
        <is>
          <t>RAGUNDA</t>
        </is>
      </c>
      <c r="G631" t="n">
        <v>5.4</v>
      </c>
      <c r="H631" t="n">
        <v>0</v>
      </c>
      <c r="I631" t="n">
        <v>0</v>
      </c>
      <c r="J631" t="n">
        <v>0</v>
      </c>
      <c r="K631" t="n">
        <v>0</v>
      </c>
      <c r="L631" t="n">
        <v>0</v>
      </c>
      <c r="M631" t="n">
        <v>0</v>
      </c>
      <c r="N631" t="n">
        <v>0</v>
      </c>
      <c r="O631" t="n">
        <v>0</v>
      </c>
      <c r="P631" t="n">
        <v>0</v>
      </c>
      <c r="Q631" t="n">
        <v>0</v>
      </c>
      <c r="R631" s="2" t="inlineStr"/>
    </row>
    <row r="632" ht="15" customHeight="1">
      <c r="A632" t="inlineStr">
        <is>
          <t>A 57194-2021</t>
        </is>
      </c>
      <c r="B632" s="1" t="n">
        <v>44483</v>
      </c>
      <c r="C632" s="1" t="n">
        <v>45826</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58960-2021</t>
        </is>
      </c>
      <c r="B633" s="1" t="n">
        <v>44490</v>
      </c>
      <c r="C633" s="1" t="n">
        <v>45826</v>
      </c>
      <c r="D633" t="inlineStr">
        <is>
          <t>JÄMTLANDS LÄN</t>
        </is>
      </c>
      <c r="E633" t="inlineStr">
        <is>
          <t>RAGUNDA</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58984-2021</t>
        </is>
      </c>
      <c r="B634" s="1" t="n">
        <v>44490</v>
      </c>
      <c r="C634" s="1" t="n">
        <v>45826</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59321-2021</t>
        </is>
      </c>
      <c r="B635" s="1" t="n">
        <v>44491</v>
      </c>
      <c r="C635" s="1" t="n">
        <v>45826</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59996-2021</t>
        </is>
      </c>
      <c r="B636" s="1" t="n">
        <v>44495</v>
      </c>
      <c r="C636" s="1" t="n">
        <v>45826</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60313-2021</t>
        </is>
      </c>
      <c r="B637" s="1" t="n">
        <v>44495</v>
      </c>
      <c r="C637" s="1" t="n">
        <v>45826</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60312-2021</t>
        </is>
      </c>
      <c r="B638" s="1" t="n">
        <v>44496</v>
      </c>
      <c r="C638" s="1" t="n">
        <v>45826</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60957-2021</t>
        </is>
      </c>
      <c r="B639" s="1" t="n">
        <v>44496</v>
      </c>
      <c r="C639" s="1" t="n">
        <v>45826</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61442-2021</t>
        </is>
      </c>
      <c r="B640" s="1" t="n">
        <v>44500</v>
      </c>
      <c r="C640" s="1" t="n">
        <v>45826</v>
      </c>
      <c r="D640" t="inlineStr">
        <is>
          <t>JÄMTLANDS LÄN</t>
        </is>
      </c>
      <c r="E640" t="inlineStr">
        <is>
          <t>RAGUNDA</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62956-2021</t>
        </is>
      </c>
      <c r="B641" s="1" t="n">
        <v>44504</v>
      </c>
      <c r="C641" s="1" t="n">
        <v>45826</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63169-2021</t>
        </is>
      </c>
      <c r="B642" s="1" t="n">
        <v>44505</v>
      </c>
      <c r="C642" s="1" t="n">
        <v>45826</v>
      </c>
      <c r="D642" t="inlineStr">
        <is>
          <t>JÄMTLANDS LÄN</t>
        </is>
      </c>
      <c r="E642" t="inlineStr">
        <is>
          <t>RAGUNDA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63168-2021</t>
        </is>
      </c>
      <c r="B643" s="1" t="n">
        <v>44505</v>
      </c>
      <c r="C643" s="1" t="n">
        <v>45826</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64511-2021</t>
        </is>
      </c>
      <c r="B644" s="1" t="n">
        <v>44511</v>
      </c>
      <c r="C644" s="1" t="n">
        <v>45826</v>
      </c>
      <c r="D644" t="inlineStr">
        <is>
          <t>JÄMTLANDS LÄN</t>
        </is>
      </c>
      <c r="E644" t="inlineStr">
        <is>
          <t>RAGUNDA</t>
        </is>
      </c>
      <c r="G644" t="n">
        <v>19.4</v>
      </c>
      <c r="H644" t="n">
        <v>0</v>
      </c>
      <c r="I644" t="n">
        <v>0</v>
      </c>
      <c r="J644" t="n">
        <v>0</v>
      </c>
      <c r="K644" t="n">
        <v>0</v>
      </c>
      <c r="L644" t="n">
        <v>0</v>
      </c>
      <c r="M644" t="n">
        <v>0</v>
      </c>
      <c r="N644" t="n">
        <v>0</v>
      </c>
      <c r="O644" t="n">
        <v>0</v>
      </c>
      <c r="P644" t="n">
        <v>0</v>
      </c>
      <c r="Q644" t="n">
        <v>0</v>
      </c>
      <c r="R644" s="2" t="inlineStr"/>
    </row>
    <row r="645" ht="15" customHeight="1">
      <c r="A645" t="inlineStr">
        <is>
          <t>A 64629-2021</t>
        </is>
      </c>
      <c r="B645" s="1" t="n">
        <v>44511</v>
      </c>
      <c r="C645" s="1" t="n">
        <v>45826</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64959-2021</t>
        </is>
      </c>
      <c r="B646" s="1" t="n">
        <v>44512</v>
      </c>
      <c r="C646" s="1" t="n">
        <v>45826</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65017-2021</t>
        </is>
      </c>
      <c r="B647" s="1" t="n">
        <v>44512</v>
      </c>
      <c r="C647" s="1" t="n">
        <v>45826</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65424-2021</t>
        </is>
      </c>
      <c r="B648" s="1" t="n">
        <v>44515</v>
      </c>
      <c r="C648" s="1" t="n">
        <v>45826</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66147-2021</t>
        </is>
      </c>
      <c r="B649" s="1" t="n">
        <v>44517</v>
      </c>
      <c r="C649" s="1" t="n">
        <v>45826</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66059-2021</t>
        </is>
      </c>
      <c r="B650" s="1" t="n">
        <v>44517</v>
      </c>
      <c r="C650" s="1" t="n">
        <v>45826</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66472-2021</t>
        </is>
      </c>
      <c r="B651" s="1" t="n">
        <v>44518</v>
      </c>
      <c r="C651" s="1" t="n">
        <v>45826</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66471-2021</t>
        </is>
      </c>
      <c r="B652" s="1" t="n">
        <v>44518</v>
      </c>
      <c r="C652" s="1" t="n">
        <v>45826</v>
      </c>
      <c r="D652" t="inlineStr">
        <is>
          <t>JÄMTLANDS LÄN</t>
        </is>
      </c>
      <c r="E652" t="inlineStr">
        <is>
          <t>RAGUNDA</t>
        </is>
      </c>
      <c r="G652" t="n">
        <v>13.4</v>
      </c>
      <c r="H652" t="n">
        <v>0</v>
      </c>
      <c r="I652" t="n">
        <v>0</v>
      </c>
      <c r="J652" t="n">
        <v>0</v>
      </c>
      <c r="K652" t="n">
        <v>0</v>
      </c>
      <c r="L652" t="n">
        <v>0</v>
      </c>
      <c r="M652" t="n">
        <v>0</v>
      </c>
      <c r="N652" t="n">
        <v>0</v>
      </c>
      <c r="O652" t="n">
        <v>0</v>
      </c>
      <c r="P652" t="n">
        <v>0</v>
      </c>
      <c r="Q652" t="n">
        <v>0</v>
      </c>
      <c r="R652" s="2" t="inlineStr"/>
    </row>
    <row r="653" ht="15" customHeight="1">
      <c r="A653" t="inlineStr">
        <is>
          <t>A 66489-2021</t>
        </is>
      </c>
      <c r="B653" s="1" t="n">
        <v>44518</v>
      </c>
      <c r="C653" s="1" t="n">
        <v>45826</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66707-2021</t>
        </is>
      </c>
      <c r="B654" s="1" t="n">
        <v>44519</v>
      </c>
      <c r="C654" s="1" t="n">
        <v>45826</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66706-2021</t>
        </is>
      </c>
      <c r="B655" s="1" t="n">
        <v>44519</v>
      </c>
      <c r="C655" s="1" t="n">
        <v>45826</v>
      </c>
      <c r="D655" t="inlineStr">
        <is>
          <t>JÄMTLANDS LÄN</t>
        </is>
      </c>
      <c r="E655" t="inlineStr">
        <is>
          <t>RAGUNDA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66715-2021</t>
        </is>
      </c>
      <c r="B656" s="1" t="n">
        <v>44519</v>
      </c>
      <c r="C656" s="1" t="n">
        <v>45826</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69164-2021</t>
        </is>
      </c>
      <c r="B657" s="1" t="n">
        <v>44530</v>
      </c>
      <c r="C657" s="1" t="n">
        <v>45826</v>
      </c>
      <c r="D657" t="inlineStr">
        <is>
          <t>JÄMTLANDS LÄN</t>
        </is>
      </c>
      <c r="E657" t="inlineStr">
        <is>
          <t>RAGUNDA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69316-2021</t>
        </is>
      </c>
      <c r="B658" s="1" t="n">
        <v>44530</v>
      </c>
      <c r="C658" s="1" t="n">
        <v>45826</v>
      </c>
      <c r="D658" t="inlineStr">
        <is>
          <t>JÄMTLANDS LÄN</t>
        </is>
      </c>
      <c r="E658" t="inlineStr">
        <is>
          <t>RAGUNDA</t>
        </is>
      </c>
      <c r="G658" t="n">
        <v>2.3</v>
      </c>
      <c r="H658" t="n">
        <v>0</v>
      </c>
      <c r="I658" t="n">
        <v>0</v>
      </c>
      <c r="J658" t="n">
        <v>0</v>
      </c>
      <c r="K658" t="n">
        <v>0</v>
      </c>
      <c r="L658" t="n">
        <v>0</v>
      </c>
      <c r="M658" t="n">
        <v>0</v>
      </c>
      <c r="N658" t="n">
        <v>0</v>
      </c>
      <c r="O658" t="n">
        <v>0</v>
      </c>
      <c r="P658" t="n">
        <v>0</v>
      </c>
      <c r="Q658" t="n">
        <v>0</v>
      </c>
      <c r="R658" s="2" t="inlineStr"/>
    </row>
    <row r="659" ht="15" customHeight="1">
      <c r="A659" t="inlineStr">
        <is>
          <t>A 69153-2021</t>
        </is>
      </c>
      <c r="B659" s="1" t="n">
        <v>44530</v>
      </c>
      <c r="C659" s="1" t="n">
        <v>45826</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70609-2021</t>
        </is>
      </c>
      <c r="B660" s="1" t="n">
        <v>44537</v>
      </c>
      <c r="C660" s="1" t="n">
        <v>45826</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71209-2021</t>
        </is>
      </c>
      <c r="B661" s="1" t="n">
        <v>44538</v>
      </c>
      <c r="C661" s="1" t="n">
        <v>45826</v>
      </c>
      <c r="D661" t="inlineStr">
        <is>
          <t>JÄMTLANDS LÄN</t>
        </is>
      </c>
      <c r="E661" t="inlineStr">
        <is>
          <t>RAGUNDA</t>
        </is>
      </c>
      <c r="G661" t="n">
        <v>8</v>
      </c>
      <c r="H661" t="n">
        <v>0</v>
      </c>
      <c r="I661" t="n">
        <v>0</v>
      </c>
      <c r="J661" t="n">
        <v>0</v>
      </c>
      <c r="K661" t="n">
        <v>0</v>
      </c>
      <c r="L661" t="n">
        <v>0</v>
      </c>
      <c r="M661" t="n">
        <v>0</v>
      </c>
      <c r="N661" t="n">
        <v>0</v>
      </c>
      <c r="O661" t="n">
        <v>0</v>
      </c>
      <c r="P661" t="n">
        <v>0</v>
      </c>
      <c r="Q661" t="n">
        <v>0</v>
      </c>
      <c r="R661" s="2" t="inlineStr"/>
    </row>
    <row r="662" ht="15" customHeight="1">
      <c r="A662" t="inlineStr">
        <is>
          <t>A 73278-2021</t>
        </is>
      </c>
      <c r="B662" s="1" t="n">
        <v>44550</v>
      </c>
      <c r="C662" s="1" t="n">
        <v>45826</v>
      </c>
      <c r="D662" t="inlineStr">
        <is>
          <t>JÄMTLANDS LÄN</t>
        </is>
      </c>
      <c r="E662" t="inlineStr">
        <is>
          <t>RAGUNDA</t>
        </is>
      </c>
      <c r="G662" t="n">
        <v>4.4</v>
      </c>
      <c r="H662" t="n">
        <v>0</v>
      </c>
      <c r="I662" t="n">
        <v>0</v>
      </c>
      <c r="J662" t="n">
        <v>0</v>
      </c>
      <c r="K662" t="n">
        <v>0</v>
      </c>
      <c r="L662" t="n">
        <v>0</v>
      </c>
      <c r="M662" t="n">
        <v>0</v>
      </c>
      <c r="N662" t="n">
        <v>0</v>
      </c>
      <c r="O662" t="n">
        <v>0</v>
      </c>
      <c r="P662" t="n">
        <v>0</v>
      </c>
      <c r="Q662" t="n">
        <v>0</v>
      </c>
      <c r="R662" s="2" t="inlineStr"/>
    </row>
    <row r="663" ht="15" customHeight="1">
      <c r="A663" t="inlineStr">
        <is>
          <t>A 891-2022</t>
        </is>
      </c>
      <c r="B663" s="1" t="n">
        <v>44571</v>
      </c>
      <c r="C663" s="1" t="n">
        <v>45826</v>
      </c>
      <c r="D663" t="inlineStr">
        <is>
          <t>JÄMTLANDS LÄN</t>
        </is>
      </c>
      <c r="E663" t="inlineStr">
        <is>
          <t>RAGUNDA</t>
        </is>
      </c>
      <c r="G663" t="n">
        <v>1.7</v>
      </c>
      <c r="H663" t="n">
        <v>0</v>
      </c>
      <c r="I663" t="n">
        <v>0</v>
      </c>
      <c r="J663" t="n">
        <v>0</v>
      </c>
      <c r="K663" t="n">
        <v>0</v>
      </c>
      <c r="L663" t="n">
        <v>0</v>
      </c>
      <c r="M663" t="n">
        <v>0</v>
      </c>
      <c r="N663" t="n">
        <v>0</v>
      </c>
      <c r="O663" t="n">
        <v>0</v>
      </c>
      <c r="P663" t="n">
        <v>0</v>
      </c>
      <c r="Q663" t="n">
        <v>0</v>
      </c>
      <c r="R663" s="2" t="inlineStr"/>
    </row>
    <row r="664" ht="15" customHeight="1">
      <c r="A664" t="inlineStr">
        <is>
          <t>A 1540-2022</t>
        </is>
      </c>
      <c r="B664" s="1" t="n">
        <v>44573</v>
      </c>
      <c r="C664" s="1" t="n">
        <v>45826</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1782-2022</t>
        </is>
      </c>
      <c r="B665" s="1" t="n">
        <v>44574</v>
      </c>
      <c r="C665" s="1" t="n">
        <v>45826</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1858-2022</t>
        </is>
      </c>
      <c r="B666" s="1" t="n">
        <v>44574</v>
      </c>
      <c r="C666" s="1" t="n">
        <v>45826</v>
      </c>
      <c r="D666" t="inlineStr">
        <is>
          <t>JÄMTLANDS LÄN</t>
        </is>
      </c>
      <c r="E666" t="inlineStr">
        <is>
          <t>RAGUNDA</t>
        </is>
      </c>
      <c r="G666" t="n">
        <v>5.7</v>
      </c>
      <c r="H666" t="n">
        <v>0</v>
      </c>
      <c r="I666" t="n">
        <v>0</v>
      </c>
      <c r="J666" t="n">
        <v>0</v>
      </c>
      <c r="K666" t="n">
        <v>0</v>
      </c>
      <c r="L666" t="n">
        <v>0</v>
      </c>
      <c r="M666" t="n">
        <v>0</v>
      </c>
      <c r="N666" t="n">
        <v>0</v>
      </c>
      <c r="O666" t="n">
        <v>0</v>
      </c>
      <c r="P666" t="n">
        <v>0</v>
      </c>
      <c r="Q666" t="n">
        <v>0</v>
      </c>
      <c r="R666" s="2" t="inlineStr"/>
    </row>
    <row r="667" ht="15" customHeight="1">
      <c r="A667" t="inlineStr">
        <is>
          <t>A 2336-2022</t>
        </is>
      </c>
      <c r="B667" s="1" t="n">
        <v>44578</v>
      </c>
      <c r="C667" s="1" t="n">
        <v>45826</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2337-2022</t>
        </is>
      </c>
      <c r="B668" s="1" t="n">
        <v>44578</v>
      </c>
      <c r="C668" s="1" t="n">
        <v>45826</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2338-2022</t>
        </is>
      </c>
      <c r="B669" s="1" t="n">
        <v>44578</v>
      </c>
      <c r="C669" s="1" t="n">
        <v>45826</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2494-2022</t>
        </is>
      </c>
      <c r="B670" s="1" t="n">
        <v>44579</v>
      </c>
      <c r="C670" s="1" t="n">
        <v>45826</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3796-2022</t>
        </is>
      </c>
      <c r="B671" s="1" t="n">
        <v>44586</v>
      </c>
      <c r="C671" s="1" t="n">
        <v>45826</v>
      </c>
      <c r="D671" t="inlineStr">
        <is>
          <t>JÄMTLANDS LÄN</t>
        </is>
      </c>
      <c r="E671" t="inlineStr">
        <is>
          <t>RAGUNDA</t>
        </is>
      </c>
      <c r="G671" t="n">
        <v>1.2</v>
      </c>
      <c r="H671" t="n">
        <v>0</v>
      </c>
      <c r="I671" t="n">
        <v>0</v>
      </c>
      <c r="J671" t="n">
        <v>0</v>
      </c>
      <c r="K671" t="n">
        <v>0</v>
      </c>
      <c r="L671" t="n">
        <v>0</v>
      </c>
      <c r="M671" t="n">
        <v>0</v>
      </c>
      <c r="N671" t="n">
        <v>0</v>
      </c>
      <c r="O671" t="n">
        <v>0</v>
      </c>
      <c r="P671" t="n">
        <v>0</v>
      </c>
      <c r="Q671" t="n">
        <v>0</v>
      </c>
      <c r="R671" s="2" t="inlineStr"/>
    </row>
    <row r="672" ht="15" customHeight="1">
      <c r="A672" t="inlineStr">
        <is>
          <t>A 4014-2022</t>
        </is>
      </c>
      <c r="B672" s="1" t="n">
        <v>44587</v>
      </c>
      <c r="C672" s="1" t="n">
        <v>45826</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4015-2022</t>
        </is>
      </c>
      <c r="B673" s="1" t="n">
        <v>44587</v>
      </c>
      <c r="C673" s="1" t="n">
        <v>45826</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4878-2022</t>
        </is>
      </c>
      <c r="B674" s="1" t="n">
        <v>44593</v>
      </c>
      <c r="C674" s="1" t="n">
        <v>45826</v>
      </c>
      <c r="D674" t="inlineStr">
        <is>
          <t>JÄMTLANDS LÄN</t>
        </is>
      </c>
      <c r="E674" t="inlineStr">
        <is>
          <t>RAGUNDA</t>
        </is>
      </c>
      <c r="G674" t="n">
        <v>21.7</v>
      </c>
      <c r="H674" t="n">
        <v>0</v>
      </c>
      <c r="I674" t="n">
        <v>0</v>
      </c>
      <c r="J674" t="n">
        <v>0</v>
      </c>
      <c r="K674" t="n">
        <v>0</v>
      </c>
      <c r="L674" t="n">
        <v>0</v>
      </c>
      <c r="M674" t="n">
        <v>0</v>
      </c>
      <c r="N674" t="n">
        <v>0</v>
      </c>
      <c r="O674" t="n">
        <v>0</v>
      </c>
      <c r="P674" t="n">
        <v>0</v>
      </c>
      <c r="Q674" t="n">
        <v>0</v>
      </c>
      <c r="R674" s="2" t="inlineStr"/>
    </row>
    <row r="675" ht="15" customHeight="1">
      <c r="A675" t="inlineStr">
        <is>
          <t>A 5515-2022</t>
        </is>
      </c>
      <c r="B675" s="1" t="n">
        <v>44595</v>
      </c>
      <c r="C675" s="1" t="n">
        <v>45826</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5644-2022</t>
        </is>
      </c>
      <c r="B676" s="1" t="n">
        <v>44595</v>
      </c>
      <c r="C676" s="1" t="n">
        <v>45826</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5652-2022</t>
        </is>
      </c>
      <c r="B677" s="1" t="n">
        <v>44595</v>
      </c>
      <c r="C677" s="1" t="n">
        <v>45826</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6177-2022</t>
        </is>
      </c>
      <c r="B678" s="1" t="n">
        <v>44600</v>
      </c>
      <c r="C678" s="1" t="n">
        <v>45826</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6492-2022</t>
        </is>
      </c>
      <c r="B679" s="1" t="n">
        <v>44601</v>
      </c>
      <c r="C679" s="1" t="n">
        <v>45826</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6490-2022</t>
        </is>
      </c>
      <c r="B680" s="1" t="n">
        <v>44601</v>
      </c>
      <c r="C680" s="1" t="n">
        <v>45826</v>
      </c>
      <c r="D680" t="inlineStr">
        <is>
          <t>JÄMTLANDS LÄN</t>
        </is>
      </c>
      <c r="E680" t="inlineStr">
        <is>
          <t>RAGUNDA</t>
        </is>
      </c>
      <c r="G680" t="n">
        <v>3.8</v>
      </c>
      <c r="H680" t="n">
        <v>0</v>
      </c>
      <c r="I680" t="n">
        <v>0</v>
      </c>
      <c r="J680" t="n">
        <v>0</v>
      </c>
      <c r="K680" t="n">
        <v>0</v>
      </c>
      <c r="L680" t="n">
        <v>0</v>
      </c>
      <c r="M680" t="n">
        <v>0</v>
      </c>
      <c r="N680" t="n">
        <v>0</v>
      </c>
      <c r="O680" t="n">
        <v>0</v>
      </c>
      <c r="P680" t="n">
        <v>0</v>
      </c>
      <c r="Q680" t="n">
        <v>0</v>
      </c>
      <c r="R680" s="2" t="inlineStr"/>
    </row>
    <row r="681" ht="15" customHeight="1">
      <c r="A681" t="inlineStr">
        <is>
          <t>A 7448-2022</t>
        </is>
      </c>
      <c r="B681" s="1" t="n">
        <v>44606</v>
      </c>
      <c r="C681" s="1" t="n">
        <v>45826</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7668-2022</t>
        </is>
      </c>
      <c r="B682" s="1" t="n">
        <v>44607</v>
      </c>
      <c r="C682" s="1" t="n">
        <v>45826</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7695-2022</t>
        </is>
      </c>
      <c r="B683" s="1" t="n">
        <v>44607</v>
      </c>
      <c r="C683" s="1" t="n">
        <v>45826</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8231-2022</t>
        </is>
      </c>
      <c r="B684" s="1" t="n">
        <v>44609</v>
      </c>
      <c r="C684" s="1" t="n">
        <v>45826</v>
      </c>
      <c r="D684" t="inlineStr">
        <is>
          <t>JÄMTLANDS LÄN</t>
        </is>
      </c>
      <c r="E684" t="inlineStr">
        <is>
          <t>RAGUNDA</t>
        </is>
      </c>
      <c r="F684" t="inlineStr">
        <is>
          <t>SCA</t>
        </is>
      </c>
      <c r="G684" t="n">
        <v>24.1</v>
      </c>
      <c r="H684" t="n">
        <v>0</v>
      </c>
      <c r="I684" t="n">
        <v>0</v>
      </c>
      <c r="J684" t="n">
        <v>0</v>
      </c>
      <c r="K684" t="n">
        <v>0</v>
      </c>
      <c r="L684" t="n">
        <v>0</v>
      </c>
      <c r="M684" t="n">
        <v>0</v>
      </c>
      <c r="N684" t="n">
        <v>0</v>
      </c>
      <c r="O684" t="n">
        <v>0</v>
      </c>
      <c r="P684" t="n">
        <v>0</v>
      </c>
      <c r="Q684" t="n">
        <v>0</v>
      </c>
      <c r="R684" s="2" t="inlineStr"/>
    </row>
    <row r="685" ht="15" customHeight="1">
      <c r="A685" t="inlineStr">
        <is>
          <t>A 8237-2022</t>
        </is>
      </c>
      <c r="B685" s="1" t="n">
        <v>44609</v>
      </c>
      <c r="C685" s="1" t="n">
        <v>45826</v>
      </c>
      <c r="D685" t="inlineStr">
        <is>
          <t>JÄMTLANDS LÄN</t>
        </is>
      </c>
      <c r="E685" t="inlineStr">
        <is>
          <t>RAGUNDA</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8795-2022</t>
        </is>
      </c>
      <c r="B686" s="1" t="n">
        <v>44614</v>
      </c>
      <c r="C686" s="1" t="n">
        <v>45826</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8808-2022</t>
        </is>
      </c>
      <c r="B687" s="1" t="n">
        <v>44614</v>
      </c>
      <c r="C687" s="1" t="n">
        <v>45826</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8802-2022</t>
        </is>
      </c>
      <c r="B688" s="1" t="n">
        <v>44614</v>
      </c>
      <c r="C688" s="1" t="n">
        <v>45826</v>
      </c>
      <c r="D688" t="inlineStr">
        <is>
          <t>JÄMTLANDS LÄN</t>
        </is>
      </c>
      <c r="E688" t="inlineStr">
        <is>
          <t>RAGUNDA</t>
        </is>
      </c>
      <c r="G688" t="n">
        <v>2.8</v>
      </c>
      <c r="H688" t="n">
        <v>0</v>
      </c>
      <c r="I688" t="n">
        <v>0</v>
      </c>
      <c r="J688" t="n">
        <v>0</v>
      </c>
      <c r="K688" t="n">
        <v>0</v>
      </c>
      <c r="L688" t="n">
        <v>0</v>
      </c>
      <c r="M688" t="n">
        <v>0</v>
      </c>
      <c r="N688" t="n">
        <v>0</v>
      </c>
      <c r="O688" t="n">
        <v>0</v>
      </c>
      <c r="P688" t="n">
        <v>0</v>
      </c>
      <c r="Q688" t="n">
        <v>0</v>
      </c>
      <c r="R688" s="2" t="inlineStr"/>
    </row>
    <row r="689" ht="15" customHeight="1">
      <c r="A689" t="inlineStr">
        <is>
          <t>A 8811-2022</t>
        </is>
      </c>
      <c r="B689" s="1" t="n">
        <v>44614</v>
      </c>
      <c r="C689" s="1" t="n">
        <v>45826</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8787-2022</t>
        </is>
      </c>
      <c r="B690" s="1" t="n">
        <v>44614</v>
      </c>
      <c r="C690" s="1" t="n">
        <v>45826</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9187-2022</t>
        </is>
      </c>
      <c r="B691" s="1" t="n">
        <v>44615</v>
      </c>
      <c r="C691" s="1" t="n">
        <v>45826</v>
      </c>
      <c r="D691" t="inlineStr">
        <is>
          <t>JÄMTLANDS LÄN</t>
        </is>
      </c>
      <c r="E691" t="inlineStr">
        <is>
          <t>RAGUNDA</t>
        </is>
      </c>
      <c r="G691" t="n">
        <v>2</v>
      </c>
      <c r="H691" t="n">
        <v>0</v>
      </c>
      <c r="I691" t="n">
        <v>0</v>
      </c>
      <c r="J691" t="n">
        <v>0</v>
      </c>
      <c r="K691" t="n">
        <v>0</v>
      </c>
      <c r="L691" t="n">
        <v>0</v>
      </c>
      <c r="M691" t="n">
        <v>0</v>
      </c>
      <c r="N691" t="n">
        <v>0</v>
      </c>
      <c r="O691" t="n">
        <v>0</v>
      </c>
      <c r="P691" t="n">
        <v>0</v>
      </c>
      <c r="Q691" t="n">
        <v>0</v>
      </c>
      <c r="R691" s="2" t="inlineStr"/>
    </row>
    <row r="692" ht="15" customHeight="1">
      <c r="A692" t="inlineStr">
        <is>
          <t>A 9199-2022</t>
        </is>
      </c>
      <c r="B692" s="1" t="n">
        <v>44615</v>
      </c>
      <c r="C692" s="1" t="n">
        <v>45826</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9185-2022</t>
        </is>
      </c>
      <c r="B693" s="1" t="n">
        <v>44615</v>
      </c>
      <c r="C693" s="1" t="n">
        <v>45826</v>
      </c>
      <c r="D693" t="inlineStr">
        <is>
          <t>JÄMTLANDS LÄN</t>
        </is>
      </c>
      <c r="E693" t="inlineStr">
        <is>
          <t>RAGUNDA</t>
        </is>
      </c>
      <c r="G693" t="n">
        <v>1.1</v>
      </c>
      <c r="H693" t="n">
        <v>0</v>
      </c>
      <c r="I693" t="n">
        <v>0</v>
      </c>
      <c r="J693" t="n">
        <v>0</v>
      </c>
      <c r="K693" t="n">
        <v>0</v>
      </c>
      <c r="L693" t="n">
        <v>0</v>
      </c>
      <c r="M693" t="n">
        <v>0</v>
      </c>
      <c r="N693" t="n">
        <v>0</v>
      </c>
      <c r="O693" t="n">
        <v>0</v>
      </c>
      <c r="P693" t="n">
        <v>0</v>
      </c>
      <c r="Q693" t="n">
        <v>0</v>
      </c>
      <c r="R693" s="2" t="inlineStr"/>
    </row>
    <row r="694" ht="15" customHeight="1">
      <c r="A694" t="inlineStr">
        <is>
          <t>A 10120-2022</t>
        </is>
      </c>
      <c r="B694" s="1" t="n">
        <v>44621</v>
      </c>
      <c r="C694" s="1" t="n">
        <v>45826</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10905-2022</t>
        </is>
      </c>
      <c r="B695" s="1" t="n">
        <v>44627</v>
      </c>
      <c r="C695" s="1" t="n">
        <v>45826</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10972-2022</t>
        </is>
      </c>
      <c r="B696" s="1" t="n">
        <v>44628</v>
      </c>
      <c r="C696" s="1" t="n">
        <v>45826</v>
      </c>
      <c r="D696" t="inlineStr">
        <is>
          <t>JÄMTLANDS LÄN</t>
        </is>
      </c>
      <c r="E696" t="inlineStr">
        <is>
          <t>RAGUNDA</t>
        </is>
      </c>
      <c r="G696" t="n">
        <v>9.5</v>
      </c>
      <c r="H696" t="n">
        <v>0</v>
      </c>
      <c r="I696" t="n">
        <v>0</v>
      </c>
      <c r="J696" t="n">
        <v>0</v>
      </c>
      <c r="K696" t="n">
        <v>0</v>
      </c>
      <c r="L696" t="n">
        <v>0</v>
      </c>
      <c r="M696" t="n">
        <v>0</v>
      </c>
      <c r="N696" t="n">
        <v>0</v>
      </c>
      <c r="O696" t="n">
        <v>0</v>
      </c>
      <c r="P696" t="n">
        <v>0</v>
      </c>
      <c r="Q696" t="n">
        <v>0</v>
      </c>
      <c r="R696" s="2" t="inlineStr"/>
    </row>
    <row r="697" ht="15" customHeight="1">
      <c r="A697" t="inlineStr">
        <is>
          <t>A 11217-2022</t>
        </is>
      </c>
      <c r="B697" s="1" t="n">
        <v>44629</v>
      </c>
      <c r="C697" s="1" t="n">
        <v>45826</v>
      </c>
      <c r="D697" t="inlineStr">
        <is>
          <t>JÄMTLANDS LÄN</t>
        </is>
      </c>
      <c r="E697" t="inlineStr">
        <is>
          <t>RAGUNDA</t>
        </is>
      </c>
      <c r="G697" t="n">
        <v>10.2</v>
      </c>
      <c r="H697" t="n">
        <v>0</v>
      </c>
      <c r="I697" t="n">
        <v>0</v>
      </c>
      <c r="J697" t="n">
        <v>0</v>
      </c>
      <c r="K697" t="n">
        <v>0</v>
      </c>
      <c r="L697" t="n">
        <v>0</v>
      </c>
      <c r="M697" t="n">
        <v>0</v>
      </c>
      <c r="N697" t="n">
        <v>0</v>
      </c>
      <c r="O697" t="n">
        <v>0</v>
      </c>
      <c r="P697" t="n">
        <v>0</v>
      </c>
      <c r="Q697" t="n">
        <v>0</v>
      </c>
      <c r="R697" s="2" t="inlineStr"/>
    </row>
    <row r="698" ht="15" customHeight="1">
      <c r="A698" t="inlineStr">
        <is>
          <t>A 11288-2022</t>
        </is>
      </c>
      <c r="B698" s="1" t="n">
        <v>44629</v>
      </c>
      <c r="C698" s="1" t="n">
        <v>45826</v>
      </c>
      <c r="D698" t="inlineStr">
        <is>
          <t>JÄMTLANDS LÄN</t>
        </is>
      </c>
      <c r="E698" t="inlineStr">
        <is>
          <t>RAGUNDA</t>
        </is>
      </c>
      <c r="G698" t="n">
        <v>4.9</v>
      </c>
      <c r="H698" t="n">
        <v>0</v>
      </c>
      <c r="I698" t="n">
        <v>0</v>
      </c>
      <c r="J698" t="n">
        <v>0</v>
      </c>
      <c r="K698" t="n">
        <v>0</v>
      </c>
      <c r="L698" t="n">
        <v>0</v>
      </c>
      <c r="M698" t="n">
        <v>0</v>
      </c>
      <c r="N698" t="n">
        <v>0</v>
      </c>
      <c r="O698" t="n">
        <v>0</v>
      </c>
      <c r="P698" t="n">
        <v>0</v>
      </c>
      <c r="Q698" t="n">
        <v>0</v>
      </c>
      <c r="R698" s="2" t="inlineStr"/>
    </row>
    <row r="699" ht="15" customHeight="1">
      <c r="A699" t="inlineStr">
        <is>
          <t>A 11487-2022</t>
        </is>
      </c>
      <c r="B699" s="1" t="n">
        <v>44630</v>
      </c>
      <c r="C699" s="1" t="n">
        <v>45826</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12024-2022</t>
        </is>
      </c>
      <c r="B700" s="1" t="n">
        <v>44635</v>
      </c>
      <c r="C700" s="1" t="n">
        <v>45826</v>
      </c>
      <c r="D700" t="inlineStr">
        <is>
          <t>JÄMTLANDS LÄN</t>
        </is>
      </c>
      <c r="E700" t="inlineStr">
        <is>
          <t>RAGUNDA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12559-2022</t>
        </is>
      </c>
      <c r="B701" s="1" t="n">
        <v>44638</v>
      </c>
      <c r="C701" s="1" t="n">
        <v>45826</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12773-2022</t>
        </is>
      </c>
      <c r="B702" s="1" t="n">
        <v>44641</v>
      </c>
      <c r="C702" s="1" t="n">
        <v>45826</v>
      </c>
      <c r="D702" t="inlineStr">
        <is>
          <t>JÄMTLANDS LÄN</t>
        </is>
      </c>
      <c r="E702" t="inlineStr">
        <is>
          <t>RAGUNDA</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12768-2022</t>
        </is>
      </c>
      <c r="B703" s="1" t="n">
        <v>44641</v>
      </c>
      <c r="C703" s="1" t="n">
        <v>45826</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13302-2022</t>
        </is>
      </c>
      <c r="B704" s="1" t="n">
        <v>44644</v>
      </c>
      <c r="C704" s="1" t="n">
        <v>45826</v>
      </c>
      <c r="D704" t="inlineStr">
        <is>
          <t>JÄMTLANDS LÄN</t>
        </is>
      </c>
      <c r="E704" t="inlineStr">
        <is>
          <t>RAGUNDA</t>
        </is>
      </c>
      <c r="F704" t="inlineStr">
        <is>
          <t>SCA</t>
        </is>
      </c>
      <c r="G704" t="n">
        <v>35.6</v>
      </c>
      <c r="H704" t="n">
        <v>0</v>
      </c>
      <c r="I704" t="n">
        <v>0</v>
      </c>
      <c r="J704" t="n">
        <v>0</v>
      </c>
      <c r="K704" t="n">
        <v>0</v>
      </c>
      <c r="L704" t="n">
        <v>0</v>
      </c>
      <c r="M704" t="n">
        <v>0</v>
      </c>
      <c r="N704" t="n">
        <v>0</v>
      </c>
      <c r="O704" t="n">
        <v>0</v>
      </c>
      <c r="P704" t="n">
        <v>0</v>
      </c>
      <c r="Q704" t="n">
        <v>0</v>
      </c>
      <c r="R704" s="2" t="inlineStr"/>
    </row>
    <row r="705" ht="15" customHeight="1">
      <c r="A705" t="inlineStr">
        <is>
          <t>A 13303-2022</t>
        </is>
      </c>
      <c r="B705" s="1" t="n">
        <v>44644</v>
      </c>
      <c r="C705" s="1" t="n">
        <v>45826</v>
      </c>
      <c r="D705" t="inlineStr">
        <is>
          <t>JÄMTLANDS LÄN</t>
        </is>
      </c>
      <c r="E705" t="inlineStr">
        <is>
          <t>RAGUNDA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13769-2022</t>
        </is>
      </c>
      <c r="B706" s="1" t="n">
        <v>44649</v>
      </c>
      <c r="C706" s="1" t="n">
        <v>45826</v>
      </c>
      <c r="D706" t="inlineStr">
        <is>
          <t>JÄMTLANDS LÄN</t>
        </is>
      </c>
      <c r="E706" t="inlineStr">
        <is>
          <t>RAGUNDA</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13767-2022</t>
        </is>
      </c>
      <c r="B707" s="1" t="n">
        <v>44649</v>
      </c>
      <c r="C707" s="1" t="n">
        <v>45826</v>
      </c>
      <c r="D707" t="inlineStr">
        <is>
          <t>JÄMTLANDS LÄN</t>
        </is>
      </c>
      <c r="E707" t="inlineStr">
        <is>
          <t>RAGUNDA</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13768-2022</t>
        </is>
      </c>
      <c r="B708" s="1" t="n">
        <v>44649</v>
      </c>
      <c r="C708" s="1" t="n">
        <v>45826</v>
      </c>
      <c r="D708" t="inlineStr">
        <is>
          <t>JÄMTLANDS LÄN</t>
        </is>
      </c>
      <c r="E708" t="inlineStr">
        <is>
          <t>RAGUNDA</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13964-2022</t>
        </is>
      </c>
      <c r="B709" s="1" t="n">
        <v>44650</v>
      </c>
      <c r="C709" s="1" t="n">
        <v>45826</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13911-2022</t>
        </is>
      </c>
      <c r="B710" s="1" t="n">
        <v>44650</v>
      </c>
      <c r="C710" s="1" t="n">
        <v>45826</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14435-2022</t>
        </is>
      </c>
      <c r="B711" s="1" t="n">
        <v>44652</v>
      </c>
      <c r="C711" s="1" t="n">
        <v>45826</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14696-2022</t>
        </is>
      </c>
      <c r="B712" s="1" t="n">
        <v>44655</v>
      </c>
      <c r="C712" s="1" t="n">
        <v>45826</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14697-2022</t>
        </is>
      </c>
      <c r="B713" s="1" t="n">
        <v>44655</v>
      </c>
      <c r="C713" s="1" t="n">
        <v>45826</v>
      </c>
      <c r="D713" t="inlineStr">
        <is>
          <t>JÄMTLANDS LÄN</t>
        </is>
      </c>
      <c r="E713" t="inlineStr">
        <is>
          <t>RAGUNDA</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14898-2022</t>
        </is>
      </c>
      <c r="B714" s="1" t="n">
        <v>44656</v>
      </c>
      <c r="C714" s="1" t="n">
        <v>45826</v>
      </c>
      <c r="D714" t="inlineStr">
        <is>
          <t>JÄMTLANDS LÄN</t>
        </is>
      </c>
      <c r="E714" t="inlineStr">
        <is>
          <t>RAGUNDA</t>
        </is>
      </c>
      <c r="F714" t="inlineStr">
        <is>
          <t>SCA</t>
        </is>
      </c>
      <c r="G714" t="n">
        <v>7</v>
      </c>
      <c r="H714" t="n">
        <v>0</v>
      </c>
      <c r="I714" t="n">
        <v>0</v>
      </c>
      <c r="J714" t="n">
        <v>0</v>
      </c>
      <c r="K714" t="n">
        <v>0</v>
      </c>
      <c r="L714" t="n">
        <v>0</v>
      </c>
      <c r="M714" t="n">
        <v>0</v>
      </c>
      <c r="N714" t="n">
        <v>0</v>
      </c>
      <c r="O714" t="n">
        <v>0</v>
      </c>
      <c r="P714" t="n">
        <v>0</v>
      </c>
      <c r="Q714" t="n">
        <v>0</v>
      </c>
      <c r="R714" s="2" t="inlineStr"/>
    </row>
    <row r="715" ht="15" customHeight="1">
      <c r="A715" t="inlineStr">
        <is>
          <t>A 14907-2022</t>
        </is>
      </c>
      <c r="B715" s="1" t="n">
        <v>44657</v>
      </c>
      <c r="C715" s="1" t="n">
        <v>45826</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14896-2022</t>
        </is>
      </c>
      <c r="B716" s="1" t="n">
        <v>44656</v>
      </c>
      <c r="C716" s="1" t="n">
        <v>45826</v>
      </c>
      <c r="D716" t="inlineStr">
        <is>
          <t>JÄMTLANDS LÄN</t>
        </is>
      </c>
      <c r="E716" t="inlineStr">
        <is>
          <t>RAGUNDA</t>
        </is>
      </c>
      <c r="F716" t="inlineStr">
        <is>
          <t>SCA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14906-2022</t>
        </is>
      </c>
      <c r="B717" s="1" t="n">
        <v>44657</v>
      </c>
      <c r="C717" s="1" t="n">
        <v>45826</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14905-2022</t>
        </is>
      </c>
      <c r="B718" s="1" t="n">
        <v>44657</v>
      </c>
      <c r="C718" s="1" t="n">
        <v>45826</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15024-2022</t>
        </is>
      </c>
      <c r="B719" s="1" t="n">
        <v>44657</v>
      </c>
      <c r="C719" s="1" t="n">
        <v>45826</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15664-2022</t>
        </is>
      </c>
      <c r="B720" s="1" t="n">
        <v>44662</v>
      </c>
      <c r="C720" s="1" t="n">
        <v>45826</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15808-2022</t>
        </is>
      </c>
      <c r="B721" s="1" t="n">
        <v>44663</v>
      </c>
      <c r="C721" s="1" t="n">
        <v>45826</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15969-2022</t>
        </is>
      </c>
      <c r="B722" s="1" t="n">
        <v>44665</v>
      </c>
      <c r="C722" s="1" t="n">
        <v>45826</v>
      </c>
      <c r="D722" t="inlineStr">
        <is>
          <t>JÄMTLANDS LÄN</t>
        </is>
      </c>
      <c r="E722" t="inlineStr">
        <is>
          <t>RAGUNDA</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16246-2022</t>
        </is>
      </c>
      <c r="B723" s="1" t="n">
        <v>44670</v>
      </c>
      <c r="C723" s="1" t="n">
        <v>45826</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16250-2022</t>
        </is>
      </c>
      <c r="B724" s="1" t="n">
        <v>44670</v>
      </c>
      <c r="C724" s="1" t="n">
        <v>45826</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16361-2022</t>
        </is>
      </c>
      <c r="B725" s="1" t="n">
        <v>44670</v>
      </c>
      <c r="C725" s="1" t="n">
        <v>45826</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16460-2022</t>
        </is>
      </c>
      <c r="B726" s="1" t="n">
        <v>44671</v>
      </c>
      <c r="C726" s="1" t="n">
        <v>45826</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45826</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16676-2022</t>
        </is>
      </c>
      <c r="B728" s="1" t="n">
        <v>44673</v>
      </c>
      <c r="C728" s="1" t="n">
        <v>45826</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17058-2022</t>
        </is>
      </c>
      <c r="B729" s="1" t="n">
        <v>44677</v>
      </c>
      <c r="C729" s="1" t="n">
        <v>45826</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17573-2022</t>
        </is>
      </c>
      <c r="B730" s="1" t="n">
        <v>44679</v>
      </c>
      <c r="C730" s="1" t="n">
        <v>45826</v>
      </c>
      <c r="D730" t="inlineStr">
        <is>
          <t>JÄMTLANDS LÄN</t>
        </is>
      </c>
      <c r="E730" t="inlineStr">
        <is>
          <t>RAGUNDA</t>
        </is>
      </c>
      <c r="G730" t="n">
        <v>6.9</v>
      </c>
      <c r="H730" t="n">
        <v>0</v>
      </c>
      <c r="I730" t="n">
        <v>0</v>
      </c>
      <c r="J730" t="n">
        <v>0</v>
      </c>
      <c r="K730" t="n">
        <v>0</v>
      </c>
      <c r="L730" t="n">
        <v>0</v>
      </c>
      <c r="M730" t="n">
        <v>0</v>
      </c>
      <c r="N730" t="n">
        <v>0</v>
      </c>
      <c r="O730" t="n">
        <v>0</v>
      </c>
      <c r="P730" t="n">
        <v>0</v>
      </c>
      <c r="Q730" t="n">
        <v>0</v>
      </c>
      <c r="R730" s="2" t="inlineStr"/>
    </row>
    <row r="731" ht="15" customHeight="1">
      <c r="A731" t="inlineStr">
        <is>
          <t>A 17730-2022</t>
        </is>
      </c>
      <c r="B731" s="1" t="n">
        <v>44680</v>
      </c>
      <c r="C731" s="1" t="n">
        <v>45826</v>
      </c>
      <c r="D731" t="inlineStr">
        <is>
          <t>JÄMTLANDS LÄN</t>
        </is>
      </c>
      <c r="E731" t="inlineStr">
        <is>
          <t>RAGUNDA</t>
        </is>
      </c>
      <c r="G731" t="n">
        <v>3.4</v>
      </c>
      <c r="H731" t="n">
        <v>0</v>
      </c>
      <c r="I731" t="n">
        <v>0</v>
      </c>
      <c r="J731" t="n">
        <v>0</v>
      </c>
      <c r="K731" t="n">
        <v>0</v>
      </c>
      <c r="L731" t="n">
        <v>0</v>
      </c>
      <c r="M731" t="n">
        <v>0</v>
      </c>
      <c r="N731" t="n">
        <v>0</v>
      </c>
      <c r="O731" t="n">
        <v>0</v>
      </c>
      <c r="P731" t="n">
        <v>0</v>
      </c>
      <c r="Q731" t="n">
        <v>0</v>
      </c>
      <c r="R731" s="2" t="inlineStr"/>
    </row>
    <row r="732" ht="15" customHeight="1">
      <c r="A732" t="inlineStr">
        <is>
          <t>A 17742-2022</t>
        </is>
      </c>
      <c r="B732" s="1" t="n">
        <v>44681</v>
      </c>
      <c r="C732" s="1" t="n">
        <v>45826</v>
      </c>
      <c r="D732" t="inlineStr">
        <is>
          <t>JÄMTLANDS LÄN</t>
        </is>
      </c>
      <c r="E732" t="inlineStr">
        <is>
          <t>RAGUNDA</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18008-2022</t>
        </is>
      </c>
      <c r="B733" s="1" t="n">
        <v>44684</v>
      </c>
      <c r="C733" s="1" t="n">
        <v>45826</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18193-2022</t>
        </is>
      </c>
      <c r="B734" s="1" t="n">
        <v>44685</v>
      </c>
      <c r="C734" s="1" t="n">
        <v>45826</v>
      </c>
      <c r="D734" t="inlineStr">
        <is>
          <t>JÄMTLANDS LÄN</t>
        </is>
      </c>
      <c r="E734" t="inlineStr">
        <is>
          <t>RAGUNDA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18290-2022</t>
        </is>
      </c>
      <c r="B735" s="1" t="n">
        <v>44685</v>
      </c>
      <c r="C735" s="1" t="n">
        <v>45826</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18341-2022</t>
        </is>
      </c>
      <c r="B736" s="1" t="n">
        <v>44685</v>
      </c>
      <c r="C736" s="1" t="n">
        <v>45826</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row>
    <row r="737" ht="15" customHeight="1">
      <c r="A737" t="inlineStr">
        <is>
          <t>A 18375-2022</t>
        </is>
      </c>
      <c r="B737" s="1" t="n">
        <v>44685</v>
      </c>
      <c r="C737" s="1" t="n">
        <v>45826</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18548-2022</t>
        </is>
      </c>
      <c r="B738" s="1" t="n">
        <v>44687</v>
      </c>
      <c r="C738" s="1" t="n">
        <v>45826</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18974-2022</t>
        </is>
      </c>
      <c r="B739" s="1" t="n">
        <v>44690</v>
      </c>
      <c r="C739" s="1" t="n">
        <v>45826</v>
      </c>
      <c r="D739" t="inlineStr">
        <is>
          <t>JÄMTLANDS LÄN</t>
        </is>
      </c>
      <c r="E739" t="inlineStr">
        <is>
          <t>RAGUNDA</t>
        </is>
      </c>
      <c r="G739" t="n">
        <v>2.6</v>
      </c>
      <c r="H739" t="n">
        <v>0</v>
      </c>
      <c r="I739" t="n">
        <v>0</v>
      </c>
      <c r="J739" t="n">
        <v>0</v>
      </c>
      <c r="K739" t="n">
        <v>0</v>
      </c>
      <c r="L739" t="n">
        <v>0</v>
      </c>
      <c r="M739" t="n">
        <v>0</v>
      </c>
      <c r="N739" t="n">
        <v>0</v>
      </c>
      <c r="O739" t="n">
        <v>0</v>
      </c>
      <c r="P739" t="n">
        <v>0</v>
      </c>
      <c r="Q739" t="n">
        <v>0</v>
      </c>
      <c r="R739" s="2" t="inlineStr"/>
    </row>
    <row r="740" ht="15" customHeight="1">
      <c r="A740" t="inlineStr">
        <is>
          <t>A 18980-2022</t>
        </is>
      </c>
      <c r="B740" s="1" t="n">
        <v>44690</v>
      </c>
      <c r="C740" s="1" t="n">
        <v>45826</v>
      </c>
      <c r="D740" t="inlineStr">
        <is>
          <t>JÄMTLANDS LÄN</t>
        </is>
      </c>
      <c r="E740" t="inlineStr">
        <is>
          <t>RAGUNDA</t>
        </is>
      </c>
      <c r="G740" t="n">
        <v>3.9</v>
      </c>
      <c r="H740" t="n">
        <v>0</v>
      </c>
      <c r="I740" t="n">
        <v>0</v>
      </c>
      <c r="J740" t="n">
        <v>0</v>
      </c>
      <c r="K740" t="n">
        <v>0</v>
      </c>
      <c r="L740" t="n">
        <v>0</v>
      </c>
      <c r="M740" t="n">
        <v>0</v>
      </c>
      <c r="N740" t="n">
        <v>0</v>
      </c>
      <c r="O740" t="n">
        <v>0</v>
      </c>
      <c r="P740" t="n">
        <v>0</v>
      </c>
      <c r="Q740" t="n">
        <v>0</v>
      </c>
      <c r="R740" s="2" t="inlineStr"/>
    </row>
    <row r="741" ht="15" customHeight="1">
      <c r="A741" t="inlineStr">
        <is>
          <t>A 19005-2022</t>
        </is>
      </c>
      <c r="B741" s="1" t="n">
        <v>44690</v>
      </c>
      <c r="C741" s="1" t="n">
        <v>45826</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19011-2022</t>
        </is>
      </c>
      <c r="B742" s="1" t="n">
        <v>44690</v>
      </c>
      <c r="C742" s="1" t="n">
        <v>45826</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19010-2022</t>
        </is>
      </c>
      <c r="B743" s="1" t="n">
        <v>44690</v>
      </c>
      <c r="C743" s="1" t="n">
        <v>45826</v>
      </c>
      <c r="D743" t="inlineStr">
        <is>
          <t>JÄMTLANDS LÄN</t>
        </is>
      </c>
      <c r="E743" t="inlineStr">
        <is>
          <t>RAGUNDA</t>
        </is>
      </c>
      <c r="F743" t="inlineStr">
        <is>
          <t>SCA</t>
        </is>
      </c>
      <c r="G743" t="n">
        <v>19.6</v>
      </c>
      <c r="H743" t="n">
        <v>0</v>
      </c>
      <c r="I743" t="n">
        <v>0</v>
      </c>
      <c r="J743" t="n">
        <v>0</v>
      </c>
      <c r="K743" t="n">
        <v>0</v>
      </c>
      <c r="L743" t="n">
        <v>0</v>
      </c>
      <c r="M743" t="n">
        <v>0</v>
      </c>
      <c r="N743" t="n">
        <v>0</v>
      </c>
      <c r="O743" t="n">
        <v>0</v>
      </c>
      <c r="P743" t="n">
        <v>0</v>
      </c>
      <c r="Q743" t="n">
        <v>0</v>
      </c>
      <c r="R743" s="2" t="inlineStr"/>
    </row>
    <row r="744" ht="15" customHeight="1">
      <c r="A744" t="inlineStr">
        <is>
          <t>A 19006-2022</t>
        </is>
      </c>
      <c r="B744" s="1" t="n">
        <v>44690</v>
      </c>
      <c r="C744" s="1" t="n">
        <v>45826</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19596-2022</t>
        </is>
      </c>
      <c r="B745" s="1" t="n">
        <v>44694</v>
      </c>
      <c r="C745" s="1" t="n">
        <v>45826</v>
      </c>
      <c r="D745" t="inlineStr">
        <is>
          <t>JÄMTLANDS LÄN</t>
        </is>
      </c>
      <c r="E745" t="inlineStr">
        <is>
          <t>RAGUNDA</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19801-2022</t>
        </is>
      </c>
      <c r="B746" s="1" t="n">
        <v>44695</v>
      </c>
      <c r="C746" s="1" t="n">
        <v>45826</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19850-2022</t>
        </is>
      </c>
      <c r="B747" s="1" t="n">
        <v>44697</v>
      </c>
      <c r="C747" s="1" t="n">
        <v>45826</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20967-2022</t>
        </is>
      </c>
      <c r="B748" s="1" t="n">
        <v>44702</v>
      </c>
      <c r="C748" s="1" t="n">
        <v>45826</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20961-2022</t>
        </is>
      </c>
      <c r="B749" s="1" t="n">
        <v>44702</v>
      </c>
      <c r="C749" s="1" t="n">
        <v>45826</v>
      </c>
      <c r="D749" t="inlineStr">
        <is>
          <t>JÄMTLANDS LÄN</t>
        </is>
      </c>
      <c r="E749" t="inlineStr">
        <is>
          <t>RAGUNDA</t>
        </is>
      </c>
      <c r="F749" t="inlineStr">
        <is>
          <t>SCA</t>
        </is>
      </c>
      <c r="G749" t="n">
        <v>9.4</v>
      </c>
      <c r="H749" t="n">
        <v>0</v>
      </c>
      <c r="I749" t="n">
        <v>0</v>
      </c>
      <c r="J749" t="n">
        <v>0</v>
      </c>
      <c r="K749" t="n">
        <v>0</v>
      </c>
      <c r="L749" t="n">
        <v>0</v>
      </c>
      <c r="M749" t="n">
        <v>0</v>
      </c>
      <c r="N749" t="n">
        <v>0</v>
      </c>
      <c r="O749" t="n">
        <v>0</v>
      </c>
      <c r="P749" t="n">
        <v>0</v>
      </c>
      <c r="Q749" t="n">
        <v>0</v>
      </c>
      <c r="R749" s="2" t="inlineStr"/>
    </row>
    <row r="750" ht="15" customHeight="1">
      <c r="A750" t="inlineStr">
        <is>
          <t>A 21194-2022</t>
        </is>
      </c>
      <c r="B750" s="1" t="n">
        <v>44705</v>
      </c>
      <c r="C750" s="1" t="n">
        <v>45826</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21196-2022</t>
        </is>
      </c>
      <c r="B751" s="1" t="n">
        <v>44705</v>
      </c>
      <c r="C751" s="1" t="n">
        <v>45826</v>
      </c>
      <c r="D751" t="inlineStr">
        <is>
          <t>JÄMTLANDS LÄN</t>
        </is>
      </c>
      <c r="E751" t="inlineStr">
        <is>
          <t>RAGUNDA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21195-2022</t>
        </is>
      </c>
      <c r="B752" s="1" t="n">
        <v>44705</v>
      </c>
      <c r="C752" s="1" t="n">
        <v>45826</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21193-2022</t>
        </is>
      </c>
      <c r="B753" s="1" t="n">
        <v>44705</v>
      </c>
      <c r="C753" s="1" t="n">
        <v>45826</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21984-2022</t>
        </is>
      </c>
      <c r="B754" s="1" t="n">
        <v>44704</v>
      </c>
      <c r="C754" s="1" t="n">
        <v>45826</v>
      </c>
      <c r="D754" t="inlineStr">
        <is>
          <t>JÄMTLANDS LÄN</t>
        </is>
      </c>
      <c r="E754" t="inlineStr">
        <is>
          <t>RAGUNDA</t>
        </is>
      </c>
      <c r="G754" t="n">
        <v>0.5</v>
      </c>
      <c r="H754" t="n">
        <v>0</v>
      </c>
      <c r="I754" t="n">
        <v>0</v>
      </c>
      <c r="J754" t="n">
        <v>0</v>
      </c>
      <c r="K754" t="n">
        <v>0</v>
      </c>
      <c r="L754" t="n">
        <v>0</v>
      </c>
      <c r="M754" t="n">
        <v>0</v>
      </c>
      <c r="N754" t="n">
        <v>0</v>
      </c>
      <c r="O754" t="n">
        <v>0</v>
      </c>
      <c r="P754" t="n">
        <v>0</v>
      </c>
      <c r="Q754" t="n">
        <v>0</v>
      </c>
      <c r="R754" s="2" t="inlineStr"/>
    </row>
    <row r="755" ht="15" customHeight="1">
      <c r="A755" t="inlineStr">
        <is>
          <t>A 21413-2022</t>
        </is>
      </c>
      <c r="B755" s="1" t="n">
        <v>44705</v>
      </c>
      <c r="C755" s="1" t="n">
        <v>45826</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21500-2022</t>
        </is>
      </c>
      <c r="B756" s="1" t="n">
        <v>44706</v>
      </c>
      <c r="C756" s="1" t="n">
        <v>45826</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22329-2022</t>
        </is>
      </c>
      <c r="B757" s="1" t="n">
        <v>44713</v>
      </c>
      <c r="C757" s="1" t="n">
        <v>45826</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22327-2022</t>
        </is>
      </c>
      <c r="B758" s="1" t="n">
        <v>44713</v>
      </c>
      <c r="C758" s="1" t="n">
        <v>45826</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22686-2022</t>
        </is>
      </c>
      <c r="B759" s="1" t="n">
        <v>44714</v>
      </c>
      <c r="C759" s="1" t="n">
        <v>45826</v>
      </c>
      <c r="D759" t="inlineStr">
        <is>
          <t>JÄMTLANDS LÄN</t>
        </is>
      </c>
      <c r="E759" t="inlineStr">
        <is>
          <t>RAGUNDA</t>
        </is>
      </c>
      <c r="G759" t="n">
        <v>2.8</v>
      </c>
      <c r="H759" t="n">
        <v>0</v>
      </c>
      <c r="I759" t="n">
        <v>0</v>
      </c>
      <c r="J759" t="n">
        <v>0</v>
      </c>
      <c r="K759" t="n">
        <v>0</v>
      </c>
      <c r="L759" t="n">
        <v>0</v>
      </c>
      <c r="M759" t="n">
        <v>0</v>
      </c>
      <c r="N759" t="n">
        <v>0</v>
      </c>
      <c r="O759" t="n">
        <v>0</v>
      </c>
      <c r="P759" t="n">
        <v>0</v>
      </c>
      <c r="Q759" t="n">
        <v>0</v>
      </c>
      <c r="R759" s="2" t="inlineStr"/>
    </row>
    <row r="760" ht="15" customHeight="1">
      <c r="A760" t="inlineStr">
        <is>
          <t>A 22772-2022</t>
        </is>
      </c>
      <c r="B760" s="1" t="n">
        <v>44715</v>
      </c>
      <c r="C760" s="1" t="n">
        <v>45826</v>
      </c>
      <c r="D760" t="inlineStr">
        <is>
          <t>JÄMTLANDS LÄN</t>
        </is>
      </c>
      <c r="E760" t="inlineStr">
        <is>
          <t>RAGUNDA</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22695-2022</t>
        </is>
      </c>
      <c r="B761" s="1" t="n">
        <v>44714</v>
      </c>
      <c r="C761" s="1" t="n">
        <v>45826</v>
      </c>
      <c r="D761" t="inlineStr">
        <is>
          <t>JÄMTLANDS LÄN</t>
        </is>
      </c>
      <c r="E761" t="inlineStr">
        <is>
          <t>RAGUNDA</t>
        </is>
      </c>
      <c r="G761" t="n">
        <v>1.8</v>
      </c>
      <c r="H761" t="n">
        <v>0</v>
      </c>
      <c r="I761" t="n">
        <v>0</v>
      </c>
      <c r="J761" t="n">
        <v>0</v>
      </c>
      <c r="K761" t="n">
        <v>0</v>
      </c>
      <c r="L761" t="n">
        <v>0</v>
      </c>
      <c r="M761" t="n">
        <v>0</v>
      </c>
      <c r="N761" t="n">
        <v>0</v>
      </c>
      <c r="O761" t="n">
        <v>0</v>
      </c>
      <c r="P761" t="n">
        <v>0</v>
      </c>
      <c r="Q761" t="n">
        <v>0</v>
      </c>
      <c r="R761" s="2" t="inlineStr"/>
    </row>
    <row r="762" ht="15" customHeight="1">
      <c r="A762" t="inlineStr">
        <is>
          <t>A 22770-2022</t>
        </is>
      </c>
      <c r="B762" s="1" t="n">
        <v>44714</v>
      </c>
      <c r="C762" s="1" t="n">
        <v>45826</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23668-2022</t>
        </is>
      </c>
      <c r="B763" s="1" t="n">
        <v>44722</v>
      </c>
      <c r="C763" s="1" t="n">
        <v>45826</v>
      </c>
      <c r="D763" t="inlineStr">
        <is>
          <t>JÄMTLANDS LÄN</t>
        </is>
      </c>
      <c r="E763" t="inlineStr">
        <is>
          <t>RAGUNDA</t>
        </is>
      </c>
      <c r="G763" t="n">
        <v>3.9</v>
      </c>
      <c r="H763" t="n">
        <v>0</v>
      </c>
      <c r="I763" t="n">
        <v>0</v>
      </c>
      <c r="J763" t="n">
        <v>0</v>
      </c>
      <c r="K763" t="n">
        <v>0</v>
      </c>
      <c r="L763" t="n">
        <v>0</v>
      </c>
      <c r="M763" t="n">
        <v>0</v>
      </c>
      <c r="N763" t="n">
        <v>0</v>
      </c>
      <c r="O763" t="n">
        <v>0</v>
      </c>
      <c r="P763" t="n">
        <v>0</v>
      </c>
      <c r="Q763" t="n">
        <v>0</v>
      </c>
      <c r="R763" s="2" t="inlineStr"/>
    </row>
    <row r="764" ht="15" customHeight="1">
      <c r="A764" t="inlineStr">
        <is>
          <t>A 24359-2022</t>
        </is>
      </c>
      <c r="B764" s="1" t="n">
        <v>44725</v>
      </c>
      <c r="C764" s="1" t="n">
        <v>45826</v>
      </c>
      <c r="D764" t="inlineStr">
        <is>
          <t>JÄMTLANDS LÄN</t>
        </is>
      </c>
      <c r="E764" t="inlineStr">
        <is>
          <t>RAGUNDA</t>
        </is>
      </c>
      <c r="G764" t="n">
        <v>11.4</v>
      </c>
      <c r="H764" t="n">
        <v>0</v>
      </c>
      <c r="I764" t="n">
        <v>0</v>
      </c>
      <c r="J764" t="n">
        <v>0</v>
      </c>
      <c r="K764" t="n">
        <v>0</v>
      </c>
      <c r="L764" t="n">
        <v>0</v>
      </c>
      <c r="M764" t="n">
        <v>0</v>
      </c>
      <c r="N764" t="n">
        <v>0</v>
      </c>
      <c r="O764" t="n">
        <v>0</v>
      </c>
      <c r="P764" t="n">
        <v>0</v>
      </c>
      <c r="Q764" t="n">
        <v>0</v>
      </c>
      <c r="R764" s="2" t="inlineStr"/>
    </row>
    <row r="765" ht="15" customHeight="1">
      <c r="A765" t="inlineStr">
        <is>
          <t>A 24720-2022</t>
        </is>
      </c>
      <c r="B765" s="1" t="n">
        <v>44728</v>
      </c>
      <c r="C765" s="1" t="n">
        <v>45826</v>
      </c>
      <c r="D765" t="inlineStr">
        <is>
          <t>JÄMTLANDS LÄN</t>
        </is>
      </c>
      <c r="E765" t="inlineStr">
        <is>
          <t>RAGUNDA</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24741-2022</t>
        </is>
      </c>
      <c r="B766" s="1" t="n">
        <v>44727</v>
      </c>
      <c r="C766" s="1" t="n">
        <v>45826</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25028-2022</t>
        </is>
      </c>
      <c r="B767" s="1" t="n">
        <v>44729</v>
      </c>
      <c r="C767" s="1" t="n">
        <v>45826</v>
      </c>
      <c r="D767" t="inlineStr">
        <is>
          <t>JÄMTLANDS LÄN</t>
        </is>
      </c>
      <c r="E767" t="inlineStr">
        <is>
          <t>RAGUNDA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25027-2022</t>
        </is>
      </c>
      <c r="B768" s="1" t="n">
        <v>44729</v>
      </c>
      <c r="C768" s="1" t="n">
        <v>45826</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25253-2022</t>
        </is>
      </c>
      <c r="B769" s="1" t="n">
        <v>44730</v>
      </c>
      <c r="C769" s="1" t="n">
        <v>45826</v>
      </c>
      <c r="D769" t="inlineStr">
        <is>
          <t>JÄMTLANDS LÄN</t>
        </is>
      </c>
      <c r="E769" t="inlineStr">
        <is>
          <t>RAGUNDA</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25342-2022</t>
        </is>
      </c>
      <c r="B770" s="1" t="n">
        <v>44732</v>
      </c>
      <c r="C770" s="1" t="n">
        <v>45826</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25433-2022</t>
        </is>
      </c>
      <c r="B771" s="1" t="n">
        <v>44732</v>
      </c>
      <c r="C771" s="1" t="n">
        <v>45826</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25962-2022</t>
        </is>
      </c>
      <c r="B772" s="1" t="n">
        <v>44734</v>
      </c>
      <c r="C772" s="1" t="n">
        <v>45826</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26122-2022</t>
        </is>
      </c>
      <c r="B773" s="1" t="n">
        <v>44735</v>
      </c>
      <c r="C773" s="1" t="n">
        <v>45826</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26123-2022</t>
        </is>
      </c>
      <c r="B774" s="1" t="n">
        <v>44735</v>
      </c>
      <c r="C774" s="1" t="n">
        <v>45826</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44742</v>
      </c>
      <c r="C775" s="1" t="n">
        <v>45826</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27302-2022</t>
        </is>
      </c>
      <c r="B776" s="1" t="n">
        <v>44741</v>
      </c>
      <c r="C776" s="1" t="n">
        <v>45826</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27292-2022</t>
        </is>
      </c>
      <c r="B777" s="1" t="n">
        <v>44742</v>
      </c>
      <c r="C777" s="1" t="n">
        <v>45826</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27777-2022</t>
        </is>
      </c>
      <c r="B778" s="1" t="n">
        <v>44743</v>
      </c>
      <c r="C778" s="1" t="n">
        <v>45826</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27939-2022</t>
        </is>
      </c>
      <c r="B779" s="1" t="n">
        <v>44744</v>
      </c>
      <c r="C779" s="1" t="n">
        <v>45826</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28081-2022</t>
        </is>
      </c>
      <c r="B780" s="1" t="n">
        <v>44746</v>
      </c>
      <c r="C780" s="1" t="n">
        <v>45826</v>
      </c>
      <c r="D780" t="inlineStr">
        <is>
          <t>JÄMTLANDS LÄN</t>
        </is>
      </c>
      <c r="E780" t="inlineStr">
        <is>
          <t>RAGUNDA</t>
        </is>
      </c>
      <c r="G780" t="n">
        <v>7</v>
      </c>
      <c r="H780" t="n">
        <v>0</v>
      </c>
      <c r="I780" t="n">
        <v>0</v>
      </c>
      <c r="J780" t="n">
        <v>0</v>
      </c>
      <c r="K780" t="n">
        <v>0</v>
      </c>
      <c r="L780" t="n">
        <v>0</v>
      </c>
      <c r="M780" t="n">
        <v>0</v>
      </c>
      <c r="N780" t="n">
        <v>0</v>
      </c>
      <c r="O780" t="n">
        <v>0</v>
      </c>
      <c r="P780" t="n">
        <v>0</v>
      </c>
      <c r="Q780" t="n">
        <v>0</v>
      </c>
      <c r="R780" s="2" t="inlineStr"/>
    </row>
    <row r="781" ht="15" customHeight="1">
      <c r="A781" t="inlineStr">
        <is>
          <t>A 28283-2022</t>
        </is>
      </c>
      <c r="B781" s="1" t="n">
        <v>44746</v>
      </c>
      <c r="C781" s="1" t="n">
        <v>45826</v>
      </c>
      <c r="D781" t="inlineStr">
        <is>
          <t>JÄMTLANDS LÄN</t>
        </is>
      </c>
      <c r="E781" t="inlineStr">
        <is>
          <t>RAGUNDA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28277-2022</t>
        </is>
      </c>
      <c r="B782" s="1" t="n">
        <v>44747</v>
      </c>
      <c r="C782" s="1" t="n">
        <v>45826</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28292-2022</t>
        </is>
      </c>
      <c r="B783" s="1" t="n">
        <v>44747</v>
      </c>
      <c r="C783" s="1" t="n">
        <v>45826</v>
      </c>
      <c r="D783" t="inlineStr">
        <is>
          <t>JÄMTLANDS LÄN</t>
        </is>
      </c>
      <c r="E783" t="inlineStr">
        <is>
          <t>RAGUNDA</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28737-2022</t>
        </is>
      </c>
      <c r="B784" s="1" t="n">
        <v>44749</v>
      </c>
      <c r="C784" s="1" t="n">
        <v>45826</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29537-2022</t>
        </is>
      </c>
      <c r="B785" s="1" t="n">
        <v>44754</v>
      </c>
      <c r="C785" s="1" t="n">
        <v>45826</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30609-2022</t>
        </is>
      </c>
      <c r="B786" s="1" t="n">
        <v>44761</v>
      </c>
      <c r="C786" s="1" t="n">
        <v>45826</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c r="U786">
        <f>HYPERLINK("https://klasma.github.io/Logging_2303/knärot/A 30609-2022 karta knärot.png", "A 30609-2022")</f>
        <v/>
      </c>
      <c r="V786">
        <f>HYPERLINK("https://klasma.github.io/Logging_2303/klagomål/A 30609-2022 FSC-klagomål.docx", "A 30609-2022")</f>
        <v/>
      </c>
      <c r="W786">
        <f>HYPERLINK("https://klasma.github.io/Logging_2303/klagomålsmail/A 30609-2022 FSC-klagomål mail.docx", "A 30609-2022")</f>
        <v/>
      </c>
      <c r="X786">
        <f>HYPERLINK("https://klasma.github.io/Logging_2303/tillsyn/A 30609-2022 tillsynsbegäran.docx", "A 30609-2022")</f>
        <v/>
      </c>
      <c r="Y786">
        <f>HYPERLINK("https://klasma.github.io/Logging_2303/tillsynsmail/A 30609-2022 tillsynsbegäran mail.docx", "A 30609-2022")</f>
        <v/>
      </c>
    </row>
    <row r="787" ht="15" customHeight="1">
      <c r="A787" t="inlineStr">
        <is>
          <t>A 30931-2022</t>
        </is>
      </c>
      <c r="B787" s="1" t="n">
        <v>44768</v>
      </c>
      <c r="C787" s="1" t="n">
        <v>45826</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31436-2022</t>
        </is>
      </c>
      <c r="B788" s="1" t="n">
        <v>44774</v>
      </c>
      <c r="C788" s="1" t="n">
        <v>45826</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31484-2022</t>
        </is>
      </c>
      <c r="B789" s="1" t="n">
        <v>44775</v>
      </c>
      <c r="C789" s="1" t="n">
        <v>45826</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31435-2022</t>
        </is>
      </c>
      <c r="B790" s="1" t="n">
        <v>44774</v>
      </c>
      <c r="C790" s="1" t="n">
        <v>45826</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31854-2022</t>
        </is>
      </c>
      <c r="B791" s="1" t="n">
        <v>44776</v>
      </c>
      <c r="C791" s="1" t="n">
        <v>45826</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31841-2022</t>
        </is>
      </c>
      <c r="B792" s="1" t="n">
        <v>44776</v>
      </c>
      <c r="C792" s="1" t="n">
        <v>45826</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31970-2022</t>
        </is>
      </c>
      <c r="B793" s="1" t="n">
        <v>44777</v>
      </c>
      <c r="C793" s="1" t="n">
        <v>45826</v>
      </c>
      <c r="D793" t="inlineStr">
        <is>
          <t>JÄMTLANDS LÄN</t>
        </is>
      </c>
      <c r="E793" t="inlineStr">
        <is>
          <t>RAGUNDA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31972-2022</t>
        </is>
      </c>
      <c r="B794" s="1" t="n">
        <v>44778</v>
      </c>
      <c r="C794" s="1" t="n">
        <v>45826</v>
      </c>
      <c r="D794" t="inlineStr">
        <is>
          <t>JÄMTLANDS LÄN</t>
        </is>
      </c>
      <c r="E794" t="inlineStr">
        <is>
          <t>RAGUNDA</t>
        </is>
      </c>
      <c r="F794" t="inlineStr">
        <is>
          <t>Naturvårdsverket</t>
        </is>
      </c>
      <c r="G794" t="n">
        <v>0.8</v>
      </c>
      <c r="H794" t="n">
        <v>0</v>
      </c>
      <c r="I794" t="n">
        <v>0</v>
      </c>
      <c r="J794" t="n">
        <v>0</v>
      </c>
      <c r="K794" t="n">
        <v>0</v>
      </c>
      <c r="L794" t="n">
        <v>0</v>
      </c>
      <c r="M794" t="n">
        <v>0</v>
      </c>
      <c r="N794" t="n">
        <v>0</v>
      </c>
      <c r="O794" t="n">
        <v>0</v>
      </c>
      <c r="P794" t="n">
        <v>0</v>
      </c>
      <c r="Q794" t="n">
        <v>0</v>
      </c>
      <c r="R794" s="2" t="inlineStr"/>
    </row>
    <row r="795" ht="15" customHeight="1">
      <c r="A795" t="inlineStr">
        <is>
          <t>A 32135-2022</t>
        </is>
      </c>
      <c r="B795" s="1" t="n">
        <v>44778</v>
      </c>
      <c r="C795" s="1" t="n">
        <v>45826</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32288-2022</t>
        </is>
      </c>
      <c r="B796" s="1" t="n">
        <v>44781</v>
      </c>
      <c r="C796" s="1" t="n">
        <v>45826</v>
      </c>
      <c r="D796" t="inlineStr">
        <is>
          <t>JÄMTLANDS LÄN</t>
        </is>
      </c>
      <c r="E796" t="inlineStr">
        <is>
          <t>RAGUNDA</t>
        </is>
      </c>
      <c r="G796" t="n">
        <v>0.8</v>
      </c>
      <c r="H796" t="n">
        <v>0</v>
      </c>
      <c r="I796" t="n">
        <v>0</v>
      </c>
      <c r="J796" t="n">
        <v>0</v>
      </c>
      <c r="K796" t="n">
        <v>0</v>
      </c>
      <c r="L796" t="n">
        <v>0</v>
      </c>
      <c r="M796" t="n">
        <v>0</v>
      </c>
      <c r="N796" t="n">
        <v>0</v>
      </c>
      <c r="O796" t="n">
        <v>0</v>
      </c>
      <c r="P796" t="n">
        <v>0</v>
      </c>
      <c r="Q796" t="n">
        <v>0</v>
      </c>
      <c r="R796" s="2" t="inlineStr"/>
    </row>
    <row r="797" ht="15" customHeight="1">
      <c r="A797" t="inlineStr">
        <is>
          <t>A 32526-2022</t>
        </is>
      </c>
      <c r="B797" s="1" t="n">
        <v>44782</v>
      </c>
      <c r="C797" s="1" t="n">
        <v>45826</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32780-2022</t>
        </is>
      </c>
      <c r="B798" s="1" t="n">
        <v>44783</v>
      </c>
      <c r="C798" s="1" t="n">
        <v>45826</v>
      </c>
      <c r="D798" t="inlineStr">
        <is>
          <t>JÄMTLANDS LÄN</t>
        </is>
      </c>
      <c r="E798" t="inlineStr">
        <is>
          <t>RAGUNDA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32979-2022</t>
        </is>
      </c>
      <c r="B799" s="1" t="n">
        <v>44785</v>
      </c>
      <c r="C799" s="1" t="n">
        <v>45826</v>
      </c>
      <c r="D799" t="inlineStr">
        <is>
          <t>JÄMTLANDS LÄN</t>
        </is>
      </c>
      <c r="E799" t="inlineStr">
        <is>
          <t>RAGUNDA</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32986-2022</t>
        </is>
      </c>
      <c r="B800" s="1" t="n">
        <v>44785</v>
      </c>
      <c r="C800" s="1" t="n">
        <v>45826</v>
      </c>
      <c r="D800" t="inlineStr">
        <is>
          <t>JÄMTLANDS LÄN</t>
        </is>
      </c>
      <c r="E800" t="inlineStr">
        <is>
          <t>RAGUNDA</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33218-2022</t>
        </is>
      </c>
      <c r="B801" s="1" t="n">
        <v>44786</v>
      </c>
      <c r="C801" s="1" t="n">
        <v>45826</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33278-2022</t>
        </is>
      </c>
      <c r="B802" s="1" t="n">
        <v>44788</v>
      </c>
      <c r="C802" s="1" t="n">
        <v>45826</v>
      </c>
      <c r="D802" t="inlineStr">
        <is>
          <t>JÄMTLANDS LÄN</t>
        </is>
      </c>
      <c r="E802" t="inlineStr">
        <is>
          <t>RAGUNDA</t>
        </is>
      </c>
      <c r="G802" t="n">
        <v>3.2</v>
      </c>
      <c r="H802" t="n">
        <v>0</v>
      </c>
      <c r="I802" t="n">
        <v>0</v>
      </c>
      <c r="J802" t="n">
        <v>0</v>
      </c>
      <c r="K802" t="n">
        <v>0</v>
      </c>
      <c r="L802" t="n">
        <v>0</v>
      </c>
      <c r="M802" t="n">
        <v>0</v>
      </c>
      <c r="N802" t="n">
        <v>0</v>
      </c>
      <c r="O802" t="n">
        <v>0</v>
      </c>
      <c r="P802" t="n">
        <v>0</v>
      </c>
      <c r="Q802" t="n">
        <v>0</v>
      </c>
      <c r="R802" s="2" t="inlineStr"/>
    </row>
    <row r="803" ht="15" customHeight="1">
      <c r="A803" t="inlineStr">
        <is>
          <t>A 33279-2022</t>
        </is>
      </c>
      <c r="B803" s="1" t="n">
        <v>44788</v>
      </c>
      <c r="C803" s="1" t="n">
        <v>45826</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35018-2022</t>
        </is>
      </c>
      <c r="B804" s="1" t="n">
        <v>44797</v>
      </c>
      <c r="C804" s="1" t="n">
        <v>45826</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35235-2022</t>
        </is>
      </c>
      <c r="B805" s="1" t="n">
        <v>44797</v>
      </c>
      <c r="C805" s="1" t="n">
        <v>45826</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35495-2022</t>
        </is>
      </c>
      <c r="B806" s="1" t="n">
        <v>44798</v>
      </c>
      <c r="C806" s="1" t="n">
        <v>45826</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35492-2022</t>
        </is>
      </c>
      <c r="B807" s="1" t="n">
        <v>44799</v>
      </c>
      <c r="C807" s="1" t="n">
        <v>45826</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35757-2022</t>
        </is>
      </c>
      <c r="B808" s="1" t="n">
        <v>44799</v>
      </c>
      <c r="C808" s="1" t="n">
        <v>45826</v>
      </c>
      <c r="D808" t="inlineStr">
        <is>
          <t>JÄMTLANDS LÄN</t>
        </is>
      </c>
      <c r="E808" t="inlineStr">
        <is>
          <t>RAGUNDA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35749-2022</t>
        </is>
      </c>
      <c r="B809" s="1" t="n">
        <v>44800</v>
      </c>
      <c r="C809" s="1" t="n">
        <v>45826</v>
      </c>
      <c r="D809" t="inlineStr">
        <is>
          <t>JÄMTLANDS LÄN</t>
        </is>
      </c>
      <c r="E809" t="inlineStr">
        <is>
          <t>RAGUNDA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35998-2022</t>
        </is>
      </c>
      <c r="B810" s="1" t="n">
        <v>44802</v>
      </c>
      <c r="C810" s="1" t="n">
        <v>45826</v>
      </c>
      <c r="D810" t="inlineStr">
        <is>
          <t>JÄMTLANDS LÄN</t>
        </is>
      </c>
      <c r="E810" t="inlineStr">
        <is>
          <t>RAGUNDA</t>
        </is>
      </c>
      <c r="G810" t="n">
        <v>25.4</v>
      </c>
      <c r="H810" t="n">
        <v>0</v>
      </c>
      <c r="I810" t="n">
        <v>0</v>
      </c>
      <c r="J810" t="n">
        <v>0</v>
      </c>
      <c r="K810" t="n">
        <v>0</v>
      </c>
      <c r="L810" t="n">
        <v>0</v>
      </c>
      <c r="M810" t="n">
        <v>0</v>
      </c>
      <c r="N810" t="n">
        <v>0</v>
      </c>
      <c r="O810" t="n">
        <v>0</v>
      </c>
      <c r="P810" t="n">
        <v>0</v>
      </c>
      <c r="Q810" t="n">
        <v>0</v>
      </c>
      <c r="R810" s="2" t="inlineStr"/>
    </row>
    <row r="811" ht="15" customHeight="1">
      <c r="A811" t="inlineStr">
        <is>
          <t>A 36084-2022</t>
        </is>
      </c>
      <c r="B811" s="1" t="n">
        <v>44802</v>
      </c>
      <c r="C811" s="1" t="n">
        <v>45826</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36106-2022</t>
        </is>
      </c>
      <c r="B812" s="1" t="n">
        <v>44803</v>
      </c>
      <c r="C812" s="1" t="n">
        <v>45826</v>
      </c>
      <c r="D812" t="inlineStr">
        <is>
          <t>JÄMTLANDS LÄN</t>
        </is>
      </c>
      <c r="E812" t="inlineStr">
        <is>
          <t>RAGUNDA</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36375-2022</t>
        </is>
      </c>
      <c r="B813" s="1" t="n">
        <v>44804</v>
      </c>
      <c r="C813" s="1" t="n">
        <v>45826</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36612-2022</t>
        </is>
      </c>
      <c r="B814" s="1" t="n">
        <v>44804</v>
      </c>
      <c r="C814" s="1" t="n">
        <v>45826</v>
      </c>
      <c r="D814" t="inlineStr">
        <is>
          <t>JÄMTLANDS LÄN</t>
        </is>
      </c>
      <c r="E814" t="inlineStr">
        <is>
          <t>RAGUNDA</t>
        </is>
      </c>
      <c r="G814" t="n">
        <v>2.1</v>
      </c>
      <c r="H814" t="n">
        <v>0</v>
      </c>
      <c r="I814" t="n">
        <v>0</v>
      </c>
      <c r="J814" t="n">
        <v>0</v>
      </c>
      <c r="K814" t="n">
        <v>0</v>
      </c>
      <c r="L814" t="n">
        <v>0</v>
      </c>
      <c r="M814" t="n">
        <v>0</v>
      </c>
      <c r="N814" t="n">
        <v>0</v>
      </c>
      <c r="O814" t="n">
        <v>0</v>
      </c>
      <c r="P814" t="n">
        <v>0</v>
      </c>
      <c r="Q814" t="n">
        <v>0</v>
      </c>
      <c r="R814" s="2" t="inlineStr"/>
    </row>
    <row r="815" ht="15" customHeight="1">
      <c r="A815" t="inlineStr">
        <is>
          <t>A 36692-2022</t>
        </is>
      </c>
      <c r="B815" s="1" t="n">
        <v>44804</v>
      </c>
      <c r="C815" s="1" t="n">
        <v>45826</v>
      </c>
      <c r="D815" t="inlineStr">
        <is>
          <t>JÄMTLANDS LÄN</t>
        </is>
      </c>
      <c r="E815" t="inlineStr">
        <is>
          <t>RAGUNDA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36696-2022</t>
        </is>
      </c>
      <c r="B816" s="1" t="n">
        <v>44805</v>
      </c>
      <c r="C816" s="1" t="n">
        <v>45826</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36922-2022</t>
        </is>
      </c>
      <c r="B817" s="1" t="n">
        <v>44806</v>
      </c>
      <c r="C817" s="1" t="n">
        <v>45826</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36941-2022</t>
        </is>
      </c>
      <c r="B818" s="1" t="n">
        <v>44805</v>
      </c>
      <c r="C818" s="1" t="n">
        <v>45826</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37324-2022</t>
        </is>
      </c>
      <c r="B819" s="1" t="n">
        <v>44806</v>
      </c>
      <c r="C819" s="1" t="n">
        <v>45826</v>
      </c>
      <c r="D819" t="inlineStr">
        <is>
          <t>JÄMTLANDS LÄN</t>
        </is>
      </c>
      <c r="E819" t="inlineStr">
        <is>
          <t>RAGUNDA</t>
        </is>
      </c>
      <c r="G819" t="n">
        <v>2.3</v>
      </c>
      <c r="H819" t="n">
        <v>0</v>
      </c>
      <c r="I819" t="n">
        <v>0</v>
      </c>
      <c r="J819" t="n">
        <v>0</v>
      </c>
      <c r="K819" t="n">
        <v>0</v>
      </c>
      <c r="L819" t="n">
        <v>0</v>
      </c>
      <c r="M819" t="n">
        <v>0</v>
      </c>
      <c r="N819" t="n">
        <v>0</v>
      </c>
      <c r="O819" t="n">
        <v>0</v>
      </c>
      <c r="P819" t="n">
        <v>0</v>
      </c>
      <c r="Q819" t="n">
        <v>0</v>
      </c>
      <c r="R819" s="2" t="inlineStr"/>
    </row>
    <row r="820" ht="15" customHeight="1">
      <c r="A820" t="inlineStr">
        <is>
          <t>A 38426-2022</t>
        </is>
      </c>
      <c r="B820" s="1" t="n">
        <v>44812</v>
      </c>
      <c r="C820" s="1" t="n">
        <v>45826</v>
      </c>
      <c r="D820" t="inlineStr">
        <is>
          <t>JÄMTLANDS LÄN</t>
        </is>
      </c>
      <c r="E820" t="inlineStr">
        <is>
          <t>RAGUNDA</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38425-2022</t>
        </is>
      </c>
      <c r="B821" s="1" t="n">
        <v>44813</v>
      </c>
      <c r="C821" s="1" t="n">
        <v>45826</v>
      </c>
      <c r="D821" t="inlineStr">
        <is>
          <t>JÄMTLANDS LÄN</t>
        </is>
      </c>
      <c r="E821" t="inlineStr">
        <is>
          <t>RAGUNDA</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38683-2022</t>
        </is>
      </c>
      <c r="B822" s="1" t="n">
        <v>44813</v>
      </c>
      <c r="C822" s="1" t="n">
        <v>45826</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38664-2022</t>
        </is>
      </c>
      <c r="B823" s="1" t="n">
        <v>44813</v>
      </c>
      <c r="C823" s="1" t="n">
        <v>45826</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38733-2022</t>
        </is>
      </c>
      <c r="B824" s="1" t="n">
        <v>44815</v>
      </c>
      <c r="C824" s="1" t="n">
        <v>45826</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39003-2022</t>
        </is>
      </c>
      <c r="B825" s="1" t="n">
        <v>44817</v>
      </c>
      <c r="C825" s="1" t="n">
        <v>45826</v>
      </c>
      <c r="D825" t="inlineStr">
        <is>
          <t>JÄMTLANDS LÄN</t>
        </is>
      </c>
      <c r="E825" t="inlineStr">
        <is>
          <t>RAGUNDA</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39011-2022</t>
        </is>
      </c>
      <c r="B826" s="1" t="n">
        <v>44816</v>
      </c>
      <c r="C826" s="1" t="n">
        <v>45826</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39004-2022</t>
        </is>
      </c>
      <c r="B827" s="1" t="n">
        <v>44816</v>
      </c>
      <c r="C827" s="1" t="n">
        <v>45826</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39402-2022</t>
        </is>
      </c>
      <c r="B828" s="1" t="n">
        <v>44818</v>
      </c>
      <c r="C828" s="1" t="n">
        <v>45826</v>
      </c>
      <c r="D828" t="inlineStr">
        <is>
          <t>JÄMTLANDS LÄN</t>
        </is>
      </c>
      <c r="E828" t="inlineStr">
        <is>
          <t>RAGUNDA</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39408-2022</t>
        </is>
      </c>
      <c r="B829" s="1" t="n">
        <v>44817</v>
      </c>
      <c r="C829" s="1" t="n">
        <v>45826</v>
      </c>
      <c r="D829" t="inlineStr">
        <is>
          <t>JÄMTLANDS LÄN</t>
        </is>
      </c>
      <c r="E829" t="inlineStr">
        <is>
          <t>RAGUNDA</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39693-2022</t>
        </is>
      </c>
      <c r="B830" s="1" t="n">
        <v>44819</v>
      </c>
      <c r="C830" s="1" t="n">
        <v>45826</v>
      </c>
      <c r="D830" t="inlineStr">
        <is>
          <t>JÄMTLANDS LÄN</t>
        </is>
      </c>
      <c r="E830" t="inlineStr">
        <is>
          <t>RAGUNDA</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40200-2022</t>
        </is>
      </c>
      <c r="B831" s="1" t="n">
        <v>44818</v>
      </c>
      <c r="C831" s="1" t="n">
        <v>45826</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39698-2022</t>
        </is>
      </c>
      <c r="B832" s="1" t="n">
        <v>44818</v>
      </c>
      <c r="C832" s="1" t="n">
        <v>45826</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40265-2022</t>
        </is>
      </c>
      <c r="B833" s="1" t="n">
        <v>44821</v>
      </c>
      <c r="C833" s="1" t="n">
        <v>45826</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40269-2022</t>
        </is>
      </c>
      <c r="B834" s="1" t="n">
        <v>44820</v>
      </c>
      <c r="C834" s="1" t="n">
        <v>45826</v>
      </c>
      <c r="D834" t="inlineStr">
        <is>
          <t>JÄMTLANDS LÄN</t>
        </is>
      </c>
      <c r="E834" t="inlineStr">
        <is>
          <t>RAGUNDA</t>
        </is>
      </c>
      <c r="F834" t="inlineStr">
        <is>
          <t>SCA</t>
        </is>
      </c>
      <c r="G834" t="n">
        <v>77.8</v>
      </c>
      <c r="H834" t="n">
        <v>0</v>
      </c>
      <c r="I834" t="n">
        <v>0</v>
      </c>
      <c r="J834" t="n">
        <v>0</v>
      </c>
      <c r="K834" t="n">
        <v>0</v>
      </c>
      <c r="L834" t="n">
        <v>0</v>
      </c>
      <c r="M834" t="n">
        <v>0</v>
      </c>
      <c r="N834" t="n">
        <v>0</v>
      </c>
      <c r="O834" t="n">
        <v>0</v>
      </c>
      <c r="P834" t="n">
        <v>0</v>
      </c>
      <c r="Q834" t="n">
        <v>0</v>
      </c>
      <c r="R834" s="2" t="inlineStr"/>
    </row>
    <row r="835" ht="15" customHeight="1">
      <c r="A835" t="inlineStr">
        <is>
          <t>A 40267-2022</t>
        </is>
      </c>
      <c r="B835" s="1" t="n">
        <v>44820</v>
      </c>
      <c r="C835" s="1" t="n">
        <v>45826</v>
      </c>
      <c r="D835" t="inlineStr">
        <is>
          <t>JÄMTLANDS LÄN</t>
        </is>
      </c>
      <c r="E835" t="inlineStr">
        <is>
          <t>RAGUNDA</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40266-2022</t>
        </is>
      </c>
      <c r="B836" s="1" t="n">
        <v>44820</v>
      </c>
      <c r="C836" s="1" t="n">
        <v>45826</v>
      </c>
      <c r="D836" t="inlineStr">
        <is>
          <t>JÄMTLANDS LÄN</t>
        </is>
      </c>
      <c r="E836" t="inlineStr">
        <is>
          <t>RAGUNDA</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40951-2022</t>
        </is>
      </c>
      <c r="B837" s="1" t="n">
        <v>44820</v>
      </c>
      <c r="C837" s="1" t="n">
        <v>45826</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40436-2022</t>
        </is>
      </c>
      <c r="B838" s="1" t="n">
        <v>44823</v>
      </c>
      <c r="C838" s="1" t="n">
        <v>45826</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40612-2022</t>
        </is>
      </c>
      <c r="B839" s="1" t="n">
        <v>44824</v>
      </c>
      <c r="C839" s="1" t="n">
        <v>45826</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40978-2022</t>
        </is>
      </c>
      <c r="B840" s="1" t="n">
        <v>44823</v>
      </c>
      <c r="C840" s="1" t="n">
        <v>45826</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40829-2022</t>
        </is>
      </c>
      <c r="B841" s="1" t="n">
        <v>44825</v>
      </c>
      <c r="C841" s="1" t="n">
        <v>45826</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41180-2022</t>
        </is>
      </c>
      <c r="B842" s="1" t="n">
        <v>44825</v>
      </c>
      <c r="C842" s="1" t="n">
        <v>45826</v>
      </c>
      <c r="D842" t="inlineStr">
        <is>
          <t>JÄMTLANDS LÄN</t>
        </is>
      </c>
      <c r="E842" t="inlineStr">
        <is>
          <t>RAGUNDA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41179-2022</t>
        </is>
      </c>
      <c r="B843" s="1" t="n">
        <v>44825</v>
      </c>
      <c r="C843" s="1" t="n">
        <v>45826</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42267-2022</t>
        </is>
      </c>
      <c r="B844" s="1" t="n">
        <v>44830</v>
      </c>
      <c r="C844" s="1" t="n">
        <v>45826</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42266-2022</t>
        </is>
      </c>
      <c r="B845" s="1" t="n">
        <v>44831</v>
      </c>
      <c r="C845" s="1" t="n">
        <v>45826</v>
      </c>
      <c r="D845" t="inlineStr">
        <is>
          <t>JÄMTLANDS LÄN</t>
        </is>
      </c>
      <c r="E845" t="inlineStr">
        <is>
          <t>RAGUNDA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42652-2022</t>
        </is>
      </c>
      <c r="B846" s="1" t="n">
        <v>44832</v>
      </c>
      <c r="C846" s="1" t="n">
        <v>45826</v>
      </c>
      <c r="D846" t="inlineStr">
        <is>
          <t>JÄMTLANDS LÄN</t>
        </is>
      </c>
      <c r="E846" t="inlineStr">
        <is>
          <t>RAGUNDA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42644-2022</t>
        </is>
      </c>
      <c r="B847" s="1" t="n">
        <v>44831</v>
      </c>
      <c r="C847" s="1" t="n">
        <v>45826</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42655-2022</t>
        </is>
      </c>
      <c r="B848" s="1" t="n">
        <v>44831</v>
      </c>
      <c r="C848" s="1" t="n">
        <v>45826</v>
      </c>
      <c r="D848" t="inlineStr">
        <is>
          <t>JÄMTLANDS LÄN</t>
        </is>
      </c>
      <c r="E848" t="inlineStr">
        <is>
          <t>RAGUNDA</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42653-2022</t>
        </is>
      </c>
      <c r="B849" s="1" t="n">
        <v>44832</v>
      </c>
      <c r="C849" s="1" t="n">
        <v>45826</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42882-2022</t>
        </is>
      </c>
      <c r="B850" s="1" t="n">
        <v>44833</v>
      </c>
      <c r="C850" s="1" t="n">
        <v>45826</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42892-2022</t>
        </is>
      </c>
      <c r="B851" s="1" t="n">
        <v>44832</v>
      </c>
      <c r="C851" s="1" t="n">
        <v>45826</v>
      </c>
      <c r="D851" t="inlineStr">
        <is>
          <t>JÄMTLANDS LÄN</t>
        </is>
      </c>
      <c r="E851" t="inlineStr">
        <is>
          <t>RAGUNDA</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42893-2022</t>
        </is>
      </c>
      <c r="B852" s="1" t="n">
        <v>44832</v>
      </c>
      <c r="C852" s="1" t="n">
        <v>45826</v>
      </c>
      <c r="D852" t="inlineStr">
        <is>
          <t>JÄMTLANDS LÄN</t>
        </is>
      </c>
      <c r="E852" t="inlineStr">
        <is>
          <t>RAGUNDA</t>
        </is>
      </c>
      <c r="F852" t="inlineStr">
        <is>
          <t>SCA</t>
        </is>
      </c>
      <c r="G852" t="n">
        <v>28.4</v>
      </c>
      <c r="H852" t="n">
        <v>0</v>
      </c>
      <c r="I852" t="n">
        <v>0</v>
      </c>
      <c r="J852" t="n">
        <v>0</v>
      </c>
      <c r="K852" t="n">
        <v>0</v>
      </c>
      <c r="L852" t="n">
        <v>0</v>
      </c>
      <c r="M852" t="n">
        <v>0</v>
      </c>
      <c r="N852" t="n">
        <v>0</v>
      </c>
      <c r="O852" t="n">
        <v>0</v>
      </c>
      <c r="P852" t="n">
        <v>0</v>
      </c>
      <c r="Q852" t="n">
        <v>0</v>
      </c>
      <c r="R852" s="2" t="inlineStr"/>
    </row>
    <row r="853" ht="15" customHeight="1">
      <c r="A853" t="inlineStr">
        <is>
          <t>A 42900-2022</t>
        </is>
      </c>
      <c r="B853" s="1" t="n">
        <v>44833</v>
      </c>
      <c r="C853" s="1" t="n">
        <v>45826</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42901-2022</t>
        </is>
      </c>
      <c r="B854" s="1" t="n">
        <v>44832</v>
      </c>
      <c r="C854" s="1" t="n">
        <v>45826</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43147-2022</t>
        </is>
      </c>
      <c r="B855" s="1" t="n">
        <v>44834</v>
      </c>
      <c r="C855" s="1" t="n">
        <v>45826</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43163-2022</t>
        </is>
      </c>
      <c r="B856" s="1" t="n">
        <v>44834</v>
      </c>
      <c r="C856" s="1" t="n">
        <v>45826</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43478-2022</t>
        </is>
      </c>
      <c r="B857" s="1" t="n">
        <v>44837</v>
      </c>
      <c r="C857" s="1" t="n">
        <v>45826</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43793-2022</t>
        </is>
      </c>
      <c r="B858" s="1" t="n">
        <v>44837</v>
      </c>
      <c r="C858" s="1" t="n">
        <v>45826</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43794-2022</t>
        </is>
      </c>
      <c r="B859" s="1" t="n">
        <v>44837</v>
      </c>
      <c r="C859" s="1" t="n">
        <v>45826</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44050-2022</t>
        </is>
      </c>
      <c r="B860" s="1" t="n">
        <v>44838</v>
      </c>
      <c r="C860" s="1" t="n">
        <v>45826</v>
      </c>
      <c r="D860" t="inlineStr">
        <is>
          <t>JÄMTLANDS LÄN</t>
        </is>
      </c>
      <c r="E860" t="inlineStr">
        <is>
          <t>RAGUNDA</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44536-2022</t>
        </is>
      </c>
      <c r="B861" s="1" t="n">
        <v>44839</v>
      </c>
      <c r="C861" s="1" t="n">
        <v>45826</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44600-2022</t>
        </is>
      </c>
      <c r="B862" s="1" t="n">
        <v>44839</v>
      </c>
      <c r="C862" s="1" t="n">
        <v>45826</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44767-2022</t>
        </is>
      </c>
      <c r="B863" s="1" t="n">
        <v>44840</v>
      </c>
      <c r="C863" s="1" t="n">
        <v>45826</v>
      </c>
      <c r="D863" t="inlineStr">
        <is>
          <t>JÄMTLANDS LÄN</t>
        </is>
      </c>
      <c r="E863" t="inlineStr">
        <is>
          <t>RAGUNDA</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44766-2022</t>
        </is>
      </c>
      <c r="B864" s="1" t="n">
        <v>44841</v>
      </c>
      <c r="C864" s="1" t="n">
        <v>45826</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45437-2022</t>
        </is>
      </c>
      <c r="B865" s="1" t="n">
        <v>44844</v>
      </c>
      <c r="C865" s="1" t="n">
        <v>45826</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45438-2022</t>
        </is>
      </c>
      <c r="B866" s="1" t="n">
        <v>44845</v>
      </c>
      <c r="C866" s="1" t="n">
        <v>45826</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45708-2022</t>
        </is>
      </c>
      <c r="B867" s="1" t="n">
        <v>44846</v>
      </c>
      <c r="C867" s="1" t="n">
        <v>45826</v>
      </c>
      <c r="D867" t="inlineStr">
        <is>
          <t>JÄMTLANDS LÄN</t>
        </is>
      </c>
      <c r="E867" t="inlineStr">
        <is>
          <t>RAGUNDA</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45712-2022</t>
        </is>
      </c>
      <c r="B868" s="1" t="n">
        <v>44845</v>
      </c>
      <c r="C868" s="1" t="n">
        <v>45826</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45710-2022</t>
        </is>
      </c>
      <c r="B869" s="1" t="n">
        <v>44845</v>
      </c>
      <c r="C869" s="1" t="n">
        <v>45826</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45718-2022</t>
        </is>
      </c>
      <c r="B870" s="1" t="n">
        <v>44845</v>
      </c>
      <c r="C870" s="1" t="n">
        <v>45826</v>
      </c>
      <c r="D870" t="inlineStr">
        <is>
          <t>JÄMTLANDS LÄN</t>
        </is>
      </c>
      <c r="E870" t="inlineStr">
        <is>
          <t>RAGUNDA</t>
        </is>
      </c>
      <c r="F870" t="inlineStr">
        <is>
          <t>SCA</t>
        </is>
      </c>
      <c r="G870" t="n">
        <v>19.3</v>
      </c>
      <c r="H870" t="n">
        <v>0</v>
      </c>
      <c r="I870" t="n">
        <v>0</v>
      </c>
      <c r="J870" t="n">
        <v>0</v>
      </c>
      <c r="K870" t="n">
        <v>0</v>
      </c>
      <c r="L870" t="n">
        <v>0</v>
      </c>
      <c r="M870" t="n">
        <v>0</v>
      </c>
      <c r="N870" t="n">
        <v>0</v>
      </c>
      <c r="O870" t="n">
        <v>0</v>
      </c>
      <c r="P870" t="n">
        <v>0</v>
      </c>
      <c r="Q870" t="n">
        <v>0</v>
      </c>
      <c r="R870" s="2" t="inlineStr"/>
    </row>
    <row r="871" ht="15" customHeight="1">
      <c r="A871" t="inlineStr">
        <is>
          <t>A 45715-2022</t>
        </is>
      </c>
      <c r="B871" s="1" t="n">
        <v>44845</v>
      </c>
      <c r="C871" s="1" t="n">
        <v>45826</v>
      </c>
      <c r="D871" t="inlineStr">
        <is>
          <t>JÄMTLANDS LÄN</t>
        </is>
      </c>
      <c r="E871" t="inlineStr">
        <is>
          <t>RAGUNDA</t>
        </is>
      </c>
      <c r="F871" t="inlineStr">
        <is>
          <t>SCA</t>
        </is>
      </c>
      <c r="G871" t="n">
        <v>8.6</v>
      </c>
      <c r="H871" t="n">
        <v>0</v>
      </c>
      <c r="I871" t="n">
        <v>0</v>
      </c>
      <c r="J871" t="n">
        <v>0</v>
      </c>
      <c r="K871" t="n">
        <v>0</v>
      </c>
      <c r="L871" t="n">
        <v>0</v>
      </c>
      <c r="M871" t="n">
        <v>0</v>
      </c>
      <c r="N871" t="n">
        <v>0</v>
      </c>
      <c r="O871" t="n">
        <v>0</v>
      </c>
      <c r="P871" t="n">
        <v>0</v>
      </c>
      <c r="Q871" t="n">
        <v>0</v>
      </c>
      <c r="R871" s="2" t="inlineStr"/>
    </row>
    <row r="872" ht="15" customHeight="1">
      <c r="A872" t="inlineStr">
        <is>
          <t>A 46047-2022</t>
        </is>
      </c>
      <c r="B872" s="1" t="n">
        <v>44847</v>
      </c>
      <c r="C872" s="1" t="n">
        <v>45826</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46040-2022</t>
        </is>
      </c>
      <c r="B873" s="1" t="n">
        <v>44847</v>
      </c>
      <c r="C873" s="1" t="n">
        <v>45826</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46050-2022</t>
        </is>
      </c>
      <c r="B874" s="1" t="n">
        <v>44846</v>
      </c>
      <c r="C874" s="1" t="n">
        <v>45826</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46049-2022</t>
        </is>
      </c>
      <c r="B875" s="1" t="n">
        <v>44847</v>
      </c>
      <c r="C875" s="1" t="n">
        <v>45826</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46048-2022</t>
        </is>
      </c>
      <c r="B876" s="1" t="n">
        <v>44846</v>
      </c>
      <c r="C876" s="1" t="n">
        <v>45826</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46991-2022</t>
        </is>
      </c>
      <c r="B877" s="1" t="n">
        <v>44852</v>
      </c>
      <c r="C877" s="1" t="n">
        <v>45826</v>
      </c>
      <c r="D877" t="inlineStr">
        <is>
          <t>JÄMTLANDS LÄN</t>
        </is>
      </c>
      <c r="E877" t="inlineStr">
        <is>
          <t>RAGUNDA</t>
        </is>
      </c>
      <c r="F877" t="inlineStr">
        <is>
          <t>SCA</t>
        </is>
      </c>
      <c r="G877" t="n">
        <v>17.3</v>
      </c>
      <c r="H877" t="n">
        <v>0</v>
      </c>
      <c r="I877" t="n">
        <v>0</v>
      </c>
      <c r="J877" t="n">
        <v>0</v>
      </c>
      <c r="K877" t="n">
        <v>0</v>
      </c>
      <c r="L877" t="n">
        <v>0</v>
      </c>
      <c r="M877" t="n">
        <v>0</v>
      </c>
      <c r="N877" t="n">
        <v>0</v>
      </c>
      <c r="O877" t="n">
        <v>0</v>
      </c>
      <c r="P877" t="n">
        <v>0</v>
      </c>
      <c r="Q877" t="n">
        <v>0</v>
      </c>
      <c r="R877" s="2" t="inlineStr"/>
    </row>
    <row r="878" ht="15" customHeight="1">
      <c r="A878" t="inlineStr">
        <is>
          <t>A 46992-2022</t>
        </is>
      </c>
      <c r="B878" s="1" t="n">
        <v>44852</v>
      </c>
      <c r="C878" s="1" t="n">
        <v>45826</v>
      </c>
      <c r="D878" t="inlineStr">
        <is>
          <t>JÄMTLANDS LÄN</t>
        </is>
      </c>
      <c r="E878" t="inlineStr">
        <is>
          <t>RAGUNDA</t>
        </is>
      </c>
      <c r="F878" t="inlineStr">
        <is>
          <t>SCA</t>
        </is>
      </c>
      <c r="G878" t="n">
        <v>26.4</v>
      </c>
      <c r="H878" t="n">
        <v>0</v>
      </c>
      <c r="I878" t="n">
        <v>0</v>
      </c>
      <c r="J878" t="n">
        <v>0</v>
      </c>
      <c r="K878" t="n">
        <v>0</v>
      </c>
      <c r="L878" t="n">
        <v>0</v>
      </c>
      <c r="M878" t="n">
        <v>0</v>
      </c>
      <c r="N878" t="n">
        <v>0</v>
      </c>
      <c r="O878" t="n">
        <v>0</v>
      </c>
      <c r="P878" t="n">
        <v>0</v>
      </c>
      <c r="Q878" t="n">
        <v>0</v>
      </c>
      <c r="R878" s="2" t="inlineStr"/>
    </row>
    <row r="879" ht="15" customHeight="1">
      <c r="A879" t="inlineStr">
        <is>
          <t>A 47262-2022</t>
        </is>
      </c>
      <c r="B879" s="1" t="n">
        <v>44852</v>
      </c>
      <c r="C879" s="1" t="n">
        <v>45826</v>
      </c>
      <c r="D879" t="inlineStr">
        <is>
          <t>JÄMTLANDS LÄN</t>
        </is>
      </c>
      <c r="E879" t="inlineStr">
        <is>
          <t>RAGUNDA</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47280-2022</t>
        </is>
      </c>
      <c r="B880" s="1" t="n">
        <v>44852</v>
      </c>
      <c r="C880" s="1" t="n">
        <v>45826</v>
      </c>
      <c r="D880" t="inlineStr">
        <is>
          <t>JÄMTLANDS LÄN</t>
        </is>
      </c>
      <c r="E880" t="inlineStr">
        <is>
          <t>RAGUNDA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47278-2022</t>
        </is>
      </c>
      <c r="B881" s="1" t="n">
        <v>44852</v>
      </c>
      <c r="C881" s="1" t="n">
        <v>45826</v>
      </c>
      <c r="D881" t="inlineStr">
        <is>
          <t>JÄMTLANDS LÄN</t>
        </is>
      </c>
      <c r="E881" t="inlineStr">
        <is>
          <t>RAGUNDA</t>
        </is>
      </c>
      <c r="F881" t="inlineStr">
        <is>
          <t>SCA</t>
        </is>
      </c>
      <c r="G881" t="n">
        <v>10.1</v>
      </c>
      <c r="H881" t="n">
        <v>0</v>
      </c>
      <c r="I881" t="n">
        <v>0</v>
      </c>
      <c r="J881" t="n">
        <v>0</v>
      </c>
      <c r="K881" t="n">
        <v>0</v>
      </c>
      <c r="L881" t="n">
        <v>0</v>
      </c>
      <c r="M881" t="n">
        <v>0</v>
      </c>
      <c r="N881" t="n">
        <v>0</v>
      </c>
      <c r="O881" t="n">
        <v>0</v>
      </c>
      <c r="P881" t="n">
        <v>0</v>
      </c>
      <c r="Q881" t="n">
        <v>0</v>
      </c>
      <c r="R881" s="2" t="inlineStr"/>
    </row>
    <row r="882" ht="15" customHeight="1">
      <c r="A882" t="inlineStr">
        <is>
          <t>A 47567-2022</t>
        </is>
      </c>
      <c r="B882" s="1" t="n">
        <v>44853</v>
      </c>
      <c r="C882" s="1" t="n">
        <v>45826</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47568-2022</t>
        </is>
      </c>
      <c r="B883" s="1" t="n">
        <v>44854</v>
      </c>
      <c r="C883" s="1" t="n">
        <v>45826</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47801-2022</t>
        </is>
      </c>
      <c r="B884" s="1" t="n">
        <v>44854</v>
      </c>
      <c r="C884" s="1" t="n">
        <v>45826</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47803-2022</t>
        </is>
      </c>
      <c r="B885" s="1" t="n">
        <v>44855</v>
      </c>
      <c r="C885" s="1" t="n">
        <v>45826</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48060-2022</t>
        </is>
      </c>
      <c r="B886" s="1" t="n">
        <v>44856</v>
      </c>
      <c r="C886" s="1" t="n">
        <v>45826</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48055-2022</t>
        </is>
      </c>
      <c r="B887" s="1" t="n">
        <v>44856</v>
      </c>
      <c r="C887" s="1" t="n">
        <v>45826</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48058-2022</t>
        </is>
      </c>
      <c r="B888" s="1" t="n">
        <v>44856</v>
      </c>
      <c r="C888" s="1" t="n">
        <v>45826</v>
      </c>
      <c r="D888" t="inlineStr">
        <is>
          <t>JÄMTLANDS LÄN</t>
        </is>
      </c>
      <c r="E888" t="inlineStr">
        <is>
          <t>RAGUNDA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48066-2022</t>
        </is>
      </c>
      <c r="B889" s="1" t="n">
        <v>44855</v>
      </c>
      <c r="C889" s="1" t="n">
        <v>45826</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48076-2022</t>
        </is>
      </c>
      <c r="B890" s="1" t="n">
        <v>44856</v>
      </c>
      <c r="C890" s="1" t="n">
        <v>45826</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48053-2022</t>
        </is>
      </c>
      <c r="B891" s="1" t="n">
        <v>44856</v>
      </c>
      <c r="C891" s="1" t="n">
        <v>45826</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48075-2022</t>
        </is>
      </c>
      <c r="B892" s="1" t="n">
        <v>44855</v>
      </c>
      <c r="C892" s="1" t="n">
        <v>45826</v>
      </c>
      <c r="D892" t="inlineStr">
        <is>
          <t>JÄMTLANDS LÄN</t>
        </is>
      </c>
      <c r="E892" t="inlineStr">
        <is>
          <t>RAGUNDA</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48086-2022</t>
        </is>
      </c>
      <c r="B893" s="1" t="n">
        <v>44856</v>
      </c>
      <c r="C893" s="1" t="n">
        <v>45826</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48085-2022</t>
        </is>
      </c>
      <c r="B894" s="1" t="n">
        <v>44855</v>
      </c>
      <c r="C894" s="1" t="n">
        <v>45826</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48536-2022</t>
        </is>
      </c>
      <c r="B895" s="1" t="n">
        <v>44858</v>
      </c>
      <c r="C895" s="1" t="n">
        <v>45826</v>
      </c>
      <c r="D895" t="inlineStr">
        <is>
          <t>JÄMTLANDS LÄN</t>
        </is>
      </c>
      <c r="E895" t="inlineStr">
        <is>
          <t>RAGUNDA</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48538-2022</t>
        </is>
      </c>
      <c r="B896" s="1" t="n">
        <v>44858</v>
      </c>
      <c r="C896" s="1" t="n">
        <v>45826</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48522-2022</t>
        </is>
      </c>
      <c r="B897" s="1" t="n">
        <v>44859</v>
      </c>
      <c r="C897" s="1" t="n">
        <v>45826</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48534-2022</t>
        </is>
      </c>
      <c r="B898" s="1" t="n">
        <v>44859</v>
      </c>
      <c r="C898" s="1" t="n">
        <v>45826</v>
      </c>
      <c r="D898" t="inlineStr">
        <is>
          <t>JÄMTLANDS LÄN</t>
        </is>
      </c>
      <c r="E898" t="inlineStr">
        <is>
          <t>RAGUNDA</t>
        </is>
      </c>
      <c r="F898" t="inlineStr">
        <is>
          <t>SCA</t>
        </is>
      </c>
      <c r="G898" t="n">
        <v>6.7</v>
      </c>
      <c r="H898" t="n">
        <v>0</v>
      </c>
      <c r="I898" t="n">
        <v>0</v>
      </c>
      <c r="J898" t="n">
        <v>0</v>
      </c>
      <c r="K898" t="n">
        <v>0</v>
      </c>
      <c r="L898" t="n">
        <v>0</v>
      </c>
      <c r="M898" t="n">
        <v>0</v>
      </c>
      <c r="N898" t="n">
        <v>0</v>
      </c>
      <c r="O898" t="n">
        <v>0</v>
      </c>
      <c r="P898" t="n">
        <v>0</v>
      </c>
      <c r="Q898" t="n">
        <v>0</v>
      </c>
      <c r="R898" s="2" t="inlineStr"/>
    </row>
    <row r="899" ht="15" customHeight="1">
      <c r="A899" t="inlineStr">
        <is>
          <t>A 48938-2022</t>
        </is>
      </c>
      <c r="B899" s="1" t="n">
        <v>44860</v>
      </c>
      <c r="C899" s="1" t="n">
        <v>45826</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49183-2022</t>
        </is>
      </c>
      <c r="B900" s="1" t="n">
        <v>44860</v>
      </c>
      <c r="C900" s="1" t="n">
        <v>45826</v>
      </c>
      <c r="D900" t="inlineStr">
        <is>
          <t>JÄMTLANDS LÄN</t>
        </is>
      </c>
      <c r="E900" t="inlineStr">
        <is>
          <t>RAGUNDA</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49182-2022</t>
        </is>
      </c>
      <c r="B901" s="1" t="n">
        <v>44861</v>
      </c>
      <c r="C901" s="1" t="n">
        <v>45826</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49197-2022</t>
        </is>
      </c>
      <c r="B902" s="1" t="n">
        <v>44860</v>
      </c>
      <c r="C902" s="1" t="n">
        <v>45826</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49531-2022</t>
        </is>
      </c>
      <c r="B903" s="1" t="n">
        <v>44861</v>
      </c>
      <c r="C903" s="1" t="n">
        <v>45826</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49530-2022</t>
        </is>
      </c>
      <c r="B904" s="1" t="n">
        <v>44861</v>
      </c>
      <c r="C904" s="1" t="n">
        <v>45826</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49544-2022</t>
        </is>
      </c>
      <c r="B905" s="1" t="n">
        <v>44862</v>
      </c>
      <c r="C905" s="1" t="n">
        <v>45826</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49543-2022</t>
        </is>
      </c>
      <c r="B906" s="1" t="n">
        <v>44862</v>
      </c>
      <c r="C906" s="1" t="n">
        <v>45826</v>
      </c>
      <c r="D906" t="inlineStr">
        <is>
          <t>JÄMTLANDS LÄN</t>
        </is>
      </c>
      <c r="E906" t="inlineStr">
        <is>
          <t>RAGUNDA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49844-2022</t>
        </is>
      </c>
      <c r="B907" s="1" t="n">
        <v>44863</v>
      </c>
      <c r="C907" s="1" t="n">
        <v>45826</v>
      </c>
      <c r="D907" t="inlineStr">
        <is>
          <t>JÄMTLANDS LÄN</t>
        </is>
      </c>
      <c r="E907" t="inlineStr">
        <is>
          <t>RAGUNDA</t>
        </is>
      </c>
      <c r="G907" t="n">
        <v>3.9</v>
      </c>
      <c r="H907" t="n">
        <v>0</v>
      </c>
      <c r="I907" t="n">
        <v>0</v>
      </c>
      <c r="J907" t="n">
        <v>0</v>
      </c>
      <c r="K907" t="n">
        <v>0</v>
      </c>
      <c r="L907" t="n">
        <v>0</v>
      </c>
      <c r="M907" t="n">
        <v>0</v>
      </c>
      <c r="N907" t="n">
        <v>0</v>
      </c>
      <c r="O907" t="n">
        <v>0</v>
      </c>
      <c r="P907" t="n">
        <v>0</v>
      </c>
      <c r="Q907" t="n">
        <v>0</v>
      </c>
      <c r="R907" s="2" t="inlineStr"/>
    </row>
    <row r="908" ht="15" customHeight="1">
      <c r="A908" t="inlineStr">
        <is>
          <t>A 49904-2022</t>
        </is>
      </c>
      <c r="B908" s="1" t="n">
        <v>44864</v>
      </c>
      <c r="C908" s="1" t="n">
        <v>45826</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50087-2022</t>
        </is>
      </c>
      <c r="B909" s="1" t="n">
        <v>44865</v>
      </c>
      <c r="C909" s="1" t="n">
        <v>45826</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50649-2022</t>
        </is>
      </c>
      <c r="B910" s="1" t="n">
        <v>44866</v>
      </c>
      <c r="C910" s="1" t="n">
        <v>45826</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50682-2022</t>
        </is>
      </c>
      <c r="B911" s="1" t="n">
        <v>44866</v>
      </c>
      <c r="C911" s="1" t="n">
        <v>45826</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51012-2022</t>
        </is>
      </c>
      <c r="B912" s="1" t="n">
        <v>44867</v>
      </c>
      <c r="C912" s="1" t="n">
        <v>45826</v>
      </c>
      <c r="D912" t="inlineStr">
        <is>
          <t>JÄMTLANDS LÄN</t>
        </is>
      </c>
      <c r="E912" t="inlineStr">
        <is>
          <t>RAGUNDA</t>
        </is>
      </c>
      <c r="F912" t="inlineStr">
        <is>
          <t>Sveaskog</t>
        </is>
      </c>
      <c r="G912" t="n">
        <v>8.4</v>
      </c>
      <c r="H912" t="n">
        <v>0</v>
      </c>
      <c r="I912" t="n">
        <v>0</v>
      </c>
      <c r="J912" t="n">
        <v>0</v>
      </c>
      <c r="K912" t="n">
        <v>0</v>
      </c>
      <c r="L912" t="n">
        <v>0</v>
      </c>
      <c r="M912" t="n">
        <v>0</v>
      </c>
      <c r="N912" t="n">
        <v>0</v>
      </c>
      <c r="O912" t="n">
        <v>0</v>
      </c>
      <c r="P912" t="n">
        <v>0</v>
      </c>
      <c r="Q912" t="n">
        <v>0</v>
      </c>
      <c r="R912" s="2" t="inlineStr"/>
    </row>
    <row r="913" ht="15" customHeight="1">
      <c r="A913" t="inlineStr">
        <is>
          <t>A 51540-2022</t>
        </is>
      </c>
      <c r="B913" s="1" t="n">
        <v>44869</v>
      </c>
      <c r="C913" s="1" t="n">
        <v>45826</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51538-2022</t>
        </is>
      </c>
      <c r="B914" s="1" t="n">
        <v>44869</v>
      </c>
      <c r="C914" s="1" t="n">
        <v>45826</v>
      </c>
      <c r="D914" t="inlineStr">
        <is>
          <t>JÄMTLANDS LÄN</t>
        </is>
      </c>
      <c r="E914" t="inlineStr">
        <is>
          <t>RAGUNDA</t>
        </is>
      </c>
      <c r="G914" t="n">
        <v>6.8</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45826</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52697-2022</t>
        </is>
      </c>
      <c r="B916" s="1" t="n">
        <v>44874</v>
      </c>
      <c r="C916" s="1" t="n">
        <v>45826</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52720-2022</t>
        </is>
      </c>
      <c r="B917" s="1" t="n">
        <v>44874</v>
      </c>
      <c r="C917" s="1" t="n">
        <v>45826</v>
      </c>
      <c r="D917" t="inlineStr">
        <is>
          <t>JÄMTLANDS LÄN</t>
        </is>
      </c>
      <c r="E917" t="inlineStr">
        <is>
          <t>RAGUNDA</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53287-2022</t>
        </is>
      </c>
      <c r="B918" s="1" t="n">
        <v>44876</v>
      </c>
      <c r="C918" s="1" t="n">
        <v>45826</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53288-2022</t>
        </is>
      </c>
      <c r="B919" s="1" t="n">
        <v>44876</v>
      </c>
      <c r="C919" s="1" t="n">
        <v>45826</v>
      </c>
      <c r="D919" t="inlineStr">
        <is>
          <t>JÄMTLANDS LÄN</t>
        </is>
      </c>
      <c r="E919" t="inlineStr">
        <is>
          <t>RAGUNDA</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53676-2022</t>
        </is>
      </c>
      <c r="B920" s="1" t="n">
        <v>44879</v>
      </c>
      <c r="C920" s="1" t="n">
        <v>45826</v>
      </c>
      <c r="D920" t="inlineStr">
        <is>
          <t>JÄMTLANDS LÄN</t>
        </is>
      </c>
      <c r="E920" t="inlineStr">
        <is>
          <t>RAGUNDA</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53678-2022</t>
        </is>
      </c>
      <c r="B921" s="1" t="n">
        <v>44879</v>
      </c>
      <c r="C921" s="1" t="n">
        <v>45826</v>
      </c>
      <c r="D921" t="inlineStr">
        <is>
          <t>JÄMTLANDS LÄN</t>
        </is>
      </c>
      <c r="E921" t="inlineStr">
        <is>
          <t>RAGUNDA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53677-2022</t>
        </is>
      </c>
      <c r="B922" s="1" t="n">
        <v>44879</v>
      </c>
      <c r="C922" s="1" t="n">
        <v>45826</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53674-2022</t>
        </is>
      </c>
      <c r="B923" s="1" t="n">
        <v>44879</v>
      </c>
      <c r="C923" s="1" t="n">
        <v>45826</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53935-2022</t>
        </is>
      </c>
      <c r="B924" s="1" t="n">
        <v>44880</v>
      </c>
      <c r="C924" s="1" t="n">
        <v>45826</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53954-2022</t>
        </is>
      </c>
      <c r="B925" s="1" t="n">
        <v>44880</v>
      </c>
      <c r="C925" s="1" t="n">
        <v>45826</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53951-2022</t>
        </is>
      </c>
      <c r="B926" s="1" t="n">
        <v>44880</v>
      </c>
      <c r="C926" s="1" t="n">
        <v>45826</v>
      </c>
      <c r="D926" t="inlineStr">
        <is>
          <t>JÄMTLANDS LÄN</t>
        </is>
      </c>
      <c r="E926" t="inlineStr">
        <is>
          <t>RAGUNDA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53952-2022</t>
        </is>
      </c>
      <c r="B927" s="1" t="n">
        <v>44880</v>
      </c>
      <c r="C927" s="1" t="n">
        <v>45826</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53958-2022</t>
        </is>
      </c>
      <c r="B928" s="1" t="n">
        <v>44880</v>
      </c>
      <c r="C928" s="1" t="n">
        <v>45826</v>
      </c>
      <c r="D928" t="inlineStr">
        <is>
          <t>JÄMTLANDS LÄN</t>
        </is>
      </c>
      <c r="E928" t="inlineStr">
        <is>
          <t>RAGUNDA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53937-2022</t>
        </is>
      </c>
      <c r="B929" s="1" t="n">
        <v>44880</v>
      </c>
      <c r="C929" s="1" t="n">
        <v>45826</v>
      </c>
      <c r="D929" t="inlineStr">
        <is>
          <t>JÄMTLANDS LÄN</t>
        </is>
      </c>
      <c r="E929" t="inlineStr">
        <is>
          <t>RAGUNDA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53955-2022</t>
        </is>
      </c>
      <c r="B930" s="1" t="n">
        <v>44880</v>
      </c>
      <c r="C930" s="1" t="n">
        <v>45826</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54244-2022</t>
        </is>
      </c>
      <c r="B931" s="1" t="n">
        <v>44881</v>
      </c>
      <c r="C931" s="1" t="n">
        <v>45826</v>
      </c>
      <c r="D931" t="inlineStr">
        <is>
          <t>JÄMTLANDS LÄN</t>
        </is>
      </c>
      <c r="E931" t="inlineStr">
        <is>
          <t>RAGUNDA</t>
        </is>
      </c>
      <c r="G931" t="n">
        <v>2.8</v>
      </c>
      <c r="H931" t="n">
        <v>0</v>
      </c>
      <c r="I931" t="n">
        <v>0</v>
      </c>
      <c r="J931" t="n">
        <v>0</v>
      </c>
      <c r="K931" t="n">
        <v>0</v>
      </c>
      <c r="L931" t="n">
        <v>0</v>
      </c>
      <c r="M931" t="n">
        <v>0</v>
      </c>
      <c r="N931" t="n">
        <v>0</v>
      </c>
      <c r="O931" t="n">
        <v>0</v>
      </c>
      <c r="P931" t="n">
        <v>0</v>
      </c>
      <c r="Q931" t="n">
        <v>0</v>
      </c>
      <c r="R931" s="2" t="inlineStr"/>
    </row>
    <row r="932" ht="15" customHeight="1">
      <c r="A932" t="inlineStr">
        <is>
          <t>A 54570-2022</t>
        </is>
      </c>
      <c r="B932" s="1" t="n">
        <v>44882</v>
      </c>
      <c r="C932" s="1" t="n">
        <v>45826</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54572-2022</t>
        </is>
      </c>
      <c r="B933" s="1" t="n">
        <v>44882</v>
      </c>
      <c r="C933" s="1" t="n">
        <v>45826</v>
      </c>
      <c r="D933" t="inlineStr">
        <is>
          <t>JÄMTLANDS LÄN</t>
        </is>
      </c>
      <c r="E933" t="inlineStr">
        <is>
          <t>RAGUNDA</t>
        </is>
      </c>
      <c r="G933" t="n">
        <v>10.1</v>
      </c>
      <c r="H933" t="n">
        <v>0</v>
      </c>
      <c r="I933" t="n">
        <v>0</v>
      </c>
      <c r="J933" t="n">
        <v>0</v>
      </c>
      <c r="K933" t="n">
        <v>0</v>
      </c>
      <c r="L933" t="n">
        <v>0</v>
      </c>
      <c r="M933" t="n">
        <v>0</v>
      </c>
      <c r="N933" t="n">
        <v>0</v>
      </c>
      <c r="O933" t="n">
        <v>0</v>
      </c>
      <c r="P933" t="n">
        <v>0</v>
      </c>
      <c r="Q933" t="n">
        <v>0</v>
      </c>
      <c r="R933" s="2" t="inlineStr"/>
    </row>
    <row r="934" ht="15" customHeight="1">
      <c r="A934" t="inlineStr">
        <is>
          <t>A 54836-2022</t>
        </is>
      </c>
      <c r="B934" s="1" t="n">
        <v>44883</v>
      </c>
      <c r="C934" s="1" t="n">
        <v>45826</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54835-2022</t>
        </is>
      </c>
      <c r="B935" s="1" t="n">
        <v>44883</v>
      </c>
      <c r="C935" s="1" t="n">
        <v>45826</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54830-2022</t>
        </is>
      </c>
      <c r="B936" s="1" t="n">
        <v>44883</v>
      </c>
      <c r="C936" s="1" t="n">
        <v>45826</v>
      </c>
      <c r="D936" t="inlineStr">
        <is>
          <t>JÄMTLANDS LÄN</t>
        </is>
      </c>
      <c r="E936" t="inlineStr">
        <is>
          <t>RAGUNDA</t>
        </is>
      </c>
      <c r="F936" t="inlineStr">
        <is>
          <t>Sveaskog</t>
        </is>
      </c>
      <c r="G936" t="n">
        <v>7</v>
      </c>
      <c r="H936" t="n">
        <v>0</v>
      </c>
      <c r="I936" t="n">
        <v>0</v>
      </c>
      <c r="J936" t="n">
        <v>0</v>
      </c>
      <c r="K936" t="n">
        <v>0</v>
      </c>
      <c r="L936" t="n">
        <v>0</v>
      </c>
      <c r="M936" t="n">
        <v>0</v>
      </c>
      <c r="N936" t="n">
        <v>0</v>
      </c>
      <c r="O936" t="n">
        <v>0</v>
      </c>
      <c r="P936" t="n">
        <v>0</v>
      </c>
      <c r="Q936" t="n">
        <v>0</v>
      </c>
      <c r="R936" s="2" t="inlineStr"/>
    </row>
    <row r="937" ht="15" customHeight="1">
      <c r="A937" t="inlineStr">
        <is>
          <t>A 54837-2022</t>
        </is>
      </c>
      <c r="B937" s="1" t="n">
        <v>44883</v>
      </c>
      <c r="C937" s="1" t="n">
        <v>45826</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54827-2022</t>
        </is>
      </c>
      <c r="B938" s="1" t="n">
        <v>44883</v>
      </c>
      <c r="C938" s="1" t="n">
        <v>45826</v>
      </c>
      <c r="D938" t="inlineStr">
        <is>
          <t>JÄMTLANDS LÄN</t>
        </is>
      </c>
      <c r="E938" t="inlineStr">
        <is>
          <t>RAGUNDA</t>
        </is>
      </c>
      <c r="F938" t="inlineStr">
        <is>
          <t>SCA</t>
        </is>
      </c>
      <c r="G938" t="n">
        <v>10.6</v>
      </c>
      <c r="H938" t="n">
        <v>0</v>
      </c>
      <c r="I938" t="n">
        <v>0</v>
      </c>
      <c r="J938" t="n">
        <v>0</v>
      </c>
      <c r="K938" t="n">
        <v>0</v>
      </c>
      <c r="L938" t="n">
        <v>0</v>
      </c>
      <c r="M938" t="n">
        <v>0</v>
      </c>
      <c r="N938" t="n">
        <v>0</v>
      </c>
      <c r="O938" t="n">
        <v>0</v>
      </c>
      <c r="P938" t="n">
        <v>0</v>
      </c>
      <c r="Q938" t="n">
        <v>0</v>
      </c>
      <c r="R938" s="2" t="inlineStr"/>
    </row>
    <row r="939" ht="15" customHeight="1">
      <c r="A939" t="inlineStr">
        <is>
          <t>A 55214-2022</t>
        </is>
      </c>
      <c r="B939" s="1" t="n">
        <v>44886</v>
      </c>
      <c r="C939" s="1" t="n">
        <v>45826</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55904-2022</t>
        </is>
      </c>
      <c r="B940" s="1" t="n">
        <v>44888</v>
      </c>
      <c r="C940" s="1" t="n">
        <v>45826</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v>
      </c>
      <c r="C941" s="1" t="n">
        <v>45826</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56186-2022</t>
        </is>
      </c>
      <c r="B942" s="1" t="n">
        <v>44889</v>
      </c>
      <c r="C942" s="1" t="n">
        <v>45826</v>
      </c>
      <c r="D942" t="inlineStr">
        <is>
          <t>JÄMTLANDS LÄN</t>
        </is>
      </c>
      <c r="E942" t="inlineStr">
        <is>
          <t>RAGUNDA</t>
        </is>
      </c>
      <c r="F942" t="inlineStr">
        <is>
          <t>Sveaskog</t>
        </is>
      </c>
      <c r="G942" t="n">
        <v>6</v>
      </c>
      <c r="H942" t="n">
        <v>0</v>
      </c>
      <c r="I942" t="n">
        <v>0</v>
      </c>
      <c r="J942" t="n">
        <v>0</v>
      </c>
      <c r="K942" t="n">
        <v>0</v>
      </c>
      <c r="L942" t="n">
        <v>0</v>
      </c>
      <c r="M942" t="n">
        <v>0</v>
      </c>
      <c r="N942" t="n">
        <v>0</v>
      </c>
      <c r="O942" t="n">
        <v>0</v>
      </c>
      <c r="P942" t="n">
        <v>0</v>
      </c>
      <c r="Q942" t="n">
        <v>0</v>
      </c>
      <c r="R942" s="2" t="inlineStr"/>
    </row>
    <row r="943" ht="15" customHeight="1">
      <c r="A943" t="inlineStr">
        <is>
          <t>A 56192-2022</t>
        </is>
      </c>
      <c r="B943" s="1" t="n">
        <v>44889</v>
      </c>
      <c r="C943" s="1" t="n">
        <v>45826</v>
      </c>
      <c r="D943" t="inlineStr">
        <is>
          <t>JÄMTLANDS LÄN</t>
        </is>
      </c>
      <c r="E943" t="inlineStr">
        <is>
          <t>RAGUNDA</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56193-2022</t>
        </is>
      </c>
      <c r="B944" s="1" t="n">
        <v>44889</v>
      </c>
      <c r="C944" s="1" t="n">
        <v>45826</v>
      </c>
      <c r="D944" t="inlineStr">
        <is>
          <t>JÄMTLANDS LÄN</t>
        </is>
      </c>
      <c r="E944" t="inlineStr">
        <is>
          <t>RAGUNDA</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57237-2022</t>
        </is>
      </c>
      <c r="B945" s="1" t="n">
        <v>44889</v>
      </c>
      <c r="C945" s="1" t="n">
        <v>45826</v>
      </c>
      <c r="D945" t="inlineStr">
        <is>
          <t>JÄMTLANDS LÄN</t>
        </is>
      </c>
      <c r="E945" t="inlineStr">
        <is>
          <t>RAGUNDA</t>
        </is>
      </c>
      <c r="G945" t="n">
        <v>2.2</v>
      </c>
      <c r="H945" t="n">
        <v>0</v>
      </c>
      <c r="I945" t="n">
        <v>0</v>
      </c>
      <c r="J945" t="n">
        <v>0</v>
      </c>
      <c r="K945" t="n">
        <v>0</v>
      </c>
      <c r="L945" t="n">
        <v>0</v>
      </c>
      <c r="M945" t="n">
        <v>0</v>
      </c>
      <c r="N945" t="n">
        <v>0</v>
      </c>
      <c r="O945" t="n">
        <v>0</v>
      </c>
      <c r="P945" t="n">
        <v>0</v>
      </c>
      <c r="Q945" t="n">
        <v>0</v>
      </c>
      <c r="R945" s="2" t="inlineStr"/>
    </row>
    <row r="946" ht="15" customHeight="1">
      <c r="A946" t="inlineStr">
        <is>
          <t>A 56630-2022</t>
        </is>
      </c>
      <c r="B946" s="1" t="n">
        <v>44893</v>
      </c>
      <c r="C946" s="1" t="n">
        <v>45826</v>
      </c>
      <c r="D946" t="inlineStr">
        <is>
          <t>JÄMTLANDS LÄN</t>
        </is>
      </c>
      <c r="E946" t="inlineStr">
        <is>
          <t>RAGUNDA</t>
        </is>
      </c>
      <c r="G946" t="n">
        <v>1.9</v>
      </c>
      <c r="H946" t="n">
        <v>0</v>
      </c>
      <c r="I946" t="n">
        <v>0</v>
      </c>
      <c r="J946" t="n">
        <v>0</v>
      </c>
      <c r="K946" t="n">
        <v>0</v>
      </c>
      <c r="L946" t="n">
        <v>0</v>
      </c>
      <c r="M946" t="n">
        <v>0</v>
      </c>
      <c r="N946" t="n">
        <v>0</v>
      </c>
      <c r="O946" t="n">
        <v>0</v>
      </c>
      <c r="P946" t="n">
        <v>0</v>
      </c>
      <c r="Q946" t="n">
        <v>0</v>
      </c>
      <c r="R946" s="2" t="inlineStr"/>
    </row>
    <row r="947" ht="15" customHeight="1">
      <c r="A947" t="inlineStr">
        <is>
          <t>A 56984-2022</t>
        </is>
      </c>
      <c r="B947" s="1" t="n">
        <v>44894</v>
      </c>
      <c r="C947" s="1" t="n">
        <v>45826</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58537-2022</t>
        </is>
      </c>
      <c r="B948" s="1" t="n">
        <v>44894</v>
      </c>
      <c r="C948" s="1" t="n">
        <v>45826</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57298-2022</t>
        </is>
      </c>
      <c r="B949" s="1" t="n">
        <v>44895</v>
      </c>
      <c r="C949" s="1" t="n">
        <v>45826</v>
      </c>
      <c r="D949" t="inlineStr">
        <is>
          <t>JÄMTLANDS LÄN</t>
        </is>
      </c>
      <c r="E949" t="inlineStr">
        <is>
          <t>RAGUNDA</t>
        </is>
      </c>
      <c r="F949" t="inlineStr">
        <is>
          <t>SCA</t>
        </is>
      </c>
      <c r="G949" t="n">
        <v>27.4</v>
      </c>
      <c r="H949" t="n">
        <v>0</v>
      </c>
      <c r="I949" t="n">
        <v>0</v>
      </c>
      <c r="J949" t="n">
        <v>0</v>
      </c>
      <c r="K949" t="n">
        <v>0</v>
      </c>
      <c r="L949" t="n">
        <v>0</v>
      </c>
      <c r="M949" t="n">
        <v>0</v>
      </c>
      <c r="N949" t="n">
        <v>0</v>
      </c>
      <c r="O949" t="n">
        <v>0</v>
      </c>
      <c r="P949" t="n">
        <v>0</v>
      </c>
      <c r="Q949" t="n">
        <v>0</v>
      </c>
      <c r="R949" s="2" t="inlineStr"/>
    </row>
    <row r="950" ht="15" customHeight="1">
      <c r="A950" t="inlineStr">
        <is>
          <t>A 59242-2022</t>
        </is>
      </c>
      <c r="B950" s="1" t="n">
        <v>44896</v>
      </c>
      <c r="C950" s="1" t="n">
        <v>45826</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57599-2022</t>
        </is>
      </c>
      <c r="B951" s="1" t="n">
        <v>44897</v>
      </c>
      <c r="C951" s="1" t="n">
        <v>45826</v>
      </c>
      <c r="D951" t="inlineStr">
        <is>
          <t>JÄMTLANDS LÄN</t>
        </is>
      </c>
      <c r="E951" t="inlineStr">
        <is>
          <t>RAGUNDA</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57839-2022</t>
        </is>
      </c>
      <c r="B952" s="1" t="n">
        <v>44897</v>
      </c>
      <c r="C952" s="1" t="n">
        <v>45826</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58194-2022</t>
        </is>
      </c>
      <c r="B953" s="1" t="n">
        <v>44900</v>
      </c>
      <c r="C953" s="1" t="n">
        <v>45826</v>
      </c>
      <c r="D953" t="inlineStr">
        <is>
          <t>JÄMTLANDS LÄN</t>
        </is>
      </c>
      <c r="E953" t="inlineStr">
        <is>
          <t>RAGUNDA</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58193-2022</t>
        </is>
      </c>
      <c r="B954" s="1" t="n">
        <v>44900</v>
      </c>
      <c r="C954" s="1" t="n">
        <v>45826</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58442-2022</t>
        </is>
      </c>
      <c r="B955" s="1" t="n">
        <v>44901</v>
      </c>
      <c r="C955" s="1" t="n">
        <v>45826</v>
      </c>
      <c r="D955" t="inlineStr">
        <is>
          <t>JÄMTLANDS LÄN</t>
        </is>
      </c>
      <c r="E955" t="inlineStr">
        <is>
          <t>RAGUNDA</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58438-2022</t>
        </is>
      </c>
      <c r="B956" s="1" t="n">
        <v>44901</v>
      </c>
      <c r="C956" s="1" t="n">
        <v>45826</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58443-2022</t>
        </is>
      </c>
      <c r="B957" s="1" t="n">
        <v>44901</v>
      </c>
      <c r="C957" s="1" t="n">
        <v>45826</v>
      </c>
      <c r="D957" t="inlineStr">
        <is>
          <t>JÄMTLANDS LÄN</t>
        </is>
      </c>
      <c r="E957" t="inlineStr">
        <is>
          <t>RAGUNDA</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60225-2022</t>
        </is>
      </c>
      <c r="B958" s="1" t="n">
        <v>44903</v>
      </c>
      <c r="C958" s="1" t="n">
        <v>45826</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59044-2022</t>
        </is>
      </c>
      <c r="B959" s="1" t="n">
        <v>44903</v>
      </c>
      <c r="C959" s="1" t="n">
        <v>45826</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59368-2022</t>
        </is>
      </c>
      <c r="B960" s="1" t="n">
        <v>44904</v>
      </c>
      <c r="C960" s="1" t="n">
        <v>45826</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59911-2022</t>
        </is>
      </c>
      <c r="B961" s="1" t="n">
        <v>44909</v>
      </c>
      <c r="C961" s="1" t="n">
        <v>45826</v>
      </c>
      <c r="D961" t="inlineStr">
        <is>
          <t>JÄMTLANDS LÄN</t>
        </is>
      </c>
      <c r="E961" t="inlineStr">
        <is>
          <t>RAGUNDA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60177-2022</t>
        </is>
      </c>
      <c r="B962" s="1" t="n">
        <v>44909</v>
      </c>
      <c r="C962" s="1" t="n">
        <v>45826</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60660-2022</t>
        </is>
      </c>
      <c r="B963" s="1" t="n">
        <v>44911</v>
      </c>
      <c r="C963" s="1" t="n">
        <v>45826</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60659-2022</t>
        </is>
      </c>
      <c r="B964" s="1" t="n">
        <v>44911</v>
      </c>
      <c r="C964" s="1" t="n">
        <v>45826</v>
      </c>
      <c r="D964" t="inlineStr">
        <is>
          <t>JÄMTLANDS LÄN</t>
        </is>
      </c>
      <c r="E964" t="inlineStr">
        <is>
          <t>RAGUNDA</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60673-2022</t>
        </is>
      </c>
      <c r="B965" s="1" t="n">
        <v>44911</v>
      </c>
      <c r="C965" s="1" t="n">
        <v>45826</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60663-2022</t>
        </is>
      </c>
      <c r="B966" s="1" t="n">
        <v>44911</v>
      </c>
      <c r="C966" s="1" t="n">
        <v>45826</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60699-2022</t>
        </is>
      </c>
      <c r="B967" s="1" t="n">
        <v>44911</v>
      </c>
      <c r="C967" s="1" t="n">
        <v>45826</v>
      </c>
      <c r="D967" t="inlineStr">
        <is>
          <t>JÄMTLANDS LÄN</t>
        </is>
      </c>
      <c r="E967" t="inlineStr">
        <is>
          <t>RAGUNDA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60739-2022</t>
        </is>
      </c>
      <c r="B968" s="1" t="n">
        <v>44913</v>
      </c>
      <c r="C968" s="1" t="n">
        <v>45826</v>
      </c>
      <c r="D968" t="inlineStr">
        <is>
          <t>JÄMTLANDS LÄN</t>
        </is>
      </c>
      <c r="E968" t="inlineStr">
        <is>
          <t>RAGUNDA</t>
        </is>
      </c>
      <c r="F968" t="inlineStr">
        <is>
          <t>Naturvårdsverket</t>
        </is>
      </c>
      <c r="G968" t="n">
        <v>6.6</v>
      </c>
      <c r="H968" t="n">
        <v>0</v>
      </c>
      <c r="I968" t="n">
        <v>0</v>
      </c>
      <c r="J968" t="n">
        <v>0</v>
      </c>
      <c r="K968" t="n">
        <v>0</v>
      </c>
      <c r="L968" t="n">
        <v>0</v>
      </c>
      <c r="M968" t="n">
        <v>0</v>
      </c>
      <c r="N968" t="n">
        <v>0</v>
      </c>
      <c r="O968" t="n">
        <v>0</v>
      </c>
      <c r="P968" t="n">
        <v>0</v>
      </c>
      <c r="Q968" t="n">
        <v>0</v>
      </c>
      <c r="R968" s="2" t="inlineStr"/>
    </row>
    <row r="969" ht="15" customHeight="1">
      <c r="A969" t="inlineStr">
        <is>
          <t>A 62011-2022</t>
        </is>
      </c>
      <c r="B969" s="1" t="n">
        <v>44914</v>
      </c>
      <c r="C969" s="1" t="n">
        <v>45826</v>
      </c>
      <c r="D969" t="inlineStr">
        <is>
          <t>JÄMTLANDS LÄN</t>
        </is>
      </c>
      <c r="E969" t="inlineStr">
        <is>
          <t>RAGUNDA</t>
        </is>
      </c>
      <c r="G969" t="n">
        <v>0.3</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45826</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61080-2022</t>
        </is>
      </c>
      <c r="B971" s="1" t="n">
        <v>44915</v>
      </c>
      <c r="C971" s="1" t="n">
        <v>45826</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61400-2022</t>
        </is>
      </c>
      <c r="B972" s="1" t="n">
        <v>44915</v>
      </c>
      <c r="C972" s="1" t="n">
        <v>45826</v>
      </c>
      <c r="D972" t="inlineStr">
        <is>
          <t>JÄMTLANDS LÄN</t>
        </is>
      </c>
      <c r="E972" t="inlineStr">
        <is>
          <t>RAGUNDA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61401-2022</t>
        </is>
      </c>
      <c r="B973" s="1" t="n">
        <v>44915</v>
      </c>
      <c r="C973" s="1" t="n">
        <v>45826</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45826</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61934-2022</t>
        </is>
      </c>
      <c r="B975" s="1" t="n">
        <v>44917</v>
      </c>
      <c r="C975" s="1" t="n">
        <v>45826</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45826</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182-2023</t>
        </is>
      </c>
      <c r="B977" s="1" t="n">
        <v>44922</v>
      </c>
      <c r="C977" s="1" t="n">
        <v>45826</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62407-2022</t>
        </is>
      </c>
      <c r="B978" s="1" t="n">
        <v>44923</v>
      </c>
      <c r="C978" s="1" t="n">
        <v>45826</v>
      </c>
      <c r="D978" t="inlineStr">
        <is>
          <t>JÄMTLANDS LÄN</t>
        </is>
      </c>
      <c r="E978" t="inlineStr">
        <is>
          <t>RAGUNDA</t>
        </is>
      </c>
      <c r="F978" t="inlineStr">
        <is>
          <t>SCA</t>
        </is>
      </c>
      <c r="G978" t="n">
        <v>53.6</v>
      </c>
      <c r="H978" t="n">
        <v>0</v>
      </c>
      <c r="I978" t="n">
        <v>0</v>
      </c>
      <c r="J978" t="n">
        <v>0</v>
      </c>
      <c r="K978" t="n">
        <v>0</v>
      </c>
      <c r="L978" t="n">
        <v>0</v>
      </c>
      <c r="M978" t="n">
        <v>0</v>
      </c>
      <c r="N978" t="n">
        <v>0</v>
      </c>
      <c r="O978" t="n">
        <v>0</v>
      </c>
      <c r="P978" t="n">
        <v>0</v>
      </c>
      <c r="Q978" t="n">
        <v>0</v>
      </c>
      <c r="R978" s="2" t="inlineStr"/>
    </row>
    <row r="979" ht="15" customHeight="1">
      <c r="A979" t="inlineStr">
        <is>
          <t>A 17-2023</t>
        </is>
      </c>
      <c r="B979" s="1" t="n">
        <v>44927</v>
      </c>
      <c r="C979" s="1" t="n">
        <v>45826</v>
      </c>
      <c r="D979" t="inlineStr">
        <is>
          <t>JÄMTLANDS LÄN</t>
        </is>
      </c>
      <c r="E979" t="inlineStr">
        <is>
          <t>RAGUNDA</t>
        </is>
      </c>
      <c r="F979" t="inlineStr">
        <is>
          <t>SCA</t>
        </is>
      </c>
      <c r="G979" t="n">
        <v>49.6</v>
      </c>
      <c r="H979" t="n">
        <v>0</v>
      </c>
      <c r="I979" t="n">
        <v>0</v>
      </c>
      <c r="J979" t="n">
        <v>0</v>
      </c>
      <c r="K979" t="n">
        <v>0</v>
      </c>
      <c r="L979" t="n">
        <v>0</v>
      </c>
      <c r="M979" t="n">
        <v>0</v>
      </c>
      <c r="N979" t="n">
        <v>0</v>
      </c>
      <c r="O979" t="n">
        <v>0</v>
      </c>
      <c r="P979" t="n">
        <v>0</v>
      </c>
      <c r="Q979" t="n">
        <v>0</v>
      </c>
      <c r="R979" s="2" t="inlineStr"/>
    </row>
    <row r="980" ht="15" customHeight="1">
      <c r="A980" t="inlineStr">
        <is>
          <t>A 462-2023</t>
        </is>
      </c>
      <c r="B980" s="1" t="n">
        <v>44929</v>
      </c>
      <c r="C980" s="1" t="n">
        <v>45826</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467-2023</t>
        </is>
      </c>
      <c r="B981" s="1" t="n">
        <v>44929</v>
      </c>
      <c r="C981" s="1" t="n">
        <v>45826</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45826</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464-2023</t>
        </is>
      </c>
      <c r="B983" s="1" t="n">
        <v>44929</v>
      </c>
      <c r="C983" s="1" t="n">
        <v>45826</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719-2023</t>
        </is>
      </c>
      <c r="B984" s="1" t="n">
        <v>44930</v>
      </c>
      <c r="C984" s="1" t="n">
        <v>45826</v>
      </c>
      <c r="D984" t="inlineStr">
        <is>
          <t>JÄMTLANDS LÄN</t>
        </is>
      </c>
      <c r="E984" t="inlineStr">
        <is>
          <t>RAGUNDA</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718-2023</t>
        </is>
      </c>
      <c r="B985" s="1" t="n">
        <v>44930</v>
      </c>
      <c r="C985" s="1" t="n">
        <v>45826</v>
      </c>
      <c r="D985" t="inlineStr">
        <is>
          <t>JÄMTLANDS LÄN</t>
        </is>
      </c>
      <c r="E985" t="inlineStr">
        <is>
          <t>RAGUNDA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934-2023</t>
        </is>
      </c>
      <c r="B986" s="1" t="n">
        <v>44932</v>
      </c>
      <c r="C986" s="1" t="n">
        <v>45826</v>
      </c>
      <c r="D986" t="inlineStr">
        <is>
          <t>JÄMTLANDS LÄN</t>
        </is>
      </c>
      <c r="E986" t="inlineStr">
        <is>
          <t>RAGUNDA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1876-2023</t>
        </is>
      </c>
      <c r="B987" s="1" t="n">
        <v>44938</v>
      </c>
      <c r="C987" s="1" t="n">
        <v>45826</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1870-2023</t>
        </is>
      </c>
      <c r="B988" s="1" t="n">
        <v>44938</v>
      </c>
      <c r="C988" s="1" t="n">
        <v>45826</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1871-2023</t>
        </is>
      </c>
      <c r="B989" s="1" t="n">
        <v>44938</v>
      </c>
      <c r="C989" s="1" t="n">
        <v>45826</v>
      </c>
      <c r="D989" t="inlineStr">
        <is>
          <t>JÄMTLANDS LÄN</t>
        </is>
      </c>
      <c r="E989" t="inlineStr">
        <is>
          <t>RAGUNDA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1875-2023</t>
        </is>
      </c>
      <c r="B990" s="1" t="n">
        <v>44938</v>
      </c>
      <c r="C990" s="1" t="n">
        <v>45826</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2117-2023</t>
        </is>
      </c>
      <c r="B991" s="1" t="n">
        <v>44939</v>
      </c>
      <c r="C991" s="1" t="n">
        <v>45826</v>
      </c>
      <c r="D991" t="inlineStr">
        <is>
          <t>JÄMTLANDS LÄN</t>
        </is>
      </c>
      <c r="E991" t="inlineStr">
        <is>
          <t>RAGUNDA</t>
        </is>
      </c>
      <c r="F991" t="inlineStr">
        <is>
          <t>SCA</t>
        </is>
      </c>
      <c r="G991" t="n">
        <v>7.3</v>
      </c>
      <c r="H991" t="n">
        <v>0</v>
      </c>
      <c r="I991" t="n">
        <v>0</v>
      </c>
      <c r="J991" t="n">
        <v>0</v>
      </c>
      <c r="K991" t="n">
        <v>0</v>
      </c>
      <c r="L991" t="n">
        <v>0</v>
      </c>
      <c r="M991" t="n">
        <v>0</v>
      </c>
      <c r="N991" t="n">
        <v>0</v>
      </c>
      <c r="O991" t="n">
        <v>0</v>
      </c>
      <c r="P991" t="n">
        <v>0</v>
      </c>
      <c r="Q991" t="n">
        <v>0</v>
      </c>
      <c r="R991" s="2" t="inlineStr"/>
    </row>
    <row r="992" ht="15" customHeight="1">
      <c r="A992" t="inlineStr">
        <is>
          <t>A 2130-2023</t>
        </is>
      </c>
      <c r="B992" s="1" t="n">
        <v>44939</v>
      </c>
      <c r="C992" s="1" t="n">
        <v>45826</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2127-2023</t>
        </is>
      </c>
      <c r="B993" s="1" t="n">
        <v>44939</v>
      </c>
      <c r="C993" s="1" t="n">
        <v>45826</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2133-2023</t>
        </is>
      </c>
      <c r="B994" s="1" t="n">
        <v>44939</v>
      </c>
      <c r="C994" s="1" t="n">
        <v>45826</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2401-2023</t>
        </is>
      </c>
      <c r="B995" s="1" t="n">
        <v>44942</v>
      </c>
      <c r="C995" s="1" t="n">
        <v>45826</v>
      </c>
      <c r="D995" t="inlineStr">
        <is>
          <t>JÄMTLANDS LÄN</t>
        </is>
      </c>
      <c r="E995" t="inlineStr">
        <is>
          <t>RAGUNDA</t>
        </is>
      </c>
      <c r="G995" t="n">
        <v>6.3</v>
      </c>
      <c r="H995" t="n">
        <v>0</v>
      </c>
      <c r="I995" t="n">
        <v>0</v>
      </c>
      <c r="J995" t="n">
        <v>0</v>
      </c>
      <c r="K995" t="n">
        <v>0</v>
      </c>
      <c r="L995" t="n">
        <v>0</v>
      </c>
      <c r="M995" t="n">
        <v>0</v>
      </c>
      <c r="N995" t="n">
        <v>0</v>
      </c>
      <c r="O995" t="n">
        <v>0</v>
      </c>
      <c r="P995" t="n">
        <v>0</v>
      </c>
      <c r="Q995" t="n">
        <v>0</v>
      </c>
      <c r="R995" s="2" t="inlineStr"/>
    </row>
    <row r="996" ht="15" customHeight="1">
      <c r="A996" t="inlineStr">
        <is>
          <t>A 2411-2023</t>
        </is>
      </c>
      <c r="B996" s="1" t="n">
        <v>44942</v>
      </c>
      <c r="C996" s="1" t="n">
        <v>45826</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2402-2023</t>
        </is>
      </c>
      <c r="B997" s="1" t="n">
        <v>44942</v>
      </c>
      <c r="C997" s="1" t="n">
        <v>45826</v>
      </c>
      <c r="D997" t="inlineStr">
        <is>
          <t>JÄMTLANDS LÄN</t>
        </is>
      </c>
      <c r="E997" t="inlineStr">
        <is>
          <t>RAGUNDA</t>
        </is>
      </c>
      <c r="G997" t="n">
        <v>7.8</v>
      </c>
      <c r="H997" t="n">
        <v>0</v>
      </c>
      <c r="I997" t="n">
        <v>0</v>
      </c>
      <c r="J997" t="n">
        <v>0</v>
      </c>
      <c r="K997" t="n">
        <v>0</v>
      </c>
      <c r="L997" t="n">
        <v>0</v>
      </c>
      <c r="M997" t="n">
        <v>0</v>
      </c>
      <c r="N997" t="n">
        <v>0</v>
      </c>
      <c r="O997" t="n">
        <v>0</v>
      </c>
      <c r="P997" t="n">
        <v>0</v>
      </c>
      <c r="Q997" t="n">
        <v>0</v>
      </c>
      <c r="R997" s="2" t="inlineStr"/>
    </row>
    <row r="998" ht="15" customHeight="1">
      <c r="A998" t="inlineStr">
        <is>
          <t>A 2414-2023</t>
        </is>
      </c>
      <c r="B998" s="1" t="n">
        <v>44942</v>
      </c>
      <c r="C998" s="1" t="n">
        <v>45826</v>
      </c>
      <c r="D998" t="inlineStr">
        <is>
          <t>JÄMTLANDS LÄN</t>
        </is>
      </c>
      <c r="E998" t="inlineStr">
        <is>
          <t>RAGUNDA</t>
        </is>
      </c>
      <c r="F998" t="inlineStr">
        <is>
          <t>SCA</t>
        </is>
      </c>
      <c r="G998" t="n">
        <v>28.4</v>
      </c>
      <c r="H998" t="n">
        <v>0</v>
      </c>
      <c r="I998" t="n">
        <v>0</v>
      </c>
      <c r="J998" t="n">
        <v>0</v>
      </c>
      <c r="K998" t="n">
        <v>0</v>
      </c>
      <c r="L998" t="n">
        <v>0</v>
      </c>
      <c r="M998" t="n">
        <v>0</v>
      </c>
      <c r="N998" t="n">
        <v>0</v>
      </c>
      <c r="O998" t="n">
        <v>0</v>
      </c>
      <c r="P998" t="n">
        <v>0</v>
      </c>
      <c r="Q998" t="n">
        <v>0</v>
      </c>
      <c r="R998" s="2" t="inlineStr"/>
    </row>
    <row r="999" ht="15" customHeight="1">
      <c r="A999" t="inlineStr">
        <is>
          <t>A 2599-2023</t>
        </is>
      </c>
      <c r="B999" s="1" t="n">
        <v>44943</v>
      </c>
      <c r="C999" s="1" t="n">
        <v>45826</v>
      </c>
      <c r="D999" t="inlineStr">
        <is>
          <t>JÄMTLANDS LÄN</t>
        </is>
      </c>
      <c r="E999" t="inlineStr">
        <is>
          <t>RAGUNDA</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2600-2023</t>
        </is>
      </c>
      <c r="B1000" s="1" t="n">
        <v>44943</v>
      </c>
      <c r="C1000" s="1" t="n">
        <v>45826</v>
      </c>
      <c r="D1000" t="inlineStr">
        <is>
          <t>JÄMTLANDS LÄN</t>
        </is>
      </c>
      <c r="E1000" t="inlineStr">
        <is>
          <t>RAGUNDA</t>
        </is>
      </c>
      <c r="F1000" t="inlineStr">
        <is>
          <t>SCA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2819-2023</t>
        </is>
      </c>
      <c r="B1001" s="1" t="n">
        <v>44944</v>
      </c>
      <c r="C1001" s="1" t="n">
        <v>45826</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3034-2023</t>
        </is>
      </c>
      <c r="B1002" s="1" t="n">
        <v>44945</v>
      </c>
      <c r="C1002" s="1" t="n">
        <v>45826</v>
      </c>
      <c r="D1002" t="inlineStr">
        <is>
          <t>JÄMTLANDS LÄN</t>
        </is>
      </c>
      <c r="E1002" t="inlineStr">
        <is>
          <t>RAGUNDA</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3242-2023</t>
        </is>
      </c>
      <c r="B1003" s="1" t="n">
        <v>44946</v>
      </c>
      <c r="C1003" s="1" t="n">
        <v>45826</v>
      </c>
      <c r="D1003" t="inlineStr">
        <is>
          <t>JÄMTLANDS LÄN</t>
        </is>
      </c>
      <c r="E1003" t="inlineStr">
        <is>
          <t>RAGUNDA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3243-2023</t>
        </is>
      </c>
      <c r="B1004" s="1" t="n">
        <v>44946</v>
      </c>
      <c r="C1004" s="1" t="n">
        <v>45826</v>
      </c>
      <c r="D1004" t="inlineStr">
        <is>
          <t>JÄMTLANDS LÄN</t>
        </is>
      </c>
      <c r="E1004" t="inlineStr">
        <is>
          <t>RAGUNDA</t>
        </is>
      </c>
      <c r="F1004" t="inlineStr">
        <is>
          <t>SCA</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4348-2023</t>
        </is>
      </c>
      <c r="B1005" s="1" t="n">
        <v>44953</v>
      </c>
      <c r="C1005" s="1" t="n">
        <v>45826</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4346-2023</t>
        </is>
      </c>
      <c r="B1006" s="1" t="n">
        <v>44954</v>
      </c>
      <c r="C1006" s="1" t="n">
        <v>45826</v>
      </c>
      <c r="D1006" t="inlineStr">
        <is>
          <t>JÄMTLANDS LÄN</t>
        </is>
      </c>
      <c r="E1006" t="inlineStr">
        <is>
          <t>RAGUNDA</t>
        </is>
      </c>
      <c r="F1006" t="inlineStr">
        <is>
          <t>SCA</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4350-2023</t>
        </is>
      </c>
      <c r="B1007" s="1" t="n">
        <v>44953</v>
      </c>
      <c r="C1007" s="1" t="n">
        <v>45826</v>
      </c>
      <c r="D1007" t="inlineStr">
        <is>
          <t>JÄMTLANDS LÄN</t>
        </is>
      </c>
      <c r="E1007" t="inlineStr">
        <is>
          <t>RAGUNDA</t>
        </is>
      </c>
      <c r="F1007" t="inlineStr">
        <is>
          <t>Naturvårdsverket</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4349-2023</t>
        </is>
      </c>
      <c r="B1008" s="1" t="n">
        <v>44954</v>
      </c>
      <c r="C1008" s="1" t="n">
        <v>45826</v>
      </c>
      <c r="D1008" t="inlineStr">
        <is>
          <t>JÄMTLANDS LÄN</t>
        </is>
      </c>
      <c r="E1008" t="inlineStr">
        <is>
          <t>RAGUNDA</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4622-2023</t>
        </is>
      </c>
      <c r="B1009" s="1" t="n">
        <v>44956</v>
      </c>
      <c r="C1009" s="1" t="n">
        <v>45826</v>
      </c>
      <c r="D1009" t="inlineStr">
        <is>
          <t>JÄMTLANDS LÄN</t>
        </is>
      </c>
      <c r="E1009" t="inlineStr">
        <is>
          <t>RAGUNDA</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4620-2023</t>
        </is>
      </c>
      <c r="B1010" s="1" t="n">
        <v>44956</v>
      </c>
      <c r="C1010" s="1" t="n">
        <v>45826</v>
      </c>
      <c r="D1010" t="inlineStr">
        <is>
          <t>JÄMTLANDS LÄN</t>
        </is>
      </c>
      <c r="E1010" t="inlineStr">
        <is>
          <t>RAGUNDA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4615-2023</t>
        </is>
      </c>
      <c r="B1011" s="1" t="n">
        <v>44956</v>
      </c>
      <c r="C1011" s="1" t="n">
        <v>45826</v>
      </c>
      <c r="D1011" t="inlineStr">
        <is>
          <t>JÄMTLANDS LÄN</t>
        </is>
      </c>
      <c r="E1011" t="inlineStr">
        <is>
          <t>RAGUNDA</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4882-2023</t>
        </is>
      </c>
      <c r="B1012" s="1" t="n">
        <v>44957</v>
      </c>
      <c r="C1012" s="1" t="n">
        <v>45826</v>
      </c>
      <c r="D1012" t="inlineStr">
        <is>
          <t>JÄMTLANDS LÄN</t>
        </is>
      </c>
      <c r="E1012" t="inlineStr">
        <is>
          <t>RAGUNDA</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4874-2023</t>
        </is>
      </c>
      <c r="B1013" s="1" t="n">
        <v>44957</v>
      </c>
      <c r="C1013" s="1" t="n">
        <v>45826</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4879-2023</t>
        </is>
      </c>
      <c r="B1014" s="1" t="n">
        <v>44957</v>
      </c>
      <c r="C1014" s="1" t="n">
        <v>45826</v>
      </c>
      <c r="D1014" t="inlineStr">
        <is>
          <t>JÄMTLANDS LÄN</t>
        </is>
      </c>
      <c r="E1014" t="inlineStr">
        <is>
          <t>RAGUNDA</t>
        </is>
      </c>
      <c r="F1014" t="inlineStr">
        <is>
          <t>SCA</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5163-2023</t>
        </is>
      </c>
      <c r="B1015" s="1" t="n">
        <v>44958</v>
      </c>
      <c r="C1015" s="1" t="n">
        <v>45826</v>
      </c>
      <c r="D1015" t="inlineStr">
        <is>
          <t>JÄMTLANDS LÄN</t>
        </is>
      </c>
      <c r="E1015" t="inlineStr">
        <is>
          <t>RAGUNDA</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5815-2023</t>
        </is>
      </c>
      <c r="B1016" s="1" t="n">
        <v>44958</v>
      </c>
      <c r="C1016" s="1" t="n">
        <v>45826</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5148-2023</t>
        </is>
      </c>
      <c r="B1017" s="1" t="n">
        <v>44958</v>
      </c>
      <c r="C1017" s="1" t="n">
        <v>45826</v>
      </c>
      <c r="D1017" t="inlineStr">
        <is>
          <t>JÄMTLANDS LÄN</t>
        </is>
      </c>
      <c r="E1017" t="inlineStr">
        <is>
          <t>RAGUNDA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5164-2023</t>
        </is>
      </c>
      <c r="B1018" s="1" t="n">
        <v>44958</v>
      </c>
      <c r="C1018" s="1" t="n">
        <v>45826</v>
      </c>
      <c r="D1018" t="inlineStr">
        <is>
          <t>JÄMTLANDS LÄN</t>
        </is>
      </c>
      <c r="E1018" t="inlineStr">
        <is>
          <t>RAGUNDA</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5175-2023</t>
        </is>
      </c>
      <c r="B1019" s="1" t="n">
        <v>44958</v>
      </c>
      <c r="C1019" s="1" t="n">
        <v>45826</v>
      </c>
      <c r="D1019" t="inlineStr">
        <is>
          <t>JÄMTLANDS LÄN</t>
        </is>
      </c>
      <c r="E1019" t="inlineStr">
        <is>
          <t>RAGUNDA</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5439-2023</t>
        </is>
      </c>
      <c r="B1020" s="1" t="n">
        <v>44959</v>
      </c>
      <c r="C1020" s="1" t="n">
        <v>45826</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5711-2023</t>
        </is>
      </c>
      <c r="B1021" s="1" t="n">
        <v>44960</v>
      </c>
      <c r="C1021" s="1" t="n">
        <v>45826</v>
      </c>
      <c r="D1021" t="inlineStr">
        <is>
          <t>JÄMTLANDS LÄN</t>
        </is>
      </c>
      <c r="E1021" t="inlineStr">
        <is>
          <t>RAGUNDA</t>
        </is>
      </c>
      <c r="F1021" t="inlineStr">
        <is>
          <t>SCA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45826</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6586-2023</t>
        </is>
      </c>
      <c r="B1023" s="1" t="n">
        <v>44963</v>
      </c>
      <c r="C1023" s="1" t="n">
        <v>45826</v>
      </c>
      <c r="D1023" t="inlineStr">
        <is>
          <t>JÄMTLANDS LÄN</t>
        </is>
      </c>
      <c r="E1023" t="inlineStr">
        <is>
          <t>RAGUNDA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6467-2023</t>
        </is>
      </c>
      <c r="B1024" s="1" t="n">
        <v>44965</v>
      </c>
      <c r="C1024" s="1" t="n">
        <v>45826</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6470-2023</t>
        </is>
      </c>
      <c r="B1025" s="1" t="n">
        <v>44965</v>
      </c>
      <c r="C1025" s="1" t="n">
        <v>45826</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6801-2023</t>
        </is>
      </c>
      <c r="B1026" s="1" t="n">
        <v>44966</v>
      </c>
      <c r="C1026" s="1" t="n">
        <v>45826</v>
      </c>
      <c r="D1026" t="inlineStr">
        <is>
          <t>JÄMTLANDS LÄN</t>
        </is>
      </c>
      <c r="E1026" t="inlineStr">
        <is>
          <t>RAGUNDA</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6802-2023</t>
        </is>
      </c>
      <c r="B1027" s="1" t="n">
        <v>44966</v>
      </c>
      <c r="C1027" s="1" t="n">
        <v>45826</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6800-2023</t>
        </is>
      </c>
      <c r="B1028" s="1" t="n">
        <v>44966</v>
      </c>
      <c r="C1028" s="1" t="n">
        <v>45826</v>
      </c>
      <c r="D1028" t="inlineStr">
        <is>
          <t>JÄMTLANDS LÄN</t>
        </is>
      </c>
      <c r="E1028" t="inlineStr">
        <is>
          <t>RAGUNDA</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7019-2023</t>
        </is>
      </c>
      <c r="B1029" s="1" t="n">
        <v>44968</v>
      </c>
      <c r="C1029" s="1" t="n">
        <v>45826</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7021-2023</t>
        </is>
      </c>
      <c r="B1030" s="1" t="n">
        <v>44967</v>
      </c>
      <c r="C1030" s="1" t="n">
        <v>45826</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7520-2023</t>
        </is>
      </c>
      <c r="B1031" s="1" t="n">
        <v>44971</v>
      </c>
      <c r="C1031" s="1" t="n">
        <v>45826</v>
      </c>
      <c r="D1031" t="inlineStr">
        <is>
          <t>JÄMTLANDS LÄN</t>
        </is>
      </c>
      <c r="E1031" t="inlineStr">
        <is>
          <t>RAGUNDA</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7521-2023</t>
        </is>
      </c>
      <c r="B1032" s="1" t="n">
        <v>44972</v>
      </c>
      <c r="C1032" s="1" t="n">
        <v>45826</v>
      </c>
      <c r="D1032" t="inlineStr">
        <is>
          <t>JÄMTLANDS LÄN</t>
        </is>
      </c>
      <c r="E1032" t="inlineStr">
        <is>
          <t>RAGUNDA</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v>
      </c>
      <c r="C1033" s="1" t="n">
        <v>45826</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8416-2023</t>
        </is>
      </c>
      <c r="B1034" s="1" t="n">
        <v>44977</v>
      </c>
      <c r="C1034" s="1" t="n">
        <v>45826</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8403-2023</t>
        </is>
      </c>
      <c r="B1035" s="1" t="n">
        <v>44977</v>
      </c>
      <c r="C1035" s="1" t="n">
        <v>45826</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8678-2023</t>
        </is>
      </c>
      <c r="B1036" s="1" t="n">
        <v>44978</v>
      </c>
      <c r="C1036" s="1" t="n">
        <v>45826</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8679-2023</t>
        </is>
      </c>
      <c r="B1037" s="1" t="n">
        <v>44978</v>
      </c>
      <c r="C1037" s="1" t="n">
        <v>45826</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8877-2023</t>
        </is>
      </c>
      <c r="B1038" s="1" t="n">
        <v>44978</v>
      </c>
      <c r="C1038" s="1" t="n">
        <v>45826</v>
      </c>
      <c r="D1038" t="inlineStr">
        <is>
          <t>JÄMTLANDS LÄN</t>
        </is>
      </c>
      <c r="E1038" t="inlineStr">
        <is>
          <t>RAGUNDA</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8878-2023</t>
        </is>
      </c>
      <c r="B1039" s="1" t="n">
        <v>44978</v>
      </c>
      <c r="C1039" s="1" t="n">
        <v>45826</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8876-2023</t>
        </is>
      </c>
      <c r="B1040" s="1" t="n">
        <v>44978</v>
      </c>
      <c r="C1040" s="1" t="n">
        <v>45826</v>
      </c>
      <c r="D1040" t="inlineStr">
        <is>
          <t>JÄMTLANDS LÄN</t>
        </is>
      </c>
      <c r="E1040" t="inlineStr">
        <is>
          <t>RAGUNDA</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9084-2023</t>
        </is>
      </c>
      <c r="B1041" s="1" t="n">
        <v>44979</v>
      </c>
      <c r="C1041" s="1" t="n">
        <v>45826</v>
      </c>
      <c r="D1041" t="inlineStr">
        <is>
          <t>JÄMTLANDS LÄN</t>
        </is>
      </c>
      <c r="E1041" t="inlineStr">
        <is>
          <t>RAGUNDA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9082-2023</t>
        </is>
      </c>
      <c r="B1042" s="1" t="n">
        <v>44979</v>
      </c>
      <c r="C1042" s="1" t="n">
        <v>45826</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9100-2023</t>
        </is>
      </c>
      <c r="B1043" s="1" t="n">
        <v>44979</v>
      </c>
      <c r="C1043" s="1" t="n">
        <v>45826</v>
      </c>
      <c r="D1043" t="inlineStr">
        <is>
          <t>JÄMTLANDS LÄN</t>
        </is>
      </c>
      <c r="E1043" t="inlineStr">
        <is>
          <t>RAGUNDA</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9094-2023</t>
        </is>
      </c>
      <c r="B1044" s="1" t="n">
        <v>44979</v>
      </c>
      <c r="C1044" s="1" t="n">
        <v>45826</v>
      </c>
      <c r="D1044" t="inlineStr">
        <is>
          <t>JÄMTLANDS LÄN</t>
        </is>
      </c>
      <c r="E1044" t="inlineStr">
        <is>
          <t>RAGUNDA</t>
        </is>
      </c>
      <c r="F1044" t="inlineStr">
        <is>
          <t>SCA</t>
        </is>
      </c>
      <c r="G1044" t="n">
        <v>28.2</v>
      </c>
      <c r="H1044" t="n">
        <v>0</v>
      </c>
      <c r="I1044" t="n">
        <v>0</v>
      </c>
      <c r="J1044" t="n">
        <v>0</v>
      </c>
      <c r="K1044" t="n">
        <v>0</v>
      </c>
      <c r="L1044" t="n">
        <v>0</v>
      </c>
      <c r="M1044" t="n">
        <v>0</v>
      </c>
      <c r="N1044" t="n">
        <v>0</v>
      </c>
      <c r="O1044" t="n">
        <v>0</v>
      </c>
      <c r="P1044" t="n">
        <v>0</v>
      </c>
      <c r="Q1044" t="n">
        <v>0</v>
      </c>
      <c r="R1044" s="2" t="inlineStr"/>
    </row>
    <row r="1045" ht="15" customHeight="1">
      <c r="A1045" t="inlineStr">
        <is>
          <t>A 9346-2023</t>
        </is>
      </c>
      <c r="B1045" s="1" t="n">
        <v>44980</v>
      </c>
      <c r="C1045" s="1" t="n">
        <v>45826</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9360-2023</t>
        </is>
      </c>
      <c r="B1046" s="1" t="n">
        <v>44980</v>
      </c>
      <c r="C1046" s="1" t="n">
        <v>45826</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9339-2023</t>
        </is>
      </c>
      <c r="B1047" s="1" t="n">
        <v>44980</v>
      </c>
      <c r="C1047" s="1" t="n">
        <v>45826</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45826</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10092-2023</t>
        </is>
      </c>
      <c r="B1049" s="1" t="n">
        <v>44985</v>
      </c>
      <c r="C1049" s="1" t="n">
        <v>45826</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11093-2023</t>
        </is>
      </c>
      <c r="B1050" s="1" t="n">
        <v>44986</v>
      </c>
      <c r="C1050" s="1" t="n">
        <v>45826</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10550-2023</t>
        </is>
      </c>
      <c r="B1051" s="1" t="n">
        <v>44987</v>
      </c>
      <c r="C1051" s="1" t="n">
        <v>45826</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11048-2023</t>
        </is>
      </c>
      <c r="B1052" s="1" t="n">
        <v>44991</v>
      </c>
      <c r="C1052" s="1" t="n">
        <v>45826</v>
      </c>
      <c r="D1052" t="inlineStr">
        <is>
          <t>JÄMTLANDS LÄN</t>
        </is>
      </c>
      <c r="E1052" t="inlineStr">
        <is>
          <t>RAGUNDA</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11063-2023</t>
        </is>
      </c>
      <c r="B1053" s="1" t="n">
        <v>44991</v>
      </c>
      <c r="C1053" s="1" t="n">
        <v>45826</v>
      </c>
      <c r="D1053" t="inlineStr">
        <is>
          <t>JÄMTLANDS LÄN</t>
        </is>
      </c>
      <c r="E1053" t="inlineStr">
        <is>
          <t>RAGUNDA</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45826</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11603-2023</t>
        </is>
      </c>
      <c r="B1055" s="1" t="n">
        <v>44992</v>
      </c>
      <c r="C1055" s="1" t="n">
        <v>45826</v>
      </c>
      <c r="D1055" t="inlineStr">
        <is>
          <t>JÄMTLANDS LÄN</t>
        </is>
      </c>
      <c r="E1055" t="inlineStr">
        <is>
          <t>RAGUNDA</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11556-2023</t>
        </is>
      </c>
      <c r="B1056" s="1" t="n">
        <v>44993</v>
      </c>
      <c r="C1056" s="1" t="n">
        <v>45826</v>
      </c>
      <c r="D1056" t="inlineStr">
        <is>
          <t>JÄMTLANDS LÄN</t>
        </is>
      </c>
      <c r="E1056" t="inlineStr">
        <is>
          <t>RAGUNDA</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11322-2023</t>
        </is>
      </c>
      <c r="B1057" s="1" t="n">
        <v>44993</v>
      </c>
      <c r="C1057" s="1" t="n">
        <v>45826</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11558-2023</t>
        </is>
      </c>
      <c r="B1058" s="1" t="n">
        <v>44993</v>
      </c>
      <c r="C1058" s="1" t="n">
        <v>45826</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11553-2023</t>
        </is>
      </c>
      <c r="B1059" s="1" t="n">
        <v>44993</v>
      </c>
      <c r="C1059" s="1" t="n">
        <v>45826</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v>
      </c>
      <c r="C1060" s="1" t="n">
        <v>45826</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45826</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11834-2023</t>
        </is>
      </c>
      <c r="B1062" s="1" t="n">
        <v>44994</v>
      </c>
      <c r="C1062" s="1" t="n">
        <v>45826</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12055-2023</t>
        </is>
      </c>
      <c r="B1063" s="1" t="n">
        <v>44995</v>
      </c>
      <c r="C1063" s="1" t="n">
        <v>45826</v>
      </c>
      <c r="D1063" t="inlineStr">
        <is>
          <t>JÄMTLANDS LÄN</t>
        </is>
      </c>
      <c r="E1063" t="inlineStr">
        <is>
          <t>RAGUNDA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12051-2023</t>
        </is>
      </c>
      <c r="B1064" s="1" t="n">
        <v>44995</v>
      </c>
      <c r="C1064" s="1" t="n">
        <v>45826</v>
      </c>
      <c r="D1064" t="inlineStr">
        <is>
          <t>JÄMTLANDS LÄN</t>
        </is>
      </c>
      <c r="E1064" t="inlineStr">
        <is>
          <t>RAGUNDA</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12040-2023</t>
        </is>
      </c>
      <c r="B1065" s="1" t="n">
        <v>44996</v>
      </c>
      <c r="C1065" s="1" t="n">
        <v>45826</v>
      </c>
      <c r="D1065" t="inlineStr">
        <is>
          <t>JÄMTLANDS LÄN</t>
        </is>
      </c>
      <c r="E1065" t="inlineStr">
        <is>
          <t>RAGUNDA</t>
        </is>
      </c>
      <c r="F1065" t="inlineStr">
        <is>
          <t>SCA</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44996</v>
      </c>
      <c r="C1066" s="1" t="n">
        <v>45826</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12039-2023</t>
        </is>
      </c>
      <c r="B1067" s="1" t="n">
        <v>44996</v>
      </c>
      <c r="C1067" s="1" t="n">
        <v>45826</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12523-2023</t>
        </is>
      </c>
      <c r="B1068" s="1" t="n">
        <v>45000</v>
      </c>
      <c r="C1068" s="1" t="n">
        <v>45826</v>
      </c>
      <c r="D1068" t="inlineStr">
        <is>
          <t>JÄMTLANDS LÄN</t>
        </is>
      </c>
      <c r="E1068" t="inlineStr">
        <is>
          <t>RAGUNDA</t>
        </is>
      </c>
      <c r="F1068" t="inlineStr">
        <is>
          <t>SCA</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12522-2023</t>
        </is>
      </c>
      <c r="B1069" s="1" t="n">
        <v>45000</v>
      </c>
      <c r="C1069" s="1" t="n">
        <v>45826</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12521-2023</t>
        </is>
      </c>
      <c r="B1070" s="1" t="n">
        <v>45000</v>
      </c>
      <c r="C1070" s="1" t="n">
        <v>45826</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12783-2023</t>
        </is>
      </c>
      <c r="B1071" s="1" t="n">
        <v>45000</v>
      </c>
      <c r="C1071" s="1" t="n">
        <v>45826</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12750-2023</t>
        </is>
      </c>
      <c r="B1072" s="1" t="n">
        <v>45000</v>
      </c>
      <c r="C1072" s="1" t="n">
        <v>45826</v>
      </c>
      <c r="D1072" t="inlineStr">
        <is>
          <t>JÄMTLANDS LÄN</t>
        </is>
      </c>
      <c r="E1072" t="inlineStr">
        <is>
          <t>RAGUNDA</t>
        </is>
      </c>
      <c r="F1072" t="inlineStr">
        <is>
          <t>Naturvårdsverket</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12995-2023</t>
        </is>
      </c>
      <c r="B1073" s="1" t="n">
        <v>45002</v>
      </c>
      <c r="C1073" s="1" t="n">
        <v>45826</v>
      </c>
      <c r="D1073" t="inlineStr">
        <is>
          <t>JÄMTLANDS LÄN</t>
        </is>
      </c>
      <c r="E1073" t="inlineStr">
        <is>
          <t>RAGUNDA</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13246-2023</t>
        </is>
      </c>
      <c r="B1074" s="1" t="n">
        <v>45002</v>
      </c>
      <c r="C1074" s="1" t="n">
        <v>45826</v>
      </c>
      <c r="D1074" t="inlineStr">
        <is>
          <t>JÄMTLANDS LÄN</t>
        </is>
      </c>
      <c r="E1074" t="inlineStr">
        <is>
          <t>RAGUNDA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13700-2023</t>
        </is>
      </c>
      <c r="B1075" s="1" t="n">
        <v>45006</v>
      </c>
      <c r="C1075" s="1" t="n">
        <v>45826</v>
      </c>
      <c r="D1075" t="inlineStr">
        <is>
          <t>JÄMTLANDS LÄN</t>
        </is>
      </c>
      <c r="E1075" t="inlineStr">
        <is>
          <t>RAGUNDA</t>
        </is>
      </c>
      <c r="F1075" t="inlineStr">
        <is>
          <t>SCA</t>
        </is>
      </c>
      <c r="G1075" t="n">
        <v>50.3</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45826</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13900-2023</t>
        </is>
      </c>
      <c r="B1077" s="1" t="n">
        <v>45008</v>
      </c>
      <c r="C1077" s="1" t="n">
        <v>45826</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v>
      </c>
      <c r="C1078" s="1" t="n">
        <v>45826</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14179-2023</t>
        </is>
      </c>
      <c r="B1079" s="1" t="n">
        <v>45009</v>
      </c>
      <c r="C1079" s="1" t="n">
        <v>45826</v>
      </c>
      <c r="D1079" t="inlineStr">
        <is>
          <t>JÄMTLANDS LÄN</t>
        </is>
      </c>
      <c r="E1079" t="inlineStr">
        <is>
          <t>RAGUNDA</t>
        </is>
      </c>
      <c r="G1079" t="n">
        <v>33.8</v>
      </c>
      <c r="H1079" t="n">
        <v>0</v>
      </c>
      <c r="I1079" t="n">
        <v>0</v>
      </c>
      <c r="J1079" t="n">
        <v>0</v>
      </c>
      <c r="K1079" t="n">
        <v>0</v>
      </c>
      <c r="L1079" t="n">
        <v>0</v>
      </c>
      <c r="M1079" t="n">
        <v>0</v>
      </c>
      <c r="N1079" t="n">
        <v>0</v>
      </c>
      <c r="O1079" t="n">
        <v>0</v>
      </c>
      <c r="P1079" t="n">
        <v>0</v>
      </c>
      <c r="Q1079" t="n">
        <v>0</v>
      </c>
      <c r="R1079" s="2" t="inlineStr"/>
    </row>
    <row r="1080" ht="15" customHeight="1">
      <c r="A1080" t="inlineStr">
        <is>
          <t>A 14074-2023</t>
        </is>
      </c>
      <c r="B1080" s="1" t="n">
        <v>45009</v>
      </c>
      <c r="C1080" s="1" t="n">
        <v>45826</v>
      </c>
      <c r="D1080" t="inlineStr">
        <is>
          <t>JÄMTLANDS LÄN</t>
        </is>
      </c>
      <c r="E1080" t="inlineStr">
        <is>
          <t>RAGUNDA</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45826</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14076-2023</t>
        </is>
      </c>
      <c r="B1082" s="1" t="n">
        <v>45009</v>
      </c>
      <c r="C1082" s="1" t="n">
        <v>45826</v>
      </c>
      <c r="D1082" t="inlineStr">
        <is>
          <t>JÄMTLANDS LÄN</t>
        </is>
      </c>
      <c r="E1082" t="inlineStr">
        <is>
          <t>RAGUNDA</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14081-2023</t>
        </is>
      </c>
      <c r="B1083" s="1" t="n">
        <v>45009</v>
      </c>
      <c r="C1083" s="1" t="n">
        <v>45826</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14080-2023</t>
        </is>
      </c>
      <c r="B1084" s="1" t="n">
        <v>45009</v>
      </c>
      <c r="C1084" s="1" t="n">
        <v>45826</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14531-2023</t>
        </is>
      </c>
      <c r="B1085" s="1" t="n">
        <v>45013</v>
      </c>
      <c r="C1085" s="1" t="n">
        <v>45826</v>
      </c>
      <c r="D1085" t="inlineStr">
        <is>
          <t>JÄMTLANDS LÄN</t>
        </is>
      </c>
      <c r="E1085" t="inlineStr">
        <is>
          <t>RAGUNDA</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14869-2023</t>
        </is>
      </c>
      <c r="B1086" s="1" t="n">
        <v>45015</v>
      </c>
      <c r="C1086" s="1" t="n">
        <v>45826</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14868-2023</t>
        </is>
      </c>
      <c r="B1087" s="1" t="n">
        <v>45015</v>
      </c>
      <c r="C1087" s="1" t="n">
        <v>45826</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15078-2023</t>
        </is>
      </c>
      <c r="B1088" s="1" t="n">
        <v>45015</v>
      </c>
      <c r="C1088" s="1" t="n">
        <v>45826</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15077-2023</t>
        </is>
      </c>
      <c r="B1089" s="1" t="n">
        <v>45015</v>
      </c>
      <c r="C1089" s="1" t="n">
        <v>45826</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16364-2023</t>
        </is>
      </c>
      <c r="B1090" s="1" t="n">
        <v>45028</v>
      </c>
      <c r="C1090" s="1" t="n">
        <v>45826</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17248-2023</t>
        </is>
      </c>
      <c r="B1091" s="1" t="n">
        <v>45033</v>
      </c>
      <c r="C1091" s="1" t="n">
        <v>45826</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17207-2023</t>
        </is>
      </c>
      <c r="B1092" s="1" t="n">
        <v>45035</v>
      </c>
      <c r="C1092" s="1" t="n">
        <v>45826</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17206-2023</t>
        </is>
      </c>
      <c r="B1093" s="1" t="n">
        <v>45035</v>
      </c>
      <c r="C1093" s="1" t="n">
        <v>45826</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17559-2023</t>
        </is>
      </c>
      <c r="B1094" s="1" t="n">
        <v>45034</v>
      </c>
      <c r="C1094" s="1" t="n">
        <v>45826</v>
      </c>
      <c r="D1094" t="inlineStr">
        <is>
          <t>JÄMTLANDS LÄN</t>
        </is>
      </c>
      <c r="E1094" t="inlineStr">
        <is>
          <t>RAGUNDA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17864-2023</t>
        </is>
      </c>
      <c r="B1095" s="1" t="n">
        <v>45038</v>
      </c>
      <c r="C1095" s="1" t="n">
        <v>45826</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17863-2023</t>
        </is>
      </c>
      <c r="B1096" s="1" t="n">
        <v>45038</v>
      </c>
      <c r="C1096" s="1" t="n">
        <v>45826</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18159-2023</t>
        </is>
      </c>
      <c r="B1097" s="1" t="n">
        <v>45041</v>
      </c>
      <c r="C1097" s="1" t="n">
        <v>45826</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18145-2023</t>
        </is>
      </c>
      <c r="B1098" s="1" t="n">
        <v>45041</v>
      </c>
      <c r="C1098" s="1" t="n">
        <v>45826</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18248-2023</t>
        </is>
      </c>
      <c r="B1099" s="1" t="n">
        <v>45040</v>
      </c>
      <c r="C1099" s="1" t="n">
        <v>45826</v>
      </c>
      <c r="D1099" t="inlineStr">
        <is>
          <t>JÄMTLANDS LÄN</t>
        </is>
      </c>
      <c r="E1099" t="inlineStr">
        <is>
          <t>RAGUNDA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18557-2023</t>
        </is>
      </c>
      <c r="B1100" s="1" t="n">
        <v>45043</v>
      </c>
      <c r="C1100" s="1" t="n">
        <v>45826</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18556-2023</t>
        </is>
      </c>
      <c r="B1101" s="1" t="n">
        <v>45043</v>
      </c>
      <c r="C1101" s="1" t="n">
        <v>45826</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18820-2023</t>
        </is>
      </c>
      <c r="B1102" s="1" t="n">
        <v>45042</v>
      </c>
      <c r="C1102" s="1" t="n">
        <v>45826</v>
      </c>
      <c r="D1102" t="inlineStr">
        <is>
          <t>JÄMTLANDS LÄN</t>
        </is>
      </c>
      <c r="E1102" t="inlineStr">
        <is>
          <t>RAGUNDA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45826</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18995-2023</t>
        </is>
      </c>
      <c r="B1104" s="1" t="n">
        <v>45045</v>
      </c>
      <c r="C1104" s="1" t="n">
        <v>45826</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18996-2023</t>
        </is>
      </c>
      <c r="B1105" s="1" t="n">
        <v>45045</v>
      </c>
      <c r="C1105" s="1" t="n">
        <v>45826</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19242-2023</t>
        </is>
      </c>
      <c r="B1106" s="1" t="n">
        <v>45048</v>
      </c>
      <c r="C1106" s="1" t="n">
        <v>45826</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45049</v>
      </c>
      <c r="C1107" s="1" t="n">
        <v>45826</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19438-2023</t>
        </is>
      </c>
      <c r="B1108" s="1" t="n">
        <v>45049</v>
      </c>
      <c r="C1108" s="1" t="n">
        <v>45826</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19613-2023</t>
        </is>
      </c>
      <c r="B1109" s="1" t="n">
        <v>45051</v>
      </c>
      <c r="C1109" s="1" t="n">
        <v>45826</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19612-2023</t>
        </is>
      </c>
      <c r="B1110" s="1" t="n">
        <v>45051</v>
      </c>
      <c r="C1110" s="1" t="n">
        <v>45826</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19620-2023</t>
        </is>
      </c>
      <c r="B1111" s="1" t="n">
        <v>45050</v>
      </c>
      <c r="C1111" s="1" t="n">
        <v>45826</v>
      </c>
      <c r="D1111" t="inlineStr">
        <is>
          <t>JÄMTLANDS LÄN</t>
        </is>
      </c>
      <c r="E1111" t="inlineStr">
        <is>
          <t>RAGUNDA</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19865-2023</t>
        </is>
      </c>
      <c r="B1112" s="1" t="n">
        <v>45054</v>
      </c>
      <c r="C1112" s="1" t="n">
        <v>45826</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45054</v>
      </c>
      <c r="C1113" s="1" t="n">
        <v>45826</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20079-2023</t>
        </is>
      </c>
      <c r="B1114" s="1" t="n">
        <v>45055</v>
      </c>
      <c r="C1114" s="1" t="n">
        <v>45826</v>
      </c>
      <c r="D1114" t="inlineStr">
        <is>
          <t>JÄMTLANDS LÄN</t>
        </is>
      </c>
      <c r="E1114" t="inlineStr">
        <is>
          <t>RAGUNDA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20088-2023</t>
        </is>
      </c>
      <c r="B1115" s="1" t="n">
        <v>45054</v>
      </c>
      <c r="C1115" s="1" t="n">
        <v>45826</v>
      </c>
      <c r="D1115" t="inlineStr">
        <is>
          <t>JÄMTLANDS LÄN</t>
        </is>
      </c>
      <c r="E1115" t="inlineStr">
        <is>
          <t>RAGUNDA</t>
        </is>
      </c>
      <c r="F1115" t="inlineStr">
        <is>
          <t>SCA</t>
        </is>
      </c>
      <c r="G1115" t="n">
        <v>23.4</v>
      </c>
      <c r="H1115" t="n">
        <v>0</v>
      </c>
      <c r="I1115" t="n">
        <v>0</v>
      </c>
      <c r="J1115" t="n">
        <v>0</v>
      </c>
      <c r="K1115" t="n">
        <v>0</v>
      </c>
      <c r="L1115" t="n">
        <v>0</v>
      </c>
      <c r="M1115" t="n">
        <v>0</v>
      </c>
      <c r="N1115" t="n">
        <v>0</v>
      </c>
      <c r="O1115" t="n">
        <v>0</v>
      </c>
      <c r="P1115" t="n">
        <v>0</v>
      </c>
      <c r="Q1115" t="n">
        <v>0</v>
      </c>
      <c r="R1115" s="2" t="inlineStr"/>
    </row>
    <row r="1116" ht="15" customHeight="1">
      <c r="A1116" t="inlineStr">
        <is>
          <t>A 20987-2023</t>
        </is>
      </c>
      <c r="B1116" s="1" t="n">
        <v>45056</v>
      </c>
      <c r="C1116" s="1" t="n">
        <v>45826</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20994-2023</t>
        </is>
      </c>
      <c r="B1117" s="1" t="n">
        <v>45056</v>
      </c>
      <c r="C1117" s="1" t="n">
        <v>45826</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20901-2023</t>
        </is>
      </c>
      <c r="B1118" s="1" t="n">
        <v>45060</v>
      </c>
      <c r="C1118" s="1" t="n">
        <v>45826</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21102-2023</t>
        </is>
      </c>
      <c r="B1119" s="1" t="n">
        <v>45062</v>
      </c>
      <c r="C1119" s="1" t="n">
        <v>45826</v>
      </c>
      <c r="D1119" t="inlineStr">
        <is>
          <t>JÄMTLANDS LÄN</t>
        </is>
      </c>
      <c r="E1119" t="inlineStr">
        <is>
          <t>RAGUNDA</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21661-2023</t>
        </is>
      </c>
      <c r="B1120" s="1" t="n">
        <v>45063</v>
      </c>
      <c r="C1120" s="1" t="n">
        <v>45826</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21662-2023</t>
        </is>
      </c>
      <c r="B1121" s="1" t="n">
        <v>45063</v>
      </c>
      <c r="C1121" s="1" t="n">
        <v>45826</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21726-2023</t>
        </is>
      </c>
      <c r="B1122" s="1" t="n">
        <v>45065</v>
      </c>
      <c r="C1122" s="1" t="n">
        <v>45826</v>
      </c>
      <c r="D1122" t="inlineStr">
        <is>
          <t>JÄMTLANDS LÄN</t>
        </is>
      </c>
      <c r="E1122" t="inlineStr">
        <is>
          <t>RAGUNDA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22011-2023</t>
        </is>
      </c>
      <c r="B1123" s="1" t="n">
        <v>45068</v>
      </c>
      <c r="C1123" s="1" t="n">
        <v>45826</v>
      </c>
      <c r="D1123" t="inlineStr">
        <is>
          <t>JÄMTLANDS LÄN</t>
        </is>
      </c>
      <c r="E1123" t="inlineStr">
        <is>
          <t>RAGUNDA</t>
        </is>
      </c>
      <c r="F1123" t="inlineStr">
        <is>
          <t>SCA</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22569-2023</t>
        </is>
      </c>
      <c r="B1124" s="1" t="n">
        <v>45069</v>
      </c>
      <c r="C1124" s="1" t="n">
        <v>45826</v>
      </c>
      <c r="D1124" t="inlineStr">
        <is>
          <t>JÄMTLANDS LÄN</t>
        </is>
      </c>
      <c r="E1124" t="inlineStr">
        <is>
          <t>RAGUNDA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22479-2023</t>
        </is>
      </c>
      <c r="B1125" s="1" t="n">
        <v>45070</v>
      </c>
      <c r="C1125" s="1" t="n">
        <v>45826</v>
      </c>
      <c r="D1125" t="inlineStr">
        <is>
          <t>JÄMTLANDS LÄN</t>
        </is>
      </c>
      <c r="E1125" t="inlineStr">
        <is>
          <t>RAGUNDA</t>
        </is>
      </c>
      <c r="F1125" t="inlineStr">
        <is>
          <t>SCA</t>
        </is>
      </c>
      <c r="G1125" t="n">
        <v>31.8</v>
      </c>
      <c r="H1125" t="n">
        <v>0</v>
      </c>
      <c r="I1125" t="n">
        <v>0</v>
      </c>
      <c r="J1125" t="n">
        <v>0</v>
      </c>
      <c r="K1125" t="n">
        <v>0</v>
      </c>
      <c r="L1125" t="n">
        <v>0</v>
      </c>
      <c r="M1125" t="n">
        <v>0</v>
      </c>
      <c r="N1125" t="n">
        <v>0</v>
      </c>
      <c r="O1125" t="n">
        <v>0</v>
      </c>
      <c r="P1125" t="n">
        <v>0</v>
      </c>
      <c r="Q1125" t="n">
        <v>0</v>
      </c>
      <c r="R1125" s="2" t="inlineStr"/>
    </row>
    <row r="1126" ht="15" customHeight="1">
      <c r="A1126" t="inlineStr">
        <is>
          <t>A 23074-2023</t>
        </is>
      </c>
      <c r="B1126" s="1" t="n">
        <v>45070</v>
      </c>
      <c r="C1126" s="1" t="n">
        <v>45826</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23140-2023</t>
        </is>
      </c>
      <c r="B1127" s="1" t="n">
        <v>45070</v>
      </c>
      <c r="C1127" s="1" t="n">
        <v>45826</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22731-2023</t>
        </is>
      </c>
      <c r="B1128" s="1" t="n">
        <v>45071</v>
      </c>
      <c r="C1128" s="1" t="n">
        <v>45826</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22981-2023</t>
        </is>
      </c>
      <c r="B1129" s="1" t="n">
        <v>45073</v>
      </c>
      <c r="C1129" s="1" t="n">
        <v>45826</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23299-2023</t>
        </is>
      </c>
      <c r="B1130" s="1" t="n">
        <v>45076</v>
      </c>
      <c r="C1130" s="1" t="n">
        <v>45826</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23304-2023</t>
        </is>
      </c>
      <c r="B1131" s="1" t="n">
        <v>45076</v>
      </c>
      <c r="C1131" s="1" t="n">
        <v>45826</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45076</v>
      </c>
      <c r="C1132" s="1" t="n">
        <v>45826</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23298-2023</t>
        </is>
      </c>
      <c r="B1133" s="1" t="n">
        <v>45076</v>
      </c>
      <c r="C1133" s="1" t="n">
        <v>45826</v>
      </c>
      <c r="D1133" t="inlineStr">
        <is>
          <t>JÄMTLANDS LÄN</t>
        </is>
      </c>
      <c r="E1133" t="inlineStr">
        <is>
          <t>RAGUNDA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45826</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25086-2023</t>
        </is>
      </c>
      <c r="B1135" s="1" t="n">
        <v>45078</v>
      </c>
      <c r="C1135" s="1" t="n">
        <v>45826</v>
      </c>
      <c r="D1135" t="inlineStr">
        <is>
          <t>JÄMTLANDS LÄN</t>
        </is>
      </c>
      <c r="E1135" t="inlineStr">
        <is>
          <t>RAGUNDA</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25416-2023</t>
        </is>
      </c>
      <c r="B1136" s="1" t="n">
        <v>45078</v>
      </c>
      <c r="C1136" s="1" t="n">
        <v>45826</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24300-2023</t>
        </is>
      </c>
      <c r="B1137" s="1" t="n">
        <v>45079</v>
      </c>
      <c r="C1137" s="1" t="n">
        <v>45826</v>
      </c>
      <c r="D1137" t="inlineStr">
        <is>
          <t>JÄMTLANDS LÄN</t>
        </is>
      </c>
      <c r="E1137" t="inlineStr">
        <is>
          <t>RAGUNDA</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24821-2023</t>
        </is>
      </c>
      <c r="B1138" s="1" t="n">
        <v>45085</v>
      </c>
      <c r="C1138" s="1" t="n">
        <v>45826</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24822-2023</t>
        </is>
      </c>
      <c r="B1139" s="1" t="n">
        <v>45085</v>
      </c>
      <c r="C1139" s="1" t="n">
        <v>45826</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24820-2023</t>
        </is>
      </c>
      <c r="B1140" s="1" t="n">
        <v>45084</v>
      </c>
      <c r="C1140" s="1" t="n">
        <v>45826</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25892-2023</t>
        </is>
      </c>
      <c r="B1141" s="1" t="n">
        <v>45085</v>
      </c>
      <c r="C1141" s="1" t="n">
        <v>45826</v>
      </c>
      <c r="D1141" t="inlineStr">
        <is>
          <t>JÄMTLANDS LÄN</t>
        </is>
      </c>
      <c r="E1141" t="inlineStr">
        <is>
          <t>RAGUNDA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25332-2023</t>
        </is>
      </c>
      <c r="B1142" s="1" t="n">
        <v>45087</v>
      </c>
      <c r="C1142" s="1" t="n">
        <v>45826</v>
      </c>
      <c r="D1142" t="inlineStr">
        <is>
          <t>JÄMTLANDS LÄN</t>
        </is>
      </c>
      <c r="E1142" t="inlineStr">
        <is>
          <t>RAGUNDA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25304-2023</t>
        </is>
      </c>
      <c r="B1143" s="1" t="n">
        <v>45086</v>
      </c>
      <c r="C1143" s="1" t="n">
        <v>45826</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25430-2023</t>
        </is>
      </c>
      <c r="B1144" s="1" t="n">
        <v>45089</v>
      </c>
      <c r="C1144" s="1" t="n">
        <v>45826</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25669-2023</t>
        </is>
      </c>
      <c r="B1145" s="1" t="n">
        <v>45089</v>
      </c>
      <c r="C1145" s="1" t="n">
        <v>45826</v>
      </c>
      <c r="D1145" t="inlineStr">
        <is>
          <t>JÄMTLANDS LÄN</t>
        </is>
      </c>
      <c r="E1145" t="inlineStr">
        <is>
          <t>RAGUNDA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25666-2023</t>
        </is>
      </c>
      <c r="B1146" s="1" t="n">
        <v>45089</v>
      </c>
      <c r="C1146" s="1" t="n">
        <v>45826</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25670-2023</t>
        </is>
      </c>
      <c r="B1147" s="1" t="n">
        <v>45090</v>
      </c>
      <c r="C1147" s="1" t="n">
        <v>45826</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25708-2023</t>
        </is>
      </c>
      <c r="B1148" s="1" t="n">
        <v>45090</v>
      </c>
      <c r="C1148" s="1" t="n">
        <v>45826</v>
      </c>
      <c r="D1148" t="inlineStr">
        <is>
          <t>JÄMTLANDS LÄN</t>
        </is>
      </c>
      <c r="E1148" t="inlineStr">
        <is>
          <t>RAGUNDA</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26002-2023</t>
        </is>
      </c>
      <c r="B1149" s="1" t="n">
        <v>45091</v>
      </c>
      <c r="C1149" s="1" t="n">
        <v>45826</v>
      </c>
      <c r="D1149" t="inlineStr">
        <is>
          <t>JÄMTLANDS LÄN</t>
        </is>
      </c>
      <c r="E1149" t="inlineStr">
        <is>
          <t>RAGUNDA</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45826</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45826</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26644-2023</t>
        </is>
      </c>
      <c r="B1152" s="1" t="n">
        <v>45093</v>
      </c>
      <c r="C1152" s="1" t="n">
        <v>45826</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26646-2023</t>
        </is>
      </c>
      <c r="B1153" s="1" t="n">
        <v>45092</v>
      </c>
      <c r="C1153" s="1" t="n">
        <v>45826</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27091-2023</t>
        </is>
      </c>
      <c r="B1154" s="1" t="n">
        <v>45092</v>
      </c>
      <c r="C1154" s="1" t="n">
        <v>45826</v>
      </c>
      <c r="D1154" t="inlineStr">
        <is>
          <t>JÄMTLANDS LÄN</t>
        </is>
      </c>
      <c r="E1154" t="inlineStr">
        <is>
          <t>RAGUNDA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27085-2023</t>
        </is>
      </c>
      <c r="B1155" s="1" t="n">
        <v>45092</v>
      </c>
      <c r="C1155" s="1" t="n">
        <v>45826</v>
      </c>
      <c r="D1155" t="inlineStr">
        <is>
          <t>JÄMTLANDS LÄN</t>
        </is>
      </c>
      <c r="E1155" t="inlineStr">
        <is>
          <t>RAGUNDA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45094</v>
      </c>
      <c r="C1156" s="1" t="n">
        <v>45826</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26995-2023</t>
        </is>
      </c>
      <c r="B1157" s="1" t="n">
        <v>45093</v>
      </c>
      <c r="C1157" s="1" t="n">
        <v>45826</v>
      </c>
      <c r="D1157" t="inlineStr">
        <is>
          <t>JÄMTLANDS LÄN</t>
        </is>
      </c>
      <c r="E1157" t="inlineStr">
        <is>
          <t>RAGUNDA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26993-2023</t>
        </is>
      </c>
      <c r="B1158" s="1" t="n">
        <v>45093</v>
      </c>
      <c r="C1158" s="1" t="n">
        <v>45826</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26994-2023</t>
        </is>
      </c>
      <c r="B1159" s="1" t="n">
        <v>45094</v>
      </c>
      <c r="C1159" s="1" t="n">
        <v>45826</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26992-2023</t>
        </is>
      </c>
      <c r="B1160" s="1" t="n">
        <v>45094</v>
      </c>
      <c r="C1160" s="1" t="n">
        <v>45826</v>
      </c>
      <c r="D1160" t="inlineStr">
        <is>
          <t>JÄMTLANDS LÄN</t>
        </is>
      </c>
      <c r="E1160" t="inlineStr">
        <is>
          <t>RAGUNDA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27373-2023</t>
        </is>
      </c>
      <c r="B1161" s="1" t="n">
        <v>45097</v>
      </c>
      <c r="C1161" s="1" t="n">
        <v>45826</v>
      </c>
      <c r="D1161" t="inlineStr">
        <is>
          <t>JÄMTLANDS LÄN</t>
        </is>
      </c>
      <c r="E1161" t="inlineStr">
        <is>
          <t>RAGUNDA</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27379-2023</t>
        </is>
      </c>
      <c r="B1162" s="1" t="n">
        <v>45097</v>
      </c>
      <c r="C1162" s="1" t="n">
        <v>45826</v>
      </c>
      <c r="D1162" t="inlineStr">
        <is>
          <t>JÄMTLANDS LÄN</t>
        </is>
      </c>
      <c r="E1162" t="inlineStr">
        <is>
          <t>RAGUNDA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28685-2023</t>
        </is>
      </c>
      <c r="B1163" s="1" t="n">
        <v>45096</v>
      </c>
      <c r="C1163" s="1" t="n">
        <v>45826</v>
      </c>
      <c r="D1163" t="inlineStr">
        <is>
          <t>JÄMTLANDS LÄN</t>
        </is>
      </c>
      <c r="E1163" t="inlineStr">
        <is>
          <t>RAGUNDA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28806-2023</t>
        </is>
      </c>
      <c r="B1164" s="1" t="n">
        <v>45096</v>
      </c>
      <c r="C1164" s="1" t="n">
        <v>45826</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29775-2023</t>
        </is>
      </c>
      <c r="B1165" s="1" t="n">
        <v>45098</v>
      </c>
      <c r="C1165" s="1" t="n">
        <v>45826</v>
      </c>
      <c r="D1165" t="inlineStr">
        <is>
          <t>JÄMTLANDS LÄN</t>
        </is>
      </c>
      <c r="E1165" t="inlineStr">
        <is>
          <t>RAGUNDA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29766-2023</t>
        </is>
      </c>
      <c r="B1166" s="1" t="n">
        <v>45098</v>
      </c>
      <c r="C1166" s="1" t="n">
        <v>45826</v>
      </c>
      <c r="D1166" t="inlineStr">
        <is>
          <t>JÄMTLANDS LÄN</t>
        </is>
      </c>
      <c r="E1166" t="inlineStr">
        <is>
          <t>RAGUNDA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28352-2023</t>
        </is>
      </c>
      <c r="B1167" s="1" t="n">
        <v>45100</v>
      </c>
      <c r="C1167" s="1" t="n">
        <v>45826</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28351-2023</t>
        </is>
      </c>
      <c r="B1168" s="1" t="n">
        <v>45100</v>
      </c>
      <c r="C1168" s="1" t="n">
        <v>45826</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28742-2023</t>
        </is>
      </c>
      <c r="B1169" s="1" t="n">
        <v>45103</v>
      </c>
      <c r="C1169" s="1" t="n">
        <v>45826</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31135-2023</t>
        </is>
      </c>
      <c r="B1170" s="1" t="n">
        <v>45103</v>
      </c>
      <c r="C1170" s="1" t="n">
        <v>45826</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29053-2023</t>
        </is>
      </c>
      <c r="B1171" s="1" t="n">
        <v>45104</v>
      </c>
      <c r="C1171" s="1" t="n">
        <v>45826</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29319-2023</t>
        </is>
      </c>
      <c r="B1172" s="1" t="n">
        <v>45105</v>
      </c>
      <c r="C1172" s="1" t="n">
        <v>45826</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45826</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29939-2023</t>
        </is>
      </c>
      <c r="B1174" s="1" t="n">
        <v>45107</v>
      </c>
      <c r="C1174" s="1" t="n">
        <v>45826</v>
      </c>
      <c r="D1174" t="inlineStr">
        <is>
          <t>JÄMTLANDS LÄN</t>
        </is>
      </c>
      <c r="E1174" t="inlineStr">
        <is>
          <t>RAGUNDA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30563-2023</t>
        </is>
      </c>
      <c r="B1175" s="1" t="n">
        <v>45112</v>
      </c>
      <c r="C1175" s="1" t="n">
        <v>45826</v>
      </c>
      <c r="D1175" t="inlineStr">
        <is>
          <t>JÄMTLANDS LÄN</t>
        </is>
      </c>
      <c r="E1175" t="inlineStr">
        <is>
          <t>RAGUNDA</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32592-2023</t>
        </is>
      </c>
      <c r="B1176" s="1" t="n">
        <v>45111</v>
      </c>
      <c r="C1176" s="1" t="n">
        <v>45826</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30826-2023</t>
        </is>
      </c>
      <c r="B1177" s="1" t="n">
        <v>45112</v>
      </c>
      <c r="C1177" s="1" t="n">
        <v>45826</v>
      </c>
      <c r="D1177" t="inlineStr">
        <is>
          <t>JÄMTLANDS LÄN</t>
        </is>
      </c>
      <c r="E1177" t="inlineStr">
        <is>
          <t>RAGUNDA</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30825-2023</t>
        </is>
      </c>
      <c r="B1178" s="1" t="n">
        <v>45113</v>
      </c>
      <c r="C1178" s="1" t="n">
        <v>45826</v>
      </c>
      <c r="D1178" t="inlineStr">
        <is>
          <t>JÄMTLANDS LÄN</t>
        </is>
      </c>
      <c r="E1178" t="inlineStr">
        <is>
          <t>RAGUNDA</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30823-2023</t>
        </is>
      </c>
      <c r="B1179" s="1" t="n">
        <v>45112</v>
      </c>
      <c r="C1179" s="1" t="n">
        <v>45826</v>
      </c>
      <c r="D1179" t="inlineStr">
        <is>
          <t>JÄMTLANDS LÄN</t>
        </is>
      </c>
      <c r="E1179" t="inlineStr">
        <is>
          <t>RAGUNDA</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45113</v>
      </c>
      <c r="C1180" s="1" t="n">
        <v>45826</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31200-2023</t>
        </is>
      </c>
      <c r="B1181" s="1" t="n">
        <v>45114</v>
      </c>
      <c r="C1181" s="1" t="n">
        <v>45826</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31926-2023</t>
        </is>
      </c>
      <c r="B1182" s="1" t="n">
        <v>45119</v>
      </c>
      <c r="C1182" s="1" t="n">
        <v>45826</v>
      </c>
      <c r="D1182" t="inlineStr">
        <is>
          <t>JÄMTLANDS LÄN</t>
        </is>
      </c>
      <c r="E1182" t="inlineStr">
        <is>
          <t>RAGUNDA</t>
        </is>
      </c>
      <c r="F1182" t="inlineStr">
        <is>
          <t>SCA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32207-2023</t>
        </is>
      </c>
      <c r="B1183" s="1" t="n">
        <v>45120</v>
      </c>
      <c r="C1183" s="1" t="n">
        <v>45826</v>
      </c>
      <c r="D1183" t="inlineStr">
        <is>
          <t>JÄMTLANDS LÄN</t>
        </is>
      </c>
      <c r="E1183" t="inlineStr">
        <is>
          <t>RAGUNDA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33615-2023</t>
        </is>
      </c>
      <c r="B1184" s="1" t="n">
        <v>45119</v>
      </c>
      <c r="C1184" s="1" t="n">
        <v>45826</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33621-2023</t>
        </is>
      </c>
      <c r="B1185" s="1" t="n">
        <v>45119</v>
      </c>
      <c r="C1185" s="1" t="n">
        <v>45826</v>
      </c>
      <c r="D1185" t="inlineStr">
        <is>
          <t>JÄMTLANDS LÄN</t>
        </is>
      </c>
      <c r="E1185" t="inlineStr">
        <is>
          <t>RAGUNDA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33035-2023</t>
        </is>
      </c>
      <c r="B1186" s="1" t="n">
        <v>45126</v>
      </c>
      <c r="C1186" s="1" t="n">
        <v>45826</v>
      </c>
      <c r="D1186" t="inlineStr">
        <is>
          <t>JÄMTLANDS LÄN</t>
        </is>
      </c>
      <c r="E1186" t="inlineStr">
        <is>
          <t>RAGUNDA</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33047-2023</t>
        </is>
      </c>
      <c r="B1187" s="1" t="n">
        <v>45126</v>
      </c>
      <c r="C1187" s="1" t="n">
        <v>45826</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33038-2023</t>
        </is>
      </c>
      <c r="B1188" s="1" t="n">
        <v>45126</v>
      </c>
      <c r="C1188" s="1" t="n">
        <v>45826</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33046-2023</t>
        </is>
      </c>
      <c r="B1189" s="1" t="n">
        <v>45126</v>
      </c>
      <c r="C1189" s="1" t="n">
        <v>45826</v>
      </c>
      <c r="D1189" t="inlineStr">
        <is>
          <t>JÄMTLANDS LÄN</t>
        </is>
      </c>
      <c r="E1189" t="inlineStr">
        <is>
          <t>RAGUNDA</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33432-2023</t>
        </is>
      </c>
      <c r="B1190" s="1" t="n">
        <v>45128</v>
      </c>
      <c r="C1190" s="1" t="n">
        <v>45826</v>
      </c>
      <c r="D1190" t="inlineStr">
        <is>
          <t>JÄMTLANDS LÄN</t>
        </is>
      </c>
      <c r="E1190" t="inlineStr">
        <is>
          <t>RAGUNDA</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33589-2023</t>
        </is>
      </c>
      <c r="B1191" s="1" t="n">
        <v>45132</v>
      </c>
      <c r="C1191" s="1" t="n">
        <v>45826</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33588-2023</t>
        </is>
      </c>
      <c r="B1192" s="1" t="n">
        <v>45131</v>
      </c>
      <c r="C1192" s="1" t="n">
        <v>45826</v>
      </c>
      <c r="D1192" t="inlineStr">
        <is>
          <t>JÄMTLANDS LÄN</t>
        </is>
      </c>
      <c r="E1192" t="inlineStr">
        <is>
          <t>RAGUNDA</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33717-2023</t>
        </is>
      </c>
      <c r="B1193" s="1" t="n">
        <v>45132</v>
      </c>
      <c r="C1193" s="1" t="n">
        <v>45826</v>
      </c>
      <c r="D1193" t="inlineStr">
        <is>
          <t>JÄMTLANDS LÄN</t>
        </is>
      </c>
      <c r="E1193" t="inlineStr">
        <is>
          <t>RAGUNDA</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33877-2023</t>
        </is>
      </c>
      <c r="B1194" s="1" t="n">
        <v>45133</v>
      </c>
      <c r="C1194" s="1" t="n">
        <v>45826</v>
      </c>
      <c r="D1194" t="inlineStr">
        <is>
          <t>JÄMTLANDS LÄN</t>
        </is>
      </c>
      <c r="E1194" t="inlineStr">
        <is>
          <t>RAGUNDA</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34322-2023</t>
        </is>
      </c>
      <c r="B1195" s="1" t="n">
        <v>45139</v>
      </c>
      <c r="C1195" s="1" t="n">
        <v>45826</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34321-2023</t>
        </is>
      </c>
      <c r="B1196" s="1" t="n">
        <v>45138</v>
      </c>
      <c r="C1196" s="1" t="n">
        <v>45826</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34323-2023</t>
        </is>
      </c>
      <c r="B1197" s="1" t="n">
        <v>45139</v>
      </c>
      <c r="C1197" s="1" t="n">
        <v>45826</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34483-2023</t>
        </is>
      </c>
      <c r="B1198" s="1" t="n">
        <v>45140</v>
      </c>
      <c r="C1198" s="1" t="n">
        <v>45826</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34689-2023</t>
        </is>
      </c>
      <c r="B1199" s="1" t="n">
        <v>45141</v>
      </c>
      <c r="C1199" s="1" t="n">
        <v>45826</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34691-2023</t>
        </is>
      </c>
      <c r="B1200" s="1" t="n">
        <v>45141</v>
      </c>
      <c r="C1200" s="1" t="n">
        <v>45826</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35009-2023</t>
        </is>
      </c>
      <c r="B1201" s="1" t="n">
        <v>45142</v>
      </c>
      <c r="C1201" s="1" t="n">
        <v>45826</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35272-2023</t>
        </is>
      </c>
      <c r="B1202" s="1" t="n">
        <v>45146</v>
      </c>
      <c r="C1202" s="1" t="n">
        <v>45826</v>
      </c>
      <c r="D1202" t="inlineStr">
        <is>
          <t>JÄMTLANDS LÄN</t>
        </is>
      </c>
      <c r="E1202" t="inlineStr">
        <is>
          <t>RAGUNDA</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35265-2023</t>
        </is>
      </c>
      <c r="B1203" s="1" t="n">
        <v>45146</v>
      </c>
      <c r="C1203" s="1" t="n">
        <v>45826</v>
      </c>
      <c r="D1203" t="inlineStr">
        <is>
          <t>JÄMTLANDS LÄN</t>
        </is>
      </c>
      <c r="E1203" t="inlineStr">
        <is>
          <t>RAGUNDA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35273-2023</t>
        </is>
      </c>
      <c r="B1204" s="1" t="n">
        <v>45146</v>
      </c>
      <c r="C1204" s="1" t="n">
        <v>45826</v>
      </c>
      <c r="D1204" t="inlineStr">
        <is>
          <t>JÄMTLANDS LÄN</t>
        </is>
      </c>
      <c r="E1204" t="inlineStr">
        <is>
          <t>RAGUNDA</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35274-2023</t>
        </is>
      </c>
      <c r="B1205" s="1" t="n">
        <v>45145</v>
      </c>
      <c r="C1205" s="1" t="n">
        <v>45826</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35565-2023</t>
        </is>
      </c>
      <c r="B1206" s="1" t="n">
        <v>45146</v>
      </c>
      <c r="C1206" s="1" t="n">
        <v>45826</v>
      </c>
      <c r="D1206" t="inlineStr">
        <is>
          <t>JÄMTLANDS LÄN</t>
        </is>
      </c>
      <c r="E1206" t="inlineStr">
        <is>
          <t>RAGUNDA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35912-2023</t>
        </is>
      </c>
      <c r="B1207" s="1" t="n">
        <v>45148</v>
      </c>
      <c r="C1207" s="1" t="n">
        <v>45826</v>
      </c>
      <c r="D1207" t="inlineStr">
        <is>
          <t>JÄMTLANDS LÄN</t>
        </is>
      </c>
      <c r="E1207" t="inlineStr">
        <is>
          <t>RAGUNDA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36046-2023</t>
        </is>
      </c>
      <c r="B1208" s="1" t="n">
        <v>45148</v>
      </c>
      <c r="C1208" s="1" t="n">
        <v>45826</v>
      </c>
      <c r="D1208" t="inlineStr">
        <is>
          <t>JÄMTLANDS LÄN</t>
        </is>
      </c>
      <c r="E1208" t="inlineStr">
        <is>
          <t>RAGUNDA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36206-2023</t>
        </is>
      </c>
      <c r="B1209" s="1" t="n">
        <v>45150</v>
      </c>
      <c r="C1209" s="1" t="n">
        <v>45826</v>
      </c>
      <c r="D1209" t="inlineStr">
        <is>
          <t>JÄMTLANDS LÄN</t>
        </is>
      </c>
      <c r="E1209" t="inlineStr">
        <is>
          <t>RAGUNDA</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36227-2023</t>
        </is>
      </c>
      <c r="B1210" s="1" t="n">
        <v>45150</v>
      </c>
      <c r="C1210" s="1" t="n">
        <v>45826</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36212-2023</t>
        </is>
      </c>
      <c r="B1211" s="1" t="n">
        <v>45150</v>
      </c>
      <c r="C1211" s="1" t="n">
        <v>45826</v>
      </c>
      <c r="D1211" t="inlineStr">
        <is>
          <t>JÄMTLANDS LÄN</t>
        </is>
      </c>
      <c r="E1211" t="inlineStr">
        <is>
          <t>RAGUNDA</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36213-2023</t>
        </is>
      </c>
      <c r="B1212" s="1" t="n">
        <v>45150</v>
      </c>
      <c r="C1212" s="1" t="n">
        <v>45826</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36226-2023</t>
        </is>
      </c>
      <c r="B1213" s="1" t="n">
        <v>45150</v>
      </c>
      <c r="C1213" s="1" t="n">
        <v>45826</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36371-2023</t>
        </is>
      </c>
      <c r="B1214" s="1" t="n">
        <v>45149</v>
      </c>
      <c r="C1214" s="1" t="n">
        <v>45826</v>
      </c>
      <c r="D1214" t="inlineStr">
        <is>
          <t>JÄMTLANDS LÄN</t>
        </is>
      </c>
      <c r="E1214" t="inlineStr">
        <is>
          <t>RAGUNDA</t>
        </is>
      </c>
      <c r="G1214" t="n">
        <v>25.7</v>
      </c>
      <c r="H1214" t="n">
        <v>0</v>
      </c>
      <c r="I1214" t="n">
        <v>0</v>
      </c>
      <c r="J1214" t="n">
        <v>0</v>
      </c>
      <c r="K1214" t="n">
        <v>0</v>
      </c>
      <c r="L1214" t="n">
        <v>0</v>
      </c>
      <c r="M1214" t="n">
        <v>0</v>
      </c>
      <c r="N1214" t="n">
        <v>0</v>
      </c>
      <c r="O1214" t="n">
        <v>0</v>
      </c>
      <c r="P1214" t="n">
        <v>0</v>
      </c>
      <c r="Q1214" t="n">
        <v>0</v>
      </c>
      <c r="R1214" s="2" t="inlineStr"/>
    </row>
    <row r="1215" ht="15" customHeight="1">
      <c r="A1215" t="inlineStr">
        <is>
          <t>A 36506-2023</t>
        </is>
      </c>
      <c r="B1215" s="1" t="n">
        <v>45153</v>
      </c>
      <c r="C1215" s="1" t="n">
        <v>45826</v>
      </c>
      <c r="D1215" t="inlineStr">
        <is>
          <t>JÄMTLANDS LÄN</t>
        </is>
      </c>
      <c r="E1215" t="inlineStr">
        <is>
          <t>RAGUNDA</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36755-2023</t>
        </is>
      </c>
      <c r="B1216" s="1" t="n">
        <v>45153</v>
      </c>
      <c r="C1216" s="1" t="n">
        <v>45826</v>
      </c>
      <c r="D1216" t="inlineStr">
        <is>
          <t>JÄMTLANDS LÄN</t>
        </is>
      </c>
      <c r="E1216" t="inlineStr">
        <is>
          <t>RAGUNDA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36859-2023</t>
        </is>
      </c>
      <c r="B1217" s="1" t="n">
        <v>45153</v>
      </c>
      <c r="C1217" s="1" t="n">
        <v>45826</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36985-2023</t>
        </is>
      </c>
      <c r="B1218" s="1" t="n">
        <v>45155</v>
      </c>
      <c r="C1218" s="1" t="n">
        <v>45826</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36986-2023</t>
        </is>
      </c>
      <c r="B1219" s="1" t="n">
        <v>45155</v>
      </c>
      <c r="C1219" s="1" t="n">
        <v>45826</v>
      </c>
      <c r="D1219" t="inlineStr">
        <is>
          <t>JÄMTLANDS LÄN</t>
        </is>
      </c>
      <c r="E1219" t="inlineStr">
        <is>
          <t>RAGUNDA</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37251-2023</t>
        </is>
      </c>
      <c r="B1220" s="1" t="n">
        <v>45156</v>
      </c>
      <c r="C1220" s="1" t="n">
        <v>45826</v>
      </c>
      <c r="D1220" t="inlineStr">
        <is>
          <t>JÄMTLANDS LÄN</t>
        </is>
      </c>
      <c r="E1220" t="inlineStr">
        <is>
          <t>RAGUNDA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37480-2023</t>
        </is>
      </c>
      <c r="B1221" s="1" t="n">
        <v>45156</v>
      </c>
      <c r="C1221" s="1" t="n">
        <v>45826</v>
      </c>
      <c r="D1221" t="inlineStr">
        <is>
          <t>JÄMTLANDS LÄN</t>
        </is>
      </c>
      <c r="E1221" t="inlineStr">
        <is>
          <t>RAGUNDA</t>
        </is>
      </c>
      <c r="F1221" t="inlineStr">
        <is>
          <t>SCA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37479-2023</t>
        </is>
      </c>
      <c r="B1222" s="1" t="n">
        <v>45156</v>
      </c>
      <c r="C1222" s="1" t="n">
        <v>45826</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37536-2023</t>
        </is>
      </c>
      <c r="B1223" s="1" t="n">
        <v>45159</v>
      </c>
      <c r="C1223" s="1" t="n">
        <v>45826</v>
      </c>
      <c r="D1223" t="inlineStr">
        <is>
          <t>JÄMTLANDS LÄN</t>
        </is>
      </c>
      <c r="E1223" t="inlineStr">
        <is>
          <t>RAGUNDA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37544-2023</t>
        </is>
      </c>
      <c r="B1224" s="1" t="n">
        <v>45159</v>
      </c>
      <c r="C1224" s="1" t="n">
        <v>45826</v>
      </c>
      <c r="D1224" t="inlineStr">
        <is>
          <t>JÄMTLANDS LÄN</t>
        </is>
      </c>
      <c r="E1224" t="inlineStr">
        <is>
          <t>RAGUNDA</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37543-2023</t>
        </is>
      </c>
      <c r="B1225" s="1" t="n">
        <v>45159</v>
      </c>
      <c r="C1225" s="1" t="n">
        <v>45826</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37795-2023</t>
        </is>
      </c>
      <c r="B1226" s="1" t="n">
        <v>45160</v>
      </c>
      <c r="C1226" s="1" t="n">
        <v>45826</v>
      </c>
      <c r="D1226" t="inlineStr">
        <is>
          <t>JÄMTLANDS LÄN</t>
        </is>
      </c>
      <c r="E1226" t="inlineStr">
        <is>
          <t>RAGUNDA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37805-2023</t>
        </is>
      </c>
      <c r="B1227" s="1" t="n">
        <v>45160</v>
      </c>
      <c r="C1227" s="1" t="n">
        <v>45826</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37804-2023</t>
        </is>
      </c>
      <c r="B1228" s="1" t="n">
        <v>45160</v>
      </c>
      <c r="C1228" s="1" t="n">
        <v>45826</v>
      </c>
      <c r="D1228" t="inlineStr">
        <is>
          <t>JÄMTLANDS LÄN</t>
        </is>
      </c>
      <c r="E1228" t="inlineStr">
        <is>
          <t>RAGUNDA</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39070-2023</t>
        </is>
      </c>
      <c r="B1229" s="1" t="n">
        <v>45164</v>
      </c>
      <c r="C1229" s="1" t="n">
        <v>45826</v>
      </c>
      <c r="D1229" t="inlineStr">
        <is>
          <t>JÄMTLANDS LÄN</t>
        </is>
      </c>
      <c r="E1229" t="inlineStr">
        <is>
          <t>RAGUNDA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39076-2023</t>
        </is>
      </c>
      <c r="B1230" s="1" t="n">
        <v>45163</v>
      </c>
      <c r="C1230" s="1" t="n">
        <v>45826</v>
      </c>
      <c r="D1230" t="inlineStr">
        <is>
          <t>JÄMTLANDS LÄN</t>
        </is>
      </c>
      <c r="E1230" t="inlineStr">
        <is>
          <t>RAGUNDA</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39478-2023</t>
        </is>
      </c>
      <c r="B1231" s="1" t="n">
        <v>45166</v>
      </c>
      <c r="C1231" s="1" t="n">
        <v>45826</v>
      </c>
      <c r="D1231" t="inlineStr">
        <is>
          <t>JÄMTLANDS LÄN</t>
        </is>
      </c>
      <c r="E1231" t="inlineStr">
        <is>
          <t>RAGUNDA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39482-2023</t>
        </is>
      </c>
      <c r="B1232" s="1" t="n">
        <v>45167</v>
      </c>
      <c r="C1232" s="1" t="n">
        <v>45826</v>
      </c>
      <c r="D1232" t="inlineStr">
        <is>
          <t>JÄMTLANDS LÄN</t>
        </is>
      </c>
      <c r="E1232" t="inlineStr">
        <is>
          <t>RAGUNDA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39487-2023</t>
        </is>
      </c>
      <c r="B1233" s="1" t="n">
        <v>45167</v>
      </c>
      <c r="C1233" s="1" t="n">
        <v>45826</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39489-2023</t>
        </is>
      </c>
      <c r="B1234" s="1" t="n">
        <v>45166</v>
      </c>
      <c r="C1234" s="1" t="n">
        <v>45826</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39488-2023</t>
        </is>
      </c>
      <c r="B1235" s="1" t="n">
        <v>45166</v>
      </c>
      <c r="C1235" s="1" t="n">
        <v>45826</v>
      </c>
      <c r="D1235" t="inlineStr">
        <is>
          <t>JÄMTLANDS LÄN</t>
        </is>
      </c>
      <c r="E1235" t="inlineStr">
        <is>
          <t>RAGUNDA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39481-2023</t>
        </is>
      </c>
      <c r="B1236" s="1" t="n">
        <v>45167</v>
      </c>
      <c r="C1236" s="1" t="n">
        <v>45826</v>
      </c>
      <c r="D1236" t="inlineStr">
        <is>
          <t>JÄMTLANDS LÄN</t>
        </is>
      </c>
      <c r="E1236" t="inlineStr">
        <is>
          <t>RAGUNDA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39820-2023</t>
        </is>
      </c>
      <c r="B1237" s="1" t="n">
        <v>45167</v>
      </c>
      <c r="C1237" s="1" t="n">
        <v>45826</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40801-2023</t>
        </is>
      </c>
      <c r="B1238" s="1" t="n">
        <v>45170</v>
      </c>
      <c r="C1238" s="1" t="n">
        <v>45826</v>
      </c>
      <c r="D1238" t="inlineStr">
        <is>
          <t>JÄMTLANDS LÄN</t>
        </is>
      </c>
      <c r="E1238" t="inlineStr">
        <is>
          <t>RAGUNDA</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40800-2023</t>
        </is>
      </c>
      <c r="B1239" s="1" t="n">
        <v>45171</v>
      </c>
      <c r="C1239" s="1" t="n">
        <v>45826</v>
      </c>
      <c r="D1239" t="inlineStr">
        <is>
          <t>JÄMTLANDS LÄN</t>
        </is>
      </c>
      <c r="E1239" t="inlineStr">
        <is>
          <t>RAGUNDA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41413-2023</t>
        </is>
      </c>
      <c r="B1240" s="1" t="n">
        <v>45175</v>
      </c>
      <c r="C1240" s="1" t="n">
        <v>45826</v>
      </c>
      <c r="D1240" t="inlineStr">
        <is>
          <t>JÄMTLANDS LÄN</t>
        </is>
      </c>
      <c r="E1240" t="inlineStr">
        <is>
          <t>RAGUNDA</t>
        </is>
      </c>
      <c r="F1240" t="inlineStr">
        <is>
          <t>SCA</t>
        </is>
      </c>
      <c r="G1240" t="n">
        <v>40.6</v>
      </c>
      <c r="H1240" t="n">
        <v>0</v>
      </c>
      <c r="I1240" t="n">
        <v>0</v>
      </c>
      <c r="J1240" t="n">
        <v>0</v>
      </c>
      <c r="K1240" t="n">
        <v>0</v>
      </c>
      <c r="L1240" t="n">
        <v>0</v>
      </c>
      <c r="M1240" t="n">
        <v>0</v>
      </c>
      <c r="N1240" t="n">
        <v>0</v>
      </c>
      <c r="O1240" t="n">
        <v>0</v>
      </c>
      <c r="P1240" t="n">
        <v>0</v>
      </c>
      <c r="Q1240" t="n">
        <v>0</v>
      </c>
      <c r="R1240" s="2" t="inlineStr"/>
    </row>
    <row r="1241" ht="15" customHeight="1">
      <c r="A1241" t="inlineStr">
        <is>
          <t>A 41402-2023</t>
        </is>
      </c>
      <c r="B1241" s="1" t="n">
        <v>45175</v>
      </c>
      <c r="C1241" s="1" t="n">
        <v>45826</v>
      </c>
      <c r="D1241" t="inlineStr">
        <is>
          <t>JÄMTLANDS LÄN</t>
        </is>
      </c>
      <c r="E1241" t="inlineStr">
        <is>
          <t>RAGUNDA</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42295-2023</t>
        </is>
      </c>
      <c r="B1242" s="1" t="n">
        <v>45175</v>
      </c>
      <c r="C1242" s="1" t="n">
        <v>45826</v>
      </c>
      <c r="D1242" t="inlineStr">
        <is>
          <t>JÄMTLANDS LÄN</t>
        </is>
      </c>
      <c r="E1242" t="inlineStr">
        <is>
          <t>RAGUNDA</t>
        </is>
      </c>
      <c r="F1242" t="inlineStr">
        <is>
          <t>Kommuner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41656-2023</t>
        </is>
      </c>
      <c r="B1243" s="1" t="n">
        <v>45175</v>
      </c>
      <c r="C1243" s="1" t="n">
        <v>45826</v>
      </c>
      <c r="D1243" t="inlineStr">
        <is>
          <t>JÄMTLANDS LÄN</t>
        </is>
      </c>
      <c r="E1243" t="inlineStr">
        <is>
          <t>RAGUNDA</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41693-2023</t>
        </is>
      </c>
      <c r="B1244" s="1" t="n">
        <v>45176</v>
      </c>
      <c r="C1244" s="1" t="n">
        <v>45826</v>
      </c>
      <c r="D1244" t="inlineStr">
        <is>
          <t>JÄMTLANDS LÄN</t>
        </is>
      </c>
      <c r="E1244" t="inlineStr">
        <is>
          <t>RAGUNDA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41766-2023</t>
        </is>
      </c>
      <c r="B1245" s="1" t="n">
        <v>45176</v>
      </c>
      <c r="C1245" s="1" t="n">
        <v>45826</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41905-2023</t>
        </is>
      </c>
      <c r="B1246" s="1" t="n">
        <v>45176</v>
      </c>
      <c r="C1246" s="1" t="n">
        <v>45826</v>
      </c>
      <c r="D1246" t="inlineStr">
        <is>
          <t>JÄMTLANDS LÄN</t>
        </is>
      </c>
      <c r="E1246" t="inlineStr">
        <is>
          <t>RAGUNDA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42149-2023</t>
        </is>
      </c>
      <c r="B1247" s="1" t="n">
        <v>45177</v>
      </c>
      <c r="C1247" s="1" t="n">
        <v>45826</v>
      </c>
      <c r="D1247" t="inlineStr">
        <is>
          <t>JÄMTLANDS LÄN</t>
        </is>
      </c>
      <c r="E1247" t="inlineStr">
        <is>
          <t>RAGUNDA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42510-2023</t>
        </is>
      </c>
      <c r="B1248" s="1" t="n">
        <v>45181</v>
      </c>
      <c r="C1248" s="1" t="n">
        <v>45826</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42509-2023</t>
        </is>
      </c>
      <c r="B1249" s="1" t="n">
        <v>45180</v>
      </c>
      <c r="C1249" s="1" t="n">
        <v>45826</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42508-2023</t>
        </is>
      </c>
      <c r="B1250" s="1" t="n">
        <v>45181</v>
      </c>
      <c r="C1250" s="1" t="n">
        <v>45826</v>
      </c>
      <c r="D1250" t="inlineStr">
        <is>
          <t>JÄMTLANDS LÄN</t>
        </is>
      </c>
      <c r="E1250" t="inlineStr">
        <is>
          <t>RAGUNDA</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43607-2023</t>
        </is>
      </c>
      <c r="B1251" s="1" t="n">
        <v>45181</v>
      </c>
      <c r="C1251" s="1" t="n">
        <v>45826</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43102-2023</t>
        </is>
      </c>
      <c r="B1252" s="1" t="n">
        <v>45182</v>
      </c>
      <c r="C1252" s="1" t="n">
        <v>45826</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43122-2023</t>
        </is>
      </c>
      <c r="B1253" s="1" t="n">
        <v>45183</v>
      </c>
      <c r="C1253" s="1" t="n">
        <v>45826</v>
      </c>
      <c r="D1253" t="inlineStr">
        <is>
          <t>JÄMTLANDS LÄN</t>
        </is>
      </c>
      <c r="E1253" t="inlineStr">
        <is>
          <t>RAGUNDA</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43132-2023</t>
        </is>
      </c>
      <c r="B1254" s="1" t="n">
        <v>45182</v>
      </c>
      <c r="C1254" s="1" t="n">
        <v>45826</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43926-2023</t>
        </is>
      </c>
      <c r="B1255" s="1" t="n">
        <v>45182</v>
      </c>
      <c r="C1255" s="1" t="n">
        <v>45826</v>
      </c>
      <c r="D1255" t="inlineStr">
        <is>
          <t>JÄMTLANDS LÄN</t>
        </is>
      </c>
      <c r="E1255" t="inlineStr">
        <is>
          <t>RAGUNDA</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43405-2023</t>
        </is>
      </c>
      <c r="B1256" s="1" t="n">
        <v>45184</v>
      </c>
      <c r="C1256" s="1" t="n">
        <v>45826</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43409-2023</t>
        </is>
      </c>
      <c r="B1257" s="1" t="n">
        <v>45184</v>
      </c>
      <c r="C1257" s="1" t="n">
        <v>45826</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44630-2023</t>
        </is>
      </c>
      <c r="B1258" s="1" t="n">
        <v>45184</v>
      </c>
      <c r="C1258" s="1" t="n">
        <v>45826</v>
      </c>
      <c r="D1258" t="inlineStr">
        <is>
          <t>JÄMTLANDS LÄN</t>
        </is>
      </c>
      <c r="E1258" t="inlineStr">
        <is>
          <t>RAGUNDA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45826</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45257-2023</t>
        </is>
      </c>
      <c r="B1260" s="1" t="n">
        <v>45187</v>
      </c>
      <c r="C1260" s="1" t="n">
        <v>45826</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45253-2023</t>
        </is>
      </c>
      <c r="B1261" s="1" t="n">
        <v>45187</v>
      </c>
      <c r="C1261" s="1" t="n">
        <v>45826</v>
      </c>
      <c r="D1261" t="inlineStr">
        <is>
          <t>JÄMTLANDS LÄN</t>
        </is>
      </c>
      <c r="E1261" t="inlineStr">
        <is>
          <t>RAGUNDA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44987-2023</t>
        </is>
      </c>
      <c r="B1262" s="1" t="n">
        <v>45191</v>
      </c>
      <c r="C1262" s="1" t="n">
        <v>45826</v>
      </c>
      <c r="D1262" t="inlineStr">
        <is>
          <t>JÄMTLANDS LÄN</t>
        </is>
      </c>
      <c r="E1262" t="inlineStr">
        <is>
          <t>RAGUNDA</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44999-2023</t>
        </is>
      </c>
      <c r="B1263" s="1" t="n">
        <v>45191</v>
      </c>
      <c r="C1263" s="1" t="n">
        <v>45826</v>
      </c>
      <c r="D1263" t="inlineStr">
        <is>
          <t>JÄMTLANDS LÄN</t>
        </is>
      </c>
      <c r="E1263" t="inlineStr">
        <is>
          <t>RAGUNDA</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44980-2023</t>
        </is>
      </c>
      <c r="B1264" s="1" t="n">
        <v>45190</v>
      </c>
      <c r="C1264" s="1" t="n">
        <v>45826</v>
      </c>
      <c r="D1264" t="inlineStr">
        <is>
          <t>JÄMTLANDS LÄN</t>
        </is>
      </c>
      <c r="E1264" t="inlineStr">
        <is>
          <t>RAGUNDA</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44988-2023</t>
        </is>
      </c>
      <c r="B1265" s="1" t="n">
        <v>45190</v>
      </c>
      <c r="C1265" s="1" t="n">
        <v>45826</v>
      </c>
      <c r="D1265" t="inlineStr">
        <is>
          <t>JÄMTLANDS LÄN</t>
        </is>
      </c>
      <c r="E1265" t="inlineStr">
        <is>
          <t>RAGUNDA</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44996-2023</t>
        </is>
      </c>
      <c r="B1266" s="1" t="n">
        <v>45191</v>
      </c>
      <c r="C1266" s="1" t="n">
        <v>45826</v>
      </c>
      <c r="D1266" t="inlineStr">
        <is>
          <t>JÄMTLANDS LÄN</t>
        </is>
      </c>
      <c r="E1266" t="inlineStr">
        <is>
          <t>RAGUNDA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45020-2023</t>
        </is>
      </c>
      <c r="B1267" s="1" t="n">
        <v>45191</v>
      </c>
      <c r="C1267" s="1" t="n">
        <v>45826</v>
      </c>
      <c r="D1267" t="inlineStr">
        <is>
          <t>JÄMTLANDS LÄN</t>
        </is>
      </c>
      <c r="E1267" t="inlineStr">
        <is>
          <t>RAGUNDA</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44997-2023</t>
        </is>
      </c>
      <c r="B1268" s="1" t="n">
        <v>45191</v>
      </c>
      <c r="C1268" s="1" t="n">
        <v>45826</v>
      </c>
      <c r="D1268" t="inlineStr">
        <is>
          <t>JÄMTLANDS LÄN</t>
        </is>
      </c>
      <c r="E1268" t="inlineStr">
        <is>
          <t>RAGUNDA</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45336-2023</t>
        </is>
      </c>
      <c r="B1269" s="1" t="n">
        <v>45192</v>
      </c>
      <c r="C1269" s="1" t="n">
        <v>45826</v>
      </c>
      <c r="D1269" t="inlineStr">
        <is>
          <t>JÄMTLANDS LÄN</t>
        </is>
      </c>
      <c r="E1269" t="inlineStr">
        <is>
          <t>RAGUNDA</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45335-2023</t>
        </is>
      </c>
      <c r="B1270" s="1" t="n">
        <v>45191</v>
      </c>
      <c r="C1270" s="1" t="n">
        <v>45826</v>
      </c>
      <c r="D1270" t="inlineStr">
        <is>
          <t>JÄMTLANDS LÄN</t>
        </is>
      </c>
      <c r="E1270" t="inlineStr">
        <is>
          <t>RAGUNDA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45338-2023</t>
        </is>
      </c>
      <c r="B1271" s="1" t="n">
        <v>45192</v>
      </c>
      <c r="C1271" s="1" t="n">
        <v>45826</v>
      </c>
      <c r="D1271" t="inlineStr">
        <is>
          <t>JÄMTLANDS LÄN</t>
        </is>
      </c>
      <c r="E1271" t="inlineStr">
        <is>
          <t>RAGUNDA</t>
        </is>
      </c>
      <c r="F1271" t="inlineStr">
        <is>
          <t>SCA</t>
        </is>
      </c>
      <c r="G1271" t="n">
        <v>23.4</v>
      </c>
      <c r="H1271" t="n">
        <v>0</v>
      </c>
      <c r="I1271" t="n">
        <v>0</v>
      </c>
      <c r="J1271" t="n">
        <v>0</v>
      </c>
      <c r="K1271" t="n">
        <v>0</v>
      </c>
      <c r="L1271" t="n">
        <v>0</v>
      </c>
      <c r="M1271" t="n">
        <v>0</v>
      </c>
      <c r="N1271" t="n">
        <v>0</v>
      </c>
      <c r="O1271" t="n">
        <v>0</v>
      </c>
      <c r="P1271" t="n">
        <v>0</v>
      </c>
      <c r="Q1271" t="n">
        <v>0</v>
      </c>
      <c r="R1271" s="2" t="inlineStr"/>
    </row>
    <row r="1272" ht="15" customHeight="1">
      <c r="A1272" t="inlineStr">
        <is>
          <t>A 45953-2023</t>
        </is>
      </c>
      <c r="B1272" s="1" t="n">
        <v>45196</v>
      </c>
      <c r="C1272" s="1" t="n">
        <v>45826</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45974-2023</t>
        </is>
      </c>
      <c r="B1273" s="1" t="n">
        <v>45196</v>
      </c>
      <c r="C1273" s="1" t="n">
        <v>45826</v>
      </c>
      <c r="D1273" t="inlineStr">
        <is>
          <t>JÄMTLANDS LÄN</t>
        </is>
      </c>
      <c r="E1273" t="inlineStr">
        <is>
          <t>RAGUNDA</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45954-2023</t>
        </is>
      </c>
      <c r="B1274" s="1" t="n">
        <v>45196</v>
      </c>
      <c r="C1274" s="1" t="n">
        <v>45826</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45952-2023</t>
        </is>
      </c>
      <c r="B1275" s="1" t="n">
        <v>45195</v>
      </c>
      <c r="C1275" s="1" t="n">
        <v>45826</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45955-2023</t>
        </is>
      </c>
      <c r="B1276" s="1" t="n">
        <v>45196</v>
      </c>
      <c r="C1276" s="1" t="n">
        <v>45826</v>
      </c>
      <c r="D1276" t="inlineStr">
        <is>
          <t>JÄMTLANDS LÄN</t>
        </is>
      </c>
      <c r="E1276" t="inlineStr">
        <is>
          <t>RAGUNDA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47319-2023</t>
        </is>
      </c>
      <c r="B1277" s="1" t="n">
        <v>45196</v>
      </c>
      <c r="C1277" s="1" t="n">
        <v>45826</v>
      </c>
      <c r="D1277" t="inlineStr">
        <is>
          <t>JÄMTLANDS LÄN</t>
        </is>
      </c>
      <c r="E1277" t="inlineStr">
        <is>
          <t>RAGUNDA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46536-2023</t>
        </is>
      </c>
      <c r="B1278" s="1" t="n">
        <v>45198</v>
      </c>
      <c r="C1278" s="1" t="n">
        <v>45826</v>
      </c>
      <c r="D1278" t="inlineStr">
        <is>
          <t>JÄMTLANDS LÄN</t>
        </is>
      </c>
      <c r="E1278" t="inlineStr">
        <is>
          <t>RAGUNDA</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46549-2023</t>
        </is>
      </c>
      <c r="B1279" s="1" t="n">
        <v>45198</v>
      </c>
      <c r="C1279" s="1" t="n">
        <v>45826</v>
      </c>
      <c r="D1279" t="inlineStr">
        <is>
          <t>JÄMTLANDS LÄN</t>
        </is>
      </c>
      <c r="E1279" t="inlineStr">
        <is>
          <t>RAGUNDA</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46537-2023</t>
        </is>
      </c>
      <c r="B1280" s="1" t="n">
        <v>45197</v>
      </c>
      <c r="C1280" s="1" t="n">
        <v>45826</v>
      </c>
      <c r="D1280" t="inlineStr">
        <is>
          <t>JÄMTLANDS LÄN</t>
        </is>
      </c>
      <c r="E1280" t="inlineStr">
        <is>
          <t>RAGUNDA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46546-2023</t>
        </is>
      </c>
      <c r="B1281" s="1" t="n">
        <v>45198</v>
      </c>
      <c r="C1281" s="1" t="n">
        <v>45826</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47444-2023</t>
        </is>
      </c>
      <c r="B1282" s="1" t="n">
        <v>45197</v>
      </c>
      <c r="C1282" s="1" t="n">
        <v>45826</v>
      </c>
      <c r="D1282" t="inlineStr">
        <is>
          <t>JÄMTLANDS LÄN</t>
        </is>
      </c>
      <c r="E1282" t="inlineStr">
        <is>
          <t>RAGUNDA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46817-2023</t>
        </is>
      </c>
      <c r="B1283" s="1" t="n">
        <v>45199</v>
      </c>
      <c r="C1283" s="1" t="n">
        <v>45826</v>
      </c>
      <c r="D1283" t="inlineStr">
        <is>
          <t>JÄMTLANDS LÄN</t>
        </is>
      </c>
      <c r="E1283" t="inlineStr">
        <is>
          <t>RAGUNDA</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46806-2023</t>
        </is>
      </c>
      <c r="B1284" s="1" t="n">
        <v>45199</v>
      </c>
      <c r="C1284" s="1" t="n">
        <v>45826</v>
      </c>
      <c r="D1284" t="inlineStr">
        <is>
          <t>JÄMTLANDS LÄN</t>
        </is>
      </c>
      <c r="E1284" t="inlineStr">
        <is>
          <t>RAGUNDA</t>
        </is>
      </c>
      <c r="F1284" t="inlineStr">
        <is>
          <t>SCA</t>
        </is>
      </c>
      <c r="G1284" t="n">
        <v>39.8</v>
      </c>
      <c r="H1284" t="n">
        <v>0</v>
      </c>
      <c r="I1284" t="n">
        <v>0</v>
      </c>
      <c r="J1284" t="n">
        <v>0</v>
      </c>
      <c r="K1284" t="n">
        <v>0</v>
      </c>
      <c r="L1284" t="n">
        <v>0</v>
      </c>
      <c r="M1284" t="n">
        <v>0</v>
      </c>
      <c r="N1284" t="n">
        <v>0</v>
      </c>
      <c r="O1284" t="n">
        <v>0</v>
      </c>
      <c r="P1284" t="n">
        <v>0</v>
      </c>
      <c r="Q1284" t="n">
        <v>0</v>
      </c>
      <c r="R1284" s="2" t="inlineStr"/>
    </row>
    <row r="1285" ht="15" customHeight="1">
      <c r="A1285" t="inlineStr">
        <is>
          <t>A 47168-2023</t>
        </is>
      </c>
      <c r="B1285" s="1" t="n">
        <v>45201</v>
      </c>
      <c r="C1285" s="1" t="n">
        <v>45826</v>
      </c>
      <c r="D1285" t="inlineStr">
        <is>
          <t>JÄMTLANDS LÄN</t>
        </is>
      </c>
      <c r="E1285" t="inlineStr">
        <is>
          <t>RAGUNDA</t>
        </is>
      </c>
      <c r="F1285" t="inlineStr">
        <is>
          <t>SCA</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47173-2023</t>
        </is>
      </c>
      <c r="B1286" s="1" t="n">
        <v>45202</v>
      </c>
      <c r="C1286" s="1" t="n">
        <v>45826</v>
      </c>
      <c r="D1286" t="inlineStr">
        <is>
          <t>JÄMTLANDS LÄN</t>
        </is>
      </c>
      <c r="E1286" t="inlineStr">
        <is>
          <t>RAGUNDA</t>
        </is>
      </c>
      <c r="F1286" t="inlineStr">
        <is>
          <t>SCA</t>
        </is>
      </c>
      <c r="G1286" t="n">
        <v>21.5</v>
      </c>
      <c r="H1286" t="n">
        <v>0</v>
      </c>
      <c r="I1286" t="n">
        <v>0</v>
      </c>
      <c r="J1286" t="n">
        <v>0</v>
      </c>
      <c r="K1286" t="n">
        <v>0</v>
      </c>
      <c r="L1286" t="n">
        <v>0</v>
      </c>
      <c r="M1286" t="n">
        <v>0</v>
      </c>
      <c r="N1286" t="n">
        <v>0</v>
      </c>
      <c r="O1286" t="n">
        <v>0</v>
      </c>
      <c r="P1286" t="n">
        <v>0</v>
      </c>
      <c r="Q1286" t="n">
        <v>0</v>
      </c>
      <c r="R1286" s="2" t="inlineStr"/>
    </row>
    <row r="1287" ht="15" customHeight="1">
      <c r="A1287" t="inlineStr">
        <is>
          <t>A 48065-2023</t>
        </is>
      </c>
      <c r="B1287" s="1" t="n">
        <v>45205</v>
      </c>
      <c r="C1287" s="1" t="n">
        <v>45826</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48066-2023</t>
        </is>
      </c>
      <c r="B1288" s="1" t="n">
        <v>45205</v>
      </c>
      <c r="C1288" s="1" t="n">
        <v>45826</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48421-2023</t>
        </is>
      </c>
      <c r="B1289" s="1" t="n">
        <v>45205</v>
      </c>
      <c r="C1289" s="1" t="n">
        <v>45826</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48469-2023</t>
        </is>
      </c>
      <c r="B1290" s="1" t="n">
        <v>45207</v>
      </c>
      <c r="C1290" s="1" t="n">
        <v>45826</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50160-2023</t>
        </is>
      </c>
      <c r="B1291" s="1" t="n">
        <v>45208</v>
      </c>
      <c r="C1291" s="1" t="n">
        <v>45826</v>
      </c>
      <c r="D1291" t="inlineStr">
        <is>
          <t>JÄMTLANDS LÄN</t>
        </is>
      </c>
      <c r="E1291" t="inlineStr">
        <is>
          <t>RAGUNDA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50157-2023</t>
        </is>
      </c>
      <c r="B1292" s="1" t="n">
        <v>45208</v>
      </c>
      <c r="C1292" s="1" t="n">
        <v>45826</v>
      </c>
      <c r="D1292" t="inlineStr">
        <is>
          <t>JÄMTLANDS LÄN</t>
        </is>
      </c>
      <c r="E1292" t="inlineStr">
        <is>
          <t>RAGUNDA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50658-2023</t>
        </is>
      </c>
      <c r="B1293" s="1" t="n">
        <v>45210</v>
      </c>
      <c r="C1293" s="1" t="n">
        <v>45826</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50650-2023</t>
        </is>
      </c>
      <c r="B1294" s="1" t="n">
        <v>45210</v>
      </c>
      <c r="C1294" s="1" t="n">
        <v>45826</v>
      </c>
      <c r="D1294" t="inlineStr">
        <is>
          <t>JÄMTLANDS LÄN</t>
        </is>
      </c>
      <c r="E1294" t="inlineStr">
        <is>
          <t>RAGUNDA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49650-2023</t>
        </is>
      </c>
      <c r="B1295" s="1" t="n">
        <v>45212</v>
      </c>
      <c r="C1295" s="1" t="n">
        <v>45826</v>
      </c>
      <c r="D1295" t="inlineStr">
        <is>
          <t>JÄMTLANDS LÄN</t>
        </is>
      </c>
      <c r="E1295" t="inlineStr">
        <is>
          <t>RAGUNDA</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49648-2023</t>
        </is>
      </c>
      <c r="B1296" s="1" t="n">
        <v>45212</v>
      </c>
      <c r="C1296" s="1" t="n">
        <v>45826</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49659-2023</t>
        </is>
      </c>
      <c r="B1297" s="1" t="n">
        <v>45212</v>
      </c>
      <c r="C1297" s="1" t="n">
        <v>45826</v>
      </c>
      <c r="D1297" t="inlineStr">
        <is>
          <t>JÄMTLANDS LÄN</t>
        </is>
      </c>
      <c r="E1297" t="inlineStr">
        <is>
          <t>RAGUNDA</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50211-2023</t>
        </is>
      </c>
      <c r="B1298" s="1" t="n">
        <v>45216</v>
      </c>
      <c r="C1298" s="1" t="n">
        <v>45826</v>
      </c>
      <c r="D1298" t="inlineStr">
        <is>
          <t>JÄMTLANDS LÄN</t>
        </is>
      </c>
      <c r="E1298" t="inlineStr">
        <is>
          <t>RAGUNDA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51503-2023</t>
        </is>
      </c>
      <c r="B1299" s="1" t="n">
        <v>45215</v>
      </c>
      <c r="C1299" s="1" t="n">
        <v>45826</v>
      </c>
      <c r="D1299" t="inlineStr">
        <is>
          <t>JÄMTLANDS LÄN</t>
        </is>
      </c>
      <c r="E1299" t="inlineStr">
        <is>
          <t>RAGUNDA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51646-2023</t>
        </is>
      </c>
      <c r="B1300" s="1" t="n">
        <v>45215</v>
      </c>
      <c r="C1300" s="1" t="n">
        <v>45826</v>
      </c>
      <c r="D1300" t="inlineStr">
        <is>
          <t>JÄMTLANDS LÄN</t>
        </is>
      </c>
      <c r="E1300" t="inlineStr">
        <is>
          <t>RAGUNDA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50486-2023</t>
        </is>
      </c>
      <c r="B1301" s="1" t="n">
        <v>45217</v>
      </c>
      <c r="C1301" s="1" t="n">
        <v>45826</v>
      </c>
      <c r="D1301" t="inlineStr">
        <is>
          <t>JÄMTLANDS LÄN</t>
        </is>
      </c>
      <c r="E1301" t="inlineStr">
        <is>
          <t>RAGUNDA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50485-2023</t>
        </is>
      </c>
      <c r="B1302" s="1" t="n">
        <v>45217</v>
      </c>
      <c r="C1302" s="1" t="n">
        <v>45826</v>
      </c>
      <c r="D1302" t="inlineStr">
        <is>
          <t>JÄMTLANDS LÄN</t>
        </is>
      </c>
      <c r="E1302" t="inlineStr">
        <is>
          <t>RAGUNDA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50487-2023</t>
        </is>
      </c>
      <c r="B1303" s="1" t="n">
        <v>45217</v>
      </c>
      <c r="C1303" s="1" t="n">
        <v>45826</v>
      </c>
      <c r="D1303" t="inlineStr">
        <is>
          <t>JÄMTLANDS LÄN</t>
        </is>
      </c>
      <c r="E1303" t="inlineStr">
        <is>
          <t>RAGUNDA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50483-2023</t>
        </is>
      </c>
      <c r="B1304" s="1" t="n">
        <v>45217</v>
      </c>
      <c r="C1304" s="1" t="n">
        <v>45826</v>
      </c>
      <c r="D1304" t="inlineStr">
        <is>
          <t>JÄMTLANDS LÄN</t>
        </is>
      </c>
      <c r="E1304" t="inlineStr">
        <is>
          <t>RAGUNDA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50484-2023</t>
        </is>
      </c>
      <c r="B1305" s="1" t="n">
        <v>45217</v>
      </c>
      <c r="C1305" s="1" t="n">
        <v>45826</v>
      </c>
      <c r="D1305" t="inlineStr">
        <is>
          <t>JÄMTLANDS LÄN</t>
        </is>
      </c>
      <c r="E1305" t="inlineStr">
        <is>
          <t>RAGUNDA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50831-2023</t>
        </is>
      </c>
      <c r="B1306" s="1" t="n">
        <v>45217</v>
      </c>
      <c r="C1306" s="1" t="n">
        <v>45826</v>
      </c>
      <c r="D1306" t="inlineStr">
        <is>
          <t>JÄMTLANDS LÄN</t>
        </is>
      </c>
      <c r="E1306" t="inlineStr">
        <is>
          <t>RAGUNDA</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50832-2023</t>
        </is>
      </c>
      <c r="B1307" s="1" t="n">
        <v>45218</v>
      </c>
      <c r="C1307" s="1" t="n">
        <v>45826</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50848-2023</t>
        </is>
      </c>
      <c r="B1308" s="1" t="n">
        <v>45217</v>
      </c>
      <c r="C1308" s="1" t="n">
        <v>45826</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52195-2023</t>
        </is>
      </c>
      <c r="B1309" s="1" t="n">
        <v>45217</v>
      </c>
      <c r="C1309" s="1" t="n">
        <v>45826</v>
      </c>
      <c r="D1309" t="inlineStr">
        <is>
          <t>JÄMTLANDS LÄN</t>
        </is>
      </c>
      <c r="E1309" t="inlineStr">
        <is>
          <t>RAGUNDA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50847-2023</t>
        </is>
      </c>
      <c r="B1310" s="1" t="n">
        <v>45217</v>
      </c>
      <c r="C1310" s="1" t="n">
        <v>45826</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52550-2023</t>
        </is>
      </c>
      <c r="B1311" s="1" t="n">
        <v>45218</v>
      </c>
      <c r="C1311" s="1" t="n">
        <v>45826</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52544-2023</t>
        </is>
      </c>
      <c r="B1312" s="1" t="n">
        <v>45218</v>
      </c>
      <c r="C1312" s="1" t="n">
        <v>45826</v>
      </c>
      <c r="D1312" t="inlineStr">
        <is>
          <t>JÄMTLANDS LÄN</t>
        </is>
      </c>
      <c r="E1312" t="inlineStr">
        <is>
          <t>RAGUNDA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52631-2023</t>
        </is>
      </c>
      <c r="B1313" s="1" t="n">
        <v>45219</v>
      </c>
      <c r="C1313" s="1" t="n">
        <v>45826</v>
      </c>
      <c r="D1313" t="inlineStr">
        <is>
          <t>JÄMTLANDS LÄN</t>
        </is>
      </c>
      <c r="E1313" t="inlineStr">
        <is>
          <t>RAGUNDA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52622-2023</t>
        </is>
      </c>
      <c r="B1314" s="1" t="n">
        <v>45219</v>
      </c>
      <c r="C1314" s="1" t="n">
        <v>45826</v>
      </c>
      <c r="D1314" t="inlineStr">
        <is>
          <t>JÄMTLANDS LÄN</t>
        </is>
      </c>
      <c r="E1314" t="inlineStr">
        <is>
          <t>RAGUNDA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51435-2023</t>
        </is>
      </c>
      <c r="B1315" s="1" t="n">
        <v>45220</v>
      </c>
      <c r="C1315" s="1" t="n">
        <v>45826</v>
      </c>
      <c r="D1315" t="inlineStr">
        <is>
          <t>JÄMTLANDS LÄN</t>
        </is>
      </c>
      <c r="E1315" t="inlineStr">
        <is>
          <t>RAGUNDA</t>
        </is>
      </c>
      <c r="F1315" t="inlineStr">
        <is>
          <t>SCA</t>
        </is>
      </c>
      <c r="G1315" t="n">
        <v>39.6</v>
      </c>
      <c r="H1315" t="n">
        <v>0</v>
      </c>
      <c r="I1315" t="n">
        <v>0</v>
      </c>
      <c r="J1315" t="n">
        <v>0</v>
      </c>
      <c r="K1315" t="n">
        <v>0</v>
      </c>
      <c r="L1315" t="n">
        <v>0</v>
      </c>
      <c r="M1315" t="n">
        <v>0</v>
      </c>
      <c r="N1315" t="n">
        <v>0</v>
      </c>
      <c r="O1315" t="n">
        <v>0</v>
      </c>
      <c r="P1315" t="n">
        <v>0</v>
      </c>
      <c r="Q1315" t="n">
        <v>0</v>
      </c>
      <c r="R1315" s="2" t="inlineStr"/>
    </row>
    <row r="1316" ht="15" customHeight="1">
      <c r="A1316" t="inlineStr">
        <is>
          <t>A 51209-2023</t>
        </is>
      </c>
      <c r="B1316" s="1" t="n">
        <v>45219</v>
      </c>
      <c r="C1316" s="1" t="n">
        <v>45826</v>
      </c>
      <c r="D1316" t="inlineStr">
        <is>
          <t>JÄMTLANDS LÄN</t>
        </is>
      </c>
      <c r="E1316" t="inlineStr">
        <is>
          <t>RAGUNDA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51807-2023</t>
        </is>
      </c>
      <c r="B1317" s="1" t="n">
        <v>45223</v>
      </c>
      <c r="C1317" s="1" t="n">
        <v>45826</v>
      </c>
      <c r="D1317" t="inlineStr">
        <is>
          <t>JÄMTLANDS LÄN</t>
        </is>
      </c>
      <c r="E1317" t="inlineStr">
        <is>
          <t>RAGUNDA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52878-2023</t>
        </is>
      </c>
      <c r="B1318" s="1" t="n">
        <v>45222</v>
      </c>
      <c r="C1318" s="1" t="n">
        <v>45826</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53019-2023</t>
        </is>
      </c>
      <c r="B1319" s="1" t="n">
        <v>45222</v>
      </c>
      <c r="C1319" s="1" t="n">
        <v>45826</v>
      </c>
      <c r="D1319" t="inlineStr">
        <is>
          <t>JÄMTLANDS LÄN</t>
        </is>
      </c>
      <c r="E1319" t="inlineStr">
        <is>
          <t>RAGUNDA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53347-2023</t>
        </is>
      </c>
      <c r="B1320" s="1" t="n">
        <v>45223</v>
      </c>
      <c r="C1320" s="1" t="n">
        <v>45826</v>
      </c>
      <c r="D1320" t="inlineStr">
        <is>
          <t>JÄMTLANDS LÄN</t>
        </is>
      </c>
      <c r="E1320" t="inlineStr">
        <is>
          <t>RAGUNDA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53860-2023</t>
        </is>
      </c>
      <c r="B1321" s="1" t="n">
        <v>45224</v>
      </c>
      <c r="C1321" s="1" t="n">
        <v>45826</v>
      </c>
      <c r="D1321" t="inlineStr">
        <is>
          <t>JÄMTLANDS LÄN</t>
        </is>
      </c>
      <c r="E1321" t="inlineStr">
        <is>
          <t>RAGUNDA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53847-2023</t>
        </is>
      </c>
      <c r="B1322" s="1" t="n">
        <v>45224</v>
      </c>
      <c r="C1322" s="1" t="n">
        <v>45826</v>
      </c>
      <c r="D1322" t="inlineStr">
        <is>
          <t>JÄMTLANDS LÄN</t>
        </is>
      </c>
      <c r="E1322" t="inlineStr">
        <is>
          <t>RAGUNDA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53455-2023</t>
        </is>
      </c>
      <c r="B1323" s="1" t="n">
        <v>45230</v>
      </c>
      <c r="C1323" s="1" t="n">
        <v>45826</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53762-2023</t>
        </is>
      </c>
      <c r="B1324" s="1" t="n">
        <v>45231</v>
      </c>
      <c r="C1324" s="1" t="n">
        <v>45826</v>
      </c>
      <c r="D1324" t="inlineStr">
        <is>
          <t>JÄMTLANDS LÄN</t>
        </is>
      </c>
      <c r="E1324" t="inlineStr">
        <is>
          <t>RAGUNDA</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53766-2023</t>
        </is>
      </c>
      <c r="B1325" s="1" t="n">
        <v>45231</v>
      </c>
      <c r="C1325" s="1" t="n">
        <v>45826</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53769-2023</t>
        </is>
      </c>
      <c r="B1326" s="1" t="n">
        <v>45230</v>
      </c>
      <c r="C1326" s="1" t="n">
        <v>45826</v>
      </c>
      <c r="D1326" t="inlineStr">
        <is>
          <t>JÄMTLANDS LÄN</t>
        </is>
      </c>
      <c r="E1326" t="inlineStr">
        <is>
          <t>RAGUNDA</t>
        </is>
      </c>
      <c r="F1326" t="inlineStr">
        <is>
          <t>SCA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55250-2023</t>
        </is>
      </c>
      <c r="B1327" s="1" t="n">
        <v>45231</v>
      </c>
      <c r="C1327" s="1" t="n">
        <v>45826</v>
      </c>
      <c r="D1327" t="inlineStr">
        <is>
          <t>JÄMTLANDS LÄN</t>
        </is>
      </c>
      <c r="E1327" t="inlineStr">
        <is>
          <t>RAGUNDA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54322-2023</t>
        </is>
      </c>
      <c r="B1328" s="1" t="n">
        <v>45232</v>
      </c>
      <c r="C1328" s="1" t="n">
        <v>45826</v>
      </c>
      <c r="D1328" t="inlineStr">
        <is>
          <t>JÄMTLANDS LÄN</t>
        </is>
      </c>
      <c r="E1328" t="inlineStr">
        <is>
          <t>RAGUNDA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54321-2023</t>
        </is>
      </c>
      <c r="B1329" s="1" t="n">
        <v>45232</v>
      </c>
      <c r="C1329" s="1" t="n">
        <v>45826</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54599-2023</t>
        </is>
      </c>
      <c r="B1330" s="1" t="n">
        <v>45233</v>
      </c>
      <c r="C1330" s="1" t="n">
        <v>45826</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56338-2023</t>
        </is>
      </c>
      <c r="B1331" s="1" t="n">
        <v>45236</v>
      </c>
      <c r="C1331" s="1" t="n">
        <v>45826</v>
      </c>
      <c r="D1331" t="inlineStr">
        <is>
          <t>JÄMTLANDS LÄN</t>
        </is>
      </c>
      <c r="E1331" t="inlineStr">
        <is>
          <t>RAGUNDA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56331-2023</t>
        </is>
      </c>
      <c r="B1332" s="1" t="n">
        <v>45236</v>
      </c>
      <c r="C1332" s="1" t="n">
        <v>45826</v>
      </c>
      <c r="D1332" t="inlineStr">
        <is>
          <t>JÄMTLANDS LÄN</t>
        </is>
      </c>
      <c r="E1332" t="inlineStr">
        <is>
          <t>RAGUNDA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56343-2023</t>
        </is>
      </c>
      <c r="B1333" s="1" t="n">
        <v>45236</v>
      </c>
      <c r="C1333" s="1" t="n">
        <v>45826</v>
      </c>
      <c r="D1333" t="inlineStr">
        <is>
          <t>JÄMTLANDS LÄN</t>
        </is>
      </c>
      <c r="E1333" t="inlineStr">
        <is>
          <t>RAGUNDA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56351-2023</t>
        </is>
      </c>
      <c r="B1334" s="1" t="n">
        <v>45236</v>
      </c>
      <c r="C1334" s="1" t="n">
        <v>45826</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55649-2023</t>
        </is>
      </c>
      <c r="B1335" s="1" t="n">
        <v>45238</v>
      </c>
      <c r="C1335" s="1" t="n">
        <v>45826</v>
      </c>
      <c r="D1335" t="inlineStr">
        <is>
          <t>JÄMTLANDS LÄN</t>
        </is>
      </c>
      <c r="E1335" t="inlineStr">
        <is>
          <t>RAGUNDA</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55669-2023</t>
        </is>
      </c>
      <c r="B1336" s="1" t="n">
        <v>45239</v>
      </c>
      <c r="C1336" s="1" t="n">
        <v>45826</v>
      </c>
      <c r="D1336" t="inlineStr">
        <is>
          <t>JÄMTLANDS LÄN</t>
        </is>
      </c>
      <c r="E1336" t="inlineStr">
        <is>
          <t>RAGUNDA</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56618-2023</t>
        </is>
      </c>
      <c r="B1337" s="1" t="n">
        <v>45238</v>
      </c>
      <c r="C1337" s="1" t="n">
        <v>45826</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55487-2023</t>
        </is>
      </c>
      <c r="B1338" s="1" t="n">
        <v>45238</v>
      </c>
      <c r="C1338" s="1" t="n">
        <v>45826</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57433-2023</t>
        </is>
      </c>
      <c r="B1339" s="1" t="n">
        <v>45240</v>
      </c>
      <c r="C1339" s="1" t="n">
        <v>45826</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57425-2023</t>
        </is>
      </c>
      <c r="B1340" s="1" t="n">
        <v>45240</v>
      </c>
      <c r="C1340" s="1" t="n">
        <v>45826</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56284-2023</t>
        </is>
      </c>
      <c r="B1341" s="1" t="n">
        <v>45241</v>
      </c>
      <c r="C1341" s="1" t="n">
        <v>45826</v>
      </c>
      <c r="D1341" t="inlineStr">
        <is>
          <t>JÄMTLANDS LÄN</t>
        </is>
      </c>
      <c r="E1341" t="inlineStr">
        <is>
          <t>RAGUNDA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56287-2023</t>
        </is>
      </c>
      <c r="B1342" s="1" t="n">
        <v>45241</v>
      </c>
      <c r="C1342" s="1" t="n">
        <v>45826</v>
      </c>
      <c r="D1342" t="inlineStr">
        <is>
          <t>JÄMTLANDS LÄN</t>
        </is>
      </c>
      <c r="E1342" t="inlineStr">
        <is>
          <t>RAGUNDA</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56286-2023</t>
        </is>
      </c>
      <c r="B1343" s="1" t="n">
        <v>45241</v>
      </c>
      <c r="C1343" s="1" t="n">
        <v>45826</v>
      </c>
      <c r="D1343" t="inlineStr">
        <is>
          <t>JÄMTLANDS LÄN</t>
        </is>
      </c>
      <c r="E1343" t="inlineStr">
        <is>
          <t>RAGUNDA</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56658-2023</t>
        </is>
      </c>
      <c r="B1344" s="1" t="n">
        <v>45243</v>
      </c>
      <c r="C1344" s="1" t="n">
        <v>45826</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56702-2023</t>
        </is>
      </c>
      <c r="B1345" s="1" t="n">
        <v>45244</v>
      </c>
      <c r="C1345" s="1" t="n">
        <v>45826</v>
      </c>
      <c r="D1345" t="inlineStr">
        <is>
          <t>JÄMTLANDS LÄN</t>
        </is>
      </c>
      <c r="E1345" t="inlineStr">
        <is>
          <t>RAGUNDA</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57078-2023</t>
        </is>
      </c>
      <c r="B1346" s="1" t="n">
        <v>45245</v>
      </c>
      <c r="C1346" s="1" t="n">
        <v>45826</v>
      </c>
      <c r="D1346" t="inlineStr">
        <is>
          <t>JÄMTLANDS LÄN</t>
        </is>
      </c>
      <c r="E1346" t="inlineStr">
        <is>
          <t>RAGUNDA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57925-2023</t>
        </is>
      </c>
      <c r="B1347" s="1" t="n">
        <v>45244</v>
      </c>
      <c r="C1347" s="1" t="n">
        <v>45826</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57778-2023</t>
        </is>
      </c>
      <c r="B1348" s="1" t="n">
        <v>45246</v>
      </c>
      <c r="C1348" s="1" t="n">
        <v>45826</v>
      </c>
      <c r="D1348" t="inlineStr">
        <is>
          <t>JÄMTLANDS LÄN</t>
        </is>
      </c>
      <c r="E1348" t="inlineStr">
        <is>
          <t>RAGUNDA</t>
        </is>
      </c>
      <c r="F1348" t="inlineStr">
        <is>
          <t>SCA</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58084-2023</t>
        </is>
      </c>
      <c r="B1349" s="1" t="n">
        <v>45248</v>
      </c>
      <c r="C1349" s="1" t="n">
        <v>45826</v>
      </c>
      <c r="D1349" t="inlineStr">
        <is>
          <t>JÄMTLANDS LÄN</t>
        </is>
      </c>
      <c r="E1349" t="inlineStr">
        <is>
          <t>RAGUNDA</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58992-2023</t>
        </is>
      </c>
      <c r="B1350" s="1" t="n">
        <v>45250</v>
      </c>
      <c r="C1350" s="1" t="n">
        <v>45826</v>
      </c>
      <c r="D1350" t="inlineStr">
        <is>
          <t>JÄMTLANDS LÄN</t>
        </is>
      </c>
      <c r="E1350" t="inlineStr">
        <is>
          <t>RAGUNDA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58863-2023</t>
        </is>
      </c>
      <c r="B1351" s="1" t="n">
        <v>45250</v>
      </c>
      <c r="C1351" s="1" t="n">
        <v>45826</v>
      </c>
      <c r="D1351" t="inlineStr">
        <is>
          <t>JÄMTLANDS LÄN</t>
        </is>
      </c>
      <c r="E1351" t="inlineStr">
        <is>
          <t>RAGUNDA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58921-2023</t>
        </is>
      </c>
      <c r="B1352" s="1" t="n">
        <v>45250</v>
      </c>
      <c r="C1352" s="1" t="n">
        <v>45826</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59136-2023</t>
        </is>
      </c>
      <c r="B1353" s="1" t="n">
        <v>45251</v>
      </c>
      <c r="C1353" s="1" t="n">
        <v>45826</v>
      </c>
      <c r="D1353" t="inlineStr">
        <is>
          <t>JÄMTLANDS LÄN</t>
        </is>
      </c>
      <c r="E1353" t="inlineStr">
        <is>
          <t>RAGUNDA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59286-2023</t>
        </is>
      </c>
      <c r="B1354" s="1" t="n">
        <v>45253</v>
      </c>
      <c r="C1354" s="1" t="n">
        <v>45826</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59557-2023</t>
        </is>
      </c>
      <c r="B1355" s="1" t="n">
        <v>45253</v>
      </c>
      <c r="C1355" s="1" t="n">
        <v>45826</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59658-2023</t>
        </is>
      </c>
      <c r="B1356" s="1" t="n">
        <v>45255</v>
      </c>
      <c r="C1356" s="1" t="n">
        <v>45826</v>
      </c>
      <c r="D1356" t="inlineStr">
        <is>
          <t>JÄMTLANDS LÄN</t>
        </is>
      </c>
      <c r="E1356" t="inlineStr">
        <is>
          <t>RAGUNDA</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59670-2023</t>
        </is>
      </c>
      <c r="B1357" s="1" t="n">
        <v>45255</v>
      </c>
      <c r="C1357" s="1" t="n">
        <v>45826</v>
      </c>
      <c r="D1357" t="inlineStr">
        <is>
          <t>JÄMTLANDS LÄN</t>
        </is>
      </c>
      <c r="E1357" t="inlineStr">
        <is>
          <t>RAGUNDA</t>
        </is>
      </c>
      <c r="F1357" t="inlineStr">
        <is>
          <t>SCA</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59669-2023</t>
        </is>
      </c>
      <c r="B1358" s="1" t="n">
        <v>45255</v>
      </c>
      <c r="C1358" s="1" t="n">
        <v>45826</v>
      </c>
      <c r="D1358" t="inlineStr">
        <is>
          <t>JÄMTLANDS LÄN</t>
        </is>
      </c>
      <c r="E1358" t="inlineStr">
        <is>
          <t>RAGUNDA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59996-2023</t>
        </is>
      </c>
      <c r="B1359" s="1" t="n">
        <v>45257</v>
      </c>
      <c r="C1359" s="1" t="n">
        <v>45826</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60185-2023</t>
        </is>
      </c>
      <c r="B1360" s="1" t="n">
        <v>45257</v>
      </c>
      <c r="C1360" s="1" t="n">
        <v>45826</v>
      </c>
      <c r="D1360" t="inlineStr">
        <is>
          <t>JÄMTLANDS LÄN</t>
        </is>
      </c>
      <c r="E1360" t="inlineStr">
        <is>
          <t>RAGUNDA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60012-2023</t>
        </is>
      </c>
      <c r="B1361" s="1" t="n">
        <v>45257</v>
      </c>
      <c r="C1361" s="1" t="n">
        <v>45826</v>
      </c>
      <c r="D1361" t="inlineStr">
        <is>
          <t>JÄMTLANDS LÄN</t>
        </is>
      </c>
      <c r="E1361" t="inlineStr">
        <is>
          <t>RAGUNDA</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60222-2023</t>
        </is>
      </c>
      <c r="B1362" s="1" t="n">
        <v>45257</v>
      </c>
      <c r="C1362" s="1" t="n">
        <v>45826</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60235-2023</t>
        </is>
      </c>
      <c r="B1363" s="1" t="n">
        <v>45257</v>
      </c>
      <c r="C1363" s="1" t="n">
        <v>45826</v>
      </c>
      <c r="D1363" t="inlineStr">
        <is>
          <t>JÄMTLANDS LÄN</t>
        </is>
      </c>
      <c r="E1363" t="inlineStr">
        <is>
          <t>RAGUNDA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60228-2023</t>
        </is>
      </c>
      <c r="B1364" s="1" t="n">
        <v>45257</v>
      </c>
      <c r="C1364" s="1" t="n">
        <v>45826</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60199-2023</t>
        </is>
      </c>
      <c r="B1365" s="1" t="n">
        <v>45257</v>
      </c>
      <c r="C1365" s="1" t="n">
        <v>45826</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60195-2023</t>
        </is>
      </c>
      <c r="B1366" s="1" t="n">
        <v>45257</v>
      </c>
      <c r="C1366" s="1" t="n">
        <v>45826</v>
      </c>
      <c r="D1366" t="inlineStr">
        <is>
          <t>JÄMTLANDS LÄN</t>
        </is>
      </c>
      <c r="E1366" t="inlineStr">
        <is>
          <t>RAGUNDA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60330-2023</t>
        </is>
      </c>
      <c r="B1367" s="1" t="n">
        <v>45258</v>
      </c>
      <c r="C1367" s="1" t="n">
        <v>45826</v>
      </c>
      <c r="D1367" t="inlineStr">
        <is>
          <t>JÄMTLANDS LÄN</t>
        </is>
      </c>
      <c r="E1367" t="inlineStr">
        <is>
          <t>RAGUNDA</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60456-2023</t>
        </is>
      </c>
      <c r="B1368" s="1" t="n">
        <v>45258</v>
      </c>
      <c r="C1368" s="1" t="n">
        <v>45826</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60413-2023</t>
        </is>
      </c>
      <c r="B1369" s="1" t="n">
        <v>45258</v>
      </c>
      <c r="C1369" s="1" t="n">
        <v>45826</v>
      </c>
      <c r="D1369" t="inlineStr">
        <is>
          <t>JÄMTLANDS LÄN</t>
        </is>
      </c>
      <c r="E1369" t="inlineStr">
        <is>
          <t>RAGUNDA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60450-2023</t>
        </is>
      </c>
      <c r="B1370" s="1" t="n">
        <v>45258</v>
      </c>
      <c r="C1370" s="1" t="n">
        <v>45826</v>
      </c>
      <c r="D1370" t="inlineStr">
        <is>
          <t>JÄMTLANDS LÄN</t>
        </is>
      </c>
      <c r="E1370" t="inlineStr">
        <is>
          <t>RAGUNDA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60443-2023</t>
        </is>
      </c>
      <c r="B1371" s="1" t="n">
        <v>45258</v>
      </c>
      <c r="C1371" s="1" t="n">
        <v>45826</v>
      </c>
      <c r="D1371" t="inlineStr">
        <is>
          <t>JÄMTLANDS LÄN</t>
        </is>
      </c>
      <c r="E1371" t="inlineStr">
        <is>
          <t>RAGUNDA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60629-2023</t>
        </is>
      </c>
      <c r="B1372" s="1" t="n">
        <v>45259</v>
      </c>
      <c r="C1372" s="1" t="n">
        <v>45826</v>
      </c>
      <c r="D1372" t="inlineStr">
        <is>
          <t>JÄMTLANDS LÄN</t>
        </is>
      </c>
      <c r="E1372" t="inlineStr">
        <is>
          <t>RAGUNDA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60643-2023</t>
        </is>
      </c>
      <c r="B1373" s="1" t="n">
        <v>45259</v>
      </c>
      <c r="C1373" s="1" t="n">
        <v>45826</v>
      </c>
      <c r="D1373" t="inlineStr">
        <is>
          <t>JÄMTLANDS LÄN</t>
        </is>
      </c>
      <c r="E1373" t="inlineStr">
        <is>
          <t>RAGUNDA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60836-2023</t>
        </is>
      </c>
      <c r="B1374" s="1" t="n">
        <v>45260</v>
      </c>
      <c r="C1374" s="1" t="n">
        <v>45826</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60860-2023</t>
        </is>
      </c>
      <c r="B1375" s="1" t="n">
        <v>45260</v>
      </c>
      <c r="C1375" s="1" t="n">
        <v>45826</v>
      </c>
      <c r="D1375" t="inlineStr">
        <is>
          <t>JÄMTLANDS LÄN</t>
        </is>
      </c>
      <c r="E1375" t="inlineStr">
        <is>
          <t>RAGUNDA</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60838-2023</t>
        </is>
      </c>
      <c r="B1376" s="1" t="n">
        <v>45260</v>
      </c>
      <c r="C1376" s="1" t="n">
        <v>45826</v>
      </c>
      <c r="D1376" t="inlineStr">
        <is>
          <t>JÄMTLANDS LÄN</t>
        </is>
      </c>
      <c r="E1376" t="inlineStr">
        <is>
          <t>RAGUNDA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61197-2023</t>
        </is>
      </c>
      <c r="B1377" s="1" t="n">
        <v>45260</v>
      </c>
      <c r="C1377" s="1" t="n">
        <v>45826</v>
      </c>
      <c r="D1377" t="inlineStr">
        <is>
          <t>JÄMTLANDS LÄN</t>
        </is>
      </c>
      <c r="E1377" t="inlineStr">
        <is>
          <t>RAGUNDA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61191-2023</t>
        </is>
      </c>
      <c r="B1378" s="1" t="n">
        <v>45260</v>
      </c>
      <c r="C1378" s="1" t="n">
        <v>45826</v>
      </c>
      <c r="D1378" t="inlineStr">
        <is>
          <t>JÄMTLANDS LÄN</t>
        </is>
      </c>
      <c r="E1378" t="inlineStr">
        <is>
          <t>RAGUNDA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62106-2023</t>
        </is>
      </c>
      <c r="B1379" s="1" t="n">
        <v>45266</v>
      </c>
      <c r="C1379" s="1" t="n">
        <v>45826</v>
      </c>
      <c r="D1379" t="inlineStr">
        <is>
          <t>JÄMTLANDS LÄN</t>
        </is>
      </c>
      <c r="E1379" t="inlineStr">
        <is>
          <t>RAGUNDA</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62107-2023</t>
        </is>
      </c>
      <c r="B1380" s="1" t="n">
        <v>45266</v>
      </c>
      <c r="C1380" s="1" t="n">
        <v>45826</v>
      </c>
      <c r="D1380" t="inlineStr">
        <is>
          <t>JÄMTLANDS LÄN</t>
        </is>
      </c>
      <c r="E1380" t="inlineStr">
        <is>
          <t>RAGUNDA</t>
        </is>
      </c>
      <c r="F1380" t="inlineStr">
        <is>
          <t>SCA</t>
        </is>
      </c>
      <c r="G1380" t="n">
        <v>38.4</v>
      </c>
      <c r="H1380" t="n">
        <v>0</v>
      </c>
      <c r="I1380" t="n">
        <v>0</v>
      </c>
      <c r="J1380" t="n">
        <v>0</v>
      </c>
      <c r="K1380" t="n">
        <v>0</v>
      </c>
      <c r="L1380" t="n">
        <v>0</v>
      </c>
      <c r="M1380" t="n">
        <v>0</v>
      </c>
      <c r="N1380" t="n">
        <v>0</v>
      </c>
      <c r="O1380" t="n">
        <v>0</v>
      </c>
      <c r="P1380" t="n">
        <v>0</v>
      </c>
      <c r="Q1380" t="n">
        <v>0</v>
      </c>
      <c r="R1380" s="2" t="inlineStr"/>
    </row>
    <row r="1381" ht="15" customHeight="1">
      <c r="A1381" t="inlineStr">
        <is>
          <t>A 62397-2023</t>
        </is>
      </c>
      <c r="B1381" s="1" t="n">
        <v>45266</v>
      </c>
      <c r="C1381" s="1" t="n">
        <v>45826</v>
      </c>
      <c r="D1381" t="inlineStr">
        <is>
          <t>JÄMTLANDS LÄN</t>
        </is>
      </c>
      <c r="E1381" t="inlineStr">
        <is>
          <t>RAGUNDA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62405-2023</t>
        </is>
      </c>
      <c r="B1382" s="1" t="n">
        <v>45266</v>
      </c>
      <c r="C1382" s="1" t="n">
        <v>45826</v>
      </c>
      <c r="D1382" t="inlineStr">
        <is>
          <t>JÄMTLANDS LÄN</t>
        </is>
      </c>
      <c r="E1382" t="inlineStr">
        <is>
          <t>RAGUNDA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62407-2023</t>
        </is>
      </c>
      <c r="B1383" s="1" t="n">
        <v>45266</v>
      </c>
      <c r="C1383" s="1" t="n">
        <v>45826</v>
      </c>
      <c r="D1383" t="inlineStr">
        <is>
          <t>JÄMTLANDS LÄN</t>
        </is>
      </c>
      <c r="E1383" t="inlineStr">
        <is>
          <t>RAGUNDA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62358-2023</t>
        </is>
      </c>
      <c r="B1384" s="1" t="n">
        <v>45267</v>
      </c>
      <c r="C1384" s="1" t="n">
        <v>45826</v>
      </c>
      <c r="D1384" t="inlineStr">
        <is>
          <t>JÄMTLANDS LÄN</t>
        </is>
      </c>
      <c r="E1384" t="inlineStr">
        <is>
          <t>RAGUNDA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62526-2023</t>
        </is>
      </c>
      <c r="B1385" s="1" t="n">
        <v>45267</v>
      </c>
      <c r="C1385" s="1" t="n">
        <v>45826</v>
      </c>
      <c r="D1385" t="inlineStr">
        <is>
          <t>JÄMTLANDS LÄN</t>
        </is>
      </c>
      <c r="E1385" t="inlineStr">
        <is>
          <t>RAGUNDA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62839-2023</t>
        </is>
      </c>
      <c r="B1386" s="1" t="n">
        <v>45271</v>
      </c>
      <c r="C1386" s="1" t="n">
        <v>45826</v>
      </c>
      <c r="D1386" t="inlineStr">
        <is>
          <t>JÄMTLANDS LÄN</t>
        </is>
      </c>
      <c r="E1386" t="inlineStr">
        <is>
          <t>RAGUNDA</t>
        </is>
      </c>
      <c r="F1386" t="inlineStr">
        <is>
          <t>SCA</t>
        </is>
      </c>
      <c r="G1386" t="n">
        <v>26.7</v>
      </c>
      <c r="H1386" t="n">
        <v>0</v>
      </c>
      <c r="I1386" t="n">
        <v>0</v>
      </c>
      <c r="J1386" t="n">
        <v>0</v>
      </c>
      <c r="K1386" t="n">
        <v>0</v>
      </c>
      <c r="L1386" t="n">
        <v>0</v>
      </c>
      <c r="M1386" t="n">
        <v>0</v>
      </c>
      <c r="N1386" t="n">
        <v>0</v>
      </c>
      <c r="O1386" t="n">
        <v>0</v>
      </c>
      <c r="P1386" t="n">
        <v>0</v>
      </c>
      <c r="Q1386" t="n">
        <v>0</v>
      </c>
      <c r="R1386" s="2" t="inlineStr"/>
    </row>
    <row r="1387" ht="15" customHeight="1">
      <c r="A1387" t="inlineStr">
        <is>
          <t>A 63708-2023</t>
        </is>
      </c>
      <c r="B1387" s="1" t="n">
        <v>45275</v>
      </c>
      <c r="C1387" s="1" t="n">
        <v>45826</v>
      </c>
      <c r="D1387" t="inlineStr">
        <is>
          <t>JÄMTLANDS LÄN</t>
        </is>
      </c>
      <c r="E1387" t="inlineStr">
        <is>
          <t>RAGUNDA</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64017-2023</t>
        </is>
      </c>
      <c r="B1388" s="1" t="n">
        <v>45278</v>
      </c>
      <c r="C1388" s="1" t="n">
        <v>45826</v>
      </c>
      <c r="D1388" t="inlineStr">
        <is>
          <t>JÄMTLANDS LÄN</t>
        </is>
      </c>
      <c r="E1388" t="inlineStr">
        <is>
          <t>RAGUNDA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64039-2023</t>
        </is>
      </c>
      <c r="B1389" s="1" t="n">
        <v>45278</v>
      </c>
      <c r="C1389" s="1" t="n">
        <v>45826</v>
      </c>
      <c r="D1389" t="inlineStr">
        <is>
          <t>JÄMTLANDS LÄN</t>
        </is>
      </c>
      <c r="E1389" t="inlineStr">
        <is>
          <t>RAGUNDA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64265-2023</t>
        </is>
      </c>
      <c r="B1390" s="1" t="n">
        <v>45279</v>
      </c>
      <c r="C1390" s="1" t="n">
        <v>45826</v>
      </c>
      <c r="D1390" t="inlineStr">
        <is>
          <t>JÄMTLANDS LÄN</t>
        </is>
      </c>
      <c r="E1390" t="inlineStr">
        <is>
          <t>RAGUNDA</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64264-2023</t>
        </is>
      </c>
      <c r="B1391" s="1" t="n">
        <v>45279</v>
      </c>
      <c r="C1391" s="1" t="n">
        <v>45826</v>
      </c>
      <c r="D1391" t="inlineStr">
        <is>
          <t>JÄMTLANDS LÄN</t>
        </is>
      </c>
      <c r="E1391" t="inlineStr">
        <is>
          <t>RAGUNDA</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64415-2023</t>
        </is>
      </c>
      <c r="B1392" s="1" t="n">
        <v>45280</v>
      </c>
      <c r="C1392" s="1" t="n">
        <v>45826</v>
      </c>
      <c r="D1392" t="inlineStr">
        <is>
          <t>JÄMTLANDS LÄN</t>
        </is>
      </c>
      <c r="E1392" t="inlineStr">
        <is>
          <t>RAGUNDA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64492-2023</t>
        </is>
      </c>
      <c r="B1393" s="1" t="n">
        <v>45280</v>
      </c>
      <c r="C1393" s="1" t="n">
        <v>45826</v>
      </c>
      <c r="D1393" t="inlineStr">
        <is>
          <t>JÄMTLANDS LÄN</t>
        </is>
      </c>
      <c r="E1393" t="inlineStr">
        <is>
          <t>RAGUNDA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65083-2023</t>
        </is>
      </c>
      <c r="B1394" s="1" t="n">
        <v>45287</v>
      </c>
      <c r="C1394" s="1" t="n">
        <v>45826</v>
      </c>
      <c r="D1394" t="inlineStr">
        <is>
          <t>JÄMTLANDS LÄN</t>
        </is>
      </c>
      <c r="E1394" t="inlineStr">
        <is>
          <t>RAGUNDA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65216-2023</t>
        </is>
      </c>
      <c r="B1395" s="1" t="n">
        <v>45289</v>
      </c>
      <c r="C1395" s="1" t="n">
        <v>45826</v>
      </c>
      <c r="D1395" t="inlineStr">
        <is>
          <t>JÄMTLANDS LÄN</t>
        </is>
      </c>
      <c r="E1395" t="inlineStr">
        <is>
          <t>RAGUNDA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65242-2023</t>
        </is>
      </c>
      <c r="B1396" s="1" t="n">
        <v>45289</v>
      </c>
      <c r="C1396" s="1" t="n">
        <v>45826</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1130-2024</t>
        </is>
      </c>
      <c r="B1397" s="1" t="n">
        <v>45302</v>
      </c>
      <c r="C1397" s="1" t="n">
        <v>45826</v>
      </c>
      <c r="D1397" t="inlineStr">
        <is>
          <t>JÄMTLANDS LÄN</t>
        </is>
      </c>
      <c r="E1397" t="inlineStr">
        <is>
          <t>RAGUNDA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1123-2024</t>
        </is>
      </c>
      <c r="B1398" s="1" t="n">
        <v>45302</v>
      </c>
      <c r="C1398" s="1" t="n">
        <v>45826</v>
      </c>
      <c r="D1398" t="inlineStr">
        <is>
          <t>JÄMTLANDS LÄN</t>
        </is>
      </c>
      <c r="E1398" t="inlineStr">
        <is>
          <t>RAGUNDA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1465-2024</t>
        </is>
      </c>
      <c r="B1399" s="1" t="n">
        <v>45304</v>
      </c>
      <c r="C1399" s="1" t="n">
        <v>45826</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1466-2024</t>
        </is>
      </c>
      <c r="B1400" s="1" t="n">
        <v>45304</v>
      </c>
      <c r="C1400" s="1" t="n">
        <v>45826</v>
      </c>
      <c r="D1400" t="inlineStr">
        <is>
          <t>JÄMTLANDS LÄN</t>
        </is>
      </c>
      <c r="E1400" t="inlineStr">
        <is>
          <t>RAGUNDA</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1523-2024</t>
        </is>
      </c>
      <c r="B1401" s="1" t="n">
        <v>45306</v>
      </c>
      <c r="C1401" s="1" t="n">
        <v>45826</v>
      </c>
      <c r="D1401" t="inlineStr">
        <is>
          <t>JÄMTLANDS LÄN</t>
        </is>
      </c>
      <c r="E1401" t="inlineStr">
        <is>
          <t>RAGUNDA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1554-2024</t>
        </is>
      </c>
      <c r="B1402" s="1" t="n">
        <v>45306</v>
      </c>
      <c r="C1402" s="1" t="n">
        <v>45826</v>
      </c>
      <c r="D1402" t="inlineStr">
        <is>
          <t>JÄMTLANDS LÄN</t>
        </is>
      </c>
      <c r="E1402" t="inlineStr">
        <is>
          <t>RAGUNDA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1537-2024</t>
        </is>
      </c>
      <c r="B1403" s="1" t="n">
        <v>45306</v>
      </c>
      <c r="C1403" s="1" t="n">
        <v>45826</v>
      </c>
      <c r="D1403" t="inlineStr">
        <is>
          <t>JÄMTLANDS LÄN</t>
        </is>
      </c>
      <c r="E1403" t="inlineStr">
        <is>
          <t>RAGUNDA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1884-2024</t>
        </is>
      </c>
      <c r="B1404" s="1" t="n">
        <v>45307</v>
      </c>
      <c r="C1404" s="1" t="n">
        <v>45826</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1888-2024</t>
        </is>
      </c>
      <c r="B1405" s="1" t="n">
        <v>45308</v>
      </c>
      <c r="C1405" s="1" t="n">
        <v>45826</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1887-2024</t>
        </is>
      </c>
      <c r="B1406" s="1" t="n">
        <v>45308</v>
      </c>
      <c r="C1406" s="1" t="n">
        <v>45826</v>
      </c>
      <c r="D1406" t="inlineStr">
        <is>
          <t>JÄMTLANDS LÄN</t>
        </is>
      </c>
      <c r="E1406" t="inlineStr">
        <is>
          <t>RAGUNDA</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1889-2024</t>
        </is>
      </c>
      <c r="B1407" s="1" t="n">
        <v>45308</v>
      </c>
      <c r="C1407" s="1" t="n">
        <v>45826</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2143-2024</t>
        </is>
      </c>
      <c r="B1408" s="1" t="n">
        <v>45309</v>
      </c>
      <c r="C1408" s="1" t="n">
        <v>45826</v>
      </c>
      <c r="D1408" t="inlineStr">
        <is>
          <t>JÄMTLANDS LÄN</t>
        </is>
      </c>
      <c r="E1408" t="inlineStr">
        <is>
          <t>RAGUNDA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2224-2024</t>
        </is>
      </c>
      <c r="B1409" s="1" t="n">
        <v>45309</v>
      </c>
      <c r="C1409" s="1" t="n">
        <v>45826</v>
      </c>
      <c r="D1409" t="inlineStr">
        <is>
          <t>JÄMTLANDS LÄN</t>
        </is>
      </c>
      <c r="E1409" t="inlineStr">
        <is>
          <t>RAGUNDA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2241-2024</t>
        </is>
      </c>
      <c r="B1410" s="1" t="n">
        <v>45309</v>
      </c>
      <c r="C1410" s="1" t="n">
        <v>45826</v>
      </c>
      <c r="D1410" t="inlineStr">
        <is>
          <t>JÄMTLANDS LÄN</t>
        </is>
      </c>
      <c r="E1410" t="inlineStr">
        <is>
          <t>RAGUNDA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2245-2024</t>
        </is>
      </c>
      <c r="B1411" s="1" t="n">
        <v>45309</v>
      </c>
      <c r="C1411" s="1" t="n">
        <v>45826</v>
      </c>
      <c r="D1411" t="inlineStr">
        <is>
          <t>JÄMTLANDS LÄN</t>
        </is>
      </c>
      <c r="E1411" t="inlineStr">
        <is>
          <t>RAGUNDA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2242-2024</t>
        </is>
      </c>
      <c r="B1412" s="1" t="n">
        <v>45309</v>
      </c>
      <c r="C1412" s="1" t="n">
        <v>45826</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2248-2024</t>
        </is>
      </c>
      <c r="B1413" s="1" t="n">
        <v>45309</v>
      </c>
      <c r="C1413" s="1" t="n">
        <v>45826</v>
      </c>
      <c r="D1413" t="inlineStr">
        <is>
          <t>JÄMTLANDS LÄN</t>
        </is>
      </c>
      <c r="E1413" t="inlineStr">
        <is>
          <t>RAGUNDA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2240-2024</t>
        </is>
      </c>
      <c r="B1414" s="1" t="n">
        <v>45309</v>
      </c>
      <c r="C1414" s="1" t="n">
        <v>45826</v>
      </c>
      <c r="D1414" t="inlineStr">
        <is>
          <t>JÄMTLANDS LÄN</t>
        </is>
      </c>
      <c r="E1414" t="inlineStr">
        <is>
          <t>RAGUNDA</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2244-2024</t>
        </is>
      </c>
      <c r="B1415" s="1" t="n">
        <v>45309</v>
      </c>
      <c r="C1415" s="1" t="n">
        <v>45826</v>
      </c>
      <c r="D1415" t="inlineStr">
        <is>
          <t>JÄMTLANDS LÄN</t>
        </is>
      </c>
      <c r="E1415" t="inlineStr">
        <is>
          <t>RAGUNDA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2243-2024</t>
        </is>
      </c>
      <c r="B1416" s="1" t="n">
        <v>45309</v>
      </c>
      <c r="C1416" s="1" t="n">
        <v>45826</v>
      </c>
      <c r="D1416" t="inlineStr">
        <is>
          <t>JÄMTLANDS LÄN</t>
        </is>
      </c>
      <c r="E1416" t="inlineStr">
        <is>
          <t>RAGUNDA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2424-2024</t>
        </is>
      </c>
      <c r="B1417" s="1" t="n">
        <v>45310</v>
      </c>
      <c r="C1417" s="1" t="n">
        <v>45826</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2629-2024</t>
        </is>
      </c>
      <c r="B1418" s="1" t="n">
        <v>45313</v>
      </c>
      <c r="C1418" s="1" t="n">
        <v>45826</v>
      </c>
      <c r="D1418" t="inlineStr">
        <is>
          <t>JÄMTLANDS LÄN</t>
        </is>
      </c>
      <c r="E1418" t="inlineStr">
        <is>
          <t>RAGUNDA</t>
        </is>
      </c>
      <c r="F1418" t="inlineStr">
        <is>
          <t>SCA</t>
        </is>
      </c>
      <c r="G1418" t="n">
        <v>40.9</v>
      </c>
      <c r="H1418" t="n">
        <v>0</v>
      </c>
      <c r="I1418" t="n">
        <v>0</v>
      </c>
      <c r="J1418" t="n">
        <v>0</v>
      </c>
      <c r="K1418" t="n">
        <v>0</v>
      </c>
      <c r="L1418" t="n">
        <v>0</v>
      </c>
      <c r="M1418" t="n">
        <v>0</v>
      </c>
      <c r="N1418" t="n">
        <v>0</v>
      </c>
      <c r="O1418" t="n">
        <v>0</v>
      </c>
      <c r="P1418" t="n">
        <v>0</v>
      </c>
      <c r="Q1418" t="n">
        <v>0</v>
      </c>
      <c r="R1418" s="2" t="inlineStr"/>
    </row>
    <row r="1419" ht="15" customHeight="1">
      <c r="A1419" t="inlineStr">
        <is>
          <t>A 2630-2024</t>
        </is>
      </c>
      <c r="B1419" s="1" t="n">
        <v>45313</v>
      </c>
      <c r="C1419" s="1" t="n">
        <v>45826</v>
      </c>
      <c r="D1419" t="inlineStr">
        <is>
          <t>JÄMTLANDS LÄN</t>
        </is>
      </c>
      <c r="E1419" t="inlineStr">
        <is>
          <t>RAGUNDA</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2673-2024</t>
        </is>
      </c>
      <c r="B1420" s="1" t="n">
        <v>45314</v>
      </c>
      <c r="C1420" s="1" t="n">
        <v>45826</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2751-2024</t>
        </is>
      </c>
      <c r="B1421" s="1" t="n">
        <v>45314</v>
      </c>
      <c r="C1421" s="1" t="n">
        <v>45826</v>
      </c>
      <c r="D1421" t="inlineStr">
        <is>
          <t>JÄMTLANDS LÄN</t>
        </is>
      </c>
      <c r="E1421" t="inlineStr">
        <is>
          <t>RAGUNDA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2678-2024</t>
        </is>
      </c>
      <c r="B1422" s="1" t="n">
        <v>45314</v>
      </c>
      <c r="C1422" s="1" t="n">
        <v>45826</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2834-2024</t>
        </is>
      </c>
      <c r="B1423" s="1" t="n">
        <v>45314</v>
      </c>
      <c r="C1423" s="1" t="n">
        <v>45826</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2831-2024</t>
        </is>
      </c>
      <c r="B1424" s="1" t="n">
        <v>45314</v>
      </c>
      <c r="C1424" s="1" t="n">
        <v>45826</v>
      </c>
      <c r="D1424" t="inlineStr">
        <is>
          <t>JÄMTLANDS LÄN</t>
        </is>
      </c>
      <c r="E1424" t="inlineStr">
        <is>
          <t>RAGUNDA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3016-2024</t>
        </is>
      </c>
      <c r="B1425" s="1" t="n">
        <v>45315</v>
      </c>
      <c r="C1425" s="1" t="n">
        <v>45826</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3018-2024</t>
        </is>
      </c>
      <c r="B1426" s="1" t="n">
        <v>45315</v>
      </c>
      <c r="C1426" s="1" t="n">
        <v>45826</v>
      </c>
      <c r="D1426" t="inlineStr">
        <is>
          <t>JÄMTLANDS LÄN</t>
        </is>
      </c>
      <c r="E1426" t="inlineStr">
        <is>
          <t>RAGUNDA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3240-2024</t>
        </is>
      </c>
      <c r="B1427" s="1" t="n">
        <v>45316</v>
      </c>
      <c r="C1427" s="1" t="n">
        <v>45826</v>
      </c>
      <c r="D1427" t="inlineStr">
        <is>
          <t>JÄMTLANDS LÄN</t>
        </is>
      </c>
      <c r="E1427" t="inlineStr">
        <is>
          <t>RAGUNDA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3635-2024</t>
        </is>
      </c>
      <c r="B1428" s="1" t="n">
        <v>45320</v>
      </c>
      <c r="C1428" s="1" t="n">
        <v>45826</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3938-2024</t>
        </is>
      </c>
      <c r="B1429" s="1" t="n">
        <v>45322</v>
      </c>
      <c r="C1429" s="1" t="n">
        <v>45826</v>
      </c>
      <c r="D1429" t="inlineStr">
        <is>
          <t>JÄMTLANDS LÄN</t>
        </is>
      </c>
      <c r="E1429" t="inlineStr">
        <is>
          <t>RAGUNDA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3992-2024</t>
        </is>
      </c>
      <c r="B1430" s="1" t="n">
        <v>45322</v>
      </c>
      <c r="C1430" s="1" t="n">
        <v>45826</v>
      </c>
      <c r="D1430" t="inlineStr">
        <is>
          <t>JÄMTLANDS LÄN</t>
        </is>
      </c>
      <c r="E1430" t="inlineStr">
        <is>
          <t>RAGUNDA</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4125-2024</t>
        </is>
      </c>
      <c r="B1431" s="1" t="n">
        <v>45323</v>
      </c>
      <c r="C1431" s="1" t="n">
        <v>45826</v>
      </c>
      <c r="D1431" t="inlineStr">
        <is>
          <t>JÄMTLANDS LÄN</t>
        </is>
      </c>
      <c r="E1431" t="inlineStr">
        <is>
          <t>RAGUNDA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4212-2024</t>
        </is>
      </c>
      <c r="B1432" s="1" t="n">
        <v>45324</v>
      </c>
      <c r="C1432" s="1" t="n">
        <v>45826</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4249-2024</t>
        </is>
      </c>
      <c r="B1433" s="1" t="n">
        <v>45324</v>
      </c>
      <c r="C1433" s="1" t="n">
        <v>45826</v>
      </c>
      <c r="D1433" t="inlineStr">
        <is>
          <t>JÄMTLANDS LÄN</t>
        </is>
      </c>
      <c r="E1433" t="inlineStr">
        <is>
          <t>RAGUNDA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4594-2024</t>
        </is>
      </c>
      <c r="B1434" s="1" t="n">
        <v>45327</v>
      </c>
      <c r="C1434" s="1" t="n">
        <v>45826</v>
      </c>
      <c r="D1434" t="inlineStr">
        <is>
          <t>JÄMTLANDS LÄN</t>
        </is>
      </c>
      <c r="E1434" t="inlineStr">
        <is>
          <t>RAGUNDA</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4592-2024</t>
        </is>
      </c>
      <c r="B1435" s="1" t="n">
        <v>45327</v>
      </c>
      <c r="C1435" s="1" t="n">
        <v>45826</v>
      </c>
      <c r="D1435" t="inlineStr">
        <is>
          <t>JÄMTLANDS LÄN</t>
        </is>
      </c>
      <c r="E1435" t="inlineStr">
        <is>
          <t>RAGUNDA</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4591-2024</t>
        </is>
      </c>
      <c r="B1436" s="1" t="n">
        <v>45327</v>
      </c>
      <c r="C1436" s="1" t="n">
        <v>45826</v>
      </c>
      <c r="D1436" t="inlineStr">
        <is>
          <t>JÄMTLANDS LÄN</t>
        </is>
      </c>
      <c r="E1436" t="inlineStr">
        <is>
          <t>RAGUNDA</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4820-2024</t>
        </is>
      </c>
      <c r="B1437" s="1" t="n">
        <v>45328</v>
      </c>
      <c r="C1437" s="1" t="n">
        <v>45826</v>
      </c>
      <c r="D1437" t="inlineStr">
        <is>
          <t>JÄMTLANDS LÄN</t>
        </is>
      </c>
      <c r="E1437" t="inlineStr">
        <is>
          <t>RAGUNDA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4822-2024</t>
        </is>
      </c>
      <c r="B1438" s="1" t="n">
        <v>45328</v>
      </c>
      <c r="C1438" s="1" t="n">
        <v>45826</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4811-2024</t>
        </is>
      </c>
      <c r="B1439" s="1" t="n">
        <v>45328</v>
      </c>
      <c r="C1439" s="1" t="n">
        <v>45826</v>
      </c>
      <c r="D1439" t="inlineStr">
        <is>
          <t>JÄMTLANDS LÄN</t>
        </is>
      </c>
      <c r="E1439" t="inlineStr">
        <is>
          <t>RAGUNDA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4936-2024</t>
        </is>
      </c>
      <c r="B1440" s="1" t="n">
        <v>45329</v>
      </c>
      <c r="C1440" s="1" t="n">
        <v>45826</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5067-2024</t>
        </is>
      </c>
      <c r="B1441" s="1" t="n">
        <v>45329</v>
      </c>
      <c r="C1441" s="1" t="n">
        <v>45826</v>
      </c>
      <c r="D1441" t="inlineStr">
        <is>
          <t>JÄMTLANDS LÄN</t>
        </is>
      </c>
      <c r="E1441" t="inlineStr">
        <is>
          <t>RAGUNDA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5250-2024</t>
        </is>
      </c>
      <c r="B1442" s="1" t="n">
        <v>45330</v>
      </c>
      <c r="C1442" s="1" t="n">
        <v>45826</v>
      </c>
      <c r="D1442" t="inlineStr">
        <is>
          <t>JÄMTLANDS LÄN</t>
        </is>
      </c>
      <c r="E1442" t="inlineStr">
        <is>
          <t>RAGUNDA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5263-2024</t>
        </is>
      </c>
      <c r="B1443" s="1" t="n">
        <v>45331</v>
      </c>
      <c r="C1443" s="1" t="n">
        <v>45826</v>
      </c>
      <c r="D1443" t="inlineStr">
        <is>
          <t>JÄMTLANDS LÄN</t>
        </is>
      </c>
      <c r="E1443" t="inlineStr">
        <is>
          <t>RAGUNDA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5429-2024</t>
        </is>
      </c>
      <c r="B1444" s="1" t="n">
        <v>45331</v>
      </c>
      <c r="C1444" s="1" t="n">
        <v>45826</v>
      </c>
      <c r="D1444" t="inlineStr">
        <is>
          <t>JÄMTLANDS LÄN</t>
        </is>
      </c>
      <c r="E1444" t="inlineStr">
        <is>
          <t>RAGUNDA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6267-2024</t>
        </is>
      </c>
      <c r="B1445" s="1" t="n">
        <v>45337</v>
      </c>
      <c r="C1445" s="1" t="n">
        <v>45826</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6477-2024</t>
        </is>
      </c>
      <c r="B1446" s="1" t="n">
        <v>45338</v>
      </c>
      <c r="C1446" s="1" t="n">
        <v>45826</v>
      </c>
      <c r="D1446" t="inlineStr">
        <is>
          <t>JÄMTLANDS LÄN</t>
        </is>
      </c>
      <c r="E1446" t="inlineStr">
        <is>
          <t>RAGUNDA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6687-2024</t>
        </is>
      </c>
      <c r="B1447" s="1" t="n">
        <v>45341</v>
      </c>
      <c r="C1447" s="1" t="n">
        <v>45826</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6694-2024</t>
        </is>
      </c>
      <c r="B1448" s="1" t="n">
        <v>45341</v>
      </c>
      <c r="C1448" s="1" t="n">
        <v>45826</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6688-2024</t>
        </is>
      </c>
      <c r="B1449" s="1" t="n">
        <v>45341</v>
      </c>
      <c r="C1449" s="1" t="n">
        <v>45826</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6736-2024</t>
        </is>
      </c>
      <c r="B1450" s="1" t="n">
        <v>45342</v>
      </c>
      <c r="C1450" s="1" t="n">
        <v>45826</v>
      </c>
      <c r="D1450" t="inlineStr">
        <is>
          <t>JÄMTLANDS LÄN</t>
        </is>
      </c>
      <c r="E1450" t="inlineStr">
        <is>
          <t>RAGUNDA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6902-2024</t>
        </is>
      </c>
      <c r="B1451" s="1" t="n">
        <v>45342</v>
      </c>
      <c r="C1451" s="1" t="n">
        <v>45826</v>
      </c>
      <c r="D1451" t="inlineStr">
        <is>
          <t>JÄMTLANDS LÄN</t>
        </is>
      </c>
      <c r="E1451" t="inlineStr">
        <is>
          <t>RAGUNDA</t>
        </is>
      </c>
      <c r="F1451" t="inlineStr">
        <is>
          <t>SCA</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6905-2024</t>
        </is>
      </c>
      <c r="B1452" s="1" t="n">
        <v>45342</v>
      </c>
      <c r="C1452" s="1" t="n">
        <v>45826</v>
      </c>
      <c r="D1452" t="inlineStr">
        <is>
          <t>JÄMTLANDS LÄN</t>
        </is>
      </c>
      <c r="E1452" t="inlineStr">
        <is>
          <t>RAGUNDA</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6929-2024</t>
        </is>
      </c>
      <c r="B1453" s="1" t="n">
        <v>45343</v>
      </c>
      <c r="C1453" s="1" t="n">
        <v>45826</v>
      </c>
      <c r="D1453" t="inlineStr">
        <is>
          <t>JÄMTLANDS LÄN</t>
        </is>
      </c>
      <c r="E1453" t="inlineStr">
        <is>
          <t>RAGUNDA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7279-2024</t>
        </is>
      </c>
      <c r="B1454" s="1" t="n">
        <v>45344</v>
      </c>
      <c r="C1454" s="1" t="n">
        <v>45826</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7281-2024</t>
        </is>
      </c>
      <c r="B1455" s="1" t="n">
        <v>45344</v>
      </c>
      <c r="C1455" s="1" t="n">
        <v>45826</v>
      </c>
      <c r="D1455" t="inlineStr">
        <is>
          <t>JÄMTLANDS LÄN</t>
        </is>
      </c>
      <c r="E1455" t="inlineStr">
        <is>
          <t>RAGUNDA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7285-2024</t>
        </is>
      </c>
      <c r="B1456" s="1" t="n">
        <v>45344</v>
      </c>
      <c r="C1456" s="1" t="n">
        <v>45826</v>
      </c>
      <c r="D1456" t="inlineStr">
        <is>
          <t>JÄMTLANDS LÄN</t>
        </is>
      </c>
      <c r="E1456" t="inlineStr">
        <is>
          <t>RAGUNDA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7280-2024</t>
        </is>
      </c>
      <c r="B1457" s="1" t="n">
        <v>45344</v>
      </c>
      <c r="C1457" s="1" t="n">
        <v>45826</v>
      </c>
      <c r="D1457" t="inlineStr">
        <is>
          <t>JÄMTLANDS LÄN</t>
        </is>
      </c>
      <c r="E1457" t="inlineStr">
        <is>
          <t>RAGUNDA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7284-2024</t>
        </is>
      </c>
      <c r="B1458" s="1" t="n">
        <v>45344</v>
      </c>
      <c r="C1458" s="1" t="n">
        <v>45826</v>
      </c>
      <c r="D1458" t="inlineStr">
        <is>
          <t>JÄMTLANDS LÄN</t>
        </is>
      </c>
      <c r="E1458" t="inlineStr">
        <is>
          <t>RAGUNDA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7850-2024</t>
        </is>
      </c>
      <c r="B1459" s="1" t="n">
        <v>45350</v>
      </c>
      <c r="C1459" s="1" t="n">
        <v>45826</v>
      </c>
      <c r="D1459" t="inlineStr">
        <is>
          <t>JÄMTLANDS LÄN</t>
        </is>
      </c>
      <c r="E1459" t="inlineStr">
        <is>
          <t>RAGUNDA</t>
        </is>
      </c>
      <c r="F1459" t="inlineStr">
        <is>
          <t>SCA</t>
        </is>
      </c>
      <c r="G1459" t="n">
        <v>27.8</v>
      </c>
      <c r="H1459" t="n">
        <v>0</v>
      </c>
      <c r="I1459" t="n">
        <v>0</v>
      </c>
      <c r="J1459" t="n">
        <v>0</v>
      </c>
      <c r="K1459" t="n">
        <v>0</v>
      </c>
      <c r="L1459" t="n">
        <v>0</v>
      </c>
      <c r="M1459" t="n">
        <v>0</v>
      </c>
      <c r="N1459" t="n">
        <v>0</v>
      </c>
      <c r="O1459" t="n">
        <v>0</v>
      </c>
      <c r="P1459" t="n">
        <v>0</v>
      </c>
      <c r="Q1459" t="n">
        <v>0</v>
      </c>
      <c r="R1459" s="2" t="inlineStr"/>
    </row>
    <row r="1460" ht="15" customHeight="1">
      <c r="A1460" t="inlineStr">
        <is>
          <t>A 7855-2024</t>
        </is>
      </c>
      <c r="B1460" s="1" t="n">
        <v>45350</v>
      </c>
      <c r="C1460" s="1" t="n">
        <v>45826</v>
      </c>
      <c r="D1460" t="inlineStr">
        <is>
          <t>JÄMTLANDS LÄN</t>
        </is>
      </c>
      <c r="E1460" t="inlineStr">
        <is>
          <t>RAGUNDA</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8241-2024</t>
        </is>
      </c>
      <c r="B1461" s="1" t="n">
        <v>45352</v>
      </c>
      <c r="C1461" s="1" t="n">
        <v>45826</v>
      </c>
      <c r="D1461" t="inlineStr">
        <is>
          <t>JÄMTLANDS LÄN</t>
        </is>
      </c>
      <c r="E1461" t="inlineStr">
        <is>
          <t>RAGUNDA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8243-2024</t>
        </is>
      </c>
      <c r="B1462" s="1" t="n">
        <v>45352</v>
      </c>
      <c r="C1462" s="1" t="n">
        <v>45826</v>
      </c>
      <c r="D1462" t="inlineStr">
        <is>
          <t>JÄMTLANDS LÄN</t>
        </is>
      </c>
      <c r="E1462" t="inlineStr">
        <is>
          <t>RAGUNDA</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8639-2024</t>
        </is>
      </c>
      <c r="B1463" s="1" t="n">
        <v>45356</v>
      </c>
      <c r="C1463" s="1" t="n">
        <v>45826</v>
      </c>
      <c r="D1463" t="inlineStr">
        <is>
          <t>JÄMTLANDS LÄN</t>
        </is>
      </c>
      <c r="E1463" t="inlineStr">
        <is>
          <t>RAGUNDA</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8643-2024</t>
        </is>
      </c>
      <c r="B1464" s="1" t="n">
        <v>45356</v>
      </c>
      <c r="C1464" s="1" t="n">
        <v>45826</v>
      </c>
      <c r="D1464" t="inlineStr">
        <is>
          <t>JÄMTLANDS LÄN</t>
        </is>
      </c>
      <c r="E1464" t="inlineStr">
        <is>
          <t>RAGUNDA</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8644-2024</t>
        </is>
      </c>
      <c r="B1465" s="1" t="n">
        <v>45356</v>
      </c>
      <c r="C1465" s="1" t="n">
        <v>45826</v>
      </c>
      <c r="D1465" t="inlineStr">
        <is>
          <t>JÄMTLANDS LÄN</t>
        </is>
      </c>
      <c r="E1465" t="inlineStr">
        <is>
          <t>RAGUNDA</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8642-2024</t>
        </is>
      </c>
      <c r="B1466" s="1" t="n">
        <v>45356</v>
      </c>
      <c r="C1466" s="1" t="n">
        <v>45826</v>
      </c>
      <c r="D1466" t="inlineStr">
        <is>
          <t>JÄMTLANDS LÄN</t>
        </is>
      </c>
      <c r="E1466" t="inlineStr">
        <is>
          <t>RAGUNDA</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8654-2024</t>
        </is>
      </c>
      <c r="B1467" s="1" t="n">
        <v>45356</v>
      </c>
      <c r="C1467" s="1" t="n">
        <v>45826</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8886-2024</t>
        </is>
      </c>
      <c r="B1468" s="1" t="n">
        <v>45357</v>
      </c>
      <c r="C1468" s="1" t="n">
        <v>45826</v>
      </c>
      <c r="D1468" t="inlineStr">
        <is>
          <t>JÄMTLANDS LÄN</t>
        </is>
      </c>
      <c r="E1468" t="inlineStr">
        <is>
          <t>RAGUNDA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9326-2024</t>
        </is>
      </c>
      <c r="B1469" s="1" t="n">
        <v>45358</v>
      </c>
      <c r="C1469" s="1" t="n">
        <v>45826</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9325-2024</t>
        </is>
      </c>
      <c r="B1470" s="1" t="n">
        <v>45358</v>
      </c>
      <c r="C1470" s="1" t="n">
        <v>45826</v>
      </c>
      <c r="D1470" t="inlineStr">
        <is>
          <t>JÄMTLANDS LÄN</t>
        </is>
      </c>
      <c r="E1470" t="inlineStr">
        <is>
          <t>RAGUNDA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9560-2024</t>
        </is>
      </c>
      <c r="B1471" s="1" t="n">
        <v>45360</v>
      </c>
      <c r="C1471" s="1" t="n">
        <v>45826</v>
      </c>
      <c r="D1471" t="inlineStr">
        <is>
          <t>JÄMTLANDS LÄN</t>
        </is>
      </c>
      <c r="E1471" t="inlineStr">
        <is>
          <t>RAGUNDA</t>
        </is>
      </c>
      <c r="F1471" t="inlineStr">
        <is>
          <t>SCA</t>
        </is>
      </c>
      <c r="G1471" t="n">
        <v>21.7</v>
      </c>
      <c r="H1471" t="n">
        <v>0</v>
      </c>
      <c r="I1471" t="n">
        <v>0</v>
      </c>
      <c r="J1471" t="n">
        <v>0</v>
      </c>
      <c r="K1471" t="n">
        <v>0</v>
      </c>
      <c r="L1471" t="n">
        <v>0</v>
      </c>
      <c r="M1471" t="n">
        <v>0</v>
      </c>
      <c r="N1471" t="n">
        <v>0</v>
      </c>
      <c r="O1471" t="n">
        <v>0</v>
      </c>
      <c r="P1471" t="n">
        <v>0</v>
      </c>
      <c r="Q1471" t="n">
        <v>0</v>
      </c>
      <c r="R1471" s="2" t="inlineStr"/>
    </row>
    <row r="1472" ht="15" customHeight="1">
      <c r="A1472" t="inlineStr">
        <is>
          <t>A 10196-2024</t>
        </is>
      </c>
      <c r="B1472" s="1" t="n">
        <v>45364</v>
      </c>
      <c r="C1472" s="1" t="n">
        <v>45826</v>
      </c>
      <c r="D1472" t="inlineStr">
        <is>
          <t>JÄMTLANDS LÄN</t>
        </is>
      </c>
      <c r="E1472" t="inlineStr">
        <is>
          <t>RAGUNDA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10197-2024</t>
        </is>
      </c>
      <c r="B1473" s="1" t="n">
        <v>45364</v>
      </c>
      <c r="C1473" s="1" t="n">
        <v>45826</v>
      </c>
      <c r="D1473" t="inlineStr">
        <is>
          <t>JÄMTLANDS LÄN</t>
        </is>
      </c>
      <c r="E1473" t="inlineStr">
        <is>
          <t>RAGUNDA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10205-2024</t>
        </is>
      </c>
      <c r="B1474" s="1" t="n">
        <v>45364</v>
      </c>
      <c r="C1474" s="1" t="n">
        <v>45826</v>
      </c>
      <c r="D1474" t="inlineStr">
        <is>
          <t>JÄMTLANDS LÄN</t>
        </is>
      </c>
      <c r="E1474" t="inlineStr">
        <is>
          <t>RAGUNDA</t>
        </is>
      </c>
      <c r="G1474" t="n">
        <v>25.3</v>
      </c>
      <c r="H1474" t="n">
        <v>0</v>
      </c>
      <c r="I1474" t="n">
        <v>0</v>
      </c>
      <c r="J1474" t="n">
        <v>0</v>
      </c>
      <c r="K1474" t="n">
        <v>0</v>
      </c>
      <c r="L1474" t="n">
        <v>0</v>
      </c>
      <c r="M1474" t="n">
        <v>0</v>
      </c>
      <c r="N1474" t="n">
        <v>0</v>
      </c>
      <c r="O1474" t="n">
        <v>0</v>
      </c>
      <c r="P1474" t="n">
        <v>0</v>
      </c>
      <c r="Q1474" t="n">
        <v>0</v>
      </c>
      <c r="R1474" s="2" t="inlineStr"/>
    </row>
    <row r="1475" ht="15" customHeight="1">
      <c r="A1475" t="inlineStr">
        <is>
          <t>A 10194-2024</t>
        </is>
      </c>
      <c r="B1475" s="1" t="n">
        <v>45364</v>
      </c>
      <c r="C1475" s="1" t="n">
        <v>45826</v>
      </c>
      <c r="D1475" t="inlineStr">
        <is>
          <t>JÄMTLANDS LÄN</t>
        </is>
      </c>
      <c r="E1475" t="inlineStr">
        <is>
          <t>RAGUNDA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10217-2024</t>
        </is>
      </c>
      <c r="B1476" s="1" t="n">
        <v>45364</v>
      </c>
      <c r="C1476" s="1" t="n">
        <v>45826</v>
      </c>
      <c r="D1476" t="inlineStr">
        <is>
          <t>JÄMTLANDS LÄN</t>
        </is>
      </c>
      <c r="E1476" t="inlineStr">
        <is>
          <t>RAGUNDA</t>
        </is>
      </c>
      <c r="F1476" t="inlineStr">
        <is>
          <t>SCA</t>
        </is>
      </c>
      <c r="G1476" t="n">
        <v>4.6</v>
      </c>
      <c r="H1476" t="n">
        <v>0</v>
      </c>
      <c r="I1476" t="n">
        <v>0</v>
      </c>
      <c r="J1476" t="n">
        <v>0</v>
      </c>
      <c r="K1476" t="n">
        <v>0</v>
      </c>
      <c r="L1476" t="n">
        <v>0</v>
      </c>
      <c r="M1476" t="n">
        <v>0</v>
      </c>
      <c r="N1476" t="n">
        <v>0</v>
      </c>
      <c r="O1476" t="n">
        <v>0</v>
      </c>
      <c r="P1476" t="n">
        <v>0</v>
      </c>
      <c r="Q1476" t="n">
        <v>0</v>
      </c>
      <c r="R1476" s="2" t="inlineStr"/>
      <c r="U1476">
        <f>HYPERLINK("https://klasma.github.io/Logging_2303/knärot/A 10217-2024 karta knärot.png", "A 10217-2024")</f>
        <v/>
      </c>
      <c r="V1476">
        <f>HYPERLINK("https://klasma.github.io/Logging_2303/klagomål/A 10217-2024 FSC-klagomål.docx", "A 10217-2024")</f>
        <v/>
      </c>
      <c r="W1476">
        <f>HYPERLINK("https://klasma.github.io/Logging_2303/klagomålsmail/A 10217-2024 FSC-klagomål mail.docx", "A 10217-2024")</f>
        <v/>
      </c>
      <c r="X1476">
        <f>HYPERLINK("https://klasma.github.io/Logging_2303/tillsyn/A 10217-2024 tillsynsbegäran.docx", "A 10217-2024")</f>
        <v/>
      </c>
      <c r="Y1476">
        <f>HYPERLINK("https://klasma.github.io/Logging_2303/tillsynsmail/A 10217-2024 tillsynsbegäran mail.docx", "A 10217-2024")</f>
        <v/>
      </c>
    </row>
    <row r="1477" ht="15" customHeight="1">
      <c r="A1477" t="inlineStr">
        <is>
          <t>A 10644-2024</t>
        </is>
      </c>
      <c r="B1477" s="1" t="n">
        <v>45367</v>
      </c>
      <c r="C1477" s="1" t="n">
        <v>45826</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10639-2024</t>
        </is>
      </c>
      <c r="B1478" s="1" t="n">
        <v>45367</v>
      </c>
      <c r="C1478" s="1" t="n">
        <v>45826</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10610-2024</t>
        </is>
      </c>
      <c r="B1479" s="1" t="n">
        <v>45367</v>
      </c>
      <c r="C1479" s="1" t="n">
        <v>45826</v>
      </c>
      <c r="D1479" t="inlineStr">
        <is>
          <t>JÄMTLANDS LÄN</t>
        </is>
      </c>
      <c r="E1479" t="inlineStr">
        <is>
          <t>RAGUNDA</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10614-2024</t>
        </is>
      </c>
      <c r="B1480" s="1" t="n">
        <v>45367</v>
      </c>
      <c r="C1480" s="1" t="n">
        <v>45826</v>
      </c>
      <c r="D1480" t="inlineStr">
        <is>
          <t>JÄMTLANDS LÄN</t>
        </is>
      </c>
      <c r="E1480" t="inlineStr">
        <is>
          <t>RAGUNDA</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10609-2024</t>
        </is>
      </c>
      <c r="B1481" s="1" t="n">
        <v>45367</v>
      </c>
      <c r="C1481" s="1" t="n">
        <v>45826</v>
      </c>
      <c r="D1481" t="inlineStr">
        <is>
          <t>JÄMTLANDS LÄN</t>
        </is>
      </c>
      <c r="E1481" t="inlineStr">
        <is>
          <t>RAGUNDA</t>
        </is>
      </c>
      <c r="F1481" t="inlineStr">
        <is>
          <t>SCA</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10613-2024</t>
        </is>
      </c>
      <c r="B1482" s="1" t="n">
        <v>45367</v>
      </c>
      <c r="C1482" s="1" t="n">
        <v>45826</v>
      </c>
      <c r="D1482" t="inlineStr">
        <is>
          <t>JÄMTLANDS LÄN</t>
        </is>
      </c>
      <c r="E1482" t="inlineStr">
        <is>
          <t>RAGUNDA</t>
        </is>
      </c>
      <c r="F1482" t="inlineStr">
        <is>
          <t>SCA</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10641-2024</t>
        </is>
      </c>
      <c r="B1483" s="1" t="n">
        <v>45367</v>
      </c>
      <c r="C1483" s="1" t="n">
        <v>45826</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10867-2024</t>
        </is>
      </c>
      <c r="B1484" s="1" t="n">
        <v>45370</v>
      </c>
      <c r="C1484" s="1" t="n">
        <v>45826</v>
      </c>
      <c r="D1484" t="inlineStr">
        <is>
          <t>JÄMTLANDS LÄN</t>
        </is>
      </c>
      <c r="E1484" t="inlineStr">
        <is>
          <t>RAGUNDA</t>
        </is>
      </c>
      <c r="F1484" t="inlineStr">
        <is>
          <t>SCA</t>
        </is>
      </c>
      <c r="G1484" t="n">
        <v>20.8</v>
      </c>
      <c r="H1484" t="n">
        <v>0</v>
      </c>
      <c r="I1484" t="n">
        <v>0</v>
      </c>
      <c r="J1484" t="n">
        <v>0</v>
      </c>
      <c r="K1484" t="n">
        <v>0</v>
      </c>
      <c r="L1484" t="n">
        <v>0</v>
      </c>
      <c r="M1484" t="n">
        <v>0</v>
      </c>
      <c r="N1484" t="n">
        <v>0</v>
      </c>
      <c r="O1484" t="n">
        <v>0</v>
      </c>
      <c r="P1484" t="n">
        <v>0</v>
      </c>
      <c r="Q1484" t="n">
        <v>0</v>
      </c>
      <c r="R1484" s="2" t="inlineStr"/>
    </row>
    <row r="1485" ht="15" customHeight="1">
      <c r="A1485" t="inlineStr">
        <is>
          <t>A 10920-2024</t>
        </is>
      </c>
      <c r="B1485" s="1" t="n">
        <v>45370</v>
      </c>
      <c r="C1485" s="1" t="n">
        <v>45826</v>
      </c>
      <c r="D1485" t="inlineStr">
        <is>
          <t>JÄMTLANDS LÄN</t>
        </is>
      </c>
      <c r="E1485" t="inlineStr">
        <is>
          <t>RAGUNDA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11547-2024</t>
        </is>
      </c>
      <c r="B1486" s="1" t="n">
        <v>45372</v>
      </c>
      <c r="C1486" s="1" t="n">
        <v>45826</v>
      </c>
      <c r="D1486" t="inlineStr">
        <is>
          <t>JÄMTLANDS LÄN</t>
        </is>
      </c>
      <c r="E1486" t="inlineStr">
        <is>
          <t>RAGUNDA</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11551-2024</t>
        </is>
      </c>
      <c r="B1487" s="1" t="n">
        <v>45372</v>
      </c>
      <c r="C1487" s="1" t="n">
        <v>45826</v>
      </c>
      <c r="D1487" t="inlineStr">
        <is>
          <t>JÄMTLANDS LÄN</t>
        </is>
      </c>
      <c r="E1487" t="inlineStr">
        <is>
          <t>RAGUNDA</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11550-2024</t>
        </is>
      </c>
      <c r="B1488" s="1" t="n">
        <v>45372</v>
      </c>
      <c r="C1488" s="1" t="n">
        <v>45826</v>
      </c>
      <c r="D1488" t="inlineStr">
        <is>
          <t>JÄMTLANDS LÄN</t>
        </is>
      </c>
      <c r="E1488" t="inlineStr">
        <is>
          <t>RAGUNDA</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11541-2024</t>
        </is>
      </c>
      <c r="B1489" s="1" t="n">
        <v>45372</v>
      </c>
      <c r="C1489" s="1" t="n">
        <v>45826</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11780-2024</t>
        </is>
      </c>
      <c r="B1490" s="1" t="n">
        <v>45374</v>
      </c>
      <c r="C1490" s="1" t="n">
        <v>45826</v>
      </c>
      <c r="D1490" t="inlineStr">
        <is>
          <t>JÄMTLANDS LÄN</t>
        </is>
      </c>
      <c r="E1490" t="inlineStr">
        <is>
          <t>RAGUNDA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11990-2024</t>
        </is>
      </c>
      <c r="B1491" s="1" t="n">
        <v>45376</v>
      </c>
      <c r="C1491" s="1" t="n">
        <v>45826</v>
      </c>
      <c r="D1491" t="inlineStr">
        <is>
          <t>JÄMTLANDS LÄN</t>
        </is>
      </c>
      <c r="E1491" t="inlineStr">
        <is>
          <t>RAGUNDA</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12201-2024</t>
        </is>
      </c>
      <c r="B1492" s="1" t="n">
        <v>45377</v>
      </c>
      <c r="C1492" s="1" t="n">
        <v>45826</v>
      </c>
      <c r="D1492" t="inlineStr">
        <is>
          <t>JÄMTLANDS LÄN</t>
        </is>
      </c>
      <c r="E1492" t="inlineStr">
        <is>
          <t>RAGUNDA</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12362-2024</t>
        </is>
      </c>
      <c r="B1493" s="1" t="n">
        <v>45378</v>
      </c>
      <c r="C1493" s="1" t="n">
        <v>45826</v>
      </c>
      <c r="D1493" t="inlineStr">
        <is>
          <t>JÄMTLANDS LÄN</t>
        </is>
      </c>
      <c r="E1493" t="inlineStr">
        <is>
          <t>RAGUNDA</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12585-2024</t>
        </is>
      </c>
      <c r="B1494" s="1" t="n">
        <v>45379</v>
      </c>
      <c r="C1494" s="1" t="n">
        <v>45826</v>
      </c>
      <c r="D1494" t="inlineStr">
        <is>
          <t>JÄMTLANDS LÄN</t>
        </is>
      </c>
      <c r="E1494" t="inlineStr">
        <is>
          <t>RAGUNDA</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12653-2024</t>
        </is>
      </c>
      <c r="B1495" s="1" t="n">
        <v>45384</v>
      </c>
      <c r="C1495" s="1" t="n">
        <v>45826</v>
      </c>
      <c r="D1495" t="inlineStr">
        <is>
          <t>JÄMTLANDS LÄN</t>
        </is>
      </c>
      <c r="E1495" t="inlineStr">
        <is>
          <t>RAGUNDA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12660-2024</t>
        </is>
      </c>
      <c r="B1496" s="1" t="n">
        <v>45384</v>
      </c>
      <c r="C1496" s="1" t="n">
        <v>45826</v>
      </c>
      <c r="D1496" t="inlineStr">
        <is>
          <t>JÄMTLANDS LÄN</t>
        </is>
      </c>
      <c r="E1496" t="inlineStr">
        <is>
          <t>RAGUNDA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12867-2024</t>
        </is>
      </c>
      <c r="B1497" s="1" t="n">
        <v>45385</v>
      </c>
      <c r="C1497" s="1" t="n">
        <v>45826</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12868-2024</t>
        </is>
      </c>
      <c r="B1498" s="1" t="n">
        <v>45385</v>
      </c>
      <c r="C1498" s="1" t="n">
        <v>45826</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13299-2024</t>
        </is>
      </c>
      <c r="B1499" s="1" t="n">
        <v>45386</v>
      </c>
      <c r="C1499" s="1" t="n">
        <v>45826</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13335-2024</t>
        </is>
      </c>
      <c r="B1500" s="1" t="n">
        <v>45387</v>
      </c>
      <c r="C1500" s="1" t="n">
        <v>45826</v>
      </c>
      <c r="D1500" t="inlineStr">
        <is>
          <t>JÄMTLANDS LÄN</t>
        </is>
      </c>
      <c r="E1500" t="inlineStr">
        <is>
          <t>RAGUNDA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13336-2024</t>
        </is>
      </c>
      <c r="B1501" s="1" t="n">
        <v>45387</v>
      </c>
      <c r="C1501" s="1" t="n">
        <v>45826</v>
      </c>
      <c r="D1501" t="inlineStr">
        <is>
          <t>JÄMTLANDS LÄN</t>
        </is>
      </c>
      <c r="E1501" t="inlineStr">
        <is>
          <t>RAGUNDA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13322-2024</t>
        </is>
      </c>
      <c r="B1502" s="1" t="n">
        <v>45386</v>
      </c>
      <c r="C1502" s="1" t="n">
        <v>45826</v>
      </c>
      <c r="D1502" t="inlineStr">
        <is>
          <t>JÄMTLANDS LÄN</t>
        </is>
      </c>
      <c r="E1502" t="inlineStr">
        <is>
          <t>RAGUNDA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13334-2024</t>
        </is>
      </c>
      <c r="B1503" s="1" t="n">
        <v>45386</v>
      </c>
      <c r="C1503" s="1" t="n">
        <v>45826</v>
      </c>
      <c r="D1503" t="inlineStr">
        <is>
          <t>JÄMTLANDS LÄN</t>
        </is>
      </c>
      <c r="E1503" t="inlineStr">
        <is>
          <t>RAGUNDA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13547-2024</t>
        </is>
      </c>
      <c r="B1504" s="1" t="n">
        <v>45388</v>
      </c>
      <c r="C1504" s="1" t="n">
        <v>45826</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13628-2024</t>
        </is>
      </c>
      <c r="B1505" s="1" t="n">
        <v>45387</v>
      </c>
      <c r="C1505" s="1" t="n">
        <v>45826</v>
      </c>
      <c r="D1505" t="inlineStr">
        <is>
          <t>JÄMTLANDS LÄN</t>
        </is>
      </c>
      <c r="E1505" t="inlineStr">
        <is>
          <t>RAGUNDA</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13767-2024</t>
        </is>
      </c>
      <c r="B1506" s="1" t="n">
        <v>45390</v>
      </c>
      <c r="C1506" s="1" t="n">
        <v>45826</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13935-2024</t>
        </is>
      </c>
      <c r="B1507" s="1" t="n">
        <v>45392</v>
      </c>
      <c r="C1507" s="1" t="n">
        <v>45826</v>
      </c>
      <c r="D1507" t="inlineStr">
        <is>
          <t>JÄMTLANDS LÄN</t>
        </is>
      </c>
      <c r="E1507" t="inlineStr">
        <is>
          <t>RAGUNDA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14156-2024</t>
        </is>
      </c>
      <c r="B1508" s="1" t="n">
        <v>45392</v>
      </c>
      <c r="C1508" s="1" t="n">
        <v>45826</v>
      </c>
      <c r="D1508" t="inlineStr">
        <is>
          <t>JÄMTLANDS LÄN</t>
        </is>
      </c>
      <c r="E1508" t="inlineStr">
        <is>
          <t>RAGUNDA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14016-2024</t>
        </is>
      </c>
      <c r="B1509" s="1" t="n">
        <v>45392</v>
      </c>
      <c r="C1509" s="1" t="n">
        <v>45826</v>
      </c>
      <c r="D1509" t="inlineStr">
        <is>
          <t>JÄMTLANDS LÄN</t>
        </is>
      </c>
      <c r="E1509" t="inlineStr">
        <is>
          <t>RAGUNDA</t>
        </is>
      </c>
      <c r="F1509" t="inlineStr">
        <is>
          <t>Kyrkan</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14151-2024</t>
        </is>
      </c>
      <c r="B1510" s="1" t="n">
        <v>45393</v>
      </c>
      <c r="C1510" s="1" t="n">
        <v>45826</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14158-2024</t>
        </is>
      </c>
      <c r="B1511" s="1" t="n">
        <v>45392</v>
      </c>
      <c r="C1511" s="1" t="n">
        <v>45826</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14157-2024</t>
        </is>
      </c>
      <c r="B1512" s="1" t="n">
        <v>45393</v>
      </c>
      <c r="C1512" s="1" t="n">
        <v>45826</v>
      </c>
      <c r="D1512" t="inlineStr">
        <is>
          <t>JÄMTLANDS LÄN</t>
        </is>
      </c>
      <c r="E1512" t="inlineStr">
        <is>
          <t>RAGUNDA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14368-2024</t>
        </is>
      </c>
      <c r="B1513" s="1" t="n">
        <v>45394</v>
      </c>
      <c r="C1513" s="1" t="n">
        <v>45826</v>
      </c>
      <c r="D1513" t="inlineStr">
        <is>
          <t>JÄMTLANDS LÄN</t>
        </is>
      </c>
      <c r="E1513" t="inlineStr">
        <is>
          <t>RAGUNDA</t>
        </is>
      </c>
      <c r="F1513" t="inlineStr">
        <is>
          <t>Naturvårdsverket</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14369-2024</t>
        </is>
      </c>
      <c r="B1514" s="1" t="n">
        <v>45394</v>
      </c>
      <c r="C1514" s="1" t="n">
        <v>45826</v>
      </c>
      <c r="D1514" t="inlineStr">
        <is>
          <t>JÄMTLANDS LÄN</t>
        </is>
      </c>
      <c r="E1514" t="inlineStr">
        <is>
          <t>RAGUNDA</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14566-2024</t>
        </is>
      </c>
      <c r="B1515" s="1" t="n">
        <v>45395</v>
      </c>
      <c r="C1515" s="1" t="n">
        <v>45826</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14540-2024</t>
        </is>
      </c>
      <c r="B1516" s="1" t="n">
        <v>45394</v>
      </c>
      <c r="C1516" s="1" t="n">
        <v>45826</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14813-2024</t>
        </is>
      </c>
      <c r="B1517" s="1" t="n">
        <v>45398</v>
      </c>
      <c r="C1517" s="1" t="n">
        <v>45826</v>
      </c>
      <c r="D1517" t="inlineStr">
        <is>
          <t>JÄMTLANDS LÄN</t>
        </is>
      </c>
      <c r="E1517" t="inlineStr">
        <is>
          <t>RAGUNDA</t>
        </is>
      </c>
      <c r="F1517" t="inlineStr">
        <is>
          <t>SCA</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15583-2024</t>
        </is>
      </c>
      <c r="B1518" s="1" t="n">
        <v>45401</v>
      </c>
      <c r="C1518" s="1" t="n">
        <v>45826</v>
      </c>
      <c r="D1518" t="inlineStr">
        <is>
          <t>JÄMTLANDS LÄN</t>
        </is>
      </c>
      <c r="E1518" t="inlineStr">
        <is>
          <t>RAGUNDA</t>
        </is>
      </c>
      <c r="F1518" t="inlineStr">
        <is>
          <t>Kommuner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15611-2024</t>
        </is>
      </c>
      <c r="B1519" s="1" t="n">
        <v>45401</v>
      </c>
      <c r="C1519" s="1" t="n">
        <v>45826</v>
      </c>
      <c r="D1519" t="inlineStr">
        <is>
          <t>JÄMTLANDS LÄN</t>
        </is>
      </c>
      <c r="E1519" t="inlineStr">
        <is>
          <t>RAGUNDA</t>
        </is>
      </c>
      <c r="F1519" t="inlineStr">
        <is>
          <t>SCA</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15581-2024</t>
        </is>
      </c>
      <c r="B1520" s="1" t="n">
        <v>45401</v>
      </c>
      <c r="C1520" s="1" t="n">
        <v>45826</v>
      </c>
      <c r="D1520" t="inlineStr">
        <is>
          <t>JÄMTLANDS LÄN</t>
        </is>
      </c>
      <c r="E1520" t="inlineStr">
        <is>
          <t>RAGUNDA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15585-2024</t>
        </is>
      </c>
      <c r="B1521" s="1" t="n">
        <v>45401</v>
      </c>
      <c r="C1521" s="1" t="n">
        <v>45826</v>
      </c>
      <c r="D1521" t="inlineStr">
        <is>
          <t>JÄMTLANDS LÄN</t>
        </is>
      </c>
      <c r="E1521" t="inlineStr">
        <is>
          <t>RAGUNDA</t>
        </is>
      </c>
      <c r="F1521" t="inlineStr">
        <is>
          <t>Kommuner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15864-2024</t>
        </is>
      </c>
      <c r="B1522" s="1" t="n">
        <v>45405</v>
      </c>
      <c r="C1522" s="1" t="n">
        <v>45826</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15842-2024</t>
        </is>
      </c>
      <c r="B1523" s="1" t="n">
        <v>45405</v>
      </c>
      <c r="C1523" s="1" t="n">
        <v>45826</v>
      </c>
      <c r="D1523" t="inlineStr">
        <is>
          <t>JÄMTLANDS LÄN</t>
        </is>
      </c>
      <c r="E1523" t="inlineStr">
        <is>
          <t>RAGUNDA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16698-2024</t>
        </is>
      </c>
      <c r="B1524" s="1" t="n">
        <v>45409</v>
      </c>
      <c r="C1524" s="1" t="n">
        <v>45826</v>
      </c>
      <c r="D1524" t="inlineStr">
        <is>
          <t>JÄMTLANDS LÄN</t>
        </is>
      </c>
      <c r="E1524" t="inlineStr">
        <is>
          <t>RAGUNDA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16982-2024</t>
        </is>
      </c>
      <c r="B1525" s="1" t="n">
        <v>45412</v>
      </c>
      <c r="C1525" s="1" t="n">
        <v>45826</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17208-2024</t>
        </is>
      </c>
      <c r="B1526" s="1" t="n">
        <v>45414</v>
      </c>
      <c r="C1526" s="1" t="n">
        <v>45826</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17443-2024</t>
        </is>
      </c>
      <c r="B1527" s="1" t="n">
        <v>45415</v>
      </c>
      <c r="C1527" s="1" t="n">
        <v>45826</v>
      </c>
      <c r="D1527" t="inlineStr">
        <is>
          <t>JÄMTLANDS LÄN</t>
        </is>
      </c>
      <c r="E1527" t="inlineStr">
        <is>
          <t>RAGUNDA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17521-2024</t>
        </is>
      </c>
      <c r="B1528" s="1" t="n">
        <v>45415</v>
      </c>
      <c r="C1528" s="1" t="n">
        <v>45826</v>
      </c>
      <c r="D1528" t="inlineStr">
        <is>
          <t>JÄMTLANDS LÄN</t>
        </is>
      </c>
      <c r="E1528" t="inlineStr">
        <is>
          <t>RAGUNDA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17595-2024</t>
        </is>
      </c>
      <c r="B1529" s="1" t="n">
        <v>45416</v>
      </c>
      <c r="C1529" s="1" t="n">
        <v>45826</v>
      </c>
      <c r="D1529" t="inlineStr">
        <is>
          <t>JÄMTLANDS LÄN</t>
        </is>
      </c>
      <c r="E1529" t="inlineStr">
        <is>
          <t>RAGUNDA</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18225-2024</t>
        </is>
      </c>
      <c r="B1530" s="1" t="n">
        <v>45420</v>
      </c>
      <c r="C1530" s="1" t="n">
        <v>45826</v>
      </c>
      <c r="D1530" t="inlineStr">
        <is>
          <t>JÄMTLANDS LÄN</t>
        </is>
      </c>
      <c r="E1530" t="inlineStr">
        <is>
          <t>RAGUNDA</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18615-2024</t>
        </is>
      </c>
      <c r="B1531" s="1" t="n">
        <v>45426</v>
      </c>
      <c r="C1531" s="1" t="n">
        <v>45826</v>
      </c>
      <c r="D1531" t="inlineStr">
        <is>
          <t>JÄMTLANDS LÄN</t>
        </is>
      </c>
      <c r="E1531" t="inlineStr">
        <is>
          <t>RAGUNDA</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18631-2024</t>
        </is>
      </c>
      <c r="B1532" s="1" t="n">
        <v>45426</v>
      </c>
      <c r="C1532" s="1" t="n">
        <v>45826</v>
      </c>
      <c r="D1532" t="inlineStr">
        <is>
          <t>JÄMTLANDS LÄN</t>
        </is>
      </c>
      <c r="E1532" t="inlineStr">
        <is>
          <t>RAGUNDA</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18635-2024</t>
        </is>
      </c>
      <c r="B1533" s="1" t="n">
        <v>45426</v>
      </c>
      <c r="C1533" s="1" t="n">
        <v>45826</v>
      </c>
      <c r="D1533" t="inlineStr">
        <is>
          <t>JÄMTLANDS LÄN</t>
        </is>
      </c>
      <c r="E1533" t="inlineStr">
        <is>
          <t>RAGUNDA</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18612-2024</t>
        </is>
      </c>
      <c r="B1534" s="1" t="n">
        <v>45426</v>
      </c>
      <c r="C1534" s="1" t="n">
        <v>45826</v>
      </c>
      <c r="D1534" t="inlineStr">
        <is>
          <t>JÄMTLANDS LÄN</t>
        </is>
      </c>
      <c r="E1534" t="inlineStr">
        <is>
          <t>RAGUNDA</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18636-2024</t>
        </is>
      </c>
      <c r="B1535" s="1" t="n">
        <v>45426</v>
      </c>
      <c r="C1535" s="1" t="n">
        <v>45826</v>
      </c>
      <c r="D1535" t="inlineStr">
        <is>
          <t>JÄMTLANDS LÄN</t>
        </is>
      </c>
      <c r="E1535" t="inlineStr">
        <is>
          <t>RAGUNDA</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18610-2024</t>
        </is>
      </c>
      <c r="B1536" s="1" t="n">
        <v>45426</v>
      </c>
      <c r="C1536" s="1" t="n">
        <v>45826</v>
      </c>
      <c r="D1536" t="inlineStr">
        <is>
          <t>JÄMTLANDS LÄN</t>
        </is>
      </c>
      <c r="E1536" t="inlineStr">
        <is>
          <t>RAGUNDA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18614-2024</t>
        </is>
      </c>
      <c r="B1537" s="1" t="n">
        <v>45426</v>
      </c>
      <c r="C1537" s="1" t="n">
        <v>45826</v>
      </c>
      <c r="D1537" t="inlineStr">
        <is>
          <t>JÄMTLANDS LÄN</t>
        </is>
      </c>
      <c r="E1537" t="inlineStr">
        <is>
          <t>RAGUNDA</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18782-2024</t>
        </is>
      </c>
      <c r="B1538" s="1" t="n">
        <v>45426</v>
      </c>
      <c r="C1538" s="1" t="n">
        <v>45826</v>
      </c>
      <c r="D1538" t="inlineStr">
        <is>
          <t>JÄMTLANDS LÄN</t>
        </is>
      </c>
      <c r="E1538" t="inlineStr">
        <is>
          <t>RAGUNDA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18777-2024</t>
        </is>
      </c>
      <c r="B1539" s="1" t="n">
        <v>45426</v>
      </c>
      <c r="C1539" s="1" t="n">
        <v>45826</v>
      </c>
      <c r="D1539" t="inlineStr">
        <is>
          <t>JÄMTLANDS LÄN</t>
        </is>
      </c>
      <c r="E1539" t="inlineStr">
        <is>
          <t>RAGUNDA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18781-2024</t>
        </is>
      </c>
      <c r="B1540" s="1" t="n">
        <v>45426</v>
      </c>
      <c r="C1540" s="1" t="n">
        <v>45826</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18778-2024</t>
        </is>
      </c>
      <c r="B1541" s="1" t="n">
        <v>45426</v>
      </c>
      <c r="C1541" s="1" t="n">
        <v>45826</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19089-2024</t>
        </is>
      </c>
      <c r="B1542" s="1" t="n">
        <v>45428</v>
      </c>
      <c r="C1542" s="1" t="n">
        <v>45826</v>
      </c>
      <c r="D1542" t="inlineStr">
        <is>
          <t>JÄMTLANDS LÄN</t>
        </is>
      </c>
      <c r="E1542" t="inlineStr">
        <is>
          <t>RAGUNDA</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19329-2024</t>
        </is>
      </c>
      <c r="B1543" s="1" t="n">
        <v>45429</v>
      </c>
      <c r="C1543" s="1" t="n">
        <v>45826</v>
      </c>
      <c r="D1543" t="inlineStr">
        <is>
          <t>JÄMTLANDS LÄN</t>
        </is>
      </c>
      <c r="E1543" t="inlineStr">
        <is>
          <t>RAGUNDA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19335-2024</t>
        </is>
      </c>
      <c r="B1544" s="1" t="n">
        <v>45429</v>
      </c>
      <c r="C1544" s="1" t="n">
        <v>45826</v>
      </c>
      <c r="D1544" t="inlineStr">
        <is>
          <t>JÄMTLANDS LÄN</t>
        </is>
      </c>
      <c r="E1544" t="inlineStr">
        <is>
          <t>RAGUNDA</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19419-2024</t>
        </is>
      </c>
      <c r="B1545" s="1" t="n">
        <v>45429</v>
      </c>
      <c r="C1545" s="1" t="n">
        <v>45826</v>
      </c>
      <c r="D1545" t="inlineStr">
        <is>
          <t>JÄMTLANDS LÄN</t>
        </is>
      </c>
      <c r="E1545" t="inlineStr">
        <is>
          <t>RAGUNDA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19486-2024</t>
        </is>
      </c>
      <c r="B1546" s="1" t="n">
        <v>45429</v>
      </c>
      <c r="C1546" s="1" t="n">
        <v>45826</v>
      </c>
      <c r="D1546" t="inlineStr">
        <is>
          <t>JÄMTLANDS LÄN</t>
        </is>
      </c>
      <c r="E1546" t="inlineStr">
        <is>
          <t>RAGUNDA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19850-2024</t>
        </is>
      </c>
      <c r="B1547" s="1" t="n">
        <v>45433</v>
      </c>
      <c r="C1547" s="1" t="n">
        <v>45826</v>
      </c>
      <c r="D1547" t="inlineStr">
        <is>
          <t>JÄMTLANDS LÄN</t>
        </is>
      </c>
      <c r="E1547" t="inlineStr">
        <is>
          <t>RAGUNDA</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19897-2024</t>
        </is>
      </c>
      <c r="B1548" s="1" t="n">
        <v>45433</v>
      </c>
      <c r="C1548" s="1" t="n">
        <v>45826</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19997-2024</t>
        </is>
      </c>
      <c r="B1549" s="1" t="n">
        <v>45434</v>
      </c>
      <c r="C1549" s="1" t="n">
        <v>45826</v>
      </c>
      <c r="D1549" t="inlineStr">
        <is>
          <t>JÄMTLANDS LÄN</t>
        </is>
      </c>
      <c r="E1549" t="inlineStr">
        <is>
          <t>RAGUNDA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20426-2024</t>
        </is>
      </c>
      <c r="B1550" s="1" t="n">
        <v>45435</v>
      </c>
      <c r="C1550" s="1" t="n">
        <v>45826</v>
      </c>
      <c r="D1550" t="inlineStr">
        <is>
          <t>JÄMTLANDS LÄN</t>
        </is>
      </c>
      <c r="E1550" t="inlineStr">
        <is>
          <t>RAGUNDA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20363-2024</t>
        </is>
      </c>
      <c r="B1551" s="1" t="n">
        <v>45435</v>
      </c>
      <c r="C1551" s="1" t="n">
        <v>45826</v>
      </c>
      <c r="D1551" t="inlineStr">
        <is>
          <t>JÄMTLANDS LÄN</t>
        </is>
      </c>
      <c r="E1551" t="inlineStr">
        <is>
          <t>RAGUNDA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20770-2024</t>
        </is>
      </c>
      <c r="B1552" s="1" t="n">
        <v>45437</v>
      </c>
      <c r="C1552" s="1" t="n">
        <v>45826</v>
      </c>
      <c r="D1552" t="inlineStr">
        <is>
          <t>JÄMTLANDS LÄN</t>
        </is>
      </c>
      <c r="E1552" t="inlineStr">
        <is>
          <t>RAGUNDA</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20773-2024</t>
        </is>
      </c>
      <c r="B1553" s="1" t="n">
        <v>45437</v>
      </c>
      <c r="C1553" s="1" t="n">
        <v>45826</v>
      </c>
      <c r="D1553" t="inlineStr">
        <is>
          <t>JÄMTLANDS LÄN</t>
        </is>
      </c>
      <c r="E1553" t="inlineStr">
        <is>
          <t>RAGUNDA</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20772-2024</t>
        </is>
      </c>
      <c r="B1554" s="1" t="n">
        <v>45437</v>
      </c>
      <c r="C1554" s="1" t="n">
        <v>45826</v>
      </c>
      <c r="D1554" t="inlineStr">
        <is>
          <t>JÄMTLANDS LÄN</t>
        </is>
      </c>
      <c r="E1554" t="inlineStr">
        <is>
          <t>RAGUNDA</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21082-2024</t>
        </is>
      </c>
      <c r="B1555" s="1" t="n">
        <v>45440</v>
      </c>
      <c r="C1555" s="1" t="n">
        <v>45826</v>
      </c>
      <c r="D1555" t="inlineStr">
        <is>
          <t>JÄMTLANDS LÄN</t>
        </is>
      </c>
      <c r="E1555" t="inlineStr">
        <is>
          <t>RAGUNDA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21083-2024</t>
        </is>
      </c>
      <c r="B1556" s="1" t="n">
        <v>45440</v>
      </c>
      <c r="C1556" s="1" t="n">
        <v>45826</v>
      </c>
      <c r="D1556" t="inlineStr">
        <is>
          <t>JÄMTLANDS LÄN</t>
        </is>
      </c>
      <c r="E1556" t="inlineStr">
        <is>
          <t>RAGUNDA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21105-2024</t>
        </is>
      </c>
      <c r="B1557" s="1" t="n">
        <v>45440</v>
      </c>
      <c r="C1557" s="1" t="n">
        <v>45826</v>
      </c>
      <c r="D1557" t="inlineStr">
        <is>
          <t>JÄMTLANDS LÄN</t>
        </is>
      </c>
      <c r="E1557" t="inlineStr">
        <is>
          <t>RAGUNDA</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21401-2024</t>
        </is>
      </c>
      <c r="B1558" s="1" t="n">
        <v>45441</v>
      </c>
      <c r="C1558" s="1" t="n">
        <v>45826</v>
      </c>
      <c r="D1558" t="inlineStr">
        <is>
          <t>JÄMTLANDS LÄN</t>
        </is>
      </c>
      <c r="E1558" t="inlineStr">
        <is>
          <t>RAGUNDA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21524-2024</t>
        </is>
      </c>
      <c r="B1559" s="1" t="n">
        <v>45441</v>
      </c>
      <c r="C1559" s="1" t="n">
        <v>45826</v>
      </c>
      <c r="D1559" t="inlineStr">
        <is>
          <t>JÄMTLANDS LÄN</t>
        </is>
      </c>
      <c r="E1559" t="inlineStr">
        <is>
          <t>RAGUNDA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21853-2024</t>
        </is>
      </c>
      <c r="B1560" s="1" t="n">
        <v>45443</v>
      </c>
      <c r="C1560" s="1" t="n">
        <v>45826</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22412-2024</t>
        </is>
      </c>
      <c r="B1561" s="1" t="n">
        <v>45446</v>
      </c>
      <c r="C1561" s="1" t="n">
        <v>45826</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22482-2024</t>
        </is>
      </c>
      <c r="B1562" s="1" t="n">
        <v>45447</v>
      </c>
      <c r="C1562" s="1" t="n">
        <v>45826</v>
      </c>
      <c r="D1562" t="inlineStr">
        <is>
          <t>JÄMTLANDS LÄN</t>
        </is>
      </c>
      <c r="E1562" t="inlineStr">
        <is>
          <t>RAGUNDA</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22311-2024</t>
        </is>
      </c>
      <c r="B1563" s="1" t="n">
        <v>45446</v>
      </c>
      <c r="C1563" s="1" t="n">
        <v>45826</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22948-2024</t>
        </is>
      </c>
      <c r="B1564" s="1" t="n">
        <v>45449</v>
      </c>
      <c r="C1564" s="1" t="n">
        <v>45826</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22941-2024</t>
        </is>
      </c>
      <c r="B1565" s="1" t="n">
        <v>45449</v>
      </c>
      <c r="C1565" s="1" t="n">
        <v>45826</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22951-2024</t>
        </is>
      </c>
      <c r="B1566" s="1" t="n">
        <v>45449</v>
      </c>
      <c r="C1566" s="1" t="n">
        <v>45826</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23223-2024</t>
        </is>
      </c>
      <c r="B1567" s="1" t="n">
        <v>45453</v>
      </c>
      <c r="C1567" s="1" t="n">
        <v>45826</v>
      </c>
      <c r="D1567" t="inlineStr">
        <is>
          <t>JÄMTLANDS LÄN</t>
        </is>
      </c>
      <c r="E1567" t="inlineStr">
        <is>
          <t>RAGUNDA</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23287-2024</t>
        </is>
      </c>
      <c r="B1568" s="1" t="n">
        <v>45453</v>
      </c>
      <c r="C1568" s="1" t="n">
        <v>45826</v>
      </c>
      <c r="D1568" t="inlineStr">
        <is>
          <t>JÄMTLANDS LÄN</t>
        </is>
      </c>
      <c r="E1568" t="inlineStr">
        <is>
          <t>RAGUNDA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23303-2024</t>
        </is>
      </c>
      <c r="B1569" s="1" t="n">
        <v>45453</v>
      </c>
      <c r="C1569" s="1" t="n">
        <v>45826</v>
      </c>
      <c r="D1569" t="inlineStr">
        <is>
          <t>JÄMTLANDS LÄN</t>
        </is>
      </c>
      <c r="E1569" t="inlineStr">
        <is>
          <t>RAGUNDA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23312-2024</t>
        </is>
      </c>
      <c r="B1570" s="1" t="n">
        <v>45453</v>
      </c>
      <c r="C1570" s="1" t="n">
        <v>45826</v>
      </c>
      <c r="D1570" t="inlineStr">
        <is>
          <t>JÄMTLANDS LÄN</t>
        </is>
      </c>
      <c r="E1570" t="inlineStr">
        <is>
          <t>RAGUNDA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23528-2024</t>
        </is>
      </c>
      <c r="B1571" s="1" t="n">
        <v>45454</v>
      </c>
      <c r="C1571" s="1" t="n">
        <v>45826</v>
      </c>
      <c r="D1571" t="inlineStr">
        <is>
          <t>JÄMTLANDS LÄN</t>
        </is>
      </c>
      <c r="E1571" t="inlineStr">
        <is>
          <t>RAGUNDA</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23535-2024</t>
        </is>
      </c>
      <c r="B1572" s="1" t="n">
        <v>45454</v>
      </c>
      <c r="C1572" s="1" t="n">
        <v>45826</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23567-2024</t>
        </is>
      </c>
      <c r="B1573" s="1" t="n">
        <v>45454</v>
      </c>
      <c r="C1573" s="1" t="n">
        <v>45826</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23727-2024</t>
        </is>
      </c>
      <c r="B1574" s="1" t="n">
        <v>45455</v>
      </c>
      <c r="C1574" s="1" t="n">
        <v>45826</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23734-2024</t>
        </is>
      </c>
      <c r="B1575" s="1" t="n">
        <v>45455</v>
      </c>
      <c r="C1575" s="1" t="n">
        <v>45826</v>
      </c>
      <c r="D1575" t="inlineStr">
        <is>
          <t>JÄMTLANDS LÄN</t>
        </is>
      </c>
      <c r="E1575" t="inlineStr">
        <is>
          <t>RAGUNDA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23726-2024</t>
        </is>
      </c>
      <c r="B1576" s="1" t="n">
        <v>45455</v>
      </c>
      <c r="C1576" s="1" t="n">
        <v>45826</v>
      </c>
      <c r="D1576" t="inlineStr">
        <is>
          <t>JÄMTLANDS LÄN</t>
        </is>
      </c>
      <c r="E1576" t="inlineStr">
        <is>
          <t>RAGUNDA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24207-2024</t>
        </is>
      </c>
      <c r="B1577" s="1" t="n">
        <v>45457</v>
      </c>
      <c r="C1577" s="1" t="n">
        <v>45826</v>
      </c>
      <c r="D1577" t="inlineStr">
        <is>
          <t>JÄMTLANDS LÄN</t>
        </is>
      </c>
      <c r="E1577" t="inlineStr">
        <is>
          <t>RAGUNDA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24197-2024</t>
        </is>
      </c>
      <c r="B1578" s="1" t="n">
        <v>45457</v>
      </c>
      <c r="C1578" s="1" t="n">
        <v>45826</v>
      </c>
      <c r="D1578" t="inlineStr">
        <is>
          <t>JÄMTLANDS LÄN</t>
        </is>
      </c>
      <c r="E1578" t="inlineStr">
        <is>
          <t>RAGUNDA</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24196-2024</t>
        </is>
      </c>
      <c r="B1579" s="1" t="n">
        <v>45457</v>
      </c>
      <c r="C1579" s="1" t="n">
        <v>45826</v>
      </c>
      <c r="D1579" t="inlineStr">
        <is>
          <t>JÄMTLANDS LÄN</t>
        </is>
      </c>
      <c r="E1579" t="inlineStr">
        <is>
          <t>RAGUNDA</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24224-2024</t>
        </is>
      </c>
      <c r="B1580" s="1" t="n">
        <v>45457</v>
      </c>
      <c r="C1580" s="1" t="n">
        <v>45826</v>
      </c>
      <c r="D1580" t="inlineStr">
        <is>
          <t>JÄMTLANDS LÄN</t>
        </is>
      </c>
      <c r="E1580" t="inlineStr">
        <is>
          <t>RAGUNDA</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24441-2024</t>
        </is>
      </c>
      <c r="B1581" s="1" t="n">
        <v>45458</v>
      </c>
      <c r="C1581" s="1" t="n">
        <v>45826</v>
      </c>
      <c r="D1581" t="inlineStr">
        <is>
          <t>JÄMTLANDS LÄN</t>
        </is>
      </c>
      <c r="E1581" t="inlineStr">
        <is>
          <t>RAGUNDA</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25366-2024</t>
        </is>
      </c>
      <c r="B1582" s="1" t="n">
        <v>45463</v>
      </c>
      <c r="C1582" s="1" t="n">
        <v>45826</v>
      </c>
      <c r="D1582" t="inlineStr">
        <is>
          <t>JÄMTLANDS LÄN</t>
        </is>
      </c>
      <c r="E1582" t="inlineStr">
        <is>
          <t>RAGUNDA</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25193-2024</t>
        </is>
      </c>
      <c r="B1583" s="1" t="n">
        <v>45462</v>
      </c>
      <c r="C1583" s="1" t="n">
        <v>45826</v>
      </c>
      <c r="D1583" t="inlineStr">
        <is>
          <t>JÄMTLANDS LÄN</t>
        </is>
      </c>
      <c r="E1583" t="inlineStr">
        <is>
          <t>RAGUNDA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25353-2024</t>
        </is>
      </c>
      <c r="B1584" s="1" t="n">
        <v>45463</v>
      </c>
      <c r="C1584" s="1" t="n">
        <v>45826</v>
      </c>
      <c r="D1584" t="inlineStr">
        <is>
          <t>JÄMTLANDS LÄN</t>
        </is>
      </c>
      <c r="E1584" t="inlineStr">
        <is>
          <t>RAGUNDA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25683-2024</t>
        </is>
      </c>
      <c r="B1585" s="1" t="n">
        <v>45464</v>
      </c>
      <c r="C1585" s="1" t="n">
        <v>45826</v>
      </c>
      <c r="D1585" t="inlineStr">
        <is>
          <t>JÄMTLANDS LÄN</t>
        </is>
      </c>
      <c r="E1585" t="inlineStr">
        <is>
          <t>RAGUNDA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25684-2024</t>
        </is>
      </c>
      <c r="B1586" s="1" t="n">
        <v>45464</v>
      </c>
      <c r="C1586" s="1" t="n">
        <v>45826</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25720-2024</t>
        </is>
      </c>
      <c r="B1587" s="1" t="n">
        <v>45464</v>
      </c>
      <c r="C1587" s="1" t="n">
        <v>45826</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25685-2024</t>
        </is>
      </c>
      <c r="B1588" s="1" t="n">
        <v>45464</v>
      </c>
      <c r="C1588" s="1" t="n">
        <v>45826</v>
      </c>
      <c r="D1588" t="inlineStr">
        <is>
          <t>JÄMTLANDS LÄN</t>
        </is>
      </c>
      <c r="E1588" t="inlineStr">
        <is>
          <t>RAGUNDA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26026-2024</t>
        </is>
      </c>
      <c r="B1589" s="1" t="n">
        <v>45468</v>
      </c>
      <c r="C1589" s="1" t="n">
        <v>45826</v>
      </c>
      <c r="D1589" t="inlineStr">
        <is>
          <t>JÄMTLANDS LÄN</t>
        </is>
      </c>
      <c r="E1589" t="inlineStr">
        <is>
          <t>RAGUNDA</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26282-2024</t>
        </is>
      </c>
      <c r="B1590" s="1" t="n">
        <v>45468</v>
      </c>
      <c r="C1590" s="1" t="n">
        <v>45826</v>
      </c>
      <c r="D1590" t="inlineStr">
        <is>
          <t>JÄMTLANDS LÄN</t>
        </is>
      </c>
      <c r="E1590" t="inlineStr">
        <is>
          <t>RAGUNDA</t>
        </is>
      </c>
      <c r="F1590" t="inlineStr">
        <is>
          <t>Kommuner</t>
        </is>
      </c>
      <c r="G1590" t="n">
        <v>20</v>
      </c>
      <c r="H1590" t="n">
        <v>0</v>
      </c>
      <c r="I1590" t="n">
        <v>0</v>
      </c>
      <c r="J1590" t="n">
        <v>0</v>
      </c>
      <c r="K1590" t="n">
        <v>0</v>
      </c>
      <c r="L1590" t="n">
        <v>0</v>
      </c>
      <c r="M1590" t="n">
        <v>0</v>
      </c>
      <c r="N1590" t="n">
        <v>0</v>
      </c>
      <c r="O1590" t="n">
        <v>0</v>
      </c>
      <c r="P1590" t="n">
        <v>0</v>
      </c>
      <c r="Q1590" t="n">
        <v>0</v>
      </c>
      <c r="R1590" s="2" t="inlineStr"/>
    </row>
    <row r="1591" ht="15" customHeight="1">
      <c r="A1591" t="inlineStr">
        <is>
          <t>A 26300-2024</t>
        </is>
      </c>
      <c r="B1591" s="1" t="n">
        <v>45469</v>
      </c>
      <c r="C1591" s="1" t="n">
        <v>45826</v>
      </c>
      <c r="D1591" t="inlineStr">
        <is>
          <t>JÄMTLANDS LÄN</t>
        </is>
      </c>
      <c r="E1591" t="inlineStr">
        <is>
          <t>RAGUNDA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26651-2024</t>
        </is>
      </c>
      <c r="B1592" s="1" t="n">
        <v>45470</v>
      </c>
      <c r="C1592" s="1" t="n">
        <v>45826</v>
      </c>
      <c r="D1592" t="inlineStr">
        <is>
          <t>JÄMTLANDS LÄN</t>
        </is>
      </c>
      <c r="E1592" t="inlineStr">
        <is>
          <t>RAGUNDA</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26645-2024</t>
        </is>
      </c>
      <c r="B1593" s="1" t="n">
        <v>45470</v>
      </c>
      <c r="C1593" s="1" t="n">
        <v>45826</v>
      </c>
      <c r="D1593" t="inlineStr">
        <is>
          <t>JÄMTLANDS LÄN</t>
        </is>
      </c>
      <c r="E1593" t="inlineStr">
        <is>
          <t>RAGUNDA</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26652-2024</t>
        </is>
      </c>
      <c r="B1594" s="1" t="n">
        <v>45470</v>
      </c>
      <c r="C1594" s="1" t="n">
        <v>45826</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26768-2024</t>
        </is>
      </c>
      <c r="B1595" s="1" t="n">
        <v>45470</v>
      </c>
      <c r="C1595" s="1" t="n">
        <v>45826</v>
      </c>
      <c r="D1595" t="inlineStr">
        <is>
          <t>JÄMTLANDS LÄN</t>
        </is>
      </c>
      <c r="E1595" t="inlineStr">
        <is>
          <t>RAGUNDA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27307-2024</t>
        </is>
      </c>
      <c r="B1596" s="1" t="n">
        <v>45472</v>
      </c>
      <c r="C1596" s="1" t="n">
        <v>45826</v>
      </c>
      <c r="D1596" t="inlineStr">
        <is>
          <t>JÄMTLANDS LÄN</t>
        </is>
      </c>
      <c r="E1596" t="inlineStr">
        <is>
          <t>RAGUNDA</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27499-2024</t>
        </is>
      </c>
      <c r="B1597" s="1" t="n">
        <v>45474</v>
      </c>
      <c r="C1597" s="1" t="n">
        <v>45826</v>
      </c>
      <c r="D1597" t="inlineStr">
        <is>
          <t>JÄMTLANDS LÄN</t>
        </is>
      </c>
      <c r="E1597" t="inlineStr">
        <is>
          <t>RAGUNDA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27647-2024</t>
        </is>
      </c>
      <c r="B1598" s="1" t="n">
        <v>45475</v>
      </c>
      <c r="C1598" s="1" t="n">
        <v>45826</v>
      </c>
      <c r="D1598" t="inlineStr">
        <is>
          <t>JÄMTLANDS LÄN</t>
        </is>
      </c>
      <c r="E1598" t="inlineStr">
        <is>
          <t>RAGUNDA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27632-2024</t>
        </is>
      </c>
      <c r="B1599" s="1" t="n">
        <v>45475</v>
      </c>
      <c r="C1599" s="1" t="n">
        <v>45826</v>
      </c>
      <c r="D1599" t="inlineStr">
        <is>
          <t>JÄMTLANDS LÄN</t>
        </is>
      </c>
      <c r="E1599" t="inlineStr">
        <is>
          <t>RAGUNDA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27934-2024</t>
        </is>
      </c>
      <c r="B1600" s="1" t="n">
        <v>45476</v>
      </c>
      <c r="C1600" s="1" t="n">
        <v>45826</v>
      </c>
      <c r="D1600" t="inlineStr">
        <is>
          <t>JÄMTLANDS LÄN</t>
        </is>
      </c>
      <c r="E1600" t="inlineStr">
        <is>
          <t>RAGUNDA</t>
        </is>
      </c>
      <c r="F1600" t="inlineStr">
        <is>
          <t>SCA</t>
        </is>
      </c>
      <c r="G1600" t="n">
        <v>16.8</v>
      </c>
      <c r="H1600" t="n">
        <v>0</v>
      </c>
      <c r="I1600" t="n">
        <v>0</v>
      </c>
      <c r="J1600" t="n">
        <v>0</v>
      </c>
      <c r="K1600" t="n">
        <v>0</v>
      </c>
      <c r="L1600" t="n">
        <v>0</v>
      </c>
      <c r="M1600" t="n">
        <v>0</v>
      </c>
      <c r="N1600" t="n">
        <v>0</v>
      </c>
      <c r="O1600" t="n">
        <v>0</v>
      </c>
      <c r="P1600" t="n">
        <v>0</v>
      </c>
      <c r="Q1600" t="n">
        <v>0</v>
      </c>
      <c r="R1600" s="2" t="inlineStr"/>
    </row>
    <row r="1601" ht="15" customHeight="1">
      <c r="A1601" t="inlineStr">
        <is>
          <t>A 27899-2024</t>
        </is>
      </c>
      <c r="B1601" s="1" t="n">
        <v>45476</v>
      </c>
      <c r="C1601" s="1" t="n">
        <v>45826</v>
      </c>
      <c r="D1601" t="inlineStr">
        <is>
          <t>JÄMTLANDS LÄN</t>
        </is>
      </c>
      <c r="E1601" t="inlineStr">
        <is>
          <t>RAGUNDA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28173-2024</t>
        </is>
      </c>
      <c r="B1602" s="1" t="n">
        <v>45477</v>
      </c>
      <c r="C1602" s="1" t="n">
        <v>45826</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28500-2024</t>
        </is>
      </c>
      <c r="B1603" s="1" t="n">
        <v>45478</v>
      </c>
      <c r="C1603" s="1" t="n">
        <v>45826</v>
      </c>
      <c r="D1603" t="inlineStr">
        <is>
          <t>JÄMTLANDS LÄN</t>
        </is>
      </c>
      <c r="E1603" t="inlineStr">
        <is>
          <t>RAGUNDA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28292-2024</t>
        </is>
      </c>
      <c r="B1604" s="1" t="n">
        <v>45477</v>
      </c>
      <c r="C1604" s="1" t="n">
        <v>45826</v>
      </c>
      <c r="D1604" t="inlineStr">
        <is>
          <t>JÄMTLANDS LÄN</t>
        </is>
      </c>
      <c r="E1604" t="inlineStr">
        <is>
          <t>RAGUNDA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28639-2024</t>
        </is>
      </c>
      <c r="B1605" s="1" t="n">
        <v>45478</v>
      </c>
      <c r="C1605" s="1" t="n">
        <v>45826</v>
      </c>
      <c r="D1605" t="inlineStr">
        <is>
          <t>JÄMTLANDS LÄN</t>
        </is>
      </c>
      <c r="E1605" t="inlineStr">
        <is>
          <t>RAGUNDA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28829-2024</t>
        </is>
      </c>
      <c r="B1606" s="1" t="n">
        <v>45478</v>
      </c>
      <c r="C1606" s="1" t="n">
        <v>45826</v>
      </c>
      <c r="D1606" t="inlineStr">
        <is>
          <t>JÄMTLANDS LÄN</t>
        </is>
      </c>
      <c r="E1606" t="inlineStr">
        <is>
          <t>RAGUNDA</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28636-2024</t>
        </is>
      </c>
      <c r="B1607" s="1" t="n">
        <v>45478</v>
      </c>
      <c r="C1607" s="1" t="n">
        <v>45826</v>
      </c>
      <c r="D1607" t="inlineStr">
        <is>
          <t>JÄMTLANDS LÄN</t>
        </is>
      </c>
      <c r="E1607" t="inlineStr">
        <is>
          <t>RAGUNDA</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28641-2024</t>
        </is>
      </c>
      <c r="B1608" s="1" t="n">
        <v>45478</v>
      </c>
      <c r="C1608" s="1" t="n">
        <v>45826</v>
      </c>
      <c r="D1608" t="inlineStr">
        <is>
          <t>JÄMTLANDS LÄN</t>
        </is>
      </c>
      <c r="E1608" t="inlineStr">
        <is>
          <t>RAGUNDA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29257-2024</t>
        </is>
      </c>
      <c r="B1609" s="1" t="n">
        <v>45483</v>
      </c>
      <c r="C1609" s="1" t="n">
        <v>45826</v>
      </c>
      <c r="D1609" t="inlineStr">
        <is>
          <t>JÄMTLANDS LÄN</t>
        </is>
      </c>
      <c r="E1609" t="inlineStr">
        <is>
          <t>RAGUNDA</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29265-2024</t>
        </is>
      </c>
      <c r="B1610" s="1" t="n">
        <v>45483</v>
      </c>
      <c r="C1610" s="1" t="n">
        <v>45826</v>
      </c>
      <c r="D1610" t="inlineStr">
        <is>
          <t>JÄMTLANDS LÄN</t>
        </is>
      </c>
      <c r="E1610" t="inlineStr">
        <is>
          <t>RAGUNDA</t>
        </is>
      </c>
      <c r="F1610" t="inlineStr">
        <is>
          <t>SCA</t>
        </is>
      </c>
      <c r="G1610" t="n">
        <v>11.6</v>
      </c>
      <c r="H1610" t="n">
        <v>0</v>
      </c>
      <c r="I1610" t="n">
        <v>0</v>
      </c>
      <c r="J1610" t="n">
        <v>0</v>
      </c>
      <c r="K1610" t="n">
        <v>0</v>
      </c>
      <c r="L1610" t="n">
        <v>0</v>
      </c>
      <c r="M1610" t="n">
        <v>0</v>
      </c>
      <c r="N1610" t="n">
        <v>0</v>
      </c>
      <c r="O1610" t="n">
        <v>0</v>
      </c>
      <c r="P1610" t="n">
        <v>0</v>
      </c>
      <c r="Q1610" t="n">
        <v>0</v>
      </c>
      <c r="R1610" s="2" t="inlineStr"/>
    </row>
    <row r="1611" ht="15" customHeight="1">
      <c r="A1611" t="inlineStr">
        <is>
          <t>A 29263-2024</t>
        </is>
      </c>
      <c r="B1611" s="1" t="n">
        <v>45483</v>
      </c>
      <c r="C1611" s="1" t="n">
        <v>45826</v>
      </c>
      <c r="D1611" t="inlineStr">
        <is>
          <t>JÄMTLANDS LÄN</t>
        </is>
      </c>
      <c r="E1611" t="inlineStr">
        <is>
          <t>RAGUNDA</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29261-2024</t>
        </is>
      </c>
      <c r="B1612" s="1" t="n">
        <v>45483</v>
      </c>
      <c r="C1612" s="1" t="n">
        <v>45826</v>
      </c>
      <c r="D1612" t="inlineStr">
        <is>
          <t>JÄMTLANDS LÄN</t>
        </is>
      </c>
      <c r="E1612" t="inlineStr">
        <is>
          <t>RAGUNDA</t>
        </is>
      </c>
      <c r="F1612" t="inlineStr">
        <is>
          <t>SCA</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29311-2024</t>
        </is>
      </c>
      <c r="B1613" s="1" t="n">
        <v>45483</v>
      </c>
      <c r="C1613" s="1" t="n">
        <v>45826</v>
      </c>
      <c r="D1613" t="inlineStr">
        <is>
          <t>JÄMTLANDS LÄN</t>
        </is>
      </c>
      <c r="E1613" t="inlineStr">
        <is>
          <t>RAGUNDA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29920-2024</t>
        </is>
      </c>
      <c r="B1614" s="1" t="n">
        <v>45488</v>
      </c>
      <c r="C1614" s="1" t="n">
        <v>45826</v>
      </c>
      <c r="D1614" t="inlineStr">
        <is>
          <t>JÄMTLANDS LÄN</t>
        </is>
      </c>
      <c r="E1614" t="inlineStr">
        <is>
          <t>RAGUNDA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30053-2024</t>
        </is>
      </c>
      <c r="B1615" s="1" t="n">
        <v>45489</v>
      </c>
      <c r="C1615" s="1" t="n">
        <v>45826</v>
      </c>
      <c r="D1615" t="inlineStr">
        <is>
          <t>JÄMTLANDS LÄN</t>
        </is>
      </c>
      <c r="E1615" t="inlineStr">
        <is>
          <t>RAGUNDA</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30472-2024</t>
        </is>
      </c>
      <c r="B1616" s="1" t="n">
        <v>45492</v>
      </c>
      <c r="C1616" s="1" t="n">
        <v>45826</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30484-2024</t>
        </is>
      </c>
      <c r="B1617" s="1" t="n">
        <v>45491</v>
      </c>
      <c r="C1617" s="1" t="n">
        <v>45826</v>
      </c>
      <c r="D1617" t="inlineStr">
        <is>
          <t>JÄMTLANDS LÄN</t>
        </is>
      </c>
      <c r="E1617" t="inlineStr">
        <is>
          <t>RAGUNDA</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30637-2024</t>
        </is>
      </c>
      <c r="B1618" s="1" t="n">
        <v>45495</v>
      </c>
      <c r="C1618" s="1" t="n">
        <v>45826</v>
      </c>
      <c r="D1618" t="inlineStr">
        <is>
          <t>JÄMTLANDS LÄN</t>
        </is>
      </c>
      <c r="E1618" t="inlineStr">
        <is>
          <t>RAGUNDA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30642-2024</t>
        </is>
      </c>
      <c r="B1619" s="1" t="n">
        <v>45495</v>
      </c>
      <c r="C1619" s="1" t="n">
        <v>45826</v>
      </c>
      <c r="D1619" t="inlineStr">
        <is>
          <t>JÄMTLANDS LÄN</t>
        </is>
      </c>
      <c r="E1619" t="inlineStr">
        <is>
          <t>RAGUNDA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30771-2024</t>
        </is>
      </c>
      <c r="B1620" s="1" t="n">
        <v>45497</v>
      </c>
      <c r="C1620" s="1" t="n">
        <v>45826</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31111-2024</t>
        </is>
      </c>
      <c r="B1621" s="1" t="n">
        <v>45502</v>
      </c>
      <c r="C1621" s="1" t="n">
        <v>45826</v>
      </c>
      <c r="D1621" t="inlineStr">
        <is>
          <t>JÄMTLANDS LÄN</t>
        </is>
      </c>
      <c r="E1621" t="inlineStr">
        <is>
          <t>RAGUNDA</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31506-2024</t>
        </is>
      </c>
      <c r="B1622" s="1" t="n">
        <v>45505</v>
      </c>
      <c r="C1622" s="1" t="n">
        <v>45826</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31463-2024</t>
        </is>
      </c>
      <c r="B1623" s="1" t="n">
        <v>45505</v>
      </c>
      <c r="C1623" s="1" t="n">
        <v>45826</v>
      </c>
      <c r="D1623" t="inlineStr">
        <is>
          <t>JÄMTLANDS LÄN</t>
        </is>
      </c>
      <c r="E1623" t="inlineStr">
        <is>
          <t>RAGUNDA</t>
        </is>
      </c>
      <c r="F1623" t="inlineStr">
        <is>
          <t>SCA</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31636-2024</t>
        </is>
      </c>
      <c r="B1624" s="1" t="n">
        <v>45506</v>
      </c>
      <c r="C1624" s="1" t="n">
        <v>45826</v>
      </c>
      <c r="D1624" t="inlineStr">
        <is>
          <t>JÄMTLANDS LÄN</t>
        </is>
      </c>
      <c r="E1624" t="inlineStr">
        <is>
          <t>RAGUNDA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31879-2024</t>
        </is>
      </c>
      <c r="B1625" s="1" t="n">
        <v>45510</v>
      </c>
      <c r="C1625" s="1" t="n">
        <v>45826</v>
      </c>
      <c r="D1625" t="inlineStr">
        <is>
          <t>JÄMTLANDS LÄN</t>
        </is>
      </c>
      <c r="E1625" t="inlineStr">
        <is>
          <t>RAGUNDA</t>
        </is>
      </c>
      <c r="F1625" t="inlineStr">
        <is>
          <t>SCA</t>
        </is>
      </c>
      <c r="G1625" t="n">
        <v>24.9</v>
      </c>
      <c r="H1625" t="n">
        <v>0</v>
      </c>
      <c r="I1625" t="n">
        <v>0</v>
      </c>
      <c r="J1625" t="n">
        <v>0</v>
      </c>
      <c r="K1625" t="n">
        <v>0</v>
      </c>
      <c r="L1625" t="n">
        <v>0</v>
      </c>
      <c r="M1625" t="n">
        <v>0</v>
      </c>
      <c r="N1625" t="n">
        <v>0</v>
      </c>
      <c r="O1625" t="n">
        <v>0</v>
      </c>
      <c r="P1625" t="n">
        <v>0</v>
      </c>
      <c r="Q1625" t="n">
        <v>0</v>
      </c>
      <c r="R1625" s="2" t="inlineStr"/>
    </row>
    <row r="1626" ht="15" customHeight="1">
      <c r="A1626" t="inlineStr">
        <is>
          <t>A 32063-2024</t>
        </is>
      </c>
      <c r="B1626" s="1" t="n">
        <v>45510</v>
      </c>
      <c r="C1626" s="1" t="n">
        <v>45826</v>
      </c>
      <c r="D1626" t="inlineStr">
        <is>
          <t>JÄMTLANDS LÄN</t>
        </is>
      </c>
      <c r="E1626" t="inlineStr">
        <is>
          <t>RAGUNDA</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32258-2024</t>
        </is>
      </c>
      <c r="B1627" s="1" t="n">
        <v>45511</v>
      </c>
      <c r="C1627" s="1" t="n">
        <v>45826</v>
      </c>
      <c r="D1627" t="inlineStr">
        <is>
          <t>JÄMTLANDS LÄN</t>
        </is>
      </c>
      <c r="E1627" t="inlineStr">
        <is>
          <t>RAGUNDA</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32259-2024</t>
        </is>
      </c>
      <c r="B1628" s="1" t="n">
        <v>45511</v>
      </c>
      <c r="C1628" s="1" t="n">
        <v>45826</v>
      </c>
      <c r="D1628" t="inlineStr">
        <is>
          <t>JÄMTLANDS LÄN</t>
        </is>
      </c>
      <c r="E1628" t="inlineStr">
        <is>
          <t>RAGUNDA</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32441-2024</t>
        </is>
      </c>
      <c r="B1629" s="1" t="n">
        <v>45513</v>
      </c>
      <c r="C1629" s="1" t="n">
        <v>45826</v>
      </c>
      <c r="D1629" t="inlineStr">
        <is>
          <t>JÄMTLANDS LÄN</t>
        </is>
      </c>
      <c r="E1629" t="inlineStr">
        <is>
          <t>RAGUNDA</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32638-2024</t>
        </is>
      </c>
      <c r="B1630" s="1" t="n">
        <v>45514</v>
      </c>
      <c r="C1630" s="1" t="n">
        <v>45826</v>
      </c>
      <c r="D1630" t="inlineStr">
        <is>
          <t>JÄMTLANDS LÄN</t>
        </is>
      </c>
      <c r="E1630" t="inlineStr">
        <is>
          <t>RAGUNDA</t>
        </is>
      </c>
      <c r="F1630" t="inlineStr">
        <is>
          <t>SCA</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32910-2024</t>
        </is>
      </c>
      <c r="B1631" s="1" t="n">
        <v>45517</v>
      </c>
      <c r="C1631" s="1" t="n">
        <v>45826</v>
      </c>
      <c r="D1631" t="inlineStr">
        <is>
          <t>JÄMTLANDS LÄN</t>
        </is>
      </c>
      <c r="E1631" t="inlineStr">
        <is>
          <t>RAGUNDA</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32904-2024</t>
        </is>
      </c>
      <c r="B1632" s="1" t="n">
        <v>45517</v>
      </c>
      <c r="C1632" s="1" t="n">
        <v>45826</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35311-2024</t>
        </is>
      </c>
      <c r="B1633" s="1" t="n">
        <v>45530</v>
      </c>
      <c r="C1633" s="1" t="n">
        <v>45826</v>
      </c>
      <c r="D1633" t="inlineStr">
        <is>
          <t>JÄMTLANDS LÄN</t>
        </is>
      </c>
      <c r="E1633" t="inlineStr">
        <is>
          <t>RAGUNDA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35153-2024</t>
        </is>
      </c>
      <c r="B1634" s="1" t="n">
        <v>45530</v>
      </c>
      <c r="C1634" s="1" t="n">
        <v>45826</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35986-2024</t>
        </is>
      </c>
      <c r="B1635" s="1" t="n">
        <v>45533</v>
      </c>
      <c r="C1635" s="1" t="n">
        <v>45826</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36246-2024</t>
        </is>
      </c>
      <c r="B1636" s="1" t="n">
        <v>45534</v>
      </c>
      <c r="C1636" s="1" t="n">
        <v>45826</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36340-2024</t>
        </is>
      </c>
      <c r="B1637" s="1" t="n">
        <v>45534</v>
      </c>
      <c r="C1637" s="1" t="n">
        <v>45826</v>
      </c>
      <c r="D1637" t="inlineStr">
        <is>
          <t>JÄMTLANDS LÄN</t>
        </is>
      </c>
      <c r="E1637" t="inlineStr">
        <is>
          <t>RAGUNDA</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36317-2024</t>
        </is>
      </c>
      <c r="B1638" s="1" t="n">
        <v>45534</v>
      </c>
      <c r="C1638" s="1" t="n">
        <v>45826</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37242-2024</t>
        </is>
      </c>
      <c r="B1639" s="1" t="n">
        <v>45540</v>
      </c>
      <c r="C1639" s="1" t="n">
        <v>45826</v>
      </c>
      <c r="D1639" t="inlineStr">
        <is>
          <t>JÄMTLANDS LÄN</t>
        </is>
      </c>
      <c r="E1639" t="inlineStr">
        <is>
          <t>RAGUNDA</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37266-2024</t>
        </is>
      </c>
      <c r="B1640" s="1" t="n">
        <v>45540</v>
      </c>
      <c r="C1640" s="1" t="n">
        <v>45826</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37265-2024</t>
        </is>
      </c>
      <c r="B1641" s="1" t="n">
        <v>45540</v>
      </c>
      <c r="C1641" s="1" t="n">
        <v>45826</v>
      </c>
      <c r="D1641" t="inlineStr">
        <is>
          <t>JÄMTLANDS LÄN</t>
        </is>
      </c>
      <c r="E1641" t="inlineStr">
        <is>
          <t>RAGUNDA</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37268-2024</t>
        </is>
      </c>
      <c r="B1642" s="1" t="n">
        <v>45540</v>
      </c>
      <c r="C1642" s="1" t="n">
        <v>45826</v>
      </c>
      <c r="D1642" t="inlineStr">
        <is>
          <t>JÄMTLANDS LÄN</t>
        </is>
      </c>
      <c r="E1642" t="inlineStr">
        <is>
          <t>RAGUNDA</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38027-2024</t>
        </is>
      </c>
      <c r="B1643" s="1" t="n">
        <v>45544</v>
      </c>
      <c r="C1643" s="1" t="n">
        <v>45826</v>
      </c>
      <c r="D1643" t="inlineStr">
        <is>
          <t>JÄMTLANDS LÄN</t>
        </is>
      </c>
      <c r="E1643" t="inlineStr">
        <is>
          <t>RAGUNDA</t>
        </is>
      </c>
      <c r="F1643" t="inlineStr">
        <is>
          <t>SCA</t>
        </is>
      </c>
      <c r="G1643" t="n">
        <v>28.7</v>
      </c>
      <c r="H1643" t="n">
        <v>0</v>
      </c>
      <c r="I1643" t="n">
        <v>0</v>
      </c>
      <c r="J1643" t="n">
        <v>0</v>
      </c>
      <c r="K1643" t="n">
        <v>0</v>
      </c>
      <c r="L1643" t="n">
        <v>0</v>
      </c>
      <c r="M1643" t="n">
        <v>0</v>
      </c>
      <c r="N1643" t="n">
        <v>0</v>
      </c>
      <c r="O1643" t="n">
        <v>0</v>
      </c>
      <c r="P1643" t="n">
        <v>0</v>
      </c>
      <c r="Q1643" t="n">
        <v>0</v>
      </c>
      <c r="R1643" s="2" t="inlineStr"/>
    </row>
    <row r="1644" ht="15" customHeight="1">
      <c r="A1644" t="inlineStr">
        <is>
          <t>A 38191-2024</t>
        </is>
      </c>
      <c r="B1644" s="1" t="n">
        <v>45545</v>
      </c>
      <c r="C1644" s="1" t="n">
        <v>45826</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38192-2024</t>
        </is>
      </c>
      <c r="B1645" s="1" t="n">
        <v>45545</v>
      </c>
      <c r="C1645" s="1" t="n">
        <v>45826</v>
      </c>
      <c r="D1645" t="inlineStr">
        <is>
          <t>JÄMTLANDS LÄN</t>
        </is>
      </c>
      <c r="E1645" t="inlineStr">
        <is>
          <t>RAGUNDA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38189-2024</t>
        </is>
      </c>
      <c r="B1646" s="1" t="n">
        <v>45545</v>
      </c>
      <c r="C1646" s="1" t="n">
        <v>45826</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38312-2024</t>
        </is>
      </c>
      <c r="B1647" s="1" t="n">
        <v>45545</v>
      </c>
      <c r="C1647" s="1" t="n">
        <v>45826</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38506-2024</t>
        </is>
      </c>
      <c r="B1648" s="1" t="n">
        <v>45546</v>
      </c>
      <c r="C1648" s="1" t="n">
        <v>45826</v>
      </c>
      <c r="D1648" t="inlineStr">
        <is>
          <t>JÄMTLANDS LÄN</t>
        </is>
      </c>
      <c r="E1648" t="inlineStr">
        <is>
          <t>RAGUNDA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38548-2024</t>
        </is>
      </c>
      <c r="B1649" s="1" t="n">
        <v>45546</v>
      </c>
      <c r="C1649" s="1" t="n">
        <v>45826</v>
      </c>
      <c r="D1649" t="inlineStr">
        <is>
          <t>JÄMTLANDS LÄN</t>
        </is>
      </c>
      <c r="E1649" t="inlineStr">
        <is>
          <t>RAGUNDA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38571-2024</t>
        </is>
      </c>
      <c r="B1650" s="1" t="n">
        <v>45546</v>
      </c>
      <c r="C1650" s="1" t="n">
        <v>45826</v>
      </c>
      <c r="D1650" t="inlineStr">
        <is>
          <t>JÄMTLANDS LÄN</t>
        </is>
      </c>
      <c r="E1650" t="inlineStr">
        <is>
          <t>RAGUNDA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38825-2024</t>
        </is>
      </c>
      <c r="B1651" s="1" t="n">
        <v>45547</v>
      </c>
      <c r="C1651" s="1" t="n">
        <v>45826</v>
      </c>
      <c r="D1651" t="inlineStr">
        <is>
          <t>JÄMTLANDS LÄN</t>
        </is>
      </c>
      <c r="E1651" t="inlineStr">
        <is>
          <t>RAGUNDA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39494-2024</t>
        </is>
      </c>
      <c r="B1652" s="1" t="n">
        <v>45551</v>
      </c>
      <c r="C1652" s="1" t="n">
        <v>45826</v>
      </c>
      <c r="D1652" t="inlineStr">
        <is>
          <t>JÄMTLANDS LÄN</t>
        </is>
      </c>
      <c r="E1652" t="inlineStr">
        <is>
          <t>RAGUNDA</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39608-2024</t>
        </is>
      </c>
      <c r="B1653" s="1" t="n">
        <v>45552</v>
      </c>
      <c r="C1653" s="1" t="n">
        <v>45826</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39626-2024</t>
        </is>
      </c>
      <c r="B1654" s="1" t="n">
        <v>45552</v>
      </c>
      <c r="C1654" s="1" t="n">
        <v>45826</v>
      </c>
      <c r="D1654" t="inlineStr">
        <is>
          <t>JÄMTLANDS LÄN</t>
        </is>
      </c>
      <c r="E1654" t="inlineStr">
        <is>
          <t>RAGUNDA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40246-2024</t>
        </is>
      </c>
      <c r="B1655" s="1" t="n">
        <v>45554</v>
      </c>
      <c r="C1655" s="1" t="n">
        <v>45826</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40405-2024</t>
        </is>
      </c>
      <c r="B1656" s="1" t="n">
        <v>45555</v>
      </c>
      <c r="C1656" s="1" t="n">
        <v>45826</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40365-2024</t>
        </is>
      </c>
      <c r="B1657" s="1" t="n">
        <v>45555</v>
      </c>
      <c r="C1657" s="1" t="n">
        <v>45826</v>
      </c>
      <c r="D1657" t="inlineStr">
        <is>
          <t>JÄMTLANDS LÄN</t>
        </is>
      </c>
      <c r="E1657" t="inlineStr">
        <is>
          <t>RAGUNDA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40919-2024</t>
        </is>
      </c>
      <c r="B1658" s="1" t="n">
        <v>45558</v>
      </c>
      <c r="C1658" s="1" t="n">
        <v>45826</v>
      </c>
      <c r="D1658" t="inlineStr">
        <is>
          <t>JÄMTLANDS LÄN</t>
        </is>
      </c>
      <c r="E1658" t="inlineStr">
        <is>
          <t>RAGUNDA</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41344-2024</t>
        </is>
      </c>
      <c r="B1659" s="1" t="n">
        <v>45559</v>
      </c>
      <c r="C1659" s="1" t="n">
        <v>45826</v>
      </c>
      <c r="D1659" t="inlineStr">
        <is>
          <t>JÄMTLANDS LÄN</t>
        </is>
      </c>
      <c r="E1659" t="inlineStr">
        <is>
          <t>RAGUNDA</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41343-2024</t>
        </is>
      </c>
      <c r="B1660" s="1" t="n">
        <v>45559</v>
      </c>
      <c r="C1660" s="1" t="n">
        <v>45826</v>
      </c>
      <c r="D1660" t="inlineStr">
        <is>
          <t>JÄMTLANDS LÄN</t>
        </is>
      </c>
      <c r="E1660" t="inlineStr">
        <is>
          <t>RAGUNDA</t>
        </is>
      </c>
      <c r="F1660" t="inlineStr">
        <is>
          <t>SCA</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41378-2024</t>
        </is>
      </c>
      <c r="B1661" s="1" t="n">
        <v>45559</v>
      </c>
      <c r="C1661" s="1" t="n">
        <v>45826</v>
      </c>
      <c r="D1661" t="inlineStr">
        <is>
          <t>JÄMTLANDS LÄN</t>
        </is>
      </c>
      <c r="E1661" t="inlineStr">
        <is>
          <t>RAGUNDA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41685-2024</t>
        </is>
      </c>
      <c r="B1662" s="1" t="n">
        <v>45560</v>
      </c>
      <c r="C1662" s="1" t="n">
        <v>45826</v>
      </c>
      <c r="D1662" t="inlineStr">
        <is>
          <t>JÄMTLANDS LÄN</t>
        </is>
      </c>
      <c r="E1662" t="inlineStr">
        <is>
          <t>RAGUNDA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41531-2024</t>
        </is>
      </c>
      <c r="B1663" s="1" t="n">
        <v>45560</v>
      </c>
      <c r="C1663" s="1" t="n">
        <v>45826</v>
      </c>
      <c r="D1663" t="inlineStr">
        <is>
          <t>JÄMTLANDS LÄN</t>
        </is>
      </c>
      <c r="E1663" t="inlineStr">
        <is>
          <t>RAGUNDA</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41422-2024</t>
        </is>
      </c>
      <c r="B1664" s="1" t="n">
        <v>45560</v>
      </c>
      <c r="C1664" s="1" t="n">
        <v>45826</v>
      </c>
      <c r="D1664" t="inlineStr">
        <is>
          <t>JÄMTLANDS LÄN</t>
        </is>
      </c>
      <c r="E1664" t="inlineStr">
        <is>
          <t>RAGUNDA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41690-2024</t>
        </is>
      </c>
      <c r="B1665" s="1" t="n">
        <v>45560</v>
      </c>
      <c r="C1665" s="1" t="n">
        <v>45826</v>
      </c>
      <c r="D1665" t="inlineStr">
        <is>
          <t>JÄMTLANDS LÄN</t>
        </is>
      </c>
      <c r="E1665" t="inlineStr">
        <is>
          <t>RAGUNDA</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41759-2024</t>
        </is>
      </c>
      <c r="B1666" s="1" t="n">
        <v>45561</v>
      </c>
      <c r="C1666" s="1" t="n">
        <v>45826</v>
      </c>
      <c r="D1666" t="inlineStr">
        <is>
          <t>JÄMTLANDS LÄN</t>
        </is>
      </c>
      <c r="E1666" t="inlineStr">
        <is>
          <t>RAGUNDA</t>
        </is>
      </c>
      <c r="F1666" t="inlineStr">
        <is>
          <t>SCA</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41772-2024</t>
        </is>
      </c>
      <c r="B1667" s="1" t="n">
        <v>45561</v>
      </c>
      <c r="C1667" s="1" t="n">
        <v>45826</v>
      </c>
      <c r="D1667" t="inlineStr">
        <is>
          <t>JÄMTLANDS LÄN</t>
        </is>
      </c>
      <c r="E1667" t="inlineStr">
        <is>
          <t>RAGUNDA</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42135-2024</t>
        </is>
      </c>
      <c r="B1668" s="1" t="n">
        <v>45562</v>
      </c>
      <c r="C1668" s="1" t="n">
        <v>45826</v>
      </c>
      <c r="D1668" t="inlineStr">
        <is>
          <t>JÄMTLANDS LÄN</t>
        </is>
      </c>
      <c r="E1668" t="inlineStr">
        <is>
          <t>RAGUNDA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42544-2024</t>
        </is>
      </c>
      <c r="B1669" s="1" t="n">
        <v>45565</v>
      </c>
      <c r="C1669" s="1" t="n">
        <v>45826</v>
      </c>
      <c r="D1669" t="inlineStr">
        <is>
          <t>JÄMTLANDS LÄN</t>
        </is>
      </c>
      <c r="E1669" t="inlineStr">
        <is>
          <t>RAGUNDA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42875-2024</t>
        </is>
      </c>
      <c r="B1670" s="1" t="n">
        <v>45566</v>
      </c>
      <c r="C1670" s="1" t="n">
        <v>45826</v>
      </c>
      <c r="D1670" t="inlineStr">
        <is>
          <t>JÄMTLANDS LÄN</t>
        </is>
      </c>
      <c r="E1670" t="inlineStr">
        <is>
          <t>RAGUNDA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42998-2024</t>
        </is>
      </c>
      <c r="B1671" s="1" t="n">
        <v>45567</v>
      </c>
      <c r="C1671" s="1" t="n">
        <v>45826</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42994-2024</t>
        </is>
      </c>
      <c r="B1672" s="1" t="n">
        <v>45567</v>
      </c>
      <c r="C1672" s="1" t="n">
        <v>45826</v>
      </c>
      <c r="D1672" t="inlineStr">
        <is>
          <t>JÄMTLANDS LÄN</t>
        </is>
      </c>
      <c r="E1672" t="inlineStr">
        <is>
          <t>RAGUNDA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43339-2024</t>
        </is>
      </c>
      <c r="B1673" s="1" t="n">
        <v>45568</v>
      </c>
      <c r="C1673" s="1" t="n">
        <v>45826</v>
      </c>
      <c r="D1673" t="inlineStr">
        <is>
          <t>JÄMTLANDS LÄN</t>
        </is>
      </c>
      <c r="E1673" t="inlineStr">
        <is>
          <t>RAGUNDA</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43738-2024</t>
        </is>
      </c>
      <c r="B1674" s="1" t="n">
        <v>45569</v>
      </c>
      <c r="C1674" s="1" t="n">
        <v>45826</v>
      </c>
      <c r="D1674" t="inlineStr">
        <is>
          <t>JÄMTLANDS LÄN</t>
        </is>
      </c>
      <c r="E1674" t="inlineStr">
        <is>
          <t>RAGUNDA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44070-2024</t>
        </is>
      </c>
      <c r="B1675" s="1" t="n">
        <v>45572</v>
      </c>
      <c r="C1675" s="1" t="n">
        <v>45826</v>
      </c>
      <c r="D1675" t="inlineStr">
        <is>
          <t>JÄMTLANDS LÄN</t>
        </is>
      </c>
      <c r="E1675" t="inlineStr">
        <is>
          <t>RAGUNDA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44066-2024</t>
        </is>
      </c>
      <c r="B1676" s="1" t="n">
        <v>45572</v>
      </c>
      <c r="C1676" s="1" t="n">
        <v>45826</v>
      </c>
      <c r="D1676" t="inlineStr">
        <is>
          <t>JÄMTLANDS LÄN</t>
        </is>
      </c>
      <c r="E1676" t="inlineStr">
        <is>
          <t>RAGUNDA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44242-2024</t>
        </is>
      </c>
      <c r="B1677" s="1" t="n">
        <v>45573</v>
      </c>
      <c r="C1677" s="1" t="n">
        <v>45826</v>
      </c>
      <c r="D1677" t="inlineStr">
        <is>
          <t>JÄMTLANDS LÄN</t>
        </is>
      </c>
      <c r="E1677" t="inlineStr">
        <is>
          <t>RAGUNDA</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44598-2024</t>
        </is>
      </c>
      <c r="B1678" s="1" t="n">
        <v>45574</v>
      </c>
      <c r="C1678" s="1" t="n">
        <v>45826</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44755-2024</t>
        </is>
      </c>
      <c r="B1679" s="1" t="n">
        <v>45574</v>
      </c>
      <c r="C1679" s="1" t="n">
        <v>45826</v>
      </c>
      <c r="D1679" t="inlineStr">
        <is>
          <t>JÄMTLANDS LÄN</t>
        </is>
      </c>
      <c r="E1679" t="inlineStr">
        <is>
          <t>RAGUNDA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44759-2024</t>
        </is>
      </c>
      <c r="B1680" s="1" t="n">
        <v>45574</v>
      </c>
      <c r="C1680" s="1" t="n">
        <v>45826</v>
      </c>
      <c r="D1680" t="inlineStr">
        <is>
          <t>JÄMTLANDS LÄN</t>
        </is>
      </c>
      <c r="E1680" t="inlineStr">
        <is>
          <t>RAGUNDA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44766-2024</t>
        </is>
      </c>
      <c r="B1681" s="1" t="n">
        <v>45574</v>
      </c>
      <c r="C1681" s="1" t="n">
        <v>45826</v>
      </c>
      <c r="D1681" t="inlineStr">
        <is>
          <t>JÄMTLANDS LÄN</t>
        </is>
      </c>
      <c r="E1681" t="inlineStr">
        <is>
          <t>RAGUNDA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44778-2024</t>
        </is>
      </c>
      <c r="B1682" s="1" t="n">
        <v>45574</v>
      </c>
      <c r="C1682" s="1" t="n">
        <v>45826</v>
      </c>
      <c r="D1682" t="inlineStr">
        <is>
          <t>JÄMTLANDS LÄN</t>
        </is>
      </c>
      <c r="E1682" t="inlineStr">
        <is>
          <t>RAGUNDA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44597-2024</t>
        </is>
      </c>
      <c r="B1683" s="1" t="n">
        <v>45574</v>
      </c>
      <c r="C1683" s="1" t="n">
        <v>45826</v>
      </c>
      <c r="D1683" t="inlineStr">
        <is>
          <t>JÄMTLANDS LÄN</t>
        </is>
      </c>
      <c r="E1683" t="inlineStr">
        <is>
          <t>RAGUNDA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44605-2024</t>
        </is>
      </c>
      <c r="B1684" s="1" t="n">
        <v>45574</v>
      </c>
      <c r="C1684" s="1" t="n">
        <v>45826</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44494-2024</t>
        </is>
      </c>
      <c r="B1685" s="1" t="n">
        <v>45574</v>
      </c>
      <c r="C1685" s="1" t="n">
        <v>45826</v>
      </c>
      <c r="D1685" t="inlineStr">
        <is>
          <t>JÄMTLANDS LÄN</t>
        </is>
      </c>
      <c r="E1685" t="inlineStr">
        <is>
          <t>RAGUNDA</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44498-2024</t>
        </is>
      </c>
      <c r="B1686" s="1" t="n">
        <v>45574</v>
      </c>
      <c r="C1686" s="1" t="n">
        <v>45826</v>
      </c>
      <c r="D1686" t="inlineStr">
        <is>
          <t>JÄMTLANDS LÄN</t>
        </is>
      </c>
      <c r="E1686" t="inlineStr">
        <is>
          <t>RAGUNDA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44727-2024</t>
        </is>
      </c>
      <c r="B1687" s="1" t="n">
        <v>45574</v>
      </c>
      <c r="C1687" s="1" t="n">
        <v>45826</v>
      </c>
      <c r="D1687" t="inlineStr">
        <is>
          <t>JÄMTLANDS LÄN</t>
        </is>
      </c>
      <c r="E1687" t="inlineStr">
        <is>
          <t>RAGUNDA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44953-2024</t>
        </is>
      </c>
      <c r="B1688" s="1" t="n">
        <v>45575</v>
      </c>
      <c r="C1688" s="1" t="n">
        <v>45826</v>
      </c>
      <c r="D1688" t="inlineStr">
        <is>
          <t>JÄMTLANDS LÄN</t>
        </is>
      </c>
      <c r="E1688" t="inlineStr">
        <is>
          <t>RAGUNDA</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45273-2024</t>
        </is>
      </c>
      <c r="B1689" s="1" t="n">
        <v>45576</v>
      </c>
      <c r="C1689" s="1" t="n">
        <v>45826</v>
      </c>
      <c r="D1689" t="inlineStr">
        <is>
          <t>JÄMTLANDS LÄN</t>
        </is>
      </c>
      <c r="E1689" t="inlineStr">
        <is>
          <t>RAGUNDA</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45631-2024</t>
        </is>
      </c>
      <c r="B1690" s="1" t="n">
        <v>45579</v>
      </c>
      <c r="C1690" s="1" t="n">
        <v>45826</v>
      </c>
      <c r="D1690" t="inlineStr">
        <is>
          <t>JÄMTLANDS LÄN</t>
        </is>
      </c>
      <c r="E1690" t="inlineStr">
        <is>
          <t>RAGUNDA</t>
        </is>
      </c>
      <c r="G1690" t="n">
        <v>15.1</v>
      </c>
      <c r="H1690" t="n">
        <v>0</v>
      </c>
      <c r="I1690" t="n">
        <v>0</v>
      </c>
      <c r="J1690" t="n">
        <v>0</v>
      </c>
      <c r="K1690" t="n">
        <v>0</v>
      </c>
      <c r="L1690" t="n">
        <v>0</v>
      </c>
      <c r="M1690" t="n">
        <v>0</v>
      </c>
      <c r="N1690" t="n">
        <v>0</v>
      </c>
      <c r="O1690" t="n">
        <v>0</v>
      </c>
      <c r="P1690" t="n">
        <v>0</v>
      </c>
      <c r="Q1690" t="n">
        <v>0</v>
      </c>
      <c r="R1690" s="2" t="inlineStr"/>
    </row>
    <row r="1691" ht="15" customHeight="1">
      <c r="A1691" t="inlineStr">
        <is>
          <t>A 45879-2024</t>
        </is>
      </c>
      <c r="B1691" s="1" t="n">
        <v>45580</v>
      </c>
      <c r="C1691" s="1" t="n">
        <v>45826</v>
      </c>
      <c r="D1691" t="inlineStr">
        <is>
          <t>JÄMTLANDS LÄN</t>
        </is>
      </c>
      <c r="E1691" t="inlineStr">
        <is>
          <t>RAGUNDA</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46211-2024</t>
        </is>
      </c>
      <c r="B1692" s="1" t="n">
        <v>45581</v>
      </c>
      <c r="C1692" s="1" t="n">
        <v>45826</v>
      </c>
      <c r="D1692" t="inlineStr">
        <is>
          <t>JÄMTLANDS LÄN</t>
        </is>
      </c>
      <c r="E1692" t="inlineStr">
        <is>
          <t>RAGUNDA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46090-2024</t>
        </is>
      </c>
      <c r="B1693" s="1" t="n">
        <v>45581</v>
      </c>
      <c r="C1693" s="1" t="n">
        <v>45826</v>
      </c>
      <c r="D1693" t="inlineStr">
        <is>
          <t>JÄMTLANDS LÄN</t>
        </is>
      </c>
      <c r="E1693" t="inlineStr">
        <is>
          <t>RAGUNDA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46250-2024</t>
        </is>
      </c>
      <c r="B1694" s="1" t="n">
        <v>45581</v>
      </c>
      <c r="C1694" s="1" t="n">
        <v>45826</v>
      </c>
      <c r="D1694" t="inlineStr">
        <is>
          <t>JÄMTLANDS LÄN</t>
        </is>
      </c>
      <c r="E1694" t="inlineStr">
        <is>
          <t>RAGUNDA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46637-2024</t>
        </is>
      </c>
      <c r="B1695" s="1" t="n">
        <v>45583</v>
      </c>
      <c r="C1695" s="1" t="n">
        <v>45826</v>
      </c>
      <c r="D1695" t="inlineStr">
        <is>
          <t>JÄMTLANDS LÄN</t>
        </is>
      </c>
      <c r="E1695" t="inlineStr">
        <is>
          <t>RAGUNDA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47658-2024</t>
        </is>
      </c>
      <c r="B1696" s="1" t="n">
        <v>45588</v>
      </c>
      <c r="C1696" s="1" t="n">
        <v>45826</v>
      </c>
      <c r="D1696" t="inlineStr">
        <is>
          <t>JÄMTLANDS LÄN</t>
        </is>
      </c>
      <c r="E1696" t="inlineStr">
        <is>
          <t>RAGUNDA</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47720-2024</t>
        </is>
      </c>
      <c r="B1697" s="1" t="n">
        <v>45588</v>
      </c>
      <c r="C1697" s="1" t="n">
        <v>45826</v>
      </c>
      <c r="D1697" t="inlineStr">
        <is>
          <t>JÄMTLANDS LÄN</t>
        </is>
      </c>
      <c r="E1697" t="inlineStr">
        <is>
          <t>RAGUNDA</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48147-2024</t>
        </is>
      </c>
      <c r="B1698" s="1" t="n">
        <v>45589</v>
      </c>
      <c r="C1698" s="1" t="n">
        <v>45826</v>
      </c>
      <c r="D1698" t="inlineStr">
        <is>
          <t>JÄMTLANDS LÄN</t>
        </is>
      </c>
      <c r="E1698" t="inlineStr">
        <is>
          <t>RAGUNDA</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48249-2024</t>
        </is>
      </c>
      <c r="B1699" s="1" t="n">
        <v>45590</v>
      </c>
      <c r="C1699" s="1" t="n">
        <v>45826</v>
      </c>
      <c r="D1699" t="inlineStr">
        <is>
          <t>JÄMTLANDS LÄN</t>
        </is>
      </c>
      <c r="E1699" t="inlineStr">
        <is>
          <t>RAGUNDA</t>
        </is>
      </c>
      <c r="F1699" t="inlineStr">
        <is>
          <t>SCA</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48192-2024</t>
        </is>
      </c>
      <c r="B1700" s="1" t="n">
        <v>45590</v>
      </c>
      <c r="C1700" s="1" t="n">
        <v>45826</v>
      </c>
      <c r="D1700" t="inlineStr">
        <is>
          <t>JÄMTLANDS LÄN</t>
        </is>
      </c>
      <c r="E1700" t="inlineStr">
        <is>
          <t>RAGUNDA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48666-2024</t>
        </is>
      </c>
      <c r="B1701" s="1" t="n">
        <v>45593</v>
      </c>
      <c r="C1701" s="1" t="n">
        <v>45826</v>
      </c>
      <c r="D1701" t="inlineStr">
        <is>
          <t>JÄMTLANDS LÄN</t>
        </is>
      </c>
      <c r="E1701" t="inlineStr">
        <is>
          <t>RAGUNDA</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49229-2024</t>
        </is>
      </c>
      <c r="B1702" s="1" t="n">
        <v>45595</v>
      </c>
      <c r="C1702" s="1" t="n">
        <v>45826</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49239-2024</t>
        </is>
      </c>
      <c r="B1703" s="1" t="n">
        <v>45595</v>
      </c>
      <c r="C1703" s="1" t="n">
        <v>45826</v>
      </c>
      <c r="D1703" t="inlineStr">
        <is>
          <t>JÄMTLANDS LÄN</t>
        </is>
      </c>
      <c r="E1703" t="inlineStr">
        <is>
          <t>RAGUNDA</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49348-2024</t>
        </is>
      </c>
      <c r="B1704" s="1" t="n">
        <v>45595</v>
      </c>
      <c r="C1704" s="1" t="n">
        <v>45826</v>
      </c>
      <c r="D1704" t="inlineStr">
        <is>
          <t>JÄMTLANDS LÄN</t>
        </is>
      </c>
      <c r="E1704" t="inlineStr">
        <is>
          <t>RAGUNDA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49649-2024</t>
        </is>
      </c>
      <c r="B1705" s="1" t="n">
        <v>45596</v>
      </c>
      <c r="C1705" s="1" t="n">
        <v>45826</v>
      </c>
      <c r="D1705" t="inlineStr">
        <is>
          <t>JÄMTLANDS LÄN</t>
        </is>
      </c>
      <c r="E1705" t="inlineStr">
        <is>
          <t>RAGUNDA</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49650-2024</t>
        </is>
      </c>
      <c r="B1706" s="1" t="n">
        <v>45596</v>
      </c>
      <c r="C1706" s="1" t="n">
        <v>45826</v>
      </c>
      <c r="D1706" t="inlineStr">
        <is>
          <t>JÄMTLANDS LÄN</t>
        </is>
      </c>
      <c r="E1706" t="inlineStr">
        <is>
          <t>RAGUNDA</t>
        </is>
      </c>
      <c r="F1706" t="inlineStr">
        <is>
          <t>Naturvårdsverket</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49653-2024</t>
        </is>
      </c>
      <c r="B1707" s="1" t="n">
        <v>45596</v>
      </c>
      <c r="C1707" s="1" t="n">
        <v>45826</v>
      </c>
      <c r="D1707" t="inlineStr">
        <is>
          <t>JÄMTLANDS LÄN</t>
        </is>
      </c>
      <c r="E1707" t="inlineStr">
        <is>
          <t>RAGUNDA</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49647-2024</t>
        </is>
      </c>
      <c r="B1708" s="1" t="n">
        <v>45596</v>
      </c>
      <c r="C1708" s="1" t="n">
        <v>45826</v>
      </c>
      <c r="D1708" t="inlineStr">
        <is>
          <t>JÄMTLANDS LÄN</t>
        </is>
      </c>
      <c r="E1708" t="inlineStr">
        <is>
          <t>RAGUNDA</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49651-2024</t>
        </is>
      </c>
      <c r="B1709" s="1" t="n">
        <v>45596</v>
      </c>
      <c r="C1709" s="1" t="n">
        <v>45826</v>
      </c>
      <c r="D1709" t="inlineStr">
        <is>
          <t>JÄMTLANDS LÄN</t>
        </is>
      </c>
      <c r="E1709" t="inlineStr">
        <is>
          <t>RAGUNDA</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49787-2024</t>
        </is>
      </c>
      <c r="B1710" s="1" t="n">
        <v>45597</v>
      </c>
      <c r="C1710" s="1" t="n">
        <v>45826</v>
      </c>
      <c r="D1710" t="inlineStr">
        <is>
          <t>JÄMTLANDS LÄN</t>
        </is>
      </c>
      <c r="E1710" t="inlineStr">
        <is>
          <t>RAGUNDA</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50011-2024</t>
        </is>
      </c>
      <c r="B1711" s="1" t="n">
        <v>45598</v>
      </c>
      <c r="C1711" s="1" t="n">
        <v>45826</v>
      </c>
      <c r="D1711" t="inlineStr">
        <is>
          <t>JÄMTLANDS LÄN</t>
        </is>
      </c>
      <c r="E1711" t="inlineStr">
        <is>
          <t>RAGUNDA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50521-2024</t>
        </is>
      </c>
      <c r="B1712" s="1" t="n">
        <v>45601</v>
      </c>
      <c r="C1712" s="1" t="n">
        <v>45826</v>
      </c>
      <c r="D1712" t="inlineStr">
        <is>
          <t>JÄMTLANDS LÄN</t>
        </is>
      </c>
      <c r="E1712" t="inlineStr">
        <is>
          <t>RAGUNDA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50555-2024</t>
        </is>
      </c>
      <c r="B1713" s="1" t="n">
        <v>45601</v>
      </c>
      <c r="C1713" s="1" t="n">
        <v>45826</v>
      </c>
      <c r="D1713" t="inlineStr">
        <is>
          <t>JÄMTLANDS LÄN</t>
        </is>
      </c>
      <c r="E1713" t="inlineStr">
        <is>
          <t>RAGUNDA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50432-2024</t>
        </is>
      </c>
      <c r="B1714" s="1" t="n">
        <v>45601</v>
      </c>
      <c r="C1714" s="1" t="n">
        <v>45826</v>
      </c>
      <c r="D1714" t="inlineStr">
        <is>
          <t>JÄMTLANDS LÄN</t>
        </is>
      </c>
      <c r="E1714" t="inlineStr">
        <is>
          <t>RAGUNDA</t>
        </is>
      </c>
      <c r="F1714" t="inlineStr">
        <is>
          <t>SCA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50503-2024</t>
        </is>
      </c>
      <c r="B1715" s="1" t="n">
        <v>45601</v>
      </c>
      <c r="C1715" s="1" t="n">
        <v>45826</v>
      </c>
      <c r="D1715" t="inlineStr">
        <is>
          <t>JÄMTLANDS LÄN</t>
        </is>
      </c>
      <c r="E1715" t="inlineStr">
        <is>
          <t>RAGUNDA</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50623-2024</t>
        </is>
      </c>
      <c r="B1716" s="1" t="n">
        <v>45601</v>
      </c>
      <c r="C1716" s="1" t="n">
        <v>45826</v>
      </c>
      <c r="D1716" t="inlineStr">
        <is>
          <t>JÄMTLANDS LÄN</t>
        </is>
      </c>
      <c r="E1716" t="inlineStr">
        <is>
          <t>RAGUNDA</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50431-2024</t>
        </is>
      </c>
      <c r="B1717" s="1" t="n">
        <v>45601</v>
      </c>
      <c r="C1717" s="1" t="n">
        <v>45826</v>
      </c>
      <c r="D1717" t="inlineStr">
        <is>
          <t>JÄMTLANDS LÄN</t>
        </is>
      </c>
      <c r="E1717" t="inlineStr">
        <is>
          <t>RAGUNDA</t>
        </is>
      </c>
      <c r="F1717" t="inlineStr">
        <is>
          <t>SCA</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51066-2024</t>
        </is>
      </c>
      <c r="B1718" s="1" t="n">
        <v>45603</v>
      </c>
      <c r="C1718" s="1" t="n">
        <v>45826</v>
      </c>
      <c r="D1718" t="inlineStr">
        <is>
          <t>JÄMTLANDS LÄN</t>
        </is>
      </c>
      <c r="E1718" t="inlineStr">
        <is>
          <t>RAGUNDA</t>
        </is>
      </c>
      <c r="F1718" t="inlineStr">
        <is>
          <t>SCA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51245-2024</t>
        </is>
      </c>
      <c r="B1719" s="1" t="n">
        <v>45603</v>
      </c>
      <c r="C1719" s="1" t="n">
        <v>45826</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51049-2024</t>
        </is>
      </c>
      <c r="B1720" s="1" t="n">
        <v>45603</v>
      </c>
      <c r="C1720" s="1" t="n">
        <v>45826</v>
      </c>
      <c r="D1720" t="inlineStr">
        <is>
          <t>JÄMTLANDS LÄN</t>
        </is>
      </c>
      <c r="E1720" t="inlineStr">
        <is>
          <t>RAGUNDA</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51396-2024</t>
        </is>
      </c>
      <c r="B1721" s="1" t="n">
        <v>45604</v>
      </c>
      <c r="C1721" s="1" t="n">
        <v>45826</v>
      </c>
      <c r="D1721" t="inlineStr">
        <is>
          <t>JÄMTLANDS LÄN</t>
        </is>
      </c>
      <c r="E1721" t="inlineStr">
        <is>
          <t>RAGUNDA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51412-2024</t>
        </is>
      </c>
      <c r="B1722" s="1" t="n">
        <v>45604</v>
      </c>
      <c r="C1722" s="1" t="n">
        <v>45826</v>
      </c>
      <c r="D1722" t="inlineStr">
        <is>
          <t>JÄMTLANDS LÄN</t>
        </is>
      </c>
      <c r="E1722" t="inlineStr">
        <is>
          <t>RAGUNDA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51335-2024</t>
        </is>
      </c>
      <c r="B1723" s="1" t="n">
        <v>45604</v>
      </c>
      <c r="C1723" s="1" t="n">
        <v>45826</v>
      </c>
      <c r="D1723" t="inlineStr">
        <is>
          <t>JÄMTLANDS LÄN</t>
        </is>
      </c>
      <c r="E1723" t="inlineStr">
        <is>
          <t>RAGUNDA</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51579-2024</t>
        </is>
      </c>
      <c r="B1724" s="1" t="n">
        <v>45604</v>
      </c>
      <c r="C1724" s="1" t="n">
        <v>45826</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51389-2024</t>
        </is>
      </c>
      <c r="B1725" s="1" t="n">
        <v>45604</v>
      </c>
      <c r="C1725" s="1" t="n">
        <v>45826</v>
      </c>
      <c r="D1725" t="inlineStr">
        <is>
          <t>JÄMTLANDS LÄN</t>
        </is>
      </c>
      <c r="E1725" t="inlineStr">
        <is>
          <t>RAGUNDA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51393-2024</t>
        </is>
      </c>
      <c r="B1726" s="1" t="n">
        <v>45604</v>
      </c>
      <c r="C1726" s="1" t="n">
        <v>45826</v>
      </c>
      <c r="D1726" t="inlineStr">
        <is>
          <t>JÄMTLANDS LÄN</t>
        </is>
      </c>
      <c r="E1726" t="inlineStr">
        <is>
          <t>RAGUNDA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51397-2024</t>
        </is>
      </c>
      <c r="B1727" s="1" t="n">
        <v>45604</v>
      </c>
      <c r="C1727" s="1" t="n">
        <v>45826</v>
      </c>
      <c r="D1727" t="inlineStr">
        <is>
          <t>JÄMTLANDS LÄN</t>
        </is>
      </c>
      <c r="E1727" t="inlineStr">
        <is>
          <t>RAGUNDA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51417-2024</t>
        </is>
      </c>
      <c r="B1728" s="1" t="n">
        <v>45604</v>
      </c>
      <c r="C1728" s="1" t="n">
        <v>45826</v>
      </c>
      <c r="D1728" t="inlineStr">
        <is>
          <t>JÄMTLANDS LÄN</t>
        </is>
      </c>
      <c r="E1728" t="inlineStr">
        <is>
          <t>RAGUNDA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52013-2024</t>
        </is>
      </c>
      <c r="B1729" s="1" t="n">
        <v>45607</v>
      </c>
      <c r="C1729" s="1" t="n">
        <v>45826</v>
      </c>
      <c r="D1729" t="inlineStr">
        <is>
          <t>JÄMTLANDS LÄN</t>
        </is>
      </c>
      <c r="E1729" t="inlineStr">
        <is>
          <t>RAGUNDA</t>
        </is>
      </c>
      <c r="G1729" t="n">
        <v>12.8</v>
      </c>
      <c r="H1729" t="n">
        <v>0</v>
      </c>
      <c r="I1729" t="n">
        <v>0</v>
      </c>
      <c r="J1729" t="n">
        <v>0</v>
      </c>
      <c r="K1729" t="n">
        <v>0</v>
      </c>
      <c r="L1729" t="n">
        <v>0</v>
      </c>
      <c r="M1729" t="n">
        <v>0</v>
      </c>
      <c r="N1729" t="n">
        <v>0</v>
      </c>
      <c r="O1729" t="n">
        <v>0</v>
      </c>
      <c r="P1729" t="n">
        <v>0</v>
      </c>
      <c r="Q1729" t="n">
        <v>0</v>
      </c>
      <c r="R1729" s="2" t="inlineStr"/>
    </row>
    <row r="1730" ht="15" customHeight="1">
      <c r="A1730" t="inlineStr">
        <is>
          <t>A 52228-2024</t>
        </is>
      </c>
      <c r="B1730" s="1" t="n">
        <v>45608</v>
      </c>
      <c r="C1730" s="1" t="n">
        <v>45826</v>
      </c>
      <c r="D1730" t="inlineStr">
        <is>
          <t>JÄMTLANDS LÄN</t>
        </is>
      </c>
      <c r="E1730" t="inlineStr">
        <is>
          <t>RAGUNDA</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52148-2024</t>
        </is>
      </c>
      <c r="B1731" s="1" t="n">
        <v>45608</v>
      </c>
      <c r="C1731" s="1" t="n">
        <v>45826</v>
      </c>
      <c r="D1731" t="inlineStr">
        <is>
          <t>JÄMTLANDS LÄN</t>
        </is>
      </c>
      <c r="E1731" t="inlineStr">
        <is>
          <t>RAGUNDA</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52345-2024</t>
        </is>
      </c>
      <c r="B1732" s="1" t="n">
        <v>45609</v>
      </c>
      <c r="C1732" s="1" t="n">
        <v>45826</v>
      </c>
      <c r="D1732" t="inlineStr">
        <is>
          <t>JÄMTLANDS LÄN</t>
        </is>
      </c>
      <c r="E1732" t="inlineStr">
        <is>
          <t>RAGUNDA</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52599-2024</t>
        </is>
      </c>
      <c r="B1733" s="1" t="n">
        <v>45609</v>
      </c>
      <c r="C1733" s="1" t="n">
        <v>45826</v>
      </c>
      <c r="D1733" t="inlineStr">
        <is>
          <t>JÄMTLANDS LÄN</t>
        </is>
      </c>
      <c r="E1733" t="inlineStr">
        <is>
          <t>RAGUNDA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52708-2024</t>
        </is>
      </c>
      <c r="B1734" s="1" t="n">
        <v>45610</v>
      </c>
      <c r="C1734" s="1" t="n">
        <v>45826</v>
      </c>
      <c r="D1734" t="inlineStr">
        <is>
          <t>JÄMTLANDS LÄN</t>
        </is>
      </c>
      <c r="E1734" t="inlineStr">
        <is>
          <t>RAGUNDA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53171-2024</t>
        </is>
      </c>
      <c r="B1735" s="1" t="n">
        <v>45611</v>
      </c>
      <c r="C1735" s="1" t="n">
        <v>45826</v>
      </c>
      <c r="D1735" t="inlineStr">
        <is>
          <t>JÄMTLANDS LÄN</t>
        </is>
      </c>
      <c r="E1735" t="inlineStr">
        <is>
          <t>RAGUNDA</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53133-2024</t>
        </is>
      </c>
      <c r="B1736" s="1" t="n">
        <v>45611</v>
      </c>
      <c r="C1736" s="1" t="n">
        <v>45826</v>
      </c>
      <c r="D1736" t="inlineStr">
        <is>
          <t>JÄMTLANDS LÄN</t>
        </is>
      </c>
      <c r="E1736" t="inlineStr">
        <is>
          <t>RAGUNDA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53136-2024</t>
        </is>
      </c>
      <c r="B1737" s="1" t="n">
        <v>45611</v>
      </c>
      <c r="C1737" s="1" t="n">
        <v>45826</v>
      </c>
      <c r="D1737" t="inlineStr">
        <is>
          <t>JÄMTLANDS LÄN</t>
        </is>
      </c>
      <c r="E1737" t="inlineStr">
        <is>
          <t>RAGUNDA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53144-2024</t>
        </is>
      </c>
      <c r="B1738" s="1" t="n">
        <v>45611</v>
      </c>
      <c r="C1738" s="1" t="n">
        <v>45826</v>
      </c>
      <c r="D1738" t="inlineStr">
        <is>
          <t>JÄMTLANDS LÄN</t>
        </is>
      </c>
      <c r="E1738" t="inlineStr">
        <is>
          <t>RAGUNDA</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53135-2024</t>
        </is>
      </c>
      <c r="B1739" s="1" t="n">
        <v>45611</v>
      </c>
      <c r="C1739" s="1" t="n">
        <v>45826</v>
      </c>
      <c r="D1739" t="inlineStr">
        <is>
          <t>JÄMTLANDS LÄN</t>
        </is>
      </c>
      <c r="E1739" t="inlineStr">
        <is>
          <t>RAGUNDA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53134-2024</t>
        </is>
      </c>
      <c r="B1740" s="1" t="n">
        <v>45611</v>
      </c>
      <c r="C1740" s="1" t="n">
        <v>45826</v>
      </c>
      <c r="D1740" t="inlineStr">
        <is>
          <t>JÄMTLANDS LÄN</t>
        </is>
      </c>
      <c r="E1740" t="inlineStr">
        <is>
          <t>RAGUNDA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53551-2024</t>
        </is>
      </c>
      <c r="B1741" s="1" t="n">
        <v>45614</v>
      </c>
      <c r="C1741" s="1" t="n">
        <v>45826</v>
      </c>
      <c r="D1741" t="inlineStr">
        <is>
          <t>JÄMTLANDS LÄN</t>
        </is>
      </c>
      <c r="E1741" t="inlineStr">
        <is>
          <t>RAGUNDA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53561-2024</t>
        </is>
      </c>
      <c r="B1742" s="1" t="n">
        <v>45614</v>
      </c>
      <c r="C1742" s="1" t="n">
        <v>45826</v>
      </c>
      <c r="D1742" t="inlineStr">
        <is>
          <t>JÄMTLANDS LÄN</t>
        </is>
      </c>
      <c r="E1742" t="inlineStr">
        <is>
          <t>RAGUNDA</t>
        </is>
      </c>
      <c r="F1742" t="inlineStr">
        <is>
          <t>Naturvårdsverket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53264-2024</t>
        </is>
      </c>
      <c r="B1743" s="1" t="n">
        <v>45614</v>
      </c>
      <c r="C1743" s="1" t="n">
        <v>45826</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53549-2024</t>
        </is>
      </c>
      <c r="B1744" s="1" t="n">
        <v>45614</v>
      </c>
      <c r="C1744" s="1" t="n">
        <v>45826</v>
      </c>
      <c r="D1744" t="inlineStr">
        <is>
          <t>JÄMTLANDS LÄN</t>
        </is>
      </c>
      <c r="E1744" t="inlineStr">
        <is>
          <t>RAGUNDA</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53263-2024</t>
        </is>
      </c>
      <c r="B1745" s="1" t="n">
        <v>45614</v>
      </c>
      <c r="C1745" s="1" t="n">
        <v>45826</v>
      </c>
      <c r="D1745" t="inlineStr">
        <is>
          <t>JÄMTLANDS LÄN</t>
        </is>
      </c>
      <c r="E1745" t="inlineStr">
        <is>
          <t>RAGUNDA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53714-2024</t>
        </is>
      </c>
      <c r="B1746" s="1" t="n">
        <v>45615</v>
      </c>
      <c r="C1746" s="1" t="n">
        <v>45826</v>
      </c>
      <c r="D1746" t="inlineStr">
        <is>
          <t>JÄMTLANDS LÄN</t>
        </is>
      </c>
      <c r="E1746" t="inlineStr">
        <is>
          <t>RAGUNDA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53740-2024</t>
        </is>
      </c>
      <c r="B1747" s="1" t="n">
        <v>45615</v>
      </c>
      <c r="C1747" s="1" t="n">
        <v>45826</v>
      </c>
      <c r="D1747" t="inlineStr">
        <is>
          <t>JÄMTLANDS LÄN</t>
        </is>
      </c>
      <c r="E1747" t="inlineStr">
        <is>
          <t>RAGUNDA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53757-2024</t>
        </is>
      </c>
      <c r="B1748" s="1" t="n">
        <v>45615</v>
      </c>
      <c r="C1748" s="1" t="n">
        <v>45826</v>
      </c>
      <c r="D1748" t="inlineStr">
        <is>
          <t>JÄMTLANDS LÄN</t>
        </is>
      </c>
      <c r="E1748" t="inlineStr">
        <is>
          <t>RAGUNDA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53990-2024</t>
        </is>
      </c>
      <c r="B1749" s="1" t="n">
        <v>45616</v>
      </c>
      <c r="C1749" s="1" t="n">
        <v>45826</v>
      </c>
      <c r="D1749" t="inlineStr">
        <is>
          <t>JÄMTLANDS LÄN</t>
        </is>
      </c>
      <c r="E1749" t="inlineStr">
        <is>
          <t>RAGUNDA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54061-2024</t>
        </is>
      </c>
      <c r="B1750" s="1" t="n">
        <v>45616</v>
      </c>
      <c r="C1750" s="1" t="n">
        <v>45826</v>
      </c>
      <c r="D1750" t="inlineStr">
        <is>
          <t>JÄMTLANDS LÄN</t>
        </is>
      </c>
      <c r="E1750" t="inlineStr">
        <is>
          <t>RAGUNDA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54092-2024</t>
        </is>
      </c>
      <c r="B1751" s="1" t="n">
        <v>45616</v>
      </c>
      <c r="C1751" s="1" t="n">
        <v>45826</v>
      </c>
      <c r="D1751" t="inlineStr">
        <is>
          <t>JÄMTLANDS LÄN</t>
        </is>
      </c>
      <c r="E1751" t="inlineStr">
        <is>
          <t>RAGUNDA</t>
        </is>
      </c>
      <c r="F1751" t="inlineStr">
        <is>
          <t>Naturvårdsverket</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53989-2024</t>
        </is>
      </c>
      <c r="B1752" s="1" t="n">
        <v>45616</v>
      </c>
      <c r="C1752" s="1" t="n">
        <v>45826</v>
      </c>
      <c r="D1752" t="inlineStr">
        <is>
          <t>JÄMTLANDS LÄN</t>
        </is>
      </c>
      <c r="E1752" t="inlineStr">
        <is>
          <t>RAGUNDA</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54232-2024</t>
        </is>
      </c>
      <c r="B1753" s="1" t="n">
        <v>45616</v>
      </c>
      <c r="C1753" s="1" t="n">
        <v>45826</v>
      </c>
      <c r="D1753" t="inlineStr">
        <is>
          <t>JÄMTLANDS LÄN</t>
        </is>
      </c>
      <c r="E1753" t="inlineStr">
        <is>
          <t>RAGUNDA</t>
        </is>
      </c>
      <c r="F1753" t="inlineStr">
        <is>
          <t>Naturvårdsverket</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54339-2024</t>
        </is>
      </c>
      <c r="B1754" s="1" t="n">
        <v>45617</v>
      </c>
      <c r="C1754" s="1" t="n">
        <v>45826</v>
      </c>
      <c r="D1754" t="inlineStr">
        <is>
          <t>JÄMTLANDS LÄN</t>
        </is>
      </c>
      <c r="E1754" t="inlineStr">
        <is>
          <t>RAGUNDA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54476-2024</t>
        </is>
      </c>
      <c r="B1755" s="1" t="n">
        <v>45617</v>
      </c>
      <c r="C1755" s="1" t="n">
        <v>45826</v>
      </c>
      <c r="D1755" t="inlineStr">
        <is>
          <t>JÄMTLANDS LÄN</t>
        </is>
      </c>
      <c r="E1755" t="inlineStr">
        <is>
          <t>RAGUNDA</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54733-2024</t>
        </is>
      </c>
      <c r="B1756" s="1" t="n">
        <v>45618</v>
      </c>
      <c r="C1756" s="1" t="n">
        <v>45826</v>
      </c>
      <c r="D1756" t="inlineStr">
        <is>
          <t>JÄMTLANDS LÄN</t>
        </is>
      </c>
      <c r="E1756" t="inlineStr">
        <is>
          <t>RAGUNDA</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54694-2024</t>
        </is>
      </c>
      <c r="B1757" s="1" t="n">
        <v>45618</v>
      </c>
      <c r="C1757" s="1" t="n">
        <v>45826</v>
      </c>
      <c r="D1757" t="inlineStr">
        <is>
          <t>JÄMTLANDS LÄN</t>
        </is>
      </c>
      <c r="E1757" t="inlineStr">
        <is>
          <t>RAGUNDA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54764-2024</t>
        </is>
      </c>
      <c r="B1758" s="1" t="n">
        <v>45618</v>
      </c>
      <c r="C1758" s="1" t="n">
        <v>45826</v>
      </c>
      <c r="D1758" t="inlineStr">
        <is>
          <t>JÄMTLANDS LÄN</t>
        </is>
      </c>
      <c r="E1758" t="inlineStr">
        <is>
          <t>RAGUNDA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55222-2024</t>
        </is>
      </c>
      <c r="B1759" s="1" t="n">
        <v>45621</v>
      </c>
      <c r="C1759" s="1" t="n">
        <v>45826</v>
      </c>
      <c r="D1759" t="inlineStr">
        <is>
          <t>JÄMTLANDS LÄN</t>
        </is>
      </c>
      <c r="E1759" t="inlineStr">
        <is>
          <t>RAGUNDA</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55489-2024</t>
        </is>
      </c>
      <c r="B1760" s="1" t="n">
        <v>45622</v>
      </c>
      <c r="C1760" s="1" t="n">
        <v>45826</v>
      </c>
      <c r="D1760" t="inlineStr">
        <is>
          <t>JÄMTLANDS LÄN</t>
        </is>
      </c>
      <c r="E1760" t="inlineStr">
        <is>
          <t>RAGUNDA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55571-2024</t>
        </is>
      </c>
      <c r="B1761" s="1" t="n">
        <v>45622</v>
      </c>
      <c r="C1761" s="1" t="n">
        <v>45826</v>
      </c>
      <c r="D1761" t="inlineStr">
        <is>
          <t>JÄMTLANDS LÄN</t>
        </is>
      </c>
      <c r="E1761" t="inlineStr">
        <is>
          <t>RAGUNDA</t>
        </is>
      </c>
      <c r="F1761" t="inlineStr">
        <is>
          <t>SCA</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55421-2024</t>
        </is>
      </c>
      <c r="B1762" s="1" t="n">
        <v>45622</v>
      </c>
      <c r="C1762" s="1" t="n">
        <v>45826</v>
      </c>
      <c r="D1762" t="inlineStr">
        <is>
          <t>JÄMTLANDS LÄN</t>
        </is>
      </c>
      <c r="E1762" t="inlineStr">
        <is>
          <t>RAGUNDA</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55508-2024</t>
        </is>
      </c>
      <c r="B1763" s="1" t="n">
        <v>45622</v>
      </c>
      <c r="C1763" s="1" t="n">
        <v>45826</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55536-2024</t>
        </is>
      </c>
      <c r="B1764" s="1" t="n">
        <v>45622</v>
      </c>
      <c r="C1764" s="1" t="n">
        <v>45826</v>
      </c>
      <c r="D1764" t="inlineStr">
        <is>
          <t>JÄMTLANDS LÄN</t>
        </is>
      </c>
      <c r="E1764" t="inlineStr">
        <is>
          <t>RAGUNDA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55514-2024</t>
        </is>
      </c>
      <c r="B1765" s="1" t="n">
        <v>45622</v>
      </c>
      <c r="C1765" s="1" t="n">
        <v>45826</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55524-2024</t>
        </is>
      </c>
      <c r="B1766" s="1" t="n">
        <v>45622</v>
      </c>
      <c r="C1766" s="1" t="n">
        <v>45826</v>
      </c>
      <c r="D1766" t="inlineStr">
        <is>
          <t>JÄMTLANDS LÄN</t>
        </is>
      </c>
      <c r="E1766" t="inlineStr">
        <is>
          <t>RAGUNDA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55533-2024</t>
        </is>
      </c>
      <c r="B1767" s="1" t="n">
        <v>45622</v>
      </c>
      <c r="C1767" s="1" t="n">
        <v>45826</v>
      </c>
      <c r="D1767" t="inlineStr">
        <is>
          <t>JÄMTLANDS LÄN</t>
        </is>
      </c>
      <c r="E1767" t="inlineStr">
        <is>
          <t>RAGUNDA</t>
        </is>
      </c>
      <c r="F1767" t="inlineStr">
        <is>
          <t>SCA</t>
        </is>
      </c>
      <c r="G1767" t="n">
        <v>26.3</v>
      </c>
      <c r="H1767" t="n">
        <v>0</v>
      </c>
      <c r="I1767" t="n">
        <v>0</v>
      </c>
      <c r="J1767" t="n">
        <v>0</v>
      </c>
      <c r="K1767" t="n">
        <v>0</v>
      </c>
      <c r="L1767" t="n">
        <v>0</v>
      </c>
      <c r="M1767" t="n">
        <v>0</v>
      </c>
      <c r="N1767" t="n">
        <v>0</v>
      </c>
      <c r="O1767" t="n">
        <v>0</v>
      </c>
      <c r="P1767" t="n">
        <v>0</v>
      </c>
      <c r="Q1767" t="n">
        <v>0</v>
      </c>
      <c r="R1767" s="2" t="inlineStr"/>
    </row>
    <row r="1768" ht="15" customHeight="1">
      <c r="A1768" t="inlineStr">
        <is>
          <t>A 55803-2024</t>
        </is>
      </c>
      <c r="B1768" s="1" t="n">
        <v>45623</v>
      </c>
      <c r="C1768" s="1" t="n">
        <v>45826</v>
      </c>
      <c r="D1768" t="inlineStr">
        <is>
          <t>JÄMTLANDS LÄN</t>
        </is>
      </c>
      <c r="E1768" t="inlineStr">
        <is>
          <t>RAGUNDA</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55804-2024</t>
        </is>
      </c>
      <c r="B1769" s="1" t="n">
        <v>45623</v>
      </c>
      <c r="C1769" s="1" t="n">
        <v>45826</v>
      </c>
      <c r="D1769" t="inlineStr">
        <is>
          <t>JÄMTLANDS LÄN</t>
        </is>
      </c>
      <c r="E1769" t="inlineStr">
        <is>
          <t>RAGUNDA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56504-2024</t>
        </is>
      </c>
      <c r="B1770" s="1" t="n">
        <v>45625</v>
      </c>
      <c r="C1770" s="1" t="n">
        <v>45826</v>
      </c>
      <c r="D1770" t="inlineStr">
        <is>
          <t>JÄMTLANDS LÄN</t>
        </is>
      </c>
      <c r="E1770" t="inlineStr">
        <is>
          <t>RAGUNDA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56893-2024</t>
        </is>
      </c>
      <c r="B1771" s="1" t="n">
        <v>45628</v>
      </c>
      <c r="C1771" s="1" t="n">
        <v>45826</v>
      </c>
      <c r="D1771" t="inlineStr">
        <is>
          <t>JÄMTLANDS LÄN</t>
        </is>
      </c>
      <c r="E1771" t="inlineStr">
        <is>
          <t>RAGUNDA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57086-2024</t>
        </is>
      </c>
      <c r="B1772" s="1" t="n">
        <v>45629</v>
      </c>
      <c r="C1772" s="1" t="n">
        <v>45826</v>
      </c>
      <c r="D1772" t="inlineStr">
        <is>
          <t>JÄMTLANDS LÄN</t>
        </is>
      </c>
      <c r="E1772" t="inlineStr">
        <is>
          <t>RAGUNDA</t>
        </is>
      </c>
      <c r="F1772" t="inlineStr">
        <is>
          <t>SCA</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57112-2024</t>
        </is>
      </c>
      <c r="B1773" s="1" t="n">
        <v>45629</v>
      </c>
      <c r="C1773" s="1" t="n">
        <v>45826</v>
      </c>
      <c r="D1773" t="inlineStr">
        <is>
          <t>JÄMTLANDS LÄN</t>
        </is>
      </c>
      <c r="E1773" t="inlineStr">
        <is>
          <t>RAGUNDA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57116-2024</t>
        </is>
      </c>
      <c r="B1774" s="1" t="n">
        <v>45629</v>
      </c>
      <c r="C1774" s="1" t="n">
        <v>45826</v>
      </c>
      <c r="D1774" t="inlineStr">
        <is>
          <t>JÄMTLANDS LÄN</t>
        </is>
      </c>
      <c r="E1774" t="inlineStr">
        <is>
          <t>RAGUNDA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57064-2024</t>
        </is>
      </c>
      <c r="B1775" s="1" t="n">
        <v>45629</v>
      </c>
      <c r="C1775" s="1" t="n">
        <v>45826</v>
      </c>
      <c r="D1775" t="inlineStr">
        <is>
          <t>JÄMTLANDS LÄN</t>
        </is>
      </c>
      <c r="E1775" t="inlineStr">
        <is>
          <t>RAGUNDA</t>
        </is>
      </c>
      <c r="F1775" t="inlineStr">
        <is>
          <t>Naturvårdsverket</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57170-2024</t>
        </is>
      </c>
      <c r="B1776" s="1" t="n">
        <v>45629</v>
      </c>
      <c r="C1776" s="1" t="n">
        <v>45826</v>
      </c>
      <c r="D1776" t="inlineStr">
        <is>
          <t>JÄMTLANDS LÄN</t>
        </is>
      </c>
      <c r="E1776" t="inlineStr">
        <is>
          <t>RAGUNDA</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57749-2024</t>
        </is>
      </c>
      <c r="B1777" s="1" t="n">
        <v>45630</v>
      </c>
      <c r="C1777" s="1" t="n">
        <v>45826</v>
      </c>
      <c r="D1777" t="inlineStr">
        <is>
          <t>JÄMTLANDS LÄN</t>
        </is>
      </c>
      <c r="E1777" t="inlineStr">
        <is>
          <t>RAGUNDA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57842-2024</t>
        </is>
      </c>
      <c r="B1778" s="1" t="n">
        <v>45631</v>
      </c>
      <c r="C1778" s="1" t="n">
        <v>45826</v>
      </c>
      <c r="D1778" t="inlineStr">
        <is>
          <t>JÄMTLANDS LÄN</t>
        </is>
      </c>
      <c r="E1778" t="inlineStr">
        <is>
          <t>RAGUNDA</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57889-2024</t>
        </is>
      </c>
      <c r="B1779" s="1" t="n">
        <v>45631</v>
      </c>
      <c r="C1779" s="1" t="n">
        <v>45826</v>
      </c>
      <c r="D1779" t="inlineStr">
        <is>
          <t>JÄMTLANDS LÄN</t>
        </is>
      </c>
      <c r="E1779" t="inlineStr">
        <is>
          <t>RAGUNDA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57992-2024</t>
        </is>
      </c>
      <c r="B1780" s="1" t="n">
        <v>45631</v>
      </c>
      <c r="C1780" s="1" t="n">
        <v>45826</v>
      </c>
      <c r="D1780" t="inlineStr">
        <is>
          <t>JÄMTLANDS LÄN</t>
        </is>
      </c>
      <c r="E1780" t="inlineStr">
        <is>
          <t>RAGUNDA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58563-2024</t>
        </is>
      </c>
      <c r="B1781" s="1" t="n">
        <v>45635</v>
      </c>
      <c r="C1781" s="1" t="n">
        <v>45826</v>
      </c>
      <c r="D1781" t="inlineStr">
        <is>
          <t>JÄMTLANDS LÄN</t>
        </is>
      </c>
      <c r="E1781" t="inlineStr">
        <is>
          <t>RAGUNDA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58630-2024</t>
        </is>
      </c>
      <c r="B1782" s="1" t="n">
        <v>45635</v>
      </c>
      <c r="C1782" s="1" t="n">
        <v>45826</v>
      </c>
      <c r="D1782" t="inlineStr">
        <is>
          <t>JÄMTLANDS LÄN</t>
        </is>
      </c>
      <c r="E1782" t="inlineStr">
        <is>
          <t>RAGUNDA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58564-2024</t>
        </is>
      </c>
      <c r="B1783" s="1" t="n">
        <v>45635</v>
      </c>
      <c r="C1783" s="1" t="n">
        <v>45826</v>
      </c>
      <c r="D1783" t="inlineStr">
        <is>
          <t>JÄMTLANDS LÄN</t>
        </is>
      </c>
      <c r="E1783" t="inlineStr">
        <is>
          <t>RAGUNDA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58562-2024</t>
        </is>
      </c>
      <c r="B1784" s="1" t="n">
        <v>45635</v>
      </c>
      <c r="C1784" s="1" t="n">
        <v>45826</v>
      </c>
      <c r="D1784" t="inlineStr">
        <is>
          <t>JÄMTLANDS LÄN</t>
        </is>
      </c>
      <c r="E1784" t="inlineStr">
        <is>
          <t>RAGUNDA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58955-2024</t>
        </is>
      </c>
      <c r="B1785" s="1" t="n">
        <v>45636</v>
      </c>
      <c r="C1785" s="1" t="n">
        <v>45826</v>
      </c>
      <c r="D1785" t="inlineStr">
        <is>
          <t>JÄMTLANDS LÄN</t>
        </is>
      </c>
      <c r="E1785" t="inlineStr">
        <is>
          <t>RAGUNDA</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58847-2024</t>
        </is>
      </c>
      <c r="B1786" s="1" t="n">
        <v>45636</v>
      </c>
      <c r="C1786" s="1" t="n">
        <v>45826</v>
      </c>
      <c r="D1786" t="inlineStr">
        <is>
          <t>JÄMTLANDS LÄN</t>
        </is>
      </c>
      <c r="E1786" t="inlineStr">
        <is>
          <t>RAGUNDA</t>
        </is>
      </c>
      <c r="F1786" t="inlineStr">
        <is>
          <t>SCA</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58843-2024</t>
        </is>
      </c>
      <c r="B1787" s="1" t="n">
        <v>45636</v>
      </c>
      <c r="C1787" s="1" t="n">
        <v>45826</v>
      </c>
      <c r="D1787" t="inlineStr">
        <is>
          <t>JÄMTLANDS LÄN</t>
        </is>
      </c>
      <c r="E1787" t="inlineStr">
        <is>
          <t>RAGUNDA</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58844-2024</t>
        </is>
      </c>
      <c r="B1788" s="1" t="n">
        <v>45636</v>
      </c>
      <c r="C1788" s="1" t="n">
        <v>45826</v>
      </c>
      <c r="D1788" t="inlineStr">
        <is>
          <t>JÄMTLANDS LÄN</t>
        </is>
      </c>
      <c r="E1788" t="inlineStr">
        <is>
          <t>RAGUNDA</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59556-2024</t>
        </is>
      </c>
      <c r="B1789" s="1" t="n">
        <v>45638</v>
      </c>
      <c r="C1789" s="1" t="n">
        <v>45826</v>
      </c>
      <c r="D1789" t="inlineStr">
        <is>
          <t>JÄMTLANDS LÄN</t>
        </is>
      </c>
      <c r="E1789" t="inlineStr">
        <is>
          <t>RAGUNDA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59492-2024</t>
        </is>
      </c>
      <c r="B1790" s="1" t="n">
        <v>45638</v>
      </c>
      <c r="C1790" s="1" t="n">
        <v>45826</v>
      </c>
      <c r="D1790" t="inlineStr">
        <is>
          <t>JÄMTLANDS LÄN</t>
        </is>
      </c>
      <c r="E1790" t="inlineStr">
        <is>
          <t>RAGUNDA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59496-2024</t>
        </is>
      </c>
      <c r="B1791" s="1" t="n">
        <v>45638</v>
      </c>
      <c r="C1791" s="1" t="n">
        <v>45826</v>
      </c>
      <c r="D1791" t="inlineStr">
        <is>
          <t>JÄMTLANDS LÄN</t>
        </is>
      </c>
      <c r="E1791" t="inlineStr">
        <is>
          <t>RAGUNDA</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59372-2024</t>
        </is>
      </c>
      <c r="B1792" s="1" t="n">
        <v>45638</v>
      </c>
      <c r="C1792" s="1" t="n">
        <v>45826</v>
      </c>
      <c r="D1792" t="inlineStr">
        <is>
          <t>JÄMTLANDS LÄN</t>
        </is>
      </c>
      <c r="E1792" t="inlineStr">
        <is>
          <t>RAGUNDA</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59800-2024</t>
        </is>
      </c>
      <c r="B1793" s="1" t="n">
        <v>45639</v>
      </c>
      <c r="C1793" s="1" t="n">
        <v>45826</v>
      </c>
      <c r="D1793" t="inlineStr">
        <is>
          <t>JÄMTLANDS LÄN</t>
        </is>
      </c>
      <c r="E1793" t="inlineStr">
        <is>
          <t>RAGUNDA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59670-2024</t>
        </is>
      </c>
      <c r="B1794" s="1" t="n">
        <v>45639</v>
      </c>
      <c r="C1794" s="1" t="n">
        <v>45826</v>
      </c>
      <c r="D1794" t="inlineStr">
        <is>
          <t>JÄMTLANDS LÄN</t>
        </is>
      </c>
      <c r="E1794" t="inlineStr">
        <is>
          <t>RAGUNDA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59759-2024</t>
        </is>
      </c>
      <c r="B1795" s="1" t="n">
        <v>45639</v>
      </c>
      <c r="C1795" s="1" t="n">
        <v>45826</v>
      </c>
      <c r="D1795" t="inlineStr">
        <is>
          <t>JÄMTLANDS LÄN</t>
        </is>
      </c>
      <c r="E1795" t="inlineStr">
        <is>
          <t>RAGUNDA</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59649-2024</t>
        </is>
      </c>
      <c r="B1796" s="1" t="n">
        <v>45639</v>
      </c>
      <c r="C1796" s="1" t="n">
        <v>45826</v>
      </c>
      <c r="D1796" t="inlineStr">
        <is>
          <t>JÄMTLANDS LÄN</t>
        </is>
      </c>
      <c r="E1796" t="inlineStr">
        <is>
          <t>RAGUNDA</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60045-2024</t>
        </is>
      </c>
      <c r="B1797" s="1" t="n">
        <v>45642</v>
      </c>
      <c r="C1797" s="1" t="n">
        <v>45826</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60762-2024</t>
        </is>
      </c>
      <c r="B1798" s="1" t="n">
        <v>45644</v>
      </c>
      <c r="C1798" s="1" t="n">
        <v>45826</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60935-2024</t>
        </is>
      </c>
      <c r="B1799" s="1" t="n">
        <v>45645</v>
      </c>
      <c r="C1799" s="1" t="n">
        <v>45826</v>
      </c>
      <c r="D1799" t="inlineStr">
        <is>
          <t>JÄMTLANDS LÄN</t>
        </is>
      </c>
      <c r="E1799" t="inlineStr">
        <is>
          <t>RAGUNDA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61107-2024</t>
        </is>
      </c>
      <c r="B1800" s="1" t="n">
        <v>45645</v>
      </c>
      <c r="C1800" s="1" t="n">
        <v>45826</v>
      </c>
      <c r="D1800" t="inlineStr">
        <is>
          <t>JÄMTLANDS LÄN</t>
        </is>
      </c>
      <c r="E1800" t="inlineStr">
        <is>
          <t>RAGUNDA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61106-2024</t>
        </is>
      </c>
      <c r="B1801" s="1" t="n">
        <v>45645</v>
      </c>
      <c r="C1801" s="1" t="n">
        <v>45826</v>
      </c>
      <c r="D1801" t="inlineStr">
        <is>
          <t>JÄMTLANDS LÄN</t>
        </is>
      </c>
      <c r="E1801" t="inlineStr">
        <is>
          <t>RAGUNDA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60936-2024</t>
        </is>
      </c>
      <c r="B1802" s="1" t="n">
        <v>45645</v>
      </c>
      <c r="C1802" s="1" t="n">
        <v>45826</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61109-2024</t>
        </is>
      </c>
      <c r="B1803" s="1" t="n">
        <v>45645</v>
      </c>
      <c r="C1803" s="1" t="n">
        <v>45826</v>
      </c>
      <c r="D1803" t="inlineStr">
        <is>
          <t>JÄMTLANDS LÄN</t>
        </is>
      </c>
      <c r="E1803" t="inlineStr">
        <is>
          <t>RAGUNDA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61058-2024</t>
        </is>
      </c>
      <c r="B1804" s="1" t="n">
        <v>45645</v>
      </c>
      <c r="C1804" s="1" t="n">
        <v>45826</v>
      </c>
      <c r="D1804" t="inlineStr">
        <is>
          <t>JÄMTLANDS LÄN</t>
        </is>
      </c>
      <c r="E1804" t="inlineStr">
        <is>
          <t>RAGUNDA</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61324-2024</t>
        </is>
      </c>
      <c r="B1805" s="1" t="n">
        <v>45646</v>
      </c>
      <c r="C1805" s="1" t="n">
        <v>45826</v>
      </c>
      <c r="D1805" t="inlineStr">
        <is>
          <t>JÄMTLANDS LÄN</t>
        </is>
      </c>
      <c r="E1805" t="inlineStr">
        <is>
          <t>RAGUNDA</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61340-2024</t>
        </is>
      </c>
      <c r="B1806" s="1" t="n">
        <v>45646</v>
      </c>
      <c r="C1806" s="1" t="n">
        <v>45826</v>
      </c>
      <c r="D1806" t="inlineStr">
        <is>
          <t>JÄMTLANDS LÄN</t>
        </is>
      </c>
      <c r="E1806" t="inlineStr">
        <is>
          <t>RAGUNDA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61460-2024</t>
        </is>
      </c>
      <c r="B1807" s="1" t="n">
        <v>45646</v>
      </c>
      <c r="C1807" s="1" t="n">
        <v>45826</v>
      </c>
      <c r="D1807" t="inlineStr">
        <is>
          <t>JÄMTLANDS LÄN</t>
        </is>
      </c>
      <c r="E1807" t="inlineStr">
        <is>
          <t>RAGUNDA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61598-2024</t>
        </is>
      </c>
      <c r="B1808" s="1" t="n">
        <v>45646</v>
      </c>
      <c r="C1808" s="1" t="n">
        <v>45826</v>
      </c>
      <c r="D1808" t="inlineStr">
        <is>
          <t>JÄMTLANDS LÄN</t>
        </is>
      </c>
      <c r="E1808" t="inlineStr">
        <is>
          <t>RAGUNDA</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95-2025</t>
        </is>
      </c>
      <c r="B1809" s="1" t="n">
        <v>45649</v>
      </c>
      <c r="C1809" s="1" t="n">
        <v>45826</v>
      </c>
      <c r="D1809" t="inlineStr">
        <is>
          <t>JÄMTLANDS LÄN</t>
        </is>
      </c>
      <c r="E1809" t="inlineStr">
        <is>
          <t>RAGUNDA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98-2025</t>
        </is>
      </c>
      <c r="B1810" s="1" t="n">
        <v>45649</v>
      </c>
      <c r="C1810" s="1" t="n">
        <v>45826</v>
      </c>
      <c r="D1810" t="inlineStr">
        <is>
          <t>JÄMTLANDS LÄN</t>
        </is>
      </c>
      <c r="E1810" t="inlineStr">
        <is>
          <t>RAGUNDA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61923-2024</t>
        </is>
      </c>
      <c r="B1811" s="1" t="n">
        <v>45653</v>
      </c>
      <c r="C1811" s="1" t="n">
        <v>45826</v>
      </c>
      <c r="D1811" t="inlineStr">
        <is>
          <t>JÄMTLANDS LÄN</t>
        </is>
      </c>
      <c r="E1811" t="inlineStr">
        <is>
          <t>RAGUNDA</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62135-2024</t>
        </is>
      </c>
      <c r="B1812" s="1" t="n">
        <v>45656</v>
      </c>
      <c r="C1812" s="1" t="n">
        <v>45826</v>
      </c>
      <c r="D1812" t="inlineStr">
        <is>
          <t>JÄMTLANDS LÄN</t>
        </is>
      </c>
      <c r="E1812" t="inlineStr">
        <is>
          <t>RAGUNDA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62105-2024</t>
        </is>
      </c>
      <c r="B1813" s="1" t="n">
        <v>45656</v>
      </c>
      <c r="C1813" s="1" t="n">
        <v>45826</v>
      </c>
      <c r="D1813" t="inlineStr">
        <is>
          <t>JÄMTLANDS LÄN</t>
        </is>
      </c>
      <c r="E1813" t="inlineStr">
        <is>
          <t>RAGUNDA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62115-2024</t>
        </is>
      </c>
      <c r="B1814" s="1" t="n">
        <v>45656</v>
      </c>
      <c r="C1814" s="1" t="n">
        <v>45826</v>
      </c>
      <c r="D1814" t="inlineStr">
        <is>
          <t>JÄMTLANDS LÄN</t>
        </is>
      </c>
      <c r="E1814" t="inlineStr">
        <is>
          <t>RAGUNDA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163-2025</t>
        </is>
      </c>
      <c r="B1815" s="1" t="n">
        <v>45659</v>
      </c>
      <c r="C1815" s="1" t="n">
        <v>45826</v>
      </c>
      <c r="D1815" t="inlineStr">
        <is>
          <t>JÄMTLANDS LÄN</t>
        </is>
      </c>
      <c r="E1815" t="inlineStr">
        <is>
          <t>RAGUNDA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179-2025</t>
        </is>
      </c>
      <c r="B1816" s="1" t="n">
        <v>45659</v>
      </c>
      <c r="C1816" s="1" t="n">
        <v>45826</v>
      </c>
      <c r="D1816" t="inlineStr">
        <is>
          <t>JÄMTLANDS LÄN</t>
        </is>
      </c>
      <c r="E1816" t="inlineStr">
        <is>
          <t>RAGUNDA</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503-2025</t>
        </is>
      </c>
      <c r="B1817" s="1" t="n">
        <v>45664</v>
      </c>
      <c r="C1817" s="1" t="n">
        <v>45826</v>
      </c>
      <c r="D1817" t="inlineStr">
        <is>
          <t>JÄMTLANDS LÄN</t>
        </is>
      </c>
      <c r="E1817" t="inlineStr">
        <is>
          <t>RAGUNDA</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564-2025</t>
        </is>
      </c>
      <c r="B1818" s="1" t="n">
        <v>45664</v>
      </c>
      <c r="C1818" s="1" t="n">
        <v>45826</v>
      </c>
      <c r="D1818" t="inlineStr">
        <is>
          <t>JÄMTLANDS LÄN</t>
        </is>
      </c>
      <c r="E1818" t="inlineStr">
        <is>
          <t>RAGUNDA</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504-2025</t>
        </is>
      </c>
      <c r="B1819" s="1" t="n">
        <v>45664</v>
      </c>
      <c r="C1819" s="1" t="n">
        <v>45826</v>
      </c>
      <c r="D1819" t="inlineStr">
        <is>
          <t>JÄMTLANDS LÄN</t>
        </is>
      </c>
      <c r="E1819" t="inlineStr">
        <is>
          <t>RAGUNDA</t>
        </is>
      </c>
      <c r="F1819" t="inlineStr">
        <is>
          <t>SCA</t>
        </is>
      </c>
      <c r="G1819" t="n">
        <v>22.5</v>
      </c>
      <c r="H1819" t="n">
        <v>0</v>
      </c>
      <c r="I1819" t="n">
        <v>0</v>
      </c>
      <c r="J1819" t="n">
        <v>0</v>
      </c>
      <c r="K1819" t="n">
        <v>0</v>
      </c>
      <c r="L1819" t="n">
        <v>0</v>
      </c>
      <c r="M1819" t="n">
        <v>0</v>
      </c>
      <c r="N1819" t="n">
        <v>0</v>
      </c>
      <c r="O1819" t="n">
        <v>0</v>
      </c>
      <c r="P1819" t="n">
        <v>0</v>
      </c>
      <c r="Q1819" t="n">
        <v>0</v>
      </c>
      <c r="R1819" s="2" t="inlineStr"/>
    </row>
    <row r="1820" ht="15" customHeight="1">
      <c r="A1820" t="inlineStr">
        <is>
          <t>A 893-2025</t>
        </is>
      </c>
      <c r="B1820" s="1" t="n">
        <v>45665</v>
      </c>
      <c r="C1820" s="1" t="n">
        <v>45826</v>
      </c>
      <c r="D1820" t="inlineStr">
        <is>
          <t>JÄMTLANDS LÄN</t>
        </is>
      </c>
      <c r="E1820" t="inlineStr">
        <is>
          <t>RAGUNDA</t>
        </is>
      </c>
      <c r="F1820" t="inlineStr">
        <is>
          <t>SCA</t>
        </is>
      </c>
      <c r="G1820" t="n">
        <v>45.1</v>
      </c>
      <c r="H1820" t="n">
        <v>0</v>
      </c>
      <c r="I1820" t="n">
        <v>0</v>
      </c>
      <c r="J1820" t="n">
        <v>0</v>
      </c>
      <c r="K1820" t="n">
        <v>0</v>
      </c>
      <c r="L1820" t="n">
        <v>0</v>
      </c>
      <c r="M1820" t="n">
        <v>0</v>
      </c>
      <c r="N1820" t="n">
        <v>0</v>
      </c>
      <c r="O1820" t="n">
        <v>0</v>
      </c>
      <c r="P1820" t="n">
        <v>0</v>
      </c>
      <c r="Q1820" t="n">
        <v>0</v>
      </c>
      <c r="R1820" s="2" t="inlineStr"/>
    </row>
    <row r="1821" ht="15" customHeight="1">
      <c r="A1821" t="inlineStr">
        <is>
          <t>A 1145-2025</t>
        </is>
      </c>
      <c r="B1821" s="1" t="n">
        <v>45666</v>
      </c>
      <c r="C1821" s="1" t="n">
        <v>45826</v>
      </c>
      <c r="D1821" t="inlineStr">
        <is>
          <t>JÄMTLANDS LÄN</t>
        </is>
      </c>
      <c r="E1821" t="inlineStr">
        <is>
          <t>RAGUNDA</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993-2025</t>
        </is>
      </c>
      <c r="B1822" s="1" t="n">
        <v>45666</v>
      </c>
      <c r="C1822" s="1" t="n">
        <v>45826</v>
      </c>
      <c r="D1822" t="inlineStr">
        <is>
          <t>JÄMTLANDS LÄN</t>
        </is>
      </c>
      <c r="E1822" t="inlineStr">
        <is>
          <t>RAGUNDA</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985-2025</t>
        </is>
      </c>
      <c r="B1823" s="1" t="n">
        <v>45666</v>
      </c>
      <c r="C1823" s="1" t="n">
        <v>45826</v>
      </c>
      <c r="D1823" t="inlineStr">
        <is>
          <t>JÄMTLANDS LÄN</t>
        </is>
      </c>
      <c r="E1823" t="inlineStr">
        <is>
          <t>RAGUNDA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1308-2025</t>
        </is>
      </c>
      <c r="B1824" s="1" t="n">
        <v>45667</v>
      </c>
      <c r="C1824" s="1" t="n">
        <v>45826</v>
      </c>
      <c r="D1824" t="inlineStr">
        <is>
          <t>JÄMTLANDS LÄN</t>
        </is>
      </c>
      <c r="E1824" t="inlineStr">
        <is>
          <t>RAGUNDA</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1325-2025</t>
        </is>
      </c>
      <c r="B1825" s="1" t="n">
        <v>45667</v>
      </c>
      <c r="C1825" s="1" t="n">
        <v>45826</v>
      </c>
      <c r="D1825" t="inlineStr">
        <is>
          <t>JÄMTLANDS LÄN</t>
        </is>
      </c>
      <c r="E1825" t="inlineStr">
        <is>
          <t>RAGUNDA</t>
        </is>
      </c>
      <c r="F1825" t="inlineStr">
        <is>
          <t>SCA</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1340-2025</t>
        </is>
      </c>
      <c r="B1826" s="1" t="n">
        <v>45667</v>
      </c>
      <c r="C1826" s="1" t="n">
        <v>45826</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1250-2025</t>
        </is>
      </c>
      <c r="B1827" s="1" t="n">
        <v>45667</v>
      </c>
      <c r="C1827" s="1" t="n">
        <v>45826</v>
      </c>
      <c r="D1827" t="inlineStr">
        <is>
          <t>JÄMTLANDS LÄN</t>
        </is>
      </c>
      <c r="E1827" t="inlineStr">
        <is>
          <t>RAGUNDA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1326-2025</t>
        </is>
      </c>
      <c r="B1828" s="1" t="n">
        <v>45667</v>
      </c>
      <c r="C1828" s="1" t="n">
        <v>45826</v>
      </c>
      <c r="D1828" t="inlineStr">
        <is>
          <t>JÄMTLANDS LÄN</t>
        </is>
      </c>
      <c r="E1828" t="inlineStr">
        <is>
          <t>RAGUNDA</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1809-2025</t>
        </is>
      </c>
      <c r="B1829" s="1" t="n">
        <v>45671</v>
      </c>
      <c r="C1829" s="1" t="n">
        <v>45826</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1911-2025</t>
        </is>
      </c>
      <c r="B1830" s="1" t="n">
        <v>45671</v>
      </c>
      <c r="C1830" s="1" t="n">
        <v>45826</v>
      </c>
      <c r="D1830" t="inlineStr">
        <is>
          <t>JÄMTLANDS LÄN</t>
        </is>
      </c>
      <c r="E1830" t="inlineStr">
        <is>
          <t>RAGUNDA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1837-2025</t>
        </is>
      </c>
      <c r="B1831" s="1" t="n">
        <v>45671</v>
      </c>
      <c r="C1831" s="1" t="n">
        <v>45826</v>
      </c>
      <c r="D1831" t="inlineStr">
        <is>
          <t>JÄMTLANDS LÄN</t>
        </is>
      </c>
      <c r="E1831" t="inlineStr">
        <is>
          <t>RAGUNDA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1912-2025</t>
        </is>
      </c>
      <c r="B1832" s="1" t="n">
        <v>45671</v>
      </c>
      <c r="C1832" s="1" t="n">
        <v>45826</v>
      </c>
      <c r="D1832" t="inlineStr">
        <is>
          <t>JÄMTLANDS LÄN</t>
        </is>
      </c>
      <c r="E1832" t="inlineStr">
        <is>
          <t>RAGUNDA</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2001-2025</t>
        </is>
      </c>
      <c r="B1833" s="1" t="n">
        <v>45672</v>
      </c>
      <c r="C1833" s="1" t="n">
        <v>45826</v>
      </c>
      <c r="D1833" t="inlineStr">
        <is>
          <t>JÄMTLANDS LÄN</t>
        </is>
      </c>
      <c r="E1833" t="inlineStr">
        <is>
          <t>RAGUNDA</t>
        </is>
      </c>
      <c r="F1833" t="inlineStr">
        <is>
          <t>SCA</t>
        </is>
      </c>
      <c r="G1833" t="n">
        <v>16.2</v>
      </c>
      <c r="H1833" t="n">
        <v>0</v>
      </c>
      <c r="I1833" t="n">
        <v>0</v>
      </c>
      <c r="J1833" t="n">
        <v>0</v>
      </c>
      <c r="K1833" t="n">
        <v>0</v>
      </c>
      <c r="L1833" t="n">
        <v>0</v>
      </c>
      <c r="M1833" t="n">
        <v>0</v>
      </c>
      <c r="N1833" t="n">
        <v>0</v>
      </c>
      <c r="O1833" t="n">
        <v>0</v>
      </c>
      <c r="P1833" t="n">
        <v>0</v>
      </c>
      <c r="Q1833" t="n">
        <v>0</v>
      </c>
      <c r="R1833" s="2" t="inlineStr"/>
    </row>
    <row r="1834" ht="15" customHeight="1">
      <c r="A1834" t="inlineStr">
        <is>
          <t>A 1985-2025</t>
        </is>
      </c>
      <c r="B1834" s="1" t="n">
        <v>45672</v>
      </c>
      <c r="C1834" s="1" t="n">
        <v>45826</v>
      </c>
      <c r="D1834" t="inlineStr">
        <is>
          <t>JÄMTLANDS LÄN</t>
        </is>
      </c>
      <c r="E1834" t="inlineStr">
        <is>
          <t>RAGUNDA</t>
        </is>
      </c>
      <c r="F1834" t="inlineStr">
        <is>
          <t>SCA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2103-2025</t>
        </is>
      </c>
      <c r="B1835" s="1" t="n">
        <v>45672</v>
      </c>
      <c r="C1835" s="1" t="n">
        <v>45826</v>
      </c>
      <c r="D1835" t="inlineStr">
        <is>
          <t>JÄMTLANDS LÄN</t>
        </is>
      </c>
      <c r="E1835" t="inlineStr">
        <is>
          <t>RAGUNDA</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2339-2025</t>
        </is>
      </c>
      <c r="B1836" s="1" t="n">
        <v>45673</v>
      </c>
      <c r="C1836" s="1" t="n">
        <v>45826</v>
      </c>
      <c r="D1836" t="inlineStr">
        <is>
          <t>JÄMTLANDS LÄN</t>
        </is>
      </c>
      <c r="E1836" t="inlineStr">
        <is>
          <t>RAGUNDA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2758-2025</t>
        </is>
      </c>
      <c r="B1837" s="1" t="n">
        <v>45677</v>
      </c>
      <c r="C1837" s="1" t="n">
        <v>45826</v>
      </c>
      <c r="D1837" t="inlineStr">
        <is>
          <t>JÄMTLANDS LÄN</t>
        </is>
      </c>
      <c r="E1837" t="inlineStr">
        <is>
          <t>RAGUNDA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2762-2025</t>
        </is>
      </c>
      <c r="B1838" s="1" t="n">
        <v>45677</v>
      </c>
      <c r="C1838" s="1" t="n">
        <v>45826</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3104-2025</t>
        </is>
      </c>
      <c r="B1839" s="1" t="n">
        <v>45678</v>
      </c>
      <c r="C1839" s="1" t="n">
        <v>45826</v>
      </c>
      <c r="D1839" t="inlineStr">
        <is>
          <t>JÄMTLANDS LÄN</t>
        </is>
      </c>
      <c r="E1839" t="inlineStr">
        <is>
          <t>RAGUNDA</t>
        </is>
      </c>
      <c r="F1839" t="inlineStr">
        <is>
          <t>SCA</t>
        </is>
      </c>
      <c r="G1839" t="n">
        <v>46.2</v>
      </c>
      <c r="H1839" t="n">
        <v>0</v>
      </c>
      <c r="I1839" t="n">
        <v>0</v>
      </c>
      <c r="J1839" t="n">
        <v>0</v>
      </c>
      <c r="K1839" t="n">
        <v>0</v>
      </c>
      <c r="L1839" t="n">
        <v>0</v>
      </c>
      <c r="M1839" t="n">
        <v>0</v>
      </c>
      <c r="N1839" t="n">
        <v>0</v>
      </c>
      <c r="O1839" t="n">
        <v>0</v>
      </c>
      <c r="P1839" t="n">
        <v>0</v>
      </c>
      <c r="Q1839" t="n">
        <v>0</v>
      </c>
      <c r="R1839" s="2" t="inlineStr"/>
    </row>
    <row r="1840" ht="15" customHeight="1">
      <c r="A1840" t="inlineStr">
        <is>
          <t>A 3186-2025</t>
        </is>
      </c>
      <c r="B1840" s="1" t="n">
        <v>45679</v>
      </c>
      <c r="C1840" s="1" t="n">
        <v>45826</v>
      </c>
      <c r="D1840" t="inlineStr">
        <is>
          <t>JÄMTLANDS LÄN</t>
        </is>
      </c>
      <c r="E1840" t="inlineStr">
        <is>
          <t>RAGUNDA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3502-2025</t>
        </is>
      </c>
      <c r="B1841" s="1" t="n">
        <v>45680</v>
      </c>
      <c r="C1841" s="1" t="n">
        <v>45826</v>
      </c>
      <c r="D1841" t="inlineStr">
        <is>
          <t>JÄMTLANDS LÄN</t>
        </is>
      </c>
      <c r="E1841" t="inlineStr">
        <is>
          <t>RAGUNDA</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3765-2025</t>
        </is>
      </c>
      <c r="B1842" s="1" t="n">
        <v>45681</v>
      </c>
      <c r="C1842" s="1" t="n">
        <v>45826</v>
      </c>
      <c r="D1842" t="inlineStr">
        <is>
          <t>JÄMTLANDS LÄN</t>
        </is>
      </c>
      <c r="E1842" t="inlineStr">
        <is>
          <t>RAGUNDA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3767-2025</t>
        </is>
      </c>
      <c r="B1843" s="1" t="n">
        <v>45681</v>
      </c>
      <c r="C1843" s="1" t="n">
        <v>45826</v>
      </c>
      <c r="D1843" t="inlineStr">
        <is>
          <t>JÄMTLANDS LÄN</t>
        </is>
      </c>
      <c r="E1843" t="inlineStr">
        <is>
          <t>RAGUNDA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3770-2025</t>
        </is>
      </c>
      <c r="B1844" s="1" t="n">
        <v>45681</v>
      </c>
      <c r="C1844" s="1" t="n">
        <v>45826</v>
      </c>
      <c r="D1844" t="inlineStr">
        <is>
          <t>JÄMTLANDS LÄN</t>
        </is>
      </c>
      <c r="E1844" t="inlineStr">
        <is>
          <t>RAGUNDA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3720-2025</t>
        </is>
      </c>
      <c r="B1845" s="1" t="n">
        <v>45681</v>
      </c>
      <c r="C1845" s="1" t="n">
        <v>45826</v>
      </c>
      <c r="D1845" t="inlineStr">
        <is>
          <t>JÄMTLANDS LÄN</t>
        </is>
      </c>
      <c r="E1845" t="inlineStr">
        <is>
          <t>RAGUNDA</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4573-2025</t>
        </is>
      </c>
      <c r="B1846" s="1" t="n">
        <v>45687</v>
      </c>
      <c r="C1846" s="1" t="n">
        <v>45826</v>
      </c>
      <c r="D1846" t="inlineStr">
        <is>
          <t>JÄMTLANDS LÄN</t>
        </is>
      </c>
      <c r="E1846" t="inlineStr">
        <is>
          <t>RAGUNDA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4571-2025</t>
        </is>
      </c>
      <c r="B1847" s="1" t="n">
        <v>45687</v>
      </c>
      <c r="C1847" s="1" t="n">
        <v>45826</v>
      </c>
      <c r="D1847" t="inlineStr">
        <is>
          <t>JÄMTLANDS LÄN</t>
        </is>
      </c>
      <c r="E1847" t="inlineStr">
        <is>
          <t>RAGUNDA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4916-2025</t>
        </is>
      </c>
      <c r="B1848" s="1" t="n">
        <v>45688</v>
      </c>
      <c r="C1848" s="1" t="n">
        <v>45826</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4907-2025</t>
        </is>
      </c>
      <c r="B1849" s="1" t="n">
        <v>45688</v>
      </c>
      <c r="C1849" s="1" t="n">
        <v>45826</v>
      </c>
      <c r="D1849" t="inlineStr">
        <is>
          <t>JÄMTLANDS LÄN</t>
        </is>
      </c>
      <c r="E1849" t="inlineStr">
        <is>
          <t>RAGUNDA</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4846-2025</t>
        </is>
      </c>
      <c r="B1850" s="1" t="n">
        <v>45688</v>
      </c>
      <c r="C1850" s="1" t="n">
        <v>45826</v>
      </c>
      <c r="D1850" t="inlineStr">
        <is>
          <t>JÄMTLANDS LÄN</t>
        </is>
      </c>
      <c r="E1850" t="inlineStr">
        <is>
          <t>RAGUNDA</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4866-2025</t>
        </is>
      </c>
      <c r="B1851" s="1" t="n">
        <v>45688</v>
      </c>
      <c r="C1851" s="1" t="n">
        <v>45826</v>
      </c>
      <c r="D1851" t="inlineStr">
        <is>
          <t>JÄMTLANDS LÄN</t>
        </is>
      </c>
      <c r="E1851" t="inlineStr">
        <is>
          <t>RAGUNDA</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4922-2025</t>
        </is>
      </c>
      <c r="B1852" s="1" t="n">
        <v>45688</v>
      </c>
      <c r="C1852" s="1" t="n">
        <v>45826</v>
      </c>
      <c r="D1852" t="inlineStr">
        <is>
          <t>JÄMTLANDS LÄN</t>
        </is>
      </c>
      <c r="E1852" t="inlineStr">
        <is>
          <t>RAGUNDA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4885-2025</t>
        </is>
      </c>
      <c r="B1853" s="1" t="n">
        <v>45688</v>
      </c>
      <c r="C1853" s="1" t="n">
        <v>45826</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5048-2025</t>
        </is>
      </c>
      <c r="B1854" s="1" t="n">
        <v>45691</v>
      </c>
      <c r="C1854" s="1" t="n">
        <v>45826</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5307-2025</t>
        </is>
      </c>
      <c r="B1855" s="1" t="n">
        <v>45692</v>
      </c>
      <c r="C1855" s="1" t="n">
        <v>45826</v>
      </c>
      <c r="D1855" t="inlineStr">
        <is>
          <t>JÄMTLANDS LÄN</t>
        </is>
      </c>
      <c r="E1855" t="inlineStr">
        <is>
          <t>RAGUNDA</t>
        </is>
      </c>
      <c r="F1855" t="inlineStr">
        <is>
          <t>SCA</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5308-2025</t>
        </is>
      </c>
      <c r="B1856" s="1" t="n">
        <v>45692</v>
      </c>
      <c r="C1856" s="1" t="n">
        <v>45826</v>
      </c>
      <c r="D1856" t="inlineStr">
        <is>
          <t>JÄMTLANDS LÄN</t>
        </is>
      </c>
      <c r="E1856" t="inlineStr">
        <is>
          <t>RAGUNDA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5313-2025</t>
        </is>
      </c>
      <c r="B1857" s="1" t="n">
        <v>45692</v>
      </c>
      <c r="C1857" s="1" t="n">
        <v>45826</v>
      </c>
      <c r="D1857" t="inlineStr">
        <is>
          <t>JÄMTLANDS LÄN</t>
        </is>
      </c>
      <c r="E1857" t="inlineStr">
        <is>
          <t>RAGUNDA</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5357-2025</t>
        </is>
      </c>
      <c r="B1858" s="1" t="n">
        <v>45692</v>
      </c>
      <c r="C1858" s="1" t="n">
        <v>45826</v>
      </c>
      <c r="D1858" t="inlineStr">
        <is>
          <t>JÄMTLANDS LÄN</t>
        </is>
      </c>
      <c r="E1858" t="inlineStr">
        <is>
          <t>RAGUNDA</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5806-2025</t>
        </is>
      </c>
      <c r="B1859" s="1" t="n">
        <v>45694</v>
      </c>
      <c r="C1859" s="1" t="n">
        <v>45826</v>
      </c>
      <c r="D1859" t="inlineStr">
        <is>
          <t>JÄMTLANDS LÄN</t>
        </is>
      </c>
      <c r="E1859" t="inlineStr">
        <is>
          <t>RAGUNDA</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5930-2025</t>
        </is>
      </c>
      <c r="B1860" s="1" t="n">
        <v>45695</v>
      </c>
      <c r="C1860" s="1" t="n">
        <v>45826</v>
      </c>
      <c r="D1860" t="inlineStr">
        <is>
          <t>JÄMTLANDS LÄN</t>
        </is>
      </c>
      <c r="E1860" t="inlineStr">
        <is>
          <t>RAGUNDA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5938-2025</t>
        </is>
      </c>
      <c r="B1861" s="1" t="n">
        <v>45695</v>
      </c>
      <c r="C1861" s="1" t="n">
        <v>45826</v>
      </c>
      <c r="D1861" t="inlineStr">
        <is>
          <t>JÄMTLANDS LÄN</t>
        </is>
      </c>
      <c r="E1861" t="inlineStr">
        <is>
          <t>RAGUNDA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5971-2025</t>
        </is>
      </c>
      <c r="B1862" s="1" t="n">
        <v>45695</v>
      </c>
      <c r="C1862" s="1" t="n">
        <v>45826</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6257-2025</t>
        </is>
      </c>
      <c r="B1863" s="1" t="n">
        <v>45698</v>
      </c>
      <c r="C1863" s="1" t="n">
        <v>45826</v>
      </c>
      <c r="D1863" t="inlineStr">
        <is>
          <t>JÄMTLANDS LÄN</t>
        </is>
      </c>
      <c r="E1863" t="inlineStr">
        <is>
          <t>RAGUNDA</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6716-2025</t>
        </is>
      </c>
      <c r="B1864" s="1" t="n">
        <v>45700</v>
      </c>
      <c r="C1864" s="1" t="n">
        <v>45826</v>
      </c>
      <c r="D1864" t="inlineStr">
        <is>
          <t>JÄMTLANDS LÄN</t>
        </is>
      </c>
      <c r="E1864" t="inlineStr">
        <is>
          <t>RAGUNDA</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6611-2025</t>
        </is>
      </c>
      <c r="B1865" s="1" t="n">
        <v>45700</v>
      </c>
      <c r="C1865" s="1" t="n">
        <v>45826</v>
      </c>
      <c r="D1865" t="inlineStr">
        <is>
          <t>JÄMTLANDS LÄN</t>
        </is>
      </c>
      <c r="E1865" t="inlineStr">
        <is>
          <t>RAGUNDA</t>
        </is>
      </c>
      <c r="F1865" t="inlineStr">
        <is>
          <t>SCA</t>
        </is>
      </c>
      <c r="G1865" t="n">
        <v>22.5</v>
      </c>
      <c r="H1865" t="n">
        <v>0</v>
      </c>
      <c r="I1865" t="n">
        <v>0</v>
      </c>
      <c r="J1865" t="n">
        <v>0</v>
      </c>
      <c r="K1865" t="n">
        <v>0</v>
      </c>
      <c r="L1865" t="n">
        <v>0</v>
      </c>
      <c r="M1865" t="n">
        <v>0</v>
      </c>
      <c r="N1865" t="n">
        <v>0</v>
      </c>
      <c r="O1865" t="n">
        <v>0</v>
      </c>
      <c r="P1865" t="n">
        <v>0</v>
      </c>
      <c r="Q1865" t="n">
        <v>0</v>
      </c>
      <c r="R1865" s="2" t="inlineStr"/>
    </row>
    <row r="1866" ht="15" customHeight="1">
      <c r="A1866" t="inlineStr">
        <is>
          <t>A 6694-2025</t>
        </is>
      </c>
      <c r="B1866" s="1" t="n">
        <v>45700</v>
      </c>
      <c r="C1866" s="1" t="n">
        <v>45826</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6821-2025</t>
        </is>
      </c>
      <c r="B1867" s="1" t="n">
        <v>45700</v>
      </c>
      <c r="C1867" s="1" t="n">
        <v>45826</v>
      </c>
      <c r="D1867" t="inlineStr">
        <is>
          <t>JÄMTLANDS LÄN</t>
        </is>
      </c>
      <c r="E1867" t="inlineStr">
        <is>
          <t>RAGUNDA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6881-2025</t>
        </is>
      </c>
      <c r="B1868" s="1" t="n">
        <v>45701</v>
      </c>
      <c r="C1868" s="1" t="n">
        <v>45826</v>
      </c>
      <c r="D1868" t="inlineStr">
        <is>
          <t>JÄMTLANDS LÄN</t>
        </is>
      </c>
      <c r="E1868" t="inlineStr">
        <is>
          <t>RAGUNDA</t>
        </is>
      </c>
      <c r="F1868" t="inlineStr">
        <is>
          <t>SCA</t>
        </is>
      </c>
      <c r="G1868" t="n">
        <v>18.4</v>
      </c>
      <c r="H1868" t="n">
        <v>0</v>
      </c>
      <c r="I1868" t="n">
        <v>0</v>
      </c>
      <c r="J1868" t="n">
        <v>0</v>
      </c>
      <c r="K1868" t="n">
        <v>0</v>
      </c>
      <c r="L1868" t="n">
        <v>0</v>
      </c>
      <c r="M1868" t="n">
        <v>0</v>
      </c>
      <c r="N1868" t="n">
        <v>0</v>
      </c>
      <c r="O1868" t="n">
        <v>0</v>
      </c>
      <c r="P1868" t="n">
        <v>0</v>
      </c>
      <c r="Q1868" t="n">
        <v>0</v>
      </c>
      <c r="R1868" s="2" t="inlineStr"/>
    </row>
    <row r="1869" ht="15" customHeight="1">
      <c r="A1869" t="inlineStr">
        <is>
          <t>A 7284-2025</t>
        </is>
      </c>
      <c r="B1869" s="1" t="n">
        <v>45702</v>
      </c>
      <c r="C1869" s="1" t="n">
        <v>45826</v>
      </c>
      <c r="D1869" t="inlineStr">
        <is>
          <t>JÄMTLANDS LÄN</t>
        </is>
      </c>
      <c r="E1869" t="inlineStr">
        <is>
          <t>RAGUNDA</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7281-2025</t>
        </is>
      </c>
      <c r="B1870" s="1" t="n">
        <v>45702</v>
      </c>
      <c r="C1870" s="1" t="n">
        <v>45826</v>
      </c>
      <c r="D1870" t="inlineStr">
        <is>
          <t>JÄMTLANDS LÄN</t>
        </is>
      </c>
      <c r="E1870" t="inlineStr">
        <is>
          <t>RAGUNDA</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7838-2025</t>
        </is>
      </c>
      <c r="B1871" s="1" t="n">
        <v>45706</v>
      </c>
      <c r="C1871" s="1" t="n">
        <v>45826</v>
      </c>
      <c r="D1871" t="inlineStr">
        <is>
          <t>JÄMTLANDS LÄN</t>
        </is>
      </c>
      <c r="E1871" t="inlineStr">
        <is>
          <t>RAGUNDA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7668-2025</t>
        </is>
      </c>
      <c r="B1872" s="1" t="n">
        <v>45706</v>
      </c>
      <c r="C1872" s="1" t="n">
        <v>45826</v>
      </c>
      <c r="D1872" t="inlineStr">
        <is>
          <t>JÄMTLANDS LÄN</t>
        </is>
      </c>
      <c r="E1872" t="inlineStr">
        <is>
          <t>RAGUNDA</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8775-2025</t>
        </is>
      </c>
      <c r="B1873" s="1" t="n">
        <v>45712</v>
      </c>
      <c r="C1873" s="1" t="n">
        <v>45826</v>
      </c>
      <c r="D1873" t="inlineStr">
        <is>
          <t>JÄMTLANDS LÄN</t>
        </is>
      </c>
      <c r="E1873" t="inlineStr">
        <is>
          <t>RAGUNDA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8779-2025</t>
        </is>
      </c>
      <c r="B1874" s="1" t="n">
        <v>45712</v>
      </c>
      <c r="C1874" s="1" t="n">
        <v>45826</v>
      </c>
      <c r="D1874" t="inlineStr">
        <is>
          <t>JÄMTLANDS LÄN</t>
        </is>
      </c>
      <c r="E1874" t="inlineStr">
        <is>
          <t>RAGUNDA</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8800-2025</t>
        </is>
      </c>
      <c r="B1875" s="1" t="n">
        <v>45712</v>
      </c>
      <c r="C1875" s="1" t="n">
        <v>45826</v>
      </c>
      <c r="D1875" t="inlineStr">
        <is>
          <t>JÄMTLANDS LÄN</t>
        </is>
      </c>
      <c r="E1875" t="inlineStr">
        <is>
          <t>RAGUNDA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8776-2025</t>
        </is>
      </c>
      <c r="B1876" s="1" t="n">
        <v>45712</v>
      </c>
      <c r="C1876" s="1" t="n">
        <v>45826</v>
      </c>
      <c r="D1876" t="inlineStr">
        <is>
          <t>JÄMTLANDS LÄN</t>
        </is>
      </c>
      <c r="E1876" t="inlineStr">
        <is>
          <t>RAGUNDA</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9262-2025</t>
        </is>
      </c>
      <c r="B1877" s="1" t="n">
        <v>45714</v>
      </c>
      <c r="C1877" s="1" t="n">
        <v>45826</v>
      </c>
      <c r="D1877" t="inlineStr">
        <is>
          <t>JÄMTLANDS LÄN</t>
        </is>
      </c>
      <c r="E1877" t="inlineStr">
        <is>
          <t>RAGUNDA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9266-2025</t>
        </is>
      </c>
      <c r="B1878" s="1" t="n">
        <v>45714</v>
      </c>
      <c r="C1878" s="1" t="n">
        <v>45826</v>
      </c>
      <c r="D1878" t="inlineStr">
        <is>
          <t>JÄMTLANDS LÄN</t>
        </is>
      </c>
      <c r="E1878" t="inlineStr">
        <is>
          <t>RAGUNDA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9232-2025</t>
        </is>
      </c>
      <c r="B1879" s="1" t="n">
        <v>45714</v>
      </c>
      <c r="C1879" s="1" t="n">
        <v>45826</v>
      </c>
      <c r="D1879" t="inlineStr">
        <is>
          <t>JÄMTLANDS LÄN</t>
        </is>
      </c>
      <c r="E1879" t="inlineStr">
        <is>
          <t>RAGUNDA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9504-2025</t>
        </is>
      </c>
      <c r="B1880" s="1" t="n">
        <v>45714</v>
      </c>
      <c r="C1880" s="1" t="n">
        <v>45826</v>
      </c>
      <c r="D1880" t="inlineStr">
        <is>
          <t>JÄMTLANDS LÄN</t>
        </is>
      </c>
      <c r="E1880" t="inlineStr">
        <is>
          <t>RAGUNDA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9567-2025</t>
        </is>
      </c>
      <c r="B1881" s="1" t="n">
        <v>45715</v>
      </c>
      <c r="C1881" s="1" t="n">
        <v>45826</v>
      </c>
      <c r="D1881" t="inlineStr">
        <is>
          <t>JÄMTLANDS LÄN</t>
        </is>
      </c>
      <c r="E1881" t="inlineStr">
        <is>
          <t>RAGUNDA</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9548-2025</t>
        </is>
      </c>
      <c r="B1882" s="1" t="n">
        <v>45715</v>
      </c>
      <c r="C1882" s="1" t="n">
        <v>45826</v>
      </c>
      <c r="D1882" t="inlineStr">
        <is>
          <t>JÄMTLANDS LÄN</t>
        </is>
      </c>
      <c r="E1882" t="inlineStr">
        <is>
          <t>RAGUNDA</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9847-2025</t>
        </is>
      </c>
      <c r="B1883" s="1" t="n">
        <v>45716</v>
      </c>
      <c r="C1883" s="1" t="n">
        <v>45826</v>
      </c>
      <c r="D1883" t="inlineStr">
        <is>
          <t>JÄMTLANDS LÄN</t>
        </is>
      </c>
      <c r="E1883" t="inlineStr">
        <is>
          <t>RAGUNDA</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9823-2025</t>
        </is>
      </c>
      <c r="B1884" s="1" t="n">
        <v>45716</v>
      </c>
      <c r="C1884" s="1" t="n">
        <v>45826</v>
      </c>
      <c r="D1884" t="inlineStr">
        <is>
          <t>JÄMTLANDS LÄN</t>
        </is>
      </c>
      <c r="E1884" t="inlineStr">
        <is>
          <t>RAGUNDA</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10788-2025</t>
        </is>
      </c>
      <c r="B1885" s="1" t="n">
        <v>45722</v>
      </c>
      <c r="C1885" s="1" t="n">
        <v>45826</v>
      </c>
      <c r="D1885" t="inlineStr">
        <is>
          <t>JÄMTLANDS LÄN</t>
        </is>
      </c>
      <c r="E1885" t="inlineStr">
        <is>
          <t>RAGUNDA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10754-2025</t>
        </is>
      </c>
      <c r="B1886" s="1" t="n">
        <v>45722</v>
      </c>
      <c r="C1886" s="1" t="n">
        <v>45826</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11058-2025</t>
        </is>
      </c>
      <c r="B1887" s="1" t="n">
        <v>45723</v>
      </c>
      <c r="C1887" s="1" t="n">
        <v>45826</v>
      </c>
      <c r="D1887" t="inlineStr">
        <is>
          <t>JÄMTLANDS LÄN</t>
        </is>
      </c>
      <c r="E1887" t="inlineStr">
        <is>
          <t>RAGUNDA</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11147-2025</t>
        </is>
      </c>
      <c r="B1888" s="1" t="n">
        <v>45723</v>
      </c>
      <c r="C1888" s="1" t="n">
        <v>45826</v>
      </c>
      <c r="D1888" t="inlineStr">
        <is>
          <t>JÄMTLANDS LÄN</t>
        </is>
      </c>
      <c r="E1888" t="inlineStr">
        <is>
          <t>RAGUNDA</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11107-2025</t>
        </is>
      </c>
      <c r="B1889" s="1" t="n">
        <v>45723</v>
      </c>
      <c r="C1889" s="1" t="n">
        <v>45826</v>
      </c>
      <c r="D1889" t="inlineStr">
        <is>
          <t>JÄMTLANDS LÄN</t>
        </is>
      </c>
      <c r="E1889" t="inlineStr">
        <is>
          <t>RAGUNDA</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11245-2025</t>
        </is>
      </c>
      <c r="B1890" s="1" t="n">
        <v>45726</v>
      </c>
      <c r="C1890" s="1" t="n">
        <v>45826</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11249-2025</t>
        </is>
      </c>
      <c r="B1891" s="1" t="n">
        <v>45726</v>
      </c>
      <c r="C1891" s="1" t="n">
        <v>45826</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11252-2025</t>
        </is>
      </c>
      <c r="B1892" s="1" t="n">
        <v>45726</v>
      </c>
      <c r="C1892" s="1" t="n">
        <v>45826</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11253-2025</t>
        </is>
      </c>
      <c r="B1893" s="1" t="n">
        <v>45726</v>
      </c>
      <c r="C1893" s="1" t="n">
        <v>45826</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12204-2025</t>
        </is>
      </c>
      <c r="B1894" s="1" t="n">
        <v>45729</v>
      </c>
      <c r="C1894" s="1" t="n">
        <v>45826</v>
      </c>
      <c r="D1894" t="inlineStr">
        <is>
          <t>JÄMTLANDS LÄN</t>
        </is>
      </c>
      <c r="E1894" t="inlineStr">
        <is>
          <t>RAGUNDA</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12475-2025</t>
        </is>
      </c>
      <c r="B1895" s="1" t="n">
        <v>45730</v>
      </c>
      <c r="C1895" s="1" t="n">
        <v>45826</v>
      </c>
      <c r="D1895" t="inlineStr">
        <is>
          <t>JÄMTLANDS LÄN</t>
        </is>
      </c>
      <c r="E1895" t="inlineStr">
        <is>
          <t>RAGUNDA</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12405-2025</t>
        </is>
      </c>
      <c r="B1896" s="1" t="n">
        <v>45730</v>
      </c>
      <c r="C1896" s="1" t="n">
        <v>45826</v>
      </c>
      <c r="D1896" t="inlineStr">
        <is>
          <t>JÄMTLANDS LÄN</t>
        </is>
      </c>
      <c r="E1896" t="inlineStr">
        <is>
          <t>RAGUNDA</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12464-2025</t>
        </is>
      </c>
      <c r="B1897" s="1" t="n">
        <v>45730</v>
      </c>
      <c r="C1897" s="1" t="n">
        <v>45826</v>
      </c>
      <c r="D1897" t="inlineStr">
        <is>
          <t>JÄMTLANDS LÄN</t>
        </is>
      </c>
      <c r="E1897" t="inlineStr">
        <is>
          <t>RAGUNDA</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12808-2025</t>
        </is>
      </c>
      <c r="B1898" s="1" t="n">
        <v>45733</v>
      </c>
      <c r="C1898" s="1" t="n">
        <v>45826</v>
      </c>
      <c r="D1898" t="inlineStr">
        <is>
          <t>JÄMTLANDS LÄN</t>
        </is>
      </c>
      <c r="E1898" t="inlineStr">
        <is>
          <t>RAGUNDA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12805-2025</t>
        </is>
      </c>
      <c r="B1899" s="1" t="n">
        <v>45733</v>
      </c>
      <c r="C1899" s="1" t="n">
        <v>45826</v>
      </c>
      <c r="D1899" t="inlineStr">
        <is>
          <t>JÄMTLANDS LÄN</t>
        </is>
      </c>
      <c r="E1899" t="inlineStr">
        <is>
          <t>RAGUNDA</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12976-2025</t>
        </is>
      </c>
      <c r="B1900" s="1" t="n">
        <v>45734</v>
      </c>
      <c r="C1900" s="1" t="n">
        <v>45826</v>
      </c>
      <c r="D1900" t="inlineStr">
        <is>
          <t>JÄMTLANDS LÄN</t>
        </is>
      </c>
      <c r="E1900" t="inlineStr">
        <is>
          <t>RAGUNDA</t>
        </is>
      </c>
      <c r="G1900" t="n">
        <v>24.2</v>
      </c>
      <c r="H1900" t="n">
        <v>0</v>
      </c>
      <c r="I1900" t="n">
        <v>0</v>
      </c>
      <c r="J1900" t="n">
        <v>0</v>
      </c>
      <c r="K1900" t="n">
        <v>0</v>
      </c>
      <c r="L1900" t="n">
        <v>0</v>
      </c>
      <c r="M1900" t="n">
        <v>0</v>
      </c>
      <c r="N1900" t="n">
        <v>0</v>
      </c>
      <c r="O1900" t="n">
        <v>0</v>
      </c>
      <c r="P1900" t="n">
        <v>0</v>
      </c>
      <c r="Q1900" t="n">
        <v>0</v>
      </c>
      <c r="R1900" s="2" t="inlineStr"/>
    </row>
    <row r="1901" ht="15" customHeight="1">
      <c r="A1901" t="inlineStr">
        <is>
          <t>A 12983-2025</t>
        </is>
      </c>
      <c r="B1901" s="1" t="n">
        <v>45734</v>
      </c>
      <c r="C1901" s="1" t="n">
        <v>45826</v>
      </c>
      <c r="D1901" t="inlineStr">
        <is>
          <t>JÄMTLANDS LÄN</t>
        </is>
      </c>
      <c r="E1901" t="inlineStr">
        <is>
          <t>RAGUNDA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13263-2025</t>
        </is>
      </c>
      <c r="B1902" s="1" t="n">
        <v>45735</v>
      </c>
      <c r="C1902" s="1" t="n">
        <v>45826</v>
      </c>
      <c r="D1902" t="inlineStr">
        <is>
          <t>JÄMTLANDS LÄN</t>
        </is>
      </c>
      <c r="E1902" t="inlineStr">
        <is>
          <t>RAGUNDA</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13264-2025</t>
        </is>
      </c>
      <c r="B1903" s="1" t="n">
        <v>45735</v>
      </c>
      <c r="C1903" s="1" t="n">
        <v>45826</v>
      </c>
      <c r="D1903" t="inlineStr">
        <is>
          <t>JÄMTLANDS LÄN</t>
        </is>
      </c>
      <c r="E1903" t="inlineStr">
        <is>
          <t>RAGUNDA</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13276-2025</t>
        </is>
      </c>
      <c r="B1904" s="1" t="n">
        <v>45735</v>
      </c>
      <c r="C1904" s="1" t="n">
        <v>45826</v>
      </c>
      <c r="D1904" t="inlineStr">
        <is>
          <t>JÄMTLANDS LÄN</t>
        </is>
      </c>
      <c r="E1904" t="inlineStr">
        <is>
          <t>RAGUNDA</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13389-2025</t>
        </is>
      </c>
      <c r="B1905" s="1" t="n">
        <v>45735</v>
      </c>
      <c r="C1905" s="1" t="n">
        <v>45826</v>
      </c>
      <c r="D1905" t="inlineStr">
        <is>
          <t>JÄMTLANDS LÄN</t>
        </is>
      </c>
      <c r="E1905" t="inlineStr">
        <is>
          <t>RAGUNDA</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13472-2025</t>
        </is>
      </c>
      <c r="B1906" s="1" t="n">
        <v>45736</v>
      </c>
      <c r="C1906" s="1" t="n">
        <v>45826</v>
      </c>
      <c r="D1906" t="inlineStr">
        <is>
          <t>JÄMTLANDS LÄN</t>
        </is>
      </c>
      <c r="E1906" t="inlineStr">
        <is>
          <t>RAGUNDA</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13890-2025</t>
        </is>
      </c>
      <c r="B1907" s="1" t="n">
        <v>45737</v>
      </c>
      <c r="C1907" s="1" t="n">
        <v>45826</v>
      </c>
      <c r="D1907" t="inlineStr">
        <is>
          <t>JÄMTLANDS LÄN</t>
        </is>
      </c>
      <c r="E1907" t="inlineStr">
        <is>
          <t>RAGUNDA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13905-2025</t>
        </is>
      </c>
      <c r="B1908" s="1" t="n">
        <v>45737</v>
      </c>
      <c r="C1908" s="1" t="n">
        <v>45826</v>
      </c>
      <c r="D1908" t="inlineStr">
        <is>
          <t>JÄMTLANDS LÄN</t>
        </is>
      </c>
      <c r="E1908" t="inlineStr">
        <is>
          <t>RAGUNDA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13941-2025</t>
        </is>
      </c>
      <c r="B1909" s="1" t="n">
        <v>45737</v>
      </c>
      <c r="C1909" s="1" t="n">
        <v>45826</v>
      </c>
      <c r="D1909" t="inlineStr">
        <is>
          <t>JÄMTLANDS LÄN</t>
        </is>
      </c>
      <c r="E1909" t="inlineStr">
        <is>
          <t>RAGUNDA</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14512-2025</t>
        </is>
      </c>
      <c r="B1910" s="1" t="n">
        <v>45741</v>
      </c>
      <c r="C1910" s="1" t="n">
        <v>45826</v>
      </c>
      <c r="D1910" t="inlineStr">
        <is>
          <t>JÄMTLANDS LÄN</t>
        </is>
      </c>
      <c r="E1910" t="inlineStr">
        <is>
          <t>RAGUNDA</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14513-2025</t>
        </is>
      </c>
      <c r="B1911" s="1" t="n">
        <v>45741</v>
      </c>
      <c r="C1911" s="1" t="n">
        <v>45826</v>
      </c>
      <c r="D1911" t="inlineStr">
        <is>
          <t>JÄMTLANDS LÄN</t>
        </is>
      </c>
      <c r="E1911" t="inlineStr">
        <is>
          <t>RAGUNDA</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15034-2025</t>
        </is>
      </c>
      <c r="B1912" s="1" t="n">
        <v>45743</v>
      </c>
      <c r="C1912" s="1" t="n">
        <v>45826</v>
      </c>
      <c r="D1912" t="inlineStr">
        <is>
          <t>JÄMTLANDS LÄN</t>
        </is>
      </c>
      <c r="E1912" t="inlineStr">
        <is>
          <t>RAGUNDA</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14821-2025</t>
        </is>
      </c>
      <c r="B1913" s="1" t="n">
        <v>45743</v>
      </c>
      <c r="C1913" s="1" t="n">
        <v>45826</v>
      </c>
      <c r="D1913" t="inlineStr">
        <is>
          <t>JÄMTLANDS LÄN</t>
        </is>
      </c>
      <c r="E1913" t="inlineStr">
        <is>
          <t>RAGUNDA</t>
        </is>
      </c>
      <c r="F1913" t="inlineStr">
        <is>
          <t>Kyrkan</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14932-2025</t>
        </is>
      </c>
      <c r="B1914" s="1" t="n">
        <v>45743</v>
      </c>
      <c r="C1914" s="1" t="n">
        <v>45826</v>
      </c>
      <c r="D1914" t="inlineStr">
        <is>
          <t>JÄMTLANDS LÄN</t>
        </is>
      </c>
      <c r="E1914" t="inlineStr">
        <is>
          <t>RAGUNDA</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14818-2025</t>
        </is>
      </c>
      <c r="B1915" s="1" t="n">
        <v>45743</v>
      </c>
      <c r="C1915" s="1" t="n">
        <v>45826</v>
      </c>
      <c r="D1915" t="inlineStr">
        <is>
          <t>JÄMTLANDS LÄN</t>
        </is>
      </c>
      <c r="E1915" t="inlineStr">
        <is>
          <t>RAGUNDA</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15554-2025</t>
        </is>
      </c>
      <c r="B1916" s="1" t="n">
        <v>45747</v>
      </c>
      <c r="C1916" s="1" t="n">
        <v>45826</v>
      </c>
      <c r="D1916" t="inlineStr">
        <is>
          <t>JÄMTLANDS LÄN</t>
        </is>
      </c>
      <c r="E1916" t="inlineStr">
        <is>
          <t>RAGUNDA</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15641-2025</t>
        </is>
      </c>
      <c r="B1917" s="1" t="n">
        <v>45748</v>
      </c>
      <c r="C1917" s="1" t="n">
        <v>45826</v>
      </c>
      <c r="D1917" t="inlineStr">
        <is>
          <t>JÄMTLANDS LÄN</t>
        </is>
      </c>
      <c r="E1917" t="inlineStr">
        <is>
          <t>RAGUNDA</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16124-2025</t>
        </is>
      </c>
      <c r="B1918" s="1" t="n">
        <v>45750</v>
      </c>
      <c r="C1918" s="1" t="n">
        <v>45826</v>
      </c>
      <c r="D1918" t="inlineStr">
        <is>
          <t>JÄMTLANDS LÄN</t>
        </is>
      </c>
      <c r="E1918" t="inlineStr">
        <is>
          <t>RAGUNDA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16127-2025</t>
        </is>
      </c>
      <c r="B1919" s="1" t="n">
        <v>45750</v>
      </c>
      <c r="C1919" s="1" t="n">
        <v>45826</v>
      </c>
      <c r="D1919" t="inlineStr">
        <is>
          <t>JÄMTLANDS LÄN</t>
        </is>
      </c>
      <c r="E1919" t="inlineStr">
        <is>
          <t>RAGUNDA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16334-2025</t>
        </is>
      </c>
      <c r="B1920" s="1" t="n">
        <v>45751</v>
      </c>
      <c r="C1920" s="1" t="n">
        <v>45826</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16320-2025</t>
        </is>
      </c>
      <c r="B1921" s="1" t="n">
        <v>45751</v>
      </c>
      <c r="C1921" s="1" t="n">
        <v>45826</v>
      </c>
      <c r="D1921" t="inlineStr">
        <is>
          <t>JÄMTLANDS LÄN</t>
        </is>
      </c>
      <c r="E1921" t="inlineStr">
        <is>
          <t>RAGUNDA</t>
        </is>
      </c>
      <c r="F1921" t="inlineStr">
        <is>
          <t>SCA</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16321-2025</t>
        </is>
      </c>
      <c r="B1922" s="1" t="n">
        <v>45751</v>
      </c>
      <c r="C1922" s="1" t="n">
        <v>45826</v>
      </c>
      <c r="D1922" t="inlineStr">
        <is>
          <t>JÄMTLANDS LÄN</t>
        </is>
      </c>
      <c r="E1922" t="inlineStr">
        <is>
          <t>RAGUNDA</t>
        </is>
      </c>
      <c r="F1922" t="inlineStr">
        <is>
          <t>SCA</t>
        </is>
      </c>
      <c r="G1922" t="n">
        <v>63.3</v>
      </c>
      <c r="H1922" t="n">
        <v>0</v>
      </c>
      <c r="I1922" t="n">
        <v>0</v>
      </c>
      <c r="J1922" t="n">
        <v>0</v>
      </c>
      <c r="K1922" t="n">
        <v>0</v>
      </c>
      <c r="L1922" t="n">
        <v>0</v>
      </c>
      <c r="M1922" t="n">
        <v>0</v>
      </c>
      <c r="N1922" t="n">
        <v>0</v>
      </c>
      <c r="O1922" t="n">
        <v>0</v>
      </c>
      <c r="P1922" t="n">
        <v>0</v>
      </c>
      <c r="Q1922" t="n">
        <v>0</v>
      </c>
      <c r="R1922" s="2" t="inlineStr"/>
    </row>
    <row r="1923" ht="15" customHeight="1">
      <c r="A1923" t="inlineStr">
        <is>
          <t>A 16635-2025</t>
        </is>
      </c>
      <c r="B1923" s="1" t="n">
        <v>45754</v>
      </c>
      <c r="C1923" s="1" t="n">
        <v>45826</v>
      </c>
      <c r="D1923" t="inlineStr">
        <is>
          <t>JÄMTLANDS LÄN</t>
        </is>
      </c>
      <c r="E1923" t="inlineStr">
        <is>
          <t>RAGUNDA</t>
        </is>
      </c>
      <c r="F1923" t="inlineStr">
        <is>
          <t>SCA</t>
        </is>
      </c>
      <c r="G1923" t="n">
        <v>55.4</v>
      </c>
      <c r="H1923" t="n">
        <v>0</v>
      </c>
      <c r="I1923" t="n">
        <v>0</v>
      </c>
      <c r="J1923" t="n">
        <v>0</v>
      </c>
      <c r="K1923" t="n">
        <v>0</v>
      </c>
      <c r="L1923" t="n">
        <v>0</v>
      </c>
      <c r="M1923" t="n">
        <v>0</v>
      </c>
      <c r="N1923" t="n">
        <v>0</v>
      </c>
      <c r="O1923" t="n">
        <v>0</v>
      </c>
      <c r="P1923" t="n">
        <v>0</v>
      </c>
      <c r="Q1923" t="n">
        <v>0</v>
      </c>
      <c r="R1923" s="2" t="inlineStr"/>
    </row>
    <row r="1924" ht="15" customHeight="1">
      <c r="A1924" t="inlineStr">
        <is>
          <t>A 17323-2025</t>
        </is>
      </c>
      <c r="B1924" s="1" t="n">
        <v>45756</v>
      </c>
      <c r="C1924" s="1" t="n">
        <v>45826</v>
      </c>
      <c r="D1924" t="inlineStr">
        <is>
          <t>JÄMTLANDS LÄN</t>
        </is>
      </c>
      <c r="E1924" t="inlineStr">
        <is>
          <t>RAGUNDA</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17667-2025</t>
        </is>
      </c>
      <c r="B1925" s="1" t="n">
        <v>45758</v>
      </c>
      <c r="C1925" s="1" t="n">
        <v>45826</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18194-2025</t>
        </is>
      </c>
      <c r="B1926" s="1" t="n">
        <v>45761</v>
      </c>
      <c r="C1926" s="1" t="n">
        <v>45826</v>
      </c>
      <c r="D1926" t="inlineStr">
        <is>
          <t>JÄMTLANDS LÄN</t>
        </is>
      </c>
      <c r="E1926" t="inlineStr">
        <is>
          <t>RAGUNDA</t>
        </is>
      </c>
      <c r="F1926" t="inlineStr">
        <is>
          <t>SCA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18284-2025</t>
        </is>
      </c>
      <c r="B1927" s="1" t="n">
        <v>45762</v>
      </c>
      <c r="C1927" s="1" t="n">
        <v>45826</v>
      </c>
      <c r="D1927" t="inlineStr">
        <is>
          <t>JÄMTLANDS LÄN</t>
        </is>
      </c>
      <c r="E1927" t="inlineStr">
        <is>
          <t>RAGUNDA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18989-2025</t>
        </is>
      </c>
      <c r="B1928" s="1" t="n">
        <v>45764</v>
      </c>
      <c r="C1928" s="1" t="n">
        <v>45826</v>
      </c>
      <c r="D1928" t="inlineStr">
        <is>
          <t>JÄMTLANDS LÄN</t>
        </is>
      </c>
      <c r="E1928" t="inlineStr">
        <is>
          <t>RAGUNDA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18952-2025</t>
        </is>
      </c>
      <c r="B1929" s="1" t="n">
        <v>45764</v>
      </c>
      <c r="C1929" s="1" t="n">
        <v>45826</v>
      </c>
      <c r="D1929" t="inlineStr">
        <is>
          <t>JÄMTLANDS LÄN</t>
        </is>
      </c>
      <c r="E1929" t="inlineStr">
        <is>
          <t>RAGUNDA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45826</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19401-2025</t>
        </is>
      </c>
      <c r="B1931" s="1" t="n">
        <v>45769</v>
      </c>
      <c r="C1931" s="1" t="n">
        <v>45826</v>
      </c>
      <c r="D1931" t="inlineStr">
        <is>
          <t>JÄMTLANDS LÄN</t>
        </is>
      </c>
      <c r="E1931" t="inlineStr">
        <is>
          <t>RAGUNDA</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45826</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45826</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45826</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19384-2025</t>
        </is>
      </c>
      <c r="B1935" s="1" t="n">
        <v>45769</v>
      </c>
      <c r="C1935" s="1" t="n">
        <v>45826</v>
      </c>
      <c r="D1935" t="inlineStr">
        <is>
          <t>JÄMTLANDS LÄN</t>
        </is>
      </c>
      <c r="E1935" t="inlineStr">
        <is>
          <t>RAGUNDA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19383-2025</t>
        </is>
      </c>
      <c r="B1936" s="1" t="n">
        <v>45769</v>
      </c>
      <c r="C1936" s="1" t="n">
        <v>45826</v>
      </c>
      <c r="D1936" t="inlineStr">
        <is>
          <t>JÄMTLANDS LÄN</t>
        </is>
      </c>
      <c r="E1936" t="inlineStr">
        <is>
          <t>RAGUNDA</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19264-2025</t>
        </is>
      </c>
      <c r="B1937" s="1" t="n">
        <v>45769</v>
      </c>
      <c r="C1937" s="1" t="n">
        <v>45826</v>
      </c>
      <c r="D1937" t="inlineStr">
        <is>
          <t>JÄMTLANDS LÄN</t>
        </is>
      </c>
      <c r="E1937" t="inlineStr">
        <is>
          <t>RAGUNDA</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19263-2025</t>
        </is>
      </c>
      <c r="B1938" s="1" t="n">
        <v>45769</v>
      </c>
      <c r="C1938" s="1" t="n">
        <v>45826</v>
      </c>
      <c r="D1938" t="inlineStr">
        <is>
          <t>JÄMTLANDS LÄN</t>
        </is>
      </c>
      <c r="E1938" t="inlineStr">
        <is>
          <t>RAGUNDA</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19404-2025</t>
        </is>
      </c>
      <c r="B1939" s="1" t="n">
        <v>45769</v>
      </c>
      <c r="C1939" s="1" t="n">
        <v>45826</v>
      </c>
      <c r="D1939" t="inlineStr">
        <is>
          <t>JÄMTLANDS LÄN</t>
        </is>
      </c>
      <c r="E1939" t="inlineStr">
        <is>
          <t>RAGUNDA</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19382-2025</t>
        </is>
      </c>
      <c r="B1940" s="1" t="n">
        <v>45769</v>
      </c>
      <c r="C1940" s="1" t="n">
        <v>45826</v>
      </c>
      <c r="D1940" t="inlineStr">
        <is>
          <t>JÄMTLANDS LÄN</t>
        </is>
      </c>
      <c r="E1940" t="inlineStr">
        <is>
          <t>RAGUNDA</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19728-2025</t>
        </is>
      </c>
      <c r="B1941" s="1" t="n">
        <v>45771</v>
      </c>
      <c r="C1941" s="1" t="n">
        <v>45826</v>
      </c>
      <c r="D1941" t="inlineStr">
        <is>
          <t>JÄMTLANDS LÄN</t>
        </is>
      </c>
      <c r="E1941" t="inlineStr">
        <is>
          <t>RAGUNDA</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19751-2025</t>
        </is>
      </c>
      <c r="B1942" s="1" t="n">
        <v>45771</v>
      </c>
      <c r="C1942" s="1" t="n">
        <v>45826</v>
      </c>
      <c r="D1942" t="inlineStr">
        <is>
          <t>JÄMTLANDS LÄN</t>
        </is>
      </c>
      <c r="E1942" t="inlineStr">
        <is>
          <t>RAGUNDA</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19727-2025</t>
        </is>
      </c>
      <c r="B1943" s="1" t="n">
        <v>45771</v>
      </c>
      <c r="C1943" s="1" t="n">
        <v>45826</v>
      </c>
      <c r="D1943" t="inlineStr">
        <is>
          <t>JÄMTLANDS LÄN</t>
        </is>
      </c>
      <c r="E1943" t="inlineStr">
        <is>
          <t>RAGUNDA</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19854-2025</t>
        </is>
      </c>
      <c r="B1944" s="1" t="n">
        <v>45771</v>
      </c>
      <c r="C1944" s="1" t="n">
        <v>45826</v>
      </c>
      <c r="D1944" t="inlineStr">
        <is>
          <t>JÄMTLANDS LÄN</t>
        </is>
      </c>
      <c r="E1944" t="inlineStr">
        <is>
          <t>RAGUNDA</t>
        </is>
      </c>
      <c r="F1944" t="inlineStr">
        <is>
          <t>SCA</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45826</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20222-2025</t>
        </is>
      </c>
      <c r="B1946" s="1" t="n">
        <v>45772</v>
      </c>
      <c r="C1946" s="1" t="n">
        <v>45826</v>
      </c>
      <c r="D1946" t="inlineStr">
        <is>
          <t>JÄMTLANDS LÄN</t>
        </is>
      </c>
      <c r="E1946" t="inlineStr">
        <is>
          <t>RAGUNDA</t>
        </is>
      </c>
      <c r="F1946" t="inlineStr">
        <is>
          <t>SCA</t>
        </is>
      </c>
      <c r="G1946" t="n">
        <v>29.1</v>
      </c>
      <c r="H1946" t="n">
        <v>0</v>
      </c>
      <c r="I1946" t="n">
        <v>0</v>
      </c>
      <c r="J1946" t="n">
        <v>0</v>
      </c>
      <c r="K1946" t="n">
        <v>0</v>
      </c>
      <c r="L1946" t="n">
        <v>0</v>
      </c>
      <c r="M1946" t="n">
        <v>0</v>
      </c>
      <c r="N1946" t="n">
        <v>0</v>
      </c>
      <c r="O1946" t="n">
        <v>0</v>
      </c>
      <c r="P1946" t="n">
        <v>0</v>
      </c>
      <c r="Q1946" t="n">
        <v>0</v>
      </c>
      <c r="R1946" s="2" t="inlineStr"/>
    </row>
    <row r="1947" ht="15" customHeight="1">
      <c r="A1947" t="inlineStr">
        <is>
          <t>A 20202-2025</t>
        </is>
      </c>
      <c r="B1947" s="1" t="n">
        <v>45772</v>
      </c>
      <c r="C1947" s="1" t="n">
        <v>45826</v>
      </c>
      <c r="D1947" t="inlineStr">
        <is>
          <t>JÄMTLANDS LÄN</t>
        </is>
      </c>
      <c r="E1947" t="inlineStr">
        <is>
          <t>RAGUNDA</t>
        </is>
      </c>
      <c r="F1947" t="inlineStr">
        <is>
          <t>SCA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20206-2025</t>
        </is>
      </c>
      <c r="B1948" s="1" t="n">
        <v>45772</v>
      </c>
      <c r="C1948" s="1" t="n">
        <v>45826</v>
      </c>
      <c r="D1948" t="inlineStr">
        <is>
          <t>JÄMTLANDS LÄN</t>
        </is>
      </c>
      <c r="E1948" t="inlineStr">
        <is>
          <t>RAGUNDA</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20221-2025</t>
        </is>
      </c>
      <c r="B1949" s="1" t="n">
        <v>45772</v>
      </c>
      <c r="C1949" s="1" t="n">
        <v>45826</v>
      </c>
      <c r="D1949" t="inlineStr">
        <is>
          <t>JÄMTLANDS LÄN</t>
        </is>
      </c>
      <c r="E1949" t="inlineStr">
        <is>
          <t>RAGUNDA</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20574-2025</t>
        </is>
      </c>
      <c r="B1950" s="1" t="n">
        <v>45775</v>
      </c>
      <c r="C1950" s="1" t="n">
        <v>45826</v>
      </c>
      <c r="D1950" t="inlineStr">
        <is>
          <t>JÄMTLANDS LÄN</t>
        </is>
      </c>
      <c r="E1950" t="inlineStr">
        <is>
          <t>RAGUNDA</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20777-2025</t>
        </is>
      </c>
      <c r="B1951" s="1" t="n">
        <v>45776</v>
      </c>
      <c r="C1951" s="1" t="n">
        <v>45826</v>
      </c>
      <c r="D1951" t="inlineStr">
        <is>
          <t>JÄMTLANDS LÄN</t>
        </is>
      </c>
      <c r="E1951" t="inlineStr">
        <is>
          <t>RAGUNDA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20655-2025</t>
        </is>
      </c>
      <c r="B1952" s="1" t="n">
        <v>45776</v>
      </c>
      <c r="C1952" s="1" t="n">
        <v>45826</v>
      </c>
      <c r="D1952" t="inlineStr">
        <is>
          <t>JÄMTLANDS LÄN</t>
        </is>
      </c>
      <c r="E1952" t="inlineStr">
        <is>
          <t>RAGUNDA</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20722-2025</t>
        </is>
      </c>
      <c r="B1953" s="1" t="n">
        <v>45776</v>
      </c>
      <c r="C1953" s="1" t="n">
        <v>45826</v>
      </c>
      <c r="D1953" t="inlineStr">
        <is>
          <t>JÄMTLANDS LÄN</t>
        </is>
      </c>
      <c r="E1953" t="inlineStr">
        <is>
          <t>RAGUNDA</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20728-2025</t>
        </is>
      </c>
      <c r="B1954" s="1" t="n">
        <v>45776</v>
      </c>
      <c r="C1954" s="1" t="n">
        <v>45826</v>
      </c>
      <c r="D1954" t="inlineStr">
        <is>
          <t>JÄMTLANDS LÄN</t>
        </is>
      </c>
      <c r="E1954" t="inlineStr">
        <is>
          <t>RAGUNDA</t>
        </is>
      </c>
      <c r="F1954" t="inlineStr">
        <is>
          <t>Kommuner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20653-2025</t>
        </is>
      </c>
      <c r="B1955" s="1" t="n">
        <v>45776</v>
      </c>
      <c r="C1955" s="1" t="n">
        <v>45826</v>
      </c>
      <c r="D1955" t="inlineStr">
        <is>
          <t>JÄMTLANDS LÄN</t>
        </is>
      </c>
      <c r="E1955" t="inlineStr">
        <is>
          <t>RAGUNDA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21248-2025</t>
        </is>
      </c>
      <c r="B1956" s="1" t="n">
        <v>45779</v>
      </c>
      <c r="C1956" s="1" t="n">
        <v>45826</v>
      </c>
      <c r="D1956" t="inlineStr">
        <is>
          <t>JÄMTLANDS LÄN</t>
        </is>
      </c>
      <c r="E1956" t="inlineStr">
        <is>
          <t>RAGUNDA</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21214-2025</t>
        </is>
      </c>
      <c r="B1957" s="1" t="n">
        <v>45779</v>
      </c>
      <c r="C1957" s="1" t="n">
        <v>45826</v>
      </c>
      <c r="D1957" t="inlineStr">
        <is>
          <t>JÄMTLANDS LÄN</t>
        </is>
      </c>
      <c r="E1957" t="inlineStr">
        <is>
          <t>RAGUNDA</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21150-2025</t>
        </is>
      </c>
      <c r="B1958" s="1" t="n">
        <v>45779</v>
      </c>
      <c r="C1958" s="1" t="n">
        <v>45826</v>
      </c>
      <c r="D1958" t="inlineStr">
        <is>
          <t>JÄMTLANDS LÄN</t>
        </is>
      </c>
      <c r="E1958" t="inlineStr">
        <is>
          <t>RAGUNDA</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21177-2025</t>
        </is>
      </c>
      <c r="B1959" s="1" t="n">
        <v>45779</v>
      </c>
      <c r="C1959" s="1" t="n">
        <v>45826</v>
      </c>
      <c r="D1959" t="inlineStr">
        <is>
          <t>JÄMTLANDS LÄN</t>
        </is>
      </c>
      <c r="E1959" t="inlineStr">
        <is>
          <t>RAGUNDA</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21245-2025</t>
        </is>
      </c>
      <c r="B1960" s="1" t="n">
        <v>45779</v>
      </c>
      <c r="C1960" s="1" t="n">
        <v>45826</v>
      </c>
      <c r="D1960" t="inlineStr">
        <is>
          <t>JÄMTLANDS LÄN</t>
        </is>
      </c>
      <c r="E1960" t="inlineStr">
        <is>
          <t>RAGUNDA</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21213-2025</t>
        </is>
      </c>
      <c r="B1961" s="1" t="n">
        <v>45779</v>
      </c>
      <c r="C1961" s="1" t="n">
        <v>45826</v>
      </c>
      <c r="D1961" t="inlineStr">
        <is>
          <t>JÄMTLANDS LÄN</t>
        </is>
      </c>
      <c r="E1961" t="inlineStr">
        <is>
          <t>RAGUNDA</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45826</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21504-2025</t>
        </is>
      </c>
      <c r="B1963" s="1" t="n">
        <v>45782</v>
      </c>
      <c r="C1963" s="1" t="n">
        <v>45826</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21405-2025</t>
        </is>
      </c>
      <c r="B1964" s="1" t="n">
        <v>45782</v>
      </c>
      <c r="C1964" s="1" t="n">
        <v>45826</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45826</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21406-2025</t>
        </is>
      </c>
      <c r="B1966" s="1" t="n">
        <v>45782</v>
      </c>
      <c r="C1966" s="1" t="n">
        <v>45826</v>
      </c>
      <c r="D1966" t="inlineStr">
        <is>
          <t>JÄMTLANDS LÄN</t>
        </is>
      </c>
      <c r="E1966" t="inlineStr">
        <is>
          <t>RAGUNDA</t>
        </is>
      </c>
      <c r="F1966" t="inlineStr">
        <is>
          <t>SCA</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21332-2025</t>
        </is>
      </c>
      <c r="B1967" s="1" t="n">
        <v>45782</v>
      </c>
      <c r="C1967" s="1" t="n">
        <v>45826</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21451-2025</t>
        </is>
      </c>
      <c r="B1968" s="1" t="n">
        <v>45782</v>
      </c>
      <c r="C1968" s="1" t="n">
        <v>45826</v>
      </c>
      <c r="D1968" t="inlineStr">
        <is>
          <t>JÄMTLANDS LÄN</t>
        </is>
      </c>
      <c r="E1968" t="inlineStr">
        <is>
          <t>RAGUNDA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21550-2025</t>
        </is>
      </c>
      <c r="B1969" s="1" t="n">
        <v>45782</v>
      </c>
      <c r="C1969" s="1" t="n">
        <v>45826</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21430-2025</t>
        </is>
      </c>
      <c r="B1970" s="1" t="n">
        <v>45782</v>
      </c>
      <c r="C1970" s="1" t="n">
        <v>45826</v>
      </c>
      <c r="D1970" t="inlineStr">
        <is>
          <t>JÄMTLANDS LÄN</t>
        </is>
      </c>
      <c r="E1970" t="inlineStr">
        <is>
          <t>RAGUNDA</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21372-2025</t>
        </is>
      </c>
      <c r="B1971" s="1" t="n">
        <v>45782</v>
      </c>
      <c r="C1971" s="1" t="n">
        <v>45826</v>
      </c>
      <c r="D1971" t="inlineStr">
        <is>
          <t>JÄMTLANDS LÄN</t>
        </is>
      </c>
      <c r="E1971" t="inlineStr">
        <is>
          <t>RAGUNDA</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21912-2025</t>
        </is>
      </c>
      <c r="B1972" s="1" t="n">
        <v>45784</v>
      </c>
      <c r="C1972" s="1" t="n">
        <v>45826</v>
      </c>
      <c r="D1972" t="inlineStr">
        <is>
          <t>JÄMTLANDS LÄN</t>
        </is>
      </c>
      <c r="E1972" t="inlineStr">
        <is>
          <t>RAGUNDA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22054-2025</t>
        </is>
      </c>
      <c r="B1973" s="1" t="n">
        <v>45785</v>
      </c>
      <c r="C1973" s="1" t="n">
        <v>45826</v>
      </c>
      <c r="D1973" t="inlineStr">
        <is>
          <t>JÄMTLANDS LÄN</t>
        </is>
      </c>
      <c r="E1973" t="inlineStr">
        <is>
          <t>RAGUNDA</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45826</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22466-2025</t>
        </is>
      </c>
      <c r="B1975" s="1" t="n">
        <v>45786</v>
      </c>
      <c r="C1975" s="1" t="n">
        <v>45826</v>
      </c>
      <c r="D1975" t="inlineStr">
        <is>
          <t>JÄMTLANDS LÄN</t>
        </is>
      </c>
      <c r="E1975" t="inlineStr">
        <is>
          <t>RAGUNDA</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22388-2025</t>
        </is>
      </c>
      <c r="B1976" s="1" t="n">
        <v>45786</v>
      </c>
      <c r="C1976" s="1" t="n">
        <v>45826</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22571-2025</t>
        </is>
      </c>
      <c r="B1977" s="1" t="n">
        <v>45789</v>
      </c>
      <c r="C1977" s="1" t="n">
        <v>45826</v>
      </c>
      <c r="D1977" t="inlineStr">
        <is>
          <t>JÄMTLANDS LÄN</t>
        </is>
      </c>
      <c r="E1977" t="inlineStr">
        <is>
          <t>RAGUNDA</t>
        </is>
      </c>
      <c r="F1977" t="inlineStr">
        <is>
          <t>SCA</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22898-2025</t>
        </is>
      </c>
      <c r="B1978" s="1" t="n">
        <v>45790</v>
      </c>
      <c r="C1978" s="1" t="n">
        <v>45826</v>
      </c>
      <c r="D1978" t="inlineStr">
        <is>
          <t>JÄMTLANDS LÄN</t>
        </is>
      </c>
      <c r="E1978" t="inlineStr">
        <is>
          <t>RAGUNDA</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22986-2025</t>
        </is>
      </c>
      <c r="B1979" s="1" t="n">
        <v>45790</v>
      </c>
      <c r="C1979" s="1" t="n">
        <v>45826</v>
      </c>
      <c r="D1979" t="inlineStr">
        <is>
          <t>JÄMTLANDS LÄN</t>
        </is>
      </c>
      <c r="E1979" t="inlineStr">
        <is>
          <t>RAGUNDA</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22985-2025</t>
        </is>
      </c>
      <c r="B1980" s="1" t="n">
        <v>45790</v>
      </c>
      <c r="C1980" s="1" t="n">
        <v>45826</v>
      </c>
      <c r="D1980" t="inlineStr">
        <is>
          <t>JÄMTLANDS LÄN</t>
        </is>
      </c>
      <c r="E1980" t="inlineStr">
        <is>
          <t>RAGUNDA</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23253-2025</t>
        </is>
      </c>
      <c r="B1981" s="1" t="n">
        <v>45791</v>
      </c>
      <c r="C1981" s="1" t="n">
        <v>45826</v>
      </c>
      <c r="D1981" t="inlineStr">
        <is>
          <t>JÄMTLANDS LÄN</t>
        </is>
      </c>
      <c r="E1981" t="inlineStr">
        <is>
          <t>RAGUNDA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45826</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23586-2025</t>
        </is>
      </c>
      <c r="B1983" s="1" t="n">
        <v>45792</v>
      </c>
      <c r="C1983" s="1" t="n">
        <v>45826</v>
      </c>
      <c r="D1983" t="inlineStr">
        <is>
          <t>JÄMTLANDS LÄN</t>
        </is>
      </c>
      <c r="E1983" t="inlineStr">
        <is>
          <t>RAGUNDA</t>
        </is>
      </c>
      <c r="F1983" t="inlineStr">
        <is>
          <t>SCA</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23507-2025</t>
        </is>
      </c>
      <c r="B1984" s="1" t="n">
        <v>45792</v>
      </c>
      <c r="C1984" s="1" t="n">
        <v>45826</v>
      </c>
      <c r="D1984" t="inlineStr">
        <is>
          <t>JÄMTLANDS LÄN</t>
        </is>
      </c>
      <c r="E1984" t="inlineStr">
        <is>
          <t>RAGUNDA</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23405-2025</t>
        </is>
      </c>
      <c r="B1985" s="1" t="n">
        <v>45792</v>
      </c>
      <c r="C1985" s="1" t="n">
        <v>45826</v>
      </c>
      <c r="D1985" t="inlineStr">
        <is>
          <t>JÄMTLANDS LÄN</t>
        </is>
      </c>
      <c r="E1985" t="inlineStr">
        <is>
          <t>RAGUNDA</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23654-2025</t>
        </is>
      </c>
      <c r="B1986" s="1" t="n">
        <v>45792</v>
      </c>
      <c r="C1986" s="1" t="n">
        <v>45826</v>
      </c>
      <c r="D1986" t="inlineStr">
        <is>
          <t>JÄMTLANDS LÄN</t>
        </is>
      </c>
      <c r="E1986" t="inlineStr">
        <is>
          <t>RAGUNDA</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45826</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23840-2025</t>
        </is>
      </c>
      <c r="B1988" s="1" t="n">
        <v>45793</v>
      </c>
      <c r="C1988" s="1" t="n">
        <v>45826</v>
      </c>
      <c r="D1988" t="inlineStr">
        <is>
          <t>JÄMTLANDS LÄN</t>
        </is>
      </c>
      <c r="E1988" t="inlineStr">
        <is>
          <t>RAGUNDA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24149-2025</t>
        </is>
      </c>
      <c r="B1989" s="1" t="n">
        <v>45796</v>
      </c>
      <c r="C1989" s="1" t="n">
        <v>45826</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24158-2025</t>
        </is>
      </c>
      <c r="B1990" s="1" t="n">
        <v>45796</v>
      </c>
      <c r="C1990" s="1" t="n">
        <v>45826</v>
      </c>
      <c r="D1990" t="inlineStr">
        <is>
          <t>JÄMTLANDS LÄN</t>
        </is>
      </c>
      <c r="E1990" t="inlineStr">
        <is>
          <t>RAGUNDA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24161-2025</t>
        </is>
      </c>
      <c r="B1991" s="1" t="n">
        <v>45796</v>
      </c>
      <c r="C1991" s="1" t="n">
        <v>45826</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24159-2025</t>
        </is>
      </c>
      <c r="B1992" s="1" t="n">
        <v>45796</v>
      </c>
      <c r="C1992" s="1" t="n">
        <v>45826</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24157-2025</t>
        </is>
      </c>
      <c r="B1993" s="1" t="n">
        <v>45796</v>
      </c>
      <c r="C1993" s="1" t="n">
        <v>45826</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45826</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24391-2025</t>
        </is>
      </c>
      <c r="B1995" s="1" t="n">
        <v>45797</v>
      </c>
      <c r="C1995" s="1" t="n">
        <v>45826</v>
      </c>
      <c r="D1995" t="inlineStr">
        <is>
          <t>JÄMTLANDS LÄN</t>
        </is>
      </c>
      <c r="E1995" t="inlineStr">
        <is>
          <t>RAGUNDA</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24732-2025</t>
        </is>
      </c>
      <c r="B1996" s="1" t="n">
        <v>45799</v>
      </c>
      <c r="C1996" s="1" t="n">
        <v>45826</v>
      </c>
      <c r="D1996" t="inlineStr">
        <is>
          <t>JÄMTLANDS LÄN</t>
        </is>
      </c>
      <c r="E1996" t="inlineStr">
        <is>
          <t>RAGUNDA</t>
        </is>
      </c>
      <c r="F1996" t="inlineStr">
        <is>
          <t>SCA</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24735-2025</t>
        </is>
      </c>
      <c r="B1997" s="1" t="n">
        <v>45799</v>
      </c>
      <c r="C1997" s="1" t="n">
        <v>45826</v>
      </c>
      <c r="D1997" t="inlineStr">
        <is>
          <t>JÄMTLANDS LÄN</t>
        </is>
      </c>
      <c r="E1997" t="inlineStr">
        <is>
          <t>RAGUNDA</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25177-2025</t>
        </is>
      </c>
      <c r="B1998" s="1" t="n">
        <v>45800</v>
      </c>
      <c r="C1998" s="1" t="n">
        <v>45826</v>
      </c>
      <c r="D1998" t="inlineStr">
        <is>
          <t>JÄMTLANDS LÄN</t>
        </is>
      </c>
      <c r="E1998" t="inlineStr">
        <is>
          <t>RAGUNDA</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25152-2025</t>
        </is>
      </c>
      <c r="B1999" s="1" t="n">
        <v>45800</v>
      </c>
      <c r="C1999" s="1" t="n">
        <v>45826</v>
      </c>
      <c r="D1999" t="inlineStr">
        <is>
          <t>JÄMTLANDS LÄN</t>
        </is>
      </c>
      <c r="E1999" t="inlineStr">
        <is>
          <t>RAGUNDA</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25155-2025</t>
        </is>
      </c>
      <c r="B2000" s="1" t="n">
        <v>45800</v>
      </c>
      <c r="C2000" s="1" t="n">
        <v>45826</v>
      </c>
      <c r="D2000" t="inlineStr">
        <is>
          <t>JÄMTLANDS LÄN</t>
        </is>
      </c>
      <c r="E2000" t="inlineStr">
        <is>
          <t>RAGUNDA</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25350-2025</t>
        </is>
      </c>
      <c r="B2001" s="1" t="n">
        <v>45800</v>
      </c>
      <c r="C2001" s="1" t="n">
        <v>45826</v>
      </c>
      <c r="D2001" t="inlineStr">
        <is>
          <t>JÄMTLANDS LÄN</t>
        </is>
      </c>
      <c r="E2001" t="inlineStr">
        <is>
          <t>RAGUNDA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25175-2025</t>
        </is>
      </c>
      <c r="B2002" s="1" t="n">
        <v>45800</v>
      </c>
      <c r="C2002" s="1" t="n">
        <v>45826</v>
      </c>
      <c r="D2002" t="inlineStr">
        <is>
          <t>JÄMTLANDS LÄN</t>
        </is>
      </c>
      <c r="E2002" t="inlineStr">
        <is>
          <t>RAGUNDA</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25376-2025</t>
        </is>
      </c>
      <c r="B2003" s="1" t="n">
        <v>45800</v>
      </c>
      <c r="C2003" s="1" t="n">
        <v>45826</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25597-2025</t>
        </is>
      </c>
      <c r="B2004" s="1" t="n">
        <v>45803</v>
      </c>
      <c r="C2004" s="1" t="n">
        <v>45826</v>
      </c>
      <c r="D2004" t="inlineStr">
        <is>
          <t>JÄMTLANDS LÄN</t>
        </is>
      </c>
      <c r="E2004" t="inlineStr">
        <is>
          <t>RAGUNDA</t>
        </is>
      </c>
      <c r="F2004" t="inlineStr">
        <is>
          <t>SCA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25630-2025</t>
        </is>
      </c>
      <c r="B2005" s="1" t="n">
        <v>45803</v>
      </c>
      <c r="C2005" s="1" t="n">
        <v>45826</v>
      </c>
      <c r="D2005" t="inlineStr">
        <is>
          <t>JÄMTLANDS LÄN</t>
        </is>
      </c>
      <c r="E2005" t="inlineStr">
        <is>
          <t>RAGUNDA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25659-2025</t>
        </is>
      </c>
      <c r="B2006" s="1" t="n">
        <v>45803</v>
      </c>
      <c r="C2006" s="1" t="n">
        <v>45826</v>
      </c>
      <c r="D2006" t="inlineStr">
        <is>
          <t>JÄMTLANDS LÄN</t>
        </is>
      </c>
      <c r="E2006" t="inlineStr">
        <is>
          <t>RAGUNDA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25661-2025</t>
        </is>
      </c>
      <c r="B2007" s="1" t="n">
        <v>45803</v>
      </c>
      <c r="C2007" s="1" t="n">
        <v>45826</v>
      </c>
      <c r="D2007" t="inlineStr">
        <is>
          <t>JÄMTLANDS LÄN</t>
        </is>
      </c>
      <c r="E2007" t="inlineStr">
        <is>
          <t>RAGUNDA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25631-2025</t>
        </is>
      </c>
      <c r="B2008" s="1" t="n">
        <v>45803</v>
      </c>
      <c r="C2008" s="1" t="n">
        <v>45826</v>
      </c>
      <c r="D2008" t="inlineStr">
        <is>
          <t>JÄMTLANDS LÄN</t>
        </is>
      </c>
      <c r="E2008" t="inlineStr">
        <is>
          <t>RAGUNDA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26015-2025</t>
        </is>
      </c>
      <c r="B2009" s="1" t="n">
        <v>45804</v>
      </c>
      <c r="C2009" s="1" t="n">
        <v>45826</v>
      </c>
      <c r="D2009" t="inlineStr">
        <is>
          <t>JÄMTLANDS LÄN</t>
        </is>
      </c>
      <c r="E2009" t="inlineStr">
        <is>
          <t>RAGUNDA</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25814-2025</t>
        </is>
      </c>
      <c r="B2010" s="1" t="n">
        <v>45804</v>
      </c>
      <c r="C2010" s="1" t="n">
        <v>45826</v>
      </c>
      <c r="D2010" t="inlineStr">
        <is>
          <t>JÄMTLANDS LÄN</t>
        </is>
      </c>
      <c r="E2010" t="inlineStr">
        <is>
          <t>RAGUNDA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25944-2025</t>
        </is>
      </c>
      <c r="B2011" s="1" t="n">
        <v>45804</v>
      </c>
      <c r="C2011" s="1" t="n">
        <v>45826</v>
      </c>
      <c r="D2011" t="inlineStr">
        <is>
          <t>JÄMTLANDS LÄN</t>
        </is>
      </c>
      <c r="E2011" t="inlineStr">
        <is>
          <t>RAGUNDA</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25769-2025</t>
        </is>
      </c>
      <c r="B2012" s="1" t="n">
        <v>45804</v>
      </c>
      <c r="C2012" s="1" t="n">
        <v>45826</v>
      </c>
      <c r="D2012" t="inlineStr">
        <is>
          <t>JÄMTLANDS LÄN</t>
        </is>
      </c>
      <c r="E2012" t="inlineStr">
        <is>
          <t>RAGUNDA</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25994-2025</t>
        </is>
      </c>
      <c r="B2013" s="1" t="n">
        <v>45804</v>
      </c>
      <c r="C2013" s="1" t="n">
        <v>45826</v>
      </c>
      <c r="D2013" t="inlineStr">
        <is>
          <t>JÄMTLANDS LÄN</t>
        </is>
      </c>
      <c r="E2013" t="inlineStr">
        <is>
          <t>RAGUNDA</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26246-2025</t>
        </is>
      </c>
      <c r="B2014" s="1" t="n">
        <v>45805</v>
      </c>
      <c r="C2014" s="1" t="n">
        <v>45826</v>
      </c>
      <c r="D2014" t="inlineStr">
        <is>
          <t>JÄMTLANDS LÄN</t>
        </is>
      </c>
      <c r="E2014" t="inlineStr">
        <is>
          <t>RAGUNDA</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26283-2025</t>
        </is>
      </c>
      <c r="B2015" s="1" t="n">
        <v>45805</v>
      </c>
      <c r="C2015" s="1" t="n">
        <v>45826</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26172-2025</t>
        </is>
      </c>
      <c r="B2016" s="1" t="n">
        <v>45805</v>
      </c>
      <c r="C2016" s="1" t="n">
        <v>45826</v>
      </c>
      <c r="D2016" t="inlineStr">
        <is>
          <t>JÄMTLANDS LÄN</t>
        </is>
      </c>
      <c r="E2016" t="inlineStr">
        <is>
          <t>RAGUNDA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26640-2025</t>
        </is>
      </c>
      <c r="B2017" s="1" t="n">
        <v>45810</v>
      </c>
      <c r="C2017" s="1" t="n">
        <v>45826</v>
      </c>
      <c r="D2017" t="inlineStr">
        <is>
          <t>JÄMTLANDS LÄN</t>
        </is>
      </c>
      <c r="E2017" t="inlineStr">
        <is>
          <t>RAGUNDA</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27510-2025</t>
        </is>
      </c>
      <c r="B2018" s="1" t="n">
        <v>45813</v>
      </c>
      <c r="C2018" s="1" t="n">
        <v>45826</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28084-2025</t>
        </is>
      </c>
      <c r="B2019" s="1" t="n">
        <v>45817</v>
      </c>
      <c r="C2019" s="1" t="n">
        <v>45826</v>
      </c>
      <c r="D2019" t="inlineStr">
        <is>
          <t>JÄMTLANDS LÄN</t>
        </is>
      </c>
      <c r="E2019" t="inlineStr">
        <is>
          <t>RAGUNDA</t>
        </is>
      </c>
      <c r="F2019" t="inlineStr">
        <is>
          <t>SCA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28216-2025</t>
        </is>
      </c>
      <c r="B2020" s="1" t="n">
        <v>45818</v>
      </c>
      <c r="C2020" s="1" t="n">
        <v>45826</v>
      </c>
      <c r="D2020" t="inlineStr">
        <is>
          <t>JÄMTLANDS LÄN</t>
        </is>
      </c>
      <c r="E2020" t="inlineStr">
        <is>
          <t>RAGUNDA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28637-2025</t>
        </is>
      </c>
      <c r="B2021" s="1" t="n">
        <v>45819</v>
      </c>
      <c r="C2021" s="1" t="n">
        <v>45826</v>
      </c>
      <c r="D2021" t="inlineStr">
        <is>
          <t>JÄMTLANDS LÄN</t>
        </is>
      </c>
      <c r="E2021" t="inlineStr">
        <is>
          <t>RAGUNDA</t>
        </is>
      </c>
      <c r="F2021" t="inlineStr">
        <is>
          <t>SCA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28973-2025</t>
        </is>
      </c>
      <c r="B2022" s="1" t="n">
        <v>45821</v>
      </c>
      <c r="C2022" s="1" t="n">
        <v>45826</v>
      </c>
      <c r="D2022" t="inlineStr">
        <is>
          <t>JÄMTLANDS LÄN</t>
        </is>
      </c>
      <c r="E2022" t="inlineStr">
        <is>
          <t>RAGUNDA</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29731-2025</t>
        </is>
      </c>
      <c r="B2023" s="1" t="n">
        <v>45825</v>
      </c>
      <c r="C2023" s="1" t="n">
        <v>45826</v>
      </c>
      <c r="D2023" t="inlineStr">
        <is>
          <t>JÄMTLANDS LÄN</t>
        </is>
      </c>
      <c r="E2023" t="inlineStr">
        <is>
          <t>RAGUNDA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29723-2025</t>
        </is>
      </c>
      <c r="B2024" s="1" t="n">
        <v>45825</v>
      </c>
      <c r="C2024" s="1" t="n">
        <v>45826</v>
      </c>
      <c r="D2024" t="inlineStr">
        <is>
          <t>JÄMTLANDS LÄN</t>
        </is>
      </c>
      <c r="E2024" t="inlineStr">
        <is>
          <t>RAGUNDA</t>
        </is>
      </c>
      <c r="G2024" t="n">
        <v>3.1</v>
      </c>
      <c r="H2024" t="n">
        <v>0</v>
      </c>
      <c r="I2024" t="n">
        <v>0</v>
      </c>
      <c r="J2024" t="n">
        <v>0</v>
      </c>
      <c r="K2024" t="n">
        <v>0</v>
      </c>
      <c r="L2024" t="n">
        <v>0</v>
      </c>
      <c r="M2024" t="n">
        <v>0</v>
      </c>
      <c r="N2024" t="n">
        <v>0</v>
      </c>
      <c r="O2024" t="n">
        <v>0</v>
      </c>
      <c r="P2024" t="n">
        <v>0</v>
      </c>
      <c r="Q2024" t="n">
        <v>0</v>
      </c>
      <c r="R2024" s="2" t="inlineStr"/>
    </row>
    <row r="2025">
      <c r="A2025" t="inlineStr">
        <is>
          <t>A 29714-2025</t>
        </is>
      </c>
      <c r="B2025" s="1" t="n">
        <v>45825</v>
      </c>
      <c r="C2025" s="1" t="n">
        <v>45826</v>
      </c>
      <c r="D2025" t="inlineStr">
        <is>
          <t>JÄMTLANDS LÄN</t>
        </is>
      </c>
      <c r="E2025" t="inlineStr">
        <is>
          <t>RAGUNDA</t>
        </is>
      </c>
      <c r="G2025" t="n">
        <v>2.7</v>
      </c>
      <c r="H2025" t="n">
        <v>0</v>
      </c>
      <c r="I2025" t="n">
        <v>0</v>
      </c>
      <c r="J2025" t="n">
        <v>0</v>
      </c>
      <c r="K2025" t="n">
        <v>0</v>
      </c>
      <c r="L2025" t="n">
        <v>0</v>
      </c>
      <c r="M2025" t="n">
        <v>0</v>
      </c>
      <c r="N2025" t="n">
        <v>0</v>
      </c>
      <c r="O2025" t="n">
        <v>0</v>
      </c>
      <c r="P2025" t="n">
        <v>0</v>
      </c>
      <c r="Q2025" t="n">
        <v>0</v>
      </c>
      <c r="R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2025-06-18T18:47:47Z</dcterms:created>
  <dcterms:modified xmlns:dcterms="http://purl.org/dc/terms/" xmlns:xsi="http://www.w3.org/2001/XMLSchema-instance" xsi:type="dcterms:W3CDTF">2025-06-18T18:47:49Z</dcterms:modified>
</cp:coreProperties>
</file>