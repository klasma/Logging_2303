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45742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45742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45742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45742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45742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45742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45742</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45742</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45742</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45742</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45742</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45742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45742</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45742</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45742</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45742</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45742</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45742</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45742</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45742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45742</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45742</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45742</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45742</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45742</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45742</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45742</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45742</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45742</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45742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45742</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45742</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45742</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45742</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45742</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45742</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45742</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45742</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45742</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45742</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45742</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45742</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45742</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45742</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45742</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45742</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45742</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45742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45742</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45742</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45742</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45742</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45742</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45742</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45742</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45742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45742</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45742</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45742</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45742</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45742</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45742</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45742</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45742</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45742</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45742</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45742</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45742</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45742</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45742</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45742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45742</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45742</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45742</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45742</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45742</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45742</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45742</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45742</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45742</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45742</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45742</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45742</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45742</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45742</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45742</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45742</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45742</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45742</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45742</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45742</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45742</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45742</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45742</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45742</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45742</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45742</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45742</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45742</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45742</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45742</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45742</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45742</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45742</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45742</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45742</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45742</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45742</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45742</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45742</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45742</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45742</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45742</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45742</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45742</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45742</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45742</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45742</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45742</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45742</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45742</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45742</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45742</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45742</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45742</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45742</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45742</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45742</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45742</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45742</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45742</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45742</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45742</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45742</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45742</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45742</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45742</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45742</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45742</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45742</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45742</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45742</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45742</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45742</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45742</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45742</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45742</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45742</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45742</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45742</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45742</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45742</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45742</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45742</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45742</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45742</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45742</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45742</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45742</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45742</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45742</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45742</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45742</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45742</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45742</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45742</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45742</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45742</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45742</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45742</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45742</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45742</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45742</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45742</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45742</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45742</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45742</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45742</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45742</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45742</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45742</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45742</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45742</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45742</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45742</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45742</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45742</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45742</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45742</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45742</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45742</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45742</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45742</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45742</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45742</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45742</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57941-2024</t>
        </is>
      </c>
      <c r="B198" s="1" t="n">
        <v>45631</v>
      </c>
      <c r="C198" s="1" t="n">
        <v>45742</v>
      </c>
      <c r="D198" t="inlineStr">
        <is>
          <t>JÄMTLANDS LÄN</t>
        </is>
      </c>
      <c r="E198" t="inlineStr">
        <is>
          <t>RAGUNDA</t>
        </is>
      </c>
      <c r="F198" t="inlineStr">
        <is>
          <t>SCA</t>
        </is>
      </c>
      <c r="G198" t="n">
        <v>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HYPERLINK("https://klasma.github.io/Logging_2303/artfynd/A 57941-2024 artfynd.xlsx", "A 57941-2024")</f>
        <v/>
      </c>
      <c r="T198">
        <f>HYPERLINK("https://klasma.github.io/Logging_2303/kartor/A 57941-2024 karta.png", "A 57941-2024")</f>
        <v/>
      </c>
      <c r="V198">
        <f>HYPERLINK("https://klasma.github.io/Logging_2303/klagomål/A 57941-2024 FSC-klagomål.docx", "A 57941-2024")</f>
        <v/>
      </c>
      <c r="W198">
        <f>HYPERLINK("https://klasma.github.io/Logging_2303/klagomålsmail/A 57941-2024 FSC-klagomål mail.docx", "A 57941-2024")</f>
        <v/>
      </c>
      <c r="X198">
        <f>HYPERLINK("https://klasma.github.io/Logging_2303/tillsyn/A 57941-2024 tillsynsbegäran.docx", "A 57941-2024")</f>
        <v/>
      </c>
      <c r="Y198">
        <f>HYPERLINK("https://klasma.github.io/Logging_2303/tillsynsmail/A 57941-2024 tillsynsbegäran mail.docx", "A 57941-2024")</f>
        <v/>
      </c>
      <c r="Z198">
        <f>HYPERLINK("https://klasma.github.io/Logging_2303/fåglar/A 57941-2024 prioriterade fågelarter.docx", "A 57941-2024")</f>
        <v/>
      </c>
    </row>
    <row r="199" ht="15" customHeight="1">
      <c r="A199" t="inlineStr">
        <is>
          <t>A 58368-2024</t>
        </is>
      </c>
      <c r="B199" s="1" t="n">
        <v>45632</v>
      </c>
      <c r="C199" s="1" t="n">
        <v>45742</v>
      </c>
      <c r="D199" t="inlineStr">
        <is>
          <t>JÄMTLANDS LÄN</t>
        </is>
      </c>
      <c r="E199" t="inlineStr">
        <is>
          <t>RAGUNDA</t>
        </is>
      </c>
      <c r="F199" t="inlineStr">
        <is>
          <t>SCA</t>
        </is>
      </c>
      <c r="G199" t="n">
        <v>4.1</v>
      </c>
      <c r="H199" t="n">
        <v>2</v>
      </c>
      <c r="I199" t="n">
        <v>0</v>
      </c>
      <c r="J199" t="n">
        <v>3</v>
      </c>
      <c r="K199" t="n">
        <v>0</v>
      </c>
      <c r="L199" t="n">
        <v>0</v>
      </c>
      <c r="M199" t="n">
        <v>0</v>
      </c>
      <c r="N199" t="n">
        <v>0</v>
      </c>
      <c r="O199" t="n">
        <v>3</v>
      </c>
      <c r="P199" t="n">
        <v>0</v>
      </c>
      <c r="Q199" t="n">
        <v>3</v>
      </c>
      <c r="R199" s="2" t="inlineStr">
        <is>
          <t>Järpe
Lunglav
Tretåig hackspett</t>
        </is>
      </c>
      <c r="S199">
        <f>HYPERLINK("https://klasma.github.io/Logging_2303/artfynd/A 58368-2024 artfynd.xlsx", "A 58368-2024")</f>
        <v/>
      </c>
      <c r="T199">
        <f>HYPERLINK("https://klasma.github.io/Logging_2303/kartor/A 58368-2024 karta.png", "A 58368-2024")</f>
        <v/>
      </c>
      <c r="V199">
        <f>HYPERLINK("https://klasma.github.io/Logging_2303/klagomål/A 58368-2024 FSC-klagomål.docx", "A 58368-2024")</f>
        <v/>
      </c>
      <c r="W199">
        <f>HYPERLINK("https://klasma.github.io/Logging_2303/klagomålsmail/A 58368-2024 FSC-klagomål mail.docx", "A 58368-2024")</f>
        <v/>
      </c>
      <c r="X199">
        <f>HYPERLINK("https://klasma.github.io/Logging_2303/tillsyn/A 58368-2024 tillsynsbegäran.docx", "A 58368-2024")</f>
        <v/>
      </c>
      <c r="Y199">
        <f>HYPERLINK("https://klasma.github.io/Logging_2303/tillsynsmail/A 58368-2024 tillsynsbegäran mail.docx", "A 58368-2024")</f>
        <v/>
      </c>
      <c r="Z199">
        <f>HYPERLINK("https://klasma.github.io/Logging_2303/fåglar/A 58368-2024 prioriterade fågelarter.docx", "A 58368-2024")</f>
        <v/>
      </c>
    </row>
    <row r="200" ht="15" customHeight="1">
      <c r="A200" t="inlineStr">
        <is>
          <t>A 7821-2025</t>
        </is>
      </c>
      <c r="B200" s="1" t="n">
        <v>45706</v>
      </c>
      <c r="C200" s="1" t="n">
        <v>45742</v>
      </c>
      <c r="D200" t="inlineStr">
        <is>
          <t>JÄMTLANDS LÄN</t>
        </is>
      </c>
      <c r="E200" t="inlineStr">
        <is>
          <t>RAGUNDA</t>
        </is>
      </c>
      <c r="G200" t="n">
        <v>10.3</v>
      </c>
      <c r="H200" t="n">
        <v>0</v>
      </c>
      <c r="I200" t="n">
        <v>1</v>
      </c>
      <c r="J200" t="n">
        <v>2</v>
      </c>
      <c r="K200" t="n">
        <v>0</v>
      </c>
      <c r="L200" t="n">
        <v>0</v>
      </c>
      <c r="M200" t="n">
        <v>0</v>
      </c>
      <c r="N200" t="n">
        <v>0</v>
      </c>
      <c r="O200" t="n">
        <v>2</v>
      </c>
      <c r="P200" t="n">
        <v>0</v>
      </c>
      <c r="Q200" t="n">
        <v>3</v>
      </c>
      <c r="R200" s="2" t="inlineStr">
        <is>
          <t>Garnlav
Ullticka
Vedticka</t>
        </is>
      </c>
      <c r="S200">
        <f>HYPERLINK("https://klasma.github.io/Logging_2303/artfynd/A 7821-2025 artfynd.xlsx", "A 7821-2025")</f>
        <v/>
      </c>
      <c r="T200">
        <f>HYPERLINK("https://klasma.github.io/Logging_2303/kartor/A 7821-2025 karta.png", "A 7821-2025")</f>
        <v/>
      </c>
      <c r="V200">
        <f>HYPERLINK("https://klasma.github.io/Logging_2303/klagomål/A 7821-2025 FSC-klagomål.docx", "A 7821-2025")</f>
        <v/>
      </c>
      <c r="W200">
        <f>HYPERLINK("https://klasma.github.io/Logging_2303/klagomålsmail/A 7821-2025 FSC-klagomål mail.docx", "A 7821-2025")</f>
        <v/>
      </c>
      <c r="X200">
        <f>HYPERLINK("https://klasma.github.io/Logging_2303/tillsyn/A 7821-2025 tillsynsbegäran.docx", "A 7821-2025")</f>
        <v/>
      </c>
      <c r="Y200">
        <f>HYPERLINK("https://klasma.github.io/Logging_2303/tillsynsmail/A 7821-2025 tillsynsbegäran mail.docx", "A 7821-2025")</f>
        <v/>
      </c>
    </row>
    <row r="201" ht="15" customHeight="1">
      <c r="A201" t="inlineStr">
        <is>
          <t>A 43760-2019</t>
        </is>
      </c>
      <c r="B201" s="1" t="n">
        <v>43707</v>
      </c>
      <c r="C201" s="1" t="n">
        <v>45742</v>
      </c>
      <c r="D201" t="inlineStr">
        <is>
          <t>JÄMTLANDS LÄN</t>
        </is>
      </c>
      <c r="E201" t="inlineStr">
        <is>
          <t>RAGUNDA</t>
        </is>
      </c>
      <c r="G201" t="n">
        <v>3.5</v>
      </c>
      <c r="H201" t="n">
        <v>1</v>
      </c>
      <c r="I201" t="n">
        <v>0</v>
      </c>
      <c r="J201" t="n">
        <v>1</v>
      </c>
      <c r="K201" t="n">
        <v>1</v>
      </c>
      <c r="L201" t="n">
        <v>0</v>
      </c>
      <c r="M201" t="n">
        <v>0</v>
      </c>
      <c r="N201" t="n">
        <v>0</v>
      </c>
      <c r="O201" t="n">
        <v>2</v>
      </c>
      <c r="P201" t="n">
        <v>1</v>
      </c>
      <c r="Q201" t="n">
        <v>2</v>
      </c>
      <c r="R201" s="2" t="inlineStr">
        <is>
          <t>Knärot
Lunglav</t>
        </is>
      </c>
      <c r="S201">
        <f>HYPERLINK("https://klasma.github.io/Logging_2303/artfynd/A 43760-2019 artfynd.xlsx", "A 43760-2019")</f>
        <v/>
      </c>
      <c r="T201">
        <f>HYPERLINK("https://klasma.github.io/Logging_2303/kartor/A 43760-2019 karta.png", "A 43760-2019")</f>
        <v/>
      </c>
      <c r="U201">
        <f>HYPERLINK("https://klasma.github.io/Logging_2303/knärot/A 43760-2019 karta knärot.png", "A 43760-2019")</f>
        <v/>
      </c>
      <c r="V201">
        <f>HYPERLINK("https://klasma.github.io/Logging_2303/klagomål/A 43760-2019 FSC-klagomål.docx", "A 43760-2019")</f>
        <v/>
      </c>
      <c r="W201">
        <f>HYPERLINK("https://klasma.github.io/Logging_2303/klagomålsmail/A 43760-2019 FSC-klagomål mail.docx", "A 43760-2019")</f>
        <v/>
      </c>
      <c r="X201">
        <f>HYPERLINK("https://klasma.github.io/Logging_2303/tillsyn/A 43760-2019 tillsynsbegäran.docx", "A 43760-2019")</f>
        <v/>
      </c>
      <c r="Y201">
        <f>HYPERLINK("https://klasma.github.io/Logging_2303/tillsynsmail/A 43760-2019 tillsynsbegäran mail.docx", "A 43760-2019")</f>
        <v/>
      </c>
    </row>
    <row r="202" ht="15" customHeight="1">
      <c r="A202" t="inlineStr">
        <is>
          <t>A 16044-2020</t>
        </is>
      </c>
      <c r="B202" s="1" t="n">
        <v>43916</v>
      </c>
      <c r="C202" s="1" t="n">
        <v>45742</v>
      </c>
      <c r="D202" t="inlineStr">
        <is>
          <t>JÄMTLANDS LÄN</t>
        </is>
      </c>
      <c r="E202" t="inlineStr">
        <is>
          <t>RAGUNDA</t>
        </is>
      </c>
      <c r="G202" t="n">
        <v>7.6</v>
      </c>
      <c r="H202" t="n">
        <v>1</v>
      </c>
      <c r="I202" t="n">
        <v>0</v>
      </c>
      <c r="J202" t="n">
        <v>1</v>
      </c>
      <c r="K202" t="n">
        <v>1</v>
      </c>
      <c r="L202" t="n">
        <v>0</v>
      </c>
      <c r="M202" t="n">
        <v>0</v>
      </c>
      <c r="N202" t="n">
        <v>0</v>
      </c>
      <c r="O202" t="n">
        <v>2</v>
      </c>
      <c r="P202" t="n">
        <v>1</v>
      </c>
      <c r="Q202" t="n">
        <v>2</v>
      </c>
      <c r="R202" s="2" t="inlineStr">
        <is>
          <t>Knärot
Lunglav</t>
        </is>
      </c>
      <c r="S202">
        <f>HYPERLINK("https://klasma.github.io/Logging_2303/artfynd/A 16044-2020 artfynd.xlsx", "A 16044-2020")</f>
        <v/>
      </c>
      <c r="T202">
        <f>HYPERLINK("https://klasma.github.io/Logging_2303/kartor/A 16044-2020 karta.png", "A 16044-2020")</f>
        <v/>
      </c>
      <c r="U202">
        <f>HYPERLINK("https://klasma.github.io/Logging_2303/knärot/A 16044-2020 karta knärot.png", "A 16044-2020")</f>
        <v/>
      </c>
      <c r="V202">
        <f>HYPERLINK("https://klasma.github.io/Logging_2303/klagomål/A 16044-2020 FSC-klagomål.docx", "A 16044-2020")</f>
        <v/>
      </c>
      <c r="W202">
        <f>HYPERLINK("https://klasma.github.io/Logging_2303/klagomålsmail/A 16044-2020 FSC-klagomål mail.docx", "A 16044-2020")</f>
        <v/>
      </c>
      <c r="X202">
        <f>HYPERLINK("https://klasma.github.io/Logging_2303/tillsyn/A 16044-2020 tillsynsbegäran.docx", "A 16044-2020")</f>
        <v/>
      </c>
      <c r="Y202">
        <f>HYPERLINK("https://klasma.github.io/Logging_2303/tillsynsmail/A 16044-2020 tillsynsbegäran mail.docx", "A 16044-2020")</f>
        <v/>
      </c>
    </row>
    <row r="203" ht="15" customHeight="1">
      <c r="A203" t="inlineStr">
        <is>
          <t>A 20477-2020</t>
        </is>
      </c>
      <c r="B203" s="1" t="n">
        <v>43948</v>
      </c>
      <c r="C203" s="1" t="n">
        <v>45742</v>
      </c>
      <c r="D203" t="inlineStr">
        <is>
          <t>JÄMTLANDS LÄN</t>
        </is>
      </c>
      <c r="E203" t="inlineStr">
        <is>
          <t>RAGUNDA</t>
        </is>
      </c>
      <c r="G203" t="n">
        <v>33.6</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20477-2020 artfynd.xlsx", "A 20477-2020")</f>
        <v/>
      </c>
      <c r="T203">
        <f>HYPERLINK("https://klasma.github.io/Logging_2303/kartor/A 20477-2020 karta.png", "A 20477-2020")</f>
        <v/>
      </c>
      <c r="V203">
        <f>HYPERLINK("https://klasma.github.io/Logging_2303/klagomål/A 20477-2020 FSC-klagomål.docx", "A 20477-2020")</f>
        <v/>
      </c>
      <c r="W203">
        <f>HYPERLINK("https://klasma.github.io/Logging_2303/klagomålsmail/A 20477-2020 FSC-klagomål mail.docx", "A 20477-2020")</f>
        <v/>
      </c>
      <c r="X203">
        <f>HYPERLINK("https://klasma.github.io/Logging_2303/tillsyn/A 20477-2020 tillsynsbegäran.docx", "A 20477-2020")</f>
        <v/>
      </c>
      <c r="Y203">
        <f>HYPERLINK("https://klasma.github.io/Logging_2303/tillsynsmail/A 20477-2020 tillsynsbegäran mail.docx", "A 20477-2020")</f>
        <v/>
      </c>
    </row>
    <row r="204" ht="15" customHeight="1">
      <c r="A204" t="inlineStr">
        <is>
          <t>A 47164-2021</t>
        </is>
      </c>
      <c r="B204" s="1" t="n">
        <v>44447</v>
      </c>
      <c r="C204" s="1" t="n">
        <v>45742</v>
      </c>
      <c r="D204" t="inlineStr">
        <is>
          <t>JÄMTLANDS LÄN</t>
        </is>
      </c>
      <c r="E204" t="inlineStr">
        <is>
          <t>RAGUNDA</t>
        </is>
      </c>
      <c r="F204" t="inlineStr">
        <is>
          <t>SCA</t>
        </is>
      </c>
      <c r="G204" t="n">
        <v>8.5</v>
      </c>
      <c r="H204" t="n">
        <v>0</v>
      </c>
      <c r="I204" t="n">
        <v>0</v>
      </c>
      <c r="J204" t="n">
        <v>2</v>
      </c>
      <c r="K204" t="n">
        <v>0</v>
      </c>
      <c r="L204" t="n">
        <v>0</v>
      </c>
      <c r="M204" t="n">
        <v>0</v>
      </c>
      <c r="N204" t="n">
        <v>0</v>
      </c>
      <c r="O204" t="n">
        <v>2</v>
      </c>
      <c r="P204" t="n">
        <v>0</v>
      </c>
      <c r="Q204" t="n">
        <v>2</v>
      </c>
      <c r="R204" s="2" t="inlineStr">
        <is>
          <t>Lunglav
Mörk kolflarnlav</t>
        </is>
      </c>
      <c r="S204">
        <f>HYPERLINK("https://klasma.github.io/Logging_2303/artfynd/A 47164-2021 artfynd.xlsx", "A 47164-2021")</f>
        <v/>
      </c>
      <c r="T204">
        <f>HYPERLINK("https://klasma.github.io/Logging_2303/kartor/A 47164-2021 karta.png", "A 47164-2021")</f>
        <v/>
      </c>
      <c r="V204">
        <f>HYPERLINK("https://klasma.github.io/Logging_2303/klagomål/A 47164-2021 FSC-klagomål.docx", "A 47164-2021")</f>
        <v/>
      </c>
      <c r="W204">
        <f>HYPERLINK("https://klasma.github.io/Logging_2303/klagomålsmail/A 47164-2021 FSC-klagomål mail.docx", "A 47164-2021")</f>
        <v/>
      </c>
      <c r="X204">
        <f>HYPERLINK("https://klasma.github.io/Logging_2303/tillsyn/A 47164-2021 tillsynsbegäran.docx", "A 47164-2021")</f>
        <v/>
      </c>
      <c r="Y204">
        <f>HYPERLINK("https://klasma.github.io/Logging_2303/tillsynsmail/A 47164-2021 tillsynsbegäran mail.docx", "A 47164-2021")</f>
        <v/>
      </c>
    </row>
    <row r="205" ht="15" customHeight="1">
      <c r="A205" t="inlineStr">
        <is>
          <t>A 17043-2022</t>
        </is>
      </c>
      <c r="B205" s="1" t="n">
        <v>44676</v>
      </c>
      <c r="C205" s="1" t="n">
        <v>45742</v>
      </c>
      <c r="D205" t="inlineStr">
        <is>
          <t>JÄMTLANDS LÄN</t>
        </is>
      </c>
      <c r="E205" t="inlineStr">
        <is>
          <t>RAGUNDA</t>
        </is>
      </c>
      <c r="F205" t="inlineStr">
        <is>
          <t>SCA</t>
        </is>
      </c>
      <c r="G205" t="n">
        <v>3</v>
      </c>
      <c r="H205" t="n">
        <v>0</v>
      </c>
      <c r="I205" t="n">
        <v>2</v>
      </c>
      <c r="J205" t="n">
        <v>0</v>
      </c>
      <c r="K205" t="n">
        <v>0</v>
      </c>
      <c r="L205" t="n">
        <v>0</v>
      </c>
      <c r="M205" t="n">
        <v>0</v>
      </c>
      <c r="N205" t="n">
        <v>0</v>
      </c>
      <c r="O205" t="n">
        <v>0</v>
      </c>
      <c r="P205" t="n">
        <v>0</v>
      </c>
      <c r="Q205" t="n">
        <v>2</v>
      </c>
      <c r="R205" s="2" t="inlineStr">
        <is>
          <t>Skinnlav
Vedticka</t>
        </is>
      </c>
      <c r="S205">
        <f>HYPERLINK("https://klasma.github.io/Logging_2303/artfynd/A 17043-2022 artfynd.xlsx", "A 17043-2022")</f>
        <v/>
      </c>
      <c r="T205">
        <f>HYPERLINK("https://klasma.github.io/Logging_2303/kartor/A 17043-2022 karta.png", "A 17043-2022")</f>
        <v/>
      </c>
      <c r="V205">
        <f>HYPERLINK("https://klasma.github.io/Logging_2303/klagomål/A 17043-2022 FSC-klagomål.docx", "A 17043-2022")</f>
        <v/>
      </c>
      <c r="W205">
        <f>HYPERLINK("https://klasma.github.io/Logging_2303/klagomålsmail/A 17043-2022 FSC-klagomål mail.docx", "A 17043-2022")</f>
        <v/>
      </c>
      <c r="X205">
        <f>HYPERLINK("https://klasma.github.io/Logging_2303/tillsyn/A 17043-2022 tillsynsbegäran.docx", "A 17043-2022")</f>
        <v/>
      </c>
      <c r="Y205">
        <f>HYPERLINK("https://klasma.github.io/Logging_2303/tillsynsmail/A 17043-2022 tillsynsbegäran mail.docx", "A 17043-2022")</f>
        <v/>
      </c>
    </row>
    <row r="206" ht="15" customHeight="1">
      <c r="A206" t="inlineStr">
        <is>
          <t>A 17733-2022</t>
        </is>
      </c>
      <c r="B206" s="1" t="n">
        <v>44680</v>
      </c>
      <c r="C206" s="1" t="n">
        <v>45742</v>
      </c>
      <c r="D206" t="inlineStr">
        <is>
          <t>JÄMTLANDS LÄN</t>
        </is>
      </c>
      <c r="E206" t="inlineStr">
        <is>
          <t>RAGUNDA</t>
        </is>
      </c>
      <c r="G206" t="n">
        <v>2.2</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17733-2022 artfynd.xlsx", "A 17733-2022")</f>
        <v/>
      </c>
      <c r="T206">
        <f>HYPERLINK("https://klasma.github.io/Logging_2303/kartor/A 17733-2022 karta.png", "A 17733-2022")</f>
        <v/>
      </c>
      <c r="V206">
        <f>HYPERLINK("https://klasma.github.io/Logging_2303/klagomål/A 17733-2022 FSC-klagomål.docx", "A 17733-2022")</f>
        <v/>
      </c>
      <c r="W206">
        <f>HYPERLINK("https://klasma.github.io/Logging_2303/klagomålsmail/A 17733-2022 FSC-klagomål mail.docx", "A 17733-2022")</f>
        <v/>
      </c>
      <c r="X206">
        <f>HYPERLINK("https://klasma.github.io/Logging_2303/tillsyn/A 17733-2022 tillsynsbegäran.docx", "A 17733-2022")</f>
        <v/>
      </c>
      <c r="Y206">
        <f>HYPERLINK("https://klasma.github.io/Logging_2303/tillsynsmail/A 17733-2022 tillsynsbegäran mail.docx", "A 17733-2022")</f>
        <v/>
      </c>
    </row>
    <row r="207" ht="15" customHeight="1">
      <c r="A207" t="inlineStr">
        <is>
          <t>A 18552-2022</t>
        </is>
      </c>
      <c r="B207" s="1" t="n">
        <v>44687</v>
      </c>
      <c r="C207" s="1" t="n">
        <v>45742</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Granticka
Vedtrappmossa</t>
        </is>
      </c>
      <c r="S207">
        <f>HYPERLINK("https://klasma.github.io/Logging_2303/artfynd/A 18552-2022 artfynd.xlsx", "A 18552-2022")</f>
        <v/>
      </c>
      <c r="T207">
        <f>HYPERLINK("https://klasma.github.io/Logging_2303/kartor/A 18552-2022 karta.png", "A 18552-2022")</f>
        <v/>
      </c>
      <c r="V207">
        <f>HYPERLINK("https://klasma.github.io/Logging_2303/klagomål/A 18552-2022 FSC-klagomål.docx", "A 18552-2022")</f>
        <v/>
      </c>
      <c r="W207">
        <f>HYPERLINK("https://klasma.github.io/Logging_2303/klagomålsmail/A 18552-2022 FSC-klagomål mail.docx", "A 18552-2022")</f>
        <v/>
      </c>
      <c r="X207">
        <f>HYPERLINK("https://klasma.github.io/Logging_2303/tillsyn/A 18552-2022 tillsynsbegäran.docx", "A 18552-2022")</f>
        <v/>
      </c>
      <c r="Y207">
        <f>HYPERLINK("https://klasma.github.io/Logging_2303/tillsynsmail/A 18552-2022 tillsynsbegäran mail.docx", "A 18552-2022")</f>
        <v/>
      </c>
    </row>
    <row r="208" ht="15" customHeight="1">
      <c r="A208" t="inlineStr">
        <is>
          <t>A 41490-2022</t>
        </is>
      </c>
      <c r="B208" s="1" t="n">
        <v>44827</v>
      </c>
      <c r="C208" s="1" t="n">
        <v>45742</v>
      </c>
      <c r="D208" t="inlineStr">
        <is>
          <t>JÄMTLANDS LÄN</t>
        </is>
      </c>
      <c r="E208" t="inlineStr">
        <is>
          <t>RAGUNDA</t>
        </is>
      </c>
      <c r="F208" t="inlineStr">
        <is>
          <t>SCA</t>
        </is>
      </c>
      <c r="G208" t="n">
        <v>2.7</v>
      </c>
      <c r="H208" t="n">
        <v>0</v>
      </c>
      <c r="I208" t="n">
        <v>1</v>
      </c>
      <c r="J208" t="n">
        <v>1</v>
      </c>
      <c r="K208" t="n">
        <v>0</v>
      </c>
      <c r="L208" t="n">
        <v>0</v>
      </c>
      <c r="M208" t="n">
        <v>0</v>
      </c>
      <c r="N208" t="n">
        <v>0</v>
      </c>
      <c r="O208" t="n">
        <v>1</v>
      </c>
      <c r="P208" t="n">
        <v>0</v>
      </c>
      <c r="Q208" t="n">
        <v>2</v>
      </c>
      <c r="R208" s="2" t="inlineStr">
        <is>
          <t>Lunglav
Skinnlav</t>
        </is>
      </c>
      <c r="S208">
        <f>HYPERLINK("https://klasma.github.io/Logging_2303/artfynd/A 41490-2022 artfynd.xlsx", "A 41490-2022")</f>
        <v/>
      </c>
      <c r="T208">
        <f>HYPERLINK("https://klasma.github.io/Logging_2303/kartor/A 41490-2022 karta.png", "A 41490-2022")</f>
        <v/>
      </c>
      <c r="V208">
        <f>HYPERLINK("https://klasma.github.io/Logging_2303/klagomål/A 41490-2022 FSC-klagomål.docx", "A 41490-2022")</f>
        <v/>
      </c>
      <c r="W208">
        <f>HYPERLINK("https://klasma.github.io/Logging_2303/klagomålsmail/A 41490-2022 FSC-klagomål mail.docx", "A 41490-2022")</f>
        <v/>
      </c>
      <c r="X208">
        <f>HYPERLINK("https://klasma.github.io/Logging_2303/tillsyn/A 41490-2022 tillsynsbegäran.docx", "A 41490-2022")</f>
        <v/>
      </c>
      <c r="Y208">
        <f>HYPERLINK("https://klasma.github.io/Logging_2303/tillsynsmail/A 41490-2022 tillsynsbegäran mail.docx", "A 41490-2022")</f>
        <v/>
      </c>
    </row>
    <row r="209" ht="15" customHeight="1">
      <c r="A209" t="inlineStr">
        <is>
          <t>A 47267-2022</t>
        </is>
      </c>
      <c r="B209" s="1" t="n">
        <v>44852</v>
      </c>
      <c r="C209" s="1" t="n">
        <v>45742</v>
      </c>
      <c r="D209" t="inlineStr">
        <is>
          <t>JÄMTLANDS LÄN</t>
        </is>
      </c>
      <c r="E209" t="inlineStr">
        <is>
          <t>RAGUNDA</t>
        </is>
      </c>
      <c r="F209" t="inlineStr">
        <is>
          <t>SCA</t>
        </is>
      </c>
      <c r="G209" t="n">
        <v>82.8</v>
      </c>
      <c r="H209" t="n">
        <v>0</v>
      </c>
      <c r="I209" t="n">
        <v>0</v>
      </c>
      <c r="J209" t="n">
        <v>2</v>
      </c>
      <c r="K209" t="n">
        <v>0</v>
      </c>
      <c r="L209" t="n">
        <v>0</v>
      </c>
      <c r="M209" t="n">
        <v>0</v>
      </c>
      <c r="N209" t="n">
        <v>0</v>
      </c>
      <c r="O209" t="n">
        <v>2</v>
      </c>
      <c r="P209" t="n">
        <v>0</v>
      </c>
      <c r="Q209" t="n">
        <v>2</v>
      </c>
      <c r="R209" s="2" t="inlineStr">
        <is>
          <t>Dvärgbägarlav
Garnlav</t>
        </is>
      </c>
      <c r="S209">
        <f>HYPERLINK("https://klasma.github.io/Logging_2303/artfynd/A 47267-2022 artfynd.xlsx", "A 47267-2022")</f>
        <v/>
      </c>
      <c r="T209">
        <f>HYPERLINK("https://klasma.github.io/Logging_2303/kartor/A 47267-2022 karta.png", "A 47267-2022")</f>
        <v/>
      </c>
      <c r="V209">
        <f>HYPERLINK("https://klasma.github.io/Logging_2303/klagomål/A 47267-2022 FSC-klagomål.docx", "A 47267-2022")</f>
        <v/>
      </c>
      <c r="W209">
        <f>HYPERLINK("https://klasma.github.io/Logging_2303/klagomålsmail/A 47267-2022 FSC-klagomål mail.docx", "A 47267-2022")</f>
        <v/>
      </c>
      <c r="X209">
        <f>HYPERLINK("https://klasma.github.io/Logging_2303/tillsyn/A 47267-2022 tillsynsbegäran.docx", "A 47267-2022")</f>
        <v/>
      </c>
      <c r="Y209">
        <f>HYPERLINK("https://klasma.github.io/Logging_2303/tillsynsmail/A 47267-2022 tillsynsbegäran mail.docx", "A 47267-2022")</f>
        <v/>
      </c>
    </row>
    <row r="210" ht="15" customHeight="1">
      <c r="A210" t="inlineStr">
        <is>
          <t>A 47583-2022</t>
        </is>
      </c>
      <c r="B210" s="1" t="n">
        <v>44854</v>
      </c>
      <c r="C210" s="1" t="n">
        <v>45742</v>
      </c>
      <c r="D210" t="inlineStr">
        <is>
          <t>JÄMTLANDS LÄN</t>
        </is>
      </c>
      <c r="E210" t="inlineStr">
        <is>
          <t>RAGUNDA</t>
        </is>
      </c>
      <c r="F210" t="inlineStr">
        <is>
          <t>SCA</t>
        </is>
      </c>
      <c r="G210" t="n">
        <v>2.6</v>
      </c>
      <c r="H210" t="n">
        <v>0</v>
      </c>
      <c r="I210" t="n">
        <v>0</v>
      </c>
      <c r="J210" t="n">
        <v>2</v>
      </c>
      <c r="K210" t="n">
        <v>0</v>
      </c>
      <c r="L210" t="n">
        <v>0</v>
      </c>
      <c r="M210" t="n">
        <v>0</v>
      </c>
      <c r="N210" t="n">
        <v>0</v>
      </c>
      <c r="O210" t="n">
        <v>2</v>
      </c>
      <c r="P210" t="n">
        <v>0</v>
      </c>
      <c r="Q210" t="n">
        <v>2</v>
      </c>
      <c r="R210" s="2" t="inlineStr">
        <is>
          <t>Garnlav
Lunglav</t>
        </is>
      </c>
      <c r="S210">
        <f>HYPERLINK("https://klasma.github.io/Logging_2303/artfynd/A 47583-2022 artfynd.xlsx", "A 47583-2022")</f>
        <v/>
      </c>
      <c r="T210">
        <f>HYPERLINK("https://klasma.github.io/Logging_2303/kartor/A 47583-2022 karta.png", "A 47583-2022")</f>
        <v/>
      </c>
      <c r="V210">
        <f>HYPERLINK("https://klasma.github.io/Logging_2303/klagomål/A 47583-2022 FSC-klagomål.docx", "A 47583-2022")</f>
        <v/>
      </c>
      <c r="W210">
        <f>HYPERLINK("https://klasma.github.io/Logging_2303/klagomålsmail/A 47583-2022 FSC-klagomål mail.docx", "A 47583-2022")</f>
        <v/>
      </c>
      <c r="X210">
        <f>HYPERLINK("https://klasma.github.io/Logging_2303/tillsyn/A 47583-2022 tillsynsbegäran.docx", "A 47583-2022")</f>
        <v/>
      </c>
      <c r="Y210">
        <f>HYPERLINK("https://klasma.github.io/Logging_2303/tillsynsmail/A 47583-2022 tillsynsbegäran mail.docx", "A 47583-2022")</f>
        <v/>
      </c>
    </row>
    <row r="211" ht="15" customHeight="1">
      <c r="A211" t="inlineStr">
        <is>
          <t>A 48059-2022</t>
        </is>
      </c>
      <c r="B211" s="1" t="n">
        <v>44855</v>
      </c>
      <c r="C211" s="1" t="n">
        <v>45742</v>
      </c>
      <c r="D211" t="inlineStr">
        <is>
          <t>JÄMTLANDS LÄN</t>
        </is>
      </c>
      <c r="E211" t="inlineStr">
        <is>
          <t>RAGUNDA</t>
        </is>
      </c>
      <c r="F211" t="inlineStr">
        <is>
          <t>SCA</t>
        </is>
      </c>
      <c r="G211" t="n">
        <v>3.2</v>
      </c>
      <c r="H211" t="n">
        <v>0</v>
      </c>
      <c r="I211" t="n">
        <v>0</v>
      </c>
      <c r="J211" t="n">
        <v>2</v>
      </c>
      <c r="K211" t="n">
        <v>0</v>
      </c>
      <c r="L211" t="n">
        <v>0</v>
      </c>
      <c r="M211" t="n">
        <v>0</v>
      </c>
      <c r="N211" t="n">
        <v>0</v>
      </c>
      <c r="O211" t="n">
        <v>2</v>
      </c>
      <c r="P211" t="n">
        <v>0</v>
      </c>
      <c r="Q211" t="n">
        <v>2</v>
      </c>
      <c r="R211" s="2" t="inlineStr">
        <is>
          <t>Garnlav
Lunglav</t>
        </is>
      </c>
      <c r="S211">
        <f>HYPERLINK("https://klasma.github.io/Logging_2303/artfynd/A 48059-2022 artfynd.xlsx", "A 48059-2022")</f>
        <v/>
      </c>
      <c r="T211">
        <f>HYPERLINK("https://klasma.github.io/Logging_2303/kartor/A 48059-2022 karta.png", "A 48059-2022")</f>
        <v/>
      </c>
      <c r="V211">
        <f>HYPERLINK("https://klasma.github.io/Logging_2303/klagomål/A 48059-2022 FSC-klagomål.docx", "A 48059-2022")</f>
        <v/>
      </c>
      <c r="W211">
        <f>HYPERLINK("https://klasma.github.io/Logging_2303/klagomålsmail/A 48059-2022 FSC-klagomål mail.docx", "A 48059-2022")</f>
        <v/>
      </c>
      <c r="X211">
        <f>HYPERLINK("https://klasma.github.io/Logging_2303/tillsyn/A 48059-2022 tillsynsbegäran.docx", "A 48059-2022")</f>
        <v/>
      </c>
      <c r="Y211">
        <f>HYPERLINK("https://klasma.github.io/Logging_2303/tillsynsmail/A 48059-2022 tillsynsbegäran mail.docx", "A 48059-2022")</f>
        <v/>
      </c>
    </row>
    <row r="212" ht="15" customHeight="1">
      <c r="A212" t="inlineStr">
        <is>
          <t>A 48084-2022</t>
        </is>
      </c>
      <c r="B212" s="1" t="n">
        <v>44855</v>
      </c>
      <c r="C212" s="1" t="n">
        <v>45742</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49194-2022</t>
        </is>
      </c>
      <c r="B213" s="1" t="n">
        <v>44860</v>
      </c>
      <c r="C213" s="1" t="n">
        <v>45742</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Doftticka
Lunglav</t>
        </is>
      </c>
      <c r="S213">
        <f>HYPERLINK("https://klasma.github.io/Logging_2303/artfynd/A 49194-2022 artfynd.xlsx", "A 49194-2022")</f>
        <v/>
      </c>
      <c r="T213">
        <f>HYPERLINK("https://klasma.github.io/Logging_2303/kartor/A 49194-2022 karta.png", "A 49194-2022")</f>
        <v/>
      </c>
      <c r="V213">
        <f>HYPERLINK("https://klasma.github.io/Logging_2303/klagomål/A 49194-2022 FSC-klagomål.docx", "A 49194-2022")</f>
        <v/>
      </c>
      <c r="W213">
        <f>HYPERLINK("https://klasma.github.io/Logging_2303/klagomålsmail/A 49194-2022 FSC-klagomål mail.docx", "A 49194-2022")</f>
        <v/>
      </c>
      <c r="X213">
        <f>HYPERLINK("https://klasma.github.io/Logging_2303/tillsyn/A 49194-2022 tillsynsbegäran.docx", "A 49194-2022")</f>
        <v/>
      </c>
      <c r="Y213">
        <f>HYPERLINK("https://klasma.github.io/Logging_2303/tillsynsmail/A 49194-2022 tillsynsbegäran mail.docx", "A 49194-2022")</f>
        <v/>
      </c>
    </row>
    <row r="214" ht="15" customHeight="1">
      <c r="A214" t="inlineStr">
        <is>
          <t>A 8033-2023</t>
        </is>
      </c>
      <c r="B214" s="1" t="n">
        <v>44973</v>
      </c>
      <c r="C214" s="1" t="n">
        <v>45742</v>
      </c>
      <c r="D214" t="inlineStr">
        <is>
          <t>JÄMTLANDS LÄN</t>
        </is>
      </c>
      <c r="E214" t="inlineStr">
        <is>
          <t>RAGUNDA</t>
        </is>
      </c>
      <c r="F214" t="inlineStr">
        <is>
          <t>SCA</t>
        </is>
      </c>
      <c r="G214" t="n">
        <v>9.199999999999999</v>
      </c>
      <c r="H214" t="n">
        <v>0</v>
      </c>
      <c r="I214" t="n">
        <v>1</v>
      </c>
      <c r="J214" t="n">
        <v>1</v>
      </c>
      <c r="K214" t="n">
        <v>0</v>
      </c>
      <c r="L214" t="n">
        <v>0</v>
      </c>
      <c r="M214" t="n">
        <v>0</v>
      </c>
      <c r="N214" t="n">
        <v>0</v>
      </c>
      <c r="O214" t="n">
        <v>1</v>
      </c>
      <c r="P214" t="n">
        <v>0</v>
      </c>
      <c r="Q214" t="n">
        <v>2</v>
      </c>
      <c r="R214" s="2" t="inlineStr">
        <is>
          <t>Kolflarnlav
Grönpyrola</t>
        </is>
      </c>
      <c r="S214">
        <f>HYPERLINK("https://klasma.github.io/Logging_2303/artfynd/A 8033-2023 artfynd.xlsx", "A 8033-2023")</f>
        <v/>
      </c>
      <c r="T214">
        <f>HYPERLINK("https://klasma.github.io/Logging_2303/kartor/A 8033-2023 karta.png", "A 8033-2023")</f>
        <v/>
      </c>
      <c r="V214">
        <f>HYPERLINK("https://klasma.github.io/Logging_2303/klagomål/A 8033-2023 FSC-klagomål.docx", "A 8033-2023")</f>
        <v/>
      </c>
      <c r="W214">
        <f>HYPERLINK("https://klasma.github.io/Logging_2303/klagomålsmail/A 8033-2023 FSC-klagomål mail.docx", "A 8033-2023")</f>
        <v/>
      </c>
      <c r="X214">
        <f>HYPERLINK("https://klasma.github.io/Logging_2303/tillsyn/A 8033-2023 tillsynsbegäran.docx", "A 8033-2023")</f>
        <v/>
      </c>
      <c r="Y214">
        <f>HYPERLINK("https://klasma.github.io/Logging_2303/tillsynsmail/A 8033-2023 tillsynsbegäran mail.docx", "A 8033-2023")</f>
        <v/>
      </c>
    </row>
    <row r="215" ht="15" customHeight="1">
      <c r="A215" t="inlineStr">
        <is>
          <t>A 9340-2023</t>
        </is>
      </c>
      <c r="B215" s="1" t="n">
        <v>44980</v>
      </c>
      <c r="C215" s="1" t="n">
        <v>45742</v>
      </c>
      <c r="D215" t="inlineStr">
        <is>
          <t>JÄMTLANDS LÄN</t>
        </is>
      </c>
      <c r="E215" t="inlineStr">
        <is>
          <t>RAGUNDA</t>
        </is>
      </c>
      <c r="G215" t="n">
        <v>2.9</v>
      </c>
      <c r="H215" t="n">
        <v>0</v>
      </c>
      <c r="I215" t="n">
        <v>0</v>
      </c>
      <c r="J215" t="n">
        <v>2</v>
      </c>
      <c r="K215" t="n">
        <v>0</v>
      </c>
      <c r="L215" t="n">
        <v>0</v>
      </c>
      <c r="M215" t="n">
        <v>0</v>
      </c>
      <c r="N215" t="n">
        <v>0</v>
      </c>
      <c r="O215" t="n">
        <v>2</v>
      </c>
      <c r="P215" t="n">
        <v>0</v>
      </c>
      <c r="Q215" t="n">
        <v>2</v>
      </c>
      <c r="R215" s="2" t="inlineStr">
        <is>
          <t>Garnlav
Lunglav</t>
        </is>
      </c>
      <c r="S215">
        <f>HYPERLINK("https://klasma.github.io/Logging_2303/artfynd/A 9340-2023 artfynd.xlsx", "A 9340-2023")</f>
        <v/>
      </c>
      <c r="T215">
        <f>HYPERLINK("https://klasma.github.io/Logging_2303/kartor/A 9340-2023 karta.png", "A 9340-2023")</f>
        <v/>
      </c>
      <c r="V215">
        <f>HYPERLINK("https://klasma.github.io/Logging_2303/klagomål/A 9340-2023 FSC-klagomål.docx", "A 9340-2023")</f>
        <v/>
      </c>
      <c r="W215">
        <f>HYPERLINK("https://klasma.github.io/Logging_2303/klagomålsmail/A 9340-2023 FSC-klagomål mail.docx", "A 9340-2023")</f>
        <v/>
      </c>
      <c r="X215">
        <f>HYPERLINK("https://klasma.github.io/Logging_2303/tillsyn/A 9340-2023 tillsynsbegäran.docx", "A 9340-2023")</f>
        <v/>
      </c>
      <c r="Y215">
        <f>HYPERLINK("https://klasma.github.io/Logging_2303/tillsynsmail/A 9340-2023 tillsynsbegäran mail.docx", "A 9340-2023")</f>
        <v/>
      </c>
    </row>
    <row r="216" ht="15" customHeight="1">
      <c r="A216" t="inlineStr">
        <is>
          <t>A 11843-2023</t>
        </is>
      </c>
      <c r="B216" s="1" t="n">
        <v>44993</v>
      </c>
      <c r="C216" s="1" t="n">
        <v>45742</v>
      </c>
      <c r="D216" t="inlineStr">
        <is>
          <t>JÄMTLANDS LÄN</t>
        </is>
      </c>
      <c r="E216" t="inlineStr">
        <is>
          <t>RAGUNDA</t>
        </is>
      </c>
      <c r="G216" t="n">
        <v>6.4</v>
      </c>
      <c r="H216" t="n">
        <v>2</v>
      </c>
      <c r="I216" t="n">
        <v>0</v>
      </c>
      <c r="J216" t="n">
        <v>1</v>
      </c>
      <c r="K216" t="n">
        <v>0</v>
      </c>
      <c r="L216" t="n">
        <v>0</v>
      </c>
      <c r="M216" t="n">
        <v>0</v>
      </c>
      <c r="N216" t="n">
        <v>0</v>
      </c>
      <c r="O216" t="n">
        <v>1</v>
      </c>
      <c r="P216" t="n">
        <v>0</v>
      </c>
      <c r="Q216" t="n">
        <v>2</v>
      </c>
      <c r="R216" s="2" t="inlineStr">
        <is>
          <t>Spillkråka
Revlummer</t>
        </is>
      </c>
      <c r="S216">
        <f>HYPERLINK("https://klasma.github.io/Logging_2303/artfynd/A 11843-2023 artfynd.xlsx", "A 11843-2023")</f>
        <v/>
      </c>
      <c r="T216">
        <f>HYPERLINK("https://klasma.github.io/Logging_2303/kartor/A 11843-2023 karta.png", "A 11843-2023")</f>
        <v/>
      </c>
      <c r="V216">
        <f>HYPERLINK("https://klasma.github.io/Logging_2303/klagomål/A 11843-2023 FSC-klagomål.docx", "A 11843-2023")</f>
        <v/>
      </c>
      <c r="W216">
        <f>HYPERLINK("https://klasma.github.io/Logging_2303/klagomålsmail/A 11843-2023 FSC-klagomål mail.docx", "A 11843-2023")</f>
        <v/>
      </c>
      <c r="X216">
        <f>HYPERLINK("https://klasma.github.io/Logging_2303/tillsyn/A 11843-2023 tillsynsbegäran.docx", "A 11843-2023")</f>
        <v/>
      </c>
      <c r="Y216">
        <f>HYPERLINK("https://klasma.github.io/Logging_2303/tillsynsmail/A 11843-2023 tillsynsbegäran mail.docx", "A 11843-2023")</f>
        <v/>
      </c>
      <c r="Z216">
        <f>HYPERLINK("https://klasma.github.io/Logging_2303/fåglar/A 11843-2023 prioriterade fågelarter.docx", "A 11843-2023")</f>
        <v/>
      </c>
    </row>
    <row r="217" ht="15" customHeight="1">
      <c r="A217" t="inlineStr">
        <is>
          <t>A 13486-2023</t>
        </is>
      </c>
      <c r="B217" s="1" t="n">
        <v>45005</v>
      </c>
      <c r="C217" s="1" t="n">
        <v>45742</v>
      </c>
      <c r="D217" t="inlineStr">
        <is>
          <t>JÄMTLANDS LÄN</t>
        </is>
      </c>
      <c r="E217" t="inlineStr">
        <is>
          <t>RAGUNDA</t>
        </is>
      </c>
      <c r="F217" t="inlineStr">
        <is>
          <t>SCA</t>
        </is>
      </c>
      <c r="G217" t="n">
        <v>4</v>
      </c>
      <c r="H217" t="n">
        <v>0</v>
      </c>
      <c r="I217" t="n">
        <v>0</v>
      </c>
      <c r="J217" t="n">
        <v>2</v>
      </c>
      <c r="K217" t="n">
        <v>0</v>
      </c>
      <c r="L217" t="n">
        <v>0</v>
      </c>
      <c r="M217" t="n">
        <v>0</v>
      </c>
      <c r="N217" t="n">
        <v>0</v>
      </c>
      <c r="O217" t="n">
        <v>2</v>
      </c>
      <c r="P217" t="n">
        <v>0</v>
      </c>
      <c r="Q217" t="n">
        <v>2</v>
      </c>
      <c r="R217" s="2" t="inlineStr">
        <is>
          <t>Dvärgbägarlav
Lunglav</t>
        </is>
      </c>
      <c r="S217">
        <f>HYPERLINK("https://klasma.github.io/Logging_2303/artfynd/A 13486-2023 artfynd.xlsx", "A 13486-2023")</f>
        <v/>
      </c>
      <c r="T217">
        <f>HYPERLINK("https://klasma.github.io/Logging_2303/kartor/A 13486-2023 karta.png", "A 13486-2023")</f>
        <v/>
      </c>
      <c r="V217">
        <f>HYPERLINK("https://klasma.github.io/Logging_2303/klagomål/A 13486-2023 FSC-klagomål.docx", "A 13486-2023")</f>
        <v/>
      </c>
      <c r="W217">
        <f>HYPERLINK("https://klasma.github.io/Logging_2303/klagomålsmail/A 13486-2023 FSC-klagomål mail.docx", "A 13486-2023")</f>
        <v/>
      </c>
      <c r="X217">
        <f>HYPERLINK("https://klasma.github.io/Logging_2303/tillsyn/A 13486-2023 tillsynsbegäran.docx", "A 13486-2023")</f>
        <v/>
      </c>
      <c r="Y217">
        <f>HYPERLINK("https://klasma.github.io/Logging_2303/tillsynsmail/A 13486-2023 tillsynsbegäran mail.docx", "A 13486-2023")</f>
        <v/>
      </c>
    </row>
    <row r="218" ht="15" customHeight="1">
      <c r="A218" t="inlineStr">
        <is>
          <t>A 13899-2023</t>
        </is>
      </c>
      <c r="B218" s="1" t="n">
        <v>45008</v>
      </c>
      <c r="C218" s="1" t="n">
        <v>45742</v>
      </c>
      <c r="D218" t="inlineStr">
        <is>
          <t>JÄMTLANDS LÄN</t>
        </is>
      </c>
      <c r="E218" t="inlineStr">
        <is>
          <t>RAGUNDA</t>
        </is>
      </c>
      <c r="F218" t="inlineStr">
        <is>
          <t>SCA</t>
        </is>
      </c>
      <c r="G218" t="n">
        <v>3.6</v>
      </c>
      <c r="H218" t="n">
        <v>0</v>
      </c>
      <c r="I218" t="n">
        <v>1</v>
      </c>
      <c r="J218" t="n">
        <v>1</v>
      </c>
      <c r="K218" t="n">
        <v>0</v>
      </c>
      <c r="L218" t="n">
        <v>0</v>
      </c>
      <c r="M218" t="n">
        <v>0</v>
      </c>
      <c r="N218" t="n">
        <v>0</v>
      </c>
      <c r="O218" t="n">
        <v>1</v>
      </c>
      <c r="P218" t="n">
        <v>0</v>
      </c>
      <c r="Q218" t="n">
        <v>2</v>
      </c>
      <c r="R218" s="2" t="inlineStr">
        <is>
          <t>Garnlav
Källmossa</t>
        </is>
      </c>
      <c r="S218">
        <f>HYPERLINK("https://klasma.github.io/Logging_2303/artfynd/A 13899-2023 artfynd.xlsx", "A 13899-2023")</f>
        <v/>
      </c>
      <c r="T218">
        <f>HYPERLINK("https://klasma.github.io/Logging_2303/kartor/A 13899-2023 karta.png", "A 13899-2023")</f>
        <v/>
      </c>
      <c r="V218">
        <f>HYPERLINK("https://klasma.github.io/Logging_2303/klagomål/A 13899-2023 FSC-klagomål.docx", "A 13899-2023")</f>
        <v/>
      </c>
      <c r="W218">
        <f>HYPERLINK("https://klasma.github.io/Logging_2303/klagomålsmail/A 13899-2023 FSC-klagomål mail.docx", "A 13899-2023")</f>
        <v/>
      </c>
      <c r="X218">
        <f>HYPERLINK("https://klasma.github.io/Logging_2303/tillsyn/A 13899-2023 tillsynsbegäran.docx", "A 13899-2023")</f>
        <v/>
      </c>
      <c r="Y218">
        <f>HYPERLINK("https://klasma.github.io/Logging_2303/tillsynsmail/A 13899-2023 tillsynsbegäran mail.docx", "A 13899-2023")</f>
        <v/>
      </c>
    </row>
    <row r="219" ht="15" customHeight="1">
      <c r="A219" t="inlineStr">
        <is>
          <t>A 14075-2023</t>
        </is>
      </c>
      <c r="B219" s="1" t="n">
        <v>45009</v>
      </c>
      <c r="C219" s="1" t="n">
        <v>45742</v>
      </c>
      <c r="D219" t="inlineStr">
        <is>
          <t>JÄMTLANDS LÄN</t>
        </is>
      </c>
      <c r="E219" t="inlineStr">
        <is>
          <t>RAGUNDA</t>
        </is>
      </c>
      <c r="F219" t="inlineStr">
        <is>
          <t>SCA</t>
        </is>
      </c>
      <c r="G219" t="n">
        <v>9.5</v>
      </c>
      <c r="H219" t="n">
        <v>0</v>
      </c>
      <c r="I219" t="n">
        <v>0</v>
      </c>
      <c r="J219" t="n">
        <v>1</v>
      </c>
      <c r="K219" t="n">
        <v>1</v>
      </c>
      <c r="L219" t="n">
        <v>0</v>
      </c>
      <c r="M219" t="n">
        <v>0</v>
      </c>
      <c r="N219" t="n">
        <v>0</v>
      </c>
      <c r="O219" t="n">
        <v>2</v>
      </c>
      <c r="P219" t="n">
        <v>1</v>
      </c>
      <c r="Q219" t="n">
        <v>2</v>
      </c>
      <c r="R219" s="2" t="inlineStr">
        <is>
          <t>Gräddporing
Lunglav</t>
        </is>
      </c>
      <c r="S219">
        <f>HYPERLINK("https://klasma.github.io/Logging_2303/artfynd/A 14075-2023 artfynd.xlsx", "A 14075-2023")</f>
        <v/>
      </c>
      <c r="T219">
        <f>HYPERLINK("https://klasma.github.io/Logging_2303/kartor/A 14075-2023 karta.png", "A 14075-2023")</f>
        <v/>
      </c>
      <c r="V219">
        <f>HYPERLINK("https://klasma.github.io/Logging_2303/klagomål/A 14075-2023 FSC-klagomål.docx", "A 14075-2023")</f>
        <v/>
      </c>
      <c r="W219">
        <f>HYPERLINK("https://klasma.github.io/Logging_2303/klagomålsmail/A 14075-2023 FSC-klagomål mail.docx", "A 14075-2023")</f>
        <v/>
      </c>
      <c r="X219">
        <f>HYPERLINK("https://klasma.github.io/Logging_2303/tillsyn/A 14075-2023 tillsynsbegäran.docx", "A 14075-2023")</f>
        <v/>
      </c>
      <c r="Y219">
        <f>HYPERLINK("https://klasma.github.io/Logging_2303/tillsynsmail/A 14075-2023 tillsynsbegäran mail.docx", "A 14075-2023")</f>
        <v/>
      </c>
    </row>
    <row r="220" ht="15" customHeight="1">
      <c r="A220" t="inlineStr">
        <is>
          <t>A 22732-2023</t>
        </is>
      </c>
      <c r="B220" s="1" t="n">
        <v>45071</v>
      </c>
      <c r="C220" s="1" t="n">
        <v>45742</v>
      </c>
      <c r="D220" t="inlineStr">
        <is>
          <t>JÄMTLANDS LÄN</t>
        </is>
      </c>
      <c r="E220" t="inlineStr">
        <is>
          <t>RAGUNDA</t>
        </is>
      </c>
      <c r="G220" t="n">
        <v>3.8</v>
      </c>
      <c r="H220" t="n">
        <v>0</v>
      </c>
      <c r="I220" t="n">
        <v>1</v>
      </c>
      <c r="J220" t="n">
        <v>1</v>
      </c>
      <c r="K220" t="n">
        <v>0</v>
      </c>
      <c r="L220" t="n">
        <v>0</v>
      </c>
      <c r="M220" t="n">
        <v>0</v>
      </c>
      <c r="N220" t="n">
        <v>0</v>
      </c>
      <c r="O220" t="n">
        <v>1</v>
      </c>
      <c r="P220" t="n">
        <v>0</v>
      </c>
      <c r="Q220" t="n">
        <v>2</v>
      </c>
      <c r="R220" s="2" t="inlineStr">
        <is>
          <t>Lunglav
Stuplav</t>
        </is>
      </c>
      <c r="S220">
        <f>HYPERLINK("https://klasma.github.io/Logging_2303/artfynd/A 22732-2023 artfynd.xlsx", "A 22732-2023")</f>
        <v/>
      </c>
      <c r="T220">
        <f>HYPERLINK("https://klasma.github.io/Logging_2303/kartor/A 22732-2023 karta.png", "A 22732-2023")</f>
        <v/>
      </c>
      <c r="V220">
        <f>HYPERLINK("https://klasma.github.io/Logging_2303/klagomål/A 22732-2023 FSC-klagomål.docx", "A 22732-2023")</f>
        <v/>
      </c>
      <c r="W220">
        <f>HYPERLINK("https://klasma.github.io/Logging_2303/klagomålsmail/A 22732-2023 FSC-klagomål mail.docx", "A 22732-2023")</f>
        <v/>
      </c>
      <c r="X220">
        <f>HYPERLINK("https://klasma.github.io/Logging_2303/tillsyn/A 22732-2023 tillsynsbegäran.docx", "A 22732-2023")</f>
        <v/>
      </c>
      <c r="Y220">
        <f>HYPERLINK("https://klasma.github.io/Logging_2303/tillsynsmail/A 22732-2023 tillsynsbegäran mail.docx", "A 22732-2023")</f>
        <v/>
      </c>
    </row>
    <row r="221" ht="15" customHeight="1">
      <c r="A221" t="inlineStr">
        <is>
          <t>A 26482-2023</t>
        </is>
      </c>
      <c r="B221" s="1" t="n">
        <v>45089</v>
      </c>
      <c r="C221" s="1" t="n">
        <v>45742</v>
      </c>
      <c r="D221" t="inlineStr">
        <is>
          <t>JÄMTLANDS LÄN</t>
        </is>
      </c>
      <c r="E221" t="inlineStr">
        <is>
          <t>RAGUNDA</t>
        </is>
      </c>
      <c r="G221" t="n">
        <v>2</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HYPERLINK("https://klasma.github.io/Logging_2303/artfynd/A 26482-2023 artfynd.xlsx", "A 26482-2023")</f>
        <v/>
      </c>
      <c r="T221">
        <f>HYPERLINK("https://klasma.github.io/Logging_2303/kartor/A 26482-2023 karta.png", "A 26482-2023")</f>
        <v/>
      </c>
      <c r="V221">
        <f>HYPERLINK("https://klasma.github.io/Logging_2303/klagomål/A 26482-2023 FSC-klagomål.docx", "A 26482-2023")</f>
        <v/>
      </c>
      <c r="W221">
        <f>HYPERLINK("https://klasma.github.io/Logging_2303/klagomålsmail/A 26482-2023 FSC-klagomål mail.docx", "A 26482-2023")</f>
        <v/>
      </c>
      <c r="X221">
        <f>HYPERLINK("https://klasma.github.io/Logging_2303/tillsyn/A 26482-2023 tillsynsbegäran.docx", "A 26482-2023")</f>
        <v/>
      </c>
      <c r="Y221">
        <f>HYPERLINK("https://klasma.github.io/Logging_2303/tillsynsmail/A 26482-2023 tillsynsbegäran mail.docx", "A 26482-2023")</f>
        <v/>
      </c>
      <c r="Z221">
        <f>HYPERLINK("https://klasma.github.io/Logging_2303/fåglar/A 26482-2023 prioriterade fågelarter.docx", "A 26482-2023")</f>
        <v/>
      </c>
    </row>
    <row r="222" ht="15" customHeight="1">
      <c r="A222" t="inlineStr">
        <is>
          <t>A 32736-2023</t>
        </is>
      </c>
      <c r="B222" s="1" t="n">
        <v>45121</v>
      </c>
      <c r="C222" s="1" t="n">
        <v>45742</v>
      </c>
      <c r="D222" t="inlineStr">
        <is>
          <t>JÄMTLANDS LÄN</t>
        </is>
      </c>
      <c r="E222" t="inlineStr">
        <is>
          <t>RAGUNDA</t>
        </is>
      </c>
      <c r="F222" t="inlineStr">
        <is>
          <t>SCA</t>
        </is>
      </c>
      <c r="G222" t="n">
        <v>2.5</v>
      </c>
      <c r="H222" t="n">
        <v>0</v>
      </c>
      <c r="I222" t="n">
        <v>1</v>
      </c>
      <c r="J222" t="n">
        <v>1</v>
      </c>
      <c r="K222" t="n">
        <v>0</v>
      </c>
      <c r="L222" t="n">
        <v>0</v>
      </c>
      <c r="M222" t="n">
        <v>0</v>
      </c>
      <c r="N222" t="n">
        <v>0</v>
      </c>
      <c r="O222" t="n">
        <v>1</v>
      </c>
      <c r="P222" t="n">
        <v>0</v>
      </c>
      <c r="Q222" t="n">
        <v>2</v>
      </c>
      <c r="R222" s="2" t="inlineStr">
        <is>
          <t>Vedtrappmossa
Stor aspticka</t>
        </is>
      </c>
      <c r="S222">
        <f>HYPERLINK("https://klasma.github.io/Logging_2303/artfynd/A 32736-2023 artfynd.xlsx", "A 32736-2023")</f>
        <v/>
      </c>
      <c r="T222">
        <f>HYPERLINK("https://klasma.github.io/Logging_2303/kartor/A 32736-2023 karta.png", "A 32736-2023")</f>
        <v/>
      </c>
      <c r="V222">
        <f>HYPERLINK("https://klasma.github.io/Logging_2303/klagomål/A 32736-2023 FSC-klagomål.docx", "A 32736-2023")</f>
        <v/>
      </c>
      <c r="W222">
        <f>HYPERLINK("https://klasma.github.io/Logging_2303/klagomålsmail/A 32736-2023 FSC-klagomål mail.docx", "A 32736-2023")</f>
        <v/>
      </c>
      <c r="X222">
        <f>HYPERLINK("https://klasma.github.io/Logging_2303/tillsyn/A 32736-2023 tillsynsbegäran.docx", "A 32736-2023")</f>
        <v/>
      </c>
      <c r="Y222">
        <f>HYPERLINK("https://klasma.github.io/Logging_2303/tillsynsmail/A 32736-2023 tillsynsbegäran mail.docx", "A 32736-2023")</f>
        <v/>
      </c>
    </row>
    <row r="223" ht="15" customHeight="1">
      <c r="A223" t="inlineStr">
        <is>
          <t>A 37236-2023</t>
        </is>
      </c>
      <c r="B223" s="1" t="n">
        <v>45155</v>
      </c>
      <c r="C223" s="1" t="n">
        <v>45742</v>
      </c>
      <c r="D223" t="inlineStr">
        <is>
          <t>JÄMTLANDS LÄN</t>
        </is>
      </c>
      <c r="E223" t="inlineStr">
        <is>
          <t>RAGUNDA</t>
        </is>
      </c>
      <c r="F223" t="inlineStr">
        <is>
          <t>SCA</t>
        </is>
      </c>
      <c r="G223" t="n">
        <v>4.7</v>
      </c>
      <c r="H223" t="n">
        <v>0</v>
      </c>
      <c r="I223" t="n">
        <v>0</v>
      </c>
      <c r="J223" t="n">
        <v>2</v>
      </c>
      <c r="K223" t="n">
        <v>0</v>
      </c>
      <c r="L223" t="n">
        <v>0</v>
      </c>
      <c r="M223" t="n">
        <v>0</v>
      </c>
      <c r="N223" t="n">
        <v>0</v>
      </c>
      <c r="O223" t="n">
        <v>2</v>
      </c>
      <c r="P223" t="n">
        <v>0</v>
      </c>
      <c r="Q223" t="n">
        <v>2</v>
      </c>
      <c r="R223" s="2" t="inlineStr">
        <is>
          <t>Kolflarnlav
Lunglav</t>
        </is>
      </c>
      <c r="S223">
        <f>HYPERLINK("https://klasma.github.io/Logging_2303/artfynd/A 37236-2023 artfynd.xlsx", "A 37236-2023")</f>
        <v/>
      </c>
      <c r="T223">
        <f>HYPERLINK("https://klasma.github.io/Logging_2303/kartor/A 37236-2023 karta.png", "A 37236-2023")</f>
        <v/>
      </c>
      <c r="U223">
        <f>HYPERLINK("https://klasma.github.io/Logging_2303/knärot/A 37236-2023 karta knärot.png", "A 37236-2023")</f>
        <v/>
      </c>
      <c r="V223">
        <f>HYPERLINK("https://klasma.github.io/Logging_2303/klagomål/A 37236-2023 FSC-klagomål.docx", "A 37236-2023")</f>
        <v/>
      </c>
      <c r="W223">
        <f>HYPERLINK("https://klasma.github.io/Logging_2303/klagomålsmail/A 37236-2023 FSC-klagomål mail.docx", "A 37236-2023")</f>
        <v/>
      </c>
      <c r="X223">
        <f>HYPERLINK("https://klasma.github.io/Logging_2303/tillsyn/A 37236-2023 tillsynsbegäran.docx", "A 37236-2023")</f>
        <v/>
      </c>
      <c r="Y223">
        <f>HYPERLINK("https://klasma.github.io/Logging_2303/tillsynsmail/A 37236-2023 tillsynsbegäran mail.docx", "A 37236-2023")</f>
        <v/>
      </c>
    </row>
    <row r="224" ht="15" customHeight="1">
      <c r="A224" t="inlineStr">
        <is>
          <t>A 39818-2023</t>
        </is>
      </c>
      <c r="B224" s="1" t="n">
        <v>45167</v>
      </c>
      <c r="C224" s="1" t="n">
        <v>45742</v>
      </c>
      <c r="D224" t="inlineStr">
        <is>
          <t>JÄMTLANDS LÄN</t>
        </is>
      </c>
      <c r="E224" t="inlineStr">
        <is>
          <t>RAGUNDA</t>
        </is>
      </c>
      <c r="F224" t="inlineStr">
        <is>
          <t>SCA</t>
        </is>
      </c>
      <c r="G224" t="n">
        <v>13.6</v>
      </c>
      <c r="H224" t="n">
        <v>0</v>
      </c>
      <c r="I224" t="n">
        <v>0</v>
      </c>
      <c r="J224" t="n">
        <v>2</v>
      </c>
      <c r="K224" t="n">
        <v>0</v>
      </c>
      <c r="L224" t="n">
        <v>0</v>
      </c>
      <c r="M224" t="n">
        <v>0</v>
      </c>
      <c r="N224" t="n">
        <v>0</v>
      </c>
      <c r="O224" t="n">
        <v>2</v>
      </c>
      <c r="P224" t="n">
        <v>0</v>
      </c>
      <c r="Q224" t="n">
        <v>2</v>
      </c>
      <c r="R224" s="2" t="inlineStr">
        <is>
          <t>Lunglav
Ullticka</t>
        </is>
      </c>
      <c r="S224">
        <f>HYPERLINK("https://klasma.github.io/Logging_2303/artfynd/A 39818-2023 artfynd.xlsx", "A 39818-2023")</f>
        <v/>
      </c>
      <c r="T224">
        <f>HYPERLINK("https://klasma.github.io/Logging_2303/kartor/A 39818-2023 karta.png", "A 39818-2023")</f>
        <v/>
      </c>
      <c r="V224">
        <f>HYPERLINK("https://klasma.github.io/Logging_2303/klagomål/A 39818-2023 FSC-klagomål.docx", "A 39818-2023")</f>
        <v/>
      </c>
      <c r="W224">
        <f>HYPERLINK("https://klasma.github.io/Logging_2303/klagomålsmail/A 39818-2023 FSC-klagomål mail.docx", "A 39818-2023")</f>
        <v/>
      </c>
      <c r="X224">
        <f>HYPERLINK("https://klasma.github.io/Logging_2303/tillsyn/A 39818-2023 tillsynsbegäran.docx", "A 39818-2023")</f>
        <v/>
      </c>
      <c r="Y224">
        <f>HYPERLINK("https://klasma.github.io/Logging_2303/tillsynsmail/A 39818-2023 tillsynsbegäran mail.docx", "A 39818-2023")</f>
        <v/>
      </c>
    </row>
    <row r="225" ht="15" customHeight="1">
      <c r="A225" t="inlineStr">
        <is>
          <t>A 40826-2023</t>
        </is>
      </c>
      <c r="B225" s="1" t="n">
        <v>45171</v>
      </c>
      <c r="C225" s="1" t="n">
        <v>45742</v>
      </c>
      <c r="D225" t="inlineStr">
        <is>
          <t>JÄMTLANDS LÄN</t>
        </is>
      </c>
      <c r="E225" t="inlineStr">
        <is>
          <t>RAGUNDA</t>
        </is>
      </c>
      <c r="F225" t="inlineStr">
        <is>
          <t>SCA</t>
        </is>
      </c>
      <c r="G225" t="n">
        <v>4.5</v>
      </c>
      <c r="H225" t="n">
        <v>0</v>
      </c>
      <c r="I225" t="n">
        <v>1</v>
      </c>
      <c r="J225" t="n">
        <v>1</v>
      </c>
      <c r="K225" t="n">
        <v>0</v>
      </c>
      <c r="L225" t="n">
        <v>0</v>
      </c>
      <c r="M225" t="n">
        <v>0</v>
      </c>
      <c r="N225" t="n">
        <v>0</v>
      </c>
      <c r="O225" t="n">
        <v>1</v>
      </c>
      <c r="P225" t="n">
        <v>0</v>
      </c>
      <c r="Q225" t="n">
        <v>2</v>
      </c>
      <c r="R225" s="2" t="inlineStr">
        <is>
          <t>Lunglav
Stuplav</t>
        </is>
      </c>
      <c r="S225">
        <f>HYPERLINK("https://klasma.github.io/Logging_2303/artfynd/A 40826-2023 artfynd.xlsx", "A 40826-2023")</f>
        <v/>
      </c>
      <c r="T225">
        <f>HYPERLINK("https://klasma.github.io/Logging_2303/kartor/A 40826-2023 karta.png", "A 40826-2023")</f>
        <v/>
      </c>
      <c r="V225">
        <f>HYPERLINK("https://klasma.github.io/Logging_2303/klagomål/A 40826-2023 FSC-klagomål.docx", "A 40826-2023")</f>
        <v/>
      </c>
      <c r="W225">
        <f>HYPERLINK("https://klasma.github.io/Logging_2303/klagomålsmail/A 40826-2023 FSC-klagomål mail.docx", "A 40826-2023")</f>
        <v/>
      </c>
      <c r="X225">
        <f>HYPERLINK("https://klasma.github.io/Logging_2303/tillsyn/A 40826-2023 tillsynsbegäran.docx", "A 40826-2023")</f>
        <v/>
      </c>
      <c r="Y225">
        <f>HYPERLINK("https://klasma.github.io/Logging_2303/tillsynsmail/A 40826-2023 tillsynsbegäran mail.docx", "A 40826-2023")</f>
        <v/>
      </c>
    </row>
    <row r="226" ht="15" customHeight="1">
      <c r="A226" t="inlineStr">
        <is>
          <t>A 41407-2023</t>
        </is>
      </c>
      <c r="B226" s="1" t="n">
        <v>45174</v>
      </c>
      <c r="C226" s="1" t="n">
        <v>45742</v>
      </c>
      <c r="D226" t="inlineStr">
        <is>
          <t>JÄMTLANDS LÄN</t>
        </is>
      </c>
      <c r="E226" t="inlineStr">
        <is>
          <t>RAGUNDA</t>
        </is>
      </c>
      <c r="F226" t="inlineStr">
        <is>
          <t>SCA</t>
        </is>
      </c>
      <c r="G226" t="n">
        <v>1.4</v>
      </c>
      <c r="H226" t="n">
        <v>0</v>
      </c>
      <c r="I226" t="n">
        <v>0</v>
      </c>
      <c r="J226" t="n">
        <v>1</v>
      </c>
      <c r="K226" t="n">
        <v>1</v>
      </c>
      <c r="L226" t="n">
        <v>0</v>
      </c>
      <c r="M226" t="n">
        <v>0</v>
      </c>
      <c r="N226" t="n">
        <v>0</v>
      </c>
      <c r="O226" t="n">
        <v>2</v>
      </c>
      <c r="P226" t="n">
        <v>1</v>
      </c>
      <c r="Q226" t="n">
        <v>2</v>
      </c>
      <c r="R226" s="2" t="inlineStr">
        <is>
          <t>Gräddporing
Dvärgbägarlav</t>
        </is>
      </c>
      <c r="S226">
        <f>HYPERLINK("https://klasma.github.io/Logging_2303/artfynd/A 41407-2023 artfynd.xlsx", "A 41407-2023")</f>
        <v/>
      </c>
      <c r="T226">
        <f>HYPERLINK("https://klasma.github.io/Logging_2303/kartor/A 41407-2023 karta.png", "A 41407-2023")</f>
        <v/>
      </c>
      <c r="V226">
        <f>HYPERLINK("https://klasma.github.io/Logging_2303/klagomål/A 41407-2023 FSC-klagomål.docx", "A 41407-2023")</f>
        <v/>
      </c>
      <c r="W226">
        <f>HYPERLINK("https://klasma.github.io/Logging_2303/klagomålsmail/A 41407-2023 FSC-klagomål mail.docx", "A 41407-2023")</f>
        <v/>
      </c>
      <c r="X226">
        <f>HYPERLINK("https://klasma.github.io/Logging_2303/tillsyn/A 41407-2023 tillsynsbegäran.docx", "A 41407-2023")</f>
        <v/>
      </c>
      <c r="Y226">
        <f>HYPERLINK("https://klasma.github.io/Logging_2303/tillsynsmail/A 41407-2023 tillsynsbegäran mail.docx", "A 41407-2023")</f>
        <v/>
      </c>
    </row>
    <row r="227" ht="15" customHeight="1">
      <c r="A227" t="inlineStr">
        <is>
          <t>A 43232-2023</t>
        </is>
      </c>
      <c r="B227" s="1" t="n">
        <v>45180</v>
      </c>
      <c r="C227" s="1" t="n">
        <v>45742</v>
      </c>
      <c r="D227" t="inlineStr">
        <is>
          <t>JÄMTLANDS LÄN</t>
        </is>
      </c>
      <c r="E227" t="inlineStr">
        <is>
          <t>RAGUNDA</t>
        </is>
      </c>
      <c r="G227" t="n">
        <v>7.9</v>
      </c>
      <c r="H227" t="n">
        <v>0</v>
      </c>
      <c r="I227" t="n">
        <v>0</v>
      </c>
      <c r="J227" t="n">
        <v>2</v>
      </c>
      <c r="K227" t="n">
        <v>0</v>
      </c>
      <c r="L227" t="n">
        <v>0</v>
      </c>
      <c r="M227" t="n">
        <v>0</v>
      </c>
      <c r="N227" t="n">
        <v>0</v>
      </c>
      <c r="O227" t="n">
        <v>2</v>
      </c>
      <c r="P227" t="n">
        <v>0</v>
      </c>
      <c r="Q227" t="n">
        <v>2</v>
      </c>
      <c r="R227" s="2" t="inlineStr">
        <is>
          <t>Garnlav
Ullticka</t>
        </is>
      </c>
      <c r="S227">
        <f>HYPERLINK("https://klasma.github.io/Logging_2303/artfynd/A 43232-2023 artfynd.xlsx", "A 43232-2023")</f>
        <v/>
      </c>
      <c r="T227">
        <f>HYPERLINK("https://klasma.github.io/Logging_2303/kartor/A 43232-2023 karta.png", "A 43232-2023")</f>
        <v/>
      </c>
      <c r="V227">
        <f>HYPERLINK("https://klasma.github.io/Logging_2303/klagomål/A 43232-2023 FSC-klagomål.docx", "A 43232-2023")</f>
        <v/>
      </c>
      <c r="W227">
        <f>HYPERLINK("https://klasma.github.io/Logging_2303/klagomålsmail/A 43232-2023 FSC-klagomål mail.docx", "A 43232-2023")</f>
        <v/>
      </c>
      <c r="X227">
        <f>HYPERLINK("https://klasma.github.io/Logging_2303/tillsyn/A 43232-2023 tillsynsbegäran.docx", "A 43232-2023")</f>
        <v/>
      </c>
      <c r="Y227">
        <f>HYPERLINK("https://klasma.github.io/Logging_2303/tillsynsmail/A 43232-2023 tillsynsbegäran mail.docx", "A 43232-2023")</f>
        <v/>
      </c>
    </row>
    <row r="228" ht="15" customHeight="1">
      <c r="A228" t="inlineStr">
        <is>
          <t>A 44409-2023</t>
        </is>
      </c>
      <c r="B228" s="1" t="n">
        <v>45188</v>
      </c>
      <c r="C228" s="1" t="n">
        <v>45742</v>
      </c>
      <c r="D228" t="inlineStr">
        <is>
          <t>JÄMTLANDS LÄN</t>
        </is>
      </c>
      <c r="E228" t="inlineStr">
        <is>
          <t>RAGUNDA</t>
        </is>
      </c>
      <c r="F228" t="inlineStr">
        <is>
          <t>SCA</t>
        </is>
      </c>
      <c r="G228" t="n">
        <v>2.5</v>
      </c>
      <c r="H228" t="n">
        <v>0</v>
      </c>
      <c r="I228" t="n">
        <v>1</v>
      </c>
      <c r="J228" t="n">
        <v>1</v>
      </c>
      <c r="K228" t="n">
        <v>0</v>
      </c>
      <c r="L228" t="n">
        <v>0</v>
      </c>
      <c r="M228" t="n">
        <v>0</v>
      </c>
      <c r="N228" t="n">
        <v>0</v>
      </c>
      <c r="O228" t="n">
        <v>1</v>
      </c>
      <c r="P228" t="n">
        <v>0</v>
      </c>
      <c r="Q228" t="n">
        <v>2</v>
      </c>
      <c r="R228" s="2" t="inlineStr">
        <is>
          <t>Garnlav
Norrlandslav</t>
        </is>
      </c>
      <c r="S228">
        <f>HYPERLINK("https://klasma.github.io/Logging_2303/artfynd/A 44409-2023 artfynd.xlsx", "A 44409-2023")</f>
        <v/>
      </c>
      <c r="T228">
        <f>HYPERLINK("https://klasma.github.io/Logging_2303/kartor/A 44409-2023 karta.png", "A 44409-2023")</f>
        <v/>
      </c>
      <c r="V228">
        <f>HYPERLINK("https://klasma.github.io/Logging_2303/klagomål/A 44409-2023 FSC-klagomål.docx", "A 44409-2023")</f>
        <v/>
      </c>
      <c r="W228">
        <f>HYPERLINK("https://klasma.github.io/Logging_2303/klagomålsmail/A 44409-2023 FSC-klagomål mail.docx", "A 44409-2023")</f>
        <v/>
      </c>
      <c r="X228">
        <f>HYPERLINK("https://klasma.github.io/Logging_2303/tillsyn/A 44409-2023 tillsynsbegäran.docx", "A 44409-2023")</f>
        <v/>
      </c>
      <c r="Y228">
        <f>HYPERLINK("https://klasma.github.io/Logging_2303/tillsynsmail/A 44409-2023 tillsynsbegäran mail.docx", "A 44409-2023")</f>
        <v/>
      </c>
    </row>
    <row r="229" ht="15" customHeight="1">
      <c r="A229" t="inlineStr">
        <is>
          <t>A 45021-2023</t>
        </is>
      </c>
      <c r="B229" s="1" t="n">
        <v>45190</v>
      </c>
      <c r="C229" s="1" t="n">
        <v>45742</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2</v>
      </c>
      <c r="R229" s="2" t="inlineStr">
        <is>
          <t>Lunglav
Fläcknycklar</t>
        </is>
      </c>
      <c r="S229">
        <f>HYPERLINK("https://klasma.github.io/Logging_2303/artfynd/A 45021-2023 artfynd.xlsx", "A 45021-2023")</f>
        <v/>
      </c>
      <c r="T229">
        <f>HYPERLINK("https://klasma.github.io/Logging_2303/kartor/A 45021-2023 karta.png", "A 45021-2023")</f>
        <v/>
      </c>
      <c r="V229">
        <f>HYPERLINK("https://klasma.github.io/Logging_2303/klagomål/A 45021-2023 FSC-klagomål.docx", "A 45021-2023")</f>
        <v/>
      </c>
      <c r="W229">
        <f>HYPERLINK("https://klasma.github.io/Logging_2303/klagomålsmail/A 45021-2023 FSC-klagomål mail.docx", "A 45021-2023")</f>
        <v/>
      </c>
      <c r="X229">
        <f>HYPERLINK("https://klasma.github.io/Logging_2303/tillsyn/A 45021-2023 tillsynsbegäran.docx", "A 45021-2023")</f>
        <v/>
      </c>
      <c r="Y229">
        <f>HYPERLINK("https://klasma.github.io/Logging_2303/tillsynsmail/A 45021-2023 tillsynsbegäran mail.docx", "A 45021-2023")</f>
        <v/>
      </c>
    </row>
    <row r="230" ht="15" customHeight="1">
      <c r="A230" t="inlineStr">
        <is>
          <t>A 45035-2023</t>
        </is>
      </c>
      <c r="B230" s="1" t="n">
        <v>45191</v>
      </c>
      <c r="C230" s="1" t="n">
        <v>45742</v>
      </c>
      <c r="D230" t="inlineStr">
        <is>
          <t>JÄMTLANDS LÄN</t>
        </is>
      </c>
      <c r="E230" t="inlineStr">
        <is>
          <t>RAGUNDA</t>
        </is>
      </c>
      <c r="G230" t="n">
        <v>2.9</v>
      </c>
      <c r="H230" t="n">
        <v>0</v>
      </c>
      <c r="I230" t="n">
        <v>1</v>
      </c>
      <c r="J230" t="n">
        <v>1</v>
      </c>
      <c r="K230" t="n">
        <v>0</v>
      </c>
      <c r="L230" t="n">
        <v>0</v>
      </c>
      <c r="M230" t="n">
        <v>0</v>
      </c>
      <c r="N230" t="n">
        <v>0</v>
      </c>
      <c r="O230" t="n">
        <v>1</v>
      </c>
      <c r="P230" t="n">
        <v>0</v>
      </c>
      <c r="Q230" t="n">
        <v>2</v>
      </c>
      <c r="R230" s="2" t="inlineStr">
        <is>
          <t>Lunglav
Korallblylav</t>
        </is>
      </c>
      <c r="S230">
        <f>HYPERLINK("https://klasma.github.io/Logging_2303/artfynd/A 45035-2023 artfynd.xlsx", "A 45035-2023")</f>
        <v/>
      </c>
      <c r="T230">
        <f>HYPERLINK("https://klasma.github.io/Logging_2303/kartor/A 45035-2023 karta.png", "A 45035-2023")</f>
        <v/>
      </c>
      <c r="V230">
        <f>HYPERLINK("https://klasma.github.io/Logging_2303/klagomål/A 45035-2023 FSC-klagomål.docx", "A 45035-2023")</f>
        <v/>
      </c>
      <c r="W230">
        <f>HYPERLINK("https://klasma.github.io/Logging_2303/klagomålsmail/A 45035-2023 FSC-klagomål mail.docx", "A 45035-2023")</f>
        <v/>
      </c>
      <c r="X230">
        <f>HYPERLINK("https://klasma.github.io/Logging_2303/tillsyn/A 45035-2023 tillsynsbegäran.docx", "A 45035-2023")</f>
        <v/>
      </c>
      <c r="Y230">
        <f>HYPERLINK("https://klasma.github.io/Logging_2303/tillsynsmail/A 45035-2023 tillsynsbegäran mail.docx", "A 45035-2023")</f>
        <v/>
      </c>
    </row>
    <row r="231" ht="15" customHeight="1">
      <c r="A231" t="inlineStr">
        <is>
          <t>A 48427-2023</t>
        </is>
      </c>
      <c r="B231" s="1" t="n">
        <v>45205</v>
      </c>
      <c r="C231" s="1" t="n">
        <v>45742</v>
      </c>
      <c r="D231" t="inlineStr">
        <is>
          <t>JÄMTLANDS LÄN</t>
        </is>
      </c>
      <c r="E231" t="inlineStr">
        <is>
          <t>RAGUNDA</t>
        </is>
      </c>
      <c r="F231" t="inlineStr">
        <is>
          <t>SCA</t>
        </is>
      </c>
      <c r="G231" t="n">
        <v>10.1</v>
      </c>
      <c r="H231" t="n">
        <v>0</v>
      </c>
      <c r="I231" t="n">
        <v>1</v>
      </c>
      <c r="J231" t="n">
        <v>1</v>
      </c>
      <c r="K231" t="n">
        <v>0</v>
      </c>
      <c r="L231" t="n">
        <v>0</v>
      </c>
      <c r="M231" t="n">
        <v>0</v>
      </c>
      <c r="N231" t="n">
        <v>0</v>
      </c>
      <c r="O231" t="n">
        <v>1</v>
      </c>
      <c r="P231" t="n">
        <v>0</v>
      </c>
      <c r="Q231" t="n">
        <v>2</v>
      </c>
      <c r="R231" s="2" t="inlineStr">
        <is>
          <t>Lunglav
Luddlav</t>
        </is>
      </c>
      <c r="S231">
        <f>HYPERLINK("https://klasma.github.io/Logging_2303/artfynd/A 48427-2023 artfynd.xlsx", "A 48427-2023")</f>
        <v/>
      </c>
      <c r="T231">
        <f>HYPERLINK("https://klasma.github.io/Logging_2303/kartor/A 48427-2023 karta.png", "A 48427-2023")</f>
        <v/>
      </c>
      <c r="V231">
        <f>HYPERLINK("https://klasma.github.io/Logging_2303/klagomål/A 48427-2023 FSC-klagomål.docx", "A 48427-2023")</f>
        <v/>
      </c>
      <c r="W231">
        <f>HYPERLINK("https://klasma.github.io/Logging_2303/klagomålsmail/A 48427-2023 FSC-klagomål mail.docx", "A 48427-2023")</f>
        <v/>
      </c>
      <c r="X231">
        <f>HYPERLINK("https://klasma.github.io/Logging_2303/tillsyn/A 48427-2023 tillsynsbegäran.docx", "A 48427-2023")</f>
        <v/>
      </c>
      <c r="Y231">
        <f>HYPERLINK("https://klasma.github.io/Logging_2303/tillsynsmail/A 48427-2023 tillsynsbegäran mail.docx", "A 48427-2023")</f>
        <v/>
      </c>
    </row>
    <row r="232" ht="15" customHeight="1">
      <c r="A232" t="inlineStr">
        <is>
          <t>A 48474-2023</t>
        </is>
      </c>
      <c r="B232" s="1" t="n">
        <v>45206</v>
      </c>
      <c r="C232" s="1" t="n">
        <v>45742</v>
      </c>
      <c r="D232" t="inlineStr">
        <is>
          <t>JÄMTLANDS LÄN</t>
        </is>
      </c>
      <c r="E232" t="inlineStr">
        <is>
          <t>RAGUNDA</t>
        </is>
      </c>
      <c r="F232" t="inlineStr">
        <is>
          <t>SCA</t>
        </is>
      </c>
      <c r="G232" t="n">
        <v>10.1</v>
      </c>
      <c r="H232" t="n">
        <v>0</v>
      </c>
      <c r="I232" t="n">
        <v>1</v>
      </c>
      <c r="J232" t="n">
        <v>1</v>
      </c>
      <c r="K232" t="n">
        <v>0</v>
      </c>
      <c r="L232" t="n">
        <v>0</v>
      </c>
      <c r="M232" t="n">
        <v>0</v>
      </c>
      <c r="N232" t="n">
        <v>0</v>
      </c>
      <c r="O232" t="n">
        <v>1</v>
      </c>
      <c r="P232" t="n">
        <v>0</v>
      </c>
      <c r="Q232" t="n">
        <v>2</v>
      </c>
      <c r="R232" s="2" t="inlineStr">
        <is>
          <t>Lunglav
Luddlav</t>
        </is>
      </c>
      <c r="S232">
        <f>HYPERLINK("https://klasma.github.io/Logging_2303/artfynd/A 48474-2023 artfynd.xlsx", "A 48474-2023")</f>
        <v/>
      </c>
      <c r="T232">
        <f>HYPERLINK("https://klasma.github.io/Logging_2303/kartor/A 48474-2023 karta.png", "A 48474-2023")</f>
        <v/>
      </c>
      <c r="V232">
        <f>HYPERLINK("https://klasma.github.io/Logging_2303/klagomål/A 48474-2023 FSC-klagomål.docx", "A 48474-2023")</f>
        <v/>
      </c>
      <c r="W232">
        <f>HYPERLINK("https://klasma.github.io/Logging_2303/klagomålsmail/A 48474-2023 FSC-klagomål mail.docx", "A 48474-2023")</f>
        <v/>
      </c>
      <c r="X232">
        <f>HYPERLINK("https://klasma.github.io/Logging_2303/tillsyn/A 48474-2023 tillsynsbegäran.docx", "A 48474-2023")</f>
        <v/>
      </c>
      <c r="Y232">
        <f>HYPERLINK("https://klasma.github.io/Logging_2303/tillsynsmail/A 48474-2023 tillsynsbegäran mail.docx", "A 48474-2023")</f>
        <v/>
      </c>
    </row>
    <row r="233" ht="15" customHeight="1">
      <c r="A233" t="inlineStr">
        <is>
          <t>A 55647-2023</t>
        </is>
      </c>
      <c r="B233" s="1" t="n">
        <v>45238</v>
      </c>
      <c r="C233" s="1" t="n">
        <v>45742</v>
      </c>
      <c r="D233" t="inlineStr">
        <is>
          <t>JÄMTLANDS LÄN</t>
        </is>
      </c>
      <c r="E233" t="inlineStr">
        <is>
          <t>RAGUNDA</t>
        </is>
      </c>
      <c r="F233" t="inlineStr">
        <is>
          <t>SCA</t>
        </is>
      </c>
      <c r="G233" t="n">
        <v>3.7</v>
      </c>
      <c r="H233" t="n">
        <v>0</v>
      </c>
      <c r="I233" t="n">
        <v>1</v>
      </c>
      <c r="J233" t="n">
        <v>1</v>
      </c>
      <c r="K233" t="n">
        <v>0</v>
      </c>
      <c r="L233" t="n">
        <v>0</v>
      </c>
      <c r="M233" t="n">
        <v>0</v>
      </c>
      <c r="N233" t="n">
        <v>0</v>
      </c>
      <c r="O233" t="n">
        <v>1</v>
      </c>
      <c r="P233" t="n">
        <v>0</v>
      </c>
      <c r="Q233" t="n">
        <v>2</v>
      </c>
      <c r="R233" s="2" t="inlineStr">
        <is>
          <t>Granticka
Trådticka</t>
        </is>
      </c>
      <c r="S233">
        <f>HYPERLINK("https://klasma.github.io/Logging_2303/artfynd/A 55647-2023 artfynd.xlsx", "A 55647-2023")</f>
        <v/>
      </c>
      <c r="T233">
        <f>HYPERLINK("https://klasma.github.io/Logging_2303/kartor/A 55647-2023 karta.png", "A 55647-2023")</f>
        <v/>
      </c>
      <c r="V233">
        <f>HYPERLINK("https://klasma.github.io/Logging_2303/klagomål/A 55647-2023 FSC-klagomål.docx", "A 55647-2023")</f>
        <v/>
      </c>
      <c r="W233">
        <f>HYPERLINK("https://klasma.github.io/Logging_2303/klagomålsmail/A 55647-2023 FSC-klagomål mail.docx", "A 55647-2023")</f>
        <v/>
      </c>
      <c r="X233">
        <f>HYPERLINK("https://klasma.github.io/Logging_2303/tillsyn/A 55647-2023 tillsynsbegäran.docx", "A 55647-2023")</f>
        <v/>
      </c>
      <c r="Y233">
        <f>HYPERLINK("https://klasma.github.io/Logging_2303/tillsynsmail/A 55647-2023 tillsynsbegäran mail.docx", "A 55647-2023")</f>
        <v/>
      </c>
    </row>
    <row r="234" ht="15" customHeight="1">
      <c r="A234" t="inlineStr">
        <is>
          <t>A 56285-2023</t>
        </is>
      </c>
      <c r="B234" s="1" t="n">
        <v>45241</v>
      </c>
      <c r="C234" s="1" t="n">
        <v>45742</v>
      </c>
      <c r="D234" t="inlineStr">
        <is>
          <t>JÄMTLANDS LÄN</t>
        </is>
      </c>
      <c r="E234" t="inlineStr">
        <is>
          <t>RAGUNDA</t>
        </is>
      </c>
      <c r="F234" t="inlineStr">
        <is>
          <t>SCA</t>
        </is>
      </c>
      <c r="G234" t="n">
        <v>5.5</v>
      </c>
      <c r="H234" t="n">
        <v>0</v>
      </c>
      <c r="I234" t="n">
        <v>0</v>
      </c>
      <c r="J234" t="n">
        <v>2</v>
      </c>
      <c r="K234" t="n">
        <v>0</v>
      </c>
      <c r="L234" t="n">
        <v>0</v>
      </c>
      <c r="M234" t="n">
        <v>0</v>
      </c>
      <c r="N234" t="n">
        <v>0</v>
      </c>
      <c r="O234" t="n">
        <v>2</v>
      </c>
      <c r="P234" t="n">
        <v>0</v>
      </c>
      <c r="Q234" t="n">
        <v>2</v>
      </c>
      <c r="R234" s="2" t="inlineStr">
        <is>
          <t>Lunglav
Skrovellav</t>
        </is>
      </c>
      <c r="S234">
        <f>HYPERLINK("https://klasma.github.io/Logging_2303/artfynd/A 56285-2023 artfynd.xlsx", "A 56285-2023")</f>
        <v/>
      </c>
      <c r="T234">
        <f>HYPERLINK("https://klasma.github.io/Logging_2303/kartor/A 56285-2023 karta.png", "A 56285-2023")</f>
        <v/>
      </c>
      <c r="V234">
        <f>HYPERLINK("https://klasma.github.io/Logging_2303/klagomål/A 56285-2023 FSC-klagomål.docx", "A 56285-2023")</f>
        <v/>
      </c>
      <c r="W234">
        <f>HYPERLINK("https://klasma.github.io/Logging_2303/klagomålsmail/A 56285-2023 FSC-klagomål mail.docx", "A 56285-2023")</f>
        <v/>
      </c>
      <c r="X234">
        <f>HYPERLINK("https://klasma.github.io/Logging_2303/tillsyn/A 56285-2023 tillsynsbegäran.docx", "A 56285-2023")</f>
        <v/>
      </c>
      <c r="Y234">
        <f>HYPERLINK("https://klasma.github.io/Logging_2303/tillsynsmail/A 56285-2023 tillsynsbegäran mail.docx", "A 56285-2023")</f>
        <v/>
      </c>
    </row>
    <row r="235" ht="15" customHeight="1">
      <c r="A235" t="inlineStr">
        <is>
          <t>A 3838-2024</t>
        </is>
      </c>
      <c r="B235" s="1" t="n">
        <v>45321</v>
      </c>
      <c r="C235" s="1" t="n">
        <v>45742</v>
      </c>
      <c r="D235" t="inlineStr">
        <is>
          <t>JÄMTLANDS LÄN</t>
        </is>
      </c>
      <c r="E235" t="inlineStr">
        <is>
          <t>RAGUNDA</t>
        </is>
      </c>
      <c r="F235" t="inlineStr">
        <is>
          <t>SCA</t>
        </is>
      </c>
      <c r="G235" t="n">
        <v>2</v>
      </c>
      <c r="H235" t="n">
        <v>1</v>
      </c>
      <c r="I235" t="n">
        <v>1</v>
      </c>
      <c r="J235" t="n">
        <v>1</v>
      </c>
      <c r="K235" t="n">
        <v>0</v>
      </c>
      <c r="L235" t="n">
        <v>0</v>
      </c>
      <c r="M235" t="n">
        <v>0</v>
      </c>
      <c r="N235" t="n">
        <v>0</v>
      </c>
      <c r="O235" t="n">
        <v>1</v>
      </c>
      <c r="P235" t="n">
        <v>0</v>
      </c>
      <c r="Q235" t="n">
        <v>2</v>
      </c>
      <c r="R235" s="2" t="inlineStr">
        <is>
          <t>Garnlav
Guckusko</t>
        </is>
      </c>
      <c r="S235">
        <f>HYPERLINK("https://klasma.github.io/Logging_2303/artfynd/A 3838-2024 artfynd.xlsx", "A 3838-2024")</f>
        <v/>
      </c>
      <c r="T235">
        <f>HYPERLINK("https://klasma.github.io/Logging_2303/kartor/A 3838-2024 karta.png", "A 3838-2024")</f>
        <v/>
      </c>
      <c r="V235">
        <f>HYPERLINK("https://klasma.github.io/Logging_2303/klagomål/A 3838-2024 FSC-klagomål.docx", "A 3838-2024")</f>
        <v/>
      </c>
      <c r="W235">
        <f>HYPERLINK("https://klasma.github.io/Logging_2303/klagomålsmail/A 3838-2024 FSC-klagomål mail.docx", "A 3838-2024")</f>
        <v/>
      </c>
      <c r="X235">
        <f>HYPERLINK("https://klasma.github.io/Logging_2303/tillsyn/A 3838-2024 tillsynsbegäran.docx", "A 3838-2024")</f>
        <v/>
      </c>
      <c r="Y235">
        <f>HYPERLINK("https://klasma.github.io/Logging_2303/tillsynsmail/A 3838-2024 tillsynsbegäran mail.docx", "A 3838-2024")</f>
        <v/>
      </c>
    </row>
    <row r="236" ht="15" customHeight="1">
      <c r="A236" t="inlineStr">
        <is>
          <t>A 11544-2024</t>
        </is>
      </c>
      <c r="B236" s="1" t="n">
        <v>45372</v>
      </c>
      <c r="C236" s="1" t="n">
        <v>45742</v>
      </c>
      <c r="D236" t="inlineStr">
        <is>
          <t>JÄMTLANDS LÄN</t>
        </is>
      </c>
      <c r="E236" t="inlineStr">
        <is>
          <t>RAGUNDA</t>
        </is>
      </c>
      <c r="F236" t="inlineStr">
        <is>
          <t>SCA</t>
        </is>
      </c>
      <c r="G236" t="n">
        <v>15.5</v>
      </c>
      <c r="H236" t="n">
        <v>0</v>
      </c>
      <c r="I236" t="n">
        <v>0</v>
      </c>
      <c r="J236" t="n">
        <v>2</v>
      </c>
      <c r="K236" t="n">
        <v>0</v>
      </c>
      <c r="L236" t="n">
        <v>0</v>
      </c>
      <c r="M236" t="n">
        <v>0</v>
      </c>
      <c r="N236" t="n">
        <v>0</v>
      </c>
      <c r="O236" t="n">
        <v>2</v>
      </c>
      <c r="P236" t="n">
        <v>0</v>
      </c>
      <c r="Q236" t="n">
        <v>2</v>
      </c>
      <c r="R236" s="2" t="inlineStr">
        <is>
          <t>Granticka
Mörk kolflarnlav</t>
        </is>
      </c>
      <c r="S236">
        <f>HYPERLINK("https://klasma.github.io/Logging_2303/artfynd/A 11544-2024 artfynd.xlsx", "A 11544-2024")</f>
        <v/>
      </c>
      <c r="T236">
        <f>HYPERLINK("https://klasma.github.io/Logging_2303/kartor/A 11544-2024 karta.png", "A 11544-2024")</f>
        <v/>
      </c>
      <c r="V236">
        <f>HYPERLINK("https://klasma.github.io/Logging_2303/klagomål/A 11544-2024 FSC-klagomål.docx", "A 11544-2024")</f>
        <v/>
      </c>
      <c r="W236">
        <f>HYPERLINK("https://klasma.github.io/Logging_2303/klagomålsmail/A 11544-2024 FSC-klagomål mail.docx", "A 11544-2024")</f>
        <v/>
      </c>
      <c r="X236">
        <f>HYPERLINK("https://klasma.github.io/Logging_2303/tillsyn/A 11544-2024 tillsynsbegäran.docx", "A 11544-2024")</f>
        <v/>
      </c>
      <c r="Y236">
        <f>HYPERLINK("https://klasma.github.io/Logging_2303/tillsynsmail/A 11544-2024 tillsynsbegäran mail.docx", "A 11544-2024")</f>
        <v/>
      </c>
    </row>
    <row r="237" ht="15" customHeight="1">
      <c r="A237" t="inlineStr">
        <is>
          <t>A 12271-2024</t>
        </is>
      </c>
      <c r="B237" s="1" t="n">
        <v>45378</v>
      </c>
      <c r="C237" s="1" t="n">
        <v>45742</v>
      </c>
      <c r="D237" t="inlineStr">
        <is>
          <t>JÄMTLANDS LÄN</t>
        </is>
      </c>
      <c r="E237" t="inlineStr">
        <is>
          <t>RAGUNDA</t>
        </is>
      </c>
      <c r="F237" t="inlineStr">
        <is>
          <t>Kommuner</t>
        </is>
      </c>
      <c r="G237" t="n">
        <v>6.1</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12271-2024 artfynd.xlsx", "A 12271-2024")</f>
        <v/>
      </c>
      <c r="T237">
        <f>HYPERLINK("https://klasma.github.io/Logging_2303/kartor/A 12271-2024 karta.png", "A 12271-2024")</f>
        <v/>
      </c>
      <c r="V237">
        <f>HYPERLINK("https://klasma.github.io/Logging_2303/klagomål/A 12271-2024 FSC-klagomål.docx", "A 12271-2024")</f>
        <v/>
      </c>
      <c r="W237">
        <f>HYPERLINK("https://klasma.github.io/Logging_2303/klagomålsmail/A 12271-2024 FSC-klagomål mail.docx", "A 12271-2024")</f>
        <v/>
      </c>
      <c r="X237">
        <f>HYPERLINK("https://klasma.github.io/Logging_2303/tillsyn/A 12271-2024 tillsynsbegäran.docx", "A 12271-2024")</f>
        <v/>
      </c>
      <c r="Y237">
        <f>HYPERLINK("https://klasma.github.io/Logging_2303/tillsynsmail/A 12271-2024 tillsynsbegäran mail.docx", "A 12271-2024")</f>
        <v/>
      </c>
    </row>
    <row r="238" ht="15" customHeight="1">
      <c r="A238" t="inlineStr">
        <is>
          <t>A 13660-2024</t>
        </is>
      </c>
      <c r="B238" s="1" t="n">
        <v>45387</v>
      </c>
      <c r="C238" s="1" t="n">
        <v>45742</v>
      </c>
      <c r="D238" t="inlineStr">
        <is>
          <t>JÄMTLANDS LÄN</t>
        </is>
      </c>
      <c r="E238" t="inlineStr">
        <is>
          <t>RAGUNDA</t>
        </is>
      </c>
      <c r="G238" t="n">
        <v>4.8</v>
      </c>
      <c r="H238" t="n">
        <v>1</v>
      </c>
      <c r="I238" t="n">
        <v>1</v>
      </c>
      <c r="J238" t="n">
        <v>1</v>
      </c>
      <c r="K238" t="n">
        <v>0</v>
      </c>
      <c r="L238" t="n">
        <v>0</v>
      </c>
      <c r="M238" t="n">
        <v>0</v>
      </c>
      <c r="N238" t="n">
        <v>0</v>
      </c>
      <c r="O238" t="n">
        <v>1</v>
      </c>
      <c r="P238" t="n">
        <v>0</v>
      </c>
      <c r="Q238" t="n">
        <v>2</v>
      </c>
      <c r="R238" s="2" t="inlineStr">
        <is>
          <t>Garnlav
Plattlummer</t>
        </is>
      </c>
      <c r="S238">
        <f>HYPERLINK("https://klasma.github.io/Logging_2303/artfynd/A 13660-2024 artfynd.xlsx", "A 13660-2024")</f>
        <v/>
      </c>
      <c r="T238">
        <f>HYPERLINK("https://klasma.github.io/Logging_2303/kartor/A 13660-2024 karta.png", "A 13660-2024")</f>
        <v/>
      </c>
      <c r="V238">
        <f>HYPERLINK("https://klasma.github.io/Logging_2303/klagomål/A 13660-2024 FSC-klagomål.docx", "A 13660-2024")</f>
        <v/>
      </c>
      <c r="W238">
        <f>HYPERLINK("https://klasma.github.io/Logging_2303/klagomålsmail/A 13660-2024 FSC-klagomål mail.docx", "A 13660-2024")</f>
        <v/>
      </c>
      <c r="X238">
        <f>HYPERLINK("https://klasma.github.io/Logging_2303/tillsyn/A 13660-2024 tillsynsbegäran.docx", "A 13660-2024")</f>
        <v/>
      </c>
      <c r="Y238">
        <f>HYPERLINK("https://klasma.github.io/Logging_2303/tillsynsmail/A 13660-2024 tillsynsbegäran mail.docx", "A 13660-2024")</f>
        <v/>
      </c>
    </row>
    <row r="239" ht="15" customHeight="1">
      <c r="A239" t="inlineStr">
        <is>
          <t>A 13943-2024</t>
        </is>
      </c>
      <c r="B239" s="1" t="n">
        <v>45392</v>
      </c>
      <c r="C239" s="1" t="n">
        <v>45742</v>
      </c>
      <c r="D239" t="inlineStr">
        <is>
          <t>JÄMTLANDS LÄN</t>
        </is>
      </c>
      <c r="E239" t="inlineStr">
        <is>
          <t>RAGUNDA</t>
        </is>
      </c>
      <c r="F239" t="inlineStr">
        <is>
          <t>SCA</t>
        </is>
      </c>
      <c r="G239" t="n">
        <v>3.5</v>
      </c>
      <c r="H239" t="n">
        <v>1</v>
      </c>
      <c r="I239" t="n">
        <v>1</v>
      </c>
      <c r="J239" t="n">
        <v>1</v>
      </c>
      <c r="K239" t="n">
        <v>0</v>
      </c>
      <c r="L239" t="n">
        <v>0</v>
      </c>
      <c r="M239" t="n">
        <v>0</v>
      </c>
      <c r="N239" t="n">
        <v>0</v>
      </c>
      <c r="O239" t="n">
        <v>1</v>
      </c>
      <c r="P239" t="n">
        <v>0</v>
      </c>
      <c r="Q239" t="n">
        <v>2</v>
      </c>
      <c r="R239" s="2" t="inlineStr">
        <is>
          <t>Spillkråka
Dropptaggsvamp</t>
        </is>
      </c>
      <c r="S239">
        <f>HYPERLINK("https://klasma.github.io/Logging_2303/artfynd/A 13943-2024 artfynd.xlsx", "A 13943-2024")</f>
        <v/>
      </c>
      <c r="T239">
        <f>HYPERLINK("https://klasma.github.io/Logging_2303/kartor/A 13943-2024 karta.png", "A 13943-2024")</f>
        <v/>
      </c>
      <c r="V239">
        <f>HYPERLINK("https://klasma.github.io/Logging_2303/klagomål/A 13943-2024 FSC-klagomål.docx", "A 13943-2024")</f>
        <v/>
      </c>
      <c r="W239">
        <f>HYPERLINK("https://klasma.github.io/Logging_2303/klagomålsmail/A 13943-2024 FSC-klagomål mail.docx", "A 13943-2024")</f>
        <v/>
      </c>
      <c r="X239">
        <f>HYPERLINK("https://klasma.github.io/Logging_2303/tillsyn/A 13943-2024 tillsynsbegäran.docx", "A 13943-2024")</f>
        <v/>
      </c>
      <c r="Y239">
        <f>HYPERLINK("https://klasma.github.io/Logging_2303/tillsynsmail/A 13943-2024 tillsynsbegäran mail.docx", "A 13943-2024")</f>
        <v/>
      </c>
      <c r="Z239">
        <f>HYPERLINK("https://klasma.github.io/Logging_2303/fåglar/A 13943-2024 prioriterade fågelarter.docx", "A 13943-2024")</f>
        <v/>
      </c>
    </row>
    <row r="240" ht="15" customHeight="1">
      <c r="A240" t="inlineStr">
        <is>
          <t>A 14502-2024</t>
        </is>
      </c>
      <c r="B240" s="1" t="n">
        <v>45394</v>
      </c>
      <c r="C240" s="1" t="n">
        <v>45742</v>
      </c>
      <c r="D240" t="inlineStr">
        <is>
          <t>JÄMTLANDS LÄN</t>
        </is>
      </c>
      <c r="E240" t="inlineStr">
        <is>
          <t>RAGUNDA</t>
        </is>
      </c>
      <c r="G240" t="n">
        <v>11.6</v>
      </c>
      <c r="H240" t="n">
        <v>0</v>
      </c>
      <c r="I240" t="n">
        <v>0</v>
      </c>
      <c r="J240" t="n">
        <v>2</v>
      </c>
      <c r="K240" t="n">
        <v>0</v>
      </c>
      <c r="L240" t="n">
        <v>0</v>
      </c>
      <c r="M240" t="n">
        <v>0</v>
      </c>
      <c r="N240" t="n">
        <v>0</v>
      </c>
      <c r="O240" t="n">
        <v>2</v>
      </c>
      <c r="P240" t="n">
        <v>0</v>
      </c>
      <c r="Q240" t="n">
        <v>2</v>
      </c>
      <c r="R240" s="2" t="inlineStr">
        <is>
          <t>Garnlav
Stjärntagging</t>
        </is>
      </c>
      <c r="S240">
        <f>HYPERLINK("https://klasma.github.io/Logging_2303/artfynd/A 14502-2024 artfynd.xlsx", "A 14502-2024")</f>
        <v/>
      </c>
      <c r="T240">
        <f>HYPERLINK("https://klasma.github.io/Logging_2303/kartor/A 14502-2024 karta.png", "A 14502-2024")</f>
        <v/>
      </c>
      <c r="V240">
        <f>HYPERLINK("https://klasma.github.io/Logging_2303/klagomål/A 14502-2024 FSC-klagomål.docx", "A 14502-2024")</f>
        <v/>
      </c>
      <c r="W240">
        <f>HYPERLINK("https://klasma.github.io/Logging_2303/klagomålsmail/A 14502-2024 FSC-klagomål mail.docx", "A 14502-2024")</f>
        <v/>
      </c>
      <c r="X240">
        <f>HYPERLINK("https://klasma.github.io/Logging_2303/tillsyn/A 14502-2024 tillsynsbegäran.docx", "A 14502-2024")</f>
        <v/>
      </c>
      <c r="Y240">
        <f>HYPERLINK("https://klasma.github.io/Logging_2303/tillsynsmail/A 14502-2024 tillsynsbegäran mail.docx", "A 14502-2024")</f>
        <v/>
      </c>
    </row>
    <row r="241" ht="15" customHeight="1">
      <c r="A241" t="inlineStr">
        <is>
          <t>A 26324-2024</t>
        </is>
      </c>
      <c r="B241" s="1" t="n">
        <v>45469</v>
      </c>
      <c r="C241" s="1" t="n">
        <v>45742</v>
      </c>
      <c r="D241" t="inlineStr">
        <is>
          <t>JÄMTLANDS LÄN</t>
        </is>
      </c>
      <c r="E241" t="inlineStr">
        <is>
          <t>RAGUNDA</t>
        </is>
      </c>
      <c r="F241" t="inlineStr">
        <is>
          <t>SCA</t>
        </is>
      </c>
      <c r="G241" t="n">
        <v>2</v>
      </c>
      <c r="H241" t="n">
        <v>1</v>
      </c>
      <c r="I241" t="n">
        <v>0</v>
      </c>
      <c r="J241" t="n">
        <v>1</v>
      </c>
      <c r="K241" t="n">
        <v>1</v>
      </c>
      <c r="L241" t="n">
        <v>0</v>
      </c>
      <c r="M241" t="n">
        <v>0</v>
      </c>
      <c r="N241" t="n">
        <v>0</v>
      </c>
      <c r="O241" t="n">
        <v>2</v>
      </c>
      <c r="P241" t="n">
        <v>1</v>
      </c>
      <c r="Q241" t="n">
        <v>2</v>
      </c>
      <c r="R241" s="2" t="inlineStr">
        <is>
          <t>Knärot
Vedtrappmossa</t>
        </is>
      </c>
      <c r="S241">
        <f>HYPERLINK("https://klasma.github.io/Logging_2303/artfynd/A 26324-2024 artfynd.xlsx", "A 26324-2024")</f>
        <v/>
      </c>
      <c r="T241">
        <f>HYPERLINK("https://klasma.github.io/Logging_2303/kartor/A 26324-2024 karta.png", "A 26324-2024")</f>
        <v/>
      </c>
      <c r="U241">
        <f>HYPERLINK("https://klasma.github.io/Logging_2303/knärot/A 26324-2024 karta knärot.png", "A 26324-2024")</f>
        <v/>
      </c>
      <c r="V241">
        <f>HYPERLINK("https://klasma.github.io/Logging_2303/klagomål/A 26324-2024 FSC-klagomål.docx", "A 26324-2024")</f>
        <v/>
      </c>
      <c r="W241">
        <f>HYPERLINK("https://klasma.github.io/Logging_2303/klagomålsmail/A 26324-2024 FSC-klagomål mail.docx", "A 26324-2024")</f>
        <v/>
      </c>
      <c r="X241">
        <f>HYPERLINK("https://klasma.github.io/Logging_2303/tillsyn/A 26324-2024 tillsynsbegäran.docx", "A 26324-2024")</f>
        <v/>
      </c>
      <c r="Y241">
        <f>HYPERLINK("https://klasma.github.io/Logging_2303/tillsynsmail/A 26324-2024 tillsynsbegäran mail.docx", "A 26324-2024")</f>
        <v/>
      </c>
    </row>
    <row r="242" ht="15" customHeight="1">
      <c r="A242" t="inlineStr">
        <is>
          <t>A 32065-2024</t>
        </is>
      </c>
      <c r="B242" s="1" t="n">
        <v>45510</v>
      </c>
      <c r="C242" s="1" t="n">
        <v>45742</v>
      </c>
      <c r="D242" t="inlineStr">
        <is>
          <t>JÄMTLANDS LÄN</t>
        </is>
      </c>
      <c r="E242" t="inlineStr">
        <is>
          <t>RAGUNDA</t>
        </is>
      </c>
      <c r="F242" t="inlineStr">
        <is>
          <t>SCA</t>
        </is>
      </c>
      <c r="G242" t="n">
        <v>9.199999999999999</v>
      </c>
      <c r="H242" t="n">
        <v>0</v>
      </c>
      <c r="I242" t="n">
        <v>0</v>
      </c>
      <c r="J242" t="n">
        <v>2</v>
      </c>
      <c r="K242" t="n">
        <v>0</v>
      </c>
      <c r="L242" t="n">
        <v>0</v>
      </c>
      <c r="M242" t="n">
        <v>0</v>
      </c>
      <c r="N242" t="n">
        <v>0</v>
      </c>
      <c r="O242" t="n">
        <v>2</v>
      </c>
      <c r="P242" t="n">
        <v>0</v>
      </c>
      <c r="Q242" t="n">
        <v>2</v>
      </c>
      <c r="R242" s="2" t="inlineStr">
        <is>
          <t>Rosenticka
Vitgrynig nållav</t>
        </is>
      </c>
      <c r="S242">
        <f>HYPERLINK("https://klasma.github.io/Logging_2303/artfynd/A 32065-2024 artfynd.xlsx", "A 32065-2024")</f>
        <v/>
      </c>
      <c r="T242">
        <f>HYPERLINK("https://klasma.github.io/Logging_2303/kartor/A 32065-2024 karta.png", "A 32065-2024")</f>
        <v/>
      </c>
      <c r="V242">
        <f>HYPERLINK("https://klasma.github.io/Logging_2303/klagomål/A 32065-2024 FSC-klagomål.docx", "A 32065-2024")</f>
        <v/>
      </c>
      <c r="W242">
        <f>HYPERLINK("https://klasma.github.io/Logging_2303/klagomålsmail/A 32065-2024 FSC-klagomål mail.docx", "A 32065-2024")</f>
        <v/>
      </c>
      <c r="X242">
        <f>HYPERLINK("https://klasma.github.io/Logging_2303/tillsyn/A 32065-2024 tillsynsbegäran.docx", "A 32065-2024")</f>
        <v/>
      </c>
      <c r="Y242">
        <f>HYPERLINK("https://klasma.github.io/Logging_2303/tillsynsmail/A 32065-2024 tillsynsbegäran mail.docx", "A 32065-2024")</f>
        <v/>
      </c>
    </row>
    <row r="243" ht="15" customHeight="1">
      <c r="A243" t="inlineStr">
        <is>
          <t>A 34715-2024</t>
        </is>
      </c>
      <c r="B243" s="1" t="n">
        <v>45526</v>
      </c>
      <c r="C243" s="1" t="n">
        <v>45742</v>
      </c>
      <c r="D243" t="inlineStr">
        <is>
          <t>JÄMTLANDS LÄN</t>
        </is>
      </c>
      <c r="E243" t="inlineStr">
        <is>
          <t>RAGUNDA</t>
        </is>
      </c>
      <c r="F243" t="inlineStr">
        <is>
          <t>SCA</t>
        </is>
      </c>
      <c r="G243" t="n">
        <v>3</v>
      </c>
      <c r="H243" t="n">
        <v>0</v>
      </c>
      <c r="I243" t="n">
        <v>1</v>
      </c>
      <c r="J243" t="n">
        <v>1</v>
      </c>
      <c r="K243" t="n">
        <v>0</v>
      </c>
      <c r="L243" t="n">
        <v>0</v>
      </c>
      <c r="M243" t="n">
        <v>0</v>
      </c>
      <c r="N243" t="n">
        <v>0</v>
      </c>
      <c r="O243" t="n">
        <v>1</v>
      </c>
      <c r="P243" t="n">
        <v>0</v>
      </c>
      <c r="Q243" t="n">
        <v>2</v>
      </c>
      <c r="R243" s="2" t="inlineStr">
        <is>
          <t>Garnlav
Vedticka</t>
        </is>
      </c>
      <c r="S243">
        <f>HYPERLINK("https://klasma.github.io/Logging_2303/artfynd/A 34715-2024 artfynd.xlsx", "A 34715-2024")</f>
        <v/>
      </c>
      <c r="T243">
        <f>HYPERLINK("https://klasma.github.io/Logging_2303/kartor/A 34715-2024 karta.png", "A 34715-2024")</f>
        <v/>
      </c>
      <c r="V243">
        <f>HYPERLINK("https://klasma.github.io/Logging_2303/klagomål/A 34715-2024 FSC-klagomål.docx", "A 34715-2024")</f>
        <v/>
      </c>
      <c r="W243">
        <f>HYPERLINK("https://klasma.github.io/Logging_2303/klagomålsmail/A 34715-2024 FSC-klagomål mail.docx", "A 34715-2024")</f>
        <v/>
      </c>
      <c r="X243">
        <f>HYPERLINK("https://klasma.github.io/Logging_2303/tillsyn/A 34715-2024 tillsynsbegäran.docx", "A 34715-2024")</f>
        <v/>
      </c>
      <c r="Y243">
        <f>HYPERLINK("https://klasma.github.io/Logging_2303/tillsynsmail/A 34715-2024 tillsynsbegäran mail.docx", "A 34715-2024")</f>
        <v/>
      </c>
    </row>
    <row r="244" ht="15" customHeight="1">
      <c r="A244" t="inlineStr">
        <is>
          <t>A 35405-2024</t>
        </is>
      </c>
      <c r="B244" s="1" t="n">
        <v>45531</v>
      </c>
      <c r="C244" s="1" t="n">
        <v>45742</v>
      </c>
      <c r="D244" t="inlineStr">
        <is>
          <t>JÄMTLANDS LÄN</t>
        </is>
      </c>
      <c r="E244" t="inlineStr">
        <is>
          <t>RAGUNDA</t>
        </is>
      </c>
      <c r="F244" t="inlineStr">
        <is>
          <t>SCA</t>
        </is>
      </c>
      <c r="G244" t="n">
        <v>12.3</v>
      </c>
      <c r="H244" t="n">
        <v>2</v>
      </c>
      <c r="I244" t="n">
        <v>1</v>
      </c>
      <c r="J244" t="n">
        <v>0</v>
      </c>
      <c r="K244" t="n">
        <v>0</v>
      </c>
      <c r="L244" t="n">
        <v>0</v>
      </c>
      <c r="M244" t="n">
        <v>0</v>
      </c>
      <c r="N244" t="n">
        <v>0</v>
      </c>
      <c r="O244" t="n">
        <v>0</v>
      </c>
      <c r="P244" t="n">
        <v>0</v>
      </c>
      <c r="Q244" t="n">
        <v>2</v>
      </c>
      <c r="R244" s="2" t="inlineStr">
        <is>
          <t>Spindelblomster
Revlummer</t>
        </is>
      </c>
      <c r="S244">
        <f>HYPERLINK("https://klasma.github.io/Logging_2303/artfynd/A 35405-2024 artfynd.xlsx", "A 35405-2024")</f>
        <v/>
      </c>
      <c r="T244">
        <f>HYPERLINK("https://klasma.github.io/Logging_2303/kartor/A 35405-2024 karta.png", "A 35405-2024")</f>
        <v/>
      </c>
      <c r="V244">
        <f>HYPERLINK("https://klasma.github.io/Logging_2303/klagomål/A 35405-2024 FSC-klagomål.docx", "A 35405-2024")</f>
        <v/>
      </c>
      <c r="W244">
        <f>HYPERLINK("https://klasma.github.io/Logging_2303/klagomålsmail/A 35405-2024 FSC-klagomål mail.docx", "A 35405-2024")</f>
        <v/>
      </c>
      <c r="X244">
        <f>HYPERLINK("https://klasma.github.io/Logging_2303/tillsyn/A 35405-2024 tillsynsbegäran.docx", "A 35405-2024")</f>
        <v/>
      </c>
      <c r="Y244">
        <f>HYPERLINK("https://klasma.github.io/Logging_2303/tillsynsmail/A 35405-2024 tillsynsbegäran mail.docx", "A 35405-2024")</f>
        <v/>
      </c>
    </row>
    <row r="245" ht="15" customHeight="1">
      <c r="A245" t="inlineStr">
        <is>
          <t>A 37826-2024</t>
        </is>
      </c>
      <c r="B245" s="1" t="n">
        <v>45544</v>
      </c>
      <c r="C245" s="1" t="n">
        <v>45742</v>
      </c>
      <c r="D245" t="inlineStr">
        <is>
          <t>JÄMTLANDS LÄN</t>
        </is>
      </c>
      <c r="E245" t="inlineStr">
        <is>
          <t>RAGUNDA</t>
        </is>
      </c>
      <c r="F245" t="inlineStr">
        <is>
          <t>SCA</t>
        </is>
      </c>
      <c r="G245" t="n">
        <v>12.8</v>
      </c>
      <c r="H245" t="n">
        <v>0</v>
      </c>
      <c r="I245" t="n">
        <v>0</v>
      </c>
      <c r="J245" t="n">
        <v>2</v>
      </c>
      <c r="K245" t="n">
        <v>0</v>
      </c>
      <c r="L245" t="n">
        <v>0</v>
      </c>
      <c r="M245" t="n">
        <v>0</v>
      </c>
      <c r="N245" t="n">
        <v>0</v>
      </c>
      <c r="O245" t="n">
        <v>2</v>
      </c>
      <c r="P245" t="n">
        <v>0</v>
      </c>
      <c r="Q245" t="n">
        <v>2</v>
      </c>
      <c r="R245" s="2" t="inlineStr">
        <is>
          <t>Brunklöver
Månlåsbräken</t>
        </is>
      </c>
      <c r="S245">
        <f>HYPERLINK("https://klasma.github.io/Logging_2303/artfynd/A 37826-2024 artfynd.xlsx", "A 37826-2024")</f>
        <v/>
      </c>
      <c r="T245">
        <f>HYPERLINK("https://klasma.github.io/Logging_2303/kartor/A 37826-2024 karta.png", "A 37826-2024")</f>
        <v/>
      </c>
      <c r="V245">
        <f>HYPERLINK("https://klasma.github.io/Logging_2303/klagomål/A 37826-2024 FSC-klagomål.docx", "A 37826-2024")</f>
        <v/>
      </c>
      <c r="W245">
        <f>HYPERLINK("https://klasma.github.io/Logging_2303/klagomålsmail/A 37826-2024 FSC-klagomål mail.docx", "A 37826-2024")</f>
        <v/>
      </c>
      <c r="X245">
        <f>HYPERLINK("https://klasma.github.io/Logging_2303/tillsyn/A 37826-2024 tillsynsbegäran.docx", "A 37826-2024")</f>
        <v/>
      </c>
      <c r="Y245">
        <f>HYPERLINK("https://klasma.github.io/Logging_2303/tillsynsmail/A 37826-2024 tillsynsbegäran mail.docx", "A 37826-2024")</f>
        <v/>
      </c>
    </row>
    <row r="246" ht="15" customHeight="1">
      <c r="A246" t="inlineStr">
        <is>
          <t>A 39495-2024</t>
        </is>
      </c>
      <c r="B246" s="1" t="n">
        <v>45551</v>
      </c>
      <c r="C246" s="1" t="n">
        <v>45742</v>
      </c>
      <c r="D246" t="inlineStr">
        <is>
          <t>JÄMTLANDS LÄN</t>
        </is>
      </c>
      <c r="E246" t="inlineStr">
        <is>
          <t>RAGUNDA</t>
        </is>
      </c>
      <c r="F246" t="inlineStr">
        <is>
          <t>SCA</t>
        </is>
      </c>
      <c r="G246" t="n">
        <v>6.6</v>
      </c>
      <c r="H246" t="n">
        <v>0</v>
      </c>
      <c r="I246" t="n">
        <v>0</v>
      </c>
      <c r="J246" t="n">
        <v>2</v>
      </c>
      <c r="K246" t="n">
        <v>0</v>
      </c>
      <c r="L246" t="n">
        <v>0</v>
      </c>
      <c r="M246" t="n">
        <v>0</v>
      </c>
      <c r="N246" t="n">
        <v>0</v>
      </c>
      <c r="O246" t="n">
        <v>2</v>
      </c>
      <c r="P246" t="n">
        <v>0</v>
      </c>
      <c r="Q246" t="n">
        <v>2</v>
      </c>
      <c r="R246" s="2" t="inlineStr">
        <is>
          <t>Garnlav
Ullticka</t>
        </is>
      </c>
      <c r="S246">
        <f>HYPERLINK("https://klasma.github.io/Logging_2303/artfynd/A 39495-2024 artfynd.xlsx", "A 39495-2024")</f>
        <v/>
      </c>
      <c r="T246">
        <f>HYPERLINK("https://klasma.github.io/Logging_2303/kartor/A 39495-2024 karta.png", "A 39495-2024")</f>
        <v/>
      </c>
      <c r="V246">
        <f>HYPERLINK("https://klasma.github.io/Logging_2303/klagomål/A 39495-2024 FSC-klagomål.docx", "A 39495-2024")</f>
        <v/>
      </c>
      <c r="W246">
        <f>HYPERLINK("https://klasma.github.io/Logging_2303/klagomålsmail/A 39495-2024 FSC-klagomål mail.docx", "A 39495-2024")</f>
        <v/>
      </c>
      <c r="X246">
        <f>HYPERLINK("https://klasma.github.io/Logging_2303/tillsyn/A 39495-2024 tillsynsbegäran.docx", "A 39495-2024")</f>
        <v/>
      </c>
      <c r="Y246">
        <f>HYPERLINK("https://klasma.github.io/Logging_2303/tillsynsmail/A 39495-2024 tillsynsbegäran mail.docx", "A 39495-2024")</f>
        <v/>
      </c>
    </row>
    <row r="247" ht="15" customHeight="1">
      <c r="A247" t="inlineStr">
        <is>
          <t>A 46771-2024</t>
        </is>
      </c>
      <c r="B247" s="1" t="n">
        <v>45583</v>
      </c>
      <c r="C247" s="1" t="n">
        <v>45742</v>
      </c>
      <c r="D247" t="inlineStr">
        <is>
          <t>JÄMTLANDS LÄN</t>
        </is>
      </c>
      <c r="E247" t="inlineStr">
        <is>
          <t>RAGUNDA</t>
        </is>
      </c>
      <c r="F247" t="inlineStr">
        <is>
          <t>SCA</t>
        </is>
      </c>
      <c r="G247" t="n">
        <v>3.1</v>
      </c>
      <c r="H247" t="n">
        <v>0</v>
      </c>
      <c r="I247" t="n">
        <v>0</v>
      </c>
      <c r="J247" t="n">
        <v>2</v>
      </c>
      <c r="K247" t="n">
        <v>0</v>
      </c>
      <c r="L247" t="n">
        <v>0</v>
      </c>
      <c r="M247" t="n">
        <v>0</v>
      </c>
      <c r="N247" t="n">
        <v>0</v>
      </c>
      <c r="O247" t="n">
        <v>2</v>
      </c>
      <c r="P247" t="n">
        <v>0</v>
      </c>
      <c r="Q247" t="n">
        <v>2</v>
      </c>
      <c r="R247" s="2" t="inlineStr">
        <is>
          <t>Doftskinn
Gammelgransskål</t>
        </is>
      </c>
      <c r="S247">
        <f>HYPERLINK("https://klasma.github.io/Logging_2303/artfynd/A 46771-2024 artfynd.xlsx", "A 46771-2024")</f>
        <v/>
      </c>
      <c r="T247">
        <f>HYPERLINK("https://klasma.github.io/Logging_2303/kartor/A 46771-2024 karta.png", "A 46771-2024")</f>
        <v/>
      </c>
      <c r="V247">
        <f>HYPERLINK("https://klasma.github.io/Logging_2303/klagomål/A 46771-2024 FSC-klagomål.docx", "A 46771-2024")</f>
        <v/>
      </c>
      <c r="W247">
        <f>HYPERLINK("https://klasma.github.io/Logging_2303/klagomålsmail/A 46771-2024 FSC-klagomål mail.docx", "A 46771-2024")</f>
        <v/>
      </c>
      <c r="X247">
        <f>HYPERLINK("https://klasma.github.io/Logging_2303/tillsyn/A 46771-2024 tillsynsbegäran.docx", "A 46771-2024")</f>
        <v/>
      </c>
      <c r="Y247">
        <f>HYPERLINK("https://klasma.github.io/Logging_2303/tillsynsmail/A 46771-2024 tillsynsbegäran mail.docx", "A 46771-2024")</f>
        <v/>
      </c>
    </row>
    <row r="248" ht="15" customHeight="1">
      <c r="A248" t="inlineStr">
        <is>
          <t>A 54057-2024</t>
        </is>
      </c>
      <c r="B248" s="1" t="n">
        <v>45616</v>
      </c>
      <c r="C248" s="1" t="n">
        <v>45742</v>
      </c>
      <c r="D248" t="inlineStr">
        <is>
          <t>JÄMTLANDS LÄN</t>
        </is>
      </c>
      <c r="E248" t="inlineStr">
        <is>
          <t>RAGUNDA</t>
        </is>
      </c>
      <c r="F248" t="inlineStr">
        <is>
          <t>SCA</t>
        </is>
      </c>
      <c r="G248" t="n">
        <v>2.6</v>
      </c>
      <c r="H248" t="n">
        <v>0</v>
      </c>
      <c r="I248" t="n">
        <v>1</v>
      </c>
      <c r="J248" t="n">
        <v>1</v>
      </c>
      <c r="K248" t="n">
        <v>0</v>
      </c>
      <c r="L248" t="n">
        <v>0</v>
      </c>
      <c r="M248" t="n">
        <v>0</v>
      </c>
      <c r="N248" t="n">
        <v>0</v>
      </c>
      <c r="O248" t="n">
        <v>1</v>
      </c>
      <c r="P248" t="n">
        <v>0</v>
      </c>
      <c r="Q248" t="n">
        <v>2</v>
      </c>
      <c r="R248" s="2" t="inlineStr">
        <is>
          <t>Dvärgbägarlav
Dropptaggsvamp</t>
        </is>
      </c>
      <c r="S248">
        <f>HYPERLINK("https://klasma.github.io/Logging_2303/artfynd/A 54057-2024 artfynd.xlsx", "A 54057-2024")</f>
        <v/>
      </c>
      <c r="T248">
        <f>HYPERLINK("https://klasma.github.io/Logging_2303/kartor/A 54057-2024 karta.png", "A 54057-2024")</f>
        <v/>
      </c>
      <c r="V248">
        <f>HYPERLINK("https://klasma.github.io/Logging_2303/klagomål/A 54057-2024 FSC-klagomål.docx", "A 54057-2024")</f>
        <v/>
      </c>
      <c r="W248">
        <f>HYPERLINK("https://klasma.github.io/Logging_2303/klagomålsmail/A 54057-2024 FSC-klagomål mail.docx", "A 54057-2024")</f>
        <v/>
      </c>
      <c r="X248">
        <f>HYPERLINK("https://klasma.github.io/Logging_2303/tillsyn/A 54057-2024 tillsynsbegäran.docx", "A 54057-2024")</f>
        <v/>
      </c>
      <c r="Y248">
        <f>HYPERLINK("https://klasma.github.io/Logging_2303/tillsynsmail/A 54057-2024 tillsynsbegäran mail.docx", "A 54057-2024")</f>
        <v/>
      </c>
    </row>
    <row r="249" ht="15" customHeight="1">
      <c r="A249" t="inlineStr">
        <is>
          <t>A 57940-2024</t>
        </is>
      </c>
      <c r="B249" s="1" t="n">
        <v>45631</v>
      </c>
      <c r="C249" s="1" t="n">
        <v>45742</v>
      </c>
      <c r="D249" t="inlineStr">
        <is>
          <t>JÄMTLANDS LÄN</t>
        </is>
      </c>
      <c r="E249" t="inlineStr">
        <is>
          <t>RAGUNDA</t>
        </is>
      </c>
      <c r="F249" t="inlineStr">
        <is>
          <t>SCA</t>
        </is>
      </c>
      <c r="G249" t="n">
        <v>1.9</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HYPERLINK("https://klasma.github.io/Logging_2303/artfynd/A 57940-2024 artfynd.xlsx", "A 57940-2024")</f>
        <v/>
      </c>
      <c r="T249">
        <f>HYPERLINK("https://klasma.github.io/Logging_2303/kartor/A 57940-2024 karta.png", "A 57940-2024")</f>
        <v/>
      </c>
      <c r="V249">
        <f>HYPERLINK("https://klasma.github.io/Logging_2303/klagomål/A 57940-2024 FSC-klagomål.docx", "A 57940-2024")</f>
        <v/>
      </c>
      <c r="W249">
        <f>HYPERLINK("https://klasma.github.io/Logging_2303/klagomålsmail/A 57940-2024 FSC-klagomål mail.docx", "A 57940-2024")</f>
        <v/>
      </c>
      <c r="X249">
        <f>HYPERLINK("https://klasma.github.io/Logging_2303/tillsyn/A 57940-2024 tillsynsbegäran.docx", "A 57940-2024")</f>
        <v/>
      </c>
      <c r="Y249">
        <f>HYPERLINK("https://klasma.github.io/Logging_2303/tillsynsmail/A 57940-2024 tillsynsbegäran mail.docx", "A 57940-2024")</f>
        <v/>
      </c>
      <c r="Z249">
        <f>HYPERLINK("https://klasma.github.io/Logging_2303/fåglar/A 57940-2024 prioriterade fågelarter.docx", "A 57940-2024")</f>
        <v/>
      </c>
    </row>
    <row r="250" ht="15" customHeight="1">
      <c r="A250" t="inlineStr">
        <is>
          <t>A 10866-2025</t>
        </is>
      </c>
      <c r="B250" s="1" t="n">
        <v>45722</v>
      </c>
      <c r="C250" s="1" t="n">
        <v>45742</v>
      </c>
      <c r="D250" t="inlineStr">
        <is>
          <t>JÄMTLANDS LÄN</t>
        </is>
      </c>
      <c r="E250" t="inlineStr">
        <is>
          <t>RAGUNDA</t>
        </is>
      </c>
      <c r="F250" t="inlineStr">
        <is>
          <t>SCA</t>
        </is>
      </c>
      <c r="G250" t="n">
        <v>15.9</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10866-2025 artfynd.xlsx", "A 10866-2025")</f>
        <v/>
      </c>
      <c r="T250">
        <f>HYPERLINK("https://klasma.github.io/Logging_2303/kartor/A 10866-2025 karta.png", "A 10866-2025")</f>
        <v/>
      </c>
      <c r="V250">
        <f>HYPERLINK("https://klasma.github.io/Logging_2303/klagomål/A 10866-2025 FSC-klagomål.docx", "A 10866-2025")</f>
        <v/>
      </c>
      <c r="W250">
        <f>HYPERLINK("https://klasma.github.io/Logging_2303/klagomålsmail/A 10866-2025 FSC-klagomål mail.docx", "A 10866-2025")</f>
        <v/>
      </c>
      <c r="X250">
        <f>HYPERLINK("https://klasma.github.io/Logging_2303/tillsyn/A 10866-2025 tillsynsbegäran.docx", "A 10866-2025")</f>
        <v/>
      </c>
      <c r="Y250">
        <f>HYPERLINK("https://klasma.github.io/Logging_2303/tillsynsmail/A 10866-2025 tillsynsbegäran mail.docx", "A 10866-2025")</f>
        <v/>
      </c>
    </row>
    <row r="251" ht="15" customHeight="1">
      <c r="A251" t="inlineStr">
        <is>
          <t>A 11086-2025</t>
        </is>
      </c>
      <c r="B251" s="1" t="n">
        <v>45723</v>
      </c>
      <c r="C251" s="1" t="n">
        <v>45742</v>
      </c>
      <c r="D251" t="inlineStr">
        <is>
          <t>JÄMTLANDS LÄN</t>
        </is>
      </c>
      <c r="E251" t="inlineStr">
        <is>
          <t>RAGUNDA</t>
        </is>
      </c>
      <c r="F251" t="inlineStr">
        <is>
          <t>SCA</t>
        </is>
      </c>
      <c r="G251" t="n">
        <v>10.8</v>
      </c>
      <c r="H251" t="n">
        <v>0</v>
      </c>
      <c r="I251" t="n">
        <v>0</v>
      </c>
      <c r="J251" t="n">
        <v>1</v>
      </c>
      <c r="K251" t="n">
        <v>1</v>
      </c>
      <c r="L251" t="n">
        <v>0</v>
      </c>
      <c r="M251" t="n">
        <v>0</v>
      </c>
      <c r="N251" t="n">
        <v>0</v>
      </c>
      <c r="O251" t="n">
        <v>2</v>
      </c>
      <c r="P251" t="n">
        <v>1</v>
      </c>
      <c r="Q251" t="n">
        <v>2</v>
      </c>
      <c r="R251" s="2" t="inlineStr">
        <is>
          <t>Gräddporing
Dvärgbägarlav</t>
        </is>
      </c>
      <c r="S251">
        <f>HYPERLINK("https://klasma.github.io/Logging_2303/artfynd/A 11086-2025 artfynd.xlsx", "A 11086-2025")</f>
        <v/>
      </c>
      <c r="T251">
        <f>HYPERLINK("https://klasma.github.io/Logging_2303/kartor/A 11086-2025 karta.png", "A 11086-2025")</f>
        <v/>
      </c>
      <c r="V251">
        <f>HYPERLINK("https://klasma.github.io/Logging_2303/klagomål/A 11086-2025 FSC-klagomål.docx", "A 11086-2025")</f>
        <v/>
      </c>
      <c r="W251">
        <f>HYPERLINK("https://klasma.github.io/Logging_2303/klagomålsmail/A 11086-2025 FSC-klagomål mail.docx", "A 11086-2025")</f>
        <v/>
      </c>
      <c r="X251">
        <f>HYPERLINK("https://klasma.github.io/Logging_2303/tillsyn/A 11086-2025 tillsynsbegäran.docx", "A 11086-2025")</f>
        <v/>
      </c>
      <c r="Y251">
        <f>HYPERLINK("https://klasma.github.io/Logging_2303/tillsynsmail/A 11086-2025 tillsynsbegäran mail.docx", "A 11086-2025")</f>
        <v/>
      </c>
    </row>
    <row r="252" ht="15" customHeight="1">
      <c r="A252" t="inlineStr">
        <is>
          <t>A 33241-2019</t>
        </is>
      </c>
      <c r="B252" s="1" t="n">
        <v>43650</v>
      </c>
      <c r="C252" s="1" t="n">
        <v>45742</v>
      </c>
      <c r="D252" t="inlineStr">
        <is>
          <t>JÄMTLANDS LÄN</t>
        </is>
      </c>
      <c r="E252" t="inlineStr">
        <is>
          <t>RAGUNDA</t>
        </is>
      </c>
      <c r="G252" t="n">
        <v>6.3</v>
      </c>
      <c r="H252" t="n">
        <v>0</v>
      </c>
      <c r="I252" t="n">
        <v>0</v>
      </c>
      <c r="J252" t="n">
        <v>1</v>
      </c>
      <c r="K252" t="n">
        <v>0</v>
      </c>
      <c r="L252" t="n">
        <v>0</v>
      </c>
      <c r="M252" t="n">
        <v>0</v>
      </c>
      <c r="N252" t="n">
        <v>0</v>
      </c>
      <c r="O252" t="n">
        <v>1</v>
      </c>
      <c r="P252" t="n">
        <v>0</v>
      </c>
      <c r="Q252" t="n">
        <v>1</v>
      </c>
      <c r="R252" s="2" t="inlineStr">
        <is>
          <t>Garnlav</t>
        </is>
      </c>
      <c r="S252">
        <f>HYPERLINK("https://klasma.github.io/Logging_2303/artfynd/A 33241-2019 artfynd.xlsx", "A 33241-2019")</f>
        <v/>
      </c>
      <c r="T252">
        <f>HYPERLINK("https://klasma.github.io/Logging_2303/kartor/A 33241-2019 karta.png", "A 33241-2019")</f>
        <v/>
      </c>
      <c r="V252">
        <f>HYPERLINK("https://klasma.github.io/Logging_2303/klagomål/A 33241-2019 FSC-klagomål.docx", "A 33241-2019")</f>
        <v/>
      </c>
      <c r="W252">
        <f>HYPERLINK("https://klasma.github.io/Logging_2303/klagomålsmail/A 33241-2019 FSC-klagomål mail.docx", "A 33241-2019")</f>
        <v/>
      </c>
      <c r="X252">
        <f>HYPERLINK("https://klasma.github.io/Logging_2303/tillsyn/A 33241-2019 tillsynsbegäran.docx", "A 33241-2019")</f>
        <v/>
      </c>
      <c r="Y252">
        <f>HYPERLINK("https://klasma.github.io/Logging_2303/tillsynsmail/A 33241-2019 tillsynsbegäran mail.docx", "A 33241-2019")</f>
        <v/>
      </c>
    </row>
    <row r="253" ht="15" customHeight="1">
      <c r="A253" t="inlineStr">
        <is>
          <t>A 61777-2019</t>
        </is>
      </c>
      <c r="B253" s="1" t="n">
        <v>43784</v>
      </c>
      <c r="C253" s="1" t="n">
        <v>45742</v>
      </c>
      <c r="D253" t="inlineStr">
        <is>
          <t>JÄMTLANDS LÄN</t>
        </is>
      </c>
      <c r="E253" t="inlineStr">
        <is>
          <t>RAGUNDA</t>
        </is>
      </c>
      <c r="F253" t="inlineStr">
        <is>
          <t>SCA</t>
        </is>
      </c>
      <c r="G253" t="n">
        <v>6.1</v>
      </c>
      <c r="H253" t="n">
        <v>1</v>
      </c>
      <c r="I253" t="n">
        <v>1</v>
      </c>
      <c r="J253" t="n">
        <v>0</v>
      </c>
      <c r="K253" t="n">
        <v>0</v>
      </c>
      <c r="L253" t="n">
        <v>0</v>
      </c>
      <c r="M253" t="n">
        <v>0</v>
      </c>
      <c r="N253" t="n">
        <v>0</v>
      </c>
      <c r="O253" t="n">
        <v>0</v>
      </c>
      <c r="P253" t="n">
        <v>0</v>
      </c>
      <c r="Q253" t="n">
        <v>1</v>
      </c>
      <c r="R253" s="2" t="inlineStr">
        <is>
          <t>Guckusko</t>
        </is>
      </c>
      <c r="S253">
        <f>HYPERLINK("https://klasma.github.io/Logging_2303/artfynd/A 61777-2019 artfynd.xlsx", "A 61777-2019")</f>
        <v/>
      </c>
      <c r="T253">
        <f>HYPERLINK("https://klasma.github.io/Logging_2303/kartor/A 61777-2019 karta.png", "A 61777-2019")</f>
        <v/>
      </c>
      <c r="V253">
        <f>HYPERLINK("https://klasma.github.io/Logging_2303/klagomål/A 61777-2019 FSC-klagomål.docx", "A 61777-2019")</f>
        <v/>
      </c>
      <c r="W253">
        <f>HYPERLINK("https://klasma.github.io/Logging_2303/klagomålsmail/A 61777-2019 FSC-klagomål mail.docx", "A 61777-2019")</f>
        <v/>
      </c>
      <c r="X253">
        <f>HYPERLINK("https://klasma.github.io/Logging_2303/tillsyn/A 61777-2019 tillsynsbegäran.docx", "A 61777-2019")</f>
        <v/>
      </c>
      <c r="Y253">
        <f>HYPERLINK("https://klasma.github.io/Logging_2303/tillsynsmail/A 61777-2019 tillsynsbegäran mail.docx", "A 61777-2019")</f>
        <v/>
      </c>
    </row>
    <row r="254" ht="15" customHeight="1">
      <c r="A254" t="inlineStr">
        <is>
          <t>A 63221-2019</t>
        </is>
      </c>
      <c r="B254" s="1" t="n">
        <v>43791</v>
      </c>
      <c r="C254" s="1" t="n">
        <v>45742</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Dvärghäxört</t>
        </is>
      </c>
      <c r="S254">
        <f>HYPERLINK("https://klasma.github.io/Logging_2303/artfynd/A 63221-2019 artfynd.xlsx", "A 63221-2019")</f>
        <v/>
      </c>
      <c r="T254">
        <f>HYPERLINK("https://klasma.github.io/Logging_2303/kartor/A 63221-2019 karta.png", "A 63221-2019")</f>
        <v/>
      </c>
      <c r="V254">
        <f>HYPERLINK("https://klasma.github.io/Logging_2303/klagomål/A 63221-2019 FSC-klagomål.docx", "A 63221-2019")</f>
        <v/>
      </c>
      <c r="W254">
        <f>HYPERLINK("https://klasma.github.io/Logging_2303/klagomålsmail/A 63221-2019 FSC-klagomål mail.docx", "A 63221-2019")</f>
        <v/>
      </c>
      <c r="X254">
        <f>HYPERLINK("https://klasma.github.io/Logging_2303/tillsyn/A 63221-2019 tillsynsbegäran.docx", "A 63221-2019")</f>
        <v/>
      </c>
      <c r="Y254">
        <f>HYPERLINK("https://klasma.github.io/Logging_2303/tillsynsmail/A 63221-2019 tillsynsbegäran mail.docx", "A 63221-2019")</f>
        <v/>
      </c>
    </row>
    <row r="255" ht="15" customHeight="1">
      <c r="A255" t="inlineStr">
        <is>
          <t>A 24657-2020</t>
        </is>
      </c>
      <c r="B255" s="1" t="n">
        <v>43977</v>
      </c>
      <c r="C255" s="1" t="n">
        <v>45742</v>
      </c>
      <c r="D255" t="inlineStr">
        <is>
          <t>JÄMTLANDS LÄN</t>
        </is>
      </c>
      <c r="E255" t="inlineStr">
        <is>
          <t>RAGUNDA</t>
        </is>
      </c>
      <c r="F255" t="inlineStr">
        <is>
          <t>SCA</t>
        </is>
      </c>
      <c r="G255" t="n">
        <v>20.5</v>
      </c>
      <c r="H255" t="n">
        <v>0</v>
      </c>
      <c r="I255" t="n">
        <v>0</v>
      </c>
      <c r="J255" t="n">
        <v>0</v>
      </c>
      <c r="K255" t="n">
        <v>1</v>
      </c>
      <c r="L255" t="n">
        <v>0</v>
      </c>
      <c r="M255" t="n">
        <v>0</v>
      </c>
      <c r="N255" t="n">
        <v>0</v>
      </c>
      <c r="O255" t="n">
        <v>1</v>
      </c>
      <c r="P255" t="n">
        <v>1</v>
      </c>
      <c r="Q255" t="n">
        <v>1</v>
      </c>
      <c r="R255" s="2" t="inlineStr">
        <is>
          <t>Gräddporing</t>
        </is>
      </c>
      <c r="S255">
        <f>HYPERLINK("https://klasma.github.io/Logging_2303/artfynd/A 24657-2020 artfynd.xlsx", "A 24657-2020")</f>
        <v/>
      </c>
      <c r="T255">
        <f>HYPERLINK("https://klasma.github.io/Logging_2303/kartor/A 24657-2020 karta.png", "A 24657-2020")</f>
        <v/>
      </c>
      <c r="V255">
        <f>HYPERLINK("https://klasma.github.io/Logging_2303/klagomål/A 24657-2020 FSC-klagomål.docx", "A 24657-2020")</f>
        <v/>
      </c>
      <c r="W255">
        <f>HYPERLINK("https://klasma.github.io/Logging_2303/klagomålsmail/A 24657-2020 FSC-klagomål mail.docx", "A 24657-2020")</f>
        <v/>
      </c>
      <c r="X255">
        <f>HYPERLINK("https://klasma.github.io/Logging_2303/tillsyn/A 24657-2020 tillsynsbegäran.docx", "A 24657-2020")</f>
        <v/>
      </c>
      <c r="Y255">
        <f>HYPERLINK("https://klasma.github.io/Logging_2303/tillsynsmail/A 24657-2020 tillsynsbegäran mail.docx", "A 24657-2020")</f>
        <v/>
      </c>
    </row>
    <row r="256" ht="15" customHeight="1">
      <c r="A256" t="inlineStr">
        <is>
          <t>A 31357-2020</t>
        </is>
      </c>
      <c r="B256" s="1" t="n">
        <v>44012</v>
      </c>
      <c r="C256" s="1" t="n">
        <v>45742</v>
      </c>
      <c r="D256" t="inlineStr">
        <is>
          <t>JÄMTLANDS LÄN</t>
        </is>
      </c>
      <c r="E256" t="inlineStr">
        <is>
          <t>RAGUNDA</t>
        </is>
      </c>
      <c r="F256" t="inlineStr">
        <is>
          <t>SCA</t>
        </is>
      </c>
      <c r="G256" t="n">
        <v>21.4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31357-2020 artfynd.xlsx", "A 31357-2020")</f>
        <v/>
      </c>
      <c r="T256">
        <f>HYPERLINK("https://klasma.github.io/Logging_2303/kartor/A 31357-2020 karta.png", "A 31357-2020")</f>
        <v/>
      </c>
      <c r="V256">
        <f>HYPERLINK("https://klasma.github.io/Logging_2303/klagomål/A 31357-2020 FSC-klagomål.docx", "A 31357-2020")</f>
        <v/>
      </c>
      <c r="W256">
        <f>HYPERLINK("https://klasma.github.io/Logging_2303/klagomålsmail/A 31357-2020 FSC-klagomål mail.docx", "A 31357-2020")</f>
        <v/>
      </c>
      <c r="X256">
        <f>HYPERLINK("https://klasma.github.io/Logging_2303/tillsyn/A 31357-2020 tillsynsbegäran.docx", "A 31357-2020")</f>
        <v/>
      </c>
      <c r="Y256">
        <f>HYPERLINK("https://klasma.github.io/Logging_2303/tillsynsmail/A 31357-2020 tillsynsbegäran mail.docx", "A 31357-2020")</f>
        <v/>
      </c>
      <c r="Z256">
        <f>HYPERLINK("https://klasma.github.io/Logging_2303/fåglar/A 31357-2020 prioriterade fågelarter.docx", "A 31357-2020")</f>
        <v/>
      </c>
    </row>
    <row r="257" ht="15" customHeight="1">
      <c r="A257" t="inlineStr">
        <is>
          <t>A 36457-2020</t>
        </is>
      </c>
      <c r="B257" s="1" t="n">
        <v>44049</v>
      </c>
      <c r="C257" s="1" t="n">
        <v>45742</v>
      </c>
      <c r="D257" t="inlineStr">
        <is>
          <t>JÄMTLANDS LÄN</t>
        </is>
      </c>
      <c r="E257" t="inlineStr">
        <is>
          <t>RAGUNDA</t>
        </is>
      </c>
      <c r="F257" t="inlineStr">
        <is>
          <t>SCA</t>
        </is>
      </c>
      <c r="G257" t="n">
        <v>2.5</v>
      </c>
      <c r="H257" t="n">
        <v>1</v>
      </c>
      <c r="I257" t="n">
        <v>1</v>
      </c>
      <c r="J257" t="n">
        <v>0</v>
      </c>
      <c r="K257" t="n">
        <v>0</v>
      </c>
      <c r="L257" t="n">
        <v>0</v>
      </c>
      <c r="M257" t="n">
        <v>0</v>
      </c>
      <c r="N257" t="n">
        <v>0</v>
      </c>
      <c r="O257" t="n">
        <v>0</v>
      </c>
      <c r="P257" t="n">
        <v>0</v>
      </c>
      <c r="Q257" t="n">
        <v>1</v>
      </c>
      <c r="R257" s="2" t="inlineStr">
        <is>
          <t>Guckusko</t>
        </is>
      </c>
      <c r="S257">
        <f>HYPERLINK("https://klasma.github.io/Logging_2303/artfynd/A 36457-2020 artfynd.xlsx", "A 36457-2020")</f>
        <v/>
      </c>
      <c r="T257">
        <f>HYPERLINK("https://klasma.github.io/Logging_2303/kartor/A 36457-2020 karta.png", "A 36457-2020")</f>
        <v/>
      </c>
      <c r="V257">
        <f>HYPERLINK("https://klasma.github.io/Logging_2303/klagomål/A 36457-2020 FSC-klagomål.docx", "A 36457-2020")</f>
        <v/>
      </c>
      <c r="W257">
        <f>HYPERLINK("https://klasma.github.io/Logging_2303/klagomålsmail/A 36457-2020 FSC-klagomål mail.docx", "A 36457-2020")</f>
        <v/>
      </c>
      <c r="X257">
        <f>HYPERLINK("https://klasma.github.io/Logging_2303/tillsyn/A 36457-2020 tillsynsbegäran.docx", "A 36457-2020")</f>
        <v/>
      </c>
      <c r="Y257">
        <f>HYPERLINK("https://klasma.github.io/Logging_2303/tillsynsmail/A 36457-2020 tillsynsbegäran mail.docx", "A 36457-2020")</f>
        <v/>
      </c>
    </row>
    <row r="258" ht="15" customHeight="1">
      <c r="A258" t="inlineStr">
        <is>
          <t>A 39060-2020</t>
        </is>
      </c>
      <c r="B258" s="1" t="n">
        <v>44062</v>
      </c>
      <c r="C258" s="1" t="n">
        <v>45742</v>
      </c>
      <c r="D258" t="inlineStr">
        <is>
          <t>JÄMTLANDS LÄN</t>
        </is>
      </c>
      <c r="E258" t="inlineStr">
        <is>
          <t>RAGUNDA</t>
        </is>
      </c>
      <c r="F258" t="inlineStr">
        <is>
          <t>SCA</t>
        </is>
      </c>
      <c r="G258" t="n">
        <v>6.5</v>
      </c>
      <c r="H258" t="n">
        <v>0</v>
      </c>
      <c r="I258" t="n">
        <v>1</v>
      </c>
      <c r="J258" t="n">
        <v>0</v>
      </c>
      <c r="K258" t="n">
        <v>0</v>
      </c>
      <c r="L258" t="n">
        <v>0</v>
      </c>
      <c r="M258" t="n">
        <v>0</v>
      </c>
      <c r="N258" t="n">
        <v>0</v>
      </c>
      <c r="O258" t="n">
        <v>0</v>
      </c>
      <c r="P258" t="n">
        <v>0</v>
      </c>
      <c r="Q258" t="n">
        <v>1</v>
      </c>
      <c r="R258" s="2" t="inlineStr">
        <is>
          <t>Stuplav</t>
        </is>
      </c>
      <c r="S258">
        <f>HYPERLINK("https://klasma.github.io/Logging_2303/artfynd/A 39060-2020 artfynd.xlsx", "A 39060-2020")</f>
        <v/>
      </c>
      <c r="T258">
        <f>HYPERLINK("https://klasma.github.io/Logging_2303/kartor/A 39060-2020 karta.png", "A 39060-2020")</f>
        <v/>
      </c>
      <c r="V258">
        <f>HYPERLINK("https://klasma.github.io/Logging_2303/klagomål/A 39060-2020 FSC-klagomål.docx", "A 39060-2020")</f>
        <v/>
      </c>
      <c r="W258">
        <f>HYPERLINK("https://klasma.github.io/Logging_2303/klagomålsmail/A 39060-2020 FSC-klagomål mail.docx", "A 39060-2020")</f>
        <v/>
      </c>
      <c r="X258">
        <f>HYPERLINK("https://klasma.github.io/Logging_2303/tillsyn/A 39060-2020 tillsynsbegäran.docx", "A 39060-2020")</f>
        <v/>
      </c>
      <c r="Y258">
        <f>HYPERLINK("https://klasma.github.io/Logging_2303/tillsynsmail/A 39060-2020 tillsynsbegäran mail.docx", "A 39060-2020")</f>
        <v/>
      </c>
    </row>
    <row r="259" ht="15" customHeight="1">
      <c r="A259" t="inlineStr">
        <is>
          <t>A 47853-2020</t>
        </is>
      </c>
      <c r="B259" s="1" t="n">
        <v>44098</v>
      </c>
      <c r="C259" s="1" t="n">
        <v>45742</v>
      </c>
      <c r="D259" t="inlineStr">
        <is>
          <t>JÄMTLANDS LÄN</t>
        </is>
      </c>
      <c r="E259" t="inlineStr">
        <is>
          <t>RAGUNDA</t>
        </is>
      </c>
      <c r="F259" t="inlineStr">
        <is>
          <t>SCA</t>
        </is>
      </c>
      <c r="G259" t="n">
        <v>5.3</v>
      </c>
      <c r="H259" t="n">
        <v>0</v>
      </c>
      <c r="I259" t="n">
        <v>0</v>
      </c>
      <c r="J259" t="n">
        <v>1</v>
      </c>
      <c r="K259" t="n">
        <v>0</v>
      </c>
      <c r="L259" t="n">
        <v>0</v>
      </c>
      <c r="M259" t="n">
        <v>0</v>
      </c>
      <c r="N259" t="n">
        <v>0</v>
      </c>
      <c r="O259" t="n">
        <v>1</v>
      </c>
      <c r="P259" t="n">
        <v>0</v>
      </c>
      <c r="Q259" t="n">
        <v>1</v>
      </c>
      <c r="R259" s="2" t="inlineStr">
        <is>
          <t>Lunglav</t>
        </is>
      </c>
      <c r="S259">
        <f>HYPERLINK("https://klasma.github.io/Logging_2303/artfynd/A 47853-2020 artfynd.xlsx", "A 47853-2020")</f>
        <v/>
      </c>
      <c r="T259">
        <f>HYPERLINK("https://klasma.github.io/Logging_2303/kartor/A 47853-2020 karta.png", "A 47853-2020")</f>
        <v/>
      </c>
      <c r="V259">
        <f>HYPERLINK("https://klasma.github.io/Logging_2303/klagomål/A 47853-2020 FSC-klagomål.docx", "A 47853-2020")</f>
        <v/>
      </c>
      <c r="W259">
        <f>HYPERLINK("https://klasma.github.io/Logging_2303/klagomålsmail/A 47853-2020 FSC-klagomål mail.docx", "A 47853-2020")</f>
        <v/>
      </c>
      <c r="X259">
        <f>HYPERLINK("https://klasma.github.io/Logging_2303/tillsyn/A 47853-2020 tillsynsbegäran.docx", "A 47853-2020")</f>
        <v/>
      </c>
      <c r="Y259">
        <f>HYPERLINK("https://klasma.github.io/Logging_2303/tillsynsmail/A 47853-2020 tillsynsbegäran mail.docx", "A 47853-2020")</f>
        <v/>
      </c>
    </row>
    <row r="260" ht="15" customHeight="1">
      <c r="A260" t="inlineStr">
        <is>
          <t>A 52898-2020</t>
        </is>
      </c>
      <c r="B260" s="1" t="n">
        <v>44119</v>
      </c>
      <c r="C260" s="1" t="n">
        <v>45742</v>
      </c>
      <c r="D260" t="inlineStr">
        <is>
          <t>JÄMTLANDS LÄN</t>
        </is>
      </c>
      <c r="E260" t="inlineStr">
        <is>
          <t>RAGUNDA</t>
        </is>
      </c>
      <c r="G260" t="n">
        <v>1.4</v>
      </c>
      <c r="H260" t="n">
        <v>1</v>
      </c>
      <c r="I260" t="n">
        <v>0</v>
      </c>
      <c r="J260" t="n">
        <v>0</v>
      </c>
      <c r="K260" t="n">
        <v>0</v>
      </c>
      <c r="L260" t="n">
        <v>0</v>
      </c>
      <c r="M260" t="n">
        <v>0</v>
      </c>
      <c r="N260" t="n">
        <v>0</v>
      </c>
      <c r="O260" t="n">
        <v>0</v>
      </c>
      <c r="P260" t="n">
        <v>0</v>
      </c>
      <c r="Q260" t="n">
        <v>1</v>
      </c>
      <c r="R260" s="2" t="inlineStr">
        <is>
          <t>Revlummer</t>
        </is>
      </c>
      <c r="S260">
        <f>HYPERLINK("https://klasma.github.io/Logging_2303/artfynd/A 52898-2020 artfynd.xlsx", "A 52898-2020")</f>
        <v/>
      </c>
      <c r="T260">
        <f>HYPERLINK("https://klasma.github.io/Logging_2303/kartor/A 52898-2020 karta.png", "A 52898-2020")</f>
        <v/>
      </c>
      <c r="V260">
        <f>HYPERLINK("https://klasma.github.io/Logging_2303/klagomål/A 52898-2020 FSC-klagomål.docx", "A 52898-2020")</f>
        <v/>
      </c>
      <c r="W260">
        <f>HYPERLINK("https://klasma.github.io/Logging_2303/klagomålsmail/A 52898-2020 FSC-klagomål mail.docx", "A 52898-2020")</f>
        <v/>
      </c>
      <c r="X260">
        <f>HYPERLINK("https://klasma.github.io/Logging_2303/tillsyn/A 52898-2020 tillsynsbegäran.docx", "A 52898-2020")</f>
        <v/>
      </c>
      <c r="Y260">
        <f>HYPERLINK("https://klasma.github.io/Logging_2303/tillsynsmail/A 52898-2020 tillsynsbegäran mail.docx", "A 52898-2020")</f>
        <v/>
      </c>
    </row>
    <row r="261" ht="15" customHeight="1">
      <c r="A261" t="inlineStr">
        <is>
          <t>A 64363-2020</t>
        </is>
      </c>
      <c r="B261" s="1" t="n">
        <v>44166</v>
      </c>
      <c r="C261" s="1" t="n">
        <v>45742</v>
      </c>
      <c r="D261" t="inlineStr">
        <is>
          <t>JÄMTLANDS LÄN</t>
        </is>
      </c>
      <c r="E261" t="inlineStr">
        <is>
          <t>RAGUNDA</t>
        </is>
      </c>
      <c r="G261" t="n">
        <v>4.5</v>
      </c>
      <c r="H261" t="n">
        <v>1</v>
      </c>
      <c r="I261" t="n">
        <v>0</v>
      </c>
      <c r="J261" t="n">
        <v>0</v>
      </c>
      <c r="K261" t="n">
        <v>1</v>
      </c>
      <c r="L261" t="n">
        <v>0</v>
      </c>
      <c r="M261" t="n">
        <v>0</v>
      </c>
      <c r="N261" t="n">
        <v>0</v>
      </c>
      <c r="O261" t="n">
        <v>1</v>
      </c>
      <c r="P261" t="n">
        <v>1</v>
      </c>
      <c r="Q261" t="n">
        <v>1</v>
      </c>
      <c r="R261" s="2" t="inlineStr">
        <is>
          <t>Bombmurkla</t>
        </is>
      </c>
      <c r="S261">
        <f>HYPERLINK("https://klasma.github.io/Logging_2303/artfynd/A 64363-2020 artfynd.xlsx", "A 64363-2020")</f>
        <v/>
      </c>
      <c r="T261">
        <f>HYPERLINK("https://klasma.github.io/Logging_2303/kartor/A 64363-2020 karta.png", "A 64363-2020")</f>
        <v/>
      </c>
      <c r="V261">
        <f>HYPERLINK("https://klasma.github.io/Logging_2303/klagomål/A 64363-2020 FSC-klagomål.docx", "A 64363-2020")</f>
        <v/>
      </c>
      <c r="W261">
        <f>HYPERLINK("https://klasma.github.io/Logging_2303/klagomålsmail/A 64363-2020 FSC-klagomål mail.docx", "A 64363-2020")</f>
        <v/>
      </c>
      <c r="X261">
        <f>HYPERLINK("https://klasma.github.io/Logging_2303/tillsyn/A 64363-2020 tillsynsbegäran.docx", "A 64363-2020")</f>
        <v/>
      </c>
      <c r="Y261">
        <f>HYPERLINK("https://klasma.github.io/Logging_2303/tillsynsmail/A 64363-2020 tillsynsbegäran mail.docx", "A 64363-2020")</f>
        <v/>
      </c>
    </row>
    <row r="262" ht="15" customHeight="1">
      <c r="A262" t="inlineStr">
        <is>
          <t>A 21037-2021</t>
        </is>
      </c>
      <c r="B262" s="1" t="n">
        <v>44319</v>
      </c>
      <c r="C262" s="1" t="n">
        <v>45742</v>
      </c>
      <c r="D262" t="inlineStr">
        <is>
          <t>JÄMTLANDS LÄN</t>
        </is>
      </c>
      <c r="E262" t="inlineStr">
        <is>
          <t>RAGUNDA</t>
        </is>
      </c>
      <c r="F262" t="inlineStr">
        <is>
          <t>Kyrkan</t>
        </is>
      </c>
      <c r="G262" t="n">
        <v>0.8</v>
      </c>
      <c r="H262" t="n">
        <v>0</v>
      </c>
      <c r="I262" t="n">
        <v>0</v>
      </c>
      <c r="J262" t="n">
        <v>1</v>
      </c>
      <c r="K262" t="n">
        <v>0</v>
      </c>
      <c r="L262" t="n">
        <v>0</v>
      </c>
      <c r="M262" t="n">
        <v>0</v>
      </c>
      <c r="N262" t="n">
        <v>0</v>
      </c>
      <c r="O262" t="n">
        <v>1</v>
      </c>
      <c r="P262" t="n">
        <v>0</v>
      </c>
      <c r="Q262" t="n">
        <v>1</v>
      </c>
      <c r="R262" s="2" t="inlineStr">
        <is>
          <t>Olivbrun gytterlav</t>
        </is>
      </c>
      <c r="S262">
        <f>HYPERLINK("https://klasma.github.io/Logging_2303/artfynd/A 21037-2021 artfynd.xlsx", "A 21037-2021")</f>
        <v/>
      </c>
      <c r="T262">
        <f>HYPERLINK("https://klasma.github.io/Logging_2303/kartor/A 21037-2021 karta.png", "A 21037-2021")</f>
        <v/>
      </c>
      <c r="V262">
        <f>HYPERLINK("https://klasma.github.io/Logging_2303/klagomål/A 21037-2021 FSC-klagomål.docx", "A 21037-2021")</f>
        <v/>
      </c>
      <c r="W262">
        <f>HYPERLINK("https://klasma.github.io/Logging_2303/klagomålsmail/A 21037-2021 FSC-klagomål mail.docx", "A 21037-2021")</f>
        <v/>
      </c>
      <c r="X262">
        <f>HYPERLINK("https://klasma.github.io/Logging_2303/tillsyn/A 21037-2021 tillsynsbegäran.docx", "A 21037-2021")</f>
        <v/>
      </c>
      <c r="Y262">
        <f>HYPERLINK("https://klasma.github.io/Logging_2303/tillsynsmail/A 21037-2021 tillsynsbegäran mail.docx", "A 21037-2021")</f>
        <v/>
      </c>
    </row>
    <row r="263" ht="15" customHeight="1">
      <c r="A263" t="inlineStr">
        <is>
          <t>A 31773-2021</t>
        </is>
      </c>
      <c r="B263" s="1" t="n">
        <v>44369</v>
      </c>
      <c r="C263" s="1" t="n">
        <v>45742</v>
      </c>
      <c r="D263" t="inlineStr">
        <is>
          <t>JÄMTLANDS LÄN</t>
        </is>
      </c>
      <c r="E263" t="inlineStr">
        <is>
          <t>RAGUNDA</t>
        </is>
      </c>
      <c r="G263" t="n">
        <v>0.8</v>
      </c>
      <c r="H263" t="n">
        <v>0</v>
      </c>
      <c r="I263" t="n">
        <v>0</v>
      </c>
      <c r="J263" t="n">
        <v>0</v>
      </c>
      <c r="K263" t="n">
        <v>1</v>
      </c>
      <c r="L263" t="n">
        <v>0</v>
      </c>
      <c r="M263" t="n">
        <v>0</v>
      </c>
      <c r="N263" t="n">
        <v>0</v>
      </c>
      <c r="O263" t="n">
        <v>1</v>
      </c>
      <c r="P263" t="n">
        <v>1</v>
      </c>
      <c r="Q263" t="n">
        <v>1</v>
      </c>
      <c r="R263" s="2" t="inlineStr">
        <is>
          <t>Strandsandjägare</t>
        </is>
      </c>
      <c r="S263">
        <f>HYPERLINK("https://klasma.github.io/Logging_2303/artfynd/A 31773-2021 artfynd.xlsx", "A 31773-2021")</f>
        <v/>
      </c>
      <c r="T263">
        <f>HYPERLINK("https://klasma.github.io/Logging_2303/kartor/A 31773-2021 karta.png", "A 31773-2021")</f>
        <v/>
      </c>
      <c r="V263">
        <f>HYPERLINK("https://klasma.github.io/Logging_2303/klagomål/A 31773-2021 FSC-klagomål.docx", "A 31773-2021")</f>
        <v/>
      </c>
      <c r="W263">
        <f>HYPERLINK("https://klasma.github.io/Logging_2303/klagomålsmail/A 31773-2021 FSC-klagomål mail.docx", "A 31773-2021")</f>
        <v/>
      </c>
      <c r="X263">
        <f>HYPERLINK("https://klasma.github.io/Logging_2303/tillsyn/A 31773-2021 tillsynsbegäran.docx", "A 31773-2021")</f>
        <v/>
      </c>
      <c r="Y263">
        <f>HYPERLINK("https://klasma.github.io/Logging_2303/tillsynsmail/A 31773-2021 tillsynsbegäran mail.docx", "A 31773-2021")</f>
        <v/>
      </c>
    </row>
    <row r="264" ht="15" customHeight="1">
      <c r="A264" t="inlineStr">
        <is>
          <t>A 42546-2021</t>
        </is>
      </c>
      <c r="B264" s="1" t="n">
        <v>44428</v>
      </c>
      <c r="C264" s="1" t="n">
        <v>45742</v>
      </c>
      <c r="D264" t="inlineStr">
        <is>
          <t>JÄMTLANDS LÄN</t>
        </is>
      </c>
      <c r="E264" t="inlineStr">
        <is>
          <t>RAGUNDA</t>
        </is>
      </c>
      <c r="F264" t="inlineStr">
        <is>
          <t>SCA</t>
        </is>
      </c>
      <c r="G264" t="n">
        <v>5.6</v>
      </c>
      <c r="H264" t="n">
        <v>0</v>
      </c>
      <c r="I264" t="n">
        <v>0</v>
      </c>
      <c r="J264" t="n">
        <v>1</v>
      </c>
      <c r="K264" t="n">
        <v>0</v>
      </c>
      <c r="L264" t="n">
        <v>0</v>
      </c>
      <c r="M264" t="n">
        <v>0</v>
      </c>
      <c r="N264" t="n">
        <v>0</v>
      </c>
      <c r="O264" t="n">
        <v>1</v>
      </c>
      <c r="P264" t="n">
        <v>0</v>
      </c>
      <c r="Q264" t="n">
        <v>1</v>
      </c>
      <c r="R264" s="2" t="inlineStr">
        <is>
          <t>Dvärgbägarlav</t>
        </is>
      </c>
      <c r="S264">
        <f>HYPERLINK("https://klasma.github.io/Logging_2303/artfynd/A 42546-2021 artfynd.xlsx", "A 42546-2021")</f>
        <v/>
      </c>
      <c r="T264">
        <f>HYPERLINK("https://klasma.github.io/Logging_2303/kartor/A 42546-2021 karta.png", "A 42546-2021")</f>
        <v/>
      </c>
      <c r="V264">
        <f>HYPERLINK("https://klasma.github.io/Logging_2303/klagomål/A 42546-2021 FSC-klagomål.docx", "A 42546-2021")</f>
        <v/>
      </c>
      <c r="W264">
        <f>HYPERLINK("https://klasma.github.io/Logging_2303/klagomålsmail/A 42546-2021 FSC-klagomål mail.docx", "A 42546-2021")</f>
        <v/>
      </c>
      <c r="X264">
        <f>HYPERLINK("https://klasma.github.io/Logging_2303/tillsyn/A 42546-2021 tillsynsbegäran.docx", "A 42546-2021")</f>
        <v/>
      </c>
      <c r="Y264">
        <f>HYPERLINK("https://klasma.github.io/Logging_2303/tillsynsmail/A 42546-2021 tillsynsbegäran mail.docx", "A 42546-2021")</f>
        <v/>
      </c>
    </row>
    <row r="265" ht="15" customHeight="1">
      <c r="A265" t="inlineStr">
        <is>
          <t>A 51916-2021</t>
        </is>
      </c>
      <c r="B265" s="1" t="n">
        <v>44462</v>
      </c>
      <c r="C265" s="1" t="n">
        <v>45742</v>
      </c>
      <c r="D265" t="inlineStr">
        <is>
          <t>JÄMTLANDS LÄN</t>
        </is>
      </c>
      <c r="E265" t="inlineStr">
        <is>
          <t>RAGUNDA</t>
        </is>
      </c>
      <c r="F265" t="inlineStr">
        <is>
          <t>SCA</t>
        </is>
      </c>
      <c r="G265" t="n">
        <v>3</v>
      </c>
      <c r="H265" t="n">
        <v>1</v>
      </c>
      <c r="I265" t="n">
        <v>0</v>
      </c>
      <c r="J265" t="n">
        <v>1</v>
      </c>
      <c r="K265" t="n">
        <v>0</v>
      </c>
      <c r="L265" t="n">
        <v>0</v>
      </c>
      <c r="M265" t="n">
        <v>0</v>
      </c>
      <c r="N265" t="n">
        <v>0</v>
      </c>
      <c r="O265" t="n">
        <v>1</v>
      </c>
      <c r="P265" t="n">
        <v>0</v>
      </c>
      <c r="Q265" t="n">
        <v>1</v>
      </c>
      <c r="R265" s="2" t="inlineStr">
        <is>
          <t>Varglav</t>
        </is>
      </c>
      <c r="S265">
        <f>HYPERLINK("https://klasma.github.io/Logging_2303/artfynd/A 51916-2021 artfynd.xlsx", "A 51916-2021")</f>
        <v/>
      </c>
      <c r="T265">
        <f>HYPERLINK("https://klasma.github.io/Logging_2303/kartor/A 51916-2021 karta.png", "A 51916-2021")</f>
        <v/>
      </c>
      <c r="V265">
        <f>HYPERLINK("https://klasma.github.io/Logging_2303/klagomål/A 51916-2021 FSC-klagomål.docx", "A 51916-2021")</f>
        <v/>
      </c>
      <c r="W265">
        <f>HYPERLINK("https://klasma.github.io/Logging_2303/klagomålsmail/A 51916-2021 FSC-klagomål mail.docx", "A 51916-2021")</f>
        <v/>
      </c>
      <c r="X265">
        <f>HYPERLINK("https://klasma.github.io/Logging_2303/tillsyn/A 51916-2021 tillsynsbegäran.docx", "A 51916-2021")</f>
        <v/>
      </c>
      <c r="Y265">
        <f>HYPERLINK("https://klasma.github.io/Logging_2303/tillsynsmail/A 51916-2021 tillsynsbegäran mail.docx", "A 51916-2021")</f>
        <v/>
      </c>
    </row>
    <row r="266" ht="15" customHeight="1">
      <c r="A266" t="inlineStr">
        <is>
          <t>A 6550-2022</t>
        </is>
      </c>
      <c r="B266" s="1" t="n">
        <v>44601</v>
      </c>
      <c r="C266" s="1" t="n">
        <v>45742</v>
      </c>
      <c r="D266" t="inlineStr">
        <is>
          <t>JÄMTLANDS LÄN</t>
        </is>
      </c>
      <c r="E266" t="inlineStr">
        <is>
          <t>RAGUNDA</t>
        </is>
      </c>
      <c r="G266" t="n">
        <v>2.3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6550-2022 artfynd.xlsx", "A 6550-2022")</f>
        <v/>
      </c>
      <c r="T266">
        <f>HYPERLINK("https://klasma.github.io/Logging_2303/kartor/A 6550-2022 karta.png", "A 6550-2022")</f>
        <v/>
      </c>
      <c r="V266">
        <f>HYPERLINK("https://klasma.github.io/Logging_2303/klagomål/A 6550-2022 FSC-klagomål.docx", "A 6550-2022")</f>
        <v/>
      </c>
      <c r="W266">
        <f>HYPERLINK("https://klasma.github.io/Logging_2303/klagomålsmail/A 6550-2022 FSC-klagomål mail.docx", "A 6550-2022")</f>
        <v/>
      </c>
      <c r="X266">
        <f>HYPERLINK("https://klasma.github.io/Logging_2303/tillsyn/A 6550-2022 tillsynsbegäran.docx", "A 6550-2022")</f>
        <v/>
      </c>
      <c r="Y266">
        <f>HYPERLINK("https://klasma.github.io/Logging_2303/tillsynsmail/A 6550-2022 tillsynsbegäran mail.docx", "A 6550-2022")</f>
        <v/>
      </c>
    </row>
    <row r="267" ht="15" customHeight="1">
      <c r="A267" t="inlineStr">
        <is>
          <t>A 7666-2022</t>
        </is>
      </c>
      <c r="B267" s="1" t="n">
        <v>44607</v>
      </c>
      <c r="C267" s="1" t="n">
        <v>45742</v>
      </c>
      <c r="D267" t="inlineStr">
        <is>
          <t>JÄMTLANDS LÄN</t>
        </is>
      </c>
      <c r="E267" t="inlineStr">
        <is>
          <t>RAGUNDA</t>
        </is>
      </c>
      <c r="F267" t="inlineStr">
        <is>
          <t>SCA</t>
        </is>
      </c>
      <c r="G267" t="n">
        <v>1.4</v>
      </c>
      <c r="H267" t="n">
        <v>0</v>
      </c>
      <c r="I267" t="n">
        <v>0</v>
      </c>
      <c r="J267" t="n">
        <v>1</v>
      </c>
      <c r="K267" t="n">
        <v>0</v>
      </c>
      <c r="L267" t="n">
        <v>0</v>
      </c>
      <c r="M267" t="n">
        <v>0</v>
      </c>
      <c r="N267" t="n">
        <v>0</v>
      </c>
      <c r="O267" t="n">
        <v>1</v>
      </c>
      <c r="P267" t="n">
        <v>0</v>
      </c>
      <c r="Q267" t="n">
        <v>1</v>
      </c>
      <c r="R267" s="2" t="inlineStr">
        <is>
          <t>Garnlav</t>
        </is>
      </c>
      <c r="S267">
        <f>HYPERLINK("https://klasma.github.io/Logging_2303/artfynd/A 7666-2022 artfynd.xlsx", "A 7666-2022")</f>
        <v/>
      </c>
      <c r="T267">
        <f>HYPERLINK("https://klasma.github.io/Logging_2303/kartor/A 7666-2022 karta.png", "A 7666-2022")</f>
        <v/>
      </c>
      <c r="V267">
        <f>HYPERLINK("https://klasma.github.io/Logging_2303/klagomål/A 7666-2022 FSC-klagomål.docx", "A 7666-2022")</f>
        <v/>
      </c>
      <c r="W267">
        <f>HYPERLINK("https://klasma.github.io/Logging_2303/klagomålsmail/A 7666-2022 FSC-klagomål mail.docx", "A 7666-2022")</f>
        <v/>
      </c>
      <c r="X267">
        <f>HYPERLINK("https://klasma.github.io/Logging_2303/tillsyn/A 7666-2022 tillsynsbegäran.docx", "A 7666-2022")</f>
        <v/>
      </c>
      <c r="Y267">
        <f>HYPERLINK("https://klasma.github.io/Logging_2303/tillsynsmail/A 7666-2022 tillsynsbegäran mail.docx", "A 7666-2022")</f>
        <v/>
      </c>
    </row>
    <row r="268" ht="15" customHeight="1">
      <c r="A268" t="inlineStr">
        <is>
          <t>A 15663-2022</t>
        </is>
      </c>
      <c r="B268" s="1" t="n">
        <v>44663</v>
      </c>
      <c r="C268" s="1" t="n">
        <v>45742</v>
      </c>
      <c r="D268" t="inlineStr">
        <is>
          <t>JÄMTLANDS LÄN</t>
        </is>
      </c>
      <c r="E268" t="inlineStr">
        <is>
          <t>RAGUNDA</t>
        </is>
      </c>
      <c r="F268" t="inlineStr">
        <is>
          <t>SCA</t>
        </is>
      </c>
      <c r="G268" t="n">
        <v>1.7</v>
      </c>
      <c r="H268" t="n">
        <v>1</v>
      </c>
      <c r="I268" t="n">
        <v>0</v>
      </c>
      <c r="J268" t="n">
        <v>0</v>
      </c>
      <c r="K268" t="n">
        <v>1</v>
      </c>
      <c r="L268" t="n">
        <v>0</v>
      </c>
      <c r="M268" t="n">
        <v>0</v>
      </c>
      <c r="N268" t="n">
        <v>0</v>
      </c>
      <c r="O268" t="n">
        <v>1</v>
      </c>
      <c r="P268" t="n">
        <v>1</v>
      </c>
      <c r="Q268" t="n">
        <v>1</v>
      </c>
      <c r="R268" s="2" t="inlineStr">
        <is>
          <t>Norna</t>
        </is>
      </c>
      <c r="S268">
        <f>HYPERLINK("https://klasma.github.io/Logging_2303/artfynd/A 15663-2022 artfynd.xlsx", "A 15663-2022")</f>
        <v/>
      </c>
      <c r="T268">
        <f>HYPERLINK("https://klasma.github.io/Logging_2303/kartor/A 15663-2022 karta.png", "A 15663-2022")</f>
        <v/>
      </c>
      <c r="V268">
        <f>HYPERLINK("https://klasma.github.io/Logging_2303/klagomål/A 15663-2022 FSC-klagomål.docx", "A 15663-2022")</f>
        <v/>
      </c>
      <c r="W268">
        <f>HYPERLINK("https://klasma.github.io/Logging_2303/klagomålsmail/A 15663-2022 FSC-klagomål mail.docx", "A 15663-2022")</f>
        <v/>
      </c>
      <c r="X268">
        <f>HYPERLINK("https://klasma.github.io/Logging_2303/tillsyn/A 15663-2022 tillsynsbegäran.docx", "A 15663-2022")</f>
        <v/>
      </c>
      <c r="Y268">
        <f>HYPERLINK("https://klasma.github.io/Logging_2303/tillsynsmail/A 15663-2022 tillsynsbegäran mail.docx", "A 15663-2022")</f>
        <v/>
      </c>
    </row>
    <row r="269" ht="15" customHeight="1">
      <c r="A269" t="inlineStr">
        <is>
          <t>A 17751-2022</t>
        </is>
      </c>
      <c r="B269" s="1" t="n">
        <v>44681</v>
      </c>
      <c r="C269" s="1" t="n">
        <v>45742</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Granticka</t>
        </is>
      </c>
      <c r="S269">
        <f>HYPERLINK("https://klasma.github.io/Logging_2303/artfynd/A 17751-2022 artfynd.xlsx", "A 17751-2022")</f>
        <v/>
      </c>
      <c r="T269">
        <f>HYPERLINK("https://klasma.github.io/Logging_2303/kartor/A 17751-2022 karta.png", "A 17751-2022")</f>
        <v/>
      </c>
      <c r="V269">
        <f>HYPERLINK("https://klasma.github.io/Logging_2303/klagomål/A 17751-2022 FSC-klagomål.docx", "A 17751-2022")</f>
        <v/>
      </c>
      <c r="W269">
        <f>HYPERLINK("https://klasma.github.io/Logging_2303/klagomålsmail/A 17751-2022 FSC-klagomål mail.docx", "A 17751-2022")</f>
        <v/>
      </c>
      <c r="X269">
        <f>HYPERLINK("https://klasma.github.io/Logging_2303/tillsyn/A 17751-2022 tillsynsbegäran.docx", "A 17751-2022")</f>
        <v/>
      </c>
      <c r="Y269">
        <f>HYPERLINK("https://klasma.github.io/Logging_2303/tillsynsmail/A 17751-2022 tillsynsbegäran mail.docx", "A 17751-2022")</f>
        <v/>
      </c>
    </row>
    <row r="270" ht="15" customHeight="1">
      <c r="A270" t="inlineStr">
        <is>
          <t>A 21275-2022</t>
        </is>
      </c>
      <c r="B270" s="1" t="n">
        <v>44705</v>
      </c>
      <c r="C270" s="1" t="n">
        <v>45742</v>
      </c>
      <c r="D270" t="inlineStr">
        <is>
          <t>JÄMTLANDS LÄN</t>
        </is>
      </c>
      <c r="E270" t="inlineStr">
        <is>
          <t>RAGUNDA</t>
        </is>
      </c>
      <c r="G270" t="n">
        <v>2.2</v>
      </c>
      <c r="H270" t="n">
        <v>0</v>
      </c>
      <c r="I270" t="n">
        <v>1</v>
      </c>
      <c r="J270" t="n">
        <v>0</v>
      </c>
      <c r="K270" t="n">
        <v>0</v>
      </c>
      <c r="L270" t="n">
        <v>0</v>
      </c>
      <c r="M270" t="n">
        <v>0</v>
      </c>
      <c r="N270" t="n">
        <v>0</v>
      </c>
      <c r="O270" t="n">
        <v>0</v>
      </c>
      <c r="P270" t="n">
        <v>0</v>
      </c>
      <c r="Q270" t="n">
        <v>1</v>
      </c>
      <c r="R270" s="2" t="inlineStr">
        <is>
          <t>Kransrams</t>
        </is>
      </c>
      <c r="S270">
        <f>HYPERLINK("https://klasma.github.io/Logging_2303/artfynd/A 21275-2022 artfynd.xlsx", "A 21275-2022")</f>
        <v/>
      </c>
      <c r="T270">
        <f>HYPERLINK("https://klasma.github.io/Logging_2303/kartor/A 21275-2022 karta.png", "A 21275-2022")</f>
        <v/>
      </c>
      <c r="V270">
        <f>HYPERLINK("https://klasma.github.io/Logging_2303/klagomål/A 21275-2022 FSC-klagomål.docx", "A 21275-2022")</f>
        <v/>
      </c>
      <c r="W270">
        <f>HYPERLINK("https://klasma.github.io/Logging_2303/klagomålsmail/A 21275-2022 FSC-klagomål mail.docx", "A 21275-2022")</f>
        <v/>
      </c>
      <c r="X270">
        <f>HYPERLINK("https://klasma.github.io/Logging_2303/tillsyn/A 21275-2022 tillsynsbegäran.docx", "A 21275-2022")</f>
        <v/>
      </c>
      <c r="Y270">
        <f>HYPERLINK("https://klasma.github.io/Logging_2303/tillsynsmail/A 21275-2022 tillsynsbegäran mail.docx", "A 21275-2022")</f>
        <v/>
      </c>
    </row>
    <row r="271" ht="15" customHeight="1">
      <c r="A271" t="inlineStr">
        <is>
          <t>A 27273-2022</t>
        </is>
      </c>
      <c r="B271" s="1" t="n">
        <v>44741</v>
      </c>
      <c r="C271" s="1" t="n">
        <v>45742</v>
      </c>
      <c r="D271" t="inlineStr">
        <is>
          <t>JÄMTLANDS LÄN</t>
        </is>
      </c>
      <c r="E271" t="inlineStr">
        <is>
          <t>RAGUNDA</t>
        </is>
      </c>
      <c r="G271" t="n">
        <v>1.2</v>
      </c>
      <c r="H271" t="n">
        <v>0</v>
      </c>
      <c r="I271" t="n">
        <v>1</v>
      </c>
      <c r="J271" t="n">
        <v>0</v>
      </c>
      <c r="K271" t="n">
        <v>0</v>
      </c>
      <c r="L271" t="n">
        <v>0</v>
      </c>
      <c r="M271" t="n">
        <v>0</v>
      </c>
      <c r="N271" t="n">
        <v>0</v>
      </c>
      <c r="O271" t="n">
        <v>0</v>
      </c>
      <c r="P271" t="n">
        <v>0</v>
      </c>
      <c r="Q271" t="n">
        <v>1</v>
      </c>
      <c r="R271" s="2" t="inlineStr">
        <is>
          <t>Svart trolldruva</t>
        </is>
      </c>
      <c r="S271">
        <f>HYPERLINK("https://klasma.github.io/Logging_2303/artfynd/A 27273-2022 artfynd.xlsx", "A 27273-2022")</f>
        <v/>
      </c>
      <c r="T271">
        <f>HYPERLINK("https://klasma.github.io/Logging_2303/kartor/A 27273-2022 karta.png", "A 27273-2022")</f>
        <v/>
      </c>
      <c r="V271">
        <f>HYPERLINK("https://klasma.github.io/Logging_2303/klagomål/A 27273-2022 FSC-klagomål.docx", "A 27273-2022")</f>
        <v/>
      </c>
      <c r="W271">
        <f>HYPERLINK("https://klasma.github.io/Logging_2303/klagomålsmail/A 27273-2022 FSC-klagomål mail.docx", "A 27273-2022")</f>
        <v/>
      </c>
      <c r="X271">
        <f>HYPERLINK("https://klasma.github.io/Logging_2303/tillsyn/A 27273-2022 tillsynsbegäran.docx", "A 27273-2022")</f>
        <v/>
      </c>
      <c r="Y271">
        <f>HYPERLINK("https://klasma.github.io/Logging_2303/tillsynsmail/A 27273-2022 tillsynsbegäran mail.docx", "A 27273-2022")</f>
        <v/>
      </c>
    </row>
    <row r="272" ht="15" customHeight="1">
      <c r="A272" t="inlineStr">
        <is>
          <t>A 27286-2022</t>
        </is>
      </c>
      <c r="B272" s="1" t="n">
        <v>44741</v>
      </c>
      <c r="C272" s="1" t="n">
        <v>45742</v>
      </c>
      <c r="D272" t="inlineStr">
        <is>
          <t>JÄMTLANDS LÄN</t>
        </is>
      </c>
      <c r="E272" t="inlineStr">
        <is>
          <t>RAGUNDA</t>
        </is>
      </c>
      <c r="F272" t="inlineStr">
        <is>
          <t>SCA</t>
        </is>
      </c>
      <c r="G272" t="n">
        <v>3.1</v>
      </c>
      <c r="H272" t="n">
        <v>0</v>
      </c>
      <c r="I272" t="n">
        <v>0</v>
      </c>
      <c r="J272" t="n">
        <v>1</v>
      </c>
      <c r="K272" t="n">
        <v>0</v>
      </c>
      <c r="L272" t="n">
        <v>0</v>
      </c>
      <c r="M272" t="n">
        <v>0</v>
      </c>
      <c r="N272" t="n">
        <v>0</v>
      </c>
      <c r="O272" t="n">
        <v>1</v>
      </c>
      <c r="P272" t="n">
        <v>0</v>
      </c>
      <c r="Q272" t="n">
        <v>1</v>
      </c>
      <c r="R272" s="2" t="inlineStr">
        <is>
          <t>Harticka</t>
        </is>
      </c>
      <c r="S272">
        <f>HYPERLINK("https://klasma.github.io/Logging_2303/artfynd/A 27286-2022 artfynd.xlsx", "A 27286-2022")</f>
        <v/>
      </c>
      <c r="T272">
        <f>HYPERLINK("https://klasma.github.io/Logging_2303/kartor/A 27286-2022 karta.png", "A 27286-2022")</f>
        <v/>
      </c>
      <c r="V272">
        <f>HYPERLINK("https://klasma.github.io/Logging_2303/klagomål/A 27286-2022 FSC-klagomål.docx", "A 27286-2022")</f>
        <v/>
      </c>
      <c r="W272">
        <f>HYPERLINK("https://klasma.github.io/Logging_2303/klagomålsmail/A 27286-2022 FSC-klagomål mail.docx", "A 27286-2022")</f>
        <v/>
      </c>
      <c r="X272">
        <f>HYPERLINK("https://klasma.github.io/Logging_2303/tillsyn/A 27286-2022 tillsynsbegäran.docx", "A 27286-2022")</f>
        <v/>
      </c>
      <c r="Y272">
        <f>HYPERLINK("https://klasma.github.io/Logging_2303/tillsynsmail/A 27286-2022 tillsynsbegäran mail.docx", "A 27286-2022")</f>
        <v/>
      </c>
    </row>
    <row r="273" ht="15" customHeight="1">
      <c r="A273" t="inlineStr">
        <is>
          <t>A 31477-2022</t>
        </is>
      </c>
      <c r="B273" s="1" t="n">
        <v>44775</v>
      </c>
      <c r="C273" s="1" t="n">
        <v>45742</v>
      </c>
      <c r="D273" t="inlineStr">
        <is>
          <t>JÄMTLANDS LÄN</t>
        </is>
      </c>
      <c r="E273" t="inlineStr">
        <is>
          <t>RAGUNDA</t>
        </is>
      </c>
      <c r="F273" t="inlineStr">
        <is>
          <t>SCA</t>
        </is>
      </c>
      <c r="G273" t="n">
        <v>1.8</v>
      </c>
      <c r="H273" t="n">
        <v>0</v>
      </c>
      <c r="I273" t="n">
        <v>0</v>
      </c>
      <c r="J273" t="n">
        <v>1</v>
      </c>
      <c r="K273" t="n">
        <v>0</v>
      </c>
      <c r="L273" t="n">
        <v>0</v>
      </c>
      <c r="M273" t="n">
        <v>0</v>
      </c>
      <c r="N273" t="n">
        <v>0</v>
      </c>
      <c r="O273" t="n">
        <v>1</v>
      </c>
      <c r="P273" t="n">
        <v>0</v>
      </c>
      <c r="Q273" t="n">
        <v>1</v>
      </c>
      <c r="R273" s="2" t="inlineStr">
        <is>
          <t>Garnlav</t>
        </is>
      </c>
      <c r="S273">
        <f>HYPERLINK("https://klasma.github.io/Logging_2303/artfynd/A 31477-2022 artfynd.xlsx", "A 31477-2022")</f>
        <v/>
      </c>
      <c r="T273">
        <f>HYPERLINK("https://klasma.github.io/Logging_2303/kartor/A 31477-2022 karta.png", "A 31477-2022")</f>
        <v/>
      </c>
      <c r="V273">
        <f>HYPERLINK("https://klasma.github.io/Logging_2303/klagomål/A 31477-2022 FSC-klagomål.docx", "A 31477-2022")</f>
        <v/>
      </c>
      <c r="W273">
        <f>HYPERLINK("https://klasma.github.io/Logging_2303/klagomålsmail/A 31477-2022 FSC-klagomål mail.docx", "A 31477-2022")</f>
        <v/>
      </c>
      <c r="X273">
        <f>HYPERLINK("https://klasma.github.io/Logging_2303/tillsyn/A 31477-2022 tillsynsbegäran.docx", "A 31477-2022")</f>
        <v/>
      </c>
      <c r="Y273">
        <f>HYPERLINK("https://klasma.github.io/Logging_2303/tillsynsmail/A 31477-2022 tillsynsbegäran mail.docx", "A 31477-2022")</f>
        <v/>
      </c>
    </row>
    <row r="274" ht="15" customHeight="1">
      <c r="A274" t="inlineStr">
        <is>
          <t>A 42307-2022</t>
        </is>
      </c>
      <c r="B274" s="1" t="n">
        <v>44830</v>
      </c>
      <c r="C274" s="1" t="n">
        <v>45742</v>
      </c>
      <c r="D274" t="inlineStr">
        <is>
          <t>JÄMTLANDS LÄN</t>
        </is>
      </c>
      <c r="E274" t="inlineStr">
        <is>
          <t>RAGUNDA</t>
        </is>
      </c>
      <c r="F274" t="inlineStr">
        <is>
          <t>SCA</t>
        </is>
      </c>
      <c r="G274" t="n">
        <v>2.6</v>
      </c>
      <c r="H274" t="n">
        <v>0</v>
      </c>
      <c r="I274" t="n">
        <v>0</v>
      </c>
      <c r="J274" t="n">
        <v>0</v>
      </c>
      <c r="K274" t="n">
        <v>1</v>
      </c>
      <c r="L274" t="n">
        <v>0</v>
      </c>
      <c r="M274" t="n">
        <v>0</v>
      </c>
      <c r="N274" t="n">
        <v>0</v>
      </c>
      <c r="O274" t="n">
        <v>1</v>
      </c>
      <c r="P274" t="n">
        <v>1</v>
      </c>
      <c r="Q274" t="n">
        <v>1</v>
      </c>
      <c r="R274" s="2" t="inlineStr">
        <is>
          <t>Smalskaftslav</t>
        </is>
      </c>
      <c r="S274">
        <f>HYPERLINK("https://klasma.github.io/Logging_2303/artfynd/A 42307-2022 artfynd.xlsx", "A 42307-2022")</f>
        <v/>
      </c>
      <c r="T274">
        <f>HYPERLINK("https://klasma.github.io/Logging_2303/kartor/A 42307-2022 karta.png", "A 42307-2022")</f>
        <v/>
      </c>
      <c r="V274">
        <f>HYPERLINK("https://klasma.github.io/Logging_2303/klagomål/A 42307-2022 FSC-klagomål.docx", "A 42307-2022")</f>
        <v/>
      </c>
      <c r="W274">
        <f>HYPERLINK("https://klasma.github.io/Logging_2303/klagomålsmail/A 42307-2022 FSC-klagomål mail.docx", "A 42307-2022")</f>
        <v/>
      </c>
      <c r="X274">
        <f>HYPERLINK("https://klasma.github.io/Logging_2303/tillsyn/A 42307-2022 tillsynsbegäran.docx", "A 42307-2022")</f>
        <v/>
      </c>
      <c r="Y274">
        <f>HYPERLINK("https://klasma.github.io/Logging_2303/tillsynsmail/A 42307-2022 tillsynsbegäran mail.docx", "A 42307-2022")</f>
        <v/>
      </c>
    </row>
    <row r="275" ht="15" customHeight="1">
      <c r="A275" t="inlineStr">
        <is>
          <t>A 42899-2022</t>
        </is>
      </c>
      <c r="B275" s="1" t="n">
        <v>44832</v>
      </c>
      <c r="C275" s="1" t="n">
        <v>45742</v>
      </c>
      <c r="D275" t="inlineStr">
        <is>
          <t>JÄMTLANDS LÄN</t>
        </is>
      </c>
      <c r="E275" t="inlineStr">
        <is>
          <t>RAGUNDA</t>
        </is>
      </c>
      <c r="F275" t="inlineStr">
        <is>
          <t>SCA</t>
        </is>
      </c>
      <c r="G275" t="n">
        <v>2.3</v>
      </c>
      <c r="H275" t="n">
        <v>0</v>
      </c>
      <c r="I275" t="n">
        <v>0</v>
      </c>
      <c r="J275" t="n">
        <v>1</v>
      </c>
      <c r="K275" t="n">
        <v>0</v>
      </c>
      <c r="L275" t="n">
        <v>0</v>
      </c>
      <c r="M275" t="n">
        <v>0</v>
      </c>
      <c r="N275" t="n">
        <v>0</v>
      </c>
      <c r="O275" t="n">
        <v>1</v>
      </c>
      <c r="P275" t="n">
        <v>0</v>
      </c>
      <c r="Q275" t="n">
        <v>1</v>
      </c>
      <c r="R275" s="2" t="inlineStr">
        <is>
          <t>Ullticka</t>
        </is>
      </c>
      <c r="S275">
        <f>HYPERLINK("https://klasma.github.io/Logging_2303/artfynd/A 42899-2022 artfynd.xlsx", "A 42899-2022")</f>
        <v/>
      </c>
      <c r="T275">
        <f>HYPERLINK("https://klasma.github.io/Logging_2303/kartor/A 42899-2022 karta.png", "A 42899-2022")</f>
        <v/>
      </c>
      <c r="V275">
        <f>HYPERLINK("https://klasma.github.io/Logging_2303/klagomål/A 42899-2022 FSC-klagomål.docx", "A 42899-2022")</f>
        <v/>
      </c>
      <c r="W275">
        <f>HYPERLINK("https://klasma.github.io/Logging_2303/klagomålsmail/A 42899-2022 FSC-klagomål mail.docx", "A 42899-2022")</f>
        <v/>
      </c>
      <c r="X275">
        <f>HYPERLINK("https://klasma.github.io/Logging_2303/tillsyn/A 42899-2022 tillsynsbegäran.docx", "A 42899-2022")</f>
        <v/>
      </c>
      <c r="Y275">
        <f>HYPERLINK("https://klasma.github.io/Logging_2303/tillsynsmail/A 42899-2022 tillsynsbegäran mail.docx", "A 42899-2022")</f>
        <v/>
      </c>
    </row>
    <row r="276" ht="15" customHeight="1">
      <c r="A276" t="inlineStr">
        <is>
          <t>A 48063-2022</t>
        </is>
      </c>
      <c r="B276" s="1" t="n">
        <v>44855</v>
      </c>
      <c r="C276" s="1" t="n">
        <v>45742</v>
      </c>
      <c r="D276" t="inlineStr">
        <is>
          <t>JÄMTLANDS LÄN</t>
        </is>
      </c>
      <c r="E276" t="inlineStr">
        <is>
          <t>RAGUNDA</t>
        </is>
      </c>
      <c r="F276" t="inlineStr">
        <is>
          <t>SCA</t>
        </is>
      </c>
      <c r="G276" t="n">
        <v>3.3</v>
      </c>
      <c r="H276" t="n">
        <v>0</v>
      </c>
      <c r="I276" t="n">
        <v>1</v>
      </c>
      <c r="J276" t="n">
        <v>0</v>
      </c>
      <c r="K276" t="n">
        <v>0</v>
      </c>
      <c r="L276" t="n">
        <v>0</v>
      </c>
      <c r="M276" t="n">
        <v>0</v>
      </c>
      <c r="N276" t="n">
        <v>0</v>
      </c>
      <c r="O276" t="n">
        <v>0</v>
      </c>
      <c r="P276" t="n">
        <v>0</v>
      </c>
      <c r="Q276" t="n">
        <v>1</v>
      </c>
      <c r="R276" s="2" t="inlineStr">
        <is>
          <t>Källmossa</t>
        </is>
      </c>
      <c r="S276">
        <f>HYPERLINK("https://klasma.github.io/Logging_2303/artfynd/A 48063-2022 artfynd.xlsx", "A 48063-2022")</f>
        <v/>
      </c>
      <c r="T276">
        <f>HYPERLINK("https://klasma.github.io/Logging_2303/kartor/A 48063-2022 karta.png", "A 48063-2022")</f>
        <v/>
      </c>
      <c r="V276">
        <f>HYPERLINK("https://klasma.github.io/Logging_2303/klagomål/A 48063-2022 FSC-klagomål.docx", "A 48063-2022")</f>
        <v/>
      </c>
      <c r="W276">
        <f>HYPERLINK("https://klasma.github.io/Logging_2303/klagomålsmail/A 48063-2022 FSC-klagomål mail.docx", "A 48063-2022")</f>
        <v/>
      </c>
      <c r="X276">
        <f>HYPERLINK("https://klasma.github.io/Logging_2303/tillsyn/A 48063-2022 tillsynsbegäran.docx", "A 48063-2022")</f>
        <v/>
      </c>
      <c r="Y276">
        <f>HYPERLINK("https://klasma.github.io/Logging_2303/tillsynsmail/A 48063-2022 tillsynsbegäran mail.docx", "A 48063-2022")</f>
        <v/>
      </c>
    </row>
    <row r="277" ht="15" customHeight="1">
      <c r="A277" t="inlineStr">
        <is>
          <t>A 49091-2022</t>
        </is>
      </c>
      <c r="B277" s="1" t="n">
        <v>44860</v>
      </c>
      <c r="C277" s="1" t="n">
        <v>45742</v>
      </c>
      <c r="D277" t="inlineStr">
        <is>
          <t>JÄMTLANDS LÄN</t>
        </is>
      </c>
      <c r="E277" t="inlineStr">
        <is>
          <t>RAGUNDA</t>
        </is>
      </c>
      <c r="G277" t="n">
        <v>3.5</v>
      </c>
      <c r="H277" t="n">
        <v>1</v>
      </c>
      <c r="I277" t="n">
        <v>0</v>
      </c>
      <c r="J277" t="n">
        <v>0</v>
      </c>
      <c r="K277" t="n">
        <v>1</v>
      </c>
      <c r="L277" t="n">
        <v>0</v>
      </c>
      <c r="M277" t="n">
        <v>0</v>
      </c>
      <c r="N277" t="n">
        <v>0</v>
      </c>
      <c r="O277" t="n">
        <v>1</v>
      </c>
      <c r="P277" t="n">
        <v>1</v>
      </c>
      <c r="Q277" t="n">
        <v>1</v>
      </c>
      <c r="R277" s="2" t="inlineStr">
        <is>
          <t>Doftticka</t>
        </is>
      </c>
      <c r="S277">
        <f>HYPERLINK("https://klasma.github.io/Logging_2303/artfynd/A 49091-2022 artfynd.xlsx", "A 49091-2022")</f>
        <v/>
      </c>
      <c r="T277">
        <f>HYPERLINK("https://klasma.github.io/Logging_2303/kartor/A 49091-2022 karta.png", "A 49091-2022")</f>
        <v/>
      </c>
      <c r="V277">
        <f>HYPERLINK("https://klasma.github.io/Logging_2303/klagomål/A 49091-2022 FSC-klagomål.docx", "A 49091-2022")</f>
        <v/>
      </c>
      <c r="W277">
        <f>HYPERLINK("https://klasma.github.io/Logging_2303/klagomålsmail/A 49091-2022 FSC-klagomål mail.docx", "A 49091-2022")</f>
        <v/>
      </c>
      <c r="X277">
        <f>HYPERLINK("https://klasma.github.io/Logging_2303/tillsyn/A 49091-2022 tillsynsbegäran.docx", "A 49091-2022")</f>
        <v/>
      </c>
      <c r="Y277">
        <f>HYPERLINK("https://klasma.github.io/Logging_2303/tillsynsmail/A 49091-2022 tillsynsbegäran mail.docx", "A 49091-2022")</f>
        <v/>
      </c>
    </row>
    <row r="278" ht="15" customHeight="1">
      <c r="A278" t="inlineStr">
        <is>
          <t>A 50089-2022</t>
        </is>
      </c>
      <c r="B278" s="1" t="n">
        <v>44865</v>
      </c>
      <c r="C278" s="1" t="n">
        <v>45742</v>
      </c>
      <c r="D278" t="inlineStr">
        <is>
          <t>JÄMTLANDS LÄN</t>
        </is>
      </c>
      <c r="E278" t="inlineStr">
        <is>
          <t>RAGUNDA</t>
        </is>
      </c>
      <c r="G278" t="n">
        <v>5.7</v>
      </c>
      <c r="H278" t="n">
        <v>1</v>
      </c>
      <c r="I278" t="n">
        <v>0</v>
      </c>
      <c r="J278" t="n">
        <v>1</v>
      </c>
      <c r="K278" t="n">
        <v>0</v>
      </c>
      <c r="L278" t="n">
        <v>0</v>
      </c>
      <c r="M278" t="n">
        <v>0</v>
      </c>
      <c r="N278" t="n">
        <v>0</v>
      </c>
      <c r="O278" t="n">
        <v>1</v>
      </c>
      <c r="P278" t="n">
        <v>0</v>
      </c>
      <c r="Q278" t="n">
        <v>1</v>
      </c>
      <c r="R278" s="2" t="inlineStr">
        <is>
          <t>Björktrast</t>
        </is>
      </c>
      <c r="S278">
        <f>HYPERLINK("https://klasma.github.io/Logging_2303/artfynd/A 50089-2022 artfynd.xlsx", "A 50089-2022")</f>
        <v/>
      </c>
      <c r="T278">
        <f>HYPERLINK("https://klasma.github.io/Logging_2303/kartor/A 50089-2022 karta.png", "A 50089-2022")</f>
        <v/>
      </c>
      <c r="V278">
        <f>HYPERLINK("https://klasma.github.io/Logging_2303/klagomål/A 50089-2022 FSC-klagomål.docx", "A 50089-2022")</f>
        <v/>
      </c>
      <c r="W278">
        <f>HYPERLINK("https://klasma.github.io/Logging_2303/klagomålsmail/A 50089-2022 FSC-klagomål mail.docx", "A 50089-2022")</f>
        <v/>
      </c>
      <c r="X278">
        <f>HYPERLINK("https://klasma.github.io/Logging_2303/tillsyn/A 50089-2022 tillsynsbegäran.docx", "A 50089-2022")</f>
        <v/>
      </c>
      <c r="Y278">
        <f>HYPERLINK("https://klasma.github.io/Logging_2303/tillsynsmail/A 50089-2022 tillsynsbegäran mail.docx", "A 50089-2022")</f>
        <v/>
      </c>
      <c r="Z278">
        <f>HYPERLINK("https://klasma.github.io/Logging_2303/fåglar/A 50089-2022 prioriterade fågelarter.docx", "A 50089-2022")</f>
        <v/>
      </c>
    </row>
    <row r="279" ht="15" customHeight="1">
      <c r="A279" t="inlineStr">
        <is>
          <t>A 11040-2023</t>
        </is>
      </c>
      <c r="B279" s="1" t="n">
        <v>44991</v>
      </c>
      <c r="C279" s="1" t="n">
        <v>45742</v>
      </c>
      <c r="D279" t="inlineStr">
        <is>
          <t>JÄMTLANDS LÄN</t>
        </is>
      </c>
      <c r="E279" t="inlineStr">
        <is>
          <t>RAGUNDA</t>
        </is>
      </c>
      <c r="F279" t="inlineStr">
        <is>
          <t>SCA</t>
        </is>
      </c>
      <c r="G279" t="n">
        <v>10.2</v>
      </c>
      <c r="H279" t="n">
        <v>0</v>
      </c>
      <c r="I279" t="n">
        <v>0</v>
      </c>
      <c r="J279" t="n">
        <v>1</v>
      </c>
      <c r="K279" t="n">
        <v>0</v>
      </c>
      <c r="L279" t="n">
        <v>0</v>
      </c>
      <c r="M279" t="n">
        <v>0</v>
      </c>
      <c r="N279" t="n">
        <v>0</v>
      </c>
      <c r="O279" t="n">
        <v>1</v>
      </c>
      <c r="P279" t="n">
        <v>0</v>
      </c>
      <c r="Q279" t="n">
        <v>1</v>
      </c>
      <c r="R279" s="2" t="inlineStr">
        <is>
          <t>Lunglav</t>
        </is>
      </c>
      <c r="S279">
        <f>HYPERLINK("https://klasma.github.io/Logging_2303/artfynd/A 11040-2023 artfynd.xlsx", "A 11040-2023")</f>
        <v/>
      </c>
      <c r="T279">
        <f>HYPERLINK("https://klasma.github.io/Logging_2303/kartor/A 11040-2023 karta.png", "A 11040-2023")</f>
        <v/>
      </c>
      <c r="V279">
        <f>HYPERLINK("https://klasma.github.io/Logging_2303/klagomål/A 11040-2023 FSC-klagomål.docx", "A 11040-2023")</f>
        <v/>
      </c>
      <c r="W279">
        <f>HYPERLINK("https://klasma.github.io/Logging_2303/klagomålsmail/A 11040-2023 FSC-klagomål mail.docx", "A 11040-2023")</f>
        <v/>
      </c>
      <c r="X279">
        <f>HYPERLINK("https://klasma.github.io/Logging_2303/tillsyn/A 11040-2023 tillsynsbegäran.docx", "A 11040-2023")</f>
        <v/>
      </c>
      <c r="Y279">
        <f>HYPERLINK("https://klasma.github.io/Logging_2303/tillsynsmail/A 11040-2023 tillsynsbegäran mail.docx", "A 11040-2023")</f>
        <v/>
      </c>
    </row>
    <row r="280" ht="15" customHeight="1">
      <c r="A280" t="inlineStr">
        <is>
          <t>A 17340-2023</t>
        </is>
      </c>
      <c r="B280" s="1" t="n">
        <v>45033</v>
      </c>
      <c r="C280" s="1" t="n">
        <v>45742</v>
      </c>
      <c r="D280" t="inlineStr">
        <is>
          <t>JÄMTLANDS LÄN</t>
        </is>
      </c>
      <c r="E280" t="inlineStr">
        <is>
          <t>RAGUNDA</t>
        </is>
      </c>
      <c r="G280" t="n">
        <v>1.6</v>
      </c>
      <c r="H280" t="n">
        <v>0</v>
      </c>
      <c r="I280" t="n">
        <v>0</v>
      </c>
      <c r="J280" t="n">
        <v>1</v>
      </c>
      <c r="K280" t="n">
        <v>0</v>
      </c>
      <c r="L280" t="n">
        <v>0</v>
      </c>
      <c r="M280" t="n">
        <v>0</v>
      </c>
      <c r="N280" t="n">
        <v>0</v>
      </c>
      <c r="O280" t="n">
        <v>1</v>
      </c>
      <c r="P280" t="n">
        <v>0</v>
      </c>
      <c r="Q280" t="n">
        <v>1</v>
      </c>
      <c r="R280" s="2" t="inlineStr">
        <is>
          <t>Vedtrappmossa</t>
        </is>
      </c>
      <c r="S280">
        <f>HYPERLINK("https://klasma.github.io/Logging_2303/artfynd/A 17340-2023 artfynd.xlsx", "A 17340-2023")</f>
        <v/>
      </c>
      <c r="T280">
        <f>HYPERLINK("https://klasma.github.io/Logging_2303/kartor/A 17340-2023 karta.png", "A 17340-2023")</f>
        <v/>
      </c>
      <c r="U280">
        <f>HYPERLINK("https://klasma.github.io/Logging_2303/knärot/A 17340-2023 karta knärot.png", "A 17340-2023")</f>
        <v/>
      </c>
      <c r="V280">
        <f>HYPERLINK("https://klasma.github.io/Logging_2303/klagomål/A 17340-2023 FSC-klagomål.docx", "A 17340-2023")</f>
        <v/>
      </c>
      <c r="W280">
        <f>HYPERLINK("https://klasma.github.io/Logging_2303/klagomålsmail/A 17340-2023 FSC-klagomål mail.docx", "A 17340-2023")</f>
        <v/>
      </c>
      <c r="X280">
        <f>HYPERLINK("https://klasma.github.io/Logging_2303/tillsyn/A 17340-2023 tillsynsbegäran.docx", "A 17340-2023")</f>
        <v/>
      </c>
      <c r="Y280">
        <f>HYPERLINK("https://klasma.github.io/Logging_2303/tillsynsmail/A 17340-2023 tillsynsbegäran mail.docx", "A 17340-2023")</f>
        <v/>
      </c>
    </row>
    <row r="281" ht="15" customHeight="1">
      <c r="A281" t="inlineStr">
        <is>
          <t>A 18985-2023</t>
        </is>
      </c>
      <c r="B281" s="1" t="n">
        <v>45044</v>
      </c>
      <c r="C281" s="1" t="n">
        <v>45742</v>
      </c>
      <c r="D281" t="inlineStr">
        <is>
          <t>JÄMTLANDS LÄN</t>
        </is>
      </c>
      <c r="E281" t="inlineStr">
        <is>
          <t>RAGUNDA</t>
        </is>
      </c>
      <c r="F281" t="inlineStr">
        <is>
          <t>SCA</t>
        </is>
      </c>
      <c r="G281" t="n">
        <v>2.6</v>
      </c>
      <c r="H281" t="n">
        <v>0</v>
      </c>
      <c r="I281" t="n">
        <v>0</v>
      </c>
      <c r="J281" t="n">
        <v>1</v>
      </c>
      <c r="K281" t="n">
        <v>0</v>
      </c>
      <c r="L281" t="n">
        <v>0</v>
      </c>
      <c r="M281" t="n">
        <v>0</v>
      </c>
      <c r="N281" t="n">
        <v>0</v>
      </c>
      <c r="O281" t="n">
        <v>1</v>
      </c>
      <c r="P281" t="n">
        <v>0</v>
      </c>
      <c r="Q281" t="n">
        <v>1</v>
      </c>
      <c r="R281" s="2" t="inlineStr">
        <is>
          <t>Doftskinn</t>
        </is>
      </c>
      <c r="S281">
        <f>HYPERLINK("https://klasma.github.io/Logging_2303/artfynd/A 18985-2023 artfynd.xlsx", "A 18985-2023")</f>
        <v/>
      </c>
      <c r="T281">
        <f>HYPERLINK("https://klasma.github.io/Logging_2303/kartor/A 18985-2023 karta.png", "A 18985-2023")</f>
        <v/>
      </c>
      <c r="V281">
        <f>HYPERLINK("https://klasma.github.io/Logging_2303/klagomål/A 18985-2023 FSC-klagomål.docx", "A 18985-2023")</f>
        <v/>
      </c>
      <c r="W281">
        <f>HYPERLINK("https://klasma.github.io/Logging_2303/klagomålsmail/A 18985-2023 FSC-klagomål mail.docx", "A 18985-2023")</f>
        <v/>
      </c>
      <c r="X281">
        <f>HYPERLINK("https://klasma.github.io/Logging_2303/tillsyn/A 18985-2023 tillsynsbegäran.docx", "A 18985-2023")</f>
        <v/>
      </c>
      <c r="Y281">
        <f>HYPERLINK("https://klasma.github.io/Logging_2303/tillsynsmail/A 18985-2023 tillsynsbegäran mail.docx", "A 18985-2023")</f>
        <v/>
      </c>
    </row>
    <row r="282" ht="15" customHeight="1">
      <c r="A282" t="inlineStr">
        <is>
          <t>A 25694-2023</t>
        </is>
      </c>
      <c r="B282" s="1" t="n">
        <v>45089</v>
      </c>
      <c r="C282" s="1" t="n">
        <v>45742</v>
      </c>
      <c r="D282" t="inlineStr">
        <is>
          <t>JÄMTLANDS LÄN</t>
        </is>
      </c>
      <c r="E282" t="inlineStr">
        <is>
          <t>RAGUNDA</t>
        </is>
      </c>
      <c r="F282" t="inlineStr">
        <is>
          <t>SCA</t>
        </is>
      </c>
      <c r="G282" t="n">
        <v>1.5</v>
      </c>
      <c r="H282" t="n">
        <v>0</v>
      </c>
      <c r="I282" t="n">
        <v>0</v>
      </c>
      <c r="J282" t="n">
        <v>1</v>
      </c>
      <c r="K282" t="n">
        <v>0</v>
      </c>
      <c r="L282" t="n">
        <v>0</v>
      </c>
      <c r="M282" t="n">
        <v>0</v>
      </c>
      <c r="N282" t="n">
        <v>0</v>
      </c>
      <c r="O282" t="n">
        <v>1</v>
      </c>
      <c r="P282" t="n">
        <v>0</v>
      </c>
      <c r="Q282" t="n">
        <v>1</v>
      </c>
      <c r="R282" s="2" t="inlineStr">
        <is>
          <t>Ullticka</t>
        </is>
      </c>
      <c r="S282">
        <f>HYPERLINK("https://klasma.github.io/Logging_2303/artfynd/A 25694-2023 artfynd.xlsx", "A 25694-2023")</f>
        <v/>
      </c>
      <c r="T282">
        <f>HYPERLINK("https://klasma.github.io/Logging_2303/kartor/A 25694-2023 karta.png", "A 25694-2023")</f>
        <v/>
      </c>
      <c r="V282">
        <f>HYPERLINK("https://klasma.github.io/Logging_2303/klagomål/A 25694-2023 FSC-klagomål.docx", "A 25694-2023")</f>
        <v/>
      </c>
      <c r="W282">
        <f>HYPERLINK("https://klasma.github.io/Logging_2303/klagomålsmail/A 25694-2023 FSC-klagomål mail.docx", "A 25694-2023")</f>
        <v/>
      </c>
      <c r="X282">
        <f>HYPERLINK("https://klasma.github.io/Logging_2303/tillsyn/A 25694-2023 tillsynsbegäran.docx", "A 25694-2023")</f>
        <v/>
      </c>
      <c r="Y282">
        <f>HYPERLINK("https://klasma.github.io/Logging_2303/tillsynsmail/A 25694-2023 tillsynsbegäran mail.docx", "A 25694-2023")</f>
        <v/>
      </c>
    </row>
    <row r="283" ht="15" customHeight="1">
      <c r="A283" t="inlineStr">
        <is>
          <t>A 27683-2023</t>
        </is>
      </c>
      <c r="B283" s="1" t="n">
        <v>45097</v>
      </c>
      <c r="C283" s="1" t="n">
        <v>45742</v>
      </c>
      <c r="D283" t="inlineStr">
        <is>
          <t>JÄMTLANDS LÄN</t>
        </is>
      </c>
      <c r="E283" t="inlineStr">
        <is>
          <t>RAGUNDA</t>
        </is>
      </c>
      <c r="F283" t="inlineStr">
        <is>
          <t>SCA</t>
        </is>
      </c>
      <c r="G283" t="n">
        <v>7.3</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27683-2023 artfynd.xlsx", "A 27683-2023")</f>
        <v/>
      </c>
      <c r="T283">
        <f>HYPERLINK("https://klasma.github.io/Logging_2303/kartor/A 27683-2023 karta.png", "A 27683-2023")</f>
        <v/>
      </c>
      <c r="V283">
        <f>HYPERLINK("https://klasma.github.io/Logging_2303/klagomål/A 27683-2023 FSC-klagomål.docx", "A 27683-2023")</f>
        <v/>
      </c>
      <c r="W283">
        <f>HYPERLINK("https://klasma.github.io/Logging_2303/klagomålsmail/A 27683-2023 FSC-klagomål mail.docx", "A 27683-2023")</f>
        <v/>
      </c>
      <c r="X283">
        <f>HYPERLINK("https://klasma.github.io/Logging_2303/tillsyn/A 27683-2023 tillsynsbegäran.docx", "A 27683-2023")</f>
        <v/>
      </c>
      <c r="Y283">
        <f>HYPERLINK("https://klasma.github.io/Logging_2303/tillsynsmail/A 27683-2023 tillsynsbegäran mail.docx", "A 27683-2023")</f>
        <v/>
      </c>
    </row>
    <row r="284" ht="15" customHeight="1">
      <c r="A284" t="inlineStr">
        <is>
          <t>A 30283-2023</t>
        </is>
      </c>
      <c r="B284" s="1" t="n">
        <v>45111</v>
      </c>
      <c r="C284" s="1" t="n">
        <v>45742</v>
      </c>
      <c r="D284" t="inlineStr">
        <is>
          <t>JÄMTLANDS LÄN</t>
        </is>
      </c>
      <c r="E284" t="inlineStr">
        <is>
          <t>RAGUNDA</t>
        </is>
      </c>
      <c r="G284" t="n">
        <v>7.4</v>
      </c>
      <c r="H284" t="n">
        <v>0</v>
      </c>
      <c r="I284" t="n">
        <v>0</v>
      </c>
      <c r="J284" t="n">
        <v>1</v>
      </c>
      <c r="K284" t="n">
        <v>0</v>
      </c>
      <c r="L284" t="n">
        <v>0</v>
      </c>
      <c r="M284" t="n">
        <v>0</v>
      </c>
      <c r="N284" t="n">
        <v>0</v>
      </c>
      <c r="O284" t="n">
        <v>1</v>
      </c>
      <c r="P284" t="n">
        <v>0</v>
      </c>
      <c r="Q284" t="n">
        <v>1</v>
      </c>
      <c r="R284" s="2" t="inlineStr">
        <is>
          <t>Garnlav</t>
        </is>
      </c>
      <c r="S284">
        <f>HYPERLINK("https://klasma.github.io/Logging_2303/artfynd/A 30283-2023 artfynd.xlsx", "A 30283-2023")</f>
        <v/>
      </c>
      <c r="T284">
        <f>HYPERLINK("https://klasma.github.io/Logging_2303/kartor/A 30283-2023 karta.png", "A 30283-2023")</f>
        <v/>
      </c>
      <c r="V284">
        <f>HYPERLINK("https://klasma.github.io/Logging_2303/klagomål/A 30283-2023 FSC-klagomål.docx", "A 30283-2023")</f>
        <v/>
      </c>
      <c r="W284">
        <f>HYPERLINK("https://klasma.github.io/Logging_2303/klagomålsmail/A 30283-2023 FSC-klagomål mail.docx", "A 30283-2023")</f>
        <v/>
      </c>
      <c r="X284">
        <f>HYPERLINK("https://klasma.github.io/Logging_2303/tillsyn/A 30283-2023 tillsynsbegäran.docx", "A 30283-2023")</f>
        <v/>
      </c>
      <c r="Y284">
        <f>HYPERLINK("https://klasma.github.io/Logging_2303/tillsynsmail/A 30283-2023 tillsynsbegäran mail.docx", "A 30283-2023")</f>
        <v/>
      </c>
    </row>
    <row r="285" ht="15" customHeight="1">
      <c r="A285" t="inlineStr">
        <is>
          <t>A 35750-2023</t>
        </is>
      </c>
      <c r="B285" s="1" t="n">
        <v>45147</v>
      </c>
      <c r="C285" s="1" t="n">
        <v>45742</v>
      </c>
      <c r="D285" t="inlineStr">
        <is>
          <t>JÄMTLANDS LÄN</t>
        </is>
      </c>
      <c r="E285" t="inlineStr">
        <is>
          <t>RAGUNDA</t>
        </is>
      </c>
      <c r="F285" t="inlineStr">
        <is>
          <t>SCA</t>
        </is>
      </c>
      <c r="G285" t="n">
        <v>4.8</v>
      </c>
      <c r="H285" t="n">
        <v>0</v>
      </c>
      <c r="I285" t="n">
        <v>0</v>
      </c>
      <c r="J285" t="n">
        <v>1</v>
      </c>
      <c r="K285" t="n">
        <v>0</v>
      </c>
      <c r="L285" t="n">
        <v>0</v>
      </c>
      <c r="M285" t="n">
        <v>0</v>
      </c>
      <c r="N285" t="n">
        <v>0</v>
      </c>
      <c r="O285" t="n">
        <v>1</v>
      </c>
      <c r="P285" t="n">
        <v>0</v>
      </c>
      <c r="Q285" t="n">
        <v>1</v>
      </c>
      <c r="R285" s="2" t="inlineStr">
        <is>
          <t>Grantaggsvamp</t>
        </is>
      </c>
      <c r="S285">
        <f>HYPERLINK("https://klasma.github.io/Logging_2303/artfynd/A 35750-2023 artfynd.xlsx", "A 35750-2023")</f>
        <v/>
      </c>
      <c r="T285">
        <f>HYPERLINK("https://klasma.github.io/Logging_2303/kartor/A 35750-2023 karta.png", "A 35750-2023")</f>
        <v/>
      </c>
      <c r="V285">
        <f>HYPERLINK("https://klasma.github.io/Logging_2303/klagomål/A 35750-2023 FSC-klagomål.docx", "A 35750-2023")</f>
        <v/>
      </c>
      <c r="W285">
        <f>HYPERLINK("https://klasma.github.io/Logging_2303/klagomålsmail/A 35750-2023 FSC-klagomål mail.docx", "A 35750-2023")</f>
        <v/>
      </c>
      <c r="X285">
        <f>HYPERLINK("https://klasma.github.io/Logging_2303/tillsyn/A 35750-2023 tillsynsbegäran.docx", "A 35750-2023")</f>
        <v/>
      </c>
      <c r="Y285">
        <f>HYPERLINK("https://klasma.github.io/Logging_2303/tillsynsmail/A 35750-2023 tillsynsbegäran mail.docx", "A 35750-2023")</f>
        <v/>
      </c>
    </row>
    <row r="286" ht="15" customHeight="1">
      <c r="A286" t="inlineStr">
        <is>
          <t>A 36224-2023</t>
        </is>
      </c>
      <c r="B286" s="1" t="n">
        <v>45149</v>
      </c>
      <c r="C286" s="1" t="n">
        <v>45742</v>
      </c>
      <c r="D286" t="inlineStr">
        <is>
          <t>JÄMTLANDS LÄN</t>
        </is>
      </c>
      <c r="E286" t="inlineStr">
        <is>
          <t>RAGUNDA</t>
        </is>
      </c>
      <c r="F286" t="inlineStr">
        <is>
          <t>SCA</t>
        </is>
      </c>
      <c r="G286" t="n">
        <v>8.1</v>
      </c>
      <c r="H286" t="n">
        <v>0</v>
      </c>
      <c r="I286" t="n">
        <v>0</v>
      </c>
      <c r="J286" t="n">
        <v>1</v>
      </c>
      <c r="K286" t="n">
        <v>0</v>
      </c>
      <c r="L286" t="n">
        <v>0</v>
      </c>
      <c r="M286" t="n">
        <v>0</v>
      </c>
      <c r="N286" t="n">
        <v>0</v>
      </c>
      <c r="O286" t="n">
        <v>1</v>
      </c>
      <c r="P286" t="n">
        <v>0</v>
      </c>
      <c r="Q286" t="n">
        <v>1</v>
      </c>
      <c r="R286" s="2" t="inlineStr">
        <is>
          <t>Garnlav</t>
        </is>
      </c>
      <c r="S286">
        <f>HYPERLINK("https://klasma.github.io/Logging_2303/artfynd/A 36224-2023 artfynd.xlsx", "A 36224-2023")</f>
        <v/>
      </c>
      <c r="T286">
        <f>HYPERLINK("https://klasma.github.io/Logging_2303/kartor/A 36224-2023 karta.png", "A 36224-2023")</f>
        <v/>
      </c>
      <c r="V286">
        <f>HYPERLINK("https://klasma.github.io/Logging_2303/klagomål/A 36224-2023 FSC-klagomål.docx", "A 36224-2023")</f>
        <v/>
      </c>
      <c r="W286">
        <f>HYPERLINK("https://klasma.github.io/Logging_2303/klagomålsmail/A 36224-2023 FSC-klagomål mail.docx", "A 36224-2023")</f>
        <v/>
      </c>
      <c r="X286">
        <f>HYPERLINK("https://klasma.github.io/Logging_2303/tillsyn/A 36224-2023 tillsynsbegäran.docx", "A 36224-2023")</f>
        <v/>
      </c>
      <c r="Y286">
        <f>HYPERLINK("https://klasma.github.io/Logging_2303/tillsynsmail/A 36224-2023 tillsynsbegäran mail.docx", "A 36224-2023")</f>
        <v/>
      </c>
    </row>
    <row r="287" ht="15" customHeight="1">
      <c r="A287" t="inlineStr">
        <is>
          <t>A 36204-2023</t>
        </is>
      </c>
      <c r="B287" s="1" t="n">
        <v>45149</v>
      </c>
      <c r="C287" s="1" t="n">
        <v>45742</v>
      </c>
      <c r="D287" t="inlineStr">
        <is>
          <t>JÄMTLANDS LÄN</t>
        </is>
      </c>
      <c r="E287" t="inlineStr">
        <is>
          <t>RAGUNDA</t>
        </is>
      </c>
      <c r="F287" t="inlineStr">
        <is>
          <t>SCA</t>
        </is>
      </c>
      <c r="G287" t="n">
        <v>5.1</v>
      </c>
      <c r="H287" t="n">
        <v>0</v>
      </c>
      <c r="I287" t="n">
        <v>0</v>
      </c>
      <c r="J287" t="n">
        <v>1</v>
      </c>
      <c r="K287" t="n">
        <v>0</v>
      </c>
      <c r="L287" t="n">
        <v>0</v>
      </c>
      <c r="M287" t="n">
        <v>0</v>
      </c>
      <c r="N287" t="n">
        <v>0</v>
      </c>
      <c r="O287" t="n">
        <v>1</v>
      </c>
      <c r="P287" t="n">
        <v>0</v>
      </c>
      <c r="Q287" t="n">
        <v>1</v>
      </c>
      <c r="R287" s="2" t="inlineStr">
        <is>
          <t>Rosenticka</t>
        </is>
      </c>
      <c r="S287">
        <f>HYPERLINK("https://klasma.github.io/Logging_2303/artfynd/A 36204-2023 artfynd.xlsx", "A 36204-2023")</f>
        <v/>
      </c>
      <c r="T287">
        <f>HYPERLINK("https://klasma.github.io/Logging_2303/kartor/A 36204-2023 karta.png", "A 36204-2023")</f>
        <v/>
      </c>
      <c r="V287">
        <f>HYPERLINK("https://klasma.github.io/Logging_2303/klagomål/A 36204-2023 FSC-klagomål.docx", "A 36204-2023")</f>
        <v/>
      </c>
      <c r="W287">
        <f>HYPERLINK("https://klasma.github.io/Logging_2303/klagomålsmail/A 36204-2023 FSC-klagomål mail.docx", "A 36204-2023")</f>
        <v/>
      </c>
      <c r="X287">
        <f>HYPERLINK("https://klasma.github.io/Logging_2303/tillsyn/A 36204-2023 tillsynsbegäran.docx", "A 36204-2023")</f>
        <v/>
      </c>
      <c r="Y287">
        <f>HYPERLINK("https://klasma.github.io/Logging_2303/tillsynsmail/A 36204-2023 tillsynsbegäran mail.docx", "A 36204-2023")</f>
        <v/>
      </c>
    </row>
    <row r="288" ht="15" customHeight="1">
      <c r="A288" t="inlineStr">
        <is>
          <t>A 36225-2023</t>
        </is>
      </c>
      <c r="B288" s="1" t="n">
        <v>45149</v>
      </c>
      <c r="C288" s="1" t="n">
        <v>45742</v>
      </c>
      <c r="D288" t="inlineStr">
        <is>
          <t>JÄMTLANDS LÄN</t>
        </is>
      </c>
      <c r="E288" t="inlineStr">
        <is>
          <t>RAGUNDA</t>
        </is>
      </c>
      <c r="F288" t="inlineStr">
        <is>
          <t>SCA</t>
        </is>
      </c>
      <c r="G288" t="n">
        <v>3.9</v>
      </c>
      <c r="H288" t="n">
        <v>0</v>
      </c>
      <c r="I288" t="n">
        <v>0</v>
      </c>
      <c r="J288" t="n">
        <v>1</v>
      </c>
      <c r="K288" t="n">
        <v>0</v>
      </c>
      <c r="L288" t="n">
        <v>0</v>
      </c>
      <c r="M288" t="n">
        <v>0</v>
      </c>
      <c r="N288" t="n">
        <v>0</v>
      </c>
      <c r="O288" t="n">
        <v>1</v>
      </c>
      <c r="P288" t="n">
        <v>0</v>
      </c>
      <c r="Q288" t="n">
        <v>1</v>
      </c>
      <c r="R288" s="2" t="inlineStr">
        <is>
          <t>Lunglav</t>
        </is>
      </c>
      <c r="S288">
        <f>HYPERLINK("https://klasma.github.io/Logging_2303/artfynd/A 36225-2023 artfynd.xlsx", "A 36225-2023")</f>
        <v/>
      </c>
      <c r="T288">
        <f>HYPERLINK("https://klasma.github.io/Logging_2303/kartor/A 36225-2023 karta.png", "A 36225-2023")</f>
        <v/>
      </c>
      <c r="V288">
        <f>HYPERLINK("https://klasma.github.io/Logging_2303/klagomål/A 36225-2023 FSC-klagomål.docx", "A 36225-2023")</f>
        <v/>
      </c>
      <c r="W288">
        <f>HYPERLINK("https://klasma.github.io/Logging_2303/klagomålsmail/A 36225-2023 FSC-klagomål mail.docx", "A 36225-2023")</f>
        <v/>
      </c>
      <c r="X288">
        <f>HYPERLINK("https://klasma.github.io/Logging_2303/tillsyn/A 36225-2023 tillsynsbegäran.docx", "A 36225-2023")</f>
        <v/>
      </c>
      <c r="Y288">
        <f>HYPERLINK("https://klasma.github.io/Logging_2303/tillsynsmail/A 36225-2023 tillsynsbegäran mail.docx", "A 36225-2023")</f>
        <v/>
      </c>
    </row>
    <row r="289" ht="15" customHeight="1">
      <c r="A289" t="inlineStr">
        <is>
          <t>A 36758-2023</t>
        </is>
      </c>
      <c r="B289" s="1" t="n">
        <v>45153</v>
      </c>
      <c r="C289" s="1" t="n">
        <v>45742</v>
      </c>
      <c r="D289" t="inlineStr">
        <is>
          <t>JÄMTLANDS LÄN</t>
        </is>
      </c>
      <c r="E289" t="inlineStr">
        <is>
          <t>RAGUNDA</t>
        </is>
      </c>
      <c r="G289" t="n">
        <v>6</v>
      </c>
      <c r="H289" t="n">
        <v>0</v>
      </c>
      <c r="I289" t="n">
        <v>0</v>
      </c>
      <c r="J289" t="n">
        <v>1</v>
      </c>
      <c r="K289" t="n">
        <v>0</v>
      </c>
      <c r="L289" t="n">
        <v>0</v>
      </c>
      <c r="M289" t="n">
        <v>0</v>
      </c>
      <c r="N289" t="n">
        <v>0</v>
      </c>
      <c r="O289" t="n">
        <v>1</v>
      </c>
      <c r="P289" t="n">
        <v>0</v>
      </c>
      <c r="Q289" t="n">
        <v>1</v>
      </c>
      <c r="R289" s="2" t="inlineStr">
        <is>
          <t>Lunglav</t>
        </is>
      </c>
      <c r="S289">
        <f>HYPERLINK("https://klasma.github.io/Logging_2303/artfynd/A 36758-2023 artfynd.xlsx", "A 36758-2023")</f>
        <v/>
      </c>
      <c r="T289">
        <f>HYPERLINK("https://klasma.github.io/Logging_2303/kartor/A 36758-2023 karta.png", "A 36758-2023")</f>
        <v/>
      </c>
      <c r="V289">
        <f>HYPERLINK("https://klasma.github.io/Logging_2303/klagomål/A 36758-2023 FSC-klagomål.docx", "A 36758-2023")</f>
        <v/>
      </c>
      <c r="W289">
        <f>HYPERLINK("https://klasma.github.io/Logging_2303/klagomålsmail/A 36758-2023 FSC-klagomål mail.docx", "A 36758-2023")</f>
        <v/>
      </c>
      <c r="X289">
        <f>HYPERLINK("https://klasma.github.io/Logging_2303/tillsyn/A 36758-2023 tillsynsbegäran.docx", "A 36758-2023")</f>
        <v/>
      </c>
      <c r="Y289">
        <f>HYPERLINK("https://klasma.github.io/Logging_2303/tillsynsmail/A 36758-2023 tillsynsbegäran mail.docx", "A 36758-2023")</f>
        <v/>
      </c>
    </row>
    <row r="290" ht="15" customHeight="1">
      <c r="A290" t="inlineStr">
        <is>
          <t>A 36757-2023</t>
        </is>
      </c>
      <c r="B290" s="1" t="n">
        <v>45153</v>
      </c>
      <c r="C290" s="1" t="n">
        <v>45742</v>
      </c>
      <c r="D290" t="inlineStr">
        <is>
          <t>JÄMTLANDS LÄN</t>
        </is>
      </c>
      <c r="E290" t="inlineStr">
        <is>
          <t>RAGUNDA</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HYPERLINK("https://klasma.github.io/Logging_2303/artfynd/A 36757-2023 artfynd.xlsx", "A 36757-2023")</f>
        <v/>
      </c>
      <c r="T290">
        <f>HYPERLINK("https://klasma.github.io/Logging_2303/kartor/A 36757-2023 karta.png", "A 36757-2023")</f>
        <v/>
      </c>
      <c r="V290">
        <f>HYPERLINK("https://klasma.github.io/Logging_2303/klagomål/A 36757-2023 FSC-klagomål.docx", "A 36757-2023")</f>
        <v/>
      </c>
      <c r="W290">
        <f>HYPERLINK("https://klasma.github.io/Logging_2303/klagomålsmail/A 36757-2023 FSC-klagomål mail.docx", "A 36757-2023")</f>
        <v/>
      </c>
      <c r="X290">
        <f>HYPERLINK("https://klasma.github.io/Logging_2303/tillsyn/A 36757-2023 tillsynsbegäran.docx", "A 36757-2023")</f>
        <v/>
      </c>
      <c r="Y290">
        <f>HYPERLINK("https://klasma.github.io/Logging_2303/tillsynsmail/A 36757-2023 tillsynsbegäran mail.docx", "A 36757-2023")</f>
        <v/>
      </c>
      <c r="Z290">
        <f>HYPERLINK("https://klasma.github.io/Logging_2303/fåglar/A 36757-2023 prioriterade fågelarter.docx", "A 36757-2023")</f>
        <v/>
      </c>
    </row>
    <row r="291" ht="15" customHeight="1">
      <c r="A291" t="inlineStr">
        <is>
          <t>A 36854-2023</t>
        </is>
      </c>
      <c r="B291" s="1" t="n">
        <v>45153</v>
      </c>
      <c r="C291" s="1" t="n">
        <v>45742</v>
      </c>
      <c r="D291" t="inlineStr">
        <is>
          <t>JÄMTLANDS LÄN</t>
        </is>
      </c>
      <c r="E291" t="inlineStr">
        <is>
          <t>RAGUNDA</t>
        </is>
      </c>
      <c r="G291" t="n">
        <v>4</v>
      </c>
      <c r="H291" t="n">
        <v>1</v>
      </c>
      <c r="I291" t="n">
        <v>0</v>
      </c>
      <c r="J291" t="n">
        <v>1</v>
      </c>
      <c r="K291" t="n">
        <v>0</v>
      </c>
      <c r="L291" t="n">
        <v>0</v>
      </c>
      <c r="M291" t="n">
        <v>0</v>
      </c>
      <c r="N291" t="n">
        <v>0</v>
      </c>
      <c r="O291" t="n">
        <v>1</v>
      </c>
      <c r="P291" t="n">
        <v>0</v>
      </c>
      <c r="Q291" t="n">
        <v>1</v>
      </c>
      <c r="R291" s="2" t="inlineStr">
        <is>
          <t>Talltita</t>
        </is>
      </c>
      <c r="S291">
        <f>HYPERLINK("https://klasma.github.io/Logging_2303/artfynd/A 36854-2023 artfynd.xlsx", "A 36854-2023")</f>
        <v/>
      </c>
      <c r="T291">
        <f>HYPERLINK("https://klasma.github.io/Logging_2303/kartor/A 36854-2023 karta.png", "A 36854-2023")</f>
        <v/>
      </c>
      <c r="V291">
        <f>HYPERLINK("https://klasma.github.io/Logging_2303/klagomål/A 36854-2023 FSC-klagomål.docx", "A 36854-2023")</f>
        <v/>
      </c>
      <c r="W291">
        <f>HYPERLINK("https://klasma.github.io/Logging_2303/klagomålsmail/A 36854-2023 FSC-klagomål mail.docx", "A 36854-2023")</f>
        <v/>
      </c>
      <c r="X291">
        <f>HYPERLINK("https://klasma.github.io/Logging_2303/tillsyn/A 36854-2023 tillsynsbegäran.docx", "A 36854-2023")</f>
        <v/>
      </c>
      <c r="Y291">
        <f>HYPERLINK("https://klasma.github.io/Logging_2303/tillsynsmail/A 36854-2023 tillsynsbegäran mail.docx", "A 36854-2023")</f>
        <v/>
      </c>
      <c r="Z291">
        <f>HYPERLINK("https://klasma.github.io/Logging_2303/fåglar/A 36854-2023 prioriterade fågelarter.docx", "A 36854-2023")</f>
        <v/>
      </c>
    </row>
    <row r="292" ht="15" customHeight="1">
      <c r="A292" t="inlineStr">
        <is>
          <t>A 36975-2023</t>
        </is>
      </c>
      <c r="B292" s="1" t="n">
        <v>45154</v>
      </c>
      <c r="C292" s="1" t="n">
        <v>45742</v>
      </c>
      <c r="D292" t="inlineStr">
        <is>
          <t>JÄMTLANDS LÄN</t>
        </is>
      </c>
      <c r="E292" t="inlineStr">
        <is>
          <t>RAGUNDA</t>
        </is>
      </c>
      <c r="F292" t="inlineStr">
        <is>
          <t>SCA</t>
        </is>
      </c>
      <c r="G292" t="n">
        <v>3.8</v>
      </c>
      <c r="H292" t="n">
        <v>0</v>
      </c>
      <c r="I292" t="n">
        <v>0</v>
      </c>
      <c r="J292" t="n">
        <v>0</v>
      </c>
      <c r="K292" t="n">
        <v>1</v>
      </c>
      <c r="L292" t="n">
        <v>0</v>
      </c>
      <c r="M292" t="n">
        <v>0</v>
      </c>
      <c r="N292" t="n">
        <v>0</v>
      </c>
      <c r="O292" t="n">
        <v>1</v>
      </c>
      <c r="P292" t="n">
        <v>1</v>
      </c>
      <c r="Q292" t="n">
        <v>1</v>
      </c>
      <c r="R292" s="2" t="inlineStr">
        <is>
          <t>Gräddporing</t>
        </is>
      </c>
      <c r="S292">
        <f>HYPERLINK("https://klasma.github.io/Logging_2303/artfynd/A 36975-2023 artfynd.xlsx", "A 36975-2023")</f>
        <v/>
      </c>
      <c r="T292">
        <f>HYPERLINK("https://klasma.github.io/Logging_2303/kartor/A 36975-2023 karta.png", "A 36975-2023")</f>
        <v/>
      </c>
      <c r="V292">
        <f>HYPERLINK("https://klasma.github.io/Logging_2303/klagomål/A 36975-2023 FSC-klagomål.docx", "A 36975-2023")</f>
        <v/>
      </c>
      <c r="W292">
        <f>HYPERLINK("https://klasma.github.io/Logging_2303/klagomålsmail/A 36975-2023 FSC-klagomål mail.docx", "A 36975-2023")</f>
        <v/>
      </c>
      <c r="X292">
        <f>HYPERLINK("https://klasma.github.io/Logging_2303/tillsyn/A 36975-2023 tillsynsbegäran.docx", "A 36975-2023")</f>
        <v/>
      </c>
      <c r="Y292">
        <f>HYPERLINK("https://klasma.github.io/Logging_2303/tillsynsmail/A 36975-2023 tillsynsbegäran mail.docx", "A 36975-2023")</f>
        <v/>
      </c>
    </row>
    <row r="293" ht="15" customHeight="1">
      <c r="A293" t="inlineStr">
        <is>
          <t>A 37234-2023</t>
        </is>
      </c>
      <c r="B293" s="1" t="n">
        <v>45155</v>
      </c>
      <c r="C293" s="1" t="n">
        <v>45742</v>
      </c>
      <c r="D293" t="inlineStr">
        <is>
          <t>JÄMTLANDS LÄN</t>
        </is>
      </c>
      <c r="E293" t="inlineStr">
        <is>
          <t>RAGUNDA</t>
        </is>
      </c>
      <c r="F293" t="inlineStr">
        <is>
          <t>SCA</t>
        </is>
      </c>
      <c r="G293" t="n">
        <v>7.5</v>
      </c>
      <c r="H293" t="n">
        <v>1</v>
      </c>
      <c r="I293" t="n">
        <v>0</v>
      </c>
      <c r="J293" t="n">
        <v>0</v>
      </c>
      <c r="K293" t="n">
        <v>1</v>
      </c>
      <c r="L293" t="n">
        <v>0</v>
      </c>
      <c r="M293" t="n">
        <v>0</v>
      </c>
      <c r="N293" t="n">
        <v>0</v>
      </c>
      <c r="O293" t="n">
        <v>1</v>
      </c>
      <c r="P293" t="n">
        <v>1</v>
      </c>
      <c r="Q293" t="n">
        <v>1</v>
      </c>
      <c r="R293" s="2" t="inlineStr">
        <is>
          <t>Knärot</t>
        </is>
      </c>
      <c r="S293">
        <f>HYPERLINK("https://klasma.github.io/Logging_2303/artfynd/A 37234-2023 artfynd.xlsx", "A 37234-2023")</f>
        <v/>
      </c>
      <c r="T293">
        <f>HYPERLINK("https://klasma.github.io/Logging_2303/kartor/A 37234-2023 karta.png", "A 37234-2023")</f>
        <v/>
      </c>
      <c r="U293">
        <f>HYPERLINK("https://klasma.github.io/Logging_2303/knärot/A 37234-2023 karta knärot.png", "A 37234-2023")</f>
        <v/>
      </c>
      <c r="V293">
        <f>HYPERLINK("https://klasma.github.io/Logging_2303/klagomål/A 37234-2023 FSC-klagomål.docx", "A 37234-2023")</f>
        <v/>
      </c>
      <c r="W293">
        <f>HYPERLINK("https://klasma.github.io/Logging_2303/klagomålsmail/A 37234-2023 FSC-klagomål mail.docx", "A 37234-2023")</f>
        <v/>
      </c>
      <c r="X293">
        <f>HYPERLINK("https://klasma.github.io/Logging_2303/tillsyn/A 37234-2023 tillsynsbegäran.docx", "A 37234-2023")</f>
        <v/>
      </c>
      <c r="Y293">
        <f>HYPERLINK("https://klasma.github.io/Logging_2303/tillsynsmail/A 37234-2023 tillsynsbegäran mail.docx", "A 37234-2023")</f>
        <v/>
      </c>
    </row>
    <row r="294" ht="15" customHeight="1">
      <c r="A294" t="inlineStr">
        <is>
          <t>A 43404-2023</t>
        </is>
      </c>
      <c r="B294" s="1" t="n">
        <v>45183</v>
      </c>
      <c r="C294" s="1" t="n">
        <v>45742</v>
      </c>
      <c r="D294" t="inlineStr">
        <is>
          <t>JÄMTLANDS LÄN</t>
        </is>
      </c>
      <c r="E294" t="inlineStr">
        <is>
          <t>RAGUNDA</t>
        </is>
      </c>
      <c r="F294" t="inlineStr">
        <is>
          <t>SCA</t>
        </is>
      </c>
      <c r="G294" t="n">
        <v>0.9</v>
      </c>
      <c r="H294" t="n">
        <v>0</v>
      </c>
      <c r="I294" t="n">
        <v>1</v>
      </c>
      <c r="J294" t="n">
        <v>0</v>
      </c>
      <c r="K294" t="n">
        <v>0</v>
      </c>
      <c r="L294" t="n">
        <v>0</v>
      </c>
      <c r="M294" t="n">
        <v>0</v>
      </c>
      <c r="N294" t="n">
        <v>0</v>
      </c>
      <c r="O294" t="n">
        <v>0</v>
      </c>
      <c r="P294" t="n">
        <v>0</v>
      </c>
      <c r="Q294" t="n">
        <v>1</v>
      </c>
      <c r="R294" s="2" t="inlineStr">
        <is>
          <t>Kryddspindling</t>
        </is>
      </c>
      <c r="S294">
        <f>HYPERLINK("https://klasma.github.io/Logging_2303/artfynd/A 43404-2023 artfynd.xlsx", "A 43404-2023")</f>
        <v/>
      </c>
      <c r="T294">
        <f>HYPERLINK("https://klasma.github.io/Logging_2303/kartor/A 43404-2023 karta.png", "A 43404-2023")</f>
        <v/>
      </c>
      <c r="V294">
        <f>HYPERLINK("https://klasma.github.io/Logging_2303/klagomål/A 43404-2023 FSC-klagomål.docx", "A 43404-2023")</f>
        <v/>
      </c>
      <c r="W294">
        <f>HYPERLINK("https://klasma.github.io/Logging_2303/klagomålsmail/A 43404-2023 FSC-klagomål mail.docx", "A 43404-2023")</f>
        <v/>
      </c>
      <c r="X294">
        <f>HYPERLINK("https://klasma.github.io/Logging_2303/tillsyn/A 43404-2023 tillsynsbegäran.docx", "A 43404-2023")</f>
        <v/>
      </c>
      <c r="Y294">
        <f>HYPERLINK("https://klasma.github.io/Logging_2303/tillsynsmail/A 43404-2023 tillsynsbegäran mail.docx", "A 43404-2023")</f>
        <v/>
      </c>
    </row>
    <row r="295" ht="15" customHeight="1">
      <c r="A295" t="inlineStr">
        <is>
          <t>A 48429-2023</t>
        </is>
      </c>
      <c r="B295" s="1" t="n">
        <v>45205</v>
      </c>
      <c r="C295" s="1" t="n">
        <v>45742</v>
      </c>
      <c r="D295" t="inlineStr">
        <is>
          <t>JÄMTLANDS LÄN</t>
        </is>
      </c>
      <c r="E295" t="inlineStr">
        <is>
          <t>RAGUNDA</t>
        </is>
      </c>
      <c r="F295" t="inlineStr">
        <is>
          <t>SCA</t>
        </is>
      </c>
      <c r="G295" t="n">
        <v>1.8</v>
      </c>
      <c r="H295" t="n">
        <v>0</v>
      </c>
      <c r="I295" t="n">
        <v>1</v>
      </c>
      <c r="J295" t="n">
        <v>0</v>
      </c>
      <c r="K295" t="n">
        <v>0</v>
      </c>
      <c r="L295" t="n">
        <v>0</v>
      </c>
      <c r="M295" t="n">
        <v>0</v>
      </c>
      <c r="N295" t="n">
        <v>0</v>
      </c>
      <c r="O295" t="n">
        <v>0</v>
      </c>
      <c r="P295" t="n">
        <v>0</v>
      </c>
      <c r="Q295" t="n">
        <v>1</v>
      </c>
      <c r="R295" s="2" t="inlineStr">
        <is>
          <t>Dropptaggsvamp</t>
        </is>
      </c>
      <c r="S295">
        <f>HYPERLINK("https://klasma.github.io/Logging_2303/artfynd/A 48429-2023 artfynd.xlsx", "A 48429-2023")</f>
        <v/>
      </c>
      <c r="T295">
        <f>HYPERLINK("https://klasma.github.io/Logging_2303/kartor/A 48429-2023 karta.png", "A 48429-2023")</f>
        <v/>
      </c>
      <c r="V295">
        <f>HYPERLINK("https://klasma.github.io/Logging_2303/klagomål/A 48429-2023 FSC-klagomål.docx", "A 48429-2023")</f>
        <v/>
      </c>
      <c r="W295">
        <f>HYPERLINK("https://klasma.github.io/Logging_2303/klagomålsmail/A 48429-2023 FSC-klagomål mail.docx", "A 48429-2023")</f>
        <v/>
      </c>
      <c r="X295">
        <f>HYPERLINK("https://klasma.github.io/Logging_2303/tillsyn/A 48429-2023 tillsynsbegäran.docx", "A 48429-2023")</f>
        <v/>
      </c>
      <c r="Y295">
        <f>HYPERLINK("https://klasma.github.io/Logging_2303/tillsynsmail/A 48429-2023 tillsynsbegäran mail.docx", "A 48429-2023")</f>
        <v/>
      </c>
    </row>
    <row r="296" ht="15" customHeight="1">
      <c r="A296" t="inlineStr">
        <is>
          <t>A 48477-2023</t>
        </is>
      </c>
      <c r="B296" s="1" t="n">
        <v>45206</v>
      </c>
      <c r="C296" s="1" t="n">
        <v>45742</v>
      </c>
      <c r="D296" t="inlineStr">
        <is>
          <t>JÄMTLANDS LÄN</t>
        </is>
      </c>
      <c r="E296" t="inlineStr">
        <is>
          <t>RAGUNDA</t>
        </is>
      </c>
      <c r="F296" t="inlineStr">
        <is>
          <t>SCA</t>
        </is>
      </c>
      <c r="G296" t="n">
        <v>1.8</v>
      </c>
      <c r="H296" t="n">
        <v>0</v>
      </c>
      <c r="I296" t="n">
        <v>1</v>
      </c>
      <c r="J296" t="n">
        <v>0</v>
      </c>
      <c r="K296" t="n">
        <v>0</v>
      </c>
      <c r="L296" t="n">
        <v>0</v>
      </c>
      <c r="M296" t="n">
        <v>0</v>
      </c>
      <c r="N296" t="n">
        <v>0</v>
      </c>
      <c r="O296" t="n">
        <v>0</v>
      </c>
      <c r="P296" t="n">
        <v>0</v>
      </c>
      <c r="Q296" t="n">
        <v>1</v>
      </c>
      <c r="R296" s="2" t="inlineStr">
        <is>
          <t>Dropptaggsvamp</t>
        </is>
      </c>
      <c r="S296">
        <f>HYPERLINK("https://klasma.github.io/Logging_2303/artfynd/A 48477-2023 artfynd.xlsx", "A 48477-2023")</f>
        <v/>
      </c>
      <c r="T296">
        <f>HYPERLINK("https://klasma.github.io/Logging_2303/kartor/A 48477-2023 karta.png", "A 48477-2023")</f>
        <v/>
      </c>
      <c r="V296">
        <f>HYPERLINK("https://klasma.github.io/Logging_2303/klagomål/A 48477-2023 FSC-klagomål.docx", "A 48477-2023")</f>
        <v/>
      </c>
      <c r="W296">
        <f>HYPERLINK("https://klasma.github.io/Logging_2303/klagomålsmail/A 48477-2023 FSC-klagomål mail.docx", "A 48477-2023")</f>
        <v/>
      </c>
      <c r="X296">
        <f>HYPERLINK("https://klasma.github.io/Logging_2303/tillsyn/A 48477-2023 tillsynsbegäran.docx", "A 48477-2023")</f>
        <v/>
      </c>
      <c r="Y296">
        <f>HYPERLINK("https://klasma.github.io/Logging_2303/tillsynsmail/A 48477-2023 tillsynsbegäran mail.docx", "A 48477-2023")</f>
        <v/>
      </c>
    </row>
    <row r="297" ht="15" customHeight="1">
      <c r="A297" t="inlineStr">
        <is>
          <t>A 50164-2023</t>
        </is>
      </c>
      <c r="B297" s="1" t="n">
        <v>45208</v>
      </c>
      <c r="C297" s="1" t="n">
        <v>45742</v>
      </c>
      <c r="D297" t="inlineStr">
        <is>
          <t>JÄMTLANDS LÄN</t>
        </is>
      </c>
      <c r="E297" t="inlineStr">
        <is>
          <t>RAGUNDA</t>
        </is>
      </c>
      <c r="G297" t="n">
        <v>2.9</v>
      </c>
      <c r="H297" t="n">
        <v>0</v>
      </c>
      <c r="I297" t="n">
        <v>0</v>
      </c>
      <c r="J297" t="n">
        <v>0</v>
      </c>
      <c r="K297" t="n">
        <v>1</v>
      </c>
      <c r="L297" t="n">
        <v>0</v>
      </c>
      <c r="M297" t="n">
        <v>0</v>
      </c>
      <c r="N297" t="n">
        <v>0</v>
      </c>
      <c r="O297" t="n">
        <v>1</v>
      </c>
      <c r="P297" t="n">
        <v>1</v>
      </c>
      <c r="Q297" t="n">
        <v>1</v>
      </c>
      <c r="R297" s="2" t="inlineStr">
        <is>
          <t>Mindre barkplattbagge</t>
        </is>
      </c>
      <c r="S297">
        <f>HYPERLINK("https://klasma.github.io/Logging_2303/artfynd/A 50164-2023 artfynd.xlsx", "A 50164-2023")</f>
        <v/>
      </c>
      <c r="T297">
        <f>HYPERLINK("https://klasma.github.io/Logging_2303/kartor/A 50164-2023 karta.png", "A 50164-2023")</f>
        <v/>
      </c>
      <c r="V297">
        <f>HYPERLINK("https://klasma.github.io/Logging_2303/klagomål/A 50164-2023 FSC-klagomål.docx", "A 50164-2023")</f>
        <v/>
      </c>
      <c r="W297">
        <f>HYPERLINK("https://klasma.github.io/Logging_2303/klagomålsmail/A 50164-2023 FSC-klagomål mail.docx", "A 50164-2023")</f>
        <v/>
      </c>
      <c r="X297">
        <f>HYPERLINK("https://klasma.github.io/Logging_2303/tillsyn/A 50164-2023 tillsynsbegäran.docx", "A 50164-2023")</f>
        <v/>
      </c>
      <c r="Y297">
        <f>HYPERLINK("https://klasma.github.io/Logging_2303/tillsynsmail/A 50164-2023 tillsynsbegäran mail.docx", "A 50164-2023")</f>
        <v/>
      </c>
    </row>
    <row r="298" ht="15" customHeight="1">
      <c r="A298" t="inlineStr">
        <is>
          <t>A 53947-2023</t>
        </is>
      </c>
      <c r="B298" s="1" t="n">
        <v>45225</v>
      </c>
      <c r="C298" s="1" t="n">
        <v>45742</v>
      </c>
      <c r="D298" t="inlineStr">
        <is>
          <t>JÄMTLANDS LÄN</t>
        </is>
      </c>
      <c r="E298" t="inlineStr">
        <is>
          <t>RAGUNDA</t>
        </is>
      </c>
      <c r="G298" t="n">
        <v>4.4</v>
      </c>
      <c r="H298" t="n">
        <v>1</v>
      </c>
      <c r="I298" t="n">
        <v>0</v>
      </c>
      <c r="J298" t="n">
        <v>0</v>
      </c>
      <c r="K298" t="n">
        <v>0</v>
      </c>
      <c r="L298" t="n">
        <v>0</v>
      </c>
      <c r="M298" t="n">
        <v>0</v>
      </c>
      <c r="N298" t="n">
        <v>0</v>
      </c>
      <c r="O298" t="n">
        <v>0</v>
      </c>
      <c r="P298" t="n">
        <v>0</v>
      </c>
      <c r="Q298" t="n">
        <v>1</v>
      </c>
      <c r="R298" s="2" t="inlineStr">
        <is>
          <t>Nattviol</t>
        </is>
      </c>
      <c r="S298">
        <f>HYPERLINK("https://klasma.github.io/Logging_2303/artfynd/A 53947-2023 artfynd.xlsx", "A 53947-2023")</f>
        <v/>
      </c>
      <c r="T298">
        <f>HYPERLINK("https://klasma.github.io/Logging_2303/kartor/A 53947-2023 karta.png", "A 53947-2023")</f>
        <v/>
      </c>
      <c r="V298">
        <f>HYPERLINK("https://klasma.github.io/Logging_2303/klagomål/A 53947-2023 FSC-klagomål.docx", "A 53947-2023")</f>
        <v/>
      </c>
      <c r="W298">
        <f>HYPERLINK("https://klasma.github.io/Logging_2303/klagomålsmail/A 53947-2023 FSC-klagomål mail.docx", "A 53947-2023")</f>
        <v/>
      </c>
      <c r="X298">
        <f>HYPERLINK("https://klasma.github.io/Logging_2303/tillsyn/A 53947-2023 tillsynsbegäran.docx", "A 53947-2023")</f>
        <v/>
      </c>
      <c r="Y298">
        <f>HYPERLINK("https://klasma.github.io/Logging_2303/tillsynsmail/A 53947-2023 tillsynsbegäran mail.docx", "A 53947-2023")</f>
        <v/>
      </c>
    </row>
    <row r="299" ht="15" customHeight="1">
      <c r="A299" t="inlineStr">
        <is>
          <t>A 56283-2023</t>
        </is>
      </c>
      <c r="B299" s="1" t="n">
        <v>45241</v>
      </c>
      <c r="C299" s="1" t="n">
        <v>45742</v>
      </c>
      <c r="D299" t="inlineStr">
        <is>
          <t>JÄMTLANDS LÄN</t>
        </is>
      </c>
      <c r="E299" t="inlineStr">
        <is>
          <t>RAGUNDA</t>
        </is>
      </c>
      <c r="F299" t="inlineStr">
        <is>
          <t>SCA</t>
        </is>
      </c>
      <c r="G299" t="n">
        <v>7.4</v>
      </c>
      <c r="H299" t="n">
        <v>1</v>
      </c>
      <c r="I299" t="n">
        <v>0</v>
      </c>
      <c r="J299" t="n">
        <v>0</v>
      </c>
      <c r="K299" t="n">
        <v>1</v>
      </c>
      <c r="L299" t="n">
        <v>0</v>
      </c>
      <c r="M299" t="n">
        <v>0</v>
      </c>
      <c r="N299" t="n">
        <v>0</v>
      </c>
      <c r="O299" t="n">
        <v>1</v>
      </c>
      <c r="P299" t="n">
        <v>1</v>
      </c>
      <c r="Q299" t="n">
        <v>1</v>
      </c>
      <c r="R299" s="2" t="inlineStr">
        <is>
          <t>Doftticka</t>
        </is>
      </c>
      <c r="S299">
        <f>HYPERLINK("https://klasma.github.io/Logging_2303/artfynd/A 56283-2023 artfynd.xlsx", "A 56283-2023")</f>
        <v/>
      </c>
      <c r="T299">
        <f>HYPERLINK("https://klasma.github.io/Logging_2303/kartor/A 56283-2023 karta.png", "A 56283-2023")</f>
        <v/>
      </c>
      <c r="V299">
        <f>HYPERLINK("https://klasma.github.io/Logging_2303/klagomål/A 56283-2023 FSC-klagomål.docx", "A 56283-2023")</f>
        <v/>
      </c>
      <c r="W299">
        <f>HYPERLINK("https://klasma.github.io/Logging_2303/klagomålsmail/A 56283-2023 FSC-klagomål mail.docx", "A 56283-2023")</f>
        <v/>
      </c>
      <c r="X299">
        <f>HYPERLINK("https://klasma.github.io/Logging_2303/tillsyn/A 56283-2023 tillsynsbegäran.docx", "A 56283-2023")</f>
        <v/>
      </c>
      <c r="Y299">
        <f>HYPERLINK("https://klasma.github.io/Logging_2303/tillsynsmail/A 56283-2023 tillsynsbegäran mail.docx", "A 56283-2023")</f>
        <v/>
      </c>
    </row>
    <row r="300" ht="15" customHeight="1">
      <c r="A300" t="inlineStr">
        <is>
          <t>A 59104-2023</t>
        </is>
      </c>
      <c r="B300" s="1" t="n">
        <v>45253</v>
      </c>
      <c r="C300" s="1" t="n">
        <v>45742</v>
      </c>
      <c r="D300" t="inlineStr">
        <is>
          <t>JÄMTLANDS LÄN</t>
        </is>
      </c>
      <c r="E300" t="inlineStr">
        <is>
          <t>RAGUNDA</t>
        </is>
      </c>
      <c r="F300" t="inlineStr">
        <is>
          <t>SCA</t>
        </is>
      </c>
      <c r="G300" t="n">
        <v>4.2</v>
      </c>
      <c r="H300" t="n">
        <v>0</v>
      </c>
      <c r="I300" t="n">
        <v>0</v>
      </c>
      <c r="J300" t="n">
        <v>1</v>
      </c>
      <c r="K300" t="n">
        <v>0</v>
      </c>
      <c r="L300" t="n">
        <v>0</v>
      </c>
      <c r="M300" t="n">
        <v>0</v>
      </c>
      <c r="N300" t="n">
        <v>0</v>
      </c>
      <c r="O300" t="n">
        <v>1</v>
      </c>
      <c r="P300" t="n">
        <v>0</v>
      </c>
      <c r="Q300" t="n">
        <v>1</v>
      </c>
      <c r="R300" s="2" t="inlineStr">
        <is>
          <t>Ullticka</t>
        </is>
      </c>
      <c r="S300">
        <f>HYPERLINK("https://klasma.github.io/Logging_2303/artfynd/A 59104-2023 artfynd.xlsx", "A 59104-2023")</f>
        <v/>
      </c>
      <c r="T300">
        <f>HYPERLINK("https://klasma.github.io/Logging_2303/kartor/A 59104-2023 karta.png", "A 59104-2023")</f>
        <v/>
      </c>
      <c r="V300">
        <f>HYPERLINK("https://klasma.github.io/Logging_2303/klagomål/A 59104-2023 FSC-klagomål.docx", "A 59104-2023")</f>
        <v/>
      </c>
      <c r="W300">
        <f>HYPERLINK("https://klasma.github.io/Logging_2303/klagomålsmail/A 59104-2023 FSC-klagomål mail.docx", "A 59104-2023")</f>
        <v/>
      </c>
      <c r="X300">
        <f>HYPERLINK("https://klasma.github.io/Logging_2303/tillsyn/A 59104-2023 tillsynsbegäran.docx", "A 59104-2023")</f>
        <v/>
      </c>
      <c r="Y300">
        <f>HYPERLINK("https://klasma.github.io/Logging_2303/tillsynsmail/A 59104-2023 tillsynsbegäran mail.docx", "A 59104-2023")</f>
        <v/>
      </c>
    </row>
    <row r="301" ht="15" customHeight="1">
      <c r="A301" t="inlineStr">
        <is>
          <t>A 61505-2023</t>
        </is>
      </c>
      <c r="B301" s="1" t="n">
        <v>45264</v>
      </c>
      <c r="C301" s="1" t="n">
        <v>45742</v>
      </c>
      <c r="D301" t="inlineStr">
        <is>
          <t>JÄMTLANDS LÄN</t>
        </is>
      </c>
      <c r="E301" t="inlineStr">
        <is>
          <t>RAGUNDA</t>
        </is>
      </c>
      <c r="F301" t="inlineStr">
        <is>
          <t>SCA</t>
        </is>
      </c>
      <c r="G301" t="n">
        <v>38.3</v>
      </c>
      <c r="H301" t="n">
        <v>1</v>
      </c>
      <c r="I301" t="n">
        <v>0</v>
      </c>
      <c r="J301" t="n">
        <v>1</v>
      </c>
      <c r="K301" t="n">
        <v>0</v>
      </c>
      <c r="L301" t="n">
        <v>0</v>
      </c>
      <c r="M301" t="n">
        <v>0</v>
      </c>
      <c r="N301" t="n">
        <v>0</v>
      </c>
      <c r="O301" t="n">
        <v>1</v>
      </c>
      <c r="P301" t="n">
        <v>0</v>
      </c>
      <c r="Q301" t="n">
        <v>1</v>
      </c>
      <c r="R301" s="2" t="inlineStr">
        <is>
          <t>Järpe</t>
        </is>
      </c>
      <c r="S301">
        <f>HYPERLINK("https://klasma.github.io/Logging_2303/artfynd/A 61505-2023 artfynd.xlsx", "A 61505-2023")</f>
        <v/>
      </c>
      <c r="T301">
        <f>HYPERLINK("https://klasma.github.io/Logging_2303/kartor/A 61505-2023 karta.png", "A 61505-2023")</f>
        <v/>
      </c>
      <c r="V301">
        <f>HYPERLINK("https://klasma.github.io/Logging_2303/klagomål/A 61505-2023 FSC-klagomål.docx", "A 61505-2023")</f>
        <v/>
      </c>
      <c r="W301">
        <f>HYPERLINK("https://klasma.github.io/Logging_2303/klagomålsmail/A 61505-2023 FSC-klagomål mail.docx", "A 61505-2023")</f>
        <v/>
      </c>
      <c r="X301">
        <f>HYPERLINK("https://klasma.github.io/Logging_2303/tillsyn/A 61505-2023 tillsynsbegäran.docx", "A 61505-2023")</f>
        <v/>
      </c>
      <c r="Y301">
        <f>HYPERLINK("https://klasma.github.io/Logging_2303/tillsynsmail/A 61505-2023 tillsynsbegäran mail.docx", "A 61505-2023")</f>
        <v/>
      </c>
      <c r="Z301">
        <f>HYPERLINK("https://klasma.github.io/Logging_2303/fåglar/A 61505-2023 prioriterade fågelarter.docx", "A 61505-2023")</f>
        <v/>
      </c>
    </row>
    <row r="302" ht="15" customHeight="1">
      <c r="A302" t="inlineStr">
        <is>
          <t>A 62072-2023</t>
        </is>
      </c>
      <c r="B302" s="1" t="n">
        <v>45266</v>
      </c>
      <c r="C302" s="1" t="n">
        <v>45742</v>
      </c>
      <c r="D302" t="inlineStr">
        <is>
          <t>JÄMTLANDS LÄN</t>
        </is>
      </c>
      <c r="E302" t="inlineStr">
        <is>
          <t>RAGUNDA</t>
        </is>
      </c>
      <c r="G302" t="n">
        <v>4.5</v>
      </c>
      <c r="H302" t="n">
        <v>1</v>
      </c>
      <c r="I302" t="n">
        <v>0</v>
      </c>
      <c r="J302" t="n">
        <v>0</v>
      </c>
      <c r="K302" t="n">
        <v>1</v>
      </c>
      <c r="L302" t="n">
        <v>0</v>
      </c>
      <c r="M302" t="n">
        <v>0</v>
      </c>
      <c r="N302" t="n">
        <v>0</v>
      </c>
      <c r="O302" t="n">
        <v>1</v>
      </c>
      <c r="P302" t="n">
        <v>1</v>
      </c>
      <c r="Q302" t="n">
        <v>1</v>
      </c>
      <c r="R302" s="2" t="inlineStr">
        <is>
          <t>Lappuggla</t>
        </is>
      </c>
      <c r="S302">
        <f>HYPERLINK("https://klasma.github.io/Logging_2303/artfynd/A 62072-2023 artfynd.xlsx", "A 62072-2023")</f>
        <v/>
      </c>
      <c r="T302">
        <f>HYPERLINK("https://klasma.github.io/Logging_2303/kartor/A 62072-2023 karta.png", "A 62072-2023")</f>
        <v/>
      </c>
      <c r="V302">
        <f>HYPERLINK("https://klasma.github.io/Logging_2303/klagomål/A 62072-2023 FSC-klagomål.docx", "A 62072-2023")</f>
        <v/>
      </c>
      <c r="W302">
        <f>HYPERLINK("https://klasma.github.io/Logging_2303/klagomålsmail/A 62072-2023 FSC-klagomål mail.docx", "A 62072-2023")</f>
        <v/>
      </c>
      <c r="X302">
        <f>HYPERLINK("https://klasma.github.io/Logging_2303/tillsyn/A 62072-2023 tillsynsbegäran.docx", "A 62072-2023")</f>
        <v/>
      </c>
      <c r="Y302">
        <f>HYPERLINK("https://klasma.github.io/Logging_2303/tillsynsmail/A 62072-2023 tillsynsbegäran mail.docx", "A 62072-2023")</f>
        <v/>
      </c>
      <c r="Z302">
        <f>HYPERLINK("https://klasma.github.io/Logging_2303/fåglar/A 62072-2023 prioriterade fågelarter.docx", "A 62072-2023")</f>
        <v/>
      </c>
    </row>
    <row r="303" ht="15" customHeight="1">
      <c r="A303" t="inlineStr">
        <is>
          <t>A 978-2024</t>
        </is>
      </c>
      <c r="B303" s="1" t="n">
        <v>45301</v>
      </c>
      <c r="C303" s="1" t="n">
        <v>45742</v>
      </c>
      <c r="D303" t="inlineStr">
        <is>
          <t>JÄMTLANDS LÄN</t>
        </is>
      </c>
      <c r="E303" t="inlineStr">
        <is>
          <t>RAGUNDA</t>
        </is>
      </c>
      <c r="G303" t="n">
        <v>3.1</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978-2024 artfynd.xlsx", "A 978-2024")</f>
        <v/>
      </c>
      <c r="T303">
        <f>HYPERLINK("https://klasma.github.io/Logging_2303/kartor/A 978-2024 karta.png", "A 978-2024")</f>
        <v/>
      </c>
      <c r="V303">
        <f>HYPERLINK("https://klasma.github.io/Logging_2303/klagomål/A 978-2024 FSC-klagomål.docx", "A 978-2024")</f>
        <v/>
      </c>
      <c r="W303">
        <f>HYPERLINK("https://klasma.github.io/Logging_2303/klagomålsmail/A 978-2024 FSC-klagomål mail.docx", "A 978-2024")</f>
        <v/>
      </c>
      <c r="X303">
        <f>HYPERLINK("https://klasma.github.io/Logging_2303/tillsyn/A 978-2024 tillsynsbegäran.docx", "A 978-2024")</f>
        <v/>
      </c>
      <c r="Y303">
        <f>HYPERLINK("https://klasma.github.io/Logging_2303/tillsynsmail/A 978-2024 tillsynsbegäran mail.docx", "A 978-2024")</f>
        <v/>
      </c>
      <c r="Z303">
        <f>HYPERLINK("https://klasma.github.io/Logging_2303/fåglar/A 978-2024 prioriterade fågelarter.docx", "A 978-2024")</f>
        <v/>
      </c>
    </row>
    <row r="304" ht="15" customHeight="1">
      <c r="A304" t="inlineStr">
        <is>
          <t>A 1057-2024</t>
        </is>
      </c>
      <c r="B304" s="1" t="n">
        <v>45301</v>
      </c>
      <c r="C304" s="1" t="n">
        <v>45742</v>
      </c>
      <c r="D304" t="inlineStr">
        <is>
          <t>JÄMTLANDS LÄN</t>
        </is>
      </c>
      <c r="E304" t="inlineStr">
        <is>
          <t>RAGUNDA</t>
        </is>
      </c>
      <c r="F304" t="inlineStr">
        <is>
          <t>SCA</t>
        </is>
      </c>
      <c r="G304" t="n">
        <v>6.8</v>
      </c>
      <c r="H304" t="n">
        <v>0</v>
      </c>
      <c r="I304" t="n">
        <v>1</v>
      </c>
      <c r="J304" t="n">
        <v>0</v>
      </c>
      <c r="K304" t="n">
        <v>0</v>
      </c>
      <c r="L304" t="n">
        <v>0</v>
      </c>
      <c r="M304" t="n">
        <v>0</v>
      </c>
      <c r="N304" t="n">
        <v>0</v>
      </c>
      <c r="O304" t="n">
        <v>0</v>
      </c>
      <c r="P304" t="n">
        <v>0</v>
      </c>
      <c r="Q304" t="n">
        <v>1</v>
      </c>
      <c r="R304" s="2" t="inlineStr">
        <is>
          <t>Stor aspticka</t>
        </is>
      </c>
      <c r="S304">
        <f>HYPERLINK("https://klasma.github.io/Logging_2303/artfynd/A 1057-2024 artfynd.xlsx", "A 1057-2024")</f>
        <v/>
      </c>
      <c r="T304">
        <f>HYPERLINK("https://klasma.github.io/Logging_2303/kartor/A 1057-2024 karta.png", "A 1057-2024")</f>
        <v/>
      </c>
      <c r="V304">
        <f>HYPERLINK("https://klasma.github.io/Logging_2303/klagomål/A 1057-2024 FSC-klagomål.docx", "A 1057-2024")</f>
        <v/>
      </c>
      <c r="W304">
        <f>HYPERLINK("https://klasma.github.io/Logging_2303/klagomålsmail/A 1057-2024 FSC-klagomål mail.docx", "A 1057-2024")</f>
        <v/>
      </c>
      <c r="X304">
        <f>HYPERLINK("https://klasma.github.io/Logging_2303/tillsyn/A 1057-2024 tillsynsbegäran.docx", "A 1057-2024")</f>
        <v/>
      </c>
      <c r="Y304">
        <f>HYPERLINK("https://klasma.github.io/Logging_2303/tillsynsmail/A 1057-2024 tillsynsbegäran mail.docx", "A 1057-2024")</f>
        <v/>
      </c>
    </row>
    <row r="305" ht="15" customHeight="1">
      <c r="A305" t="inlineStr">
        <is>
          <t>A 2929-2024</t>
        </is>
      </c>
      <c r="B305" s="1" t="n">
        <v>45315</v>
      </c>
      <c r="C305" s="1" t="n">
        <v>45742</v>
      </c>
      <c r="D305" t="inlineStr">
        <is>
          <t>JÄMTLANDS LÄN</t>
        </is>
      </c>
      <c r="E305" t="inlineStr">
        <is>
          <t>RAGUNDA</t>
        </is>
      </c>
      <c r="G305" t="n">
        <v>1</v>
      </c>
      <c r="H305" t="n">
        <v>0</v>
      </c>
      <c r="I305" t="n">
        <v>0</v>
      </c>
      <c r="J305" t="n">
        <v>1</v>
      </c>
      <c r="K305" t="n">
        <v>0</v>
      </c>
      <c r="L305" t="n">
        <v>0</v>
      </c>
      <c r="M305" t="n">
        <v>0</v>
      </c>
      <c r="N305" t="n">
        <v>0</v>
      </c>
      <c r="O305" t="n">
        <v>1</v>
      </c>
      <c r="P305" t="n">
        <v>0</v>
      </c>
      <c r="Q305" t="n">
        <v>1</v>
      </c>
      <c r="R305" s="2" t="inlineStr">
        <is>
          <t>Klådris</t>
        </is>
      </c>
      <c r="S305">
        <f>HYPERLINK("https://klasma.github.io/Logging_2303/artfynd/A 2929-2024 artfynd.xlsx", "A 2929-2024")</f>
        <v/>
      </c>
      <c r="T305">
        <f>HYPERLINK("https://klasma.github.io/Logging_2303/kartor/A 2929-2024 karta.png", "A 2929-2024")</f>
        <v/>
      </c>
      <c r="V305">
        <f>HYPERLINK("https://klasma.github.io/Logging_2303/klagomål/A 2929-2024 FSC-klagomål.docx", "A 2929-2024")</f>
        <v/>
      </c>
      <c r="W305">
        <f>HYPERLINK("https://klasma.github.io/Logging_2303/klagomålsmail/A 2929-2024 FSC-klagomål mail.docx", "A 2929-2024")</f>
        <v/>
      </c>
      <c r="X305">
        <f>HYPERLINK("https://klasma.github.io/Logging_2303/tillsyn/A 2929-2024 tillsynsbegäran.docx", "A 2929-2024")</f>
        <v/>
      </c>
      <c r="Y305">
        <f>HYPERLINK("https://klasma.github.io/Logging_2303/tillsynsmail/A 2929-2024 tillsynsbegäran mail.docx", "A 2929-2024")</f>
        <v/>
      </c>
    </row>
    <row r="306" ht="15" customHeight="1">
      <c r="A306" t="inlineStr">
        <is>
          <t>A 6703-2024</t>
        </is>
      </c>
      <c r="B306" s="1" t="n">
        <v>45341</v>
      </c>
      <c r="C306" s="1" t="n">
        <v>45742</v>
      </c>
      <c r="D306" t="inlineStr">
        <is>
          <t>JÄMTLANDS LÄN</t>
        </is>
      </c>
      <c r="E306" t="inlineStr">
        <is>
          <t>RAGUNDA</t>
        </is>
      </c>
      <c r="F306" t="inlineStr">
        <is>
          <t>SCA</t>
        </is>
      </c>
      <c r="G306" t="n">
        <v>2.4</v>
      </c>
      <c r="H306" t="n">
        <v>0</v>
      </c>
      <c r="I306" t="n">
        <v>0</v>
      </c>
      <c r="J306" t="n">
        <v>1</v>
      </c>
      <c r="K306" t="n">
        <v>0</v>
      </c>
      <c r="L306" t="n">
        <v>0</v>
      </c>
      <c r="M306" t="n">
        <v>0</v>
      </c>
      <c r="N306" t="n">
        <v>0</v>
      </c>
      <c r="O306" t="n">
        <v>1</v>
      </c>
      <c r="P306" t="n">
        <v>0</v>
      </c>
      <c r="Q306" t="n">
        <v>1</v>
      </c>
      <c r="R306" s="2" t="inlineStr">
        <is>
          <t>Vitgrynig nållav</t>
        </is>
      </c>
      <c r="S306">
        <f>HYPERLINK("https://klasma.github.io/Logging_2303/artfynd/A 6703-2024 artfynd.xlsx", "A 6703-2024")</f>
        <v/>
      </c>
      <c r="T306">
        <f>HYPERLINK("https://klasma.github.io/Logging_2303/kartor/A 6703-2024 karta.png", "A 6703-2024")</f>
        <v/>
      </c>
      <c r="V306">
        <f>HYPERLINK("https://klasma.github.io/Logging_2303/klagomål/A 6703-2024 FSC-klagomål.docx", "A 6703-2024")</f>
        <v/>
      </c>
      <c r="W306">
        <f>HYPERLINK("https://klasma.github.io/Logging_2303/klagomålsmail/A 6703-2024 FSC-klagomål mail.docx", "A 6703-2024")</f>
        <v/>
      </c>
      <c r="X306">
        <f>HYPERLINK("https://klasma.github.io/Logging_2303/tillsyn/A 6703-2024 tillsynsbegäran.docx", "A 6703-2024")</f>
        <v/>
      </c>
      <c r="Y306">
        <f>HYPERLINK("https://klasma.github.io/Logging_2303/tillsynsmail/A 6703-2024 tillsynsbegäran mail.docx", "A 6703-2024")</f>
        <v/>
      </c>
    </row>
    <row r="307" ht="15" customHeight="1">
      <c r="A307" t="inlineStr">
        <is>
          <t>A 12584-2024</t>
        </is>
      </c>
      <c r="B307" s="1" t="n">
        <v>45379</v>
      </c>
      <c r="C307" s="1" t="n">
        <v>45742</v>
      </c>
      <c r="D307" t="inlineStr">
        <is>
          <t>JÄMTLANDS LÄN</t>
        </is>
      </c>
      <c r="E307" t="inlineStr">
        <is>
          <t>RAGUNDA</t>
        </is>
      </c>
      <c r="F307" t="inlineStr">
        <is>
          <t>SCA</t>
        </is>
      </c>
      <c r="G307" t="n">
        <v>1.3</v>
      </c>
      <c r="H307" t="n">
        <v>0</v>
      </c>
      <c r="I307" t="n">
        <v>0</v>
      </c>
      <c r="J307" t="n">
        <v>0</v>
      </c>
      <c r="K307" t="n">
        <v>1</v>
      </c>
      <c r="L307" t="n">
        <v>0</v>
      </c>
      <c r="M307" t="n">
        <v>0</v>
      </c>
      <c r="N307" t="n">
        <v>0</v>
      </c>
      <c r="O307" t="n">
        <v>1</v>
      </c>
      <c r="P307" t="n">
        <v>1</v>
      </c>
      <c r="Q307" t="n">
        <v>1</v>
      </c>
      <c r="R307" s="2" t="inlineStr">
        <is>
          <t>Rynkskinn</t>
        </is>
      </c>
      <c r="S307">
        <f>HYPERLINK("https://klasma.github.io/Logging_2303/artfynd/A 12584-2024 artfynd.xlsx", "A 12584-2024")</f>
        <v/>
      </c>
      <c r="T307">
        <f>HYPERLINK("https://klasma.github.io/Logging_2303/kartor/A 12584-2024 karta.png", "A 12584-2024")</f>
        <v/>
      </c>
      <c r="V307">
        <f>HYPERLINK("https://klasma.github.io/Logging_2303/klagomål/A 12584-2024 FSC-klagomål.docx", "A 12584-2024")</f>
        <v/>
      </c>
      <c r="W307">
        <f>HYPERLINK("https://klasma.github.io/Logging_2303/klagomålsmail/A 12584-2024 FSC-klagomål mail.docx", "A 12584-2024")</f>
        <v/>
      </c>
      <c r="X307">
        <f>HYPERLINK("https://klasma.github.io/Logging_2303/tillsyn/A 12584-2024 tillsynsbegäran.docx", "A 12584-2024")</f>
        <v/>
      </c>
      <c r="Y307">
        <f>HYPERLINK("https://klasma.github.io/Logging_2303/tillsynsmail/A 12584-2024 tillsynsbegäran mail.docx", "A 12584-2024")</f>
        <v/>
      </c>
    </row>
    <row r="308" ht="15" customHeight="1">
      <c r="A308" t="inlineStr">
        <is>
          <t>A 18609-2024</t>
        </is>
      </c>
      <c r="B308" s="1" t="n">
        <v>45426</v>
      </c>
      <c r="C308" s="1" t="n">
        <v>45742</v>
      </c>
      <c r="D308" t="inlineStr">
        <is>
          <t>JÄMTLANDS LÄN</t>
        </is>
      </c>
      <c r="E308" t="inlineStr">
        <is>
          <t>RAGUNDA</t>
        </is>
      </c>
      <c r="F308" t="inlineStr">
        <is>
          <t>SCA</t>
        </is>
      </c>
      <c r="G308" t="n">
        <v>1.2</v>
      </c>
      <c r="H308" t="n">
        <v>0</v>
      </c>
      <c r="I308" t="n">
        <v>0</v>
      </c>
      <c r="J308" t="n">
        <v>1</v>
      </c>
      <c r="K308" t="n">
        <v>0</v>
      </c>
      <c r="L308" t="n">
        <v>0</v>
      </c>
      <c r="M308" t="n">
        <v>0</v>
      </c>
      <c r="N308" t="n">
        <v>0</v>
      </c>
      <c r="O308" t="n">
        <v>1</v>
      </c>
      <c r="P308" t="n">
        <v>0</v>
      </c>
      <c r="Q308" t="n">
        <v>1</v>
      </c>
      <c r="R308" s="2" t="inlineStr">
        <is>
          <t>Ullticka</t>
        </is>
      </c>
      <c r="S308">
        <f>HYPERLINK("https://klasma.github.io/Logging_2303/artfynd/A 18609-2024 artfynd.xlsx", "A 18609-2024")</f>
        <v/>
      </c>
      <c r="T308">
        <f>HYPERLINK("https://klasma.github.io/Logging_2303/kartor/A 18609-2024 karta.png", "A 18609-2024")</f>
        <v/>
      </c>
      <c r="V308">
        <f>HYPERLINK("https://klasma.github.io/Logging_2303/klagomål/A 18609-2024 FSC-klagomål.docx", "A 18609-2024")</f>
        <v/>
      </c>
      <c r="W308">
        <f>HYPERLINK("https://klasma.github.io/Logging_2303/klagomålsmail/A 18609-2024 FSC-klagomål mail.docx", "A 18609-2024")</f>
        <v/>
      </c>
      <c r="X308">
        <f>HYPERLINK("https://klasma.github.io/Logging_2303/tillsyn/A 18609-2024 tillsynsbegäran.docx", "A 18609-2024")</f>
        <v/>
      </c>
      <c r="Y308">
        <f>HYPERLINK("https://klasma.github.io/Logging_2303/tillsynsmail/A 18609-2024 tillsynsbegäran mail.docx", "A 18609-2024")</f>
        <v/>
      </c>
    </row>
    <row r="309" ht="15" customHeight="1">
      <c r="A309" t="inlineStr">
        <is>
          <t>A 18774-2024</t>
        </is>
      </c>
      <c r="B309" s="1" t="n">
        <v>45426</v>
      </c>
      <c r="C309" s="1" t="n">
        <v>45742</v>
      </c>
      <c r="D309" t="inlineStr">
        <is>
          <t>JÄMTLANDS LÄN</t>
        </is>
      </c>
      <c r="E309" t="inlineStr">
        <is>
          <t>RAGUNDA</t>
        </is>
      </c>
      <c r="G309" t="n">
        <v>20.2</v>
      </c>
      <c r="H309" t="n">
        <v>0</v>
      </c>
      <c r="I309" t="n">
        <v>1</v>
      </c>
      <c r="J309" t="n">
        <v>0</v>
      </c>
      <c r="K309" t="n">
        <v>0</v>
      </c>
      <c r="L309" t="n">
        <v>0</v>
      </c>
      <c r="M309" t="n">
        <v>0</v>
      </c>
      <c r="N309" t="n">
        <v>0</v>
      </c>
      <c r="O309" t="n">
        <v>0</v>
      </c>
      <c r="P309" t="n">
        <v>0</v>
      </c>
      <c r="Q309" t="n">
        <v>1</v>
      </c>
      <c r="R309" s="2" t="inlineStr">
        <is>
          <t>Svart trolldruva</t>
        </is>
      </c>
      <c r="S309">
        <f>HYPERLINK("https://klasma.github.io/Logging_2303/artfynd/A 18774-2024 artfynd.xlsx", "A 18774-2024")</f>
        <v/>
      </c>
      <c r="T309">
        <f>HYPERLINK("https://klasma.github.io/Logging_2303/kartor/A 18774-2024 karta.png", "A 18774-2024")</f>
        <v/>
      </c>
      <c r="V309">
        <f>HYPERLINK("https://klasma.github.io/Logging_2303/klagomål/A 18774-2024 FSC-klagomål.docx", "A 18774-2024")</f>
        <v/>
      </c>
      <c r="W309">
        <f>HYPERLINK("https://klasma.github.io/Logging_2303/klagomålsmail/A 18774-2024 FSC-klagomål mail.docx", "A 18774-2024")</f>
        <v/>
      </c>
      <c r="X309">
        <f>HYPERLINK("https://klasma.github.io/Logging_2303/tillsyn/A 18774-2024 tillsynsbegäran.docx", "A 18774-2024")</f>
        <v/>
      </c>
      <c r="Y309">
        <f>HYPERLINK("https://klasma.github.io/Logging_2303/tillsynsmail/A 18774-2024 tillsynsbegäran mail.docx", "A 18774-2024")</f>
        <v/>
      </c>
    </row>
    <row r="310" ht="15" customHeight="1">
      <c r="A310" t="inlineStr">
        <is>
          <t>A 20553-2024</t>
        </is>
      </c>
      <c r="B310" s="1" t="n">
        <v>45436</v>
      </c>
      <c r="C310" s="1" t="n">
        <v>45742</v>
      </c>
      <c r="D310" t="inlineStr">
        <is>
          <t>JÄMTLANDS LÄN</t>
        </is>
      </c>
      <c r="E310" t="inlineStr">
        <is>
          <t>RAGUNDA</t>
        </is>
      </c>
      <c r="G310" t="n">
        <v>11.1</v>
      </c>
      <c r="H310" t="n">
        <v>0</v>
      </c>
      <c r="I310" t="n">
        <v>0</v>
      </c>
      <c r="J310" t="n">
        <v>1</v>
      </c>
      <c r="K310" t="n">
        <v>0</v>
      </c>
      <c r="L310" t="n">
        <v>0</v>
      </c>
      <c r="M310" t="n">
        <v>0</v>
      </c>
      <c r="N310" t="n">
        <v>0</v>
      </c>
      <c r="O310" t="n">
        <v>1</v>
      </c>
      <c r="P310" t="n">
        <v>0</v>
      </c>
      <c r="Q310" t="n">
        <v>1</v>
      </c>
      <c r="R310" s="2" t="inlineStr">
        <is>
          <t>Rosenticka</t>
        </is>
      </c>
      <c r="S310">
        <f>HYPERLINK("https://klasma.github.io/Logging_2303/artfynd/A 20553-2024 artfynd.xlsx", "A 20553-2024")</f>
        <v/>
      </c>
      <c r="T310">
        <f>HYPERLINK("https://klasma.github.io/Logging_2303/kartor/A 20553-2024 karta.png", "A 20553-2024")</f>
        <v/>
      </c>
      <c r="U310">
        <f>HYPERLINK("https://klasma.github.io/Logging_2303/knärot/A 20553-2024 karta knärot.png", "A 20553-2024")</f>
        <v/>
      </c>
      <c r="V310">
        <f>HYPERLINK("https://klasma.github.io/Logging_2303/klagomål/A 20553-2024 FSC-klagomål.docx", "A 20553-2024")</f>
        <v/>
      </c>
      <c r="W310">
        <f>HYPERLINK("https://klasma.github.io/Logging_2303/klagomålsmail/A 20553-2024 FSC-klagomål mail.docx", "A 20553-2024")</f>
        <v/>
      </c>
      <c r="X310">
        <f>HYPERLINK("https://klasma.github.io/Logging_2303/tillsyn/A 20553-2024 tillsynsbegäran.docx", "A 20553-2024")</f>
        <v/>
      </c>
      <c r="Y310">
        <f>HYPERLINK("https://klasma.github.io/Logging_2303/tillsynsmail/A 20553-2024 tillsynsbegäran mail.docx", "A 20553-2024")</f>
        <v/>
      </c>
    </row>
    <row r="311" ht="15" customHeight="1">
      <c r="A311" t="inlineStr">
        <is>
          <t>A 20774-2024</t>
        </is>
      </c>
      <c r="B311" s="1" t="n">
        <v>45437</v>
      </c>
      <c r="C311" s="1" t="n">
        <v>45742</v>
      </c>
      <c r="D311" t="inlineStr">
        <is>
          <t>JÄMTLANDS LÄN</t>
        </is>
      </c>
      <c r="E311" t="inlineStr">
        <is>
          <t>RAGUNDA</t>
        </is>
      </c>
      <c r="F311" t="inlineStr">
        <is>
          <t>SCA</t>
        </is>
      </c>
      <c r="G311" t="n">
        <v>2.3</v>
      </c>
      <c r="H311" t="n">
        <v>0</v>
      </c>
      <c r="I311" t="n">
        <v>1</v>
      </c>
      <c r="J311" t="n">
        <v>0</v>
      </c>
      <c r="K311" t="n">
        <v>0</v>
      </c>
      <c r="L311" t="n">
        <v>0</v>
      </c>
      <c r="M311" t="n">
        <v>0</v>
      </c>
      <c r="N311" t="n">
        <v>0</v>
      </c>
      <c r="O311" t="n">
        <v>0</v>
      </c>
      <c r="P311" t="n">
        <v>0</v>
      </c>
      <c r="Q311" t="n">
        <v>1</v>
      </c>
      <c r="R311" s="2" t="inlineStr">
        <is>
          <t>Fjällig taggsvamp s.str.</t>
        </is>
      </c>
      <c r="S311">
        <f>HYPERLINK("https://klasma.github.io/Logging_2303/artfynd/A 20774-2024 artfynd.xlsx", "A 20774-2024")</f>
        <v/>
      </c>
      <c r="T311">
        <f>HYPERLINK("https://klasma.github.io/Logging_2303/kartor/A 20774-2024 karta.png", "A 20774-2024")</f>
        <v/>
      </c>
      <c r="V311">
        <f>HYPERLINK("https://klasma.github.io/Logging_2303/klagomål/A 20774-2024 FSC-klagomål.docx", "A 20774-2024")</f>
        <v/>
      </c>
      <c r="W311">
        <f>HYPERLINK("https://klasma.github.io/Logging_2303/klagomålsmail/A 20774-2024 FSC-klagomål mail.docx", "A 20774-2024")</f>
        <v/>
      </c>
      <c r="X311">
        <f>HYPERLINK("https://klasma.github.io/Logging_2303/tillsyn/A 20774-2024 tillsynsbegäran.docx", "A 20774-2024")</f>
        <v/>
      </c>
      <c r="Y311">
        <f>HYPERLINK("https://klasma.github.io/Logging_2303/tillsynsmail/A 20774-2024 tillsynsbegäran mail.docx", "A 20774-2024")</f>
        <v/>
      </c>
    </row>
    <row r="312" ht="15" customHeight="1">
      <c r="A312" t="inlineStr">
        <is>
          <t>A 23930-2024</t>
        </is>
      </c>
      <c r="B312" s="1" t="n">
        <v>45456</v>
      </c>
      <c r="C312" s="1" t="n">
        <v>45742</v>
      </c>
      <c r="D312" t="inlineStr">
        <is>
          <t>JÄMTLANDS LÄN</t>
        </is>
      </c>
      <c r="E312" t="inlineStr">
        <is>
          <t>RAGUNDA</t>
        </is>
      </c>
      <c r="F312" t="inlineStr">
        <is>
          <t>SCA</t>
        </is>
      </c>
      <c r="G312" t="n">
        <v>4.2</v>
      </c>
      <c r="H312" t="n">
        <v>1</v>
      </c>
      <c r="I312" t="n">
        <v>1</v>
      </c>
      <c r="J312" t="n">
        <v>0</v>
      </c>
      <c r="K312" t="n">
        <v>0</v>
      </c>
      <c r="L312" t="n">
        <v>0</v>
      </c>
      <c r="M312" t="n">
        <v>0</v>
      </c>
      <c r="N312" t="n">
        <v>0</v>
      </c>
      <c r="O312" t="n">
        <v>0</v>
      </c>
      <c r="P312" t="n">
        <v>0</v>
      </c>
      <c r="Q312" t="n">
        <v>1</v>
      </c>
      <c r="R312" s="2" t="inlineStr">
        <is>
          <t>Guckusko</t>
        </is>
      </c>
      <c r="S312">
        <f>HYPERLINK("https://klasma.github.io/Logging_2303/artfynd/A 23930-2024 artfynd.xlsx", "A 23930-2024")</f>
        <v/>
      </c>
      <c r="T312">
        <f>HYPERLINK("https://klasma.github.io/Logging_2303/kartor/A 23930-2024 karta.png", "A 23930-2024")</f>
        <v/>
      </c>
      <c r="V312">
        <f>HYPERLINK("https://klasma.github.io/Logging_2303/klagomål/A 23930-2024 FSC-klagomål.docx", "A 23930-2024")</f>
        <v/>
      </c>
      <c r="W312">
        <f>HYPERLINK("https://klasma.github.io/Logging_2303/klagomålsmail/A 23930-2024 FSC-klagomål mail.docx", "A 23930-2024")</f>
        <v/>
      </c>
      <c r="X312">
        <f>HYPERLINK("https://klasma.github.io/Logging_2303/tillsyn/A 23930-2024 tillsynsbegäran.docx", "A 23930-2024")</f>
        <v/>
      </c>
      <c r="Y312">
        <f>HYPERLINK("https://klasma.github.io/Logging_2303/tillsynsmail/A 23930-2024 tillsynsbegäran mail.docx", "A 23930-2024")</f>
        <v/>
      </c>
    </row>
    <row r="313" ht="15" customHeight="1">
      <c r="A313" t="inlineStr">
        <is>
          <t>A 24443-2024</t>
        </is>
      </c>
      <c r="B313" s="1" t="n">
        <v>45458</v>
      </c>
      <c r="C313" s="1" t="n">
        <v>45742</v>
      </c>
      <c r="D313" t="inlineStr">
        <is>
          <t>JÄMTLANDS LÄN</t>
        </is>
      </c>
      <c r="E313" t="inlineStr">
        <is>
          <t>RAGUNDA</t>
        </is>
      </c>
      <c r="F313" t="inlineStr">
        <is>
          <t>SCA</t>
        </is>
      </c>
      <c r="G313" t="n">
        <v>2.1</v>
      </c>
      <c r="H313" t="n">
        <v>0</v>
      </c>
      <c r="I313" t="n">
        <v>0</v>
      </c>
      <c r="J313" t="n">
        <v>1</v>
      </c>
      <c r="K313" t="n">
        <v>0</v>
      </c>
      <c r="L313" t="n">
        <v>0</v>
      </c>
      <c r="M313" t="n">
        <v>0</v>
      </c>
      <c r="N313" t="n">
        <v>0</v>
      </c>
      <c r="O313" t="n">
        <v>1</v>
      </c>
      <c r="P313" t="n">
        <v>0</v>
      </c>
      <c r="Q313" t="n">
        <v>1</v>
      </c>
      <c r="R313" s="2" t="inlineStr">
        <is>
          <t>Lunglav</t>
        </is>
      </c>
      <c r="S313">
        <f>HYPERLINK("https://klasma.github.io/Logging_2303/artfynd/A 24443-2024 artfynd.xlsx", "A 24443-2024")</f>
        <v/>
      </c>
      <c r="T313">
        <f>HYPERLINK("https://klasma.github.io/Logging_2303/kartor/A 24443-2024 karta.png", "A 24443-2024")</f>
        <v/>
      </c>
      <c r="U313">
        <f>HYPERLINK("https://klasma.github.io/Logging_2303/knärot/A 24443-2024 karta knärot.png", "A 24443-2024")</f>
        <v/>
      </c>
      <c r="V313">
        <f>HYPERLINK("https://klasma.github.io/Logging_2303/klagomål/A 24443-2024 FSC-klagomål.docx", "A 24443-2024")</f>
        <v/>
      </c>
      <c r="W313">
        <f>HYPERLINK("https://klasma.github.io/Logging_2303/klagomålsmail/A 24443-2024 FSC-klagomål mail.docx", "A 24443-2024")</f>
        <v/>
      </c>
      <c r="X313">
        <f>HYPERLINK("https://klasma.github.io/Logging_2303/tillsyn/A 24443-2024 tillsynsbegäran.docx", "A 24443-2024")</f>
        <v/>
      </c>
      <c r="Y313">
        <f>HYPERLINK("https://klasma.github.io/Logging_2303/tillsynsmail/A 24443-2024 tillsynsbegäran mail.docx", "A 24443-2024")</f>
        <v/>
      </c>
    </row>
    <row r="314" ht="15" customHeight="1">
      <c r="A314" t="inlineStr">
        <is>
          <t>A 26317-2024</t>
        </is>
      </c>
      <c r="B314" s="1" t="n">
        <v>45468</v>
      </c>
      <c r="C314" s="1" t="n">
        <v>45742</v>
      </c>
      <c r="D314" t="inlineStr">
        <is>
          <t>JÄMTLANDS LÄN</t>
        </is>
      </c>
      <c r="E314" t="inlineStr">
        <is>
          <t>RAGUNDA</t>
        </is>
      </c>
      <c r="F314" t="inlineStr">
        <is>
          <t>SCA</t>
        </is>
      </c>
      <c r="G314" t="n">
        <v>3.8</v>
      </c>
      <c r="H314" t="n">
        <v>0</v>
      </c>
      <c r="I314" t="n">
        <v>0</v>
      </c>
      <c r="J314" t="n">
        <v>1</v>
      </c>
      <c r="K314" t="n">
        <v>0</v>
      </c>
      <c r="L314" t="n">
        <v>0</v>
      </c>
      <c r="M314" t="n">
        <v>0</v>
      </c>
      <c r="N314" t="n">
        <v>0</v>
      </c>
      <c r="O314" t="n">
        <v>1</v>
      </c>
      <c r="P314" t="n">
        <v>0</v>
      </c>
      <c r="Q314" t="n">
        <v>1</v>
      </c>
      <c r="R314" s="2" t="inlineStr">
        <is>
          <t>Kortskaftad ärgspik</t>
        </is>
      </c>
      <c r="S314">
        <f>HYPERLINK("https://klasma.github.io/Logging_2303/artfynd/A 26317-2024 artfynd.xlsx", "A 26317-2024")</f>
        <v/>
      </c>
      <c r="T314">
        <f>HYPERLINK("https://klasma.github.io/Logging_2303/kartor/A 26317-2024 karta.png", "A 26317-2024")</f>
        <v/>
      </c>
      <c r="V314">
        <f>HYPERLINK("https://klasma.github.io/Logging_2303/klagomål/A 26317-2024 FSC-klagomål.docx", "A 26317-2024")</f>
        <v/>
      </c>
      <c r="W314">
        <f>HYPERLINK("https://klasma.github.io/Logging_2303/klagomålsmail/A 26317-2024 FSC-klagomål mail.docx", "A 26317-2024")</f>
        <v/>
      </c>
      <c r="X314">
        <f>HYPERLINK("https://klasma.github.io/Logging_2303/tillsyn/A 26317-2024 tillsynsbegäran.docx", "A 26317-2024")</f>
        <v/>
      </c>
      <c r="Y314">
        <f>HYPERLINK("https://klasma.github.io/Logging_2303/tillsynsmail/A 26317-2024 tillsynsbegäran mail.docx", "A 26317-2024")</f>
        <v/>
      </c>
    </row>
    <row r="315" ht="15" customHeight="1">
      <c r="A315" t="inlineStr">
        <is>
          <t>A 26322-2024</t>
        </is>
      </c>
      <c r="B315" s="1" t="n">
        <v>45469</v>
      </c>
      <c r="C315" s="1" t="n">
        <v>45742</v>
      </c>
      <c r="D315" t="inlineStr">
        <is>
          <t>JÄMTLANDS LÄN</t>
        </is>
      </c>
      <c r="E315" t="inlineStr">
        <is>
          <t>RAGUNDA</t>
        </is>
      </c>
      <c r="F315" t="inlineStr">
        <is>
          <t>SCA</t>
        </is>
      </c>
      <c r="G315" t="n">
        <v>9.6</v>
      </c>
      <c r="H315" t="n">
        <v>0</v>
      </c>
      <c r="I315" t="n">
        <v>0</v>
      </c>
      <c r="J315" t="n">
        <v>1</v>
      </c>
      <c r="K315" t="n">
        <v>0</v>
      </c>
      <c r="L315" t="n">
        <v>0</v>
      </c>
      <c r="M315" t="n">
        <v>0</v>
      </c>
      <c r="N315" t="n">
        <v>0</v>
      </c>
      <c r="O315" t="n">
        <v>1</v>
      </c>
      <c r="P315" t="n">
        <v>0</v>
      </c>
      <c r="Q315" t="n">
        <v>1</v>
      </c>
      <c r="R315" s="2" t="inlineStr">
        <is>
          <t>Rosenticka</t>
        </is>
      </c>
      <c r="S315">
        <f>HYPERLINK("https://klasma.github.io/Logging_2303/artfynd/A 26322-2024 artfynd.xlsx", "A 26322-2024")</f>
        <v/>
      </c>
      <c r="T315">
        <f>HYPERLINK("https://klasma.github.io/Logging_2303/kartor/A 26322-2024 karta.png", "A 26322-2024")</f>
        <v/>
      </c>
      <c r="U315">
        <f>HYPERLINK("https://klasma.github.io/Logging_2303/knärot/A 26322-2024 karta knärot.png", "A 26322-2024")</f>
        <v/>
      </c>
      <c r="V315">
        <f>HYPERLINK("https://klasma.github.io/Logging_2303/klagomål/A 26322-2024 FSC-klagomål.docx", "A 26322-2024")</f>
        <v/>
      </c>
      <c r="W315">
        <f>HYPERLINK("https://klasma.github.io/Logging_2303/klagomålsmail/A 26322-2024 FSC-klagomål mail.docx", "A 26322-2024")</f>
        <v/>
      </c>
      <c r="X315">
        <f>HYPERLINK("https://klasma.github.io/Logging_2303/tillsyn/A 26322-2024 tillsynsbegäran.docx", "A 26322-2024")</f>
        <v/>
      </c>
      <c r="Y315">
        <f>HYPERLINK("https://klasma.github.io/Logging_2303/tillsynsmail/A 26322-2024 tillsynsbegäran mail.docx", "A 26322-2024")</f>
        <v/>
      </c>
    </row>
    <row r="316" ht="15" customHeight="1">
      <c r="A316" t="inlineStr">
        <is>
          <t>A 28071-2024</t>
        </is>
      </c>
      <c r="B316" s="1" t="n">
        <v>45476</v>
      </c>
      <c r="C316" s="1" t="n">
        <v>45742</v>
      </c>
      <c r="D316" t="inlineStr">
        <is>
          <t>JÄMTLANDS LÄN</t>
        </is>
      </c>
      <c r="E316" t="inlineStr">
        <is>
          <t>RAGUNDA</t>
        </is>
      </c>
      <c r="G316" t="n">
        <v>14.6</v>
      </c>
      <c r="H316" t="n">
        <v>1</v>
      </c>
      <c r="I316" t="n">
        <v>1</v>
      </c>
      <c r="J316" t="n">
        <v>0</v>
      </c>
      <c r="K316" t="n">
        <v>0</v>
      </c>
      <c r="L316" t="n">
        <v>0</v>
      </c>
      <c r="M316" t="n">
        <v>0</v>
      </c>
      <c r="N316" t="n">
        <v>0</v>
      </c>
      <c r="O316" t="n">
        <v>0</v>
      </c>
      <c r="P316" t="n">
        <v>0</v>
      </c>
      <c r="Q316" t="n">
        <v>1</v>
      </c>
      <c r="R316" s="2" t="inlineStr">
        <is>
          <t>Guckusko</t>
        </is>
      </c>
      <c r="S316">
        <f>HYPERLINK("https://klasma.github.io/Logging_2303/artfynd/A 28071-2024 artfynd.xlsx", "A 28071-2024")</f>
        <v/>
      </c>
      <c r="T316">
        <f>HYPERLINK("https://klasma.github.io/Logging_2303/kartor/A 28071-2024 karta.png", "A 28071-2024")</f>
        <v/>
      </c>
      <c r="V316">
        <f>HYPERLINK("https://klasma.github.io/Logging_2303/klagomål/A 28071-2024 FSC-klagomål.docx", "A 28071-2024")</f>
        <v/>
      </c>
      <c r="W316">
        <f>HYPERLINK("https://klasma.github.io/Logging_2303/klagomålsmail/A 28071-2024 FSC-klagomål mail.docx", "A 28071-2024")</f>
        <v/>
      </c>
      <c r="X316">
        <f>HYPERLINK("https://klasma.github.io/Logging_2303/tillsyn/A 28071-2024 tillsynsbegäran.docx", "A 28071-2024")</f>
        <v/>
      </c>
      <c r="Y316">
        <f>HYPERLINK("https://klasma.github.io/Logging_2303/tillsynsmail/A 28071-2024 tillsynsbegäran mail.docx", "A 28071-2024")</f>
        <v/>
      </c>
    </row>
    <row r="317" ht="15" customHeight="1">
      <c r="A317" t="inlineStr">
        <is>
          <t>A 29245-2024</t>
        </is>
      </c>
      <c r="B317" s="1" t="n">
        <v>45483</v>
      </c>
      <c r="C317" s="1" t="n">
        <v>45742</v>
      </c>
      <c r="D317" t="inlineStr">
        <is>
          <t>JÄMTLANDS LÄN</t>
        </is>
      </c>
      <c r="E317" t="inlineStr">
        <is>
          <t>RAGUNDA</t>
        </is>
      </c>
      <c r="F317" t="inlineStr">
        <is>
          <t>SCA</t>
        </is>
      </c>
      <c r="G317" t="n">
        <v>2.9</v>
      </c>
      <c r="H317" t="n">
        <v>1</v>
      </c>
      <c r="I317" t="n">
        <v>0</v>
      </c>
      <c r="J317" t="n">
        <v>0</v>
      </c>
      <c r="K317" t="n">
        <v>1</v>
      </c>
      <c r="L317" t="n">
        <v>0</v>
      </c>
      <c r="M317" t="n">
        <v>0</v>
      </c>
      <c r="N317" t="n">
        <v>0</v>
      </c>
      <c r="O317" t="n">
        <v>1</v>
      </c>
      <c r="P317" t="n">
        <v>1</v>
      </c>
      <c r="Q317" t="n">
        <v>1</v>
      </c>
      <c r="R317" s="2" t="inlineStr">
        <is>
          <t>Doftticka</t>
        </is>
      </c>
      <c r="S317">
        <f>HYPERLINK("https://klasma.github.io/Logging_2303/artfynd/A 29245-2024 artfynd.xlsx", "A 29245-2024")</f>
        <v/>
      </c>
      <c r="T317">
        <f>HYPERLINK("https://klasma.github.io/Logging_2303/kartor/A 29245-2024 karta.png", "A 29245-2024")</f>
        <v/>
      </c>
      <c r="V317">
        <f>HYPERLINK("https://klasma.github.io/Logging_2303/klagomål/A 29245-2024 FSC-klagomål.docx", "A 29245-2024")</f>
        <v/>
      </c>
      <c r="W317">
        <f>HYPERLINK("https://klasma.github.io/Logging_2303/klagomålsmail/A 29245-2024 FSC-klagomål mail.docx", "A 29245-2024")</f>
        <v/>
      </c>
      <c r="X317">
        <f>HYPERLINK("https://klasma.github.io/Logging_2303/tillsyn/A 29245-2024 tillsynsbegäran.docx", "A 29245-2024")</f>
        <v/>
      </c>
      <c r="Y317">
        <f>HYPERLINK("https://klasma.github.io/Logging_2303/tillsynsmail/A 29245-2024 tillsynsbegäran mail.docx", "A 29245-2024")</f>
        <v/>
      </c>
    </row>
    <row r="318" ht="15" customHeight="1">
      <c r="A318" t="inlineStr">
        <is>
          <t>A 29256-2024</t>
        </is>
      </c>
      <c r="B318" s="1" t="n">
        <v>45483</v>
      </c>
      <c r="C318" s="1" t="n">
        <v>45742</v>
      </c>
      <c r="D318" t="inlineStr">
        <is>
          <t>JÄMTLANDS LÄN</t>
        </is>
      </c>
      <c r="E318" t="inlineStr">
        <is>
          <t>RAGUNDA</t>
        </is>
      </c>
      <c r="F318" t="inlineStr">
        <is>
          <t>SCA</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HYPERLINK("https://klasma.github.io/Logging_2303/artfynd/A 29256-2024 artfynd.xlsx", "A 29256-2024")</f>
        <v/>
      </c>
      <c r="T318">
        <f>HYPERLINK("https://klasma.github.io/Logging_2303/kartor/A 29256-2024 karta.png", "A 29256-2024")</f>
        <v/>
      </c>
      <c r="V318">
        <f>HYPERLINK("https://klasma.github.io/Logging_2303/klagomål/A 29256-2024 FSC-klagomål.docx", "A 29256-2024")</f>
        <v/>
      </c>
      <c r="W318">
        <f>HYPERLINK("https://klasma.github.io/Logging_2303/klagomålsmail/A 29256-2024 FSC-klagomål mail.docx", "A 29256-2024")</f>
        <v/>
      </c>
      <c r="X318">
        <f>HYPERLINK("https://klasma.github.io/Logging_2303/tillsyn/A 29256-2024 tillsynsbegäran.docx", "A 29256-2024")</f>
        <v/>
      </c>
      <c r="Y318">
        <f>HYPERLINK("https://klasma.github.io/Logging_2303/tillsynsmail/A 29256-2024 tillsynsbegäran mail.docx", "A 29256-2024")</f>
        <v/>
      </c>
    </row>
    <row r="319" ht="15" customHeight="1">
      <c r="A319" t="inlineStr">
        <is>
          <t>A 29921-2024</t>
        </is>
      </c>
      <c r="B319" s="1" t="n">
        <v>45488</v>
      </c>
      <c r="C319" s="1" t="n">
        <v>45742</v>
      </c>
      <c r="D319" t="inlineStr">
        <is>
          <t>JÄMTLANDS LÄN</t>
        </is>
      </c>
      <c r="E319" t="inlineStr">
        <is>
          <t>RAGUNDA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HYPERLINK("https://klasma.github.io/Logging_2303/artfynd/A 29921-2024 artfynd.xlsx", "A 29921-2024")</f>
        <v/>
      </c>
      <c r="T319">
        <f>HYPERLINK("https://klasma.github.io/Logging_2303/kartor/A 29921-2024 karta.png", "A 29921-2024")</f>
        <v/>
      </c>
      <c r="U319">
        <f>HYPERLINK("https://klasma.github.io/Logging_2303/knärot/A 29921-2024 karta knärot.png", "A 29921-2024")</f>
        <v/>
      </c>
      <c r="V319">
        <f>HYPERLINK("https://klasma.github.io/Logging_2303/klagomål/A 29921-2024 FSC-klagomål.docx", "A 29921-2024")</f>
        <v/>
      </c>
      <c r="W319">
        <f>HYPERLINK("https://klasma.github.io/Logging_2303/klagomålsmail/A 29921-2024 FSC-klagomål mail.docx", "A 29921-2024")</f>
        <v/>
      </c>
      <c r="X319">
        <f>HYPERLINK("https://klasma.github.io/Logging_2303/tillsyn/A 29921-2024 tillsynsbegäran.docx", "A 29921-2024")</f>
        <v/>
      </c>
      <c r="Y319">
        <f>HYPERLINK("https://klasma.github.io/Logging_2303/tillsynsmail/A 29921-2024 tillsynsbegäran mail.docx", "A 29921-2024")</f>
        <v/>
      </c>
    </row>
    <row r="320" ht="15" customHeight="1">
      <c r="A320" t="inlineStr">
        <is>
          <t>A 30485-2024</t>
        </is>
      </c>
      <c r="B320" s="1" t="n">
        <v>45492</v>
      </c>
      <c r="C320" s="1" t="n">
        <v>45742</v>
      </c>
      <c r="D320" t="inlineStr">
        <is>
          <t>JÄMTLANDS LÄN</t>
        </is>
      </c>
      <c r="E320" t="inlineStr">
        <is>
          <t>RAGUNDA</t>
        </is>
      </c>
      <c r="F320" t="inlineStr">
        <is>
          <t>SCA</t>
        </is>
      </c>
      <c r="G320" t="n">
        <v>2</v>
      </c>
      <c r="H320" t="n">
        <v>0</v>
      </c>
      <c r="I320" t="n">
        <v>0</v>
      </c>
      <c r="J320" t="n">
        <v>1</v>
      </c>
      <c r="K320" t="n">
        <v>0</v>
      </c>
      <c r="L320" t="n">
        <v>0</v>
      </c>
      <c r="M320" t="n">
        <v>0</v>
      </c>
      <c r="N320" t="n">
        <v>0</v>
      </c>
      <c r="O320" t="n">
        <v>1</v>
      </c>
      <c r="P320" t="n">
        <v>0</v>
      </c>
      <c r="Q320" t="n">
        <v>1</v>
      </c>
      <c r="R320" s="2" t="inlineStr">
        <is>
          <t>Garnlav</t>
        </is>
      </c>
      <c r="S320">
        <f>HYPERLINK("https://klasma.github.io/Logging_2303/artfynd/A 30485-2024 artfynd.xlsx", "A 30485-2024")</f>
        <v/>
      </c>
      <c r="T320">
        <f>HYPERLINK("https://klasma.github.io/Logging_2303/kartor/A 30485-2024 karta.png", "A 30485-2024")</f>
        <v/>
      </c>
      <c r="V320">
        <f>HYPERLINK("https://klasma.github.io/Logging_2303/klagomål/A 30485-2024 FSC-klagomål.docx", "A 30485-2024")</f>
        <v/>
      </c>
      <c r="W320">
        <f>HYPERLINK("https://klasma.github.io/Logging_2303/klagomålsmail/A 30485-2024 FSC-klagomål mail.docx", "A 30485-2024")</f>
        <v/>
      </c>
      <c r="X320">
        <f>HYPERLINK("https://klasma.github.io/Logging_2303/tillsyn/A 30485-2024 tillsynsbegäran.docx", "A 30485-2024")</f>
        <v/>
      </c>
      <c r="Y320">
        <f>HYPERLINK("https://klasma.github.io/Logging_2303/tillsynsmail/A 30485-2024 tillsynsbegäran mail.docx", "A 30485-2024")</f>
        <v/>
      </c>
    </row>
    <row r="321" ht="15" customHeight="1">
      <c r="A321" t="inlineStr">
        <is>
          <t>A 32069-2024</t>
        </is>
      </c>
      <c r="B321" s="1" t="n">
        <v>45510</v>
      </c>
      <c r="C321" s="1" t="n">
        <v>45742</v>
      </c>
      <c r="D321" t="inlineStr">
        <is>
          <t>JÄMTLANDS LÄN</t>
        </is>
      </c>
      <c r="E321" t="inlineStr">
        <is>
          <t>RAGUNDA</t>
        </is>
      </c>
      <c r="F321" t="inlineStr">
        <is>
          <t>SCA</t>
        </is>
      </c>
      <c r="G321" t="n">
        <v>1.8</v>
      </c>
      <c r="H321" t="n">
        <v>0</v>
      </c>
      <c r="I321" t="n">
        <v>0</v>
      </c>
      <c r="J321" t="n">
        <v>1</v>
      </c>
      <c r="K321" t="n">
        <v>0</v>
      </c>
      <c r="L321" t="n">
        <v>0</v>
      </c>
      <c r="M321" t="n">
        <v>0</v>
      </c>
      <c r="N321" t="n">
        <v>0</v>
      </c>
      <c r="O321" t="n">
        <v>1</v>
      </c>
      <c r="P321" t="n">
        <v>0</v>
      </c>
      <c r="Q321" t="n">
        <v>1</v>
      </c>
      <c r="R321" s="2" t="inlineStr">
        <is>
          <t>Lunglav</t>
        </is>
      </c>
      <c r="S321">
        <f>HYPERLINK("https://klasma.github.io/Logging_2303/artfynd/A 32069-2024 artfynd.xlsx", "A 32069-2024")</f>
        <v/>
      </c>
      <c r="T321">
        <f>HYPERLINK("https://klasma.github.io/Logging_2303/kartor/A 32069-2024 karta.png", "A 32069-2024")</f>
        <v/>
      </c>
      <c r="V321">
        <f>HYPERLINK("https://klasma.github.io/Logging_2303/klagomål/A 32069-2024 FSC-klagomål.docx", "A 32069-2024")</f>
        <v/>
      </c>
      <c r="W321">
        <f>HYPERLINK("https://klasma.github.io/Logging_2303/klagomålsmail/A 32069-2024 FSC-klagomål mail.docx", "A 32069-2024")</f>
        <v/>
      </c>
      <c r="X321">
        <f>HYPERLINK("https://klasma.github.io/Logging_2303/tillsyn/A 32069-2024 tillsynsbegäran.docx", "A 32069-2024")</f>
        <v/>
      </c>
      <c r="Y321">
        <f>HYPERLINK("https://klasma.github.io/Logging_2303/tillsynsmail/A 32069-2024 tillsynsbegäran mail.docx", "A 32069-2024")</f>
        <v/>
      </c>
    </row>
    <row r="322" ht="15" customHeight="1">
      <c r="A322" t="inlineStr">
        <is>
          <t>A 49770-2024</t>
        </is>
      </c>
      <c r="B322" s="1" t="n">
        <v>45597</v>
      </c>
      <c r="C322" s="1" t="n">
        <v>45742</v>
      </c>
      <c r="D322" t="inlineStr">
        <is>
          <t>JÄMTLANDS LÄN</t>
        </is>
      </c>
      <c r="E322" t="inlineStr">
        <is>
          <t>RAGUNDA</t>
        </is>
      </c>
      <c r="F322" t="inlineStr">
        <is>
          <t>Naturvårdsverket</t>
        </is>
      </c>
      <c r="G322" t="n">
        <v>8.9</v>
      </c>
      <c r="H322" t="n">
        <v>1</v>
      </c>
      <c r="I322" t="n">
        <v>0</v>
      </c>
      <c r="J322" t="n">
        <v>0</v>
      </c>
      <c r="K322" t="n">
        <v>1</v>
      </c>
      <c r="L322" t="n">
        <v>0</v>
      </c>
      <c r="M322" t="n">
        <v>0</v>
      </c>
      <c r="N322" t="n">
        <v>0</v>
      </c>
      <c r="O322" t="n">
        <v>1</v>
      </c>
      <c r="P322" t="n">
        <v>1</v>
      </c>
      <c r="Q322" t="n">
        <v>1</v>
      </c>
      <c r="R322" s="2" t="inlineStr">
        <is>
          <t>Doftticka</t>
        </is>
      </c>
      <c r="S322">
        <f>HYPERLINK("https://klasma.github.io/Logging_2303/artfynd/A 49770-2024 artfynd.xlsx", "A 49770-2024")</f>
        <v/>
      </c>
      <c r="T322">
        <f>HYPERLINK("https://klasma.github.io/Logging_2303/kartor/A 49770-2024 karta.png", "A 49770-2024")</f>
        <v/>
      </c>
      <c r="V322">
        <f>HYPERLINK("https://klasma.github.io/Logging_2303/klagomål/A 49770-2024 FSC-klagomål.docx", "A 49770-2024")</f>
        <v/>
      </c>
      <c r="W322">
        <f>HYPERLINK("https://klasma.github.io/Logging_2303/klagomålsmail/A 49770-2024 FSC-klagomål mail.docx", "A 49770-2024")</f>
        <v/>
      </c>
      <c r="X322">
        <f>HYPERLINK("https://klasma.github.io/Logging_2303/tillsyn/A 49770-2024 tillsynsbegäran.docx", "A 49770-2024")</f>
        <v/>
      </c>
      <c r="Y322">
        <f>HYPERLINK("https://klasma.github.io/Logging_2303/tillsynsmail/A 49770-2024 tillsynsbegäran mail.docx", "A 49770-2024")</f>
        <v/>
      </c>
    </row>
    <row r="323" ht="15" customHeight="1">
      <c r="A323" t="inlineStr">
        <is>
          <t>A 50233-2024</t>
        </is>
      </c>
      <c r="B323" s="1" t="n">
        <v>45600</v>
      </c>
      <c r="C323" s="1" t="n">
        <v>45742</v>
      </c>
      <c r="D323" t="inlineStr">
        <is>
          <t>JÄMTLANDS LÄN</t>
        </is>
      </c>
      <c r="E323" t="inlineStr">
        <is>
          <t>RAGUNDA</t>
        </is>
      </c>
      <c r="F323" t="inlineStr">
        <is>
          <t>SCA</t>
        </is>
      </c>
      <c r="G323" t="n">
        <v>5.6</v>
      </c>
      <c r="H323" t="n">
        <v>0</v>
      </c>
      <c r="I323" t="n">
        <v>0</v>
      </c>
      <c r="J323" t="n">
        <v>1</v>
      </c>
      <c r="K323" t="n">
        <v>0</v>
      </c>
      <c r="L323" t="n">
        <v>0</v>
      </c>
      <c r="M323" t="n">
        <v>0</v>
      </c>
      <c r="N323" t="n">
        <v>0</v>
      </c>
      <c r="O323" t="n">
        <v>1</v>
      </c>
      <c r="P323" t="n">
        <v>0</v>
      </c>
      <c r="Q323" t="n">
        <v>1</v>
      </c>
      <c r="R323" s="2" t="inlineStr">
        <is>
          <t>Granticka</t>
        </is>
      </c>
      <c r="S323">
        <f>HYPERLINK("https://klasma.github.io/Logging_2303/artfynd/A 50233-2024 artfynd.xlsx", "A 50233-2024")</f>
        <v/>
      </c>
      <c r="T323">
        <f>HYPERLINK("https://klasma.github.io/Logging_2303/kartor/A 50233-2024 karta.png", "A 50233-2024")</f>
        <v/>
      </c>
      <c r="V323">
        <f>HYPERLINK("https://klasma.github.io/Logging_2303/klagomål/A 50233-2024 FSC-klagomål.docx", "A 50233-2024")</f>
        <v/>
      </c>
      <c r="W323">
        <f>HYPERLINK("https://klasma.github.io/Logging_2303/klagomålsmail/A 50233-2024 FSC-klagomål mail.docx", "A 50233-2024")</f>
        <v/>
      </c>
      <c r="X323">
        <f>HYPERLINK("https://klasma.github.io/Logging_2303/tillsyn/A 50233-2024 tillsynsbegäran.docx", "A 50233-2024")</f>
        <v/>
      </c>
      <c r="Y323">
        <f>HYPERLINK("https://klasma.github.io/Logging_2303/tillsynsmail/A 50233-2024 tillsynsbegäran mail.docx", "A 50233-2024")</f>
        <v/>
      </c>
    </row>
    <row r="324" ht="15" customHeight="1">
      <c r="A324" t="inlineStr">
        <is>
          <t>A 52484-2024</t>
        </is>
      </c>
      <c r="B324" s="1" t="n">
        <v>45609</v>
      </c>
      <c r="C324" s="1" t="n">
        <v>45742</v>
      </c>
      <c r="D324" t="inlineStr">
        <is>
          <t>JÄMTLANDS LÄN</t>
        </is>
      </c>
      <c r="E324" t="inlineStr">
        <is>
          <t>RAGUNDA</t>
        </is>
      </c>
      <c r="F324" t="inlineStr">
        <is>
          <t>SCA</t>
        </is>
      </c>
      <c r="G324" t="n">
        <v>30.5</v>
      </c>
      <c r="H324" t="n">
        <v>1</v>
      </c>
      <c r="I324" t="n">
        <v>0</v>
      </c>
      <c r="J324" t="n">
        <v>0</v>
      </c>
      <c r="K324" t="n">
        <v>0</v>
      </c>
      <c r="L324" t="n">
        <v>0</v>
      </c>
      <c r="M324" t="n">
        <v>0</v>
      </c>
      <c r="N324" t="n">
        <v>0</v>
      </c>
      <c r="O324" t="n">
        <v>0</v>
      </c>
      <c r="P324" t="n">
        <v>0</v>
      </c>
      <c r="Q324" t="n">
        <v>1</v>
      </c>
      <c r="R324" s="2" t="inlineStr">
        <is>
          <t>Blåsippa</t>
        </is>
      </c>
      <c r="S324">
        <f>HYPERLINK("https://klasma.github.io/Logging_2303/artfynd/A 52484-2024 artfynd.xlsx", "A 52484-2024")</f>
        <v/>
      </c>
      <c r="T324">
        <f>HYPERLINK("https://klasma.github.io/Logging_2303/kartor/A 52484-2024 karta.png", "A 52484-2024")</f>
        <v/>
      </c>
      <c r="V324">
        <f>HYPERLINK("https://klasma.github.io/Logging_2303/klagomål/A 52484-2024 FSC-klagomål.docx", "A 52484-2024")</f>
        <v/>
      </c>
      <c r="W324">
        <f>HYPERLINK("https://klasma.github.io/Logging_2303/klagomålsmail/A 52484-2024 FSC-klagomål mail.docx", "A 52484-2024")</f>
        <v/>
      </c>
      <c r="X324">
        <f>HYPERLINK("https://klasma.github.io/Logging_2303/tillsyn/A 52484-2024 tillsynsbegäran.docx", "A 52484-2024")</f>
        <v/>
      </c>
      <c r="Y324">
        <f>HYPERLINK("https://klasma.github.io/Logging_2303/tillsynsmail/A 52484-2024 tillsynsbegäran mail.docx", "A 52484-2024")</f>
        <v/>
      </c>
    </row>
    <row r="325" ht="15" customHeight="1">
      <c r="A325" t="inlineStr">
        <is>
          <t>A 56090-2024</t>
        </is>
      </c>
      <c r="B325" s="1" t="n">
        <v>45624</v>
      </c>
      <c r="C325" s="1" t="n">
        <v>45742</v>
      </c>
      <c r="D325" t="inlineStr">
        <is>
          <t>JÄMTLANDS LÄN</t>
        </is>
      </c>
      <c r="E325" t="inlineStr">
        <is>
          <t>RAGUNDA</t>
        </is>
      </c>
      <c r="F325" t="inlineStr">
        <is>
          <t>SCA</t>
        </is>
      </c>
      <c r="G325" t="n">
        <v>15.2</v>
      </c>
      <c r="H325" t="n">
        <v>0</v>
      </c>
      <c r="I325" t="n">
        <v>0</v>
      </c>
      <c r="J325" t="n">
        <v>1</v>
      </c>
      <c r="K325" t="n">
        <v>0</v>
      </c>
      <c r="L325" t="n">
        <v>0</v>
      </c>
      <c r="M325" t="n">
        <v>0</v>
      </c>
      <c r="N325" t="n">
        <v>0</v>
      </c>
      <c r="O325" t="n">
        <v>1</v>
      </c>
      <c r="P325" t="n">
        <v>0</v>
      </c>
      <c r="Q325" t="n">
        <v>1</v>
      </c>
      <c r="R325" s="2" t="inlineStr">
        <is>
          <t>Blanksvart spiklav</t>
        </is>
      </c>
      <c r="S325">
        <f>HYPERLINK("https://klasma.github.io/Logging_2303/artfynd/A 56090-2024 artfynd.xlsx", "A 56090-2024")</f>
        <v/>
      </c>
      <c r="T325">
        <f>HYPERLINK("https://klasma.github.io/Logging_2303/kartor/A 56090-2024 karta.png", "A 56090-2024")</f>
        <v/>
      </c>
      <c r="V325">
        <f>HYPERLINK("https://klasma.github.io/Logging_2303/klagomål/A 56090-2024 FSC-klagomål.docx", "A 56090-2024")</f>
        <v/>
      </c>
      <c r="W325">
        <f>HYPERLINK("https://klasma.github.io/Logging_2303/klagomålsmail/A 56090-2024 FSC-klagomål mail.docx", "A 56090-2024")</f>
        <v/>
      </c>
      <c r="X325">
        <f>HYPERLINK("https://klasma.github.io/Logging_2303/tillsyn/A 56090-2024 tillsynsbegäran.docx", "A 56090-2024")</f>
        <v/>
      </c>
      <c r="Y325">
        <f>HYPERLINK("https://klasma.github.io/Logging_2303/tillsynsmail/A 56090-2024 tillsynsbegäran mail.docx", "A 56090-2024")</f>
        <v/>
      </c>
    </row>
    <row r="326" ht="15" customHeight="1">
      <c r="A326" t="inlineStr">
        <is>
          <t>A 58846-2024</t>
        </is>
      </c>
      <c r="B326" s="1" t="n">
        <v>45636</v>
      </c>
      <c r="C326" s="1" t="n">
        <v>45742</v>
      </c>
      <c r="D326" t="inlineStr">
        <is>
          <t>JÄMTLANDS LÄN</t>
        </is>
      </c>
      <c r="E326" t="inlineStr">
        <is>
          <t>RAGUNDA</t>
        </is>
      </c>
      <c r="F326" t="inlineStr">
        <is>
          <t>SCA</t>
        </is>
      </c>
      <c r="G326" t="n">
        <v>1.5</v>
      </c>
      <c r="H326" t="n">
        <v>0</v>
      </c>
      <c r="I326" t="n">
        <v>0</v>
      </c>
      <c r="J326" t="n">
        <v>0</v>
      </c>
      <c r="K326" t="n">
        <v>1</v>
      </c>
      <c r="L326" t="n">
        <v>0</v>
      </c>
      <c r="M326" t="n">
        <v>0</v>
      </c>
      <c r="N326" t="n">
        <v>0</v>
      </c>
      <c r="O326" t="n">
        <v>1</v>
      </c>
      <c r="P326" t="n">
        <v>1</v>
      </c>
      <c r="Q326" t="n">
        <v>1</v>
      </c>
      <c r="R326" s="2" t="inlineStr">
        <is>
          <t>Rynkskinn</t>
        </is>
      </c>
      <c r="S326">
        <f>HYPERLINK("https://klasma.github.io/Logging_2303/artfynd/A 58846-2024 artfynd.xlsx", "A 58846-2024")</f>
        <v/>
      </c>
      <c r="T326">
        <f>HYPERLINK("https://klasma.github.io/Logging_2303/kartor/A 58846-2024 karta.png", "A 58846-2024")</f>
        <v/>
      </c>
      <c r="V326">
        <f>HYPERLINK("https://klasma.github.io/Logging_2303/klagomål/A 58846-2024 FSC-klagomål.docx", "A 58846-2024")</f>
        <v/>
      </c>
      <c r="W326">
        <f>HYPERLINK("https://klasma.github.io/Logging_2303/klagomålsmail/A 58846-2024 FSC-klagomål mail.docx", "A 58846-2024")</f>
        <v/>
      </c>
      <c r="X326">
        <f>HYPERLINK("https://klasma.github.io/Logging_2303/tillsyn/A 58846-2024 tillsynsbegäran.docx", "A 58846-2024")</f>
        <v/>
      </c>
      <c r="Y326">
        <f>HYPERLINK("https://klasma.github.io/Logging_2303/tillsynsmail/A 58846-2024 tillsynsbegäran mail.docx", "A 58846-2024")</f>
        <v/>
      </c>
    </row>
    <row r="327" ht="15" customHeight="1">
      <c r="A327" t="inlineStr">
        <is>
          <t>A 2757-2025</t>
        </is>
      </c>
      <c r="B327" s="1" t="n">
        <v>45677</v>
      </c>
      <c r="C327" s="1" t="n">
        <v>45742</v>
      </c>
      <c r="D327" t="inlineStr">
        <is>
          <t>JÄMTLANDS LÄN</t>
        </is>
      </c>
      <c r="E327" t="inlineStr">
        <is>
          <t>RAGUNDA</t>
        </is>
      </c>
      <c r="G327" t="n">
        <v>4</v>
      </c>
      <c r="H327" t="n">
        <v>0</v>
      </c>
      <c r="I327" t="n">
        <v>0</v>
      </c>
      <c r="J327" t="n">
        <v>1</v>
      </c>
      <c r="K327" t="n">
        <v>0</v>
      </c>
      <c r="L327" t="n">
        <v>0</v>
      </c>
      <c r="M327" t="n">
        <v>0</v>
      </c>
      <c r="N327" t="n">
        <v>0</v>
      </c>
      <c r="O327" t="n">
        <v>1</v>
      </c>
      <c r="P327" t="n">
        <v>0</v>
      </c>
      <c r="Q327" t="n">
        <v>1</v>
      </c>
      <c r="R327" s="2" t="inlineStr">
        <is>
          <t>Lunglav</t>
        </is>
      </c>
      <c r="S327">
        <f>HYPERLINK("https://klasma.github.io/Logging_2303/artfynd/A 2757-2025 artfynd.xlsx", "A 2757-2025")</f>
        <v/>
      </c>
      <c r="T327">
        <f>HYPERLINK("https://klasma.github.io/Logging_2303/kartor/A 2757-2025 karta.png", "A 2757-2025")</f>
        <v/>
      </c>
      <c r="V327">
        <f>HYPERLINK("https://klasma.github.io/Logging_2303/klagomål/A 2757-2025 FSC-klagomål.docx", "A 2757-2025")</f>
        <v/>
      </c>
      <c r="W327">
        <f>HYPERLINK("https://klasma.github.io/Logging_2303/klagomålsmail/A 2757-2025 FSC-klagomål mail.docx", "A 2757-2025")</f>
        <v/>
      </c>
      <c r="X327">
        <f>HYPERLINK("https://klasma.github.io/Logging_2303/tillsyn/A 2757-2025 tillsynsbegäran.docx", "A 2757-2025")</f>
        <v/>
      </c>
      <c r="Y327">
        <f>HYPERLINK("https://klasma.github.io/Logging_2303/tillsynsmail/A 2757-2025 tillsynsbegäran mail.docx", "A 2757-2025")</f>
        <v/>
      </c>
    </row>
    <row r="328" ht="15" customHeight="1">
      <c r="A328" t="inlineStr">
        <is>
          <t>A 10884-2025</t>
        </is>
      </c>
      <c r="B328" s="1" t="n">
        <v>45722</v>
      </c>
      <c r="C328" s="1" t="n">
        <v>45742</v>
      </c>
      <c r="D328" t="inlineStr">
        <is>
          <t>JÄMTLANDS LÄN</t>
        </is>
      </c>
      <c r="E328" t="inlineStr">
        <is>
          <t>RAGUNDA</t>
        </is>
      </c>
      <c r="F328" t="inlineStr">
        <is>
          <t>SCA</t>
        </is>
      </c>
      <c r="G328" t="n">
        <v>5.4</v>
      </c>
      <c r="H328" t="n">
        <v>0</v>
      </c>
      <c r="I328" t="n">
        <v>1</v>
      </c>
      <c r="J328" t="n">
        <v>0</v>
      </c>
      <c r="K328" t="n">
        <v>0</v>
      </c>
      <c r="L328" t="n">
        <v>0</v>
      </c>
      <c r="M328" t="n">
        <v>0</v>
      </c>
      <c r="N328" t="n">
        <v>0</v>
      </c>
      <c r="O328" t="n">
        <v>0</v>
      </c>
      <c r="P328" t="n">
        <v>0</v>
      </c>
      <c r="Q328" t="n">
        <v>1</v>
      </c>
      <c r="R328" s="2" t="inlineStr">
        <is>
          <t>Dropptaggsvamp</t>
        </is>
      </c>
      <c r="S328">
        <f>HYPERLINK("https://klasma.github.io/Logging_2303/artfynd/A 10884-2025 artfynd.xlsx", "A 10884-2025")</f>
        <v/>
      </c>
      <c r="T328">
        <f>HYPERLINK("https://klasma.github.io/Logging_2303/kartor/A 10884-2025 karta.png", "A 10884-2025")</f>
        <v/>
      </c>
      <c r="V328">
        <f>HYPERLINK("https://klasma.github.io/Logging_2303/klagomål/A 10884-2025 FSC-klagomål.docx", "A 10884-2025")</f>
        <v/>
      </c>
      <c r="W328">
        <f>HYPERLINK("https://klasma.github.io/Logging_2303/klagomålsmail/A 10884-2025 FSC-klagomål mail.docx", "A 10884-2025")</f>
        <v/>
      </c>
      <c r="X328">
        <f>HYPERLINK("https://klasma.github.io/Logging_2303/tillsyn/A 10884-2025 tillsynsbegäran.docx", "A 10884-2025")</f>
        <v/>
      </c>
      <c r="Y328">
        <f>HYPERLINK("https://klasma.github.io/Logging_2303/tillsynsmail/A 10884-2025 tillsynsbegäran mail.docx", "A 10884-2025")</f>
        <v/>
      </c>
    </row>
    <row r="329" ht="15" customHeight="1">
      <c r="A329" t="inlineStr">
        <is>
          <t>A 19077-2019</t>
        </is>
      </c>
      <c r="B329" s="1" t="n">
        <v>43563</v>
      </c>
      <c r="C329" s="1" t="n">
        <v>45742</v>
      </c>
      <c r="D329" t="inlineStr">
        <is>
          <t>JÄMTLANDS LÄN</t>
        </is>
      </c>
      <c r="E329" t="inlineStr">
        <is>
          <t>RAGUNDA</t>
        </is>
      </c>
      <c r="G329" t="n">
        <v>11.5</v>
      </c>
      <c r="H329" t="n">
        <v>0</v>
      </c>
      <c r="I329" t="n">
        <v>0</v>
      </c>
      <c r="J329" t="n">
        <v>0</v>
      </c>
      <c r="K329" t="n">
        <v>0</v>
      </c>
      <c r="L329" t="n">
        <v>0</v>
      </c>
      <c r="M329" t="n">
        <v>0</v>
      </c>
      <c r="N329" t="n">
        <v>0</v>
      </c>
      <c r="O329" t="n">
        <v>0</v>
      </c>
      <c r="P329" t="n">
        <v>0</v>
      </c>
      <c r="Q329" t="n">
        <v>0</v>
      </c>
      <c r="R329" s="2" t="inlineStr"/>
    </row>
    <row r="330" ht="15" customHeight="1">
      <c r="A330" t="inlineStr">
        <is>
          <t>A 19543-2019</t>
        </is>
      </c>
      <c r="B330" s="1" t="n">
        <v>43565</v>
      </c>
      <c r="C330" s="1" t="n">
        <v>45742</v>
      </c>
      <c r="D330" t="inlineStr">
        <is>
          <t>JÄMTLANDS LÄN</t>
        </is>
      </c>
      <c r="E330" t="inlineStr">
        <is>
          <t>RAGUNDA</t>
        </is>
      </c>
      <c r="G330" t="n">
        <v>2.3</v>
      </c>
      <c r="H330" t="n">
        <v>0</v>
      </c>
      <c r="I330" t="n">
        <v>0</v>
      </c>
      <c r="J330" t="n">
        <v>0</v>
      </c>
      <c r="K330" t="n">
        <v>0</v>
      </c>
      <c r="L330" t="n">
        <v>0</v>
      </c>
      <c r="M330" t="n">
        <v>0</v>
      </c>
      <c r="N330" t="n">
        <v>0</v>
      </c>
      <c r="O330" t="n">
        <v>0</v>
      </c>
      <c r="P330" t="n">
        <v>0</v>
      </c>
      <c r="Q330" t="n">
        <v>0</v>
      </c>
      <c r="R330" s="2" t="inlineStr"/>
    </row>
    <row r="331" ht="15" customHeight="1">
      <c r="A331" t="inlineStr">
        <is>
          <t>A 21122-2019</t>
        </is>
      </c>
      <c r="B331" s="1" t="n">
        <v>43578</v>
      </c>
      <c r="C331" s="1" t="n">
        <v>45742</v>
      </c>
      <c r="D331" t="inlineStr">
        <is>
          <t>JÄMTLANDS LÄN</t>
        </is>
      </c>
      <c r="E331" t="inlineStr">
        <is>
          <t>RAGUNDA</t>
        </is>
      </c>
      <c r="F331" t="inlineStr">
        <is>
          <t>SCA</t>
        </is>
      </c>
      <c r="G331" t="n">
        <v>72.09999999999999</v>
      </c>
      <c r="H331" t="n">
        <v>0</v>
      </c>
      <c r="I331" t="n">
        <v>0</v>
      </c>
      <c r="J331" t="n">
        <v>0</v>
      </c>
      <c r="K331" t="n">
        <v>0</v>
      </c>
      <c r="L331" t="n">
        <v>0</v>
      </c>
      <c r="M331" t="n">
        <v>0</v>
      </c>
      <c r="N331" t="n">
        <v>0</v>
      </c>
      <c r="O331" t="n">
        <v>0</v>
      </c>
      <c r="P331" t="n">
        <v>0</v>
      </c>
      <c r="Q331" t="n">
        <v>0</v>
      </c>
      <c r="R331" s="2" t="inlineStr"/>
    </row>
    <row r="332" ht="15" customHeight="1">
      <c r="A332" t="inlineStr">
        <is>
          <t>A 21914-2019</t>
        </is>
      </c>
      <c r="B332" s="1" t="n">
        <v>43584</v>
      </c>
      <c r="C332" s="1" t="n">
        <v>45742</v>
      </c>
      <c r="D332" t="inlineStr">
        <is>
          <t>JÄMTLANDS LÄN</t>
        </is>
      </c>
      <c r="E332" t="inlineStr">
        <is>
          <t>RAGUNDA</t>
        </is>
      </c>
      <c r="G332" t="n">
        <v>3.1</v>
      </c>
      <c r="H332" t="n">
        <v>0</v>
      </c>
      <c r="I332" t="n">
        <v>0</v>
      </c>
      <c r="J332" t="n">
        <v>0</v>
      </c>
      <c r="K332" t="n">
        <v>0</v>
      </c>
      <c r="L332" t="n">
        <v>0</v>
      </c>
      <c r="M332" t="n">
        <v>0</v>
      </c>
      <c r="N332" t="n">
        <v>0</v>
      </c>
      <c r="O332" t="n">
        <v>0</v>
      </c>
      <c r="P332" t="n">
        <v>0</v>
      </c>
      <c r="Q332" t="n">
        <v>0</v>
      </c>
      <c r="R332" s="2" t="inlineStr"/>
    </row>
    <row r="333" ht="15" customHeight="1">
      <c r="A333" t="inlineStr">
        <is>
          <t>A 22799-2019</t>
        </is>
      </c>
      <c r="B333" s="1" t="n">
        <v>43589</v>
      </c>
      <c r="C333" s="1" t="n">
        <v>45742</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23740-2019</t>
        </is>
      </c>
      <c r="B334" s="1" t="n">
        <v>43594</v>
      </c>
      <c r="C334" s="1" t="n">
        <v>45742</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23821-2019</t>
        </is>
      </c>
      <c r="B335" s="1" t="n">
        <v>43594</v>
      </c>
      <c r="C335" s="1" t="n">
        <v>45742</v>
      </c>
      <c r="D335" t="inlineStr">
        <is>
          <t>JÄMTLANDS LÄN</t>
        </is>
      </c>
      <c r="E335" t="inlineStr">
        <is>
          <t>RAGUNDA</t>
        </is>
      </c>
      <c r="G335" t="n">
        <v>0.9</v>
      </c>
      <c r="H335" t="n">
        <v>0</v>
      </c>
      <c r="I335" t="n">
        <v>0</v>
      </c>
      <c r="J335" t="n">
        <v>0</v>
      </c>
      <c r="K335" t="n">
        <v>0</v>
      </c>
      <c r="L335" t="n">
        <v>0</v>
      </c>
      <c r="M335" t="n">
        <v>0</v>
      </c>
      <c r="N335" t="n">
        <v>0</v>
      </c>
      <c r="O335" t="n">
        <v>0</v>
      </c>
      <c r="P335" t="n">
        <v>0</v>
      </c>
      <c r="Q335" t="n">
        <v>0</v>
      </c>
      <c r="R335" s="2" t="inlineStr"/>
    </row>
    <row r="336" ht="15" customHeight="1">
      <c r="A336" t="inlineStr">
        <is>
          <t>A 28251-2019</t>
        </is>
      </c>
      <c r="B336" s="1" t="n">
        <v>43622</v>
      </c>
      <c r="C336" s="1" t="n">
        <v>45742</v>
      </c>
      <c r="D336" t="inlineStr">
        <is>
          <t>JÄMTLANDS LÄN</t>
        </is>
      </c>
      <c r="E336" t="inlineStr">
        <is>
          <t>RAGUNDA</t>
        </is>
      </c>
      <c r="F336" t="inlineStr">
        <is>
          <t>SCA</t>
        </is>
      </c>
      <c r="G336" t="n">
        <v>25.7</v>
      </c>
      <c r="H336" t="n">
        <v>0</v>
      </c>
      <c r="I336" t="n">
        <v>0</v>
      </c>
      <c r="J336" t="n">
        <v>0</v>
      </c>
      <c r="K336" t="n">
        <v>0</v>
      </c>
      <c r="L336" t="n">
        <v>0</v>
      </c>
      <c r="M336" t="n">
        <v>0</v>
      </c>
      <c r="N336" t="n">
        <v>0</v>
      </c>
      <c r="O336" t="n">
        <v>0</v>
      </c>
      <c r="P336" t="n">
        <v>0</v>
      </c>
      <c r="Q336" t="n">
        <v>0</v>
      </c>
      <c r="R336" s="2" t="inlineStr"/>
    </row>
    <row r="337" ht="15" customHeight="1">
      <c r="A337" t="inlineStr">
        <is>
          <t>A 30030-2019</t>
        </is>
      </c>
      <c r="B337" s="1" t="n">
        <v>43633</v>
      </c>
      <c r="C337" s="1" t="n">
        <v>45742</v>
      </c>
      <c r="D337" t="inlineStr">
        <is>
          <t>JÄMTLANDS LÄN</t>
        </is>
      </c>
      <c r="E337" t="inlineStr">
        <is>
          <t>RAGUNDA</t>
        </is>
      </c>
      <c r="G337" t="n">
        <v>10.6</v>
      </c>
      <c r="H337" t="n">
        <v>0</v>
      </c>
      <c r="I337" t="n">
        <v>0</v>
      </c>
      <c r="J337" t="n">
        <v>0</v>
      </c>
      <c r="K337" t="n">
        <v>0</v>
      </c>
      <c r="L337" t="n">
        <v>0</v>
      </c>
      <c r="M337" t="n">
        <v>0</v>
      </c>
      <c r="N337" t="n">
        <v>0</v>
      </c>
      <c r="O337" t="n">
        <v>0</v>
      </c>
      <c r="P337" t="n">
        <v>0</v>
      </c>
      <c r="Q337" t="n">
        <v>0</v>
      </c>
      <c r="R337" s="2" t="inlineStr"/>
    </row>
    <row r="338" ht="15" customHeight="1">
      <c r="A338" t="inlineStr">
        <is>
          <t>A 30034-2019</t>
        </is>
      </c>
      <c r="B338" s="1" t="n">
        <v>43633</v>
      </c>
      <c r="C338" s="1" t="n">
        <v>45742</v>
      </c>
      <c r="D338" t="inlineStr">
        <is>
          <t>JÄMTLANDS LÄN</t>
        </is>
      </c>
      <c r="E338" t="inlineStr">
        <is>
          <t>RAGUNDA</t>
        </is>
      </c>
      <c r="G338" t="n">
        <v>5.6</v>
      </c>
      <c r="H338" t="n">
        <v>0</v>
      </c>
      <c r="I338" t="n">
        <v>0</v>
      </c>
      <c r="J338" t="n">
        <v>0</v>
      </c>
      <c r="K338" t="n">
        <v>0</v>
      </c>
      <c r="L338" t="n">
        <v>0</v>
      </c>
      <c r="M338" t="n">
        <v>0</v>
      </c>
      <c r="N338" t="n">
        <v>0</v>
      </c>
      <c r="O338" t="n">
        <v>0</v>
      </c>
      <c r="P338" t="n">
        <v>0</v>
      </c>
      <c r="Q338" t="n">
        <v>0</v>
      </c>
      <c r="R338" s="2" t="inlineStr"/>
    </row>
    <row r="339" ht="15" customHeight="1">
      <c r="A339" t="inlineStr">
        <is>
          <t>A 31299-2019</t>
        </is>
      </c>
      <c r="B339" s="1" t="n">
        <v>43640</v>
      </c>
      <c r="C339" s="1" t="n">
        <v>45742</v>
      </c>
      <c r="D339" t="inlineStr">
        <is>
          <t>JÄMTLANDS LÄN</t>
        </is>
      </c>
      <c r="E339" t="inlineStr">
        <is>
          <t>RAGUNDA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31562-2019</t>
        </is>
      </c>
      <c r="B340" s="1" t="n">
        <v>43641</v>
      </c>
      <c r="C340" s="1" t="n">
        <v>45742</v>
      </c>
      <c r="D340" t="inlineStr">
        <is>
          <t>JÄMTLANDS LÄN</t>
        </is>
      </c>
      <c r="E340" t="inlineStr">
        <is>
          <t>RAGUNDA</t>
        </is>
      </c>
      <c r="F340" t="inlineStr">
        <is>
          <t>SCA</t>
        </is>
      </c>
      <c r="G340" t="n">
        <v>10.1</v>
      </c>
      <c r="H340" t="n">
        <v>0</v>
      </c>
      <c r="I340" t="n">
        <v>0</v>
      </c>
      <c r="J340" t="n">
        <v>0</v>
      </c>
      <c r="K340" t="n">
        <v>0</v>
      </c>
      <c r="L340" t="n">
        <v>0</v>
      </c>
      <c r="M340" t="n">
        <v>0</v>
      </c>
      <c r="N340" t="n">
        <v>0</v>
      </c>
      <c r="O340" t="n">
        <v>0</v>
      </c>
      <c r="P340" t="n">
        <v>0</v>
      </c>
      <c r="Q340" t="n">
        <v>0</v>
      </c>
      <c r="R340" s="2" t="inlineStr"/>
    </row>
    <row r="341" ht="15" customHeight="1">
      <c r="A341" t="inlineStr">
        <is>
          <t>A 31563-2019</t>
        </is>
      </c>
      <c r="B341" s="1" t="n">
        <v>43641</v>
      </c>
      <c r="C341" s="1" t="n">
        <v>45742</v>
      </c>
      <c r="D341" t="inlineStr">
        <is>
          <t>JÄMTLANDS LÄN</t>
        </is>
      </c>
      <c r="E341" t="inlineStr">
        <is>
          <t>RAGUNDA</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32211-2019</t>
        </is>
      </c>
      <c r="B342" s="1" t="n">
        <v>43643</v>
      </c>
      <c r="C342" s="1" t="n">
        <v>45742</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33341-2019</t>
        </is>
      </c>
      <c r="B343" s="1" t="n">
        <v>43650</v>
      </c>
      <c r="C343" s="1" t="n">
        <v>45742</v>
      </c>
      <c r="D343" t="inlineStr">
        <is>
          <t>JÄMTLANDS LÄN</t>
        </is>
      </c>
      <c r="E343" t="inlineStr">
        <is>
          <t>RAGUNDA</t>
        </is>
      </c>
      <c r="F343" t="inlineStr">
        <is>
          <t>Kommuner</t>
        </is>
      </c>
      <c r="G343" t="n">
        <v>1.3</v>
      </c>
      <c r="H343" t="n">
        <v>0</v>
      </c>
      <c r="I343" t="n">
        <v>0</v>
      </c>
      <c r="J343" t="n">
        <v>0</v>
      </c>
      <c r="K343" t="n">
        <v>0</v>
      </c>
      <c r="L343" t="n">
        <v>0</v>
      </c>
      <c r="M343" t="n">
        <v>0</v>
      </c>
      <c r="N343" t="n">
        <v>0</v>
      </c>
      <c r="O343" t="n">
        <v>0</v>
      </c>
      <c r="P343" t="n">
        <v>0</v>
      </c>
      <c r="Q343" t="n">
        <v>0</v>
      </c>
      <c r="R343" s="2" t="inlineStr"/>
    </row>
    <row r="344" ht="15" customHeight="1">
      <c r="A344" t="inlineStr">
        <is>
          <t>A 35466-2019</t>
        </is>
      </c>
      <c r="B344" s="1" t="n">
        <v>43651</v>
      </c>
      <c r="C344" s="1" t="n">
        <v>45742</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34119-2019</t>
        </is>
      </c>
      <c r="B345" s="1" t="n">
        <v>43654</v>
      </c>
      <c r="C345" s="1" t="n">
        <v>45742</v>
      </c>
      <c r="D345" t="inlineStr">
        <is>
          <t>JÄMTLANDS LÄN</t>
        </is>
      </c>
      <c r="E345" t="inlineStr">
        <is>
          <t>RAGUNDA</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34121-2019</t>
        </is>
      </c>
      <c r="B346" s="1" t="n">
        <v>43654</v>
      </c>
      <c r="C346" s="1" t="n">
        <v>45742</v>
      </c>
      <c r="D346" t="inlineStr">
        <is>
          <t>JÄMTLANDS LÄN</t>
        </is>
      </c>
      <c r="E346" t="inlineStr">
        <is>
          <t>RAGUNDA</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34490-2019</t>
        </is>
      </c>
      <c r="B347" s="1" t="n">
        <v>43656</v>
      </c>
      <c r="C347" s="1" t="n">
        <v>45742</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36230-2019</t>
        </is>
      </c>
      <c r="B348" s="1" t="n">
        <v>43669</v>
      </c>
      <c r="C348" s="1" t="n">
        <v>45742</v>
      </c>
      <c r="D348" t="inlineStr">
        <is>
          <t>JÄMTLANDS LÄN</t>
        </is>
      </c>
      <c r="E348" t="inlineStr">
        <is>
          <t>RAGUNDA</t>
        </is>
      </c>
      <c r="G348" t="n">
        <v>4.4</v>
      </c>
      <c r="H348" t="n">
        <v>0</v>
      </c>
      <c r="I348" t="n">
        <v>0</v>
      </c>
      <c r="J348" t="n">
        <v>0</v>
      </c>
      <c r="K348" t="n">
        <v>0</v>
      </c>
      <c r="L348" t="n">
        <v>0</v>
      </c>
      <c r="M348" t="n">
        <v>0</v>
      </c>
      <c r="N348" t="n">
        <v>0</v>
      </c>
      <c r="O348" t="n">
        <v>0</v>
      </c>
      <c r="P348" t="n">
        <v>0</v>
      </c>
      <c r="Q348" t="n">
        <v>0</v>
      </c>
      <c r="R348" s="2" t="inlineStr"/>
    </row>
    <row r="349" ht="15" customHeight="1">
      <c r="A349" t="inlineStr">
        <is>
          <t>A 37086-2019</t>
        </is>
      </c>
      <c r="B349" s="1" t="n">
        <v>43676</v>
      </c>
      <c r="C349" s="1" t="n">
        <v>45742</v>
      </c>
      <c r="D349" t="inlineStr">
        <is>
          <t>JÄMTLANDS LÄN</t>
        </is>
      </c>
      <c r="E349" t="inlineStr">
        <is>
          <t>RAGUNDA</t>
        </is>
      </c>
      <c r="G349" t="n">
        <v>2.5</v>
      </c>
      <c r="H349" t="n">
        <v>0</v>
      </c>
      <c r="I349" t="n">
        <v>0</v>
      </c>
      <c r="J349" t="n">
        <v>0</v>
      </c>
      <c r="K349" t="n">
        <v>0</v>
      </c>
      <c r="L349" t="n">
        <v>0</v>
      </c>
      <c r="M349" t="n">
        <v>0</v>
      </c>
      <c r="N349" t="n">
        <v>0</v>
      </c>
      <c r="O349" t="n">
        <v>0</v>
      </c>
      <c r="P349" t="n">
        <v>0</v>
      </c>
      <c r="Q349" t="n">
        <v>0</v>
      </c>
      <c r="R349" s="2" t="inlineStr"/>
    </row>
    <row r="350" ht="15" customHeight="1">
      <c r="A350" t="inlineStr">
        <is>
          <t>A 37441-2019</t>
        </is>
      </c>
      <c r="B350" s="1" t="n">
        <v>43678</v>
      </c>
      <c r="C350" s="1" t="n">
        <v>45742</v>
      </c>
      <c r="D350" t="inlineStr">
        <is>
          <t>JÄMTLANDS LÄN</t>
        </is>
      </c>
      <c r="E350" t="inlineStr">
        <is>
          <t>RAGUNDA</t>
        </is>
      </c>
      <c r="F350" t="inlineStr">
        <is>
          <t>SCA</t>
        </is>
      </c>
      <c r="G350" t="n">
        <v>0.4</v>
      </c>
      <c r="H350" t="n">
        <v>0</v>
      </c>
      <c r="I350" t="n">
        <v>0</v>
      </c>
      <c r="J350" t="n">
        <v>0</v>
      </c>
      <c r="K350" t="n">
        <v>0</v>
      </c>
      <c r="L350" t="n">
        <v>0</v>
      </c>
      <c r="M350" t="n">
        <v>0</v>
      </c>
      <c r="N350" t="n">
        <v>0</v>
      </c>
      <c r="O350" t="n">
        <v>0</v>
      </c>
      <c r="P350" t="n">
        <v>0</v>
      </c>
      <c r="Q350" t="n">
        <v>0</v>
      </c>
      <c r="R350" s="2" t="inlineStr"/>
    </row>
    <row r="351" ht="15" customHeight="1">
      <c r="A351" t="inlineStr">
        <is>
          <t>A 38757-2019</t>
        </is>
      </c>
      <c r="B351" s="1" t="n">
        <v>43686</v>
      </c>
      <c r="C351" s="1" t="n">
        <v>45742</v>
      </c>
      <c r="D351" t="inlineStr">
        <is>
          <t>JÄMTLANDS LÄN</t>
        </is>
      </c>
      <c r="E351" t="inlineStr">
        <is>
          <t>RAGUNDA</t>
        </is>
      </c>
      <c r="G351" t="n">
        <v>10.2</v>
      </c>
      <c r="H351" t="n">
        <v>0</v>
      </c>
      <c r="I351" t="n">
        <v>0</v>
      </c>
      <c r="J351" t="n">
        <v>0</v>
      </c>
      <c r="K351" t="n">
        <v>0</v>
      </c>
      <c r="L351" t="n">
        <v>0</v>
      </c>
      <c r="M351" t="n">
        <v>0</v>
      </c>
      <c r="N351" t="n">
        <v>0</v>
      </c>
      <c r="O351" t="n">
        <v>0</v>
      </c>
      <c r="P351" t="n">
        <v>0</v>
      </c>
      <c r="Q351" t="n">
        <v>0</v>
      </c>
      <c r="R351" s="2" t="inlineStr"/>
    </row>
    <row r="352" ht="15" customHeight="1">
      <c r="A352" t="inlineStr">
        <is>
          <t>A 42786-2019</t>
        </is>
      </c>
      <c r="B352" s="1" t="n">
        <v>43704</v>
      </c>
      <c r="C352" s="1" t="n">
        <v>45742</v>
      </c>
      <c r="D352" t="inlineStr">
        <is>
          <t>JÄMTLANDS LÄN</t>
        </is>
      </c>
      <c r="E352" t="inlineStr">
        <is>
          <t>RAGUNDA</t>
        </is>
      </c>
      <c r="F352" t="inlineStr">
        <is>
          <t>SCA</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42788-2019</t>
        </is>
      </c>
      <c r="B353" s="1" t="n">
        <v>43704</v>
      </c>
      <c r="C353" s="1" t="n">
        <v>45742</v>
      </c>
      <c r="D353" t="inlineStr">
        <is>
          <t>JÄMTLANDS LÄN</t>
        </is>
      </c>
      <c r="E353" t="inlineStr">
        <is>
          <t>RAGUNDA</t>
        </is>
      </c>
      <c r="F353" t="inlineStr">
        <is>
          <t>SCA</t>
        </is>
      </c>
      <c r="G353" t="n">
        <v>20.3</v>
      </c>
      <c r="H353" t="n">
        <v>0</v>
      </c>
      <c r="I353" t="n">
        <v>0</v>
      </c>
      <c r="J353" t="n">
        <v>0</v>
      </c>
      <c r="K353" t="n">
        <v>0</v>
      </c>
      <c r="L353" t="n">
        <v>0</v>
      </c>
      <c r="M353" t="n">
        <v>0</v>
      </c>
      <c r="N353" t="n">
        <v>0</v>
      </c>
      <c r="O353" t="n">
        <v>0</v>
      </c>
      <c r="P353" t="n">
        <v>0</v>
      </c>
      <c r="Q353" t="n">
        <v>0</v>
      </c>
      <c r="R353" s="2" t="inlineStr"/>
    </row>
    <row r="354" ht="15" customHeight="1">
      <c r="A354" t="inlineStr">
        <is>
          <t>A 42785-2019</t>
        </is>
      </c>
      <c r="B354" s="1" t="n">
        <v>43704</v>
      </c>
      <c r="C354" s="1" t="n">
        <v>45742</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43412-2019</t>
        </is>
      </c>
      <c r="B355" s="1" t="n">
        <v>43706</v>
      </c>
      <c r="C355" s="1" t="n">
        <v>45742</v>
      </c>
      <c r="D355" t="inlineStr">
        <is>
          <t>JÄMTLANDS LÄN</t>
        </is>
      </c>
      <c r="E355" t="inlineStr">
        <is>
          <t>RAGUNDA</t>
        </is>
      </c>
      <c r="G355" t="n">
        <v>1.4</v>
      </c>
      <c r="H355" t="n">
        <v>0</v>
      </c>
      <c r="I355" t="n">
        <v>0</v>
      </c>
      <c r="J355" t="n">
        <v>0</v>
      </c>
      <c r="K355" t="n">
        <v>0</v>
      </c>
      <c r="L355" t="n">
        <v>0</v>
      </c>
      <c r="M355" t="n">
        <v>0</v>
      </c>
      <c r="N355" t="n">
        <v>0</v>
      </c>
      <c r="O355" t="n">
        <v>0</v>
      </c>
      <c r="P355" t="n">
        <v>0</v>
      </c>
      <c r="Q355" t="n">
        <v>0</v>
      </c>
      <c r="R355" s="2" t="inlineStr"/>
    </row>
    <row r="356" ht="15" customHeight="1">
      <c r="A356" t="inlineStr">
        <is>
          <t>A 45075-2019</t>
        </is>
      </c>
      <c r="B356" s="1" t="n">
        <v>43713</v>
      </c>
      <c r="C356" s="1" t="n">
        <v>45742</v>
      </c>
      <c r="D356" t="inlineStr">
        <is>
          <t>JÄMTLANDS LÄN</t>
        </is>
      </c>
      <c r="E356" t="inlineStr">
        <is>
          <t>RAGUNDA</t>
        </is>
      </c>
      <c r="G356" t="n">
        <v>1</v>
      </c>
      <c r="H356" t="n">
        <v>0</v>
      </c>
      <c r="I356" t="n">
        <v>0</v>
      </c>
      <c r="J356" t="n">
        <v>0</v>
      </c>
      <c r="K356" t="n">
        <v>0</v>
      </c>
      <c r="L356" t="n">
        <v>0</v>
      </c>
      <c r="M356" t="n">
        <v>0</v>
      </c>
      <c r="N356" t="n">
        <v>0</v>
      </c>
      <c r="O356" t="n">
        <v>0</v>
      </c>
      <c r="P356" t="n">
        <v>0</v>
      </c>
      <c r="Q356" t="n">
        <v>0</v>
      </c>
      <c r="R356" s="2" t="inlineStr"/>
    </row>
    <row r="357" ht="15" customHeight="1">
      <c r="A357" t="inlineStr">
        <is>
          <t>A 45061-2019</t>
        </is>
      </c>
      <c r="B357" s="1" t="n">
        <v>43713</v>
      </c>
      <c r="C357" s="1" t="n">
        <v>45742</v>
      </c>
      <c r="D357" t="inlineStr">
        <is>
          <t>JÄMTLANDS LÄN</t>
        </is>
      </c>
      <c r="E357" t="inlineStr">
        <is>
          <t>RAGUNDA</t>
        </is>
      </c>
      <c r="G357" t="n">
        <v>3.3</v>
      </c>
      <c r="H357" t="n">
        <v>0</v>
      </c>
      <c r="I357" t="n">
        <v>0</v>
      </c>
      <c r="J357" t="n">
        <v>0</v>
      </c>
      <c r="K357" t="n">
        <v>0</v>
      </c>
      <c r="L357" t="n">
        <v>0</v>
      </c>
      <c r="M357" t="n">
        <v>0</v>
      </c>
      <c r="N357" t="n">
        <v>0</v>
      </c>
      <c r="O357" t="n">
        <v>0</v>
      </c>
      <c r="P357" t="n">
        <v>0</v>
      </c>
      <c r="Q357" t="n">
        <v>0</v>
      </c>
      <c r="R357" s="2" t="inlineStr"/>
    </row>
    <row r="358" ht="15" customHeight="1">
      <c r="A358" t="inlineStr">
        <is>
          <t>A 48961-2019</t>
        </is>
      </c>
      <c r="B358" s="1" t="n">
        <v>43728</v>
      </c>
      <c r="C358" s="1" t="n">
        <v>45742</v>
      </c>
      <c r="D358" t="inlineStr">
        <is>
          <t>JÄMTLANDS LÄN</t>
        </is>
      </c>
      <c r="E358" t="inlineStr">
        <is>
          <t>RAGUNDA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49875-2019</t>
        </is>
      </c>
      <c r="B359" s="1" t="n">
        <v>43733</v>
      </c>
      <c r="C359" s="1" t="n">
        <v>45742</v>
      </c>
      <c r="D359" t="inlineStr">
        <is>
          <t>JÄMTLANDS LÄN</t>
        </is>
      </c>
      <c r="E359" t="inlineStr">
        <is>
          <t>RAGUNDA</t>
        </is>
      </c>
      <c r="G359" t="n">
        <v>1.3</v>
      </c>
      <c r="H359" t="n">
        <v>0</v>
      </c>
      <c r="I359" t="n">
        <v>0</v>
      </c>
      <c r="J359" t="n">
        <v>0</v>
      </c>
      <c r="K359" t="n">
        <v>0</v>
      </c>
      <c r="L359" t="n">
        <v>0</v>
      </c>
      <c r="M359" t="n">
        <v>0</v>
      </c>
      <c r="N359" t="n">
        <v>0</v>
      </c>
      <c r="O359" t="n">
        <v>0</v>
      </c>
      <c r="P359" t="n">
        <v>0</v>
      </c>
      <c r="Q359" t="n">
        <v>0</v>
      </c>
      <c r="R359" s="2" t="inlineStr"/>
    </row>
    <row r="360" ht="15" customHeight="1">
      <c r="A360" t="inlineStr">
        <is>
          <t>A 49945-2019</t>
        </is>
      </c>
      <c r="B360" s="1" t="n">
        <v>43733</v>
      </c>
      <c r="C360" s="1" t="n">
        <v>45742</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52098-2019</t>
        </is>
      </c>
      <c r="B361" s="1" t="n">
        <v>43735</v>
      </c>
      <c r="C361" s="1" t="n">
        <v>45742</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51661-2019</t>
        </is>
      </c>
      <c r="B362" s="1" t="n">
        <v>43740</v>
      </c>
      <c r="C362" s="1" t="n">
        <v>45742</v>
      </c>
      <c r="D362" t="inlineStr">
        <is>
          <t>JÄMTLANDS LÄN</t>
        </is>
      </c>
      <c r="E362" t="inlineStr">
        <is>
          <t>RAGUNDA</t>
        </is>
      </c>
      <c r="G362" t="n">
        <v>1.4</v>
      </c>
      <c r="H362" t="n">
        <v>0</v>
      </c>
      <c r="I362" t="n">
        <v>0</v>
      </c>
      <c r="J362" t="n">
        <v>0</v>
      </c>
      <c r="K362" t="n">
        <v>0</v>
      </c>
      <c r="L362" t="n">
        <v>0</v>
      </c>
      <c r="M362" t="n">
        <v>0</v>
      </c>
      <c r="N362" t="n">
        <v>0</v>
      </c>
      <c r="O362" t="n">
        <v>0</v>
      </c>
      <c r="P362" t="n">
        <v>0</v>
      </c>
      <c r="Q362" t="n">
        <v>0</v>
      </c>
      <c r="R362" s="2" t="inlineStr"/>
    </row>
    <row r="363" ht="15" customHeight="1">
      <c r="A363" t="inlineStr">
        <is>
          <t>A 53849-2019</t>
        </is>
      </c>
      <c r="B363" s="1" t="n">
        <v>43742</v>
      </c>
      <c r="C363" s="1" t="n">
        <v>45742</v>
      </c>
      <c r="D363" t="inlineStr">
        <is>
          <t>JÄMTLANDS LÄN</t>
        </is>
      </c>
      <c r="E363" t="inlineStr">
        <is>
          <t>RAGUNDA</t>
        </is>
      </c>
      <c r="G363" t="n">
        <v>0.3</v>
      </c>
      <c r="H363" t="n">
        <v>0</v>
      </c>
      <c r="I363" t="n">
        <v>0</v>
      </c>
      <c r="J363" t="n">
        <v>0</v>
      </c>
      <c r="K363" t="n">
        <v>0</v>
      </c>
      <c r="L363" t="n">
        <v>0</v>
      </c>
      <c r="M363" t="n">
        <v>0</v>
      </c>
      <c r="N363" t="n">
        <v>0</v>
      </c>
      <c r="O363" t="n">
        <v>0</v>
      </c>
      <c r="P363" t="n">
        <v>0</v>
      </c>
      <c r="Q363" t="n">
        <v>0</v>
      </c>
      <c r="R363" s="2" t="inlineStr"/>
    </row>
    <row r="364" ht="15" customHeight="1">
      <c r="A364" t="inlineStr">
        <is>
          <t>A 52728-2019</t>
        </is>
      </c>
      <c r="B364" s="1" t="n">
        <v>43746</v>
      </c>
      <c r="C364" s="1" t="n">
        <v>45742</v>
      </c>
      <c r="D364" t="inlineStr">
        <is>
          <t>JÄMTLANDS LÄN</t>
        </is>
      </c>
      <c r="E364" t="inlineStr">
        <is>
          <t>RAGUNDA</t>
        </is>
      </c>
      <c r="G364" t="n">
        <v>1.6</v>
      </c>
      <c r="H364" t="n">
        <v>0</v>
      </c>
      <c r="I364" t="n">
        <v>0</v>
      </c>
      <c r="J364" t="n">
        <v>0</v>
      </c>
      <c r="K364" t="n">
        <v>0</v>
      </c>
      <c r="L364" t="n">
        <v>0</v>
      </c>
      <c r="M364" t="n">
        <v>0</v>
      </c>
      <c r="N364" t="n">
        <v>0</v>
      </c>
      <c r="O364" t="n">
        <v>0</v>
      </c>
      <c r="P364" t="n">
        <v>0</v>
      </c>
      <c r="Q364" t="n">
        <v>0</v>
      </c>
      <c r="R364" s="2" t="inlineStr"/>
    </row>
    <row r="365" ht="15" customHeight="1">
      <c r="A365" t="inlineStr">
        <is>
          <t>A 55353-2019</t>
        </is>
      </c>
      <c r="B365" s="1" t="n">
        <v>43756</v>
      </c>
      <c r="C365" s="1" t="n">
        <v>45742</v>
      </c>
      <c r="D365" t="inlineStr">
        <is>
          <t>JÄMTLANDS LÄN</t>
        </is>
      </c>
      <c r="E365" t="inlineStr">
        <is>
          <t>RAGUNDA</t>
        </is>
      </c>
      <c r="G365" t="n">
        <v>2.1</v>
      </c>
      <c r="H365" t="n">
        <v>0</v>
      </c>
      <c r="I365" t="n">
        <v>0</v>
      </c>
      <c r="J365" t="n">
        <v>0</v>
      </c>
      <c r="K365" t="n">
        <v>0</v>
      </c>
      <c r="L365" t="n">
        <v>0</v>
      </c>
      <c r="M365" t="n">
        <v>0</v>
      </c>
      <c r="N365" t="n">
        <v>0</v>
      </c>
      <c r="O365" t="n">
        <v>0</v>
      </c>
      <c r="P365" t="n">
        <v>0</v>
      </c>
      <c r="Q365" t="n">
        <v>0</v>
      </c>
      <c r="R365" s="2" t="inlineStr"/>
    </row>
    <row r="366" ht="15" customHeight="1">
      <c r="A366" t="inlineStr">
        <is>
          <t>A 55875-2019</t>
        </is>
      </c>
      <c r="B366" s="1" t="n">
        <v>43759</v>
      </c>
      <c r="C366" s="1" t="n">
        <v>45742</v>
      </c>
      <c r="D366" t="inlineStr">
        <is>
          <t>JÄMTLANDS LÄN</t>
        </is>
      </c>
      <c r="E366" t="inlineStr">
        <is>
          <t>RAGUNDA</t>
        </is>
      </c>
      <c r="G366" t="n">
        <v>2.8</v>
      </c>
      <c r="H366" t="n">
        <v>0</v>
      </c>
      <c r="I366" t="n">
        <v>0</v>
      </c>
      <c r="J366" t="n">
        <v>0</v>
      </c>
      <c r="K366" t="n">
        <v>0</v>
      </c>
      <c r="L366" t="n">
        <v>0</v>
      </c>
      <c r="M366" t="n">
        <v>0</v>
      </c>
      <c r="N366" t="n">
        <v>0</v>
      </c>
      <c r="O366" t="n">
        <v>0</v>
      </c>
      <c r="P366" t="n">
        <v>0</v>
      </c>
      <c r="Q366" t="n">
        <v>0</v>
      </c>
      <c r="R366" s="2" t="inlineStr"/>
    </row>
    <row r="367" ht="15" customHeight="1">
      <c r="A367" t="inlineStr">
        <is>
          <t>A 55653-2019</t>
        </is>
      </c>
      <c r="B367" s="1" t="n">
        <v>43760</v>
      </c>
      <c r="C367" s="1" t="n">
        <v>45742</v>
      </c>
      <c r="D367" t="inlineStr">
        <is>
          <t>JÄMTLANDS LÄN</t>
        </is>
      </c>
      <c r="E367" t="inlineStr">
        <is>
          <t>RAGUNDA</t>
        </is>
      </c>
      <c r="G367" t="n">
        <v>4.2</v>
      </c>
      <c r="H367" t="n">
        <v>0</v>
      </c>
      <c r="I367" t="n">
        <v>0</v>
      </c>
      <c r="J367" t="n">
        <v>0</v>
      </c>
      <c r="K367" t="n">
        <v>0</v>
      </c>
      <c r="L367" t="n">
        <v>0</v>
      </c>
      <c r="M367" t="n">
        <v>0</v>
      </c>
      <c r="N367" t="n">
        <v>0</v>
      </c>
      <c r="O367" t="n">
        <v>0</v>
      </c>
      <c r="P367" t="n">
        <v>0</v>
      </c>
      <c r="Q367" t="n">
        <v>0</v>
      </c>
      <c r="R367" s="2" t="inlineStr"/>
    </row>
    <row r="368" ht="15" customHeight="1">
      <c r="A368" t="inlineStr">
        <is>
          <t>A 57860-2019</t>
        </is>
      </c>
      <c r="B368" s="1" t="n">
        <v>43768</v>
      </c>
      <c r="C368" s="1" t="n">
        <v>45742</v>
      </c>
      <c r="D368" t="inlineStr">
        <is>
          <t>JÄMTLANDS LÄN</t>
        </is>
      </c>
      <c r="E368" t="inlineStr">
        <is>
          <t>RAGUNDA</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57783-2019</t>
        </is>
      </c>
      <c r="B369" s="1" t="n">
        <v>43768</v>
      </c>
      <c r="C369" s="1" t="n">
        <v>45742</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58348-2019</t>
        </is>
      </c>
      <c r="B370" s="1" t="n">
        <v>43770</v>
      </c>
      <c r="C370" s="1" t="n">
        <v>45742</v>
      </c>
      <c r="D370" t="inlineStr">
        <is>
          <t>JÄMTLANDS LÄN</t>
        </is>
      </c>
      <c r="E370" t="inlineStr">
        <is>
          <t>RAGUNDA</t>
        </is>
      </c>
      <c r="F370" t="inlineStr">
        <is>
          <t>SCA</t>
        </is>
      </c>
      <c r="G370" t="n">
        <v>5.8</v>
      </c>
      <c r="H370" t="n">
        <v>0</v>
      </c>
      <c r="I370" t="n">
        <v>0</v>
      </c>
      <c r="J370" t="n">
        <v>0</v>
      </c>
      <c r="K370" t="n">
        <v>0</v>
      </c>
      <c r="L370" t="n">
        <v>0</v>
      </c>
      <c r="M370" t="n">
        <v>0</v>
      </c>
      <c r="N370" t="n">
        <v>0</v>
      </c>
      <c r="O370" t="n">
        <v>0</v>
      </c>
      <c r="P370" t="n">
        <v>0</v>
      </c>
      <c r="Q370" t="n">
        <v>0</v>
      </c>
      <c r="R370" s="2" t="inlineStr"/>
    </row>
    <row r="371" ht="15" customHeight="1">
      <c r="A371" t="inlineStr">
        <is>
          <t>A 58355-2019</t>
        </is>
      </c>
      <c r="B371" s="1" t="n">
        <v>43770</v>
      </c>
      <c r="C371" s="1" t="n">
        <v>45742</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59484-2019</t>
        </is>
      </c>
      <c r="B372" s="1" t="n">
        <v>43773</v>
      </c>
      <c r="C372" s="1" t="n">
        <v>45742</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58795-2019</t>
        </is>
      </c>
      <c r="B373" s="1" t="n">
        <v>43773</v>
      </c>
      <c r="C373" s="1" t="n">
        <v>45742</v>
      </c>
      <c r="D373" t="inlineStr">
        <is>
          <t>JÄMTLANDS LÄN</t>
        </is>
      </c>
      <c r="E373" t="inlineStr">
        <is>
          <t>RAGUNDA</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59501-2019</t>
        </is>
      </c>
      <c r="B374" s="1" t="n">
        <v>43773</v>
      </c>
      <c r="C374" s="1" t="n">
        <v>45742</v>
      </c>
      <c r="D374" t="inlineStr">
        <is>
          <t>JÄMTLANDS LÄN</t>
        </is>
      </c>
      <c r="E374" t="inlineStr">
        <is>
          <t>RAGUNDA</t>
        </is>
      </c>
      <c r="G374" t="n">
        <v>0.5</v>
      </c>
      <c r="H374" t="n">
        <v>0</v>
      </c>
      <c r="I374" t="n">
        <v>0</v>
      </c>
      <c r="J374" t="n">
        <v>0</v>
      </c>
      <c r="K374" t="n">
        <v>0</v>
      </c>
      <c r="L374" t="n">
        <v>0</v>
      </c>
      <c r="M374" t="n">
        <v>0</v>
      </c>
      <c r="N374" t="n">
        <v>0</v>
      </c>
      <c r="O374" t="n">
        <v>0</v>
      </c>
      <c r="P374" t="n">
        <v>0</v>
      </c>
      <c r="Q374" t="n">
        <v>0</v>
      </c>
      <c r="R374" s="2" t="inlineStr"/>
    </row>
    <row r="375" ht="15" customHeight="1">
      <c r="A375" t="inlineStr">
        <is>
          <t>A 59194-2019</t>
        </is>
      </c>
      <c r="B375" s="1" t="n">
        <v>43775</v>
      </c>
      <c r="C375" s="1" t="n">
        <v>45742</v>
      </c>
      <c r="D375" t="inlineStr">
        <is>
          <t>JÄMTLANDS LÄN</t>
        </is>
      </c>
      <c r="E375" t="inlineStr">
        <is>
          <t>RAGUNDA</t>
        </is>
      </c>
      <c r="G375" t="n">
        <v>2.7</v>
      </c>
      <c r="H375" t="n">
        <v>0</v>
      </c>
      <c r="I375" t="n">
        <v>0</v>
      </c>
      <c r="J375" t="n">
        <v>0</v>
      </c>
      <c r="K375" t="n">
        <v>0</v>
      </c>
      <c r="L375" t="n">
        <v>0</v>
      </c>
      <c r="M375" t="n">
        <v>0</v>
      </c>
      <c r="N375" t="n">
        <v>0</v>
      </c>
      <c r="O375" t="n">
        <v>0</v>
      </c>
      <c r="P375" t="n">
        <v>0</v>
      </c>
      <c r="Q375" t="n">
        <v>0</v>
      </c>
      <c r="R375" s="2" t="inlineStr"/>
    </row>
    <row r="376" ht="15" customHeight="1">
      <c r="A376" t="inlineStr">
        <is>
          <t>A 60119-2019</t>
        </is>
      </c>
      <c r="B376" s="1" t="n">
        <v>43777</v>
      </c>
      <c r="C376" s="1" t="n">
        <v>45742</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62340-2019</t>
        </is>
      </c>
      <c r="B377" s="1" t="n">
        <v>43782</v>
      </c>
      <c r="C377" s="1" t="n">
        <v>45742</v>
      </c>
      <c r="D377" t="inlineStr">
        <is>
          <t>JÄMTLANDS LÄN</t>
        </is>
      </c>
      <c r="E377" t="inlineStr">
        <is>
          <t>RAGUNDA</t>
        </is>
      </c>
      <c r="G377" t="n">
        <v>2.5</v>
      </c>
      <c r="H377" t="n">
        <v>0</v>
      </c>
      <c r="I377" t="n">
        <v>0</v>
      </c>
      <c r="J377" t="n">
        <v>0</v>
      </c>
      <c r="K377" t="n">
        <v>0</v>
      </c>
      <c r="L377" t="n">
        <v>0</v>
      </c>
      <c r="M377" t="n">
        <v>0</v>
      </c>
      <c r="N377" t="n">
        <v>0</v>
      </c>
      <c r="O377" t="n">
        <v>0</v>
      </c>
      <c r="P377" t="n">
        <v>0</v>
      </c>
      <c r="Q377" t="n">
        <v>0</v>
      </c>
      <c r="R377" s="2" t="inlineStr"/>
    </row>
    <row r="378" ht="15" customHeight="1">
      <c r="A378" t="inlineStr">
        <is>
          <t>A 61514-2019</t>
        </is>
      </c>
      <c r="B378" s="1" t="n">
        <v>43783</v>
      </c>
      <c r="C378" s="1" t="n">
        <v>45742</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62129-2019</t>
        </is>
      </c>
      <c r="B379" s="1" t="n">
        <v>43787</v>
      </c>
      <c r="C379" s="1" t="n">
        <v>45742</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62484-2019</t>
        </is>
      </c>
      <c r="B380" s="1" t="n">
        <v>43788</v>
      </c>
      <c r="C380" s="1" t="n">
        <v>45742</v>
      </c>
      <c r="D380" t="inlineStr">
        <is>
          <t>JÄMTLANDS LÄN</t>
        </is>
      </c>
      <c r="E380" t="inlineStr">
        <is>
          <t>RAGUNDA</t>
        </is>
      </c>
      <c r="G380" t="n">
        <v>11.9</v>
      </c>
      <c r="H380" t="n">
        <v>0</v>
      </c>
      <c r="I380" t="n">
        <v>0</v>
      </c>
      <c r="J380" t="n">
        <v>0</v>
      </c>
      <c r="K380" t="n">
        <v>0</v>
      </c>
      <c r="L380" t="n">
        <v>0</v>
      </c>
      <c r="M380" t="n">
        <v>0</v>
      </c>
      <c r="N380" t="n">
        <v>0</v>
      </c>
      <c r="O380" t="n">
        <v>0</v>
      </c>
      <c r="P380" t="n">
        <v>0</v>
      </c>
      <c r="Q380" t="n">
        <v>0</v>
      </c>
      <c r="R380" s="2" t="inlineStr"/>
      <c r="U380">
        <f>HYPERLINK("https://klasma.github.io/Logging_2303/knärot/A 62484-2019 karta knärot.png", "A 62484-2019")</f>
        <v/>
      </c>
      <c r="V380">
        <f>HYPERLINK("https://klasma.github.io/Logging_2303/klagomål/A 62484-2019 FSC-klagomål.docx", "A 62484-2019")</f>
        <v/>
      </c>
      <c r="W380">
        <f>HYPERLINK("https://klasma.github.io/Logging_2303/klagomålsmail/A 62484-2019 FSC-klagomål mail.docx", "A 62484-2019")</f>
        <v/>
      </c>
      <c r="X380">
        <f>HYPERLINK("https://klasma.github.io/Logging_2303/tillsyn/A 62484-2019 tillsynsbegäran.docx", "A 62484-2019")</f>
        <v/>
      </c>
      <c r="Y380">
        <f>HYPERLINK("https://klasma.github.io/Logging_2303/tillsynsmail/A 62484-2019 tillsynsbegäran mail.docx", "A 62484-2019")</f>
        <v/>
      </c>
    </row>
    <row r="381" ht="15" customHeight="1">
      <c r="A381" t="inlineStr">
        <is>
          <t>A 64097-2019</t>
        </is>
      </c>
      <c r="B381" s="1" t="n">
        <v>43791</v>
      </c>
      <c r="C381" s="1" t="n">
        <v>45742</v>
      </c>
      <c r="D381" t="inlineStr">
        <is>
          <t>JÄMTLANDS LÄN</t>
        </is>
      </c>
      <c r="E381" t="inlineStr">
        <is>
          <t>RAGUNDA</t>
        </is>
      </c>
      <c r="G381" t="n">
        <v>1.3</v>
      </c>
      <c r="H381" t="n">
        <v>0</v>
      </c>
      <c r="I381" t="n">
        <v>0</v>
      </c>
      <c r="J381" t="n">
        <v>0</v>
      </c>
      <c r="K381" t="n">
        <v>0</v>
      </c>
      <c r="L381" t="n">
        <v>0</v>
      </c>
      <c r="M381" t="n">
        <v>0</v>
      </c>
      <c r="N381" t="n">
        <v>0</v>
      </c>
      <c r="O381" t="n">
        <v>0</v>
      </c>
      <c r="P381" t="n">
        <v>0</v>
      </c>
      <c r="Q381" t="n">
        <v>0</v>
      </c>
      <c r="R381" s="2" t="inlineStr"/>
    </row>
    <row r="382" ht="15" customHeight="1">
      <c r="A382" t="inlineStr">
        <is>
          <t>A 63841-2019</t>
        </is>
      </c>
      <c r="B382" s="1" t="n">
        <v>43795</v>
      </c>
      <c r="C382" s="1" t="n">
        <v>45742</v>
      </c>
      <c r="D382" t="inlineStr">
        <is>
          <t>JÄMTLANDS LÄN</t>
        </is>
      </c>
      <c r="E382" t="inlineStr">
        <is>
          <t>RAGUNDA</t>
        </is>
      </c>
      <c r="F382" t="inlineStr">
        <is>
          <t>SCA</t>
        </is>
      </c>
      <c r="G382" t="n">
        <v>7</v>
      </c>
      <c r="H382" t="n">
        <v>0</v>
      </c>
      <c r="I382" t="n">
        <v>0</v>
      </c>
      <c r="J382" t="n">
        <v>0</v>
      </c>
      <c r="K382" t="n">
        <v>0</v>
      </c>
      <c r="L382" t="n">
        <v>0</v>
      </c>
      <c r="M382" t="n">
        <v>0</v>
      </c>
      <c r="N382" t="n">
        <v>0</v>
      </c>
      <c r="O382" t="n">
        <v>0</v>
      </c>
      <c r="P382" t="n">
        <v>0</v>
      </c>
      <c r="Q382" t="n">
        <v>0</v>
      </c>
      <c r="R382" s="2" t="inlineStr"/>
    </row>
    <row r="383" ht="15" customHeight="1">
      <c r="A383" t="inlineStr">
        <is>
          <t>A 64316-2019</t>
        </is>
      </c>
      <c r="B383" s="1" t="n">
        <v>43797</v>
      </c>
      <c r="C383" s="1" t="n">
        <v>45742</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64432-2019</t>
        </is>
      </c>
      <c r="B384" s="1" t="n">
        <v>43797</v>
      </c>
      <c r="C384" s="1" t="n">
        <v>45742</v>
      </c>
      <c r="D384" t="inlineStr">
        <is>
          <t>JÄMTLANDS LÄN</t>
        </is>
      </c>
      <c r="E384" t="inlineStr">
        <is>
          <t>RAGUNDA</t>
        </is>
      </c>
      <c r="G384" t="n">
        <v>3.1</v>
      </c>
      <c r="H384" t="n">
        <v>0</v>
      </c>
      <c r="I384" t="n">
        <v>0</v>
      </c>
      <c r="J384" t="n">
        <v>0</v>
      </c>
      <c r="K384" t="n">
        <v>0</v>
      </c>
      <c r="L384" t="n">
        <v>0</v>
      </c>
      <c r="M384" t="n">
        <v>0</v>
      </c>
      <c r="N384" t="n">
        <v>0</v>
      </c>
      <c r="O384" t="n">
        <v>0</v>
      </c>
      <c r="P384" t="n">
        <v>0</v>
      </c>
      <c r="Q384" t="n">
        <v>0</v>
      </c>
      <c r="R384" s="2" t="inlineStr"/>
    </row>
    <row r="385" ht="15" customHeight="1">
      <c r="A385" t="inlineStr">
        <is>
          <t>A 66475-2019</t>
        </is>
      </c>
      <c r="B385" s="1" t="n">
        <v>43803</v>
      </c>
      <c r="C385" s="1" t="n">
        <v>45742</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67122-2019</t>
        </is>
      </c>
      <c r="B386" s="1" t="n">
        <v>43805</v>
      </c>
      <c r="C386" s="1" t="n">
        <v>45742</v>
      </c>
      <c r="D386" t="inlineStr">
        <is>
          <t>JÄMTLANDS LÄN</t>
        </is>
      </c>
      <c r="E386" t="inlineStr">
        <is>
          <t>RAGUNDA</t>
        </is>
      </c>
      <c r="G386" t="n">
        <v>0.2</v>
      </c>
      <c r="H386" t="n">
        <v>0</v>
      </c>
      <c r="I386" t="n">
        <v>0</v>
      </c>
      <c r="J386" t="n">
        <v>0</v>
      </c>
      <c r="K386" t="n">
        <v>0</v>
      </c>
      <c r="L386" t="n">
        <v>0</v>
      </c>
      <c r="M386" t="n">
        <v>0</v>
      </c>
      <c r="N386" t="n">
        <v>0</v>
      </c>
      <c r="O386" t="n">
        <v>0</v>
      </c>
      <c r="P386" t="n">
        <v>0</v>
      </c>
      <c r="Q386" t="n">
        <v>0</v>
      </c>
      <c r="R386" s="2" t="inlineStr"/>
    </row>
    <row r="387" ht="15" customHeight="1">
      <c r="A387" t="inlineStr">
        <is>
          <t>A 67285-2019</t>
        </is>
      </c>
      <c r="B387" s="1" t="n">
        <v>43812</v>
      </c>
      <c r="C387" s="1" t="n">
        <v>45742</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68600-2019</t>
        </is>
      </c>
      <c r="B388" s="1" t="n">
        <v>43818</v>
      </c>
      <c r="C388" s="1" t="n">
        <v>45742</v>
      </c>
      <c r="D388" t="inlineStr">
        <is>
          <t>JÄMTLANDS LÄN</t>
        </is>
      </c>
      <c r="E388" t="inlineStr">
        <is>
          <t>RAGUNDA</t>
        </is>
      </c>
      <c r="G388" t="n">
        <v>0.2</v>
      </c>
      <c r="H388" t="n">
        <v>0</v>
      </c>
      <c r="I388" t="n">
        <v>0</v>
      </c>
      <c r="J388" t="n">
        <v>0</v>
      </c>
      <c r="K388" t="n">
        <v>0</v>
      </c>
      <c r="L388" t="n">
        <v>0</v>
      </c>
      <c r="M388" t="n">
        <v>0</v>
      </c>
      <c r="N388" t="n">
        <v>0</v>
      </c>
      <c r="O388" t="n">
        <v>0</v>
      </c>
      <c r="P388" t="n">
        <v>0</v>
      </c>
      <c r="Q388" t="n">
        <v>0</v>
      </c>
      <c r="R388" s="2" t="inlineStr"/>
    </row>
    <row r="389" ht="15" customHeight="1">
      <c r="A389" t="inlineStr">
        <is>
          <t>A 68601-2019</t>
        </is>
      </c>
      <c r="B389" s="1" t="n">
        <v>43818</v>
      </c>
      <c r="C389" s="1" t="n">
        <v>45742</v>
      </c>
      <c r="D389" t="inlineStr">
        <is>
          <t>JÄMTLANDS LÄN</t>
        </is>
      </c>
      <c r="E389" t="inlineStr">
        <is>
          <t>RAGUNDA</t>
        </is>
      </c>
      <c r="G389" t="n">
        <v>1.9</v>
      </c>
      <c r="H389" t="n">
        <v>0</v>
      </c>
      <c r="I389" t="n">
        <v>0</v>
      </c>
      <c r="J389" t="n">
        <v>0</v>
      </c>
      <c r="K389" t="n">
        <v>0</v>
      </c>
      <c r="L389" t="n">
        <v>0</v>
      </c>
      <c r="M389" t="n">
        <v>0</v>
      </c>
      <c r="N389" t="n">
        <v>0</v>
      </c>
      <c r="O389" t="n">
        <v>0</v>
      </c>
      <c r="P389" t="n">
        <v>0</v>
      </c>
      <c r="Q389" t="n">
        <v>0</v>
      </c>
      <c r="R389" s="2" t="inlineStr"/>
    </row>
    <row r="390" ht="15" customHeight="1">
      <c r="A390" t="inlineStr">
        <is>
          <t>A 68840-2019</t>
        </is>
      </c>
      <c r="B390" s="1" t="n">
        <v>43819</v>
      </c>
      <c r="C390" s="1" t="n">
        <v>45742</v>
      </c>
      <c r="D390" t="inlineStr">
        <is>
          <t>JÄMTLANDS LÄN</t>
        </is>
      </c>
      <c r="E390" t="inlineStr">
        <is>
          <t>RAGUNDA</t>
        </is>
      </c>
      <c r="G390" t="n">
        <v>2.2</v>
      </c>
      <c r="H390" t="n">
        <v>0</v>
      </c>
      <c r="I390" t="n">
        <v>0</v>
      </c>
      <c r="J390" t="n">
        <v>0</v>
      </c>
      <c r="K390" t="n">
        <v>0</v>
      </c>
      <c r="L390" t="n">
        <v>0</v>
      </c>
      <c r="M390" t="n">
        <v>0</v>
      </c>
      <c r="N390" t="n">
        <v>0</v>
      </c>
      <c r="O390" t="n">
        <v>0</v>
      </c>
      <c r="P390" t="n">
        <v>0</v>
      </c>
      <c r="Q390" t="n">
        <v>0</v>
      </c>
      <c r="R390" s="2" t="inlineStr"/>
    </row>
    <row r="391" ht="15" customHeight="1">
      <c r="A391" t="inlineStr">
        <is>
          <t>A 1784-2020</t>
        </is>
      </c>
      <c r="B391" s="1" t="n">
        <v>43833</v>
      </c>
      <c r="C391" s="1" t="n">
        <v>45742</v>
      </c>
      <c r="D391" t="inlineStr">
        <is>
          <t>JÄMTLANDS LÄN</t>
        </is>
      </c>
      <c r="E391" t="inlineStr">
        <is>
          <t>RAGUNDA</t>
        </is>
      </c>
      <c r="G391" t="n">
        <v>15.5</v>
      </c>
      <c r="H391" t="n">
        <v>0</v>
      </c>
      <c r="I391" t="n">
        <v>0</v>
      </c>
      <c r="J391" t="n">
        <v>0</v>
      </c>
      <c r="K391" t="n">
        <v>0</v>
      </c>
      <c r="L391" t="n">
        <v>0</v>
      </c>
      <c r="M391" t="n">
        <v>0</v>
      </c>
      <c r="N391" t="n">
        <v>0</v>
      </c>
      <c r="O391" t="n">
        <v>0</v>
      </c>
      <c r="P391" t="n">
        <v>0</v>
      </c>
      <c r="Q391" t="n">
        <v>0</v>
      </c>
      <c r="R391" s="2" t="inlineStr"/>
    </row>
    <row r="392" ht="15" customHeight="1">
      <c r="A392" t="inlineStr">
        <is>
          <t>A 2636-2020</t>
        </is>
      </c>
      <c r="B392" s="1" t="n">
        <v>43847</v>
      </c>
      <c r="C392" s="1" t="n">
        <v>45742</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2791-2020</t>
        </is>
      </c>
      <c r="B393" s="1" t="n">
        <v>43850</v>
      </c>
      <c r="C393" s="1" t="n">
        <v>45742</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6051-2020</t>
        </is>
      </c>
      <c r="B394" s="1" t="n">
        <v>43861</v>
      </c>
      <c r="C394" s="1" t="n">
        <v>45742</v>
      </c>
      <c r="D394" t="inlineStr">
        <is>
          <t>JÄMTLANDS LÄN</t>
        </is>
      </c>
      <c r="E394" t="inlineStr">
        <is>
          <t>RAGUNDA</t>
        </is>
      </c>
      <c r="G394" t="n">
        <v>3.4</v>
      </c>
      <c r="H394" t="n">
        <v>0</v>
      </c>
      <c r="I394" t="n">
        <v>0</v>
      </c>
      <c r="J394" t="n">
        <v>0</v>
      </c>
      <c r="K394" t="n">
        <v>0</v>
      </c>
      <c r="L394" t="n">
        <v>0</v>
      </c>
      <c r="M394" t="n">
        <v>0</v>
      </c>
      <c r="N394" t="n">
        <v>0</v>
      </c>
      <c r="O394" t="n">
        <v>0</v>
      </c>
      <c r="P394" t="n">
        <v>0</v>
      </c>
      <c r="Q394" t="n">
        <v>0</v>
      </c>
      <c r="R394" s="2" t="inlineStr"/>
    </row>
    <row r="395" ht="15" customHeight="1">
      <c r="A395" t="inlineStr">
        <is>
          <t>A 7071-2020</t>
        </is>
      </c>
      <c r="B395" s="1" t="n">
        <v>43868</v>
      </c>
      <c r="C395" s="1" t="n">
        <v>45742</v>
      </c>
      <c r="D395" t="inlineStr">
        <is>
          <t>JÄMTLANDS LÄN</t>
        </is>
      </c>
      <c r="E395" t="inlineStr">
        <is>
          <t>RAGUNDA</t>
        </is>
      </c>
      <c r="G395" t="n">
        <v>2.1</v>
      </c>
      <c r="H395" t="n">
        <v>0</v>
      </c>
      <c r="I395" t="n">
        <v>0</v>
      </c>
      <c r="J395" t="n">
        <v>0</v>
      </c>
      <c r="K395" t="n">
        <v>0</v>
      </c>
      <c r="L395" t="n">
        <v>0</v>
      </c>
      <c r="M395" t="n">
        <v>0</v>
      </c>
      <c r="N395" t="n">
        <v>0</v>
      </c>
      <c r="O395" t="n">
        <v>0</v>
      </c>
      <c r="P395" t="n">
        <v>0</v>
      </c>
      <c r="Q395" t="n">
        <v>0</v>
      </c>
      <c r="R395" s="2" t="inlineStr"/>
    </row>
    <row r="396" ht="15" customHeight="1">
      <c r="A396" t="inlineStr">
        <is>
          <t>A 7720-2020</t>
        </is>
      </c>
      <c r="B396" s="1" t="n">
        <v>43872</v>
      </c>
      <c r="C396" s="1" t="n">
        <v>45742</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8040-2020</t>
        </is>
      </c>
      <c r="B397" s="1" t="n">
        <v>43873</v>
      </c>
      <c r="C397" s="1" t="n">
        <v>45742</v>
      </c>
      <c r="D397" t="inlineStr">
        <is>
          <t>JÄMTLANDS LÄN</t>
        </is>
      </c>
      <c r="E397" t="inlineStr">
        <is>
          <t>RAGUNDA</t>
        </is>
      </c>
      <c r="G397" t="n">
        <v>14</v>
      </c>
      <c r="H397" t="n">
        <v>0</v>
      </c>
      <c r="I397" t="n">
        <v>0</v>
      </c>
      <c r="J397" t="n">
        <v>0</v>
      </c>
      <c r="K397" t="n">
        <v>0</v>
      </c>
      <c r="L397" t="n">
        <v>0</v>
      </c>
      <c r="M397" t="n">
        <v>0</v>
      </c>
      <c r="N397" t="n">
        <v>0</v>
      </c>
      <c r="O397" t="n">
        <v>0</v>
      </c>
      <c r="P397" t="n">
        <v>0</v>
      </c>
      <c r="Q397" t="n">
        <v>0</v>
      </c>
      <c r="R397" s="2" t="inlineStr"/>
    </row>
    <row r="398" ht="15" customHeight="1">
      <c r="A398" t="inlineStr">
        <is>
          <t>A 9527-2020</t>
        </is>
      </c>
      <c r="B398" s="1" t="n">
        <v>43880</v>
      </c>
      <c r="C398" s="1" t="n">
        <v>45742</v>
      </c>
      <c r="D398" t="inlineStr">
        <is>
          <t>JÄMTLANDS LÄN</t>
        </is>
      </c>
      <c r="E398" t="inlineStr">
        <is>
          <t>RAGUNDA</t>
        </is>
      </c>
      <c r="G398" t="n">
        <v>4.7</v>
      </c>
      <c r="H398" t="n">
        <v>0</v>
      </c>
      <c r="I398" t="n">
        <v>0</v>
      </c>
      <c r="J398" t="n">
        <v>0</v>
      </c>
      <c r="K398" t="n">
        <v>0</v>
      </c>
      <c r="L398" t="n">
        <v>0</v>
      </c>
      <c r="M398" t="n">
        <v>0</v>
      </c>
      <c r="N398" t="n">
        <v>0</v>
      </c>
      <c r="O398" t="n">
        <v>0</v>
      </c>
      <c r="P398" t="n">
        <v>0</v>
      </c>
      <c r="Q398" t="n">
        <v>0</v>
      </c>
      <c r="R398" s="2" t="inlineStr"/>
    </row>
    <row r="399" ht="15" customHeight="1">
      <c r="A399" t="inlineStr">
        <is>
          <t>A 9823-2020</t>
        </is>
      </c>
      <c r="B399" s="1" t="n">
        <v>43881</v>
      </c>
      <c r="C399" s="1" t="n">
        <v>45742</v>
      </c>
      <c r="D399" t="inlineStr">
        <is>
          <t>JÄMTLANDS LÄN</t>
        </is>
      </c>
      <c r="E399" t="inlineStr">
        <is>
          <t>RAGUNDA</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9962-2020</t>
        </is>
      </c>
      <c r="B400" s="1" t="n">
        <v>43882</v>
      </c>
      <c r="C400" s="1" t="n">
        <v>45742</v>
      </c>
      <c r="D400" t="inlineStr">
        <is>
          <t>JÄMTLANDS LÄN</t>
        </is>
      </c>
      <c r="E400" t="inlineStr">
        <is>
          <t>RAGUNDA</t>
        </is>
      </c>
      <c r="G400" t="n">
        <v>1.2</v>
      </c>
      <c r="H400" t="n">
        <v>0</v>
      </c>
      <c r="I400" t="n">
        <v>0</v>
      </c>
      <c r="J400" t="n">
        <v>0</v>
      </c>
      <c r="K400" t="n">
        <v>0</v>
      </c>
      <c r="L400" t="n">
        <v>0</v>
      </c>
      <c r="M400" t="n">
        <v>0</v>
      </c>
      <c r="N400" t="n">
        <v>0</v>
      </c>
      <c r="O400" t="n">
        <v>0</v>
      </c>
      <c r="P400" t="n">
        <v>0</v>
      </c>
      <c r="Q400" t="n">
        <v>0</v>
      </c>
      <c r="R400" s="2" t="inlineStr"/>
    </row>
    <row r="401" ht="15" customHeight="1">
      <c r="A401" t="inlineStr">
        <is>
          <t>A 10642-2020</t>
        </is>
      </c>
      <c r="B401" s="1" t="n">
        <v>43887</v>
      </c>
      <c r="C401" s="1" t="n">
        <v>45742</v>
      </c>
      <c r="D401" t="inlineStr">
        <is>
          <t>JÄMTLANDS LÄN</t>
        </is>
      </c>
      <c r="E401" t="inlineStr">
        <is>
          <t>RAGUNDA</t>
        </is>
      </c>
      <c r="G401" t="n">
        <v>4.6</v>
      </c>
      <c r="H401" t="n">
        <v>0</v>
      </c>
      <c r="I401" t="n">
        <v>0</v>
      </c>
      <c r="J401" t="n">
        <v>0</v>
      </c>
      <c r="K401" t="n">
        <v>0</v>
      </c>
      <c r="L401" t="n">
        <v>0</v>
      </c>
      <c r="M401" t="n">
        <v>0</v>
      </c>
      <c r="N401" t="n">
        <v>0</v>
      </c>
      <c r="O401" t="n">
        <v>0</v>
      </c>
      <c r="P401" t="n">
        <v>0</v>
      </c>
      <c r="Q401" t="n">
        <v>0</v>
      </c>
      <c r="R401" s="2" t="inlineStr"/>
    </row>
    <row r="402" ht="15" customHeight="1">
      <c r="A402" t="inlineStr">
        <is>
          <t>A 13057-2020</t>
        </is>
      </c>
      <c r="B402" s="1" t="n">
        <v>43900</v>
      </c>
      <c r="C402" s="1" t="n">
        <v>45742</v>
      </c>
      <c r="D402" t="inlineStr">
        <is>
          <t>JÄMTLANDS LÄN</t>
        </is>
      </c>
      <c r="E402" t="inlineStr">
        <is>
          <t>RAGUNDA</t>
        </is>
      </c>
      <c r="G402" t="n">
        <v>10.8</v>
      </c>
      <c r="H402" t="n">
        <v>0</v>
      </c>
      <c r="I402" t="n">
        <v>0</v>
      </c>
      <c r="J402" t="n">
        <v>0</v>
      </c>
      <c r="K402" t="n">
        <v>0</v>
      </c>
      <c r="L402" t="n">
        <v>0</v>
      </c>
      <c r="M402" t="n">
        <v>0</v>
      </c>
      <c r="N402" t="n">
        <v>0</v>
      </c>
      <c r="O402" t="n">
        <v>0</v>
      </c>
      <c r="P402" t="n">
        <v>0</v>
      </c>
      <c r="Q402" t="n">
        <v>0</v>
      </c>
      <c r="R402" s="2" t="inlineStr"/>
    </row>
    <row r="403" ht="15" customHeight="1">
      <c r="A403" t="inlineStr">
        <is>
          <t>A 13202-2020</t>
        </is>
      </c>
      <c r="B403" s="1" t="n">
        <v>43901</v>
      </c>
      <c r="C403" s="1" t="n">
        <v>45742</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13563-2020</t>
        </is>
      </c>
      <c r="B404" s="1" t="n">
        <v>43902</v>
      </c>
      <c r="C404" s="1" t="n">
        <v>45742</v>
      </c>
      <c r="D404" t="inlineStr">
        <is>
          <t>JÄMTLANDS LÄN</t>
        </is>
      </c>
      <c r="E404" t="inlineStr">
        <is>
          <t>RAGUNDA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14293-2020</t>
        </is>
      </c>
      <c r="B405" s="1" t="n">
        <v>43907</v>
      </c>
      <c r="C405" s="1" t="n">
        <v>45742</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15117-2020</t>
        </is>
      </c>
      <c r="B406" s="1" t="n">
        <v>43910</v>
      </c>
      <c r="C406" s="1" t="n">
        <v>45742</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15118-2020</t>
        </is>
      </c>
      <c r="B407" s="1" t="n">
        <v>43910</v>
      </c>
      <c r="C407" s="1" t="n">
        <v>45742</v>
      </c>
      <c r="D407" t="inlineStr">
        <is>
          <t>JÄMTLANDS LÄN</t>
        </is>
      </c>
      <c r="E407" t="inlineStr">
        <is>
          <t>RAGUNDA</t>
        </is>
      </c>
      <c r="G407" t="n">
        <v>2.7</v>
      </c>
      <c r="H407" t="n">
        <v>0</v>
      </c>
      <c r="I407" t="n">
        <v>0</v>
      </c>
      <c r="J407" t="n">
        <v>0</v>
      </c>
      <c r="K407" t="n">
        <v>0</v>
      </c>
      <c r="L407" t="n">
        <v>0</v>
      </c>
      <c r="M407" t="n">
        <v>0</v>
      </c>
      <c r="N407" t="n">
        <v>0</v>
      </c>
      <c r="O407" t="n">
        <v>0</v>
      </c>
      <c r="P407" t="n">
        <v>0</v>
      </c>
      <c r="Q407" t="n">
        <v>0</v>
      </c>
      <c r="R407" s="2" t="inlineStr"/>
    </row>
    <row r="408" ht="15" customHeight="1">
      <c r="A408" t="inlineStr">
        <is>
          <t>A 15345-2020</t>
        </is>
      </c>
      <c r="B408" s="1" t="n">
        <v>43913</v>
      </c>
      <c r="C408" s="1" t="n">
        <v>45742</v>
      </c>
      <c r="D408" t="inlineStr">
        <is>
          <t>JÄMTLANDS LÄN</t>
        </is>
      </c>
      <c r="E408" t="inlineStr">
        <is>
          <t>RAGUNDA</t>
        </is>
      </c>
      <c r="G408" t="n">
        <v>1.9</v>
      </c>
      <c r="H408" t="n">
        <v>0</v>
      </c>
      <c r="I408" t="n">
        <v>0</v>
      </c>
      <c r="J408" t="n">
        <v>0</v>
      </c>
      <c r="K408" t="n">
        <v>0</v>
      </c>
      <c r="L408" t="n">
        <v>0</v>
      </c>
      <c r="M408" t="n">
        <v>0</v>
      </c>
      <c r="N408" t="n">
        <v>0</v>
      </c>
      <c r="O408" t="n">
        <v>0</v>
      </c>
      <c r="P408" t="n">
        <v>0</v>
      </c>
      <c r="Q408" t="n">
        <v>0</v>
      </c>
      <c r="R408" s="2" t="inlineStr"/>
    </row>
    <row r="409" ht="15" customHeight="1">
      <c r="A409" t="inlineStr">
        <is>
          <t>A 17845-2020</t>
        </is>
      </c>
      <c r="B409" s="1" t="n">
        <v>43923</v>
      </c>
      <c r="C409" s="1" t="n">
        <v>45742</v>
      </c>
      <c r="D409" t="inlineStr">
        <is>
          <t>JÄMTLANDS LÄN</t>
        </is>
      </c>
      <c r="E409" t="inlineStr">
        <is>
          <t>RAGUNDA</t>
        </is>
      </c>
      <c r="G409" t="n">
        <v>12.1</v>
      </c>
      <c r="H409" t="n">
        <v>0</v>
      </c>
      <c r="I409" t="n">
        <v>0</v>
      </c>
      <c r="J409" t="n">
        <v>0</v>
      </c>
      <c r="K409" t="n">
        <v>0</v>
      </c>
      <c r="L409" t="n">
        <v>0</v>
      </c>
      <c r="M409" t="n">
        <v>0</v>
      </c>
      <c r="N409" t="n">
        <v>0</v>
      </c>
      <c r="O409" t="n">
        <v>0</v>
      </c>
      <c r="P409" t="n">
        <v>0</v>
      </c>
      <c r="Q409" t="n">
        <v>0</v>
      </c>
      <c r="R409" s="2" t="inlineStr"/>
    </row>
    <row r="410" ht="15" customHeight="1">
      <c r="A410" t="inlineStr">
        <is>
          <t>A 19918-2020</t>
        </is>
      </c>
      <c r="B410" s="1" t="n">
        <v>43943</v>
      </c>
      <c r="C410" s="1" t="n">
        <v>45742</v>
      </c>
      <c r="D410" t="inlineStr">
        <is>
          <t>JÄMTLANDS LÄN</t>
        </is>
      </c>
      <c r="E410" t="inlineStr">
        <is>
          <t>RAGUNDA</t>
        </is>
      </c>
      <c r="G410" t="n">
        <v>6.2</v>
      </c>
      <c r="H410" t="n">
        <v>0</v>
      </c>
      <c r="I410" t="n">
        <v>0</v>
      </c>
      <c r="J410" t="n">
        <v>0</v>
      </c>
      <c r="K410" t="n">
        <v>0</v>
      </c>
      <c r="L410" t="n">
        <v>0</v>
      </c>
      <c r="M410" t="n">
        <v>0</v>
      </c>
      <c r="N410" t="n">
        <v>0</v>
      </c>
      <c r="O410" t="n">
        <v>0</v>
      </c>
      <c r="P410" t="n">
        <v>0</v>
      </c>
      <c r="Q410" t="n">
        <v>0</v>
      </c>
      <c r="R410" s="2" t="inlineStr"/>
    </row>
    <row r="411" ht="15" customHeight="1">
      <c r="A411" t="inlineStr">
        <is>
          <t>A 20616-2020</t>
        </is>
      </c>
      <c r="B411" s="1" t="n">
        <v>43948</v>
      </c>
      <c r="C411" s="1" t="n">
        <v>45742</v>
      </c>
      <c r="D411" t="inlineStr">
        <is>
          <t>JÄMTLANDS LÄN</t>
        </is>
      </c>
      <c r="E411" t="inlineStr">
        <is>
          <t>RAGUNDA</t>
        </is>
      </c>
      <c r="G411" t="n">
        <v>4.1</v>
      </c>
      <c r="H411" t="n">
        <v>0</v>
      </c>
      <c r="I411" t="n">
        <v>0</v>
      </c>
      <c r="J411" t="n">
        <v>0</v>
      </c>
      <c r="K411" t="n">
        <v>0</v>
      </c>
      <c r="L411" t="n">
        <v>0</v>
      </c>
      <c r="M411" t="n">
        <v>0</v>
      </c>
      <c r="N411" t="n">
        <v>0</v>
      </c>
      <c r="O411" t="n">
        <v>0</v>
      </c>
      <c r="P411" t="n">
        <v>0</v>
      </c>
      <c r="Q411" t="n">
        <v>0</v>
      </c>
      <c r="R411" s="2" t="inlineStr"/>
    </row>
    <row r="412" ht="15" customHeight="1">
      <c r="A412" t="inlineStr">
        <is>
          <t>A 20815-2020</t>
        </is>
      </c>
      <c r="B412" s="1" t="n">
        <v>43949</v>
      </c>
      <c r="C412" s="1" t="n">
        <v>45742</v>
      </c>
      <c r="D412" t="inlineStr">
        <is>
          <t>JÄMTLANDS LÄN</t>
        </is>
      </c>
      <c r="E412" t="inlineStr">
        <is>
          <t>RAGUNDA</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21172-2020</t>
        </is>
      </c>
      <c r="B413" s="1" t="n">
        <v>43951</v>
      </c>
      <c r="C413" s="1" t="n">
        <v>45742</v>
      </c>
      <c r="D413" t="inlineStr">
        <is>
          <t>JÄMTLANDS LÄN</t>
        </is>
      </c>
      <c r="E413" t="inlineStr">
        <is>
          <t>RAGUNDA</t>
        </is>
      </c>
      <c r="G413" t="n">
        <v>3.6</v>
      </c>
      <c r="H413" t="n">
        <v>0</v>
      </c>
      <c r="I413" t="n">
        <v>0</v>
      </c>
      <c r="J413" t="n">
        <v>0</v>
      </c>
      <c r="K413" t="n">
        <v>0</v>
      </c>
      <c r="L413" t="n">
        <v>0</v>
      </c>
      <c r="M413" t="n">
        <v>0</v>
      </c>
      <c r="N413" t="n">
        <v>0</v>
      </c>
      <c r="O413" t="n">
        <v>0</v>
      </c>
      <c r="P413" t="n">
        <v>0</v>
      </c>
      <c r="Q413" t="n">
        <v>0</v>
      </c>
      <c r="R413" s="2" t="inlineStr"/>
    </row>
    <row r="414" ht="15" customHeight="1">
      <c r="A414" t="inlineStr">
        <is>
          <t>A 21419-2020</t>
        </is>
      </c>
      <c r="B414" s="1" t="n">
        <v>43955</v>
      </c>
      <c r="C414" s="1" t="n">
        <v>45742</v>
      </c>
      <c r="D414" t="inlineStr">
        <is>
          <t>JÄMTLANDS LÄN</t>
        </is>
      </c>
      <c r="E414" t="inlineStr">
        <is>
          <t>RAGUNDA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21418-2020</t>
        </is>
      </c>
      <c r="B415" s="1" t="n">
        <v>43955</v>
      </c>
      <c r="C415" s="1" t="n">
        <v>45742</v>
      </c>
      <c r="D415" t="inlineStr">
        <is>
          <t>JÄMTLANDS LÄN</t>
        </is>
      </c>
      <c r="E415" t="inlineStr">
        <is>
          <t>RAGUNDA</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21420-2020</t>
        </is>
      </c>
      <c r="B416" s="1" t="n">
        <v>43955</v>
      </c>
      <c r="C416" s="1" t="n">
        <v>45742</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21416-2020</t>
        </is>
      </c>
      <c r="B417" s="1" t="n">
        <v>43955</v>
      </c>
      <c r="C417" s="1" t="n">
        <v>45742</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21593-2020</t>
        </is>
      </c>
      <c r="B418" s="1" t="n">
        <v>43956</v>
      </c>
      <c r="C418" s="1" t="n">
        <v>45742</v>
      </c>
      <c r="D418" t="inlineStr">
        <is>
          <t>JÄMTLANDS LÄN</t>
        </is>
      </c>
      <c r="E418" t="inlineStr">
        <is>
          <t>RAGUNDA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21681-2020</t>
        </is>
      </c>
      <c r="B419" s="1" t="n">
        <v>43957</v>
      </c>
      <c r="C419" s="1" t="n">
        <v>45742</v>
      </c>
      <c r="D419" t="inlineStr">
        <is>
          <t>JÄMTLANDS LÄN</t>
        </is>
      </c>
      <c r="E419" t="inlineStr">
        <is>
          <t>RAGUNDA</t>
        </is>
      </c>
      <c r="G419" t="n">
        <v>0.8</v>
      </c>
      <c r="H419" t="n">
        <v>0</v>
      </c>
      <c r="I419" t="n">
        <v>0</v>
      </c>
      <c r="J419" t="n">
        <v>0</v>
      </c>
      <c r="K419" t="n">
        <v>0</v>
      </c>
      <c r="L419" t="n">
        <v>0</v>
      </c>
      <c r="M419" t="n">
        <v>0</v>
      </c>
      <c r="N419" t="n">
        <v>0</v>
      </c>
      <c r="O419" t="n">
        <v>0</v>
      </c>
      <c r="P419" t="n">
        <v>0</v>
      </c>
      <c r="Q419" t="n">
        <v>0</v>
      </c>
      <c r="R419" s="2" t="inlineStr"/>
    </row>
    <row r="420" ht="15" customHeight="1">
      <c r="A420" t="inlineStr">
        <is>
          <t>A 22108-2020</t>
        </is>
      </c>
      <c r="B420" s="1" t="n">
        <v>43960</v>
      </c>
      <c r="C420" s="1" t="n">
        <v>45742</v>
      </c>
      <c r="D420" t="inlineStr">
        <is>
          <t>JÄMTLANDS LÄN</t>
        </is>
      </c>
      <c r="E420" t="inlineStr">
        <is>
          <t>RAGUNDA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22115-2020</t>
        </is>
      </c>
      <c r="B421" s="1" t="n">
        <v>43960</v>
      </c>
      <c r="C421" s="1" t="n">
        <v>45742</v>
      </c>
      <c r="D421" t="inlineStr">
        <is>
          <t>JÄMTLANDS LÄN</t>
        </is>
      </c>
      <c r="E421" t="inlineStr">
        <is>
          <t>RAGUNDA</t>
        </is>
      </c>
      <c r="F421" t="inlineStr">
        <is>
          <t>SCA</t>
        </is>
      </c>
      <c r="G421" t="n">
        <v>8.6</v>
      </c>
      <c r="H421" t="n">
        <v>0</v>
      </c>
      <c r="I421" t="n">
        <v>0</v>
      </c>
      <c r="J421" t="n">
        <v>0</v>
      </c>
      <c r="K421" t="n">
        <v>0</v>
      </c>
      <c r="L421" t="n">
        <v>0</v>
      </c>
      <c r="M421" t="n">
        <v>0</v>
      </c>
      <c r="N421" t="n">
        <v>0</v>
      </c>
      <c r="O421" t="n">
        <v>0</v>
      </c>
      <c r="P421" t="n">
        <v>0</v>
      </c>
      <c r="Q421" t="n">
        <v>0</v>
      </c>
      <c r="R421" s="2" t="inlineStr"/>
    </row>
    <row r="422" ht="15" customHeight="1">
      <c r="A422" t="inlineStr">
        <is>
          <t>A 22948-2020</t>
        </is>
      </c>
      <c r="B422" s="1" t="n">
        <v>43965</v>
      </c>
      <c r="C422" s="1" t="n">
        <v>45742</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23633-2020</t>
        </is>
      </c>
      <c r="B423" s="1" t="n">
        <v>43969</v>
      </c>
      <c r="C423" s="1" t="n">
        <v>45742</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24033-2020</t>
        </is>
      </c>
      <c r="B424" s="1" t="n">
        <v>43971</v>
      </c>
      <c r="C424" s="1" t="n">
        <v>45742</v>
      </c>
      <c r="D424" t="inlineStr">
        <is>
          <t>JÄMTLANDS LÄN</t>
        </is>
      </c>
      <c r="E424" t="inlineStr">
        <is>
          <t>RAGUNDA</t>
        </is>
      </c>
      <c r="G424" t="n">
        <v>3.9</v>
      </c>
      <c r="H424" t="n">
        <v>0</v>
      </c>
      <c r="I424" t="n">
        <v>0</v>
      </c>
      <c r="J424" t="n">
        <v>0</v>
      </c>
      <c r="K424" t="n">
        <v>0</v>
      </c>
      <c r="L424" t="n">
        <v>0</v>
      </c>
      <c r="M424" t="n">
        <v>0</v>
      </c>
      <c r="N424" t="n">
        <v>0</v>
      </c>
      <c r="O424" t="n">
        <v>0</v>
      </c>
      <c r="P424" t="n">
        <v>0</v>
      </c>
      <c r="Q424" t="n">
        <v>0</v>
      </c>
      <c r="R424" s="2" t="inlineStr"/>
    </row>
    <row r="425" ht="15" customHeight="1">
      <c r="A425" t="inlineStr">
        <is>
          <t>A 24032-2020</t>
        </is>
      </c>
      <c r="B425" s="1" t="n">
        <v>43971</v>
      </c>
      <c r="C425" s="1" t="n">
        <v>45742</v>
      </c>
      <c r="D425" t="inlineStr">
        <is>
          <t>JÄMTLANDS LÄN</t>
        </is>
      </c>
      <c r="E425" t="inlineStr">
        <is>
          <t>RAGUNDA</t>
        </is>
      </c>
      <c r="G425" t="n">
        <v>6.9</v>
      </c>
      <c r="H425" t="n">
        <v>0</v>
      </c>
      <c r="I425" t="n">
        <v>0</v>
      </c>
      <c r="J425" t="n">
        <v>0</v>
      </c>
      <c r="K425" t="n">
        <v>0</v>
      </c>
      <c r="L425" t="n">
        <v>0</v>
      </c>
      <c r="M425" t="n">
        <v>0</v>
      </c>
      <c r="N425" t="n">
        <v>0</v>
      </c>
      <c r="O425" t="n">
        <v>0</v>
      </c>
      <c r="P425" t="n">
        <v>0</v>
      </c>
      <c r="Q425" t="n">
        <v>0</v>
      </c>
      <c r="R425" s="2" t="inlineStr"/>
    </row>
    <row r="426" ht="15" customHeight="1">
      <c r="A426" t="inlineStr">
        <is>
          <t>A 24640-2020</t>
        </is>
      </c>
      <c r="B426" s="1" t="n">
        <v>43977</v>
      </c>
      <c r="C426" s="1" t="n">
        <v>45742</v>
      </c>
      <c r="D426" t="inlineStr">
        <is>
          <t>JÄMTLANDS LÄN</t>
        </is>
      </c>
      <c r="E426" t="inlineStr">
        <is>
          <t>RAGUNDA</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25115-2020</t>
        </is>
      </c>
      <c r="B427" s="1" t="n">
        <v>43979</v>
      </c>
      <c r="C427" s="1" t="n">
        <v>45742</v>
      </c>
      <c r="D427" t="inlineStr">
        <is>
          <t>JÄMTLANDS LÄN</t>
        </is>
      </c>
      <c r="E427" t="inlineStr">
        <is>
          <t>RAGUNDA</t>
        </is>
      </c>
      <c r="G427" t="n">
        <v>1</v>
      </c>
      <c r="H427" t="n">
        <v>0</v>
      </c>
      <c r="I427" t="n">
        <v>0</v>
      </c>
      <c r="J427" t="n">
        <v>0</v>
      </c>
      <c r="K427" t="n">
        <v>0</v>
      </c>
      <c r="L427" t="n">
        <v>0</v>
      </c>
      <c r="M427" t="n">
        <v>0</v>
      </c>
      <c r="N427" t="n">
        <v>0</v>
      </c>
      <c r="O427" t="n">
        <v>0</v>
      </c>
      <c r="P427" t="n">
        <v>0</v>
      </c>
      <c r="Q427" t="n">
        <v>0</v>
      </c>
      <c r="R427" s="2" t="inlineStr"/>
    </row>
    <row r="428" ht="15" customHeight="1">
      <c r="A428" t="inlineStr">
        <is>
          <t>A 25927-2020</t>
        </is>
      </c>
      <c r="B428" s="1" t="n">
        <v>43984</v>
      </c>
      <c r="C428" s="1" t="n">
        <v>45742</v>
      </c>
      <c r="D428" t="inlineStr">
        <is>
          <t>JÄMTLANDS LÄN</t>
        </is>
      </c>
      <c r="E428" t="inlineStr">
        <is>
          <t>RAGUNDA</t>
        </is>
      </c>
      <c r="F428" t="inlineStr">
        <is>
          <t>SCA</t>
        </is>
      </c>
      <c r="G428" t="n">
        <v>0.3</v>
      </c>
      <c r="H428" t="n">
        <v>0</v>
      </c>
      <c r="I428" t="n">
        <v>0</v>
      </c>
      <c r="J428" t="n">
        <v>0</v>
      </c>
      <c r="K428" t="n">
        <v>0</v>
      </c>
      <c r="L428" t="n">
        <v>0</v>
      </c>
      <c r="M428" t="n">
        <v>0</v>
      </c>
      <c r="N428" t="n">
        <v>0</v>
      </c>
      <c r="O428" t="n">
        <v>0</v>
      </c>
      <c r="P428" t="n">
        <v>0</v>
      </c>
      <c r="Q428" t="n">
        <v>0</v>
      </c>
      <c r="R428" s="2" t="inlineStr"/>
    </row>
    <row r="429" ht="15" customHeight="1">
      <c r="A429" t="inlineStr">
        <is>
          <t>A 25934-2020</t>
        </is>
      </c>
      <c r="B429" s="1" t="n">
        <v>43984</v>
      </c>
      <c r="C429" s="1" t="n">
        <v>45742</v>
      </c>
      <c r="D429" t="inlineStr">
        <is>
          <t>JÄMTLANDS LÄN</t>
        </is>
      </c>
      <c r="E429" t="inlineStr">
        <is>
          <t>RAGUNDA</t>
        </is>
      </c>
      <c r="F429" t="inlineStr">
        <is>
          <t>SCA</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26264-2020</t>
        </is>
      </c>
      <c r="B430" s="1" t="n">
        <v>43986</v>
      </c>
      <c r="C430" s="1" t="n">
        <v>45742</v>
      </c>
      <c r="D430" t="inlineStr">
        <is>
          <t>JÄMTLANDS LÄN</t>
        </is>
      </c>
      <c r="E430" t="inlineStr">
        <is>
          <t>RAGUNDA</t>
        </is>
      </c>
      <c r="F430" t="inlineStr">
        <is>
          <t>Kommuner</t>
        </is>
      </c>
      <c r="G430" t="n">
        <v>5.5</v>
      </c>
      <c r="H430" t="n">
        <v>0</v>
      </c>
      <c r="I430" t="n">
        <v>0</v>
      </c>
      <c r="J430" t="n">
        <v>0</v>
      </c>
      <c r="K430" t="n">
        <v>0</v>
      </c>
      <c r="L430" t="n">
        <v>0</v>
      </c>
      <c r="M430" t="n">
        <v>0</v>
      </c>
      <c r="N430" t="n">
        <v>0</v>
      </c>
      <c r="O430" t="n">
        <v>0</v>
      </c>
      <c r="P430" t="n">
        <v>0</v>
      </c>
      <c r="Q430" t="n">
        <v>0</v>
      </c>
      <c r="R430" s="2" t="inlineStr"/>
    </row>
    <row r="431" ht="15" customHeight="1">
      <c r="A431" t="inlineStr">
        <is>
          <t>A 26262-2020</t>
        </is>
      </c>
      <c r="B431" s="1" t="n">
        <v>43986</v>
      </c>
      <c r="C431" s="1" t="n">
        <v>45742</v>
      </c>
      <c r="D431" t="inlineStr">
        <is>
          <t>JÄMTLANDS LÄN</t>
        </is>
      </c>
      <c r="E431" t="inlineStr">
        <is>
          <t>RAGUNDA</t>
        </is>
      </c>
      <c r="F431" t="inlineStr">
        <is>
          <t>Kommuner</t>
        </is>
      </c>
      <c r="G431" t="n">
        <v>3.3</v>
      </c>
      <c r="H431" t="n">
        <v>0</v>
      </c>
      <c r="I431" t="n">
        <v>0</v>
      </c>
      <c r="J431" t="n">
        <v>0</v>
      </c>
      <c r="K431" t="n">
        <v>0</v>
      </c>
      <c r="L431" t="n">
        <v>0</v>
      </c>
      <c r="M431" t="n">
        <v>0</v>
      </c>
      <c r="N431" t="n">
        <v>0</v>
      </c>
      <c r="O431" t="n">
        <v>0</v>
      </c>
      <c r="P431" t="n">
        <v>0</v>
      </c>
      <c r="Q431" t="n">
        <v>0</v>
      </c>
      <c r="R431" s="2" t="inlineStr"/>
    </row>
    <row r="432" ht="15" customHeight="1">
      <c r="A432" t="inlineStr">
        <is>
          <t>A 26966-2020</t>
        </is>
      </c>
      <c r="B432" s="1" t="n">
        <v>43990</v>
      </c>
      <c r="C432" s="1" t="n">
        <v>45742</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27366-2020</t>
        </is>
      </c>
      <c r="B433" s="1" t="n">
        <v>43992</v>
      </c>
      <c r="C433" s="1" t="n">
        <v>45742</v>
      </c>
      <c r="D433" t="inlineStr">
        <is>
          <t>JÄMTLANDS LÄN</t>
        </is>
      </c>
      <c r="E433" t="inlineStr">
        <is>
          <t>RAGUNDA</t>
        </is>
      </c>
      <c r="G433" t="n">
        <v>2.5</v>
      </c>
      <c r="H433" t="n">
        <v>0</v>
      </c>
      <c r="I433" t="n">
        <v>0</v>
      </c>
      <c r="J433" t="n">
        <v>0</v>
      </c>
      <c r="K433" t="n">
        <v>0</v>
      </c>
      <c r="L433" t="n">
        <v>0</v>
      </c>
      <c r="M433" t="n">
        <v>0</v>
      </c>
      <c r="N433" t="n">
        <v>0</v>
      </c>
      <c r="O433" t="n">
        <v>0</v>
      </c>
      <c r="P433" t="n">
        <v>0</v>
      </c>
      <c r="Q433" t="n">
        <v>0</v>
      </c>
      <c r="R433" s="2" t="inlineStr"/>
    </row>
    <row r="434" ht="15" customHeight="1">
      <c r="A434" t="inlineStr">
        <is>
          <t>A 28776-2020</t>
        </is>
      </c>
      <c r="B434" s="1" t="n">
        <v>43999</v>
      </c>
      <c r="C434" s="1" t="n">
        <v>45742</v>
      </c>
      <c r="D434" t="inlineStr">
        <is>
          <t>JÄMTLANDS LÄN</t>
        </is>
      </c>
      <c r="E434" t="inlineStr">
        <is>
          <t>RAGUNDA</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29382-2020</t>
        </is>
      </c>
      <c r="B435" s="1" t="n">
        <v>44000</v>
      </c>
      <c r="C435" s="1" t="n">
        <v>45742</v>
      </c>
      <c r="D435" t="inlineStr">
        <is>
          <t>JÄMTLANDS LÄN</t>
        </is>
      </c>
      <c r="E435" t="inlineStr">
        <is>
          <t>RAGUNDA</t>
        </is>
      </c>
      <c r="G435" t="n">
        <v>46.1</v>
      </c>
      <c r="H435" t="n">
        <v>0</v>
      </c>
      <c r="I435" t="n">
        <v>0</v>
      </c>
      <c r="J435" t="n">
        <v>0</v>
      </c>
      <c r="K435" t="n">
        <v>0</v>
      </c>
      <c r="L435" t="n">
        <v>0</v>
      </c>
      <c r="M435" t="n">
        <v>0</v>
      </c>
      <c r="N435" t="n">
        <v>0</v>
      </c>
      <c r="O435" t="n">
        <v>0</v>
      </c>
      <c r="P435" t="n">
        <v>0</v>
      </c>
      <c r="Q435" t="n">
        <v>0</v>
      </c>
      <c r="R435" s="2" t="inlineStr"/>
    </row>
    <row r="436" ht="15" customHeight="1">
      <c r="A436" t="inlineStr">
        <is>
          <t>A 29499-2020</t>
        </is>
      </c>
      <c r="B436" s="1" t="n">
        <v>44004</v>
      </c>
      <c r="C436" s="1" t="n">
        <v>45742</v>
      </c>
      <c r="D436" t="inlineStr">
        <is>
          <t>JÄMTLANDS LÄN</t>
        </is>
      </c>
      <c r="E436" t="inlineStr">
        <is>
          <t>RAGUNDA</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30110-2020</t>
        </is>
      </c>
      <c r="B437" s="1" t="n">
        <v>44006</v>
      </c>
      <c r="C437" s="1" t="n">
        <v>45742</v>
      </c>
      <c r="D437" t="inlineStr">
        <is>
          <t>JÄMTLANDS LÄN</t>
        </is>
      </c>
      <c r="E437" t="inlineStr">
        <is>
          <t>RAGUNDA</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31043-2020</t>
        </is>
      </c>
      <c r="B438" s="1" t="n">
        <v>44011</v>
      </c>
      <c r="C438" s="1" t="n">
        <v>45742</v>
      </c>
      <c r="D438" t="inlineStr">
        <is>
          <t>JÄMTLANDS LÄN</t>
        </is>
      </c>
      <c r="E438" t="inlineStr">
        <is>
          <t>RAGUNDA</t>
        </is>
      </c>
      <c r="F438" t="inlineStr">
        <is>
          <t>SCA</t>
        </is>
      </c>
      <c r="G438" t="n">
        <v>6.9</v>
      </c>
      <c r="H438" t="n">
        <v>0</v>
      </c>
      <c r="I438" t="n">
        <v>0</v>
      </c>
      <c r="J438" t="n">
        <v>0</v>
      </c>
      <c r="K438" t="n">
        <v>0</v>
      </c>
      <c r="L438" t="n">
        <v>0</v>
      </c>
      <c r="M438" t="n">
        <v>0</v>
      </c>
      <c r="N438" t="n">
        <v>0</v>
      </c>
      <c r="O438" t="n">
        <v>0</v>
      </c>
      <c r="P438" t="n">
        <v>0</v>
      </c>
      <c r="Q438" t="n">
        <v>0</v>
      </c>
      <c r="R438" s="2" t="inlineStr"/>
    </row>
    <row r="439" ht="15" customHeight="1">
      <c r="A439" t="inlineStr">
        <is>
          <t>A 31649-2020</t>
        </is>
      </c>
      <c r="B439" s="1" t="n">
        <v>44013</v>
      </c>
      <c r="C439" s="1" t="n">
        <v>45742</v>
      </c>
      <c r="D439" t="inlineStr">
        <is>
          <t>JÄMTLANDS LÄN</t>
        </is>
      </c>
      <c r="E439" t="inlineStr">
        <is>
          <t>RAGUNDA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31651-2020</t>
        </is>
      </c>
      <c r="B440" s="1" t="n">
        <v>44013</v>
      </c>
      <c r="C440" s="1" t="n">
        <v>45742</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31652-2020</t>
        </is>
      </c>
      <c r="B441" s="1" t="n">
        <v>44013</v>
      </c>
      <c r="C441" s="1" t="n">
        <v>45742</v>
      </c>
      <c r="D441" t="inlineStr">
        <is>
          <t>JÄMTLANDS LÄN</t>
        </is>
      </c>
      <c r="E441" t="inlineStr">
        <is>
          <t>RAGUNDA</t>
        </is>
      </c>
      <c r="F441" t="inlineStr">
        <is>
          <t>SCA</t>
        </is>
      </c>
      <c r="G441" t="n">
        <v>22.1</v>
      </c>
      <c r="H441" t="n">
        <v>0</v>
      </c>
      <c r="I441" t="n">
        <v>0</v>
      </c>
      <c r="J441" t="n">
        <v>0</v>
      </c>
      <c r="K441" t="n">
        <v>0</v>
      </c>
      <c r="L441" t="n">
        <v>0</v>
      </c>
      <c r="M441" t="n">
        <v>0</v>
      </c>
      <c r="N441" t="n">
        <v>0</v>
      </c>
      <c r="O441" t="n">
        <v>0</v>
      </c>
      <c r="P441" t="n">
        <v>0</v>
      </c>
      <c r="Q441" t="n">
        <v>0</v>
      </c>
      <c r="R441" s="2" t="inlineStr"/>
    </row>
    <row r="442" ht="15" customHeight="1">
      <c r="A442" t="inlineStr">
        <is>
          <t>A 32780-2020</t>
        </is>
      </c>
      <c r="B442" s="1" t="n">
        <v>44019</v>
      </c>
      <c r="C442" s="1" t="n">
        <v>45742</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33644-2020</t>
        </is>
      </c>
      <c r="B443" s="1" t="n">
        <v>44026</v>
      </c>
      <c r="C443" s="1" t="n">
        <v>45742</v>
      </c>
      <c r="D443" t="inlineStr">
        <is>
          <t>JÄMTLANDS LÄN</t>
        </is>
      </c>
      <c r="E443" t="inlineStr">
        <is>
          <t>RAGUNDA</t>
        </is>
      </c>
      <c r="G443" t="n">
        <v>4.8</v>
      </c>
      <c r="H443" t="n">
        <v>0</v>
      </c>
      <c r="I443" t="n">
        <v>0</v>
      </c>
      <c r="J443" t="n">
        <v>0</v>
      </c>
      <c r="K443" t="n">
        <v>0</v>
      </c>
      <c r="L443" t="n">
        <v>0</v>
      </c>
      <c r="M443" t="n">
        <v>0</v>
      </c>
      <c r="N443" t="n">
        <v>0</v>
      </c>
      <c r="O443" t="n">
        <v>0</v>
      </c>
      <c r="P443" t="n">
        <v>0</v>
      </c>
      <c r="Q443" t="n">
        <v>0</v>
      </c>
      <c r="R443" s="2" t="inlineStr"/>
    </row>
    <row r="444" ht="15" customHeight="1">
      <c r="A444" t="inlineStr">
        <is>
          <t>A 33932-2020</t>
        </is>
      </c>
      <c r="B444" s="1" t="n">
        <v>44027</v>
      </c>
      <c r="C444" s="1" t="n">
        <v>45742</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34204-2020</t>
        </is>
      </c>
      <c r="B445" s="1" t="n">
        <v>44029</v>
      </c>
      <c r="C445" s="1" t="n">
        <v>45742</v>
      </c>
      <c r="D445" t="inlineStr">
        <is>
          <t>JÄMTLANDS LÄN</t>
        </is>
      </c>
      <c r="E445" t="inlineStr">
        <is>
          <t>RAGUNDA</t>
        </is>
      </c>
      <c r="G445" t="n">
        <v>22.5</v>
      </c>
      <c r="H445" t="n">
        <v>0</v>
      </c>
      <c r="I445" t="n">
        <v>0</v>
      </c>
      <c r="J445" t="n">
        <v>0</v>
      </c>
      <c r="K445" t="n">
        <v>0</v>
      </c>
      <c r="L445" t="n">
        <v>0</v>
      </c>
      <c r="M445" t="n">
        <v>0</v>
      </c>
      <c r="N445" t="n">
        <v>0</v>
      </c>
      <c r="O445" t="n">
        <v>0</v>
      </c>
      <c r="P445" t="n">
        <v>0</v>
      </c>
      <c r="Q445" t="n">
        <v>0</v>
      </c>
      <c r="R445" s="2" t="inlineStr"/>
    </row>
    <row r="446" ht="15" customHeight="1">
      <c r="A446" t="inlineStr">
        <is>
          <t>A 34251-2020</t>
        </is>
      </c>
      <c r="B446" s="1" t="n">
        <v>44029</v>
      </c>
      <c r="C446" s="1" t="n">
        <v>45742</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35193-2020</t>
        </is>
      </c>
      <c r="B447" s="1" t="n">
        <v>44040</v>
      </c>
      <c r="C447" s="1" t="n">
        <v>45742</v>
      </c>
      <c r="D447" t="inlineStr">
        <is>
          <t>JÄMTLANDS LÄN</t>
        </is>
      </c>
      <c r="E447" t="inlineStr">
        <is>
          <t>RAGUNDA</t>
        </is>
      </c>
      <c r="G447" t="n">
        <v>1.1</v>
      </c>
      <c r="H447" t="n">
        <v>0</v>
      </c>
      <c r="I447" t="n">
        <v>0</v>
      </c>
      <c r="J447" t="n">
        <v>0</v>
      </c>
      <c r="K447" t="n">
        <v>0</v>
      </c>
      <c r="L447" t="n">
        <v>0</v>
      </c>
      <c r="M447" t="n">
        <v>0</v>
      </c>
      <c r="N447" t="n">
        <v>0</v>
      </c>
      <c r="O447" t="n">
        <v>0</v>
      </c>
      <c r="P447" t="n">
        <v>0</v>
      </c>
      <c r="Q447" t="n">
        <v>0</v>
      </c>
      <c r="R447" s="2" t="inlineStr"/>
    </row>
    <row r="448" ht="15" customHeight="1">
      <c r="A448" t="inlineStr">
        <is>
          <t>A 35365-2020</t>
        </is>
      </c>
      <c r="B448" s="1" t="n">
        <v>44041</v>
      </c>
      <c r="C448" s="1" t="n">
        <v>45742</v>
      </c>
      <c r="D448" t="inlineStr">
        <is>
          <t>JÄMTLANDS LÄN</t>
        </is>
      </c>
      <c r="E448" t="inlineStr">
        <is>
          <t>RAGUNDA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36674-2020</t>
        </is>
      </c>
      <c r="B449" s="1" t="n">
        <v>44051</v>
      </c>
      <c r="C449" s="1" t="n">
        <v>45742</v>
      </c>
      <c r="D449" t="inlineStr">
        <is>
          <t>JÄMTLANDS LÄN</t>
        </is>
      </c>
      <c r="E449" t="inlineStr">
        <is>
          <t>RAGUNDA</t>
        </is>
      </c>
      <c r="G449" t="n">
        <v>0.9</v>
      </c>
      <c r="H449" t="n">
        <v>0</v>
      </c>
      <c r="I449" t="n">
        <v>0</v>
      </c>
      <c r="J449" t="n">
        <v>0</v>
      </c>
      <c r="K449" t="n">
        <v>0</v>
      </c>
      <c r="L449" t="n">
        <v>0</v>
      </c>
      <c r="M449" t="n">
        <v>0</v>
      </c>
      <c r="N449" t="n">
        <v>0</v>
      </c>
      <c r="O449" t="n">
        <v>0</v>
      </c>
      <c r="P449" t="n">
        <v>0</v>
      </c>
      <c r="Q449" t="n">
        <v>0</v>
      </c>
      <c r="R449" s="2" t="inlineStr"/>
    </row>
    <row r="450" ht="15" customHeight="1">
      <c r="A450" t="inlineStr">
        <is>
          <t>A 36676-2020</t>
        </is>
      </c>
      <c r="B450" s="1" t="n">
        <v>44051</v>
      </c>
      <c r="C450" s="1" t="n">
        <v>45742</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37498-2020</t>
        </is>
      </c>
      <c r="B451" s="1" t="n">
        <v>44055</v>
      </c>
      <c r="C451" s="1" t="n">
        <v>45742</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39474-2020</t>
        </is>
      </c>
      <c r="B452" s="1" t="n">
        <v>44056</v>
      </c>
      <c r="C452" s="1" t="n">
        <v>45742</v>
      </c>
      <c r="D452" t="inlineStr">
        <is>
          <t>JÄMTLANDS LÄN</t>
        </is>
      </c>
      <c r="E452" t="inlineStr">
        <is>
          <t>RAGUNDA</t>
        </is>
      </c>
      <c r="G452" t="n">
        <v>1.2</v>
      </c>
      <c r="H452" t="n">
        <v>0</v>
      </c>
      <c r="I452" t="n">
        <v>0</v>
      </c>
      <c r="J452" t="n">
        <v>0</v>
      </c>
      <c r="K452" t="n">
        <v>0</v>
      </c>
      <c r="L452" t="n">
        <v>0</v>
      </c>
      <c r="M452" t="n">
        <v>0</v>
      </c>
      <c r="N452" t="n">
        <v>0</v>
      </c>
      <c r="O452" t="n">
        <v>0</v>
      </c>
      <c r="P452" t="n">
        <v>0</v>
      </c>
      <c r="Q452" t="n">
        <v>0</v>
      </c>
      <c r="R452" s="2" t="inlineStr"/>
    </row>
    <row r="453" ht="15" customHeight="1">
      <c r="A453" t="inlineStr">
        <is>
          <t>A 38106-2020</t>
        </is>
      </c>
      <c r="B453" s="1" t="n">
        <v>44057</v>
      </c>
      <c r="C453" s="1" t="n">
        <v>45742</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38098-2020</t>
        </is>
      </c>
      <c r="B454" s="1" t="n">
        <v>44057</v>
      </c>
      <c r="C454" s="1" t="n">
        <v>45742</v>
      </c>
      <c r="D454" t="inlineStr">
        <is>
          <t>JÄMTLANDS LÄN</t>
        </is>
      </c>
      <c r="E454" t="inlineStr">
        <is>
          <t>RAGUNDA</t>
        </is>
      </c>
      <c r="G454" t="n">
        <v>1.2</v>
      </c>
      <c r="H454" t="n">
        <v>0</v>
      </c>
      <c r="I454" t="n">
        <v>0</v>
      </c>
      <c r="J454" t="n">
        <v>0</v>
      </c>
      <c r="K454" t="n">
        <v>0</v>
      </c>
      <c r="L454" t="n">
        <v>0</v>
      </c>
      <c r="M454" t="n">
        <v>0</v>
      </c>
      <c r="N454" t="n">
        <v>0</v>
      </c>
      <c r="O454" t="n">
        <v>0</v>
      </c>
      <c r="P454" t="n">
        <v>0</v>
      </c>
      <c r="Q454" t="n">
        <v>0</v>
      </c>
      <c r="R454" s="2" t="inlineStr"/>
    </row>
    <row r="455" ht="15" customHeight="1">
      <c r="A455" t="inlineStr">
        <is>
          <t>A 39040-2020</t>
        </is>
      </c>
      <c r="B455" s="1" t="n">
        <v>44062</v>
      </c>
      <c r="C455" s="1" t="n">
        <v>45742</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39340-2020</t>
        </is>
      </c>
      <c r="B456" s="1" t="n">
        <v>44063</v>
      </c>
      <c r="C456" s="1" t="n">
        <v>45742</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40051-2020</t>
        </is>
      </c>
      <c r="B457" s="1" t="n">
        <v>44067</v>
      </c>
      <c r="C457" s="1" t="n">
        <v>45742</v>
      </c>
      <c r="D457" t="inlineStr">
        <is>
          <t>JÄMTLANDS LÄN</t>
        </is>
      </c>
      <c r="E457" t="inlineStr">
        <is>
          <t>RAGUNDA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40316-2020</t>
        </is>
      </c>
      <c r="B458" s="1" t="n">
        <v>44068</v>
      </c>
      <c r="C458" s="1" t="n">
        <v>45742</v>
      </c>
      <c r="D458" t="inlineStr">
        <is>
          <t>JÄMTLANDS LÄN</t>
        </is>
      </c>
      <c r="E458" t="inlineStr">
        <is>
          <t>RAGUNDA</t>
        </is>
      </c>
      <c r="G458" t="n">
        <v>2.4</v>
      </c>
      <c r="H458" t="n">
        <v>0</v>
      </c>
      <c r="I458" t="n">
        <v>0</v>
      </c>
      <c r="J458" t="n">
        <v>0</v>
      </c>
      <c r="K458" t="n">
        <v>0</v>
      </c>
      <c r="L458" t="n">
        <v>0</v>
      </c>
      <c r="M458" t="n">
        <v>0</v>
      </c>
      <c r="N458" t="n">
        <v>0</v>
      </c>
      <c r="O458" t="n">
        <v>0</v>
      </c>
      <c r="P458" t="n">
        <v>0</v>
      </c>
      <c r="Q458" t="n">
        <v>0</v>
      </c>
      <c r="R458" s="2" t="inlineStr"/>
    </row>
    <row r="459" ht="15" customHeight="1">
      <c r="A459" t="inlineStr">
        <is>
          <t>A 40742-2020</t>
        </is>
      </c>
      <c r="B459" s="1" t="n">
        <v>44069</v>
      </c>
      <c r="C459" s="1" t="n">
        <v>45742</v>
      </c>
      <c r="D459" t="inlineStr">
        <is>
          <t>JÄMTLANDS LÄN</t>
        </is>
      </c>
      <c r="E459" t="inlineStr">
        <is>
          <t>RAGUNDA</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41346-2020</t>
        </is>
      </c>
      <c r="B460" s="1" t="n">
        <v>44071</v>
      </c>
      <c r="C460" s="1" t="n">
        <v>45742</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41889-2020</t>
        </is>
      </c>
      <c r="B461" s="1" t="n">
        <v>44075</v>
      </c>
      <c r="C461" s="1" t="n">
        <v>45742</v>
      </c>
      <c r="D461" t="inlineStr">
        <is>
          <t>JÄMTLANDS LÄN</t>
        </is>
      </c>
      <c r="E461" t="inlineStr">
        <is>
          <t>RAGUNDA</t>
        </is>
      </c>
      <c r="F461" t="inlineStr">
        <is>
          <t>SCA</t>
        </is>
      </c>
      <c r="G461" t="n">
        <v>11.4</v>
      </c>
      <c r="H461" t="n">
        <v>0</v>
      </c>
      <c r="I461" t="n">
        <v>0</v>
      </c>
      <c r="J461" t="n">
        <v>0</v>
      </c>
      <c r="K461" t="n">
        <v>0</v>
      </c>
      <c r="L461" t="n">
        <v>0</v>
      </c>
      <c r="M461" t="n">
        <v>0</v>
      </c>
      <c r="N461" t="n">
        <v>0</v>
      </c>
      <c r="O461" t="n">
        <v>0</v>
      </c>
      <c r="P461" t="n">
        <v>0</v>
      </c>
      <c r="Q461" t="n">
        <v>0</v>
      </c>
      <c r="R461" s="2" t="inlineStr"/>
    </row>
    <row r="462" ht="15" customHeight="1">
      <c r="A462" t="inlineStr">
        <is>
          <t>A 41875-2020</t>
        </is>
      </c>
      <c r="B462" s="1" t="n">
        <v>44074</v>
      </c>
      <c r="C462" s="1" t="n">
        <v>45742</v>
      </c>
      <c r="D462" t="inlineStr">
        <is>
          <t>JÄMTLANDS LÄN</t>
        </is>
      </c>
      <c r="E462" t="inlineStr">
        <is>
          <t>RAGUNDA</t>
        </is>
      </c>
      <c r="F462" t="inlineStr">
        <is>
          <t>Naturvårdsverket</t>
        </is>
      </c>
      <c r="G462" t="n">
        <v>3.3</v>
      </c>
      <c r="H462" t="n">
        <v>0</v>
      </c>
      <c r="I462" t="n">
        <v>0</v>
      </c>
      <c r="J462" t="n">
        <v>0</v>
      </c>
      <c r="K462" t="n">
        <v>0</v>
      </c>
      <c r="L462" t="n">
        <v>0</v>
      </c>
      <c r="M462" t="n">
        <v>0</v>
      </c>
      <c r="N462" t="n">
        <v>0</v>
      </c>
      <c r="O462" t="n">
        <v>0</v>
      </c>
      <c r="P462" t="n">
        <v>0</v>
      </c>
      <c r="Q462" t="n">
        <v>0</v>
      </c>
      <c r="R462" s="2" t="inlineStr"/>
    </row>
    <row r="463" ht="15" customHeight="1">
      <c r="A463" t="inlineStr">
        <is>
          <t>A 41887-2020</t>
        </is>
      </c>
      <c r="B463" s="1" t="n">
        <v>44074</v>
      </c>
      <c r="C463" s="1" t="n">
        <v>45742</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41885-2020</t>
        </is>
      </c>
      <c r="B464" s="1" t="n">
        <v>44074</v>
      </c>
      <c r="C464" s="1" t="n">
        <v>45742</v>
      </c>
      <c r="D464" t="inlineStr">
        <is>
          <t>JÄMTLANDS LÄN</t>
        </is>
      </c>
      <c r="E464" t="inlineStr">
        <is>
          <t>RAGUNDA</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42208-2020</t>
        </is>
      </c>
      <c r="B465" s="1" t="n">
        <v>44075</v>
      </c>
      <c r="C465" s="1" t="n">
        <v>45742</v>
      </c>
      <c r="D465" t="inlineStr">
        <is>
          <t>JÄMTLANDS LÄN</t>
        </is>
      </c>
      <c r="E465" t="inlineStr">
        <is>
          <t>RAGUNDA</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42899-2020</t>
        </is>
      </c>
      <c r="B466" s="1" t="n">
        <v>44078</v>
      </c>
      <c r="C466" s="1" t="n">
        <v>45742</v>
      </c>
      <c r="D466" t="inlineStr">
        <is>
          <t>JÄMTLANDS LÄN</t>
        </is>
      </c>
      <c r="E466" t="inlineStr">
        <is>
          <t>RAGUNDA</t>
        </is>
      </c>
      <c r="G466" t="n">
        <v>0.6</v>
      </c>
      <c r="H466" t="n">
        <v>0</v>
      </c>
      <c r="I466" t="n">
        <v>0</v>
      </c>
      <c r="J466" t="n">
        <v>0</v>
      </c>
      <c r="K466" t="n">
        <v>0</v>
      </c>
      <c r="L466" t="n">
        <v>0</v>
      </c>
      <c r="M466" t="n">
        <v>0</v>
      </c>
      <c r="N466" t="n">
        <v>0</v>
      </c>
      <c r="O466" t="n">
        <v>0</v>
      </c>
      <c r="P466" t="n">
        <v>0</v>
      </c>
      <c r="Q466" t="n">
        <v>0</v>
      </c>
      <c r="R466" s="2" t="inlineStr"/>
    </row>
    <row r="467" ht="15" customHeight="1">
      <c r="A467" t="inlineStr">
        <is>
          <t>A 43828-2020</t>
        </is>
      </c>
      <c r="B467" s="1" t="n">
        <v>44082</v>
      </c>
      <c r="C467" s="1" t="n">
        <v>45742</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44511-2020</t>
        </is>
      </c>
      <c r="B468" s="1" t="n">
        <v>44084</v>
      </c>
      <c r="C468" s="1" t="n">
        <v>45742</v>
      </c>
      <c r="D468" t="inlineStr">
        <is>
          <t>JÄMTLANDS LÄN</t>
        </is>
      </c>
      <c r="E468" t="inlineStr">
        <is>
          <t>RAGUNDA</t>
        </is>
      </c>
      <c r="G468" t="n">
        <v>0.6</v>
      </c>
      <c r="H468" t="n">
        <v>0</v>
      </c>
      <c r="I468" t="n">
        <v>0</v>
      </c>
      <c r="J468" t="n">
        <v>0</v>
      </c>
      <c r="K468" t="n">
        <v>0</v>
      </c>
      <c r="L468" t="n">
        <v>0</v>
      </c>
      <c r="M468" t="n">
        <v>0</v>
      </c>
      <c r="N468" t="n">
        <v>0</v>
      </c>
      <c r="O468" t="n">
        <v>0</v>
      </c>
      <c r="P468" t="n">
        <v>0</v>
      </c>
      <c r="Q468" t="n">
        <v>0</v>
      </c>
      <c r="R468" s="2" t="inlineStr"/>
    </row>
    <row r="469" ht="15" customHeight="1">
      <c r="A469" t="inlineStr">
        <is>
          <t>A 44498-2020</t>
        </is>
      </c>
      <c r="B469" s="1" t="n">
        <v>44084</v>
      </c>
      <c r="C469" s="1" t="n">
        <v>45742</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45272-2020</t>
        </is>
      </c>
      <c r="B470" s="1" t="n">
        <v>44084</v>
      </c>
      <c r="C470" s="1" t="n">
        <v>45742</v>
      </c>
      <c r="D470" t="inlineStr">
        <is>
          <t>JÄMTLANDS LÄN</t>
        </is>
      </c>
      <c r="E470" t="inlineStr">
        <is>
          <t>RAGUNDA</t>
        </is>
      </c>
      <c r="G470" t="n">
        <v>4.7</v>
      </c>
      <c r="H470" t="n">
        <v>0</v>
      </c>
      <c r="I470" t="n">
        <v>0</v>
      </c>
      <c r="J470" t="n">
        <v>0</v>
      </c>
      <c r="K470" t="n">
        <v>0</v>
      </c>
      <c r="L470" t="n">
        <v>0</v>
      </c>
      <c r="M470" t="n">
        <v>0</v>
      </c>
      <c r="N470" t="n">
        <v>0</v>
      </c>
      <c r="O470" t="n">
        <v>0</v>
      </c>
      <c r="P470" t="n">
        <v>0</v>
      </c>
      <c r="Q470" t="n">
        <v>0</v>
      </c>
      <c r="R470" s="2" t="inlineStr"/>
    </row>
    <row r="471" ht="15" customHeight="1">
      <c r="A471" t="inlineStr">
        <is>
          <t>A 46920-2020</t>
        </is>
      </c>
      <c r="B471" s="1" t="n">
        <v>44090</v>
      </c>
      <c r="C471" s="1" t="n">
        <v>45742</v>
      </c>
      <c r="D471" t="inlineStr">
        <is>
          <t>JÄMTLANDS LÄN</t>
        </is>
      </c>
      <c r="E471" t="inlineStr">
        <is>
          <t>RAGUNDA</t>
        </is>
      </c>
      <c r="G471" t="n">
        <v>4</v>
      </c>
      <c r="H471" t="n">
        <v>0</v>
      </c>
      <c r="I471" t="n">
        <v>0</v>
      </c>
      <c r="J471" t="n">
        <v>0</v>
      </c>
      <c r="K471" t="n">
        <v>0</v>
      </c>
      <c r="L471" t="n">
        <v>0</v>
      </c>
      <c r="M471" t="n">
        <v>0</v>
      </c>
      <c r="N471" t="n">
        <v>0</v>
      </c>
      <c r="O471" t="n">
        <v>0</v>
      </c>
      <c r="P471" t="n">
        <v>0</v>
      </c>
      <c r="Q471" t="n">
        <v>0</v>
      </c>
      <c r="R471" s="2" t="inlineStr"/>
    </row>
    <row r="472" ht="15" customHeight="1">
      <c r="A472" t="inlineStr">
        <is>
          <t>A 46496-2020</t>
        </is>
      </c>
      <c r="B472" s="1" t="n">
        <v>44095</v>
      </c>
      <c r="C472" s="1" t="n">
        <v>45742</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47122-2020</t>
        </is>
      </c>
      <c r="B473" s="1" t="n">
        <v>44096</v>
      </c>
      <c r="C473" s="1" t="n">
        <v>45742</v>
      </c>
      <c r="D473" t="inlineStr">
        <is>
          <t>JÄMTLANDS LÄN</t>
        </is>
      </c>
      <c r="E473" t="inlineStr">
        <is>
          <t>RAGUNDA</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47131-2020</t>
        </is>
      </c>
      <c r="B474" s="1" t="n">
        <v>44096</v>
      </c>
      <c r="C474" s="1" t="n">
        <v>45742</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47825-2020</t>
        </is>
      </c>
      <c r="B475" s="1" t="n">
        <v>44098</v>
      </c>
      <c r="C475" s="1" t="n">
        <v>45742</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48056-2020</t>
        </is>
      </c>
      <c r="B476" s="1" t="n">
        <v>44099</v>
      </c>
      <c r="C476" s="1" t="n">
        <v>45742</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48806-2020</t>
        </is>
      </c>
      <c r="B477" s="1" t="n">
        <v>44103</v>
      </c>
      <c r="C477" s="1" t="n">
        <v>45742</v>
      </c>
      <c r="D477" t="inlineStr">
        <is>
          <t>JÄMTLANDS LÄN</t>
        </is>
      </c>
      <c r="E477" t="inlineStr">
        <is>
          <t>RAGUNDA</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51481-2020</t>
        </is>
      </c>
      <c r="B478" s="1" t="n">
        <v>44106</v>
      </c>
      <c r="C478" s="1" t="n">
        <v>45742</v>
      </c>
      <c r="D478" t="inlineStr">
        <is>
          <t>JÄMTLANDS LÄN</t>
        </is>
      </c>
      <c r="E478" t="inlineStr">
        <is>
          <t>RAGUNDA</t>
        </is>
      </c>
      <c r="G478" t="n">
        <v>4</v>
      </c>
      <c r="H478" t="n">
        <v>0</v>
      </c>
      <c r="I478" t="n">
        <v>0</v>
      </c>
      <c r="J478" t="n">
        <v>0</v>
      </c>
      <c r="K478" t="n">
        <v>0</v>
      </c>
      <c r="L478" t="n">
        <v>0</v>
      </c>
      <c r="M478" t="n">
        <v>0</v>
      </c>
      <c r="N478" t="n">
        <v>0</v>
      </c>
      <c r="O478" t="n">
        <v>0</v>
      </c>
      <c r="P478" t="n">
        <v>0</v>
      </c>
      <c r="Q478" t="n">
        <v>0</v>
      </c>
      <c r="R478" s="2" t="inlineStr"/>
    </row>
    <row r="479" ht="15" customHeight="1">
      <c r="A479" t="inlineStr">
        <is>
          <t>A 50988-2020</t>
        </is>
      </c>
      <c r="B479" s="1" t="n">
        <v>44111</v>
      </c>
      <c r="C479" s="1" t="n">
        <v>45742</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51016-2020</t>
        </is>
      </c>
      <c r="B480" s="1" t="n">
        <v>44111</v>
      </c>
      <c r="C480" s="1" t="n">
        <v>45742</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51004-2020</t>
        </is>
      </c>
      <c r="B481" s="1" t="n">
        <v>44111</v>
      </c>
      <c r="C481" s="1" t="n">
        <v>45742</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51685-2020</t>
        </is>
      </c>
      <c r="B482" s="1" t="n">
        <v>44113</v>
      </c>
      <c r="C482" s="1" t="n">
        <v>45742</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53522-2020</t>
        </is>
      </c>
      <c r="B483" s="1" t="n">
        <v>44124</v>
      </c>
      <c r="C483" s="1" t="n">
        <v>45742</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54199-2020</t>
        </is>
      </c>
      <c r="B484" s="1" t="n">
        <v>44126</v>
      </c>
      <c r="C484" s="1" t="n">
        <v>45742</v>
      </c>
      <c r="D484" t="inlineStr">
        <is>
          <t>JÄMTLANDS LÄN</t>
        </is>
      </c>
      <c r="E484" t="inlineStr">
        <is>
          <t>RAGUNDA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54580-2020</t>
        </is>
      </c>
      <c r="B485" s="1" t="n">
        <v>44126</v>
      </c>
      <c r="C485" s="1" t="n">
        <v>45742</v>
      </c>
      <c r="D485" t="inlineStr">
        <is>
          <t>JÄMTLANDS LÄN</t>
        </is>
      </c>
      <c r="E485" t="inlineStr">
        <is>
          <t>RAGUNDA</t>
        </is>
      </c>
      <c r="G485" t="n">
        <v>2.8</v>
      </c>
      <c r="H485" t="n">
        <v>0</v>
      </c>
      <c r="I485" t="n">
        <v>0</v>
      </c>
      <c r="J485" t="n">
        <v>0</v>
      </c>
      <c r="K485" t="n">
        <v>0</v>
      </c>
      <c r="L485" t="n">
        <v>0</v>
      </c>
      <c r="M485" t="n">
        <v>0</v>
      </c>
      <c r="N485" t="n">
        <v>0</v>
      </c>
      <c r="O485" t="n">
        <v>0</v>
      </c>
      <c r="P485" t="n">
        <v>0</v>
      </c>
      <c r="Q485" t="n">
        <v>0</v>
      </c>
      <c r="R485" s="2" t="inlineStr"/>
    </row>
    <row r="486" ht="15" customHeight="1">
      <c r="A486" t="inlineStr">
        <is>
          <t>A 55309-2020</t>
        </is>
      </c>
      <c r="B486" s="1" t="n">
        <v>44130</v>
      </c>
      <c r="C486" s="1" t="n">
        <v>45742</v>
      </c>
      <c r="D486" t="inlineStr">
        <is>
          <t>JÄMTLANDS LÄN</t>
        </is>
      </c>
      <c r="E486" t="inlineStr">
        <is>
          <t>RAGUNDA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55926-2020</t>
        </is>
      </c>
      <c r="B487" s="1" t="n">
        <v>44132</v>
      </c>
      <c r="C487" s="1" t="n">
        <v>45742</v>
      </c>
      <c r="D487" t="inlineStr">
        <is>
          <t>JÄMTLANDS LÄN</t>
        </is>
      </c>
      <c r="E487" t="inlineStr">
        <is>
          <t>RAGUNDA</t>
        </is>
      </c>
      <c r="F487" t="inlineStr">
        <is>
          <t>SCA</t>
        </is>
      </c>
      <c r="G487" t="n">
        <v>11.5</v>
      </c>
      <c r="H487" t="n">
        <v>0</v>
      </c>
      <c r="I487" t="n">
        <v>0</v>
      </c>
      <c r="J487" t="n">
        <v>0</v>
      </c>
      <c r="K487" t="n">
        <v>0</v>
      </c>
      <c r="L487" t="n">
        <v>0</v>
      </c>
      <c r="M487" t="n">
        <v>0</v>
      </c>
      <c r="N487" t="n">
        <v>0</v>
      </c>
      <c r="O487" t="n">
        <v>0</v>
      </c>
      <c r="P487" t="n">
        <v>0</v>
      </c>
      <c r="Q487" t="n">
        <v>0</v>
      </c>
      <c r="R487" s="2" t="inlineStr"/>
    </row>
    <row r="488" ht="15" customHeight="1">
      <c r="A488" t="inlineStr">
        <is>
          <t>A 56339-2020</t>
        </is>
      </c>
      <c r="B488" s="1" t="n">
        <v>44134</v>
      </c>
      <c r="C488" s="1" t="n">
        <v>45742</v>
      </c>
      <c r="D488" t="inlineStr">
        <is>
          <t>JÄMTLANDS LÄN</t>
        </is>
      </c>
      <c r="E488" t="inlineStr">
        <is>
          <t>RAGUNDA</t>
        </is>
      </c>
      <c r="G488" t="n">
        <v>2.9</v>
      </c>
      <c r="H488" t="n">
        <v>0</v>
      </c>
      <c r="I488" t="n">
        <v>0</v>
      </c>
      <c r="J488" t="n">
        <v>0</v>
      </c>
      <c r="K488" t="n">
        <v>0</v>
      </c>
      <c r="L488" t="n">
        <v>0</v>
      </c>
      <c r="M488" t="n">
        <v>0</v>
      </c>
      <c r="N488" t="n">
        <v>0</v>
      </c>
      <c r="O488" t="n">
        <v>0</v>
      </c>
      <c r="P488" t="n">
        <v>0</v>
      </c>
      <c r="Q488" t="n">
        <v>0</v>
      </c>
      <c r="R488" s="2" t="inlineStr"/>
    </row>
    <row r="489" ht="15" customHeight="1">
      <c r="A489" t="inlineStr">
        <is>
          <t>A 56760-2020</t>
        </is>
      </c>
      <c r="B489" s="1" t="n">
        <v>44137</v>
      </c>
      <c r="C489" s="1" t="n">
        <v>45742</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57246-2020</t>
        </is>
      </c>
      <c r="B490" s="1" t="n">
        <v>44138</v>
      </c>
      <c r="C490" s="1" t="n">
        <v>45742</v>
      </c>
      <c r="D490" t="inlineStr">
        <is>
          <t>JÄMTLANDS LÄN</t>
        </is>
      </c>
      <c r="E490" t="inlineStr">
        <is>
          <t>RAGUNDA</t>
        </is>
      </c>
      <c r="G490" t="n">
        <v>3.1</v>
      </c>
      <c r="H490" t="n">
        <v>0</v>
      </c>
      <c r="I490" t="n">
        <v>0</v>
      </c>
      <c r="J490" t="n">
        <v>0</v>
      </c>
      <c r="K490" t="n">
        <v>0</v>
      </c>
      <c r="L490" t="n">
        <v>0</v>
      </c>
      <c r="M490" t="n">
        <v>0</v>
      </c>
      <c r="N490" t="n">
        <v>0</v>
      </c>
      <c r="O490" t="n">
        <v>0</v>
      </c>
      <c r="P490" t="n">
        <v>0</v>
      </c>
      <c r="Q490" t="n">
        <v>0</v>
      </c>
      <c r="R490" s="2" t="inlineStr"/>
    </row>
    <row r="491" ht="15" customHeight="1">
      <c r="A491" t="inlineStr">
        <is>
          <t>A 57731-2020</t>
        </is>
      </c>
      <c r="B491" s="1" t="n">
        <v>44140</v>
      </c>
      <c r="C491" s="1" t="n">
        <v>45742</v>
      </c>
      <c r="D491" t="inlineStr">
        <is>
          <t>JÄMTLANDS LÄN</t>
        </is>
      </c>
      <c r="E491" t="inlineStr">
        <is>
          <t>RAGUNDA</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57717-2020</t>
        </is>
      </c>
      <c r="B492" s="1" t="n">
        <v>44140</v>
      </c>
      <c r="C492" s="1" t="n">
        <v>45742</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57730-2020</t>
        </is>
      </c>
      <c r="B493" s="1" t="n">
        <v>44140</v>
      </c>
      <c r="C493" s="1" t="n">
        <v>45742</v>
      </c>
      <c r="D493" t="inlineStr">
        <is>
          <t>JÄMTLANDS LÄN</t>
        </is>
      </c>
      <c r="E493" t="inlineStr">
        <is>
          <t>RAGUNDA</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57713-2020</t>
        </is>
      </c>
      <c r="B494" s="1" t="n">
        <v>44140</v>
      </c>
      <c r="C494" s="1" t="n">
        <v>45742</v>
      </c>
      <c r="D494" t="inlineStr">
        <is>
          <t>JÄMTLANDS LÄN</t>
        </is>
      </c>
      <c r="E494" t="inlineStr">
        <is>
          <t>RAGUNDA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57941-2020</t>
        </is>
      </c>
      <c r="B495" s="1" t="n">
        <v>44141</v>
      </c>
      <c r="C495" s="1" t="n">
        <v>45742</v>
      </c>
      <c r="D495" t="inlineStr">
        <is>
          <t>JÄMTLANDS LÄN</t>
        </is>
      </c>
      <c r="E495" t="inlineStr">
        <is>
          <t>RAGUNDA</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60744-2020</t>
        </is>
      </c>
      <c r="B496" s="1" t="n">
        <v>44153</v>
      </c>
      <c r="C496" s="1" t="n">
        <v>45742</v>
      </c>
      <c r="D496" t="inlineStr">
        <is>
          <t>JÄMTLANDS LÄN</t>
        </is>
      </c>
      <c r="E496" t="inlineStr">
        <is>
          <t>RAGUNDA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61088-2020</t>
        </is>
      </c>
      <c r="B497" s="1" t="n">
        <v>44153</v>
      </c>
      <c r="C497" s="1" t="n">
        <v>45742</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61395-2020</t>
        </is>
      </c>
      <c r="B498" s="1" t="n">
        <v>44155</v>
      </c>
      <c r="C498" s="1" t="n">
        <v>45742</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61441-2020</t>
        </is>
      </c>
      <c r="B499" s="1" t="n">
        <v>44157</v>
      </c>
      <c r="C499" s="1" t="n">
        <v>45742</v>
      </c>
      <c r="D499" t="inlineStr">
        <is>
          <t>JÄMTLANDS LÄN</t>
        </is>
      </c>
      <c r="E499" t="inlineStr">
        <is>
          <t>RAGUNDA</t>
        </is>
      </c>
      <c r="G499" t="n">
        <v>0.4</v>
      </c>
      <c r="H499" t="n">
        <v>0</v>
      </c>
      <c r="I499" t="n">
        <v>0</v>
      </c>
      <c r="J499" t="n">
        <v>0</v>
      </c>
      <c r="K499" t="n">
        <v>0</v>
      </c>
      <c r="L499" t="n">
        <v>0</v>
      </c>
      <c r="M499" t="n">
        <v>0</v>
      </c>
      <c r="N499" t="n">
        <v>0</v>
      </c>
      <c r="O499" t="n">
        <v>0</v>
      </c>
      <c r="P499" t="n">
        <v>0</v>
      </c>
      <c r="Q499" t="n">
        <v>0</v>
      </c>
      <c r="R499" s="2" t="inlineStr"/>
    </row>
    <row r="500" ht="15" customHeight="1">
      <c r="A500" t="inlineStr">
        <is>
          <t>A 62228-2020</t>
        </is>
      </c>
      <c r="B500" s="1" t="n">
        <v>44159</v>
      </c>
      <c r="C500" s="1" t="n">
        <v>45742</v>
      </c>
      <c r="D500" t="inlineStr">
        <is>
          <t>JÄMTLANDS LÄN</t>
        </is>
      </c>
      <c r="E500" t="inlineStr">
        <is>
          <t>RAGUNDA</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63606-2020</t>
        </is>
      </c>
      <c r="B501" s="1" t="n">
        <v>44165</v>
      </c>
      <c r="C501" s="1" t="n">
        <v>45742</v>
      </c>
      <c r="D501" t="inlineStr">
        <is>
          <t>JÄMTLANDS LÄN</t>
        </is>
      </c>
      <c r="E501" t="inlineStr">
        <is>
          <t>RAGUNDA</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63597-2020</t>
        </is>
      </c>
      <c r="B502" s="1" t="n">
        <v>44165</v>
      </c>
      <c r="C502" s="1" t="n">
        <v>45742</v>
      </c>
      <c r="D502" t="inlineStr">
        <is>
          <t>JÄMTLANDS LÄN</t>
        </is>
      </c>
      <c r="E502" t="inlineStr">
        <is>
          <t>RAGUNDA</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64187-2020</t>
        </is>
      </c>
      <c r="B503" s="1" t="n">
        <v>44167</v>
      </c>
      <c r="C503" s="1" t="n">
        <v>45742</v>
      </c>
      <c r="D503" t="inlineStr">
        <is>
          <t>JÄMTLANDS LÄN</t>
        </is>
      </c>
      <c r="E503" t="inlineStr">
        <is>
          <t>RAGUNDA</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64386-2020</t>
        </is>
      </c>
      <c r="B504" s="1" t="n">
        <v>44168</v>
      </c>
      <c r="C504" s="1" t="n">
        <v>45742</v>
      </c>
      <c r="D504" t="inlineStr">
        <is>
          <t>JÄMTLANDS LÄN</t>
        </is>
      </c>
      <c r="E504" t="inlineStr">
        <is>
          <t>RAGUNDA</t>
        </is>
      </c>
      <c r="G504" t="n">
        <v>2.5</v>
      </c>
      <c r="H504" t="n">
        <v>0</v>
      </c>
      <c r="I504" t="n">
        <v>0</v>
      </c>
      <c r="J504" t="n">
        <v>0</v>
      </c>
      <c r="K504" t="n">
        <v>0</v>
      </c>
      <c r="L504" t="n">
        <v>0</v>
      </c>
      <c r="M504" t="n">
        <v>0</v>
      </c>
      <c r="N504" t="n">
        <v>0</v>
      </c>
      <c r="O504" t="n">
        <v>0</v>
      </c>
      <c r="P504" t="n">
        <v>0</v>
      </c>
      <c r="Q504" t="n">
        <v>0</v>
      </c>
      <c r="R504" s="2" t="inlineStr"/>
    </row>
    <row r="505" ht="15" customHeight="1">
      <c r="A505" t="inlineStr">
        <is>
          <t>A 65260-2020</t>
        </is>
      </c>
      <c r="B505" s="1" t="n">
        <v>44172</v>
      </c>
      <c r="C505" s="1" t="n">
        <v>45742</v>
      </c>
      <c r="D505" t="inlineStr">
        <is>
          <t>JÄMTLANDS LÄN</t>
        </is>
      </c>
      <c r="E505" t="inlineStr">
        <is>
          <t>RAGUNDA</t>
        </is>
      </c>
      <c r="F505" t="inlineStr">
        <is>
          <t>SCA</t>
        </is>
      </c>
      <c r="G505" t="n">
        <v>7.8</v>
      </c>
      <c r="H505" t="n">
        <v>0</v>
      </c>
      <c r="I505" t="n">
        <v>0</v>
      </c>
      <c r="J505" t="n">
        <v>0</v>
      </c>
      <c r="K505" t="n">
        <v>0</v>
      </c>
      <c r="L505" t="n">
        <v>0</v>
      </c>
      <c r="M505" t="n">
        <v>0</v>
      </c>
      <c r="N505" t="n">
        <v>0</v>
      </c>
      <c r="O505" t="n">
        <v>0</v>
      </c>
      <c r="P505" t="n">
        <v>0</v>
      </c>
      <c r="Q505" t="n">
        <v>0</v>
      </c>
      <c r="R505" s="2" t="inlineStr"/>
    </row>
    <row r="506" ht="15" customHeight="1">
      <c r="A506" t="inlineStr">
        <is>
          <t>A 65341-2020</t>
        </is>
      </c>
      <c r="B506" s="1" t="n">
        <v>44173</v>
      </c>
      <c r="C506" s="1" t="n">
        <v>45742</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65898-2020</t>
        </is>
      </c>
      <c r="B507" s="1" t="n">
        <v>44174</v>
      </c>
      <c r="C507" s="1" t="n">
        <v>45742</v>
      </c>
      <c r="D507" t="inlineStr">
        <is>
          <t>JÄMTLANDS LÄN</t>
        </is>
      </c>
      <c r="E507" t="inlineStr">
        <is>
          <t>RAGUNDA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66248-2020</t>
        </is>
      </c>
      <c r="B508" s="1" t="n">
        <v>44175</v>
      </c>
      <c r="C508" s="1" t="n">
        <v>45742</v>
      </c>
      <c r="D508" t="inlineStr">
        <is>
          <t>JÄMTLANDS LÄN</t>
        </is>
      </c>
      <c r="E508" t="inlineStr">
        <is>
          <t>RAGUNDA</t>
        </is>
      </c>
      <c r="F508" t="inlineStr">
        <is>
          <t>SCA</t>
        </is>
      </c>
      <c r="G508" t="n">
        <v>5.6</v>
      </c>
      <c r="H508" t="n">
        <v>0</v>
      </c>
      <c r="I508" t="n">
        <v>0</v>
      </c>
      <c r="J508" t="n">
        <v>0</v>
      </c>
      <c r="K508" t="n">
        <v>0</v>
      </c>
      <c r="L508" t="n">
        <v>0</v>
      </c>
      <c r="M508" t="n">
        <v>0</v>
      </c>
      <c r="N508" t="n">
        <v>0</v>
      </c>
      <c r="O508" t="n">
        <v>0</v>
      </c>
      <c r="P508" t="n">
        <v>0</v>
      </c>
      <c r="Q508" t="n">
        <v>0</v>
      </c>
      <c r="R508" s="2" t="inlineStr"/>
    </row>
    <row r="509" ht="15" customHeight="1">
      <c r="A509" t="inlineStr">
        <is>
          <t>A 69174-2020</t>
        </is>
      </c>
      <c r="B509" s="1" t="n">
        <v>44188</v>
      </c>
      <c r="C509" s="1" t="n">
        <v>45742</v>
      </c>
      <c r="D509" t="inlineStr">
        <is>
          <t>JÄMTLANDS LÄN</t>
        </is>
      </c>
      <c r="E509" t="inlineStr">
        <is>
          <t>RAGUNDA</t>
        </is>
      </c>
      <c r="F509" t="inlineStr">
        <is>
          <t>SCA</t>
        </is>
      </c>
      <c r="G509" t="n">
        <v>4.1</v>
      </c>
      <c r="H509" t="n">
        <v>0</v>
      </c>
      <c r="I509" t="n">
        <v>0</v>
      </c>
      <c r="J509" t="n">
        <v>0</v>
      </c>
      <c r="K509" t="n">
        <v>0</v>
      </c>
      <c r="L509" t="n">
        <v>0</v>
      </c>
      <c r="M509" t="n">
        <v>0</v>
      </c>
      <c r="N509" t="n">
        <v>0</v>
      </c>
      <c r="O509" t="n">
        <v>0</v>
      </c>
      <c r="P509" t="n">
        <v>0</v>
      </c>
      <c r="Q509" t="n">
        <v>0</v>
      </c>
      <c r="R509" s="2" t="inlineStr"/>
    </row>
    <row r="510" ht="15" customHeight="1">
      <c r="A510" t="inlineStr">
        <is>
          <t>A 69481-2020</t>
        </is>
      </c>
      <c r="B510" s="1" t="n">
        <v>44194</v>
      </c>
      <c r="C510" s="1" t="n">
        <v>45742</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69618-2020</t>
        </is>
      </c>
      <c r="B511" s="1" t="n">
        <v>44195</v>
      </c>
      <c r="C511" s="1" t="n">
        <v>45742</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1990-2021</t>
        </is>
      </c>
      <c r="B512" s="1" t="n">
        <v>44210</v>
      </c>
      <c r="C512" s="1" t="n">
        <v>45742</v>
      </c>
      <c r="D512" t="inlineStr">
        <is>
          <t>JÄMTLANDS LÄN</t>
        </is>
      </c>
      <c r="E512" t="inlineStr">
        <is>
          <t>RAGUNDA</t>
        </is>
      </c>
      <c r="G512" t="n">
        <v>0.6</v>
      </c>
      <c r="H512" t="n">
        <v>0</v>
      </c>
      <c r="I512" t="n">
        <v>0</v>
      </c>
      <c r="J512" t="n">
        <v>0</v>
      </c>
      <c r="K512" t="n">
        <v>0</v>
      </c>
      <c r="L512" t="n">
        <v>0</v>
      </c>
      <c r="M512" t="n">
        <v>0</v>
      </c>
      <c r="N512" t="n">
        <v>0</v>
      </c>
      <c r="O512" t="n">
        <v>0</v>
      </c>
      <c r="P512" t="n">
        <v>0</v>
      </c>
      <c r="Q512" t="n">
        <v>0</v>
      </c>
      <c r="R512" s="2" t="inlineStr"/>
    </row>
    <row r="513" ht="15" customHeight="1">
      <c r="A513" t="inlineStr">
        <is>
          <t>A 2469-2021</t>
        </is>
      </c>
      <c r="B513" s="1" t="n">
        <v>44214</v>
      </c>
      <c r="C513" s="1" t="n">
        <v>45742</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3571-2021</t>
        </is>
      </c>
      <c r="B514" s="1" t="n">
        <v>44218</v>
      </c>
      <c r="C514" s="1" t="n">
        <v>45742</v>
      </c>
      <c r="D514" t="inlineStr">
        <is>
          <t>JÄMTLANDS LÄN</t>
        </is>
      </c>
      <c r="E514" t="inlineStr">
        <is>
          <t>RAGUNDA</t>
        </is>
      </c>
      <c r="G514" t="n">
        <v>2.6</v>
      </c>
      <c r="H514" t="n">
        <v>0</v>
      </c>
      <c r="I514" t="n">
        <v>0</v>
      </c>
      <c r="J514" t="n">
        <v>0</v>
      </c>
      <c r="K514" t="n">
        <v>0</v>
      </c>
      <c r="L514" t="n">
        <v>0</v>
      </c>
      <c r="M514" t="n">
        <v>0</v>
      </c>
      <c r="N514" t="n">
        <v>0</v>
      </c>
      <c r="O514" t="n">
        <v>0</v>
      </c>
      <c r="P514" t="n">
        <v>0</v>
      </c>
      <c r="Q514" t="n">
        <v>0</v>
      </c>
      <c r="R514" s="2" t="inlineStr"/>
    </row>
    <row r="515" ht="15" customHeight="1">
      <c r="A515" t="inlineStr">
        <is>
          <t>A 4826-2021</t>
        </is>
      </c>
      <c r="B515" s="1" t="n">
        <v>44225</v>
      </c>
      <c r="C515" s="1" t="n">
        <v>45742</v>
      </c>
      <c r="D515" t="inlineStr">
        <is>
          <t>JÄMTLANDS LÄN</t>
        </is>
      </c>
      <c r="E515" t="inlineStr">
        <is>
          <t>RAGUNDA</t>
        </is>
      </c>
      <c r="G515" t="n">
        <v>2.2</v>
      </c>
      <c r="H515" t="n">
        <v>0</v>
      </c>
      <c r="I515" t="n">
        <v>0</v>
      </c>
      <c r="J515" t="n">
        <v>0</v>
      </c>
      <c r="K515" t="n">
        <v>0</v>
      </c>
      <c r="L515" t="n">
        <v>0</v>
      </c>
      <c r="M515" t="n">
        <v>0</v>
      </c>
      <c r="N515" t="n">
        <v>0</v>
      </c>
      <c r="O515" t="n">
        <v>0</v>
      </c>
      <c r="P515" t="n">
        <v>0</v>
      </c>
      <c r="Q515" t="n">
        <v>0</v>
      </c>
      <c r="R515" s="2" t="inlineStr"/>
    </row>
    <row r="516" ht="15" customHeight="1">
      <c r="A516" t="inlineStr">
        <is>
          <t>A 5130-2021</t>
        </is>
      </c>
      <c r="B516" s="1" t="n">
        <v>44228</v>
      </c>
      <c r="C516" s="1" t="n">
        <v>45742</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5462-2021</t>
        </is>
      </c>
      <c r="B517" s="1" t="n">
        <v>44229</v>
      </c>
      <c r="C517" s="1" t="n">
        <v>45742</v>
      </c>
      <c r="D517" t="inlineStr">
        <is>
          <t>JÄMTLANDS LÄN</t>
        </is>
      </c>
      <c r="E517" t="inlineStr">
        <is>
          <t>RAGUNDA</t>
        </is>
      </c>
      <c r="G517" t="n">
        <v>1.8</v>
      </c>
      <c r="H517" t="n">
        <v>0</v>
      </c>
      <c r="I517" t="n">
        <v>0</v>
      </c>
      <c r="J517" t="n">
        <v>0</v>
      </c>
      <c r="K517" t="n">
        <v>0</v>
      </c>
      <c r="L517" t="n">
        <v>0</v>
      </c>
      <c r="M517" t="n">
        <v>0</v>
      </c>
      <c r="N517" t="n">
        <v>0</v>
      </c>
      <c r="O517" t="n">
        <v>0</v>
      </c>
      <c r="P517" t="n">
        <v>0</v>
      </c>
      <c r="Q517" t="n">
        <v>0</v>
      </c>
      <c r="R517" s="2" t="inlineStr"/>
    </row>
    <row r="518" ht="15" customHeight="1">
      <c r="A518" t="inlineStr">
        <is>
          <t>A 5803-2021</t>
        </is>
      </c>
      <c r="B518" s="1" t="n">
        <v>44230</v>
      </c>
      <c r="C518" s="1" t="n">
        <v>45742</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5967-2021</t>
        </is>
      </c>
      <c r="B519" s="1" t="n">
        <v>44231</v>
      </c>
      <c r="C519" s="1" t="n">
        <v>45742</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5958-2021</t>
        </is>
      </c>
      <c r="B520" s="1" t="n">
        <v>44231</v>
      </c>
      <c r="C520" s="1" t="n">
        <v>45742</v>
      </c>
      <c r="D520" t="inlineStr">
        <is>
          <t>JÄMTLANDS LÄN</t>
        </is>
      </c>
      <c r="E520" t="inlineStr">
        <is>
          <t>RAGUNDA</t>
        </is>
      </c>
      <c r="G520" t="n">
        <v>3.1</v>
      </c>
      <c r="H520" t="n">
        <v>0</v>
      </c>
      <c r="I520" t="n">
        <v>0</v>
      </c>
      <c r="J520" t="n">
        <v>0</v>
      </c>
      <c r="K520" t="n">
        <v>0</v>
      </c>
      <c r="L520" t="n">
        <v>0</v>
      </c>
      <c r="M520" t="n">
        <v>0</v>
      </c>
      <c r="N520" t="n">
        <v>0</v>
      </c>
      <c r="O520" t="n">
        <v>0</v>
      </c>
      <c r="P520" t="n">
        <v>0</v>
      </c>
      <c r="Q520" t="n">
        <v>0</v>
      </c>
      <c r="R520" s="2" t="inlineStr"/>
    </row>
    <row r="521" ht="15" customHeight="1">
      <c r="A521" t="inlineStr">
        <is>
          <t>A 6802-2021</t>
        </is>
      </c>
      <c r="B521" s="1" t="n">
        <v>44236</v>
      </c>
      <c r="C521" s="1" t="n">
        <v>45742</v>
      </c>
      <c r="D521" t="inlineStr">
        <is>
          <t>JÄMTLANDS LÄN</t>
        </is>
      </c>
      <c r="E521" t="inlineStr">
        <is>
          <t>RAGUNDA</t>
        </is>
      </c>
      <c r="G521" t="n">
        <v>11.2</v>
      </c>
      <c r="H521" t="n">
        <v>0</v>
      </c>
      <c r="I521" t="n">
        <v>0</v>
      </c>
      <c r="J521" t="n">
        <v>0</v>
      </c>
      <c r="K521" t="n">
        <v>0</v>
      </c>
      <c r="L521" t="n">
        <v>0</v>
      </c>
      <c r="M521" t="n">
        <v>0</v>
      </c>
      <c r="N521" t="n">
        <v>0</v>
      </c>
      <c r="O521" t="n">
        <v>0</v>
      </c>
      <c r="P521" t="n">
        <v>0</v>
      </c>
      <c r="Q521" t="n">
        <v>0</v>
      </c>
      <c r="R521" s="2" t="inlineStr"/>
    </row>
    <row r="522" ht="15" customHeight="1">
      <c r="A522" t="inlineStr">
        <is>
          <t>A 7575-2021</t>
        </is>
      </c>
      <c r="B522" s="1" t="n">
        <v>44239</v>
      </c>
      <c r="C522" s="1" t="n">
        <v>45742</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7886-2021</t>
        </is>
      </c>
      <c r="B523" s="1" t="n">
        <v>44242</v>
      </c>
      <c r="C523" s="1" t="n">
        <v>45742</v>
      </c>
      <c r="D523" t="inlineStr">
        <is>
          <t>JÄMTLANDS LÄN</t>
        </is>
      </c>
      <c r="E523" t="inlineStr">
        <is>
          <t>RAGUNDA</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8033-2021</t>
        </is>
      </c>
      <c r="B524" s="1" t="n">
        <v>44243</v>
      </c>
      <c r="C524" s="1" t="n">
        <v>45742</v>
      </c>
      <c r="D524" t="inlineStr">
        <is>
          <t>JÄMTLANDS LÄN</t>
        </is>
      </c>
      <c r="E524" t="inlineStr">
        <is>
          <t>RAGUNDA</t>
        </is>
      </c>
      <c r="G524" t="n">
        <v>2.4</v>
      </c>
      <c r="H524" t="n">
        <v>0</v>
      </c>
      <c r="I524" t="n">
        <v>0</v>
      </c>
      <c r="J524" t="n">
        <v>0</v>
      </c>
      <c r="K524" t="n">
        <v>0</v>
      </c>
      <c r="L524" t="n">
        <v>0</v>
      </c>
      <c r="M524" t="n">
        <v>0</v>
      </c>
      <c r="N524" t="n">
        <v>0</v>
      </c>
      <c r="O524" t="n">
        <v>0</v>
      </c>
      <c r="P524" t="n">
        <v>0</v>
      </c>
      <c r="Q524" t="n">
        <v>0</v>
      </c>
      <c r="R524" s="2" t="inlineStr"/>
    </row>
    <row r="525" ht="15" customHeight="1">
      <c r="A525" t="inlineStr">
        <is>
          <t>A 8626-2021</t>
        </is>
      </c>
      <c r="B525" s="1" t="n">
        <v>44245</v>
      </c>
      <c r="C525" s="1" t="n">
        <v>45742</v>
      </c>
      <c r="D525" t="inlineStr">
        <is>
          <t>JÄMTLANDS LÄN</t>
        </is>
      </c>
      <c r="E525" t="inlineStr">
        <is>
          <t>RAGUNDA</t>
        </is>
      </c>
      <c r="G525" t="n">
        <v>3.3</v>
      </c>
      <c r="H525" t="n">
        <v>0</v>
      </c>
      <c r="I525" t="n">
        <v>0</v>
      </c>
      <c r="J525" t="n">
        <v>0</v>
      </c>
      <c r="K525" t="n">
        <v>0</v>
      </c>
      <c r="L525" t="n">
        <v>0</v>
      </c>
      <c r="M525" t="n">
        <v>0</v>
      </c>
      <c r="N525" t="n">
        <v>0</v>
      </c>
      <c r="O525" t="n">
        <v>0</v>
      </c>
      <c r="P525" t="n">
        <v>0</v>
      </c>
      <c r="Q525" t="n">
        <v>0</v>
      </c>
      <c r="R525" s="2" t="inlineStr"/>
    </row>
    <row r="526" ht="15" customHeight="1">
      <c r="A526" t="inlineStr">
        <is>
          <t>A 10938-2021</t>
        </is>
      </c>
      <c r="B526" s="1" t="n">
        <v>44259</v>
      </c>
      <c r="C526" s="1" t="n">
        <v>45742</v>
      </c>
      <c r="D526" t="inlineStr">
        <is>
          <t>JÄMTLANDS LÄN</t>
        </is>
      </c>
      <c r="E526" t="inlineStr">
        <is>
          <t>RAGUNDA</t>
        </is>
      </c>
      <c r="G526" t="n">
        <v>10.4</v>
      </c>
      <c r="H526" t="n">
        <v>0</v>
      </c>
      <c r="I526" t="n">
        <v>0</v>
      </c>
      <c r="J526" t="n">
        <v>0</v>
      </c>
      <c r="K526" t="n">
        <v>0</v>
      </c>
      <c r="L526" t="n">
        <v>0</v>
      </c>
      <c r="M526" t="n">
        <v>0</v>
      </c>
      <c r="N526" t="n">
        <v>0</v>
      </c>
      <c r="O526" t="n">
        <v>0</v>
      </c>
      <c r="P526" t="n">
        <v>0</v>
      </c>
      <c r="Q526" t="n">
        <v>0</v>
      </c>
      <c r="R526" s="2" t="inlineStr"/>
    </row>
    <row r="527" ht="15" customHeight="1">
      <c r="A527" t="inlineStr">
        <is>
          <t>A 10937-2021</t>
        </is>
      </c>
      <c r="B527" s="1" t="n">
        <v>44259</v>
      </c>
      <c r="C527" s="1" t="n">
        <v>45742</v>
      </c>
      <c r="D527" t="inlineStr">
        <is>
          <t>JÄMTLANDS LÄN</t>
        </is>
      </c>
      <c r="E527" t="inlineStr">
        <is>
          <t>RAGUNDA</t>
        </is>
      </c>
      <c r="G527" t="n">
        <v>10.8</v>
      </c>
      <c r="H527" t="n">
        <v>0</v>
      </c>
      <c r="I527" t="n">
        <v>0</v>
      </c>
      <c r="J527" t="n">
        <v>0</v>
      </c>
      <c r="K527" t="n">
        <v>0</v>
      </c>
      <c r="L527" t="n">
        <v>0</v>
      </c>
      <c r="M527" t="n">
        <v>0</v>
      </c>
      <c r="N527" t="n">
        <v>0</v>
      </c>
      <c r="O527" t="n">
        <v>0</v>
      </c>
      <c r="P527" t="n">
        <v>0</v>
      </c>
      <c r="Q527" t="n">
        <v>0</v>
      </c>
      <c r="R527" s="2" t="inlineStr"/>
    </row>
    <row r="528" ht="15" customHeight="1">
      <c r="A528" t="inlineStr">
        <is>
          <t>A 13571-2021</t>
        </is>
      </c>
      <c r="B528" s="1" t="n">
        <v>44273</v>
      </c>
      <c r="C528" s="1" t="n">
        <v>45742</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13570-2021</t>
        </is>
      </c>
      <c r="B529" s="1" t="n">
        <v>44273</v>
      </c>
      <c r="C529" s="1" t="n">
        <v>45742</v>
      </c>
      <c r="D529" t="inlineStr">
        <is>
          <t>JÄMTLANDS LÄN</t>
        </is>
      </c>
      <c r="E529" t="inlineStr">
        <is>
          <t>RAGUNDA</t>
        </is>
      </c>
      <c r="G529" t="n">
        <v>1.6</v>
      </c>
      <c r="H529" t="n">
        <v>0</v>
      </c>
      <c r="I529" t="n">
        <v>0</v>
      </c>
      <c r="J529" t="n">
        <v>0</v>
      </c>
      <c r="K529" t="n">
        <v>0</v>
      </c>
      <c r="L529" t="n">
        <v>0</v>
      </c>
      <c r="M529" t="n">
        <v>0</v>
      </c>
      <c r="N529" t="n">
        <v>0</v>
      </c>
      <c r="O529" t="n">
        <v>0</v>
      </c>
      <c r="P529" t="n">
        <v>0</v>
      </c>
      <c r="Q529" t="n">
        <v>0</v>
      </c>
      <c r="R529" s="2" t="inlineStr"/>
    </row>
    <row r="530" ht="15" customHeight="1">
      <c r="A530" t="inlineStr">
        <is>
          <t>A 13569-2021</t>
        </is>
      </c>
      <c r="B530" s="1" t="n">
        <v>44273</v>
      </c>
      <c r="C530" s="1" t="n">
        <v>45742</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14790-2021</t>
        </is>
      </c>
      <c r="B531" s="1" t="n">
        <v>44280</v>
      </c>
      <c r="C531" s="1" t="n">
        <v>45742</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14776-2021</t>
        </is>
      </c>
      <c r="B532" s="1" t="n">
        <v>44280</v>
      </c>
      <c r="C532" s="1" t="n">
        <v>45742</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15102-2021</t>
        </is>
      </c>
      <c r="B533" s="1" t="n">
        <v>44281</v>
      </c>
      <c r="C533" s="1" t="n">
        <v>45742</v>
      </c>
      <c r="D533" t="inlineStr">
        <is>
          <t>JÄMTLANDS LÄN</t>
        </is>
      </c>
      <c r="E533" t="inlineStr">
        <is>
          <t>RAGUNDA</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15720-2021</t>
        </is>
      </c>
      <c r="B534" s="1" t="n">
        <v>44286</v>
      </c>
      <c r="C534" s="1" t="n">
        <v>45742</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15672-2021</t>
        </is>
      </c>
      <c r="B535" s="1" t="n">
        <v>44286</v>
      </c>
      <c r="C535" s="1" t="n">
        <v>45742</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16002-2021</t>
        </is>
      </c>
      <c r="B536" s="1" t="n">
        <v>44287</v>
      </c>
      <c r="C536" s="1" t="n">
        <v>45742</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16379-2021</t>
        </is>
      </c>
      <c r="B537" s="1" t="n">
        <v>44292</v>
      </c>
      <c r="C537" s="1" t="n">
        <v>45742</v>
      </c>
      <c r="D537" t="inlineStr">
        <is>
          <t>JÄMTLANDS LÄN</t>
        </is>
      </c>
      <c r="E537" t="inlineStr">
        <is>
          <t>RAGUNDA</t>
        </is>
      </c>
      <c r="G537" t="n">
        <v>2</v>
      </c>
      <c r="H537" t="n">
        <v>0</v>
      </c>
      <c r="I537" t="n">
        <v>0</v>
      </c>
      <c r="J537" t="n">
        <v>0</v>
      </c>
      <c r="K537" t="n">
        <v>0</v>
      </c>
      <c r="L537" t="n">
        <v>0</v>
      </c>
      <c r="M537" t="n">
        <v>0</v>
      </c>
      <c r="N537" t="n">
        <v>0</v>
      </c>
      <c r="O537" t="n">
        <v>0</v>
      </c>
      <c r="P537" t="n">
        <v>0</v>
      </c>
      <c r="Q537" t="n">
        <v>0</v>
      </c>
      <c r="R537" s="2" t="inlineStr"/>
    </row>
    <row r="538" ht="15" customHeight="1">
      <c r="A538" t="inlineStr">
        <is>
          <t>A 17315-2021</t>
        </is>
      </c>
      <c r="B538" s="1" t="n">
        <v>44298</v>
      </c>
      <c r="C538" s="1" t="n">
        <v>45742</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17598-2021</t>
        </is>
      </c>
      <c r="B539" s="1" t="n">
        <v>44299</v>
      </c>
      <c r="C539" s="1" t="n">
        <v>45742</v>
      </c>
      <c r="D539" t="inlineStr">
        <is>
          <t>JÄMTLANDS LÄN</t>
        </is>
      </c>
      <c r="E539" t="inlineStr">
        <is>
          <t>RAGUNDA</t>
        </is>
      </c>
      <c r="G539" t="n">
        <v>4.6</v>
      </c>
      <c r="H539" t="n">
        <v>0</v>
      </c>
      <c r="I539" t="n">
        <v>0</v>
      </c>
      <c r="J539" t="n">
        <v>0</v>
      </c>
      <c r="K539" t="n">
        <v>0</v>
      </c>
      <c r="L539" t="n">
        <v>0</v>
      </c>
      <c r="M539" t="n">
        <v>0</v>
      </c>
      <c r="N539" t="n">
        <v>0</v>
      </c>
      <c r="O539" t="n">
        <v>0</v>
      </c>
      <c r="P539" t="n">
        <v>0</v>
      </c>
      <c r="Q539" t="n">
        <v>0</v>
      </c>
      <c r="R539" s="2" t="inlineStr"/>
    </row>
    <row r="540" ht="15" customHeight="1">
      <c r="A540" t="inlineStr">
        <is>
          <t>A 18454-2021</t>
        </is>
      </c>
      <c r="B540" s="1" t="n">
        <v>44306</v>
      </c>
      <c r="C540" s="1" t="n">
        <v>45742</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19615-2021</t>
        </is>
      </c>
      <c r="B541" s="1" t="n">
        <v>44308</v>
      </c>
      <c r="C541" s="1" t="n">
        <v>45742</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19612-2021</t>
        </is>
      </c>
      <c r="B542" s="1" t="n">
        <v>44308</v>
      </c>
      <c r="C542" s="1" t="n">
        <v>45742</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19600-2021</t>
        </is>
      </c>
      <c r="B543" s="1" t="n">
        <v>44308</v>
      </c>
      <c r="C543" s="1" t="n">
        <v>45742</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19595-2021</t>
        </is>
      </c>
      <c r="B544" s="1" t="n">
        <v>44308</v>
      </c>
      <c r="C544" s="1" t="n">
        <v>45742</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20548-2021</t>
        </is>
      </c>
      <c r="B545" s="1" t="n">
        <v>44315</v>
      </c>
      <c r="C545" s="1" t="n">
        <v>45742</v>
      </c>
      <c r="D545" t="inlineStr">
        <is>
          <t>JÄMTLANDS LÄN</t>
        </is>
      </c>
      <c r="E545" t="inlineStr">
        <is>
          <t>RAGUNDA</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22655-2021</t>
        </is>
      </c>
      <c r="B546" s="1" t="n">
        <v>44322</v>
      </c>
      <c r="C546" s="1" t="n">
        <v>45742</v>
      </c>
      <c r="D546" t="inlineStr">
        <is>
          <t>JÄMTLANDS LÄN</t>
        </is>
      </c>
      <c r="E546" t="inlineStr">
        <is>
          <t>RAGUNDA</t>
        </is>
      </c>
      <c r="G546" t="n">
        <v>5.8</v>
      </c>
      <c r="H546" t="n">
        <v>0</v>
      </c>
      <c r="I546" t="n">
        <v>0</v>
      </c>
      <c r="J546" t="n">
        <v>0</v>
      </c>
      <c r="K546" t="n">
        <v>0</v>
      </c>
      <c r="L546" t="n">
        <v>0</v>
      </c>
      <c r="M546" t="n">
        <v>0</v>
      </c>
      <c r="N546" t="n">
        <v>0</v>
      </c>
      <c r="O546" t="n">
        <v>0</v>
      </c>
      <c r="P546" t="n">
        <v>0</v>
      </c>
      <c r="Q546" t="n">
        <v>0</v>
      </c>
      <c r="R546" s="2" t="inlineStr"/>
    </row>
    <row r="547" ht="15" customHeight="1">
      <c r="A547" t="inlineStr">
        <is>
          <t>A 22131-2021</t>
        </is>
      </c>
      <c r="B547" s="1" t="n">
        <v>44323</v>
      </c>
      <c r="C547" s="1" t="n">
        <v>45742</v>
      </c>
      <c r="D547" t="inlineStr">
        <is>
          <t>JÄMTLANDS LÄN</t>
        </is>
      </c>
      <c r="E547" t="inlineStr">
        <is>
          <t>RAGUNDA</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23169-2021</t>
        </is>
      </c>
      <c r="B548" s="1" t="n">
        <v>44332</v>
      </c>
      <c r="C548" s="1" t="n">
        <v>45742</v>
      </c>
      <c r="D548" t="inlineStr">
        <is>
          <t>JÄMTLANDS LÄN</t>
        </is>
      </c>
      <c r="E548" t="inlineStr">
        <is>
          <t>RAGUNDA</t>
        </is>
      </c>
      <c r="F548" t="inlineStr">
        <is>
          <t>SCA</t>
        </is>
      </c>
      <c r="G548" t="n">
        <v>59.9</v>
      </c>
      <c r="H548" t="n">
        <v>0</v>
      </c>
      <c r="I548" t="n">
        <v>0</v>
      </c>
      <c r="J548" t="n">
        <v>0</v>
      </c>
      <c r="K548" t="n">
        <v>0</v>
      </c>
      <c r="L548" t="n">
        <v>0</v>
      </c>
      <c r="M548" t="n">
        <v>0</v>
      </c>
      <c r="N548" t="n">
        <v>0</v>
      </c>
      <c r="O548" t="n">
        <v>0</v>
      </c>
      <c r="P548" t="n">
        <v>0</v>
      </c>
      <c r="Q548" t="n">
        <v>0</v>
      </c>
      <c r="R548" s="2" t="inlineStr"/>
    </row>
    <row r="549" ht="15" customHeight="1">
      <c r="A549" t="inlineStr">
        <is>
          <t>A 24171-2021</t>
        </is>
      </c>
      <c r="B549" s="1" t="n">
        <v>44336</v>
      </c>
      <c r="C549" s="1" t="n">
        <v>45742</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24280-2021</t>
        </is>
      </c>
      <c r="B550" s="1" t="n">
        <v>44336</v>
      </c>
      <c r="C550" s="1" t="n">
        <v>45742</v>
      </c>
      <c r="D550" t="inlineStr">
        <is>
          <t>JÄMTLANDS LÄN</t>
        </is>
      </c>
      <c r="E550" t="inlineStr">
        <is>
          <t>RAGUNDA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25811-2021</t>
        </is>
      </c>
      <c r="B551" s="1" t="n">
        <v>44344</v>
      </c>
      <c r="C551" s="1" t="n">
        <v>45742</v>
      </c>
      <c r="D551" t="inlineStr">
        <is>
          <t>JÄMTLANDS LÄN</t>
        </is>
      </c>
      <c r="E551" t="inlineStr">
        <is>
          <t>RAGUNDA</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26942-2021</t>
        </is>
      </c>
      <c r="B552" s="1" t="n">
        <v>44350</v>
      </c>
      <c r="C552" s="1" t="n">
        <v>45742</v>
      </c>
      <c r="D552" t="inlineStr">
        <is>
          <t>JÄMTLANDS LÄN</t>
        </is>
      </c>
      <c r="E552" t="inlineStr">
        <is>
          <t>RAGUNDA</t>
        </is>
      </c>
      <c r="G552" t="n">
        <v>6.2</v>
      </c>
      <c r="H552" t="n">
        <v>0</v>
      </c>
      <c r="I552" t="n">
        <v>0</v>
      </c>
      <c r="J552" t="n">
        <v>0</v>
      </c>
      <c r="K552" t="n">
        <v>0</v>
      </c>
      <c r="L552" t="n">
        <v>0</v>
      </c>
      <c r="M552" t="n">
        <v>0</v>
      </c>
      <c r="N552" t="n">
        <v>0</v>
      </c>
      <c r="O552" t="n">
        <v>0</v>
      </c>
      <c r="P552" t="n">
        <v>0</v>
      </c>
      <c r="Q552" t="n">
        <v>0</v>
      </c>
      <c r="R552" s="2" t="inlineStr"/>
    </row>
    <row r="553" ht="15" customHeight="1">
      <c r="A553" t="inlineStr">
        <is>
          <t>A 26948-2021</t>
        </is>
      </c>
      <c r="B553" s="1" t="n">
        <v>44350</v>
      </c>
      <c r="C553" s="1" t="n">
        <v>45742</v>
      </c>
      <c r="D553" t="inlineStr">
        <is>
          <t>JÄMTLANDS LÄN</t>
        </is>
      </c>
      <c r="E553" t="inlineStr">
        <is>
          <t>RAGUNDA</t>
        </is>
      </c>
      <c r="G553" t="n">
        <v>2.5</v>
      </c>
      <c r="H553" t="n">
        <v>0</v>
      </c>
      <c r="I553" t="n">
        <v>0</v>
      </c>
      <c r="J553" t="n">
        <v>0</v>
      </c>
      <c r="K553" t="n">
        <v>0</v>
      </c>
      <c r="L553" t="n">
        <v>0</v>
      </c>
      <c r="M553" t="n">
        <v>0</v>
      </c>
      <c r="N553" t="n">
        <v>0</v>
      </c>
      <c r="O553" t="n">
        <v>0</v>
      </c>
      <c r="P553" t="n">
        <v>0</v>
      </c>
      <c r="Q553" t="n">
        <v>0</v>
      </c>
      <c r="R553" s="2" t="inlineStr"/>
    </row>
    <row r="554" ht="15" customHeight="1">
      <c r="A554" t="inlineStr">
        <is>
          <t>A 26945-2021</t>
        </is>
      </c>
      <c r="B554" s="1" t="n">
        <v>44350</v>
      </c>
      <c r="C554" s="1" t="n">
        <v>45742</v>
      </c>
      <c r="D554" t="inlineStr">
        <is>
          <t>JÄMTLANDS LÄN</t>
        </is>
      </c>
      <c r="E554" t="inlineStr">
        <is>
          <t>RAGUNDA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26946-2021</t>
        </is>
      </c>
      <c r="B555" s="1" t="n">
        <v>44349</v>
      </c>
      <c r="C555" s="1" t="n">
        <v>45742</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27399-2021</t>
        </is>
      </c>
      <c r="B556" s="1" t="n">
        <v>44351</v>
      </c>
      <c r="C556" s="1" t="n">
        <v>45742</v>
      </c>
      <c r="D556" t="inlineStr">
        <is>
          <t>JÄMTLANDS LÄN</t>
        </is>
      </c>
      <c r="E556" t="inlineStr">
        <is>
          <t>RAGUNDA</t>
        </is>
      </c>
      <c r="F556" t="inlineStr">
        <is>
          <t>Kommuner</t>
        </is>
      </c>
      <c r="G556" t="n">
        <v>3.1</v>
      </c>
      <c r="H556" t="n">
        <v>0</v>
      </c>
      <c r="I556" t="n">
        <v>0</v>
      </c>
      <c r="J556" t="n">
        <v>0</v>
      </c>
      <c r="K556" t="n">
        <v>0</v>
      </c>
      <c r="L556" t="n">
        <v>0</v>
      </c>
      <c r="M556" t="n">
        <v>0</v>
      </c>
      <c r="N556" t="n">
        <v>0</v>
      </c>
      <c r="O556" t="n">
        <v>0</v>
      </c>
      <c r="P556" t="n">
        <v>0</v>
      </c>
      <c r="Q556" t="n">
        <v>0</v>
      </c>
      <c r="R556" s="2" t="inlineStr"/>
    </row>
    <row r="557" ht="15" customHeight="1">
      <c r="A557" t="inlineStr">
        <is>
          <t>A 27371-2021</t>
        </is>
      </c>
      <c r="B557" s="1" t="n">
        <v>44351</v>
      </c>
      <c r="C557" s="1" t="n">
        <v>45742</v>
      </c>
      <c r="D557" t="inlineStr">
        <is>
          <t>JÄMTLANDS LÄN</t>
        </is>
      </c>
      <c r="E557" t="inlineStr">
        <is>
          <t>RAGUNDA</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28596-2021</t>
        </is>
      </c>
      <c r="B558" s="1" t="n">
        <v>44356</v>
      </c>
      <c r="C558" s="1" t="n">
        <v>45742</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28597-2021</t>
        </is>
      </c>
      <c r="B559" s="1" t="n">
        <v>44357</v>
      </c>
      <c r="C559" s="1" t="n">
        <v>45742</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28887-2021</t>
        </is>
      </c>
      <c r="B560" s="1" t="n">
        <v>44357</v>
      </c>
      <c r="C560" s="1" t="n">
        <v>45742</v>
      </c>
      <c r="D560" t="inlineStr">
        <is>
          <t>JÄMTLANDS LÄN</t>
        </is>
      </c>
      <c r="E560" t="inlineStr">
        <is>
          <t>RAGUNDA</t>
        </is>
      </c>
      <c r="G560" t="n">
        <v>1.8</v>
      </c>
      <c r="H560" t="n">
        <v>0</v>
      </c>
      <c r="I560" t="n">
        <v>0</v>
      </c>
      <c r="J560" t="n">
        <v>0</v>
      </c>
      <c r="K560" t="n">
        <v>0</v>
      </c>
      <c r="L560" t="n">
        <v>0</v>
      </c>
      <c r="M560" t="n">
        <v>0</v>
      </c>
      <c r="N560" t="n">
        <v>0</v>
      </c>
      <c r="O560" t="n">
        <v>0</v>
      </c>
      <c r="P560" t="n">
        <v>0</v>
      </c>
      <c r="Q560" t="n">
        <v>0</v>
      </c>
      <c r="R560" s="2" t="inlineStr"/>
    </row>
    <row r="561" ht="15" customHeight="1">
      <c r="A561" t="inlineStr">
        <is>
          <t>A 29409-2021</t>
        </is>
      </c>
      <c r="B561" s="1" t="n">
        <v>44361</v>
      </c>
      <c r="C561" s="1" t="n">
        <v>45742</v>
      </c>
      <c r="D561" t="inlineStr">
        <is>
          <t>JÄMTLANDS LÄN</t>
        </is>
      </c>
      <c r="E561" t="inlineStr">
        <is>
          <t>RAGUNDA</t>
        </is>
      </c>
      <c r="G561" t="n">
        <v>0.3</v>
      </c>
      <c r="H561" t="n">
        <v>0</v>
      </c>
      <c r="I561" t="n">
        <v>0</v>
      </c>
      <c r="J561" t="n">
        <v>0</v>
      </c>
      <c r="K561" t="n">
        <v>0</v>
      </c>
      <c r="L561" t="n">
        <v>0</v>
      </c>
      <c r="M561" t="n">
        <v>0</v>
      </c>
      <c r="N561" t="n">
        <v>0</v>
      </c>
      <c r="O561" t="n">
        <v>0</v>
      </c>
      <c r="P561" t="n">
        <v>0</v>
      </c>
      <c r="Q561" t="n">
        <v>0</v>
      </c>
      <c r="R561" s="2" t="inlineStr"/>
    </row>
    <row r="562" ht="15" customHeight="1">
      <c r="A562" t="inlineStr">
        <is>
          <t>A 30438-2021</t>
        </is>
      </c>
      <c r="B562" s="1" t="n">
        <v>44362</v>
      </c>
      <c r="C562" s="1" t="n">
        <v>45742</v>
      </c>
      <c r="D562" t="inlineStr">
        <is>
          <t>JÄMTLANDS LÄN</t>
        </is>
      </c>
      <c r="E562" t="inlineStr">
        <is>
          <t>RAGUNDA</t>
        </is>
      </c>
      <c r="G562" t="n">
        <v>5</v>
      </c>
      <c r="H562" t="n">
        <v>0</v>
      </c>
      <c r="I562" t="n">
        <v>0</v>
      </c>
      <c r="J562" t="n">
        <v>0</v>
      </c>
      <c r="K562" t="n">
        <v>0</v>
      </c>
      <c r="L562" t="n">
        <v>0</v>
      </c>
      <c r="M562" t="n">
        <v>0</v>
      </c>
      <c r="N562" t="n">
        <v>0</v>
      </c>
      <c r="O562" t="n">
        <v>0</v>
      </c>
      <c r="P562" t="n">
        <v>0</v>
      </c>
      <c r="Q562" t="n">
        <v>0</v>
      </c>
      <c r="R562" s="2" t="inlineStr"/>
    </row>
    <row r="563" ht="15" customHeight="1">
      <c r="A563" t="inlineStr">
        <is>
          <t>A 30459-2021</t>
        </is>
      </c>
      <c r="B563" s="1" t="n">
        <v>44362</v>
      </c>
      <c r="C563" s="1" t="n">
        <v>45742</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30581-2021</t>
        </is>
      </c>
      <c r="B564" s="1" t="n">
        <v>44365</v>
      </c>
      <c r="C564" s="1" t="n">
        <v>45742</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31158-2021</t>
        </is>
      </c>
      <c r="B565" s="1" t="n">
        <v>44368</v>
      </c>
      <c r="C565" s="1" t="n">
        <v>45742</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31727-2021</t>
        </is>
      </c>
      <c r="B566" s="1" t="n">
        <v>44370</v>
      </c>
      <c r="C566" s="1" t="n">
        <v>45742</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32832-2021</t>
        </is>
      </c>
      <c r="B567" s="1" t="n">
        <v>44375</v>
      </c>
      <c r="C567" s="1" t="n">
        <v>45742</v>
      </c>
      <c r="D567" t="inlineStr">
        <is>
          <t>JÄMTLANDS LÄN</t>
        </is>
      </c>
      <c r="E567" t="inlineStr">
        <is>
          <t>RAGUNDA</t>
        </is>
      </c>
      <c r="G567" t="n">
        <v>3</v>
      </c>
      <c r="H567" t="n">
        <v>0</v>
      </c>
      <c r="I567" t="n">
        <v>0</v>
      </c>
      <c r="J567" t="n">
        <v>0</v>
      </c>
      <c r="K567" t="n">
        <v>0</v>
      </c>
      <c r="L567" t="n">
        <v>0</v>
      </c>
      <c r="M567" t="n">
        <v>0</v>
      </c>
      <c r="N567" t="n">
        <v>0</v>
      </c>
      <c r="O567" t="n">
        <v>0</v>
      </c>
      <c r="P567" t="n">
        <v>0</v>
      </c>
      <c r="Q567" t="n">
        <v>0</v>
      </c>
      <c r="R567" s="2" t="inlineStr"/>
    </row>
    <row r="568" ht="15" customHeight="1">
      <c r="A568" t="inlineStr">
        <is>
          <t>A 34348-2021</t>
        </is>
      </c>
      <c r="B568" s="1" t="n">
        <v>44379</v>
      </c>
      <c r="C568" s="1" t="n">
        <v>45742</v>
      </c>
      <c r="D568" t="inlineStr">
        <is>
          <t>JÄMTLANDS LÄN</t>
        </is>
      </c>
      <c r="E568" t="inlineStr">
        <is>
          <t>RAGUNDA</t>
        </is>
      </c>
      <c r="G568" t="n">
        <v>8.1</v>
      </c>
      <c r="H568" t="n">
        <v>0</v>
      </c>
      <c r="I568" t="n">
        <v>0</v>
      </c>
      <c r="J568" t="n">
        <v>0</v>
      </c>
      <c r="K568" t="n">
        <v>0</v>
      </c>
      <c r="L568" t="n">
        <v>0</v>
      </c>
      <c r="M568" t="n">
        <v>0</v>
      </c>
      <c r="N568" t="n">
        <v>0</v>
      </c>
      <c r="O568" t="n">
        <v>0</v>
      </c>
      <c r="P568" t="n">
        <v>0</v>
      </c>
      <c r="Q568" t="n">
        <v>0</v>
      </c>
      <c r="R568" s="2" t="inlineStr"/>
    </row>
    <row r="569" ht="15" customHeight="1">
      <c r="A569" t="inlineStr">
        <is>
          <t>A 35537-2021</t>
        </is>
      </c>
      <c r="B569" s="1" t="n">
        <v>44384</v>
      </c>
      <c r="C569" s="1" t="n">
        <v>45742</v>
      </c>
      <c r="D569" t="inlineStr">
        <is>
          <t>JÄMTLANDS LÄN</t>
        </is>
      </c>
      <c r="E569" t="inlineStr">
        <is>
          <t>RAGUNDA</t>
        </is>
      </c>
      <c r="G569" t="n">
        <v>3.1</v>
      </c>
      <c r="H569" t="n">
        <v>0</v>
      </c>
      <c r="I569" t="n">
        <v>0</v>
      </c>
      <c r="J569" t="n">
        <v>0</v>
      </c>
      <c r="K569" t="n">
        <v>0</v>
      </c>
      <c r="L569" t="n">
        <v>0</v>
      </c>
      <c r="M569" t="n">
        <v>0</v>
      </c>
      <c r="N569" t="n">
        <v>0</v>
      </c>
      <c r="O569" t="n">
        <v>0</v>
      </c>
      <c r="P569" t="n">
        <v>0</v>
      </c>
      <c r="Q569" t="n">
        <v>0</v>
      </c>
      <c r="R569" s="2" t="inlineStr"/>
    </row>
    <row r="570" ht="15" customHeight="1">
      <c r="A570" t="inlineStr">
        <is>
          <t>A 35386-2021</t>
        </is>
      </c>
      <c r="B570" s="1" t="n">
        <v>44385</v>
      </c>
      <c r="C570" s="1" t="n">
        <v>45742</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35988-2021</t>
        </is>
      </c>
      <c r="B571" s="1" t="n">
        <v>44385</v>
      </c>
      <c r="C571" s="1" t="n">
        <v>45742</v>
      </c>
      <c r="D571" t="inlineStr">
        <is>
          <t>JÄMTLANDS LÄN</t>
        </is>
      </c>
      <c r="E571" t="inlineStr">
        <is>
          <t>RAGUNDA</t>
        </is>
      </c>
      <c r="G571" t="n">
        <v>4.1</v>
      </c>
      <c r="H571" t="n">
        <v>0</v>
      </c>
      <c r="I571" t="n">
        <v>0</v>
      </c>
      <c r="J571" t="n">
        <v>0</v>
      </c>
      <c r="K571" t="n">
        <v>0</v>
      </c>
      <c r="L571" t="n">
        <v>0</v>
      </c>
      <c r="M571" t="n">
        <v>0</v>
      </c>
      <c r="N571" t="n">
        <v>0</v>
      </c>
      <c r="O571" t="n">
        <v>0</v>
      </c>
      <c r="P571" t="n">
        <v>0</v>
      </c>
      <c r="Q571" t="n">
        <v>0</v>
      </c>
      <c r="R571" s="2" t="inlineStr"/>
    </row>
    <row r="572" ht="15" customHeight="1">
      <c r="A572" t="inlineStr">
        <is>
          <t>A 36227-2021</t>
        </is>
      </c>
      <c r="B572" s="1" t="n">
        <v>44390</v>
      </c>
      <c r="C572" s="1" t="n">
        <v>45742</v>
      </c>
      <c r="D572" t="inlineStr">
        <is>
          <t>JÄMTLANDS LÄN</t>
        </is>
      </c>
      <c r="E572" t="inlineStr">
        <is>
          <t>RAGUNDA</t>
        </is>
      </c>
      <c r="G572" t="n">
        <v>0.7</v>
      </c>
      <c r="H572" t="n">
        <v>0</v>
      </c>
      <c r="I572" t="n">
        <v>0</v>
      </c>
      <c r="J572" t="n">
        <v>0</v>
      </c>
      <c r="K572" t="n">
        <v>0</v>
      </c>
      <c r="L572" t="n">
        <v>0</v>
      </c>
      <c r="M572" t="n">
        <v>0</v>
      </c>
      <c r="N572" t="n">
        <v>0</v>
      </c>
      <c r="O572" t="n">
        <v>0</v>
      </c>
      <c r="P572" t="n">
        <v>0</v>
      </c>
      <c r="Q572" t="n">
        <v>0</v>
      </c>
      <c r="R572" s="2" t="inlineStr"/>
    </row>
    <row r="573" ht="15" customHeight="1">
      <c r="A573" t="inlineStr">
        <is>
          <t>A 36228-2021</t>
        </is>
      </c>
      <c r="B573" s="1" t="n">
        <v>44390</v>
      </c>
      <c r="C573" s="1" t="n">
        <v>45742</v>
      </c>
      <c r="D573" t="inlineStr">
        <is>
          <t>JÄMTLANDS LÄN</t>
        </is>
      </c>
      <c r="E573" t="inlineStr">
        <is>
          <t>RAGUNDA</t>
        </is>
      </c>
      <c r="G573" t="n">
        <v>1.7</v>
      </c>
      <c r="H573" t="n">
        <v>0</v>
      </c>
      <c r="I573" t="n">
        <v>0</v>
      </c>
      <c r="J573" t="n">
        <v>0</v>
      </c>
      <c r="K573" t="n">
        <v>0</v>
      </c>
      <c r="L573" t="n">
        <v>0</v>
      </c>
      <c r="M573" t="n">
        <v>0</v>
      </c>
      <c r="N573" t="n">
        <v>0</v>
      </c>
      <c r="O573" t="n">
        <v>0</v>
      </c>
      <c r="P573" t="n">
        <v>0</v>
      </c>
      <c r="Q573" t="n">
        <v>0</v>
      </c>
      <c r="R573" s="2" t="inlineStr"/>
    </row>
    <row r="574" ht="15" customHeight="1">
      <c r="A574" t="inlineStr">
        <is>
          <t>A 36230-2021</t>
        </is>
      </c>
      <c r="B574" s="1" t="n">
        <v>44390</v>
      </c>
      <c r="C574" s="1" t="n">
        <v>45742</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37227-2021</t>
        </is>
      </c>
      <c r="B575" s="1" t="n">
        <v>44396</v>
      </c>
      <c r="C575" s="1" t="n">
        <v>45742</v>
      </c>
      <c r="D575" t="inlineStr">
        <is>
          <t>JÄMTLANDS LÄN</t>
        </is>
      </c>
      <c r="E575" t="inlineStr">
        <is>
          <t>RAGUNDA</t>
        </is>
      </c>
      <c r="G575" t="n">
        <v>10.1</v>
      </c>
      <c r="H575" t="n">
        <v>0</v>
      </c>
      <c r="I575" t="n">
        <v>0</v>
      </c>
      <c r="J575" t="n">
        <v>0</v>
      </c>
      <c r="K575" t="n">
        <v>0</v>
      </c>
      <c r="L575" t="n">
        <v>0</v>
      </c>
      <c r="M575" t="n">
        <v>0</v>
      </c>
      <c r="N575" t="n">
        <v>0</v>
      </c>
      <c r="O575" t="n">
        <v>0</v>
      </c>
      <c r="P575" t="n">
        <v>0</v>
      </c>
      <c r="Q575" t="n">
        <v>0</v>
      </c>
      <c r="R575" s="2" t="inlineStr"/>
    </row>
    <row r="576" ht="15" customHeight="1">
      <c r="A576" t="inlineStr">
        <is>
          <t>A 37806-2021</t>
        </is>
      </c>
      <c r="B576" s="1" t="n">
        <v>44402</v>
      </c>
      <c r="C576" s="1" t="n">
        <v>45742</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38212-2021</t>
        </is>
      </c>
      <c r="B577" s="1" t="n">
        <v>44405</v>
      </c>
      <c r="C577" s="1" t="n">
        <v>45742</v>
      </c>
      <c r="D577" t="inlineStr">
        <is>
          <t>JÄMTLANDS LÄN</t>
        </is>
      </c>
      <c r="E577" t="inlineStr">
        <is>
          <t>RAGUNDA</t>
        </is>
      </c>
      <c r="G577" t="n">
        <v>5.5</v>
      </c>
      <c r="H577" t="n">
        <v>0</v>
      </c>
      <c r="I577" t="n">
        <v>0</v>
      </c>
      <c r="J577" t="n">
        <v>0</v>
      </c>
      <c r="K577" t="n">
        <v>0</v>
      </c>
      <c r="L577" t="n">
        <v>0</v>
      </c>
      <c r="M577" t="n">
        <v>0</v>
      </c>
      <c r="N577" t="n">
        <v>0</v>
      </c>
      <c r="O577" t="n">
        <v>0</v>
      </c>
      <c r="P577" t="n">
        <v>0</v>
      </c>
      <c r="Q577" t="n">
        <v>0</v>
      </c>
      <c r="R577" s="2" t="inlineStr"/>
    </row>
    <row r="578" ht="15" customHeight="1">
      <c r="A578" t="inlineStr">
        <is>
          <t>A 38270-2021</t>
        </is>
      </c>
      <c r="B578" s="1" t="n">
        <v>44406</v>
      </c>
      <c r="C578" s="1" t="n">
        <v>45742</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38269-2021</t>
        </is>
      </c>
      <c r="B579" s="1" t="n">
        <v>44406</v>
      </c>
      <c r="C579" s="1" t="n">
        <v>45742</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38782-2021</t>
        </is>
      </c>
      <c r="B580" s="1" t="n">
        <v>44410</v>
      </c>
      <c r="C580" s="1" t="n">
        <v>45742</v>
      </c>
      <c r="D580" t="inlineStr">
        <is>
          <t>JÄMTLANDS LÄN</t>
        </is>
      </c>
      <c r="E580" t="inlineStr">
        <is>
          <t>RAGUNDA</t>
        </is>
      </c>
      <c r="G580" t="n">
        <v>3.2</v>
      </c>
      <c r="H580" t="n">
        <v>0</v>
      </c>
      <c r="I580" t="n">
        <v>0</v>
      </c>
      <c r="J580" t="n">
        <v>0</v>
      </c>
      <c r="K580" t="n">
        <v>0</v>
      </c>
      <c r="L580" t="n">
        <v>0</v>
      </c>
      <c r="M580" t="n">
        <v>0</v>
      </c>
      <c r="N580" t="n">
        <v>0</v>
      </c>
      <c r="O580" t="n">
        <v>0</v>
      </c>
      <c r="P580" t="n">
        <v>0</v>
      </c>
      <c r="Q580" t="n">
        <v>0</v>
      </c>
      <c r="R580" s="2" t="inlineStr"/>
    </row>
    <row r="581" ht="15" customHeight="1">
      <c r="A581" t="inlineStr">
        <is>
          <t>A 39258-2021</t>
        </is>
      </c>
      <c r="B581" s="1" t="n">
        <v>44413</v>
      </c>
      <c r="C581" s="1" t="n">
        <v>45742</v>
      </c>
      <c r="D581" t="inlineStr">
        <is>
          <t>JÄMTLANDS LÄN</t>
        </is>
      </c>
      <c r="E581" t="inlineStr">
        <is>
          <t>RAGUNDA</t>
        </is>
      </c>
      <c r="G581" t="n">
        <v>4.2</v>
      </c>
      <c r="H581" t="n">
        <v>0</v>
      </c>
      <c r="I581" t="n">
        <v>0</v>
      </c>
      <c r="J581" t="n">
        <v>0</v>
      </c>
      <c r="K581" t="n">
        <v>0</v>
      </c>
      <c r="L581" t="n">
        <v>0</v>
      </c>
      <c r="M581" t="n">
        <v>0</v>
      </c>
      <c r="N581" t="n">
        <v>0</v>
      </c>
      <c r="O581" t="n">
        <v>0</v>
      </c>
      <c r="P581" t="n">
        <v>0</v>
      </c>
      <c r="Q581" t="n">
        <v>0</v>
      </c>
      <c r="R581" s="2" t="inlineStr"/>
    </row>
    <row r="582" ht="15" customHeight="1">
      <c r="A582" t="inlineStr">
        <is>
          <t>A 40213-2021</t>
        </is>
      </c>
      <c r="B582" s="1" t="n">
        <v>44419</v>
      </c>
      <c r="C582" s="1" t="n">
        <v>45742</v>
      </c>
      <c r="D582" t="inlineStr">
        <is>
          <t>JÄMTLANDS LÄN</t>
        </is>
      </c>
      <c r="E582" t="inlineStr">
        <is>
          <t>RAGUNDA</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40770-2021</t>
        </is>
      </c>
      <c r="B583" s="1" t="n">
        <v>44421</v>
      </c>
      <c r="C583" s="1" t="n">
        <v>45742</v>
      </c>
      <c r="D583" t="inlineStr">
        <is>
          <t>JÄMTLANDS LÄN</t>
        </is>
      </c>
      <c r="E583" t="inlineStr">
        <is>
          <t>RAGUNDA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41062-2021</t>
        </is>
      </c>
      <c r="B584" s="1" t="n">
        <v>44422</v>
      </c>
      <c r="C584" s="1" t="n">
        <v>45742</v>
      </c>
      <c r="D584" t="inlineStr">
        <is>
          <t>JÄMTLANDS LÄN</t>
        </is>
      </c>
      <c r="E584" t="inlineStr">
        <is>
          <t>RAGUNDA</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41262-2021</t>
        </is>
      </c>
      <c r="B585" s="1" t="n">
        <v>44424</v>
      </c>
      <c r="C585" s="1" t="n">
        <v>45742</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41613-2021</t>
        </is>
      </c>
      <c r="B586" s="1" t="n">
        <v>44425</v>
      </c>
      <c r="C586" s="1" t="n">
        <v>45742</v>
      </c>
      <c r="D586" t="inlineStr">
        <is>
          <t>JÄMTLANDS LÄN</t>
        </is>
      </c>
      <c r="E586" t="inlineStr">
        <is>
          <t>RAGUNDA</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41609-2021</t>
        </is>
      </c>
      <c r="B587" s="1" t="n">
        <v>44425</v>
      </c>
      <c r="C587" s="1" t="n">
        <v>45742</v>
      </c>
      <c r="D587" t="inlineStr">
        <is>
          <t>JÄMTLANDS LÄN</t>
        </is>
      </c>
      <c r="E587" t="inlineStr">
        <is>
          <t>RAGUNDA</t>
        </is>
      </c>
      <c r="F587" t="inlineStr">
        <is>
          <t>Kommuner</t>
        </is>
      </c>
      <c r="G587" t="n">
        <v>2.8</v>
      </c>
      <c r="H587" t="n">
        <v>0</v>
      </c>
      <c r="I587" t="n">
        <v>0</v>
      </c>
      <c r="J587" t="n">
        <v>0</v>
      </c>
      <c r="K587" t="n">
        <v>0</v>
      </c>
      <c r="L587" t="n">
        <v>0</v>
      </c>
      <c r="M587" t="n">
        <v>0</v>
      </c>
      <c r="N587" t="n">
        <v>0</v>
      </c>
      <c r="O587" t="n">
        <v>0</v>
      </c>
      <c r="P587" t="n">
        <v>0</v>
      </c>
      <c r="Q587" t="n">
        <v>0</v>
      </c>
      <c r="R587" s="2" t="inlineStr"/>
    </row>
    <row r="588" ht="15" customHeight="1">
      <c r="A588" t="inlineStr">
        <is>
          <t>A 41606-2021</t>
        </is>
      </c>
      <c r="B588" s="1" t="n">
        <v>44425</v>
      </c>
      <c r="C588" s="1" t="n">
        <v>45742</v>
      </c>
      <c r="D588" t="inlineStr">
        <is>
          <t>JÄMTLANDS LÄN</t>
        </is>
      </c>
      <c r="E588" t="inlineStr">
        <is>
          <t>RAGUNDA</t>
        </is>
      </c>
      <c r="F588" t="inlineStr">
        <is>
          <t>Kommuner</t>
        </is>
      </c>
      <c r="G588" t="n">
        <v>3.5</v>
      </c>
      <c r="H588" t="n">
        <v>0</v>
      </c>
      <c r="I588" t="n">
        <v>0</v>
      </c>
      <c r="J588" t="n">
        <v>0</v>
      </c>
      <c r="K588" t="n">
        <v>0</v>
      </c>
      <c r="L588" t="n">
        <v>0</v>
      </c>
      <c r="M588" t="n">
        <v>0</v>
      </c>
      <c r="N588" t="n">
        <v>0</v>
      </c>
      <c r="O588" t="n">
        <v>0</v>
      </c>
      <c r="P588" t="n">
        <v>0</v>
      </c>
      <c r="Q588" t="n">
        <v>0</v>
      </c>
      <c r="R588" s="2" t="inlineStr"/>
    </row>
    <row r="589" ht="15" customHeight="1">
      <c r="A589" t="inlineStr">
        <is>
          <t>A 42260-2021</t>
        </is>
      </c>
      <c r="B589" s="1" t="n">
        <v>44427</v>
      </c>
      <c r="C589" s="1" t="n">
        <v>45742</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42537-2021</t>
        </is>
      </c>
      <c r="B590" s="1" t="n">
        <v>44428</v>
      </c>
      <c r="C590" s="1" t="n">
        <v>45742</v>
      </c>
      <c r="D590" t="inlineStr">
        <is>
          <t>JÄMTLANDS LÄN</t>
        </is>
      </c>
      <c r="E590" t="inlineStr">
        <is>
          <t>RAGUNDA</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43040-2021</t>
        </is>
      </c>
      <c r="B591" s="1" t="n">
        <v>44431</v>
      </c>
      <c r="C591" s="1" t="n">
        <v>45742</v>
      </c>
      <c r="D591" t="inlineStr">
        <is>
          <t>JÄMTLANDS LÄN</t>
        </is>
      </c>
      <c r="E591" t="inlineStr">
        <is>
          <t>RAGUNDA</t>
        </is>
      </c>
      <c r="G591" t="n">
        <v>4.9</v>
      </c>
      <c r="H591" t="n">
        <v>0</v>
      </c>
      <c r="I591" t="n">
        <v>0</v>
      </c>
      <c r="J591" t="n">
        <v>0</v>
      </c>
      <c r="K591" t="n">
        <v>0</v>
      </c>
      <c r="L591" t="n">
        <v>0</v>
      </c>
      <c r="M591" t="n">
        <v>0</v>
      </c>
      <c r="N591" t="n">
        <v>0</v>
      </c>
      <c r="O591" t="n">
        <v>0</v>
      </c>
      <c r="P591" t="n">
        <v>0</v>
      </c>
      <c r="Q591" t="n">
        <v>0</v>
      </c>
      <c r="R591" s="2" t="inlineStr"/>
    </row>
    <row r="592" ht="15" customHeight="1">
      <c r="A592" t="inlineStr">
        <is>
          <t>A 44163-2021</t>
        </is>
      </c>
      <c r="B592" s="1" t="n">
        <v>44434</v>
      </c>
      <c r="C592" s="1" t="n">
        <v>45742</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44241-2021</t>
        </is>
      </c>
      <c r="B593" s="1" t="n">
        <v>44435</v>
      </c>
      <c r="C593" s="1" t="n">
        <v>45742</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44247-2021</t>
        </is>
      </c>
      <c r="B594" s="1" t="n">
        <v>44435</v>
      </c>
      <c r="C594" s="1" t="n">
        <v>45742</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46228-2021</t>
        </is>
      </c>
      <c r="B595" s="1" t="n">
        <v>44441</v>
      </c>
      <c r="C595" s="1" t="n">
        <v>45742</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46368-2021</t>
        </is>
      </c>
      <c r="B596" s="1" t="n">
        <v>44443</v>
      </c>
      <c r="C596" s="1" t="n">
        <v>45742</v>
      </c>
      <c r="D596" t="inlineStr">
        <is>
          <t>JÄMTLANDS LÄN</t>
        </is>
      </c>
      <c r="E596" t="inlineStr">
        <is>
          <t>RAGUNDA</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46401-2021</t>
        </is>
      </c>
      <c r="B597" s="1" t="n">
        <v>44443</v>
      </c>
      <c r="C597" s="1" t="n">
        <v>45742</v>
      </c>
      <c r="D597" t="inlineStr">
        <is>
          <t>JÄMTLANDS LÄN</t>
        </is>
      </c>
      <c r="E597" t="inlineStr">
        <is>
          <t>RAGUNDA</t>
        </is>
      </c>
      <c r="G597" t="n">
        <v>7</v>
      </c>
      <c r="H597" t="n">
        <v>0</v>
      </c>
      <c r="I597" t="n">
        <v>0</v>
      </c>
      <c r="J597" t="n">
        <v>0</v>
      </c>
      <c r="K597" t="n">
        <v>0</v>
      </c>
      <c r="L597" t="n">
        <v>0</v>
      </c>
      <c r="M597" t="n">
        <v>0</v>
      </c>
      <c r="N597" t="n">
        <v>0</v>
      </c>
      <c r="O597" t="n">
        <v>0</v>
      </c>
      <c r="P597" t="n">
        <v>0</v>
      </c>
      <c r="Q597" t="n">
        <v>0</v>
      </c>
      <c r="R597" s="2" t="inlineStr"/>
    </row>
    <row r="598" ht="15" customHeight="1">
      <c r="A598" t="inlineStr">
        <is>
          <t>A 47548-2021</t>
        </is>
      </c>
      <c r="B598" s="1" t="n">
        <v>44448</v>
      </c>
      <c r="C598" s="1" t="n">
        <v>45742</v>
      </c>
      <c r="D598" t="inlineStr">
        <is>
          <t>JÄMTLANDS LÄN</t>
        </is>
      </c>
      <c r="E598" t="inlineStr">
        <is>
          <t>RAGUNDA</t>
        </is>
      </c>
      <c r="G598" t="n">
        <v>0.4</v>
      </c>
      <c r="H598" t="n">
        <v>0</v>
      </c>
      <c r="I598" t="n">
        <v>0</v>
      </c>
      <c r="J598" t="n">
        <v>0</v>
      </c>
      <c r="K598" t="n">
        <v>0</v>
      </c>
      <c r="L598" t="n">
        <v>0</v>
      </c>
      <c r="M598" t="n">
        <v>0</v>
      </c>
      <c r="N598" t="n">
        <v>0</v>
      </c>
      <c r="O598" t="n">
        <v>0</v>
      </c>
      <c r="P598" t="n">
        <v>0</v>
      </c>
      <c r="Q598" t="n">
        <v>0</v>
      </c>
      <c r="R598" s="2" t="inlineStr"/>
    </row>
    <row r="599" ht="15" customHeight="1">
      <c r="A599" t="inlineStr">
        <is>
          <t>A 47546-2021</t>
        </is>
      </c>
      <c r="B599" s="1" t="n">
        <v>44448</v>
      </c>
      <c r="C599" s="1" t="n">
        <v>45742</v>
      </c>
      <c r="D599" t="inlineStr">
        <is>
          <t>JÄMTLANDS LÄN</t>
        </is>
      </c>
      <c r="E599" t="inlineStr">
        <is>
          <t>RAGUNDA</t>
        </is>
      </c>
      <c r="G599" t="n">
        <v>0.4</v>
      </c>
      <c r="H599" t="n">
        <v>0</v>
      </c>
      <c r="I599" t="n">
        <v>0</v>
      </c>
      <c r="J599" t="n">
        <v>0</v>
      </c>
      <c r="K599" t="n">
        <v>0</v>
      </c>
      <c r="L599" t="n">
        <v>0</v>
      </c>
      <c r="M599" t="n">
        <v>0</v>
      </c>
      <c r="N599" t="n">
        <v>0</v>
      </c>
      <c r="O599" t="n">
        <v>0</v>
      </c>
      <c r="P599" t="n">
        <v>0</v>
      </c>
      <c r="Q599" t="n">
        <v>0</v>
      </c>
      <c r="R599" s="2" t="inlineStr"/>
    </row>
    <row r="600" ht="15" customHeight="1">
      <c r="A600" t="inlineStr">
        <is>
          <t>A 47996-2021</t>
        </is>
      </c>
      <c r="B600" s="1" t="n">
        <v>44448</v>
      </c>
      <c r="C600" s="1" t="n">
        <v>45742</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48832-2021</t>
        </is>
      </c>
      <c r="B601" s="1" t="n">
        <v>44452</v>
      </c>
      <c r="C601" s="1" t="n">
        <v>45742</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49202-2021</t>
        </is>
      </c>
      <c r="B602" s="1" t="n">
        <v>44453</v>
      </c>
      <c r="C602" s="1" t="n">
        <v>45742</v>
      </c>
      <c r="D602" t="inlineStr">
        <is>
          <t>JÄMTLANDS LÄN</t>
        </is>
      </c>
      <c r="E602" t="inlineStr">
        <is>
          <t>RAGUNDA</t>
        </is>
      </c>
      <c r="G602" t="n">
        <v>23.4</v>
      </c>
      <c r="H602" t="n">
        <v>0</v>
      </c>
      <c r="I602" t="n">
        <v>0</v>
      </c>
      <c r="J602" t="n">
        <v>0</v>
      </c>
      <c r="K602" t="n">
        <v>0</v>
      </c>
      <c r="L602" t="n">
        <v>0</v>
      </c>
      <c r="M602" t="n">
        <v>0</v>
      </c>
      <c r="N602" t="n">
        <v>0</v>
      </c>
      <c r="O602" t="n">
        <v>0</v>
      </c>
      <c r="P602" t="n">
        <v>0</v>
      </c>
      <c r="Q602" t="n">
        <v>0</v>
      </c>
      <c r="R602" s="2" t="inlineStr"/>
    </row>
    <row r="603" ht="15" customHeight="1">
      <c r="A603" t="inlineStr">
        <is>
          <t>A 50168-2021</t>
        </is>
      </c>
      <c r="B603" s="1" t="n">
        <v>44457</v>
      </c>
      <c r="C603" s="1" t="n">
        <v>45742</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52334-2021</t>
        </is>
      </c>
      <c r="B604" s="1" t="n">
        <v>44464</v>
      </c>
      <c r="C604" s="1" t="n">
        <v>45742</v>
      </c>
      <c r="D604" t="inlineStr">
        <is>
          <t>JÄMTLANDS LÄN</t>
        </is>
      </c>
      <c r="E604" t="inlineStr">
        <is>
          <t>RAGUNDA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52333-2021</t>
        </is>
      </c>
      <c r="B605" s="1" t="n">
        <v>44464</v>
      </c>
      <c r="C605" s="1" t="n">
        <v>45742</v>
      </c>
      <c r="D605" t="inlineStr">
        <is>
          <t>JÄMTLANDS LÄN</t>
        </is>
      </c>
      <c r="E605" t="inlineStr">
        <is>
          <t>RAGUNDA</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55701-2021</t>
        </is>
      </c>
      <c r="B606" s="1" t="n">
        <v>44475</v>
      </c>
      <c r="C606" s="1" t="n">
        <v>45742</v>
      </c>
      <c r="D606" t="inlineStr">
        <is>
          <t>JÄMTLANDS LÄN</t>
        </is>
      </c>
      <c r="E606" t="inlineStr">
        <is>
          <t>RAGUNDA</t>
        </is>
      </c>
      <c r="G606" t="n">
        <v>5.6</v>
      </c>
      <c r="H606" t="n">
        <v>0</v>
      </c>
      <c r="I606" t="n">
        <v>0</v>
      </c>
      <c r="J606" t="n">
        <v>0</v>
      </c>
      <c r="K606" t="n">
        <v>0</v>
      </c>
      <c r="L606" t="n">
        <v>0</v>
      </c>
      <c r="M606" t="n">
        <v>0</v>
      </c>
      <c r="N606" t="n">
        <v>0</v>
      </c>
      <c r="O606" t="n">
        <v>0</v>
      </c>
      <c r="P606" t="n">
        <v>0</v>
      </c>
      <c r="Q606" t="n">
        <v>0</v>
      </c>
      <c r="R606" s="2" t="inlineStr"/>
    </row>
    <row r="607" ht="15" customHeight="1">
      <c r="A607" t="inlineStr">
        <is>
          <t>A 55932-2021</t>
        </is>
      </c>
      <c r="B607" s="1" t="n">
        <v>44476</v>
      </c>
      <c r="C607" s="1" t="n">
        <v>45742</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56055-2021</t>
        </is>
      </c>
      <c r="B608" s="1" t="n">
        <v>44477</v>
      </c>
      <c r="C608" s="1" t="n">
        <v>45742</v>
      </c>
      <c r="D608" t="inlineStr">
        <is>
          <t>JÄMTLANDS LÄN</t>
        </is>
      </c>
      <c r="E608" t="inlineStr">
        <is>
          <t>RAGUNDA</t>
        </is>
      </c>
      <c r="G608" t="n">
        <v>3.9</v>
      </c>
      <c r="H608" t="n">
        <v>0</v>
      </c>
      <c r="I608" t="n">
        <v>0</v>
      </c>
      <c r="J608" t="n">
        <v>0</v>
      </c>
      <c r="K608" t="n">
        <v>0</v>
      </c>
      <c r="L608" t="n">
        <v>0</v>
      </c>
      <c r="M608" t="n">
        <v>0</v>
      </c>
      <c r="N608" t="n">
        <v>0</v>
      </c>
      <c r="O608" t="n">
        <v>0</v>
      </c>
      <c r="P608" t="n">
        <v>0</v>
      </c>
      <c r="Q608" t="n">
        <v>0</v>
      </c>
      <c r="R608" s="2" t="inlineStr"/>
    </row>
    <row r="609" ht="15" customHeight="1">
      <c r="A609" t="inlineStr">
        <is>
          <t>A 56594-2021</t>
        </is>
      </c>
      <c r="B609" s="1" t="n">
        <v>44480</v>
      </c>
      <c r="C609" s="1" t="n">
        <v>45742</v>
      </c>
      <c r="D609" t="inlineStr">
        <is>
          <t>JÄMTLANDS LÄN</t>
        </is>
      </c>
      <c r="E609" t="inlineStr">
        <is>
          <t>RAGUNDA</t>
        </is>
      </c>
      <c r="G609" t="n">
        <v>5.4</v>
      </c>
      <c r="H609" t="n">
        <v>0</v>
      </c>
      <c r="I609" t="n">
        <v>0</v>
      </c>
      <c r="J609" t="n">
        <v>0</v>
      </c>
      <c r="K609" t="n">
        <v>0</v>
      </c>
      <c r="L609" t="n">
        <v>0</v>
      </c>
      <c r="M609" t="n">
        <v>0</v>
      </c>
      <c r="N609" t="n">
        <v>0</v>
      </c>
      <c r="O609" t="n">
        <v>0</v>
      </c>
      <c r="P609" t="n">
        <v>0</v>
      </c>
      <c r="Q609" t="n">
        <v>0</v>
      </c>
      <c r="R609" s="2" t="inlineStr"/>
    </row>
    <row r="610" ht="15" customHeight="1">
      <c r="A610" t="inlineStr">
        <is>
          <t>A 57194-2021</t>
        </is>
      </c>
      <c r="B610" s="1" t="n">
        <v>44483</v>
      </c>
      <c r="C610" s="1" t="n">
        <v>45742</v>
      </c>
      <c r="D610" t="inlineStr">
        <is>
          <t>JÄMTLANDS LÄN</t>
        </is>
      </c>
      <c r="E610" t="inlineStr">
        <is>
          <t>RAGUNDA</t>
        </is>
      </c>
      <c r="G610" t="n">
        <v>7.3</v>
      </c>
      <c r="H610" t="n">
        <v>0</v>
      </c>
      <c r="I610" t="n">
        <v>0</v>
      </c>
      <c r="J610" t="n">
        <v>0</v>
      </c>
      <c r="K610" t="n">
        <v>0</v>
      </c>
      <c r="L610" t="n">
        <v>0</v>
      </c>
      <c r="M610" t="n">
        <v>0</v>
      </c>
      <c r="N610" t="n">
        <v>0</v>
      </c>
      <c r="O610" t="n">
        <v>0</v>
      </c>
      <c r="P610" t="n">
        <v>0</v>
      </c>
      <c r="Q610" t="n">
        <v>0</v>
      </c>
      <c r="R610" s="2" t="inlineStr"/>
    </row>
    <row r="611" ht="15" customHeight="1">
      <c r="A611" t="inlineStr">
        <is>
          <t>A 58960-2021</t>
        </is>
      </c>
      <c r="B611" s="1" t="n">
        <v>44490</v>
      </c>
      <c r="C611" s="1" t="n">
        <v>45742</v>
      </c>
      <c r="D611" t="inlineStr">
        <is>
          <t>JÄMTLANDS LÄN</t>
        </is>
      </c>
      <c r="E611" t="inlineStr">
        <is>
          <t>RAGUNDA</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58984-2021</t>
        </is>
      </c>
      <c r="B612" s="1" t="n">
        <v>44490</v>
      </c>
      <c r="C612" s="1" t="n">
        <v>45742</v>
      </c>
      <c r="D612" t="inlineStr">
        <is>
          <t>JÄMTLANDS LÄN</t>
        </is>
      </c>
      <c r="E612" t="inlineStr">
        <is>
          <t>RAGUNDA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59321-2021</t>
        </is>
      </c>
      <c r="B613" s="1" t="n">
        <v>44491</v>
      </c>
      <c r="C613" s="1" t="n">
        <v>45742</v>
      </c>
      <c r="D613" t="inlineStr">
        <is>
          <t>JÄMTLANDS LÄN</t>
        </is>
      </c>
      <c r="E613" t="inlineStr">
        <is>
          <t>RAGUNDA</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59996-2021</t>
        </is>
      </c>
      <c r="B614" s="1" t="n">
        <v>44495</v>
      </c>
      <c r="C614" s="1" t="n">
        <v>45742</v>
      </c>
      <c r="D614" t="inlineStr">
        <is>
          <t>JÄMTLANDS LÄN</t>
        </is>
      </c>
      <c r="E614" t="inlineStr">
        <is>
          <t>RAGUNDA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60313-2021</t>
        </is>
      </c>
      <c r="B615" s="1" t="n">
        <v>44495</v>
      </c>
      <c r="C615" s="1" t="n">
        <v>45742</v>
      </c>
      <c r="D615" t="inlineStr">
        <is>
          <t>JÄMTLANDS LÄN</t>
        </is>
      </c>
      <c r="E615" t="inlineStr">
        <is>
          <t>RAGUNDA</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60312-2021</t>
        </is>
      </c>
      <c r="B616" s="1" t="n">
        <v>44496</v>
      </c>
      <c r="C616" s="1" t="n">
        <v>45742</v>
      </c>
      <c r="D616" t="inlineStr">
        <is>
          <t>JÄMTLANDS LÄN</t>
        </is>
      </c>
      <c r="E616" t="inlineStr">
        <is>
          <t>RAGUNDA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60957-2021</t>
        </is>
      </c>
      <c r="B617" s="1" t="n">
        <v>44496</v>
      </c>
      <c r="C617" s="1" t="n">
        <v>45742</v>
      </c>
      <c r="D617" t="inlineStr">
        <is>
          <t>JÄMTLANDS LÄN</t>
        </is>
      </c>
      <c r="E617" t="inlineStr">
        <is>
          <t>RAGUNDA</t>
        </is>
      </c>
      <c r="G617" t="n">
        <v>1.6</v>
      </c>
      <c r="H617" t="n">
        <v>0</v>
      </c>
      <c r="I617" t="n">
        <v>0</v>
      </c>
      <c r="J617" t="n">
        <v>0</v>
      </c>
      <c r="K617" t="n">
        <v>0</v>
      </c>
      <c r="L617" t="n">
        <v>0</v>
      </c>
      <c r="M617" t="n">
        <v>0</v>
      </c>
      <c r="N617" t="n">
        <v>0</v>
      </c>
      <c r="O617" t="n">
        <v>0</v>
      </c>
      <c r="P617" t="n">
        <v>0</v>
      </c>
      <c r="Q617" t="n">
        <v>0</v>
      </c>
      <c r="R617" s="2" t="inlineStr"/>
    </row>
    <row r="618" ht="15" customHeight="1">
      <c r="A618" t="inlineStr">
        <is>
          <t>A 61442-2021</t>
        </is>
      </c>
      <c r="B618" s="1" t="n">
        <v>44500</v>
      </c>
      <c r="C618" s="1" t="n">
        <v>45742</v>
      </c>
      <c r="D618" t="inlineStr">
        <is>
          <t>JÄMTLANDS LÄN</t>
        </is>
      </c>
      <c r="E618" t="inlineStr">
        <is>
          <t>RAGUNDA</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62956-2021</t>
        </is>
      </c>
      <c r="B619" s="1" t="n">
        <v>44504</v>
      </c>
      <c r="C619" s="1" t="n">
        <v>45742</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63169-2021</t>
        </is>
      </c>
      <c r="B620" s="1" t="n">
        <v>44505</v>
      </c>
      <c r="C620" s="1" t="n">
        <v>45742</v>
      </c>
      <c r="D620" t="inlineStr">
        <is>
          <t>JÄMTLANDS LÄN</t>
        </is>
      </c>
      <c r="E620" t="inlineStr">
        <is>
          <t>RAGUNDA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63168-2021</t>
        </is>
      </c>
      <c r="B621" s="1" t="n">
        <v>44505</v>
      </c>
      <c r="C621" s="1" t="n">
        <v>45742</v>
      </c>
      <c r="D621" t="inlineStr">
        <is>
          <t>JÄMTLANDS LÄN</t>
        </is>
      </c>
      <c r="E621" t="inlineStr">
        <is>
          <t>RAGUNDA</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64511-2021</t>
        </is>
      </c>
      <c r="B622" s="1" t="n">
        <v>44511</v>
      </c>
      <c r="C622" s="1" t="n">
        <v>45742</v>
      </c>
      <c r="D622" t="inlineStr">
        <is>
          <t>JÄMTLANDS LÄN</t>
        </is>
      </c>
      <c r="E622" t="inlineStr">
        <is>
          <t>RAGUNDA</t>
        </is>
      </c>
      <c r="G622" t="n">
        <v>19.4</v>
      </c>
      <c r="H622" t="n">
        <v>0</v>
      </c>
      <c r="I622" t="n">
        <v>0</v>
      </c>
      <c r="J622" t="n">
        <v>0</v>
      </c>
      <c r="K622" t="n">
        <v>0</v>
      </c>
      <c r="L622" t="n">
        <v>0</v>
      </c>
      <c r="M622" t="n">
        <v>0</v>
      </c>
      <c r="N622" t="n">
        <v>0</v>
      </c>
      <c r="O622" t="n">
        <v>0</v>
      </c>
      <c r="P622" t="n">
        <v>0</v>
      </c>
      <c r="Q622" t="n">
        <v>0</v>
      </c>
      <c r="R622" s="2" t="inlineStr"/>
    </row>
    <row r="623" ht="15" customHeight="1">
      <c r="A623" t="inlineStr">
        <is>
          <t>A 64629-2021</t>
        </is>
      </c>
      <c r="B623" s="1" t="n">
        <v>44511</v>
      </c>
      <c r="C623" s="1" t="n">
        <v>45742</v>
      </c>
      <c r="D623" t="inlineStr">
        <is>
          <t>JÄMTLANDS LÄN</t>
        </is>
      </c>
      <c r="E623" t="inlineStr">
        <is>
          <t>RAGUNDA</t>
        </is>
      </c>
      <c r="G623" t="n">
        <v>1.6</v>
      </c>
      <c r="H623" t="n">
        <v>0</v>
      </c>
      <c r="I623" t="n">
        <v>0</v>
      </c>
      <c r="J623" t="n">
        <v>0</v>
      </c>
      <c r="K623" t="n">
        <v>0</v>
      </c>
      <c r="L623" t="n">
        <v>0</v>
      </c>
      <c r="M623" t="n">
        <v>0</v>
      </c>
      <c r="N623" t="n">
        <v>0</v>
      </c>
      <c r="O623" t="n">
        <v>0</v>
      </c>
      <c r="P623" t="n">
        <v>0</v>
      </c>
      <c r="Q623" t="n">
        <v>0</v>
      </c>
      <c r="R623" s="2" t="inlineStr"/>
    </row>
    <row r="624" ht="15" customHeight="1">
      <c r="A624" t="inlineStr">
        <is>
          <t>A 64959-2021</t>
        </is>
      </c>
      <c r="B624" s="1" t="n">
        <v>44512</v>
      </c>
      <c r="C624" s="1" t="n">
        <v>45742</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65017-2021</t>
        </is>
      </c>
      <c r="B625" s="1" t="n">
        <v>44512</v>
      </c>
      <c r="C625" s="1" t="n">
        <v>45742</v>
      </c>
      <c r="D625" t="inlineStr">
        <is>
          <t>JÄMTLANDS LÄN</t>
        </is>
      </c>
      <c r="E625" t="inlineStr">
        <is>
          <t>RAGUNDA</t>
        </is>
      </c>
      <c r="G625" t="n">
        <v>2.3</v>
      </c>
      <c r="H625" t="n">
        <v>0</v>
      </c>
      <c r="I625" t="n">
        <v>0</v>
      </c>
      <c r="J625" t="n">
        <v>0</v>
      </c>
      <c r="K625" t="n">
        <v>0</v>
      </c>
      <c r="L625" t="n">
        <v>0</v>
      </c>
      <c r="M625" t="n">
        <v>0</v>
      </c>
      <c r="N625" t="n">
        <v>0</v>
      </c>
      <c r="O625" t="n">
        <v>0</v>
      </c>
      <c r="P625" t="n">
        <v>0</v>
      </c>
      <c r="Q625" t="n">
        <v>0</v>
      </c>
      <c r="R625" s="2" t="inlineStr"/>
    </row>
    <row r="626" ht="15" customHeight="1">
      <c r="A626" t="inlineStr">
        <is>
          <t>A 65424-2021</t>
        </is>
      </c>
      <c r="B626" s="1" t="n">
        <v>44515</v>
      </c>
      <c r="C626" s="1" t="n">
        <v>45742</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66147-2021</t>
        </is>
      </c>
      <c r="B627" s="1" t="n">
        <v>44517</v>
      </c>
      <c r="C627" s="1" t="n">
        <v>45742</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66059-2021</t>
        </is>
      </c>
      <c r="B628" s="1" t="n">
        <v>44517</v>
      </c>
      <c r="C628" s="1" t="n">
        <v>45742</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66472-2021</t>
        </is>
      </c>
      <c r="B629" s="1" t="n">
        <v>44518</v>
      </c>
      <c r="C629" s="1" t="n">
        <v>45742</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66471-2021</t>
        </is>
      </c>
      <c r="B630" s="1" t="n">
        <v>44518</v>
      </c>
      <c r="C630" s="1" t="n">
        <v>45742</v>
      </c>
      <c r="D630" t="inlineStr">
        <is>
          <t>JÄMTLANDS LÄN</t>
        </is>
      </c>
      <c r="E630" t="inlineStr">
        <is>
          <t>RAGUNDA</t>
        </is>
      </c>
      <c r="G630" t="n">
        <v>13.4</v>
      </c>
      <c r="H630" t="n">
        <v>0</v>
      </c>
      <c r="I630" t="n">
        <v>0</v>
      </c>
      <c r="J630" t="n">
        <v>0</v>
      </c>
      <c r="K630" t="n">
        <v>0</v>
      </c>
      <c r="L630" t="n">
        <v>0</v>
      </c>
      <c r="M630" t="n">
        <v>0</v>
      </c>
      <c r="N630" t="n">
        <v>0</v>
      </c>
      <c r="O630" t="n">
        <v>0</v>
      </c>
      <c r="P630" t="n">
        <v>0</v>
      </c>
      <c r="Q630" t="n">
        <v>0</v>
      </c>
      <c r="R630" s="2" t="inlineStr"/>
    </row>
    <row r="631" ht="15" customHeight="1">
      <c r="A631" t="inlineStr">
        <is>
          <t>A 66489-2021</t>
        </is>
      </c>
      <c r="B631" s="1" t="n">
        <v>44518</v>
      </c>
      <c r="C631" s="1" t="n">
        <v>45742</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66707-2021</t>
        </is>
      </c>
      <c r="B632" s="1" t="n">
        <v>44519</v>
      </c>
      <c r="C632" s="1" t="n">
        <v>45742</v>
      </c>
      <c r="D632" t="inlineStr">
        <is>
          <t>JÄMTLANDS LÄN</t>
        </is>
      </c>
      <c r="E632" t="inlineStr">
        <is>
          <t>RAGUNDA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66706-2021</t>
        </is>
      </c>
      <c r="B633" s="1" t="n">
        <v>44519</v>
      </c>
      <c r="C633" s="1" t="n">
        <v>45742</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66715-2021</t>
        </is>
      </c>
      <c r="B634" s="1" t="n">
        <v>44519</v>
      </c>
      <c r="C634" s="1" t="n">
        <v>45742</v>
      </c>
      <c r="D634" t="inlineStr">
        <is>
          <t>JÄMTLANDS LÄN</t>
        </is>
      </c>
      <c r="E634" t="inlineStr">
        <is>
          <t>RAGUNDA</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69164-2021</t>
        </is>
      </c>
      <c r="B635" s="1" t="n">
        <v>44530</v>
      </c>
      <c r="C635" s="1" t="n">
        <v>45742</v>
      </c>
      <c r="D635" t="inlineStr">
        <is>
          <t>JÄMTLANDS LÄN</t>
        </is>
      </c>
      <c r="E635" t="inlineStr">
        <is>
          <t>RAGUNDA</t>
        </is>
      </c>
      <c r="F635" t="inlineStr">
        <is>
          <t>SCA</t>
        </is>
      </c>
      <c r="G635" t="n">
        <v>5.8</v>
      </c>
      <c r="H635" t="n">
        <v>0</v>
      </c>
      <c r="I635" t="n">
        <v>0</v>
      </c>
      <c r="J635" t="n">
        <v>0</v>
      </c>
      <c r="K635" t="n">
        <v>0</v>
      </c>
      <c r="L635" t="n">
        <v>0</v>
      </c>
      <c r="M635" t="n">
        <v>0</v>
      </c>
      <c r="N635" t="n">
        <v>0</v>
      </c>
      <c r="O635" t="n">
        <v>0</v>
      </c>
      <c r="P635" t="n">
        <v>0</v>
      </c>
      <c r="Q635" t="n">
        <v>0</v>
      </c>
      <c r="R635" s="2" t="inlineStr"/>
    </row>
    <row r="636" ht="15" customHeight="1">
      <c r="A636" t="inlineStr">
        <is>
          <t>A 69316-2021</t>
        </is>
      </c>
      <c r="B636" s="1" t="n">
        <v>44530</v>
      </c>
      <c r="C636" s="1" t="n">
        <v>45742</v>
      </c>
      <c r="D636" t="inlineStr">
        <is>
          <t>JÄMTLANDS LÄN</t>
        </is>
      </c>
      <c r="E636" t="inlineStr">
        <is>
          <t>RAGUNDA</t>
        </is>
      </c>
      <c r="G636" t="n">
        <v>2.3</v>
      </c>
      <c r="H636" t="n">
        <v>0</v>
      </c>
      <c r="I636" t="n">
        <v>0</v>
      </c>
      <c r="J636" t="n">
        <v>0</v>
      </c>
      <c r="K636" t="n">
        <v>0</v>
      </c>
      <c r="L636" t="n">
        <v>0</v>
      </c>
      <c r="M636" t="n">
        <v>0</v>
      </c>
      <c r="N636" t="n">
        <v>0</v>
      </c>
      <c r="O636" t="n">
        <v>0</v>
      </c>
      <c r="P636" t="n">
        <v>0</v>
      </c>
      <c r="Q636" t="n">
        <v>0</v>
      </c>
      <c r="R636" s="2" t="inlineStr"/>
    </row>
    <row r="637" ht="15" customHeight="1">
      <c r="A637" t="inlineStr">
        <is>
          <t>A 69153-2021</t>
        </is>
      </c>
      <c r="B637" s="1" t="n">
        <v>44530</v>
      </c>
      <c r="C637" s="1" t="n">
        <v>45742</v>
      </c>
      <c r="D637" t="inlineStr">
        <is>
          <t>JÄMTLANDS LÄN</t>
        </is>
      </c>
      <c r="E637" t="inlineStr">
        <is>
          <t>RAGUNDA</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70609-2021</t>
        </is>
      </c>
      <c r="B638" s="1" t="n">
        <v>44537</v>
      </c>
      <c r="C638" s="1" t="n">
        <v>45742</v>
      </c>
      <c r="D638" t="inlineStr">
        <is>
          <t>JÄMTLANDS LÄN</t>
        </is>
      </c>
      <c r="E638" t="inlineStr">
        <is>
          <t>RAGUNDA</t>
        </is>
      </c>
      <c r="G638" t="n">
        <v>4.5</v>
      </c>
      <c r="H638" t="n">
        <v>0</v>
      </c>
      <c r="I638" t="n">
        <v>0</v>
      </c>
      <c r="J638" t="n">
        <v>0</v>
      </c>
      <c r="K638" t="n">
        <v>0</v>
      </c>
      <c r="L638" t="n">
        <v>0</v>
      </c>
      <c r="M638" t="n">
        <v>0</v>
      </c>
      <c r="N638" t="n">
        <v>0</v>
      </c>
      <c r="O638" t="n">
        <v>0</v>
      </c>
      <c r="P638" t="n">
        <v>0</v>
      </c>
      <c r="Q638" t="n">
        <v>0</v>
      </c>
      <c r="R638" s="2" t="inlineStr"/>
    </row>
    <row r="639" ht="15" customHeight="1">
      <c r="A639" t="inlineStr">
        <is>
          <t>A 71209-2021</t>
        </is>
      </c>
      <c r="B639" s="1" t="n">
        <v>44538</v>
      </c>
      <c r="C639" s="1" t="n">
        <v>45742</v>
      </c>
      <c r="D639" t="inlineStr">
        <is>
          <t>JÄMTLANDS LÄN</t>
        </is>
      </c>
      <c r="E639" t="inlineStr">
        <is>
          <t>RAGUNDA</t>
        </is>
      </c>
      <c r="G639" t="n">
        <v>8</v>
      </c>
      <c r="H639" t="n">
        <v>0</v>
      </c>
      <c r="I639" t="n">
        <v>0</v>
      </c>
      <c r="J639" t="n">
        <v>0</v>
      </c>
      <c r="K639" t="n">
        <v>0</v>
      </c>
      <c r="L639" t="n">
        <v>0</v>
      </c>
      <c r="M639" t="n">
        <v>0</v>
      </c>
      <c r="N639" t="n">
        <v>0</v>
      </c>
      <c r="O639" t="n">
        <v>0</v>
      </c>
      <c r="P639" t="n">
        <v>0</v>
      </c>
      <c r="Q639" t="n">
        <v>0</v>
      </c>
      <c r="R639" s="2" t="inlineStr"/>
    </row>
    <row r="640" ht="15" customHeight="1">
      <c r="A640" t="inlineStr">
        <is>
          <t>A 73278-2021</t>
        </is>
      </c>
      <c r="B640" s="1" t="n">
        <v>44550</v>
      </c>
      <c r="C640" s="1" t="n">
        <v>45742</v>
      </c>
      <c r="D640" t="inlineStr">
        <is>
          <t>JÄMTLANDS LÄN</t>
        </is>
      </c>
      <c r="E640" t="inlineStr">
        <is>
          <t>RAGUNDA</t>
        </is>
      </c>
      <c r="G640" t="n">
        <v>4.4</v>
      </c>
      <c r="H640" t="n">
        <v>0</v>
      </c>
      <c r="I640" t="n">
        <v>0</v>
      </c>
      <c r="J640" t="n">
        <v>0</v>
      </c>
      <c r="K640" t="n">
        <v>0</v>
      </c>
      <c r="L640" t="n">
        <v>0</v>
      </c>
      <c r="M640" t="n">
        <v>0</v>
      </c>
      <c r="N640" t="n">
        <v>0</v>
      </c>
      <c r="O640" t="n">
        <v>0</v>
      </c>
      <c r="P640" t="n">
        <v>0</v>
      </c>
      <c r="Q640" t="n">
        <v>0</v>
      </c>
      <c r="R640" s="2" t="inlineStr"/>
    </row>
    <row r="641" ht="15" customHeight="1">
      <c r="A641" t="inlineStr">
        <is>
          <t>A 891-2022</t>
        </is>
      </c>
      <c r="B641" s="1" t="n">
        <v>44571</v>
      </c>
      <c r="C641" s="1" t="n">
        <v>45742</v>
      </c>
      <c r="D641" t="inlineStr">
        <is>
          <t>JÄMTLANDS LÄN</t>
        </is>
      </c>
      <c r="E641" t="inlineStr">
        <is>
          <t>RAGUNDA</t>
        </is>
      </c>
      <c r="G641" t="n">
        <v>1.7</v>
      </c>
      <c r="H641" t="n">
        <v>0</v>
      </c>
      <c r="I641" t="n">
        <v>0</v>
      </c>
      <c r="J641" t="n">
        <v>0</v>
      </c>
      <c r="K641" t="n">
        <v>0</v>
      </c>
      <c r="L641" t="n">
        <v>0</v>
      </c>
      <c r="M641" t="n">
        <v>0</v>
      </c>
      <c r="N641" t="n">
        <v>0</v>
      </c>
      <c r="O641" t="n">
        <v>0</v>
      </c>
      <c r="P641" t="n">
        <v>0</v>
      </c>
      <c r="Q641" t="n">
        <v>0</v>
      </c>
      <c r="R641" s="2" t="inlineStr"/>
    </row>
    <row r="642" ht="15" customHeight="1">
      <c r="A642" t="inlineStr">
        <is>
          <t>A 1540-2022</t>
        </is>
      </c>
      <c r="B642" s="1" t="n">
        <v>44573</v>
      </c>
      <c r="C642" s="1" t="n">
        <v>45742</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1782-2022</t>
        </is>
      </c>
      <c r="B643" s="1" t="n">
        <v>44574</v>
      </c>
      <c r="C643" s="1" t="n">
        <v>45742</v>
      </c>
      <c r="D643" t="inlineStr">
        <is>
          <t>JÄMTLANDS LÄN</t>
        </is>
      </c>
      <c r="E643" t="inlineStr">
        <is>
          <t>RAGUNDA</t>
        </is>
      </c>
      <c r="G643" t="n">
        <v>3.7</v>
      </c>
      <c r="H643" t="n">
        <v>0</v>
      </c>
      <c r="I643" t="n">
        <v>0</v>
      </c>
      <c r="J643" t="n">
        <v>0</v>
      </c>
      <c r="K643" t="n">
        <v>0</v>
      </c>
      <c r="L643" t="n">
        <v>0</v>
      </c>
      <c r="M643" t="n">
        <v>0</v>
      </c>
      <c r="N643" t="n">
        <v>0</v>
      </c>
      <c r="O643" t="n">
        <v>0</v>
      </c>
      <c r="P643" t="n">
        <v>0</v>
      </c>
      <c r="Q643" t="n">
        <v>0</v>
      </c>
      <c r="R643" s="2" t="inlineStr"/>
    </row>
    <row r="644" ht="15" customHeight="1">
      <c r="A644" t="inlineStr">
        <is>
          <t>A 1858-2022</t>
        </is>
      </c>
      <c r="B644" s="1" t="n">
        <v>44574</v>
      </c>
      <c r="C644" s="1" t="n">
        <v>45742</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2336-2022</t>
        </is>
      </c>
      <c r="B645" s="1" t="n">
        <v>44578</v>
      </c>
      <c r="C645" s="1" t="n">
        <v>45742</v>
      </c>
      <c r="D645" t="inlineStr">
        <is>
          <t>JÄMTLANDS LÄN</t>
        </is>
      </c>
      <c r="E645" t="inlineStr">
        <is>
          <t>RAGUNDA</t>
        </is>
      </c>
      <c r="G645" t="n">
        <v>0.5</v>
      </c>
      <c r="H645" t="n">
        <v>0</v>
      </c>
      <c r="I645" t="n">
        <v>0</v>
      </c>
      <c r="J645" t="n">
        <v>0</v>
      </c>
      <c r="K645" t="n">
        <v>0</v>
      </c>
      <c r="L645" t="n">
        <v>0</v>
      </c>
      <c r="M645" t="n">
        <v>0</v>
      </c>
      <c r="N645" t="n">
        <v>0</v>
      </c>
      <c r="O645" t="n">
        <v>0</v>
      </c>
      <c r="P645" t="n">
        <v>0</v>
      </c>
      <c r="Q645" t="n">
        <v>0</v>
      </c>
      <c r="R645" s="2" t="inlineStr"/>
    </row>
    <row r="646" ht="15" customHeight="1">
      <c r="A646" t="inlineStr">
        <is>
          <t>A 2337-2022</t>
        </is>
      </c>
      <c r="B646" s="1" t="n">
        <v>44578</v>
      </c>
      <c r="C646" s="1" t="n">
        <v>45742</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2338-2022</t>
        </is>
      </c>
      <c r="B647" s="1" t="n">
        <v>44578</v>
      </c>
      <c r="C647" s="1" t="n">
        <v>45742</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2494-2022</t>
        </is>
      </c>
      <c r="B648" s="1" t="n">
        <v>44579</v>
      </c>
      <c r="C648" s="1" t="n">
        <v>45742</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3796-2022</t>
        </is>
      </c>
      <c r="B649" s="1" t="n">
        <v>44586</v>
      </c>
      <c r="C649" s="1" t="n">
        <v>45742</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4014-2022</t>
        </is>
      </c>
      <c r="B650" s="1" t="n">
        <v>44587</v>
      </c>
      <c r="C650" s="1" t="n">
        <v>45742</v>
      </c>
      <c r="D650" t="inlineStr">
        <is>
          <t>JÄMTLANDS LÄN</t>
        </is>
      </c>
      <c r="E650" t="inlineStr">
        <is>
          <t>RAGUNDA</t>
        </is>
      </c>
      <c r="G650" t="n">
        <v>3.6</v>
      </c>
      <c r="H650" t="n">
        <v>0</v>
      </c>
      <c r="I650" t="n">
        <v>0</v>
      </c>
      <c r="J650" t="n">
        <v>0</v>
      </c>
      <c r="K650" t="n">
        <v>0</v>
      </c>
      <c r="L650" t="n">
        <v>0</v>
      </c>
      <c r="M650" t="n">
        <v>0</v>
      </c>
      <c r="N650" t="n">
        <v>0</v>
      </c>
      <c r="O650" t="n">
        <v>0</v>
      </c>
      <c r="P650" t="n">
        <v>0</v>
      </c>
      <c r="Q650" t="n">
        <v>0</v>
      </c>
      <c r="R650" s="2" t="inlineStr"/>
    </row>
    <row r="651" ht="15" customHeight="1">
      <c r="A651" t="inlineStr">
        <is>
          <t>A 4015-2022</t>
        </is>
      </c>
      <c r="B651" s="1" t="n">
        <v>44587</v>
      </c>
      <c r="C651" s="1" t="n">
        <v>45742</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4878-2022</t>
        </is>
      </c>
      <c r="B652" s="1" t="n">
        <v>44593</v>
      </c>
      <c r="C652" s="1" t="n">
        <v>45742</v>
      </c>
      <c r="D652" t="inlineStr">
        <is>
          <t>JÄMTLANDS LÄN</t>
        </is>
      </c>
      <c r="E652" t="inlineStr">
        <is>
          <t>RAGUNDA</t>
        </is>
      </c>
      <c r="G652" t="n">
        <v>21.7</v>
      </c>
      <c r="H652" t="n">
        <v>0</v>
      </c>
      <c r="I652" t="n">
        <v>0</v>
      </c>
      <c r="J652" t="n">
        <v>0</v>
      </c>
      <c r="K652" t="n">
        <v>0</v>
      </c>
      <c r="L652" t="n">
        <v>0</v>
      </c>
      <c r="M652" t="n">
        <v>0</v>
      </c>
      <c r="N652" t="n">
        <v>0</v>
      </c>
      <c r="O652" t="n">
        <v>0</v>
      </c>
      <c r="P652" t="n">
        <v>0</v>
      </c>
      <c r="Q652" t="n">
        <v>0</v>
      </c>
      <c r="R652" s="2" t="inlineStr"/>
    </row>
    <row r="653" ht="15" customHeight="1">
      <c r="A653" t="inlineStr">
        <is>
          <t>A 5515-2022</t>
        </is>
      </c>
      <c r="B653" s="1" t="n">
        <v>44595</v>
      </c>
      <c r="C653" s="1" t="n">
        <v>45742</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5644-2022</t>
        </is>
      </c>
      <c r="B654" s="1" t="n">
        <v>44595</v>
      </c>
      <c r="C654" s="1" t="n">
        <v>45742</v>
      </c>
      <c r="D654" t="inlineStr">
        <is>
          <t>JÄMTLANDS LÄN</t>
        </is>
      </c>
      <c r="E654" t="inlineStr">
        <is>
          <t>RAGUNDA</t>
        </is>
      </c>
      <c r="G654" t="n">
        <v>0.7</v>
      </c>
      <c r="H654" t="n">
        <v>0</v>
      </c>
      <c r="I654" t="n">
        <v>0</v>
      </c>
      <c r="J654" t="n">
        <v>0</v>
      </c>
      <c r="K654" t="n">
        <v>0</v>
      </c>
      <c r="L654" t="n">
        <v>0</v>
      </c>
      <c r="M654" t="n">
        <v>0</v>
      </c>
      <c r="N654" t="n">
        <v>0</v>
      </c>
      <c r="O654" t="n">
        <v>0</v>
      </c>
      <c r="P654" t="n">
        <v>0</v>
      </c>
      <c r="Q654" t="n">
        <v>0</v>
      </c>
      <c r="R654" s="2" t="inlineStr"/>
    </row>
    <row r="655" ht="15" customHeight="1">
      <c r="A655" t="inlineStr">
        <is>
          <t>A 5652-2022</t>
        </is>
      </c>
      <c r="B655" s="1" t="n">
        <v>44595</v>
      </c>
      <c r="C655" s="1" t="n">
        <v>45742</v>
      </c>
      <c r="D655" t="inlineStr">
        <is>
          <t>JÄMTLANDS LÄN</t>
        </is>
      </c>
      <c r="E655" t="inlineStr">
        <is>
          <t>RAGUNDA</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6177-2022</t>
        </is>
      </c>
      <c r="B656" s="1" t="n">
        <v>44600</v>
      </c>
      <c r="C656" s="1" t="n">
        <v>45742</v>
      </c>
      <c r="D656" t="inlineStr">
        <is>
          <t>JÄMTLANDS LÄN</t>
        </is>
      </c>
      <c r="E656" t="inlineStr">
        <is>
          <t>RAGUNDA</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6492-2022</t>
        </is>
      </c>
      <c r="B657" s="1" t="n">
        <v>44601</v>
      </c>
      <c r="C657" s="1" t="n">
        <v>45742</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6490-2022</t>
        </is>
      </c>
      <c r="B658" s="1" t="n">
        <v>44601</v>
      </c>
      <c r="C658" s="1" t="n">
        <v>45742</v>
      </c>
      <c r="D658" t="inlineStr">
        <is>
          <t>JÄMTLANDS LÄN</t>
        </is>
      </c>
      <c r="E658" t="inlineStr">
        <is>
          <t>RAGUNDA</t>
        </is>
      </c>
      <c r="G658" t="n">
        <v>3.8</v>
      </c>
      <c r="H658" t="n">
        <v>0</v>
      </c>
      <c r="I658" t="n">
        <v>0</v>
      </c>
      <c r="J658" t="n">
        <v>0</v>
      </c>
      <c r="K658" t="n">
        <v>0</v>
      </c>
      <c r="L658" t="n">
        <v>0</v>
      </c>
      <c r="M658" t="n">
        <v>0</v>
      </c>
      <c r="N658" t="n">
        <v>0</v>
      </c>
      <c r="O658" t="n">
        <v>0</v>
      </c>
      <c r="P658" t="n">
        <v>0</v>
      </c>
      <c r="Q658" t="n">
        <v>0</v>
      </c>
      <c r="R658" s="2" t="inlineStr"/>
    </row>
    <row r="659" ht="15" customHeight="1">
      <c r="A659" t="inlineStr">
        <is>
          <t>A 7448-2022</t>
        </is>
      </c>
      <c r="B659" s="1" t="n">
        <v>44606</v>
      </c>
      <c r="C659" s="1" t="n">
        <v>45742</v>
      </c>
      <c r="D659" t="inlineStr">
        <is>
          <t>JÄMTLANDS LÄN</t>
        </is>
      </c>
      <c r="E659" t="inlineStr">
        <is>
          <t>RAGUNDA</t>
        </is>
      </c>
      <c r="G659" t="n">
        <v>2.6</v>
      </c>
      <c r="H659" t="n">
        <v>0</v>
      </c>
      <c r="I659" t="n">
        <v>0</v>
      </c>
      <c r="J659" t="n">
        <v>0</v>
      </c>
      <c r="K659" t="n">
        <v>0</v>
      </c>
      <c r="L659" t="n">
        <v>0</v>
      </c>
      <c r="M659" t="n">
        <v>0</v>
      </c>
      <c r="N659" t="n">
        <v>0</v>
      </c>
      <c r="O659" t="n">
        <v>0</v>
      </c>
      <c r="P659" t="n">
        <v>0</v>
      </c>
      <c r="Q659" t="n">
        <v>0</v>
      </c>
      <c r="R659" s="2" t="inlineStr"/>
    </row>
    <row r="660" ht="15" customHeight="1">
      <c r="A660" t="inlineStr">
        <is>
          <t>A 7668-2022</t>
        </is>
      </c>
      <c r="B660" s="1" t="n">
        <v>44607</v>
      </c>
      <c r="C660" s="1" t="n">
        <v>45742</v>
      </c>
      <c r="D660" t="inlineStr">
        <is>
          <t>JÄMTLANDS LÄN</t>
        </is>
      </c>
      <c r="E660" t="inlineStr">
        <is>
          <t>RAGUNDA</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7695-2022</t>
        </is>
      </c>
      <c r="B661" s="1" t="n">
        <v>44607</v>
      </c>
      <c r="C661" s="1" t="n">
        <v>45742</v>
      </c>
      <c r="D661" t="inlineStr">
        <is>
          <t>JÄMTLANDS LÄN</t>
        </is>
      </c>
      <c r="E661" t="inlineStr">
        <is>
          <t>RAGUNDA</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8231-2022</t>
        </is>
      </c>
      <c r="B662" s="1" t="n">
        <v>44609</v>
      </c>
      <c r="C662" s="1" t="n">
        <v>45742</v>
      </c>
      <c r="D662" t="inlineStr">
        <is>
          <t>JÄMTLANDS LÄN</t>
        </is>
      </c>
      <c r="E662" t="inlineStr">
        <is>
          <t>RAGUNDA</t>
        </is>
      </c>
      <c r="F662" t="inlineStr">
        <is>
          <t>SCA</t>
        </is>
      </c>
      <c r="G662" t="n">
        <v>24.1</v>
      </c>
      <c r="H662" t="n">
        <v>0</v>
      </c>
      <c r="I662" t="n">
        <v>0</v>
      </c>
      <c r="J662" t="n">
        <v>0</v>
      </c>
      <c r="K662" t="n">
        <v>0</v>
      </c>
      <c r="L662" t="n">
        <v>0</v>
      </c>
      <c r="M662" t="n">
        <v>0</v>
      </c>
      <c r="N662" t="n">
        <v>0</v>
      </c>
      <c r="O662" t="n">
        <v>0</v>
      </c>
      <c r="P662" t="n">
        <v>0</v>
      </c>
      <c r="Q662" t="n">
        <v>0</v>
      </c>
      <c r="R662" s="2" t="inlineStr"/>
    </row>
    <row r="663" ht="15" customHeight="1">
      <c r="A663" t="inlineStr">
        <is>
          <t>A 8237-2022</t>
        </is>
      </c>
      <c r="B663" s="1" t="n">
        <v>44609</v>
      </c>
      <c r="C663" s="1" t="n">
        <v>45742</v>
      </c>
      <c r="D663" t="inlineStr">
        <is>
          <t>JÄMTLANDS LÄN</t>
        </is>
      </c>
      <c r="E663" t="inlineStr">
        <is>
          <t>RAGUNDA</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8795-2022</t>
        </is>
      </c>
      <c r="B664" s="1" t="n">
        <v>44614</v>
      </c>
      <c r="C664" s="1" t="n">
        <v>45742</v>
      </c>
      <c r="D664" t="inlineStr">
        <is>
          <t>JÄMTLANDS LÄN</t>
        </is>
      </c>
      <c r="E664" t="inlineStr">
        <is>
          <t>RAGUNDA</t>
        </is>
      </c>
      <c r="G664" t="n">
        <v>3.9</v>
      </c>
      <c r="H664" t="n">
        <v>0</v>
      </c>
      <c r="I664" t="n">
        <v>0</v>
      </c>
      <c r="J664" t="n">
        <v>0</v>
      </c>
      <c r="K664" t="n">
        <v>0</v>
      </c>
      <c r="L664" t="n">
        <v>0</v>
      </c>
      <c r="M664" t="n">
        <v>0</v>
      </c>
      <c r="N664" t="n">
        <v>0</v>
      </c>
      <c r="O664" t="n">
        <v>0</v>
      </c>
      <c r="P664" t="n">
        <v>0</v>
      </c>
      <c r="Q664" t="n">
        <v>0</v>
      </c>
      <c r="R664" s="2" t="inlineStr"/>
    </row>
    <row r="665" ht="15" customHeight="1">
      <c r="A665" t="inlineStr">
        <is>
          <t>A 8808-2022</t>
        </is>
      </c>
      <c r="B665" s="1" t="n">
        <v>44614</v>
      </c>
      <c r="C665" s="1" t="n">
        <v>45742</v>
      </c>
      <c r="D665" t="inlineStr">
        <is>
          <t>JÄMTLANDS LÄN</t>
        </is>
      </c>
      <c r="E665" t="inlineStr">
        <is>
          <t>RAGUNDA</t>
        </is>
      </c>
      <c r="G665" t="n">
        <v>3.3</v>
      </c>
      <c r="H665" t="n">
        <v>0</v>
      </c>
      <c r="I665" t="n">
        <v>0</v>
      </c>
      <c r="J665" t="n">
        <v>0</v>
      </c>
      <c r="K665" t="n">
        <v>0</v>
      </c>
      <c r="L665" t="n">
        <v>0</v>
      </c>
      <c r="M665" t="n">
        <v>0</v>
      </c>
      <c r="N665" t="n">
        <v>0</v>
      </c>
      <c r="O665" t="n">
        <v>0</v>
      </c>
      <c r="P665" t="n">
        <v>0</v>
      </c>
      <c r="Q665" t="n">
        <v>0</v>
      </c>
      <c r="R665" s="2" t="inlineStr"/>
    </row>
    <row r="666" ht="15" customHeight="1">
      <c r="A666" t="inlineStr">
        <is>
          <t>A 8802-2022</t>
        </is>
      </c>
      <c r="B666" s="1" t="n">
        <v>44614</v>
      </c>
      <c r="C666" s="1" t="n">
        <v>45742</v>
      </c>
      <c r="D666" t="inlineStr">
        <is>
          <t>JÄMTLANDS LÄN</t>
        </is>
      </c>
      <c r="E666" t="inlineStr">
        <is>
          <t>RAGUNDA</t>
        </is>
      </c>
      <c r="G666" t="n">
        <v>2.8</v>
      </c>
      <c r="H666" t="n">
        <v>0</v>
      </c>
      <c r="I666" t="n">
        <v>0</v>
      </c>
      <c r="J666" t="n">
        <v>0</v>
      </c>
      <c r="K666" t="n">
        <v>0</v>
      </c>
      <c r="L666" t="n">
        <v>0</v>
      </c>
      <c r="M666" t="n">
        <v>0</v>
      </c>
      <c r="N666" t="n">
        <v>0</v>
      </c>
      <c r="O666" t="n">
        <v>0</v>
      </c>
      <c r="P666" t="n">
        <v>0</v>
      </c>
      <c r="Q666" t="n">
        <v>0</v>
      </c>
      <c r="R666" s="2" t="inlineStr"/>
    </row>
    <row r="667" ht="15" customHeight="1">
      <c r="A667" t="inlineStr">
        <is>
          <t>A 8811-2022</t>
        </is>
      </c>
      <c r="B667" s="1" t="n">
        <v>44614</v>
      </c>
      <c r="C667" s="1" t="n">
        <v>45742</v>
      </c>
      <c r="D667" t="inlineStr">
        <is>
          <t>JÄMTLANDS LÄN</t>
        </is>
      </c>
      <c r="E667" t="inlineStr">
        <is>
          <t>RAGUNDA</t>
        </is>
      </c>
      <c r="G667" t="n">
        <v>1.4</v>
      </c>
      <c r="H667" t="n">
        <v>0</v>
      </c>
      <c r="I667" t="n">
        <v>0</v>
      </c>
      <c r="J667" t="n">
        <v>0</v>
      </c>
      <c r="K667" t="n">
        <v>0</v>
      </c>
      <c r="L667" t="n">
        <v>0</v>
      </c>
      <c r="M667" t="n">
        <v>0</v>
      </c>
      <c r="N667" t="n">
        <v>0</v>
      </c>
      <c r="O667" t="n">
        <v>0</v>
      </c>
      <c r="P667" t="n">
        <v>0</v>
      </c>
      <c r="Q667" t="n">
        <v>0</v>
      </c>
      <c r="R667" s="2" t="inlineStr"/>
    </row>
    <row r="668" ht="15" customHeight="1">
      <c r="A668" t="inlineStr">
        <is>
          <t>A 8787-2022</t>
        </is>
      </c>
      <c r="B668" s="1" t="n">
        <v>44614</v>
      </c>
      <c r="C668" s="1" t="n">
        <v>45742</v>
      </c>
      <c r="D668" t="inlineStr">
        <is>
          <t>JÄMTLANDS LÄN</t>
        </is>
      </c>
      <c r="E668" t="inlineStr">
        <is>
          <t>RAGUNDA</t>
        </is>
      </c>
      <c r="G668" t="n">
        <v>6.4</v>
      </c>
      <c r="H668" t="n">
        <v>0</v>
      </c>
      <c r="I668" t="n">
        <v>0</v>
      </c>
      <c r="J668" t="n">
        <v>0</v>
      </c>
      <c r="K668" t="n">
        <v>0</v>
      </c>
      <c r="L668" t="n">
        <v>0</v>
      </c>
      <c r="M668" t="n">
        <v>0</v>
      </c>
      <c r="N668" t="n">
        <v>0</v>
      </c>
      <c r="O668" t="n">
        <v>0</v>
      </c>
      <c r="P668" t="n">
        <v>0</v>
      </c>
      <c r="Q668" t="n">
        <v>0</v>
      </c>
      <c r="R668" s="2" t="inlineStr"/>
    </row>
    <row r="669" ht="15" customHeight="1">
      <c r="A669" t="inlineStr">
        <is>
          <t>A 9187-2022</t>
        </is>
      </c>
      <c r="B669" s="1" t="n">
        <v>44615</v>
      </c>
      <c r="C669" s="1" t="n">
        <v>45742</v>
      </c>
      <c r="D669" t="inlineStr">
        <is>
          <t>JÄMTLANDS LÄN</t>
        </is>
      </c>
      <c r="E669" t="inlineStr">
        <is>
          <t>RAGUNDA</t>
        </is>
      </c>
      <c r="G669" t="n">
        <v>2</v>
      </c>
      <c r="H669" t="n">
        <v>0</v>
      </c>
      <c r="I669" t="n">
        <v>0</v>
      </c>
      <c r="J669" t="n">
        <v>0</v>
      </c>
      <c r="K669" t="n">
        <v>0</v>
      </c>
      <c r="L669" t="n">
        <v>0</v>
      </c>
      <c r="M669" t="n">
        <v>0</v>
      </c>
      <c r="N669" t="n">
        <v>0</v>
      </c>
      <c r="O669" t="n">
        <v>0</v>
      </c>
      <c r="P669" t="n">
        <v>0</v>
      </c>
      <c r="Q669" t="n">
        <v>0</v>
      </c>
      <c r="R669" s="2" t="inlineStr"/>
    </row>
    <row r="670" ht="15" customHeight="1">
      <c r="A670" t="inlineStr">
        <is>
          <t>A 9199-2022</t>
        </is>
      </c>
      <c r="B670" s="1" t="n">
        <v>44615</v>
      </c>
      <c r="C670" s="1" t="n">
        <v>45742</v>
      </c>
      <c r="D670" t="inlineStr">
        <is>
          <t>JÄMTLANDS LÄN</t>
        </is>
      </c>
      <c r="E670" t="inlineStr">
        <is>
          <t>RAGUNDA</t>
        </is>
      </c>
      <c r="G670" t="n">
        <v>0.8</v>
      </c>
      <c r="H670" t="n">
        <v>0</v>
      </c>
      <c r="I670" t="n">
        <v>0</v>
      </c>
      <c r="J670" t="n">
        <v>0</v>
      </c>
      <c r="K670" t="n">
        <v>0</v>
      </c>
      <c r="L670" t="n">
        <v>0</v>
      </c>
      <c r="M670" t="n">
        <v>0</v>
      </c>
      <c r="N670" t="n">
        <v>0</v>
      </c>
      <c r="O670" t="n">
        <v>0</v>
      </c>
      <c r="P670" t="n">
        <v>0</v>
      </c>
      <c r="Q670" t="n">
        <v>0</v>
      </c>
      <c r="R670" s="2" t="inlineStr"/>
    </row>
    <row r="671" ht="15" customHeight="1">
      <c r="A671" t="inlineStr">
        <is>
          <t>A 9185-2022</t>
        </is>
      </c>
      <c r="B671" s="1" t="n">
        <v>44615</v>
      </c>
      <c r="C671" s="1" t="n">
        <v>45742</v>
      </c>
      <c r="D671" t="inlineStr">
        <is>
          <t>JÄMTLANDS LÄN</t>
        </is>
      </c>
      <c r="E671" t="inlineStr">
        <is>
          <t>RAGUNDA</t>
        </is>
      </c>
      <c r="G671" t="n">
        <v>1.1</v>
      </c>
      <c r="H671" t="n">
        <v>0</v>
      </c>
      <c r="I671" t="n">
        <v>0</v>
      </c>
      <c r="J671" t="n">
        <v>0</v>
      </c>
      <c r="K671" t="n">
        <v>0</v>
      </c>
      <c r="L671" t="n">
        <v>0</v>
      </c>
      <c r="M671" t="n">
        <v>0</v>
      </c>
      <c r="N671" t="n">
        <v>0</v>
      </c>
      <c r="O671" t="n">
        <v>0</v>
      </c>
      <c r="P671" t="n">
        <v>0</v>
      </c>
      <c r="Q671" t="n">
        <v>0</v>
      </c>
      <c r="R671" s="2" t="inlineStr"/>
    </row>
    <row r="672" ht="15" customHeight="1">
      <c r="A672" t="inlineStr">
        <is>
          <t>A 10120-2022</t>
        </is>
      </c>
      <c r="B672" s="1" t="n">
        <v>44621</v>
      </c>
      <c r="C672" s="1" t="n">
        <v>45742</v>
      </c>
      <c r="D672" t="inlineStr">
        <is>
          <t>JÄMTLANDS LÄN</t>
        </is>
      </c>
      <c r="E672" t="inlineStr">
        <is>
          <t>RAGUNDA</t>
        </is>
      </c>
      <c r="G672" t="n">
        <v>0.4</v>
      </c>
      <c r="H672" t="n">
        <v>0</v>
      </c>
      <c r="I672" t="n">
        <v>0</v>
      </c>
      <c r="J672" t="n">
        <v>0</v>
      </c>
      <c r="K672" t="n">
        <v>0</v>
      </c>
      <c r="L672" t="n">
        <v>0</v>
      </c>
      <c r="M672" t="n">
        <v>0</v>
      </c>
      <c r="N672" t="n">
        <v>0</v>
      </c>
      <c r="O672" t="n">
        <v>0</v>
      </c>
      <c r="P672" t="n">
        <v>0</v>
      </c>
      <c r="Q672" t="n">
        <v>0</v>
      </c>
      <c r="R672" s="2" t="inlineStr"/>
    </row>
    <row r="673" ht="15" customHeight="1">
      <c r="A673" t="inlineStr">
        <is>
          <t>A 10905-2022</t>
        </is>
      </c>
      <c r="B673" s="1" t="n">
        <v>44627</v>
      </c>
      <c r="C673" s="1" t="n">
        <v>45742</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10972-2022</t>
        </is>
      </c>
      <c r="B674" s="1" t="n">
        <v>44628</v>
      </c>
      <c r="C674" s="1" t="n">
        <v>45742</v>
      </c>
      <c r="D674" t="inlineStr">
        <is>
          <t>JÄMTLANDS LÄN</t>
        </is>
      </c>
      <c r="E674" t="inlineStr">
        <is>
          <t>RAGUNDA</t>
        </is>
      </c>
      <c r="G674" t="n">
        <v>9.5</v>
      </c>
      <c r="H674" t="n">
        <v>0</v>
      </c>
      <c r="I674" t="n">
        <v>0</v>
      </c>
      <c r="J674" t="n">
        <v>0</v>
      </c>
      <c r="K674" t="n">
        <v>0</v>
      </c>
      <c r="L674" t="n">
        <v>0</v>
      </c>
      <c r="M674" t="n">
        <v>0</v>
      </c>
      <c r="N674" t="n">
        <v>0</v>
      </c>
      <c r="O674" t="n">
        <v>0</v>
      </c>
      <c r="P674" t="n">
        <v>0</v>
      </c>
      <c r="Q674" t="n">
        <v>0</v>
      </c>
      <c r="R674" s="2" t="inlineStr"/>
    </row>
    <row r="675" ht="15" customHeight="1">
      <c r="A675" t="inlineStr">
        <is>
          <t>A 11217-2022</t>
        </is>
      </c>
      <c r="B675" s="1" t="n">
        <v>44629</v>
      </c>
      <c r="C675" s="1" t="n">
        <v>45742</v>
      </c>
      <c r="D675" t="inlineStr">
        <is>
          <t>JÄMTLANDS LÄN</t>
        </is>
      </c>
      <c r="E675" t="inlineStr">
        <is>
          <t>RAGUNDA</t>
        </is>
      </c>
      <c r="G675" t="n">
        <v>10.2</v>
      </c>
      <c r="H675" t="n">
        <v>0</v>
      </c>
      <c r="I675" t="n">
        <v>0</v>
      </c>
      <c r="J675" t="n">
        <v>0</v>
      </c>
      <c r="K675" t="n">
        <v>0</v>
      </c>
      <c r="L675" t="n">
        <v>0</v>
      </c>
      <c r="M675" t="n">
        <v>0</v>
      </c>
      <c r="N675" t="n">
        <v>0</v>
      </c>
      <c r="O675" t="n">
        <v>0</v>
      </c>
      <c r="P675" t="n">
        <v>0</v>
      </c>
      <c r="Q675" t="n">
        <v>0</v>
      </c>
      <c r="R675" s="2" t="inlineStr"/>
    </row>
    <row r="676" ht="15" customHeight="1">
      <c r="A676" t="inlineStr">
        <is>
          <t>A 11288-2022</t>
        </is>
      </c>
      <c r="B676" s="1" t="n">
        <v>44629</v>
      </c>
      <c r="C676" s="1" t="n">
        <v>45742</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11487-2022</t>
        </is>
      </c>
      <c r="B677" s="1" t="n">
        <v>44630</v>
      </c>
      <c r="C677" s="1" t="n">
        <v>45742</v>
      </c>
      <c r="D677" t="inlineStr">
        <is>
          <t>JÄMTLANDS LÄN</t>
        </is>
      </c>
      <c r="E677" t="inlineStr">
        <is>
          <t>RAGUNDA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12024-2022</t>
        </is>
      </c>
      <c r="B678" s="1" t="n">
        <v>44635</v>
      </c>
      <c r="C678" s="1" t="n">
        <v>45742</v>
      </c>
      <c r="D678" t="inlineStr">
        <is>
          <t>JÄMTLANDS LÄN</t>
        </is>
      </c>
      <c r="E678" t="inlineStr">
        <is>
          <t>RAGUNDA</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12559-2022</t>
        </is>
      </c>
      <c r="B679" s="1" t="n">
        <v>44638</v>
      </c>
      <c r="C679" s="1" t="n">
        <v>45742</v>
      </c>
      <c r="D679" t="inlineStr">
        <is>
          <t>JÄMTLANDS LÄN</t>
        </is>
      </c>
      <c r="E679" t="inlineStr">
        <is>
          <t>RAGUNDA</t>
        </is>
      </c>
      <c r="F679" t="inlineStr">
        <is>
          <t>SCA</t>
        </is>
      </c>
      <c r="G679" t="n">
        <v>6</v>
      </c>
      <c r="H679" t="n">
        <v>0</v>
      </c>
      <c r="I679" t="n">
        <v>0</v>
      </c>
      <c r="J679" t="n">
        <v>0</v>
      </c>
      <c r="K679" t="n">
        <v>0</v>
      </c>
      <c r="L679" t="n">
        <v>0</v>
      </c>
      <c r="M679" t="n">
        <v>0</v>
      </c>
      <c r="N679" t="n">
        <v>0</v>
      </c>
      <c r="O679" t="n">
        <v>0</v>
      </c>
      <c r="P679" t="n">
        <v>0</v>
      </c>
      <c r="Q679" t="n">
        <v>0</v>
      </c>
      <c r="R679" s="2" t="inlineStr"/>
    </row>
    <row r="680" ht="15" customHeight="1">
      <c r="A680" t="inlineStr">
        <is>
          <t>A 12773-2022</t>
        </is>
      </c>
      <c r="B680" s="1" t="n">
        <v>44641</v>
      </c>
      <c r="C680" s="1" t="n">
        <v>45742</v>
      </c>
      <c r="D680" t="inlineStr">
        <is>
          <t>JÄMTLANDS LÄN</t>
        </is>
      </c>
      <c r="E680" t="inlineStr">
        <is>
          <t>RAGUNDA</t>
        </is>
      </c>
      <c r="F680" t="inlineStr">
        <is>
          <t>SCA</t>
        </is>
      </c>
      <c r="G680" t="n">
        <v>14.7</v>
      </c>
      <c r="H680" t="n">
        <v>0</v>
      </c>
      <c r="I680" t="n">
        <v>0</v>
      </c>
      <c r="J680" t="n">
        <v>0</v>
      </c>
      <c r="K680" t="n">
        <v>0</v>
      </c>
      <c r="L680" t="n">
        <v>0</v>
      </c>
      <c r="M680" t="n">
        <v>0</v>
      </c>
      <c r="N680" t="n">
        <v>0</v>
      </c>
      <c r="O680" t="n">
        <v>0</v>
      </c>
      <c r="P680" t="n">
        <v>0</v>
      </c>
      <c r="Q680" t="n">
        <v>0</v>
      </c>
      <c r="R680" s="2" t="inlineStr"/>
    </row>
    <row r="681" ht="15" customHeight="1">
      <c r="A681" t="inlineStr">
        <is>
          <t>A 12768-2022</t>
        </is>
      </c>
      <c r="B681" s="1" t="n">
        <v>44641</v>
      </c>
      <c r="C681" s="1" t="n">
        <v>45742</v>
      </c>
      <c r="D681" t="inlineStr">
        <is>
          <t>JÄMTLANDS LÄN</t>
        </is>
      </c>
      <c r="E681" t="inlineStr">
        <is>
          <t>RAGUNDA</t>
        </is>
      </c>
      <c r="F681" t="inlineStr">
        <is>
          <t>SCA</t>
        </is>
      </c>
      <c r="G681" t="n">
        <v>8</v>
      </c>
      <c r="H681" t="n">
        <v>0</v>
      </c>
      <c r="I681" t="n">
        <v>0</v>
      </c>
      <c r="J681" t="n">
        <v>0</v>
      </c>
      <c r="K681" t="n">
        <v>0</v>
      </c>
      <c r="L681" t="n">
        <v>0</v>
      </c>
      <c r="M681" t="n">
        <v>0</v>
      </c>
      <c r="N681" t="n">
        <v>0</v>
      </c>
      <c r="O681" t="n">
        <v>0</v>
      </c>
      <c r="P681" t="n">
        <v>0</v>
      </c>
      <c r="Q681" t="n">
        <v>0</v>
      </c>
      <c r="R681" s="2" t="inlineStr"/>
    </row>
    <row r="682" ht="15" customHeight="1">
      <c r="A682" t="inlineStr">
        <is>
          <t>A 13302-2022</t>
        </is>
      </c>
      <c r="B682" s="1" t="n">
        <v>44644</v>
      </c>
      <c r="C682" s="1" t="n">
        <v>45742</v>
      </c>
      <c r="D682" t="inlineStr">
        <is>
          <t>JÄMTLANDS LÄN</t>
        </is>
      </c>
      <c r="E682" t="inlineStr">
        <is>
          <t>RAGUNDA</t>
        </is>
      </c>
      <c r="F682" t="inlineStr">
        <is>
          <t>SCA</t>
        </is>
      </c>
      <c r="G682" t="n">
        <v>35.6</v>
      </c>
      <c r="H682" t="n">
        <v>0</v>
      </c>
      <c r="I682" t="n">
        <v>0</v>
      </c>
      <c r="J682" t="n">
        <v>0</v>
      </c>
      <c r="K682" t="n">
        <v>0</v>
      </c>
      <c r="L682" t="n">
        <v>0</v>
      </c>
      <c r="M682" t="n">
        <v>0</v>
      </c>
      <c r="N682" t="n">
        <v>0</v>
      </c>
      <c r="O682" t="n">
        <v>0</v>
      </c>
      <c r="P682" t="n">
        <v>0</v>
      </c>
      <c r="Q682" t="n">
        <v>0</v>
      </c>
      <c r="R682" s="2" t="inlineStr"/>
    </row>
    <row r="683" ht="15" customHeight="1">
      <c r="A683" t="inlineStr">
        <is>
          <t>A 13303-2022</t>
        </is>
      </c>
      <c r="B683" s="1" t="n">
        <v>44644</v>
      </c>
      <c r="C683" s="1" t="n">
        <v>45742</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13769-2022</t>
        </is>
      </c>
      <c r="B684" s="1" t="n">
        <v>44649</v>
      </c>
      <c r="C684" s="1" t="n">
        <v>45742</v>
      </c>
      <c r="D684" t="inlineStr">
        <is>
          <t>JÄMTLANDS LÄN</t>
        </is>
      </c>
      <c r="E684" t="inlineStr">
        <is>
          <t>RAGUNDA</t>
        </is>
      </c>
      <c r="F684" t="inlineStr">
        <is>
          <t>Kommuner</t>
        </is>
      </c>
      <c r="G684" t="n">
        <v>2.5</v>
      </c>
      <c r="H684" t="n">
        <v>0</v>
      </c>
      <c r="I684" t="n">
        <v>0</v>
      </c>
      <c r="J684" t="n">
        <v>0</v>
      </c>
      <c r="K684" t="n">
        <v>0</v>
      </c>
      <c r="L684" t="n">
        <v>0</v>
      </c>
      <c r="M684" t="n">
        <v>0</v>
      </c>
      <c r="N684" t="n">
        <v>0</v>
      </c>
      <c r="O684" t="n">
        <v>0</v>
      </c>
      <c r="P684" t="n">
        <v>0</v>
      </c>
      <c r="Q684" t="n">
        <v>0</v>
      </c>
      <c r="R684" s="2" t="inlineStr"/>
    </row>
    <row r="685" ht="15" customHeight="1">
      <c r="A685" t="inlineStr">
        <is>
          <t>A 13767-2022</t>
        </is>
      </c>
      <c r="B685" s="1" t="n">
        <v>44649</v>
      </c>
      <c r="C685" s="1" t="n">
        <v>45742</v>
      </c>
      <c r="D685" t="inlineStr">
        <is>
          <t>JÄMTLANDS LÄN</t>
        </is>
      </c>
      <c r="E685" t="inlineStr">
        <is>
          <t>RAGUNDA</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13768-2022</t>
        </is>
      </c>
      <c r="B686" s="1" t="n">
        <v>44649</v>
      </c>
      <c r="C686" s="1" t="n">
        <v>45742</v>
      </c>
      <c r="D686" t="inlineStr">
        <is>
          <t>JÄMTLANDS LÄN</t>
        </is>
      </c>
      <c r="E686" t="inlineStr">
        <is>
          <t>RAGUNDA</t>
        </is>
      </c>
      <c r="F686" t="inlineStr">
        <is>
          <t>Kommuner</t>
        </is>
      </c>
      <c r="G686" t="n">
        <v>2.6</v>
      </c>
      <c r="H686" t="n">
        <v>0</v>
      </c>
      <c r="I686" t="n">
        <v>0</v>
      </c>
      <c r="J686" t="n">
        <v>0</v>
      </c>
      <c r="K686" t="n">
        <v>0</v>
      </c>
      <c r="L686" t="n">
        <v>0</v>
      </c>
      <c r="M686" t="n">
        <v>0</v>
      </c>
      <c r="N686" t="n">
        <v>0</v>
      </c>
      <c r="O686" t="n">
        <v>0</v>
      </c>
      <c r="P686" t="n">
        <v>0</v>
      </c>
      <c r="Q686" t="n">
        <v>0</v>
      </c>
      <c r="R686" s="2" t="inlineStr"/>
    </row>
    <row r="687" ht="15" customHeight="1">
      <c r="A687" t="inlineStr">
        <is>
          <t>A 13964-2022</t>
        </is>
      </c>
      <c r="B687" s="1" t="n">
        <v>44650</v>
      </c>
      <c r="C687" s="1" t="n">
        <v>45742</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13911-2022</t>
        </is>
      </c>
      <c r="B688" s="1" t="n">
        <v>44650</v>
      </c>
      <c r="C688" s="1" t="n">
        <v>45742</v>
      </c>
      <c r="D688" t="inlineStr">
        <is>
          <t>JÄMTLANDS LÄN</t>
        </is>
      </c>
      <c r="E688" t="inlineStr">
        <is>
          <t>RAGUNDA</t>
        </is>
      </c>
      <c r="G688" t="n">
        <v>0.6</v>
      </c>
      <c r="H688" t="n">
        <v>0</v>
      </c>
      <c r="I688" t="n">
        <v>0</v>
      </c>
      <c r="J688" t="n">
        <v>0</v>
      </c>
      <c r="K688" t="n">
        <v>0</v>
      </c>
      <c r="L688" t="n">
        <v>0</v>
      </c>
      <c r="M688" t="n">
        <v>0</v>
      </c>
      <c r="N688" t="n">
        <v>0</v>
      </c>
      <c r="O688" t="n">
        <v>0</v>
      </c>
      <c r="P688" t="n">
        <v>0</v>
      </c>
      <c r="Q688" t="n">
        <v>0</v>
      </c>
      <c r="R688" s="2" t="inlineStr"/>
    </row>
    <row r="689" ht="15" customHeight="1">
      <c r="A689" t="inlineStr">
        <is>
          <t>A 14435-2022</t>
        </is>
      </c>
      <c r="B689" s="1" t="n">
        <v>44652</v>
      </c>
      <c r="C689" s="1" t="n">
        <v>45742</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14696-2022</t>
        </is>
      </c>
      <c r="B690" s="1" t="n">
        <v>44655</v>
      </c>
      <c r="C690" s="1" t="n">
        <v>45742</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14697-2022</t>
        </is>
      </c>
      <c r="B691" s="1" t="n">
        <v>44655</v>
      </c>
      <c r="C691" s="1" t="n">
        <v>45742</v>
      </c>
      <c r="D691" t="inlineStr">
        <is>
          <t>JÄMTLANDS LÄN</t>
        </is>
      </c>
      <c r="E691" t="inlineStr">
        <is>
          <t>RAGUNDA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14898-2022</t>
        </is>
      </c>
      <c r="B692" s="1" t="n">
        <v>44656</v>
      </c>
      <c r="C692" s="1" t="n">
        <v>45742</v>
      </c>
      <c r="D692" t="inlineStr">
        <is>
          <t>JÄMTLANDS LÄN</t>
        </is>
      </c>
      <c r="E692" t="inlineStr">
        <is>
          <t>RAGUNDA</t>
        </is>
      </c>
      <c r="F692" t="inlineStr">
        <is>
          <t>SCA</t>
        </is>
      </c>
      <c r="G692" t="n">
        <v>7</v>
      </c>
      <c r="H692" t="n">
        <v>0</v>
      </c>
      <c r="I692" t="n">
        <v>0</v>
      </c>
      <c r="J692" t="n">
        <v>0</v>
      </c>
      <c r="K692" t="n">
        <v>0</v>
      </c>
      <c r="L692" t="n">
        <v>0</v>
      </c>
      <c r="M692" t="n">
        <v>0</v>
      </c>
      <c r="N692" t="n">
        <v>0</v>
      </c>
      <c r="O692" t="n">
        <v>0</v>
      </c>
      <c r="P692" t="n">
        <v>0</v>
      </c>
      <c r="Q692" t="n">
        <v>0</v>
      </c>
      <c r="R692" s="2" t="inlineStr"/>
    </row>
    <row r="693" ht="15" customHeight="1">
      <c r="A693" t="inlineStr">
        <is>
          <t>A 14907-2022</t>
        </is>
      </c>
      <c r="B693" s="1" t="n">
        <v>44657</v>
      </c>
      <c r="C693" s="1" t="n">
        <v>45742</v>
      </c>
      <c r="D693" t="inlineStr">
        <is>
          <t>JÄMTLANDS LÄN</t>
        </is>
      </c>
      <c r="E693" t="inlineStr">
        <is>
          <t>RAGUNDA</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14896-2022</t>
        </is>
      </c>
      <c r="B694" s="1" t="n">
        <v>44656</v>
      </c>
      <c r="C694" s="1" t="n">
        <v>45742</v>
      </c>
      <c r="D694" t="inlineStr">
        <is>
          <t>JÄMTLANDS LÄN</t>
        </is>
      </c>
      <c r="E694" t="inlineStr">
        <is>
          <t>RAGUNDA</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14906-2022</t>
        </is>
      </c>
      <c r="B695" s="1" t="n">
        <v>44657</v>
      </c>
      <c r="C695" s="1" t="n">
        <v>45742</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14905-2022</t>
        </is>
      </c>
      <c r="B696" s="1" t="n">
        <v>44657</v>
      </c>
      <c r="C696" s="1" t="n">
        <v>45742</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15024-2022</t>
        </is>
      </c>
      <c r="B697" s="1" t="n">
        <v>44657</v>
      </c>
      <c r="C697" s="1" t="n">
        <v>45742</v>
      </c>
      <c r="D697" t="inlineStr">
        <is>
          <t>JÄMTLANDS LÄN</t>
        </is>
      </c>
      <c r="E697" t="inlineStr">
        <is>
          <t>RAGUNDA</t>
        </is>
      </c>
      <c r="G697" t="n">
        <v>1.8</v>
      </c>
      <c r="H697" t="n">
        <v>0</v>
      </c>
      <c r="I697" t="n">
        <v>0</v>
      </c>
      <c r="J697" t="n">
        <v>0</v>
      </c>
      <c r="K697" t="n">
        <v>0</v>
      </c>
      <c r="L697" t="n">
        <v>0</v>
      </c>
      <c r="M697" t="n">
        <v>0</v>
      </c>
      <c r="N697" t="n">
        <v>0</v>
      </c>
      <c r="O697" t="n">
        <v>0</v>
      </c>
      <c r="P697" t="n">
        <v>0</v>
      </c>
      <c r="Q697" t="n">
        <v>0</v>
      </c>
      <c r="R697" s="2" t="inlineStr"/>
    </row>
    <row r="698" ht="15" customHeight="1">
      <c r="A698" t="inlineStr">
        <is>
          <t>A 15664-2022</t>
        </is>
      </c>
      <c r="B698" s="1" t="n">
        <v>44662</v>
      </c>
      <c r="C698" s="1" t="n">
        <v>45742</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15808-2022</t>
        </is>
      </c>
      <c r="B699" s="1" t="n">
        <v>44663</v>
      </c>
      <c r="C699" s="1" t="n">
        <v>45742</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15969-2022</t>
        </is>
      </c>
      <c r="B700" s="1" t="n">
        <v>44665</v>
      </c>
      <c r="C700" s="1" t="n">
        <v>45742</v>
      </c>
      <c r="D700" t="inlineStr">
        <is>
          <t>JÄMTLANDS LÄN</t>
        </is>
      </c>
      <c r="E700" t="inlineStr">
        <is>
          <t>RAGUNDA</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16246-2022</t>
        </is>
      </c>
      <c r="B701" s="1" t="n">
        <v>44670</v>
      </c>
      <c r="C701" s="1" t="n">
        <v>45742</v>
      </c>
      <c r="D701" t="inlineStr">
        <is>
          <t>JÄMTLANDS LÄN</t>
        </is>
      </c>
      <c r="E701" t="inlineStr">
        <is>
          <t>RAGUNDA</t>
        </is>
      </c>
      <c r="G701" t="n">
        <v>4.1</v>
      </c>
      <c r="H701" t="n">
        <v>0</v>
      </c>
      <c r="I701" t="n">
        <v>0</v>
      </c>
      <c r="J701" t="n">
        <v>0</v>
      </c>
      <c r="K701" t="n">
        <v>0</v>
      </c>
      <c r="L701" t="n">
        <v>0</v>
      </c>
      <c r="M701" t="n">
        <v>0</v>
      </c>
      <c r="N701" t="n">
        <v>0</v>
      </c>
      <c r="O701" t="n">
        <v>0</v>
      </c>
      <c r="P701" t="n">
        <v>0</v>
      </c>
      <c r="Q701" t="n">
        <v>0</v>
      </c>
      <c r="R701" s="2" t="inlineStr"/>
    </row>
    <row r="702" ht="15" customHeight="1">
      <c r="A702" t="inlineStr">
        <is>
          <t>A 16250-2022</t>
        </is>
      </c>
      <c r="B702" s="1" t="n">
        <v>44670</v>
      </c>
      <c r="C702" s="1" t="n">
        <v>45742</v>
      </c>
      <c r="D702" t="inlineStr">
        <is>
          <t>JÄMTLANDS LÄN</t>
        </is>
      </c>
      <c r="E702" t="inlineStr">
        <is>
          <t>RAGUNDA</t>
        </is>
      </c>
      <c r="G702" t="n">
        <v>1</v>
      </c>
      <c r="H702" t="n">
        <v>0</v>
      </c>
      <c r="I702" t="n">
        <v>0</v>
      </c>
      <c r="J702" t="n">
        <v>0</v>
      </c>
      <c r="K702" t="n">
        <v>0</v>
      </c>
      <c r="L702" t="n">
        <v>0</v>
      </c>
      <c r="M702" t="n">
        <v>0</v>
      </c>
      <c r="N702" t="n">
        <v>0</v>
      </c>
      <c r="O702" t="n">
        <v>0</v>
      </c>
      <c r="P702" t="n">
        <v>0</v>
      </c>
      <c r="Q702" t="n">
        <v>0</v>
      </c>
      <c r="R702" s="2" t="inlineStr"/>
    </row>
    <row r="703" ht="15" customHeight="1">
      <c r="A703" t="inlineStr">
        <is>
          <t>A 16361-2022</t>
        </is>
      </c>
      <c r="B703" s="1" t="n">
        <v>44670</v>
      </c>
      <c r="C703" s="1" t="n">
        <v>45742</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16460-2022</t>
        </is>
      </c>
      <c r="B704" s="1" t="n">
        <v>44671</v>
      </c>
      <c r="C704" s="1" t="n">
        <v>45742</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16529-2022</t>
        </is>
      </c>
      <c r="B705" s="1" t="n">
        <v>44671</v>
      </c>
      <c r="C705" s="1" t="n">
        <v>45742</v>
      </c>
      <c r="D705" t="inlineStr">
        <is>
          <t>JÄMTLANDS LÄN</t>
        </is>
      </c>
      <c r="E705" t="inlineStr">
        <is>
          <t>RAGUNDA</t>
        </is>
      </c>
      <c r="G705" t="n">
        <v>1.5</v>
      </c>
      <c r="H705" t="n">
        <v>0</v>
      </c>
      <c r="I705" t="n">
        <v>0</v>
      </c>
      <c r="J705" t="n">
        <v>0</v>
      </c>
      <c r="K705" t="n">
        <v>0</v>
      </c>
      <c r="L705" t="n">
        <v>0</v>
      </c>
      <c r="M705" t="n">
        <v>0</v>
      </c>
      <c r="N705" t="n">
        <v>0</v>
      </c>
      <c r="O705" t="n">
        <v>0</v>
      </c>
      <c r="P705" t="n">
        <v>0</v>
      </c>
      <c r="Q705" t="n">
        <v>0</v>
      </c>
      <c r="R705" s="2" t="inlineStr"/>
    </row>
    <row r="706" ht="15" customHeight="1">
      <c r="A706" t="inlineStr">
        <is>
          <t>A 16676-2022</t>
        </is>
      </c>
      <c r="B706" s="1" t="n">
        <v>44673</v>
      </c>
      <c r="C706" s="1" t="n">
        <v>45742</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17058-2022</t>
        </is>
      </c>
      <c r="B707" s="1" t="n">
        <v>44677</v>
      </c>
      <c r="C707" s="1" t="n">
        <v>45742</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17573-2022</t>
        </is>
      </c>
      <c r="B708" s="1" t="n">
        <v>44679</v>
      </c>
      <c r="C708" s="1" t="n">
        <v>45742</v>
      </c>
      <c r="D708" t="inlineStr">
        <is>
          <t>JÄMTLANDS LÄN</t>
        </is>
      </c>
      <c r="E708" t="inlineStr">
        <is>
          <t>RAGUNDA</t>
        </is>
      </c>
      <c r="G708" t="n">
        <v>6.9</v>
      </c>
      <c r="H708" t="n">
        <v>0</v>
      </c>
      <c r="I708" t="n">
        <v>0</v>
      </c>
      <c r="J708" t="n">
        <v>0</v>
      </c>
      <c r="K708" t="n">
        <v>0</v>
      </c>
      <c r="L708" t="n">
        <v>0</v>
      </c>
      <c r="M708" t="n">
        <v>0</v>
      </c>
      <c r="N708" t="n">
        <v>0</v>
      </c>
      <c r="O708" t="n">
        <v>0</v>
      </c>
      <c r="P708" t="n">
        <v>0</v>
      </c>
      <c r="Q708" t="n">
        <v>0</v>
      </c>
      <c r="R708" s="2" t="inlineStr"/>
    </row>
    <row r="709" ht="15" customHeight="1">
      <c r="A709" t="inlineStr">
        <is>
          <t>A 17730-2022</t>
        </is>
      </c>
      <c r="B709" s="1" t="n">
        <v>44680</v>
      </c>
      <c r="C709" s="1" t="n">
        <v>45742</v>
      </c>
      <c r="D709" t="inlineStr">
        <is>
          <t>JÄMTLANDS LÄN</t>
        </is>
      </c>
      <c r="E709" t="inlineStr">
        <is>
          <t>RAGUNDA</t>
        </is>
      </c>
      <c r="G709" t="n">
        <v>3.4</v>
      </c>
      <c r="H709" t="n">
        <v>0</v>
      </c>
      <c r="I709" t="n">
        <v>0</v>
      </c>
      <c r="J709" t="n">
        <v>0</v>
      </c>
      <c r="K709" t="n">
        <v>0</v>
      </c>
      <c r="L709" t="n">
        <v>0</v>
      </c>
      <c r="M709" t="n">
        <v>0</v>
      </c>
      <c r="N709" t="n">
        <v>0</v>
      </c>
      <c r="O709" t="n">
        <v>0</v>
      </c>
      <c r="P709" t="n">
        <v>0</v>
      </c>
      <c r="Q709" t="n">
        <v>0</v>
      </c>
      <c r="R709" s="2" t="inlineStr"/>
    </row>
    <row r="710" ht="15" customHeight="1">
      <c r="A710" t="inlineStr">
        <is>
          <t>A 17742-2022</t>
        </is>
      </c>
      <c r="B710" s="1" t="n">
        <v>44681</v>
      </c>
      <c r="C710" s="1" t="n">
        <v>45742</v>
      </c>
      <c r="D710" t="inlineStr">
        <is>
          <t>JÄMTLANDS LÄN</t>
        </is>
      </c>
      <c r="E710" t="inlineStr">
        <is>
          <t>RAGUNDA</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18008-2022</t>
        </is>
      </c>
      <c r="B711" s="1" t="n">
        <v>44684</v>
      </c>
      <c r="C711" s="1" t="n">
        <v>45742</v>
      </c>
      <c r="D711" t="inlineStr">
        <is>
          <t>JÄMTLANDS LÄN</t>
        </is>
      </c>
      <c r="E711" t="inlineStr">
        <is>
          <t>RAGUNDA</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18193-2022</t>
        </is>
      </c>
      <c r="B712" s="1" t="n">
        <v>44685</v>
      </c>
      <c r="C712" s="1" t="n">
        <v>45742</v>
      </c>
      <c r="D712" t="inlineStr">
        <is>
          <t>JÄMTLANDS LÄN</t>
        </is>
      </c>
      <c r="E712" t="inlineStr">
        <is>
          <t>RAGUNDA</t>
        </is>
      </c>
      <c r="F712" t="inlineStr">
        <is>
          <t>SCA</t>
        </is>
      </c>
      <c r="G712" t="n">
        <v>3.8</v>
      </c>
      <c r="H712" t="n">
        <v>0</v>
      </c>
      <c r="I712" t="n">
        <v>0</v>
      </c>
      <c r="J712" t="n">
        <v>0</v>
      </c>
      <c r="K712" t="n">
        <v>0</v>
      </c>
      <c r="L712" t="n">
        <v>0</v>
      </c>
      <c r="M712" t="n">
        <v>0</v>
      </c>
      <c r="N712" t="n">
        <v>0</v>
      </c>
      <c r="O712" t="n">
        <v>0</v>
      </c>
      <c r="P712" t="n">
        <v>0</v>
      </c>
      <c r="Q712" t="n">
        <v>0</v>
      </c>
      <c r="R712" s="2" t="inlineStr"/>
    </row>
    <row r="713" ht="15" customHeight="1">
      <c r="A713" t="inlineStr">
        <is>
          <t>A 18290-2022</t>
        </is>
      </c>
      <c r="B713" s="1" t="n">
        <v>44685</v>
      </c>
      <c r="C713" s="1" t="n">
        <v>45742</v>
      </c>
      <c r="D713" t="inlineStr">
        <is>
          <t>JÄMTLANDS LÄN</t>
        </is>
      </c>
      <c r="E713" t="inlineStr">
        <is>
          <t>RAGUNDA</t>
        </is>
      </c>
      <c r="G713" t="n">
        <v>7.7</v>
      </c>
      <c r="H713" t="n">
        <v>0</v>
      </c>
      <c r="I713" t="n">
        <v>0</v>
      </c>
      <c r="J713" t="n">
        <v>0</v>
      </c>
      <c r="K713" t="n">
        <v>0</v>
      </c>
      <c r="L713" t="n">
        <v>0</v>
      </c>
      <c r="M713" t="n">
        <v>0</v>
      </c>
      <c r="N713" t="n">
        <v>0</v>
      </c>
      <c r="O713" t="n">
        <v>0</v>
      </c>
      <c r="P713" t="n">
        <v>0</v>
      </c>
      <c r="Q713" t="n">
        <v>0</v>
      </c>
      <c r="R713" s="2" t="inlineStr"/>
    </row>
    <row r="714" ht="15" customHeight="1">
      <c r="A714" t="inlineStr">
        <is>
          <t>A 18341-2022</t>
        </is>
      </c>
      <c r="B714" s="1" t="n">
        <v>44685</v>
      </c>
      <c r="C714" s="1" t="n">
        <v>45742</v>
      </c>
      <c r="D714" t="inlineStr">
        <is>
          <t>JÄMTLANDS LÄN</t>
        </is>
      </c>
      <c r="E714" t="inlineStr">
        <is>
          <t>RAGUNDA</t>
        </is>
      </c>
      <c r="G714" t="n">
        <v>0.2</v>
      </c>
      <c r="H714" t="n">
        <v>0</v>
      </c>
      <c r="I714" t="n">
        <v>0</v>
      </c>
      <c r="J714" t="n">
        <v>0</v>
      </c>
      <c r="K714" t="n">
        <v>0</v>
      </c>
      <c r="L714" t="n">
        <v>0</v>
      </c>
      <c r="M714" t="n">
        <v>0</v>
      </c>
      <c r="N714" t="n">
        <v>0</v>
      </c>
      <c r="O714" t="n">
        <v>0</v>
      </c>
      <c r="P714" t="n">
        <v>0</v>
      </c>
      <c r="Q714" t="n">
        <v>0</v>
      </c>
      <c r="R714" s="2" t="inlineStr"/>
    </row>
    <row r="715" ht="15" customHeight="1">
      <c r="A715" t="inlineStr">
        <is>
          <t>A 18375-2022</t>
        </is>
      </c>
      <c r="B715" s="1" t="n">
        <v>44685</v>
      </c>
      <c r="C715" s="1" t="n">
        <v>45742</v>
      </c>
      <c r="D715" t="inlineStr">
        <is>
          <t>JÄMTLANDS LÄN</t>
        </is>
      </c>
      <c r="E715" t="inlineStr">
        <is>
          <t>RAGUNDA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18548-2022</t>
        </is>
      </c>
      <c r="B716" s="1" t="n">
        <v>44687</v>
      </c>
      <c r="C716" s="1" t="n">
        <v>45742</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18974-2022</t>
        </is>
      </c>
      <c r="B717" s="1" t="n">
        <v>44690</v>
      </c>
      <c r="C717" s="1" t="n">
        <v>45742</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18980-2022</t>
        </is>
      </c>
      <c r="B718" s="1" t="n">
        <v>44690</v>
      </c>
      <c r="C718" s="1" t="n">
        <v>45742</v>
      </c>
      <c r="D718" t="inlineStr">
        <is>
          <t>JÄMTLANDS LÄN</t>
        </is>
      </c>
      <c r="E718" t="inlineStr">
        <is>
          <t>RAGUNDA</t>
        </is>
      </c>
      <c r="G718" t="n">
        <v>3.9</v>
      </c>
      <c r="H718" t="n">
        <v>0</v>
      </c>
      <c r="I718" t="n">
        <v>0</v>
      </c>
      <c r="J718" t="n">
        <v>0</v>
      </c>
      <c r="K718" t="n">
        <v>0</v>
      </c>
      <c r="L718" t="n">
        <v>0</v>
      </c>
      <c r="M718" t="n">
        <v>0</v>
      </c>
      <c r="N718" t="n">
        <v>0</v>
      </c>
      <c r="O718" t="n">
        <v>0</v>
      </c>
      <c r="P718" t="n">
        <v>0</v>
      </c>
      <c r="Q718" t="n">
        <v>0</v>
      </c>
      <c r="R718" s="2" t="inlineStr"/>
    </row>
    <row r="719" ht="15" customHeight="1">
      <c r="A719" t="inlineStr">
        <is>
          <t>A 19005-2022</t>
        </is>
      </c>
      <c r="B719" s="1" t="n">
        <v>44690</v>
      </c>
      <c r="C719" s="1" t="n">
        <v>45742</v>
      </c>
      <c r="D719" t="inlineStr">
        <is>
          <t>JÄMTLANDS LÄN</t>
        </is>
      </c>
      <c r="E719" t="inlineStr">
        <is>
          <t>RAGUNDA</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19011-2022</t>
        </is>
      </c>
      <c r="B720" s="1" t="n">
        <v>44690</v>
      </c>
      <c r="C720" s="1" t="n">
        <v>45742</v>
      </c>
      <c r="D720" t="inlineStr">
        <is>
          <t>JÄMTLANDS LÄN</t>
        </is>
      </c>
      <c r="E720" t="inlineStr">
        <is>
          <t>RAGUNDA</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19010-2022</t>
        </is>
      </c>
      <c r="B721" s="1" t="n">
        <v>44690</v>
      </c>
      <c r="C721" s="1" t="n">
        <v>45742</v>
      </c>
      <c r="D721" t="inlineStr">
        <is>
          <t>JÄMTLANDS LÄN</t>
        </is>
      </c>
      <c r="E721" t="inlineStr">
        <is>
          <t>RAGUNDA</t>
        </is>
      </c>
      <c r="F721" t="inlineStr">
        <is>
          <t>SCA</t>
        </is>
      </c>
      <c r="G721" t="n">
        <v>19.6</v>
      </c>
      <c r="H721" t="n">
        <v>0</v>
      </c>
      <c r="I721" t="n">
        <v>0</v>
      </c>
      <c r="J721" t="n">
        <v>0</v>
      </c>
      <c r="K721" t="n">
        <v>0</v>
      </c>
      <c r="L721" t="n">
        <v>0</v>
      </c>
      <c r="M721" t="n">
        <v>0</v>
      </c>
      <c r="N721" t="n">
        <v>0</v>
      </c>
      <c r="O721" t="n">
        <v>0</v>
      </c>
      <c r="P721" t="n">
        <v>0</v>
      </c>
      <c r="Q721" t="n">
        <v>0</v>
      </c>
      <c r="R721" s="2" t="inlineStr"/>
    </row>
    <row r="722" ht="15" customHeight="1">
      <c r="A722" t="inlineStr">
        <is>
          <t>A 19006-2022</t>
        </is>
      </c>
      <c r="B722" s="1" t="n">
        <v>44690</v>
      </c>
      <c r="C722" s="1" t="n">
        <v>45742</v>
      </c>
      <c r="D722" t="inlineStr">
        <is>
          <t>JÄMTLANDS LÄN</t>
        </is>
      </c>
      <c r="E722" t="inlineStr">
        <is>
          <t>RAGUNDA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19596-2022</t>
        </is>
      </c>
      <c r="B723" s="1" t="n">
        <v>44694</v>
      </c>
      <c r="C723" s="1" t="n">
        <v>45742</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19801-2022</t>
        </is>
      </c>
      <c r="B724" s="1" t="n">
        <v>44695</v>
      </c>
      <c r="C724" s="1" t="n">
        <v>45742</v>
      </c>
      <c r="D724" t="inlineStr">
        <is>
          <t>JÄMTLANDS LÄN</t>
        </is>
      </c>
      <c r="E724" t="inlineStr">
        <is>
          <t>RAGUNDA</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19850-2022</t>
        </is>
      </c>
      <c r="B725" s="1" t="n">
        <v>44697</v>
      </c>
      <c r="C725" s="1" t="n">
        <v>45742</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20967-2022</t>
        </is>
      </c>
      <c r="B726" s="1" t="n">
        <v>44702</v>
      </c>
      <c r="C726" s="1" t="n">
        <v>45742</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20961-2022</t>
        </is>
      </c>
      <c r="B727" s="1" t="n">
        <v>44702</v>
      </c>
      <c r="C727" s="1" t="n">
        <v>45742</v>
      </c>
      <c r="D727" t="inlineStr">
        <is>
          <t>JÄMTLANDS LÄN</t>
        </is>
      </c>
      <c r="E727" t="inlineStr">
        <is>
          <t>RAGUNDA</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21194-2022</t>
        </is>
      </c>
      <c r="B728" s="1" t="n">
        <v>44705</v>
      </c>
      <c r="C728" s="1" t="n">
        <v>45742</v>
      </c>
      <c r="D728" t="inlineStr">
        <is>
          <t>JÄMTLANDS LÄN</t>
        </is>
      </c>
      <c r="E728" t="inlineStr">
        <is>
          <t>RAGUNDA</t>
        </is>
      </c>
      <c r="F728" t="inlineStr">
        <is>
          <t>SCA</t>
        </is>
      </c>
      <c r="G728" t="n">
        <v>10.6</v>
      </c>
      <c r="H728" t="n">
        <v>0</v>
      </c>
      <c r="I728" t="n">
        <v>0</v>
      </c>
      <c r="J728" t="n">
        <v>0</v>
      </c>
      <c r="K728" t="n">
        <v>0</v>
      </c>
      <c r="L728" t="n">
        <v>0</v>
      </c>
      <c r="M728" t="n">
        <v>0</v>
      </c>
      <c r="N728" t="n">
        <v>0</v>
      </c>
      <c r="O728" t="n">
        <v>0</v>
      </c>
      <c r="P728" t="n">
        <v>0</v>
      </c>
      <c r="Q728" t="n">
        <v>0</v>
      </c>
      <c r="R728" s="2" t="inlineStr"/>
    </row>
    <row r="729" ht="15" customHeight="1">
      <c r="A729" t="inlineStr">
        <is>
          <t>A 21196-2022</t>
        </is>
      </c>
      <c r="B729" s="1" t="n">
        <v>44705</v>
      </c>
      <c r="C729" s="1" t="n">
        <v>45742</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21195-2022</t>
        </is>
      </c>
      <c r="B730" s="1" t="n">
        <v>44705</v>
      </c>
      <c r="C730" s="1" t="n">
        <v>45742</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21193-2022</t>
        </is>
      </c>
      <c r="B731" s="1" t="n">
        <v>44705</v>
      </c>
      <c r="C731" s="1" t="n">
        <v>45742</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21984-2022</t>
        </is>
      </c>
      <c r="B732" s="1" t="n">
        <v>44704</v>
      </c>
      <c r="C732" s="1" t="n">
        <v>45742</v>
      </c>
      <c r="D732" t="inlineStr">
        <is>
          <t>JÄMTLANDS LÄN</t>
        </is>
      </c>
      <c r="E732" t="inlineStr">
        <is>
          <t>RAGUNDA</t>
        </is>
      </c>
      <c r="G732" t="n">
        <v>0.5</v>
      </c>
      <c r="H732" t="n">
        <v>0</v>
      </c>
      <c r="I732" t="n">
        <v>0</v>
      </c>
      <c r="J732" t="n">
        <v>0</v>
      </c>
      <c r="K732" t="n">
        <v>0</v>
      </c>
      <c r="L732" t="n">
        <v>0</v>
      </c>
      <c r="M732" t="n">
        <v>0</v>
      </c>
      <c r="N732" t="n">
        <v>0</v>
      </c>
      <c r="O732" t="n">
        <v>0</v>
      </c>
      <c r="P732" t="n">
        <v>0</v>
      </c>
      <c r="Q732" t="n">
        <v>0</v>
      </c>
      <c r="R732" s="2" t="inlineStr"/>
    </row>
    <row r="733" ht="15" customHeight="1">
      <c r="A733" t="inlineStr">
        <is>
          <t>A 21413-2022</t>
        </is>
      </c>
      <c r="B733" s="1" t="n">
        <v>44705</v>
      </c>
      <c r="C733" s="1" t="n">
        <v>45742</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21500-2022</t>
        </is>
      </c>
      <c r="B734" s="1" t="n">
        <v>44706</v>
      </c>
      <c r="C734" s="1" t="n">
        <v>45742</v>
      </c>
      <c r="D734" t="inlineStr">
        <is>
          <t>JÄMTLANDS LÄN</t>
        </is>
      </c>
      <c r="E734" t="inlineStr">
        <is>
          <t>RAGUNDA</t>
        </is>
      </c>
      <c r="G734" t="n">
        <v>1</v>
      </c>
      <c r="H734" t="n">
        <v>0</v>
      </c>
      <c r="I734" t="n">
        <v>0</v>
      </c>
      <c r="J734" t="n">
        <v>0</v>
      </c>
      <c r="K734" t="n">
        <v>0</v>
      </c>
      <c r="L734" t="n">
        <v>0</v>
      </c>
      <c r="M734" t="n">
        <v>0</v>
      </c>
      <c r="N734" t="n">
        <v>0</v>
      </c>
      <c r="O734" t="n">
        <v>0</v>
      </c>
      <c r="P734" t="n">
        <v>0</v>
      </c>
      <c r="Q734" t="n">
        <v>0</v>
      </c>
      <c r="R734" s="2" t="inlineStr"/>
    </row>
    <row r="735" ht="15" customHeight="1">
      <c r="A735" t="inlineStr">
        <is>
          <t>A 22329-2022</t>
        </is>
      </c>
      <c r="B735" s="1" t="n">
        <v>44713</v>
      </c>
      <c r="C735" s="1" t="n">
        <v>45742</v>
      </c>
      <c r="D735" t="inlineStr">
        <is>
          <t>JÄMTLANDS LÄN</t>
        </is>
      </c>
      <c r="E735" t="inlineStr">
        <is>
          <t>RAGUNDA</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22327-2022</t>
        </is>
      </c>
      <c r="B736" s="1" t="n">
        <v>44713</v>
      </c>
      <c r="C736" s="1" t="n">
        <v>45742</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22686-2022</t>
        </is>
      </c>
      <c r="B737" s="1" t="n">
        <v>44714</v>
      </c>
      <c r="C737" s="1" t="n">
        <v>45742</v>
      </c>
      <c r="D737" t="inlineStr">
        <is>
          <t>JÄMTLANDS LÄN</t>
        </is>
      </c>
      <c r="E737" t="inlineStr">
        <is>
          <t>RAGUNDA</t>
        </is>
      </c>
      <c r="G737" t="n">
        <v>2.8</v>
      </c>
      <c r="H737" t="n">
        <v>0</v>
      </c>
      <c r="I737" t="n">
        <v>0</v>
      </c>
      <c r="J737" t="n">
        <v>0</v>
      </c>
      <c r="K737" t="n">
        <v>0</v>
      </c>
      <c r="L737" t="n">
        <v>0</v>
      </c>
      <c r="M737" t="n">
        <v>0</v>
      </c>
      <c r="N737" t="n">
        <v>0</v>
      </c>
      <c r="O737" t="n">
        <v>0</v>
      </c>
      <c r="P737" t="n">
        <v>0</v>
      </c>
      <c r="Q737" t="n">
        <v>0</v>
      </c>
      <c r="R737" s="2" t="inlineStr"/>
    </row>
    <row r="738" ht="15" customHeight="1">
      <c r="A738" t="inlineStr">
        <is>
          <t>A 22772-2022</t>
        </is>
      </c>
      <c r="B738" s="1" t="n">
        <v>44715</v>
      </c>
      <c r="C738" s="1" t="n">
        <v>45742</v>
      </c>
      <c r="D738" t="inlineStr">
        <is>
          <t>JÄMTLANDS LÄN</t>
        </is>
      </c>
      <c r="E738" t="inlineStr">
        <is>
          <t>RAGUNDA</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22695-2022</t>
        </is>
      </c>
      <c r="B739" s="1" t="n">
        <v>44714</v>
      </c>
      <c r="C739" s="1" t="n">
        <v>45742</v>
      </c>
      <c r="D739" t="inlineStr">
        <is>
          <t>JÄMTLANDS LÄN</t>
        </is>
      </c>
      <c r="E739" t="inlineStr">
        <is>
          <t>RAGUNDA</t>
        </is>
      </c>
      <c r="G739" t="n">
        <v>1.8</v>
      </c>
      <c r="H739" t="n">
        <v>0</v>
      </c>
      <c r="I739" t="n">
        <v>0</v>
      </c>
      <c r="J739" t="n">
        <v>0</v>
      </c>
      <c r="K739" t="n">
        <v>0</v>
      </c>
      <c r="L739" t="n">
        <v>0</v>
      </c>
      <c r="M739" t="n">
        <v>0</v>
      </c>
      <c r="N739" t="n">
        <v>0</v>
      </c>
      <c r="O739" t="n">
        <v>0</v>
      </c>
      <c r="P739" t="n">
        <v>0</v>
      </c>
      <c r="Q739" t="n">
        <v>0</v>
      </c>
      <c r="R739" s="2" t="inlineStr"/>
    </row>
    <row r="740" ht="15" customHeight="1">
      <c r="A740" t="inlineStr">
        <is>
          <t>A 22770-2022</t>
        </is>
      </c>
      <c r="B740" s="1" t="n">
        <v>44714</v>
      </c>
      <c r="C740" s="1" t="n">
        <v>45742</v>
      </c>
      <c r="D740" t="inlineStr">
        <is>
          <t>JÄMTLANDS LÄN</t>
        </is>
      </c>
      <c r="E740" t="inlineStr">
        <is>
          <t>RAGUNDA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23668-2022</t>
        </is>
      </c>
      <c r="B741" s="1" t="n">
        <v>44722</v>
      </c>
      <c r="C741" s="1" t="n">
        <v>45742</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24359-2022</t>
        </is>
      </c>
      <c r="B742" s="1" t="n">
        <v>44725</v>
      </c>
      <c r="C742" s="1" t="n">
        <v>45742</v>
      </c>
      <c r="D742" t="inlineStr">
        <is>
          <t>JÄMTLANDS LÄN</t>
        </is>
      </c>
      <c r="E742" t="inlineStr">
        <is>
          <t>RAGUNDA</t>
        </is>
      </c>
      <c r="G742" t="n">
        <v>11.4</v>
      </c>
      <c r="H742" t="n">
        <v>0</v>
      </c>
      <c r="I742" t="n">
        <v>0</v>
      </c>
      <c r="J742" t="n">
        <v>0</v>
      </c>
      <c r="K742" t="n">
        <v>0</v>
      </c>
      <c r="L742" t="n">
        <v>0</v>
      </c>
      <c r="M742" t="n">
        <v>0</v>
      </c>
      <c r="N742" t="n">
        <v>0</v>
      </c>
      <c r="O742" t="n">
        <v>0</v>
      </c>
      <c r="P742" t="n">
        <v>0</v>
      </c>
      <c r="Q742" t="n">
        <v>0</v>
      </c>
      <c r="R742" s="2" t="inlineStr"/>
    </row>
    <row r="743" ht="15" customHeight="1">
      <c r="A743" t="inlineStr">
        <is>
          <t>A 24720-2022</t>
        </is>
      </c>
      <c r="B743" s="1" t="n">
        <v>44728</v>
      </c>
      <c r="C743" s="1" t="n">
        <v>45742</v>
      </c>
      <c r="D743" t="inlineStr">
        <is>
          <t>JÄMTLANDS LÄN</t>
        </is>
      </c>
      <c r="E743" t="inlineStr">
        <is>
          <t>RAGUNDA</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24741-2022</t>
        </is>
      </c>
      <c r="B744" s="1" t="n">
        <v>44727</v>
      </c>
      <c r="C744" s="1" t="n">
        <v>45742</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25028-2022</t>
        </is>
      </c>
      <c r="B745" s="1" t="n">
        <v>44729</v>
      </c>
      <c r="C745" s="1" t="n">
        <v>45742</v>
      </c>
      <c r="D745" t="inlineStr">
        <is>
          <t>JÄMTLANDS LÄN</t>
        </is>
      </c>
      <c r="E745" t="inlineStr">
        <is>
          <t>RAGUNDA</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25027-2022</t>
        </is>
      </c>
      <c r="B746" s="1" t="n">
        <v>44729</v>
      </c>
      <c r="C746" s="1" t="n">
        <v>45742</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25253-2022</t>
        </is>
      </c>
      <c r="B747" s="1" t="n">
        <v>44730</v>
      </c>
      <c r="C747" s="1" t="n">
        <v>45742</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25342-2022</t>
        </is>
      </c>
      <c r="B748" s="1" t="n">
        <v>44732</v>
      </c>
      <c r="C748" s="1" t="n">
        <v>45742</v>
      </c>
      <c r="D748" t="inlineStr">
        <is>
          <t>JÄMTLANDS LÄN</t>
        </is>
      </c>
      <c r="E748" t="inlineStr">
        <is>
          <t>RAGUNDA</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25433-2022</t>
        </is>
      </c>
      <c r="B749" s="1" t="n">
        <v>44732</v>
      </c>
      <c r="C749" s="1" t="n">
        <v>45742</v>
      </c>
      <c r="D749" t="inlineStr">
        <is>
          <t>JÄMTLANDS LÄN</t>
        </is>
      </c>
      <c r="E749" t="inlineStr">
        <is>
          <t>RAGUNDA</t>
        </is>
      </c>
      <c r="G749" t="n">
        <v>1.7</v>
      </c>
      <c r="H749" t="n">
        <v>0</v>
      </c>
      <c r="I749" t="n">
        <v>0</v>
      </c>
      <c r="J749" t="n">
        <v>0</v>
      </c>
      <c r="K749" t="n">
        <v>0</v>
      </c>
      <c r="L749" t="n">
        <v>0</v>
      </c>
      <c r="M749" t="n">
        <v>0</v>
      </c>
      <c r="N749" t="n">
        <v>0</v>
      </c>
      <c r="O749" t="n">
        <v>0</v>
      </c>
      <c r="P749" t="n">
        <v>0</v>
      </c>
      <c r="Q749" t="n">
        <v>0</v>
      </c>
      <c r="R749" s="2" t="inlineStr"/>
    </row>
    <row r="750" ht="15" customHeight="1">
      <c r="A750" t="inlineStr">
        <is>
          <t>A 25962-2022</t>
        </is>
      </c>
      <c r="B750" s="1" t="n">
        <v>44734</v>
      </c>
      <c r="C750" s="1" t="n">
        <v>45742</v>
      </c>
      <c r="D750" t="inlineStr">
        <is>
          <t>JÄMTLANDS LÄN</t>
        </is>
      </c>
      <c r="E750" t="inlineStr">
        <is>
          <t>RAGUNDA</t>
        </is>
      </c>
      <c r="G750" t="n">
        <v>1.4</v>
      </c>
      <c r="H750" t="n">
        <v>0</v>
      </c>
      <c r="I750" t="n">
        <v>0</v>
      </c>
      <c r="J750" t="n">
        <v>0</v>
      </c>
      <c r="K750" t="n">
        <v>0</v>
      </c>
      <c r="L750" t="n">
        <v>0</v>
      </c>
      <c r="M750" t="n">
        <v>0</v>
      </c>
      <c r="N750" t="n">
        <v>0</v>
      </c>
      <c r="O750" t="n">
        <v>0</v>
      </c>
      <c r="P750" t="n">
        <v>0</v>
      </c>
      <c r="Q750" t="n">
        <v>0</v>
      </c>
      <c r="R750" s="2" t="inlineStr"/>
    </row>
    <row r="751" ht="15" customHeight="1">
      <c r="A751" t="inlineStr">
        <is>
          <t>A 26122-2022</t>
        </is>
      </c>
      <c r="B751" s="1" t="n">
        <v>44735</v>
      </c>
      <c r="C751" s="1" t="n">
        <v>45742</v>
      </c>
      <c r="D751" t="inlineStr">
        <is>
          <t>JÄMTLANDS LÄN</t>
        </is>
      </c>
      <c r="E751" t="inlineStr">
        <is>
          <t>RAGUNDA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26123-2022</t>
        </is>
      </c>
      <c r="B752" s="1" t="n">
        <v>44735</v>
      </c>
      <c r="C752" s="1" t="n">
        <v>45742</v>
      </c>
      <c r="D752" t="inlineStr">
        <is>
          <t>JÄMTLANDS LÄN</t>
        </is>
      </c>
      <c r="E752" t="inlineStr">
        <is>
          <t>RAGUNDA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27291-2022</t>
        </is>
      </c>
      <c r="B753" s="1" t="n">
        <v>44742</v>
      </c>
      <c r="C753" s="1" t="n">
        <v>45742</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27302-2022</t>
        </is>
      </c>
      <c r="B754" s="1" t="n">
        <v>44741</v>
      </c>
      <c r="C754" s="1" t="n">
        <v>45742</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27292-2022</t>
        </is>
      </c>
      <c r="B755" s="1" t="n">
        <v>44742</v>
      </c>
      <c r="C755" s="1" t="n">
        <v>45742</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27777-2022</t>
        </is>
      </c>
      <c r="B756" s="1" t="n">
        <v>44743</v>
      </c>
      <c r="C756" s="1" t="n">
        <v>45742</v>
      </c>
      <c r="D756" t="inlineStr">
        <is>
          <t>JÄMTLANDS LÄN</t>
        </is>
      </c>
      <c r="E756" t="inlineStr">
        <is>
          <t>RAGUNDA</t>
        </is>
      </c>
      <c r="G756" t="n">
        <v>1.5</v>
      </c>
      <c r="H756" t="n">
        <v>0</v>
      </c>
      <c r="I756" t="n">
        <v>0</v>
      </c>
      <c r="J756" t="n">
        <v>0</v>
      </c>
      <c r="K756" t="n">
        <v>0</v>
      </c>
      <c r="L756" t="n">
        <v>0</v>
      </c>
      <c r="M756" t="n">
        <v>0</v>
      </c>
      <c r="N756" t="n">
        <v>0</v>
      </c>
      <c r="O756" t="n">
        <v>0</v>
      </c>
      <c r="P756" t="n">
        <v>0</v>
      </c>
      <c r="Q756" t="n">
        <v>0</v>
      </c>
      <c r="R756" s="2" t="inlineStr"/>
    </row>
    <row r="757" ht="15" customHeight="1">
      <c r="A757" t="inlineStr">
        <is>
          <t>A 27939-2022</t>
        </is>
      </c>
      <c r="B757" s="1" t="n">
        <v>44744</v>
      </c>
      <c r="C757" s="1" t="n">
        <v>45742</v>
      </c>
      <c r="D757" t="inlineStr">
        <is>
          <t>JÄMTLANDS LÄN</t>
        </is>
      </c>
      <c r="E757" t="inlineStr">
        <is>
          <t>RAGUNDA</t>
        </is>
      </c>
      <c r="F757" t="inlineStr">
        <is>
          <t>SCA</t>
        </is>
      </c>
      <c r="G757" t="n">
        <v>3.2</v>
      </c>
      <c r="H757" t="n">
        <v>0</v>
      </c>
      <c r="I757" t="n">
        <v>0</v>
      </c>
      <c r="J757" t="n">
        <v>0</v>
      </c>
      <c r="K757" t="n">
        <v>0</v>
      </c>
      <c r="L757" t="n">
        <v>0</v>
      </c>
      <c r="M757" t="n">
        <v>0</v>
      </c>
      <c r="N757" t="n">
        <v>0</v>
      </c>
      <c r="O757" t="n">
        <v>0</v>
      </c>
      <c r="P757" t="n">
        <v>0</v>
      </c>
      <c r="Q757" t="n">
        <v>0</v>
      </c>
      <c r="R757" s="2" t="inlineStr"/>
    </row>
    <row r="758" ht="15" customHeight="1">
      <c r="A758" t="inlineStr">
        <is>
          <t>A 28081-2022</t>
        </is>
      </c>
      <c r="B758" s="1" t="n">
        <v>44746</v>
      </c>
      <c r="C758" s="1" t="n">
        <v>45742</v>
      </c>
      <c r="D758" t="inlineStr">
        <is>
          <t>JÄMTLANDS LÄN</t>
        </is>
      </c>
      <c r="E758" t="inlineStr">
        <is>
          <t>RAGUNDA</t>
        </is>
      </c>
      <c r="G758" t="n">
        <v>7</v>
      </c>
      <c r="H758" t="n">
        <v>0</v>
      </c>
      <c r="I758" t="n">
        <v>0</v>
      </c>
      <c r="J758" t="n">
        <v>0</v>
      </c>
      <c r="K758" t="n">
        <v>0</v>
      </c>
      <c r="L758" t="n">
        <v>0</v>
      </c>
      <c r="M758" t="n">
        <v>0</v>
      </c>
      <c r="N758" t="n">
        <v>0</v>
      </c>
      <c r="O758" t="n">
        <v>0</v>
      </c>
      <c r="P758" t="n">
        <v>0</v>
      </c>
      <c r="Q758" t="n">
        <v>0</v>
      </c>
      <c r="R758" s="2" t="inlineStr"/>
    </row>
    <row r="759" ht="15" customHeight="1">
      <c r="A759" t="inlineStr">
        <is>
          <t>A 28283-2022</t>
        </is>
      </c>
      <c r="B759" s="1" t="n">
        <v>44746</v>
      </c>
      <c r="C759" s="1" t="n">
        <v>45742</v>
      </c>
      <c r="D759" t="inlineStr">
        <is>
          <t>JÄMTLANDS LÄN</t>
        </is>
      </c>
      <c r="E759" t="inlineStr">
        <is>
          <t>RAGUNDA</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28277-2022</t>
        </is>
      </c>
      <c r="B760" s="1" t="n">
        <v>44747</v>
      </c>
      <c r="C760" s="1" t="n">
        <v>45742</v>
      </c>
      <c r="D760" t="inlineStr">
        <is>
          <t>JÄMTLANDS LÄN</t>
        </is>
      </c>
      <c r="E760" t="inlineStr">
        <is>
          <t>RAGUNDA</t>
        </is>
      </c>
      <c r="G760" t="n">
        <v>4</v>
      </c>
      <c r="H760" t="n">
        <v>0</v>
      </c>
      <c r="I760" t="n">
        <v>0</v>
      </c>
      <c r="J760" t="n">
        <v>0</v>
      </c>
      <c r="K760" t="n">
        <v>0</v>
      </c>
      <c r="L760" t="n">
        <v>0</v>
      </c>
      <c r="M760" t="n">
        <v>0</v>
      </c>
      <c r="N760" t="n">
        <v>0</v>
      </c>
      <c r="O760" t="n">
        <v>0</v>
      </c>
      <c r="P760" t="n">
        <v>0</v>
      </c>
      <c r="Q760" t="n">
        <v>0</v>
      </c>
      <c r="R760" s="2" t="inlineStr"/>
    </row>
    <row r="761" ht="15" customHeight="1">
      <c r="A761" t="inlineStr">
        <is>
          <t>A 28292-2022</t>
        </is>
      </c>
      <c r="B761" s="1" t="n">
        <v>44747</v>
      </c>
      <c r="C761" s="1" t="n">
        <v>45742</v>
      </c>
      <c r="D761" t="inlineStr">
        <is>
          <t>JÄMTLANDS LÄN</t>
        </is>
      </c>
      <c r="E761" t="inlineStr">
        <is>
          <t>RAGUNDA</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28737-2022</t>
        </is>
      </c>
      <c r="B762" s="1" t="n">
        <v>44749</v>
      </c>
      <c r="C762" s="1" t="n">
        <v>45742</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29537-2022</t>
        </is>
      </c>
      <c r="B763" s="1" t="n">
        <v>44754</v>
      </c>
      <c r="C763" s="1" t="n">
        <v>45742</v>
      </c>
      <c r="D763" t="inlineStr">
        <is>
          <t>JÄMTLANDS LÄN</t>
        </is>
      </c>
      <c r="E763" t="inlineStr">
        <is>
          <t>RAGUNDA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30609-2022</t>
        </is>
      </c>
      <c r="B764" s="1" t="n">
        <v>44761</v>
      </c>
      <c r="C764" s="1" t="n">
        <v>45742</v>
      </c>
      <c r="D764" t="inlineStr">
        <is>
          <t>JÄMTLANDS LÄN</t>
        </is>
      </c>
      <c r="E764" t="inlineStr">
        <is>
          <t>RAGUNDA</t>
        </is>
      </c>
      <c r="G764" t="n">
        <v>2.4</v>
      </c>
      <c r="H764" t="n">
        <v>0</v>
      </c>
      <c r="I764" t="n">
        <v>0</v>
      </c>
      <c r="J764" t="n">
        <v>0</v>
      </c>
      <c r="K764" t="n">
        <v>0</v>
      </c>
      <c r="L764" t="n">
        <v>0</v>
      </c>
      <c r="M764" t="n">
        <v>0</v>
      </c>
      <c r="N764" t="n">
        <v>0</v>
      </c>
      <c r="O764" t="n">
        <v>0</v>
      </c>
      <c r="P764" t="n">
        <v>0</v>
      </c>
      <c r="Q764" t="n">
        <v>0</v>
      </c>
      <c r="R764" s="2" t="inlineStr"/>
      <c r="U764">
        <f>HYPERLINK("https://klasma.github.io/Logging_2303/knärot/A 30609-2022 karta knärot.png", "A 30609-2022")</f>
        <v/>
      </c>
      <c r="V764">
        <f>HYPERLINK("https://klasma.github.io/Logging_2303/klagomål/A 30609-2022 FSC-klagomål.docx", "A 30609-2022")</f>
        <v/>
      </c>
      <c r="W764">
        <f>HYPERLINK("https://klasma.github.io/Logging_2303/klagomålsmail/A 30609-2022 FSC-klagomål mail.docx", "A 30609-2022")</f>
        <v/>
      </c>
      <c r="X764">
        <f>HYPERLINK("https://klasma.github.io/Logging_2303/tillsyn/A 30609-2022 tillsynsbegäran.docx", "A 30609-2022")</f>
        <v/>
      </c>
      <c r="Y764">
        <f>HYPERLINK("https://klasma.github.io/Logging_2303/tillsynsmail/A 30609-2022 tillsynsbegäran mail.docx", "A 30609-2022")</f>
        <v/>
      </c>
    </row>
    <row r="765" ht="15" customHeight="1">
      <c r="A765" t="inlineStr">
        <is>
          <t>A 30931-2022</t>
        </is>
      </c>
      <c r="B765" s="1" t="n">
        <v>44768</v>
      </c>
      <c r="C765" s="1" t="n">
        <v>45742</v>
      </c>
      <c r="D765" t="inlineStr">
        <is>
          <t>JÄMTLANDS LÄN</t>
        </is>
      </c>
      <c r="E765" t="inlineStr">
        <is>
          <t>RAGUNDA</t>
        </is>
      </c>
      <c r="G765" t="n">
        <v>6</v>
      </c>
      <c r="H765" t="n">
        <v>0</v>
      </c>
      <c r="I765" t="n">
        <v>0</v>
      </c>
      <c r="J765" t="n">
        <v>0</v>
      </c>
      <c r="K765" t="n">
        <v>0</v>
      </c>
      <c r="L765" t="n">
        <v>0</v>
      </c>
      <c r="M765" t="n">
        <v>0</v>
      </c>
      <c r="N765" t="n">
        <v>0</v>
      </c>
      <c r="O765" t="n">
        <v>0</v>
      </c>
      <c r="P765" t="n">
        <v>0</v>
      </c>
      <c r="Q765" t="n">
        <v>0</v>
      </c>
      <c r="R765" s="2" t="inlineStr"/>
    </row>
    <row r="766" ht="15" customHeight="1">
      <c r="A766" t="inlineStr">
        <is>
          <t>A 31436-2022</t>
        </is>
      </c>
      <c r="B766" s="1" t="n">
        <v>44774</v>
      </c>
      <c r="C766" s="1" t="n">
        <v>45742</v>
      </c>
      <c r="D766" t="inlineStr">
        <is>
          <t>JÄMTLANDS LÄN</t>
        </is>
      </c>
      <c r="E766" t="inlineStr">
        <is>
          <t>RAGUNDA</t>
        </is>
      </c>
      <c r="G766" t="n">
        <v>2</v>
      </c>
      <c r="H766" t="n">
        <v>0</v>
      </c>
      <c r="I766" t="n">
        <v>0</v>
      </c>
      <c r="J766" t="n">
        <v>0</v>
      </c>
      <c r="K766" t="n">
        <v>0</v>
      </c>
      <c r="L766" t="n">
        <v>0</v>
      </c>
      <c r="M766" t="n">
        <v>0</v>
      </c>
      <c r="N766" t="n">
        <v>0</v>
      </c>
      <c r="O766" t="n">
        <v>0</v>
      </c>
      <c r="P766" t="n">
        <v>0</v>
      </c>
      <c r="Q766" t="n">
        <v>0</v>
      </c>
      <c r="R766" s="2" t="inlineStr"/>
    </row>
    <row r="767" ht="15" customHeight="1">
      <c r="A767" t="inlineStr">
        <is>
          <t>A 31484-2022</t>
        </is>
      </c>
      <c r="B767" s="1" t="n">
        <v>44775</v>
      </c>
      <c r="C767" s="1" t="n">
        <v>45742</v>
      </c>
      <c r="D767" t="inlineStr">
        <is>
          <t>JÄMTLANDS LÄN</t>
        </is>
      </c>
      <c r="E767" t="inlineStr">
        <is>
          <t>RAGUNDA</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31435-2022</t>
        </is>
      </c>
      <c r="B768" s="1" t="n">
        <v>44774</v>
      </c>
      <c r="C768" s="1" t="n">
        <v>45742</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31854-2022</t>
        </is>
      </c>
      <c r="B769" s="1" t="n">
        <v>44776</v>
      </c>
      <c r="C769" s="1" t="n">
        <v>45742</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31841-2022</t>
        </is>
      </c>
      <c r="B770" s="1" t="n">
        <v>44776</v>
      </c>
      <c r="C770" s="1" t="n">
        <v>45742</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31970-2022</t>
        </is>
      </c>
      <c r="B771" s="1" t="n">
        <v>44777</v>
      </c>
      <c r="C771" s="1" t="n">
        <v>45742</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31972-2022</t>
        </is>
      </c>
      <c r="B772" s="1" t="n">
        <v>44778</v>
      </c>
      <c r="C772" s="1" t="n">
        <v>45742</v>
      </c>
      <c r="D772" t="inlineStr">
        <is>
          <t>JÄMTLANDS LÄN</t>
        </is>
      </c>
      <c r="E772" t="inlineStr">
        <is>
          <t>RAGUNDA</t>
        </is>
      </c>
      <c r="F772" t="inlineStr">
        <is>
          <t>Naturvårdsverket</t>
        </is>
      </c>
      <c r="G772" t="n">
        <v>0.8</v>
      </c>
      <c r="H772" t="n">
        <v>0</v>
      </c>
      <c r="I772" t="n">
        <v>0</v>
      </c>
      <c r="J772" t="n">
        <v>0</v>
      </c>
      <c r="K772" t="n">
        <v>0</v>
      </c>
      <c r="L772" t="n">
        <v>0</v>
      </c>
      <c r="M772" t="n">
        <v>0</v>
      </c>
      <c r="N772" t="n">
        <v>0</v>
      </c>
      <c r="O772" t="n">
        <v>0</v>
      </c>
      <c r="P772" t="n">
        <v>0</v>
      </c>
      <c r="Q772" t="n">
        <v>0</v>
      </c>
      <c r="R772" s="2" t="inlineStr"/>
    </row>
    <row r="773" ht="15" customHeight="1">
      <c r="A773" t="inlineStr">
        <is>
          <t>A 32135-2022</t>
        </is>
      </c>
      <c r="B773" s="1" t="n">
        <v>44778</v>
      </c>
      <c r="C773" s="1" t="n">
        <v>45742</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32288-2022</t>
        </is>
      </c>
      <c r="B774" s="1" t="n">
        <v>44781</v>
      </c>
      <c r="C774" s="1" t="n">
        <v>45742</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32526-2022</t>
        </is>
      </c>
      <c r="B775" s="1" t="n">
        <v>44782</v>
      </c>
      <c r="C775" s="1" t="n">
        <v>45742</v>
      </c>
      <c r="D775" t="inlineStr">
        <is>
          <t>JÄMTLANDS LÄN</t>
        </is>
      </c>
      <c r="E775" t="inlineStr">
        <is>
          <t>RAGUNDA</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32780-2022</t>
        </is>
      </c>
      <c r="B776" s="1" t="n">
        <v>44783</v>
      </c>
      <c r="C776" s="1" t="n">
        <v>45742</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32979-2022</t>
        </is>
      </c>
      <c r="B777" s="1" t="n">
        <v>44785</v>
      </c>
      <c r="C777" s="1" t="n">
        <v>45742</v>
      </c>
      <c r="D777" t="inlineStr">
        <is>
          <t>JÄMTLANDS LÄN</t>
        </is>
      </c>
      <c r="E777" t="inlineStr">
        <is>
          <t>RAGUNDA</t>
        </is>
      </c>
      <c r="F777" t="inlineStr">
        <is>
          <t>SCA</t>
        </is>
      </c>
      <c r="G777" t="n">
        <v>4.3</v>
      </c>
      <c r="H777" t="n">
        <v>0</v>
      </c>
      <c r="I777" t="n">
        <v>0</v>
      </c>
      <c r="J777" t="n">
        <v>0</v>
      </c>
      <c r="K777" t="n">
        <v>0</v>
      </c>
      <c r="L777" t="n">
        <v>0</v>
      </c>
      <c r="M777" t="n">
        <v>0</v>
      </c>
      <c r="N777" t="n">
        <v>0</v>
      </c>
      <c r="O777" t="n">
        <v>0</v>
      </c>
      <c r="P777" t="n">
        <v>0</v>
      </c>
      <c r="Q777" t="n">
        <v>0</v>
      </c>
      <c r="R777" s="2" t="inlineStr"/>
    </row>
    <row r="778" ht="15" customHeight="1">
      <c r="A778" t="inlineStr">
        <is>
          <t>A 32986-2022</t>
        </is>
      </c>
      <c r="B778" s="1" t="n">
        <v>44785</v>
      </c>
      <c r="C778" s="1" t="n">
        <v>45742</v>
      </c>
      <c r="D778" t="inlineStr">
        <is>
          <t>JÄMTLANDS LÄN</t>
        </is>
      </c>
      <c r="E778" t="inlineStr">
        <is>
          <t>RAGUNDA</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33218-2022</t>
        </is>
      </c>
      <c r="B779" s="1" t="n">
        <v>44786</v>
      </c>
      <c r="C779" s="1" t="n">
        <v>45742</v>
      </c>
      <c r="D779" t="inlineStr">
        <is>
          <t>JÄMTLANDS LÄN</t>
        </is>
      </c>
      <c r="E779" t="inlineStr">
        <is>
          <t>RAGUNDA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33278-2022</t>
        </is>
      </c>
      <c r="B780" s="1" t="n">
        <v>44788</v>
      </c>
      <c r="C780" s="1" t="n">
        <v>45742</v>
      </c>
      <c r="D780" t="inlineStr">
        <is>
          <t>JÄMTLANDS LÄN</t>
        </is>
      </c>
      <c r="E780" t="inlineStr">
        <is>
          <t>RAGUNDA</t>
        </is>
      </c>
      <c r="G780" t="n">
        <v>3.2</v>
      </c>
      <c r="H780" t="n">
        <v>0</v>
      </c>
      <c r="I780" t="n">
        <v>0</v>
      </c>
      <c r="J780" t="n">
        <v>0</v>
      </c>
      <c r="K780" t="n">
        <v>0</v>
      </c>
      <c r="L780" t="n">
        <v>0</v>
      </c>
      <c r="M780" t="n">
        <v>0</v>
      </c>
      <c r="N780" t="n">
        <v>0</v>
      </c>
      <c r="O780" t="n">
        <v>0</v>
      </c>
      <c r="P780" t="n">
        <v>0</v>
      </c>
      <c r="Q780" t="n">
        <v>0</v>
      </c>
      <c r="R780" s="2" t="inlineStr"/>
    </row>
    <row r="781" ht="15" customHeight="1">
      <c r="A781" t="inlineStr">
        <is>
          <t>A 33279-2022</t>
        </is>
      </c>
      <c r="B781" s="1" t="n">
        <v>44788</v>
      </c>
      <c r="C781" s="1" t="n">
        <v>45742</v>
      </c>
      <c r="D781" t="inlineStr">
        <is>
          <t>JÄMTLANDS LÄN</t>
        </is>
      </c>
      <c r="E781" t="inlineStr">
        <is>
          <t>RAGUNDA</t>
        </is>
      </c>
      <c r="G781" t="n">
        <v>17</v>
      </c>
      <c r="H781" t="n">
        <v>0</v>
      </c>
      <c r="I781" t="n">
        <v>0</v>
      </c>
      <c r="J781" t="n">
        <v>0</v>
      </c>
      <c r="K781" t="n">
        <v>0</v>
      </c>
      <c r="L781" t="n">
        <v>0</v>
      </c>
      <c r="M781" t="n">
        <v>0</v>
      </c>
      <c r="N781" t="n">
        <v>0</v>
      </c>
      <c r="O781" t="n">
        <v>0</v>
      </c>
      <c r="P781" t="n">
        <v>0</v>
      </c>
      <c r="Q781" t="n">
        <v>0</v>
      </c>
      <c r="R781" s="2" t="inlineStr"/>
    </row>
    <row r="782" ht="15" customHeight="1">
      <c r="A782" t="inlineStr">
        <is>
          <t>A 35018-2022</t>
        </is>
      </c>
      <c r="B782" s="1" t="n">
        <v>44797</v>
      </c>
      <c r="C782" s="1" t="n">
        <v>45742</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35235-2022</t>
        </is>
      </c>
      <c r="B783" s="1" t="n">
        <v>44797</v>
      </c>
      <c r="C783" s="1" t="n">
        <v>45742</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35495-2022</t>
        </is>
      </c>
      <c r="B784" s="1" t="n">
        <v>44798</v>
      </c>
      <c r="C784" s="1" t="n">
        <v>45742</v>
      </c>
      <c r="D784" t="inlineStr">
        <is>
          <t>JÄMTLANDS LÄN</t>
        </is>
      </c>
      <c r="E784" t="inlineStr">
        <is>
          <t>RAGUNDA</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35492-2022</t>
        </is>
      </c>
      <c r="B785" s="1" t="n">
        <v>44799</v>
      </c>
      <c r="C785" s="1" t="n">
        <v>45742</v>
      </c>
      <c r="D785" t="inlineStr">
        <is>
          <t>JÄMTLANDS LÄN</t>
        </is>
      </c>
      <c r="E785" t="inlineStr">
        <is>
          <t>RAGUNDA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35757-2022</t>
        </is>
      </c>
      <c r="B786" s="1" t="n">
        <v>44799</v>
      </c>
      <c r="C786" s="1" t="n">
        <v>45742</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35749-2022</t>
        </is>
      </c>
      <c r="B787" s="1" t="n">
        <v>44800</v>
      </c>
      <c r="C787" s="1" t="n">
        <v>45742</v>
      </c>
      <c r="D787" t="inlineStr">
        <is>
          <t>JÄMTLANDS LÄN</t>
        </is>
      </c>
      <c r="E787" t="inlineStr">
        <is>
          <t>RAGUNDA</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35998-2022</t>
        </is>
      </c>
      <c r="B788" s="1" t="n">
        <v>44802</v>
      </c>
      <c r="C788" s="1" t="n">
        <v>45742</v>
      </c>
      <c r="D788" t="inlineStr">
        <is>
          <t>JÄMTLANDS LÄN</t>
        </is>
      </c>
      <c r="E788" t="inlineStr">
        <is>
          <t>RAGUNDA</t>
        </is>
      </c>
      <c r="G788" t="n">
        <v>25.4</v>
      </c>
      <c r="H788" t="n">
        <v>0</v>
      </c>
      <c r="I788" t="n">
        <v>0</v>
      </c>
      <c r="J788" t="n">
        <v>0</v>
      </c>
      <c r="K788" t="n">
        <v>0</v>
      </c>
      <c r="L788" t="n">
        <v>0</v>
      </c>
      <c r="M788" t="n">
        <v>0</v>
      </c>
      <c r="N788" t="n">
        <v>0</v>
      </c>
      <c r="O788" t="n">
        <v>0</v>
      </c>
      <c r="P788" t="n">
        <v>0</v>
      </c>
      <c r="Q788" t="n">
        <v>0</v>
      </c>
      <c r="R788" s="2" t="inlineStr"/>
    </row>
    <row r="789" ht="15" customHeight="1">
      <c r="A789" t="inlineStr">
        <is>
          <t>A 36084-2022</t>
        </is>
      </c>
      <c r="B789" s="1" t="n">
        <v>44802</v>
      </c>
      <c r="C789" s="1" t="n">
        <v>45742</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36106-2022</t>
        </is>
      </c>
      <c r="B790" s="1" t="n">
        <v>44803</v>
      </c>
      <c r="C790" s="1" t="n">
        <v>45742</v>
      </c>
      <c r="D790" t="inlineStr">
        <is>
          <t>JÄMTLANDS LÄN</t>
        </is>
      </c>
      <c r="E790" t="inlineStr">
        <is>
          <t>RAGUNDA</t>
        </is>
      </c>
      <c r="F790" t="inlineStr">
        <is>
          <t>SCA</t>
        </is>
      </c>
      <c r="G790" t="n">
        <v>7.3</v>
      </c>
      <c r="H790" t="n">
        <v>0</v>
      </c>
      <c r="I790" t="n">
        <v>0</v>
      </c>
      <c r="J790" t="n">
        <v>0</v>
      </c>
      <c r="K790" t="n">
        <v>0</v>
      </c>
      <c r="L790" t="n">
        <v>0</v>
      </c>
      <c r="M790" t="n">
        <v>0</v>
      </c>
      <c r="N790" t="n">
        <v>0</v>
      </c>
      <c r="O790" t="n">
        <v>0</v>
      </c>
      <c r="P790" t="n">
        <v>0</v>
      </c>
      <c r="Q790" t="n">
        <v>0</v>
      </c>
      <c r="R790" s="2" t="inlineStr"/>
    </row>
    <row r="791" ht="15" customHeight="1">
      <c r="A791" t="inlineStr">
        <is>
          <t>A 36375-2022</t>
        </is>
      </c>
      <c r="B791" s="1" t="n">
        <v>44804</v>
      </c>
      <c r="C791" s="1" t="n">
        <v>45742</v>
      </c>
      <c r="D791" t="inlineStr">
        <is>
          <t>JÄMTLANDS LÄN</t>
        </is>
      </c>
      <c r="E791" t="inlineStr">
        <is>
          <t>RAGUNDA</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36612-2022</t>
        </is>
      </c>
      <c r="B792" s="1" t="n">
        <v>44804</v>
      </c>
      <c r="C792" s="1" t="n">
        <v>45742</v>
      </c>
      <c r="D792" t="inlineStr">
        <is>
          <t>JÄMTLANDS LÄN</t>
        </is>
      </c>
      <c r="E792" t="inlineStr">
        <is>
          <t>RAGUNDA</t>
        </is>
      </c>
      <c r="G792" t="n">
        <v>2.1</v>
      </c>
      <c r="H792" t="n">
        <v>0</v>
      </c>
      <c r="I792" t="n">
        <v>0</v>
      </c>
      <c r="J792" t="n">
        <v>0</v>
      </c>
      <c r="K792" t="n">
        <v>0</v>
      </c>
      <c r="L792" t="n">
        <v>0</v>
      </c>
      <c r="M792" t="n">
        <v>0</v>
      </c>
      <c r="N792" t="n">
        <v>0</v>
      </c>
      <c r="O792" t="n">
        <v>0</v>
      </c>
      <c r="P792" t="n">
        <v>0</v>
      </c>
      <c r="Q792" t="n">
        <v>0</v>
      </c>
      <c r="R792" s="2" t="inlineStr"/>
    </row>
    <row r="793" ht="15" customHeight="1">
      <c r="A793" t="inlineStr">
        <is>
          <t>A 36692-2022</t>
        </is>
      </c>
      <c r="B793" s="1" t="n">
        <v>44804</v>
      </c>
      <c r="C793" s="1" t="n">
        <v>45742</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36696-2022</t>
        </is>
      </c>
      <c r="B794" s="1" t="n">
        <v>44805</v>
      </c>
      <c r="C794" s="1" t="n">
        <v>45742</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36922-2022</t>
        </is>
      </c>
      <c r="B795" s="1" t="n">
        <v>44806</v>
      </c>
      <c r="C795" s="1" t="n">
        <v>45742</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36941-2022</t>
        </is>
      </c>
      <c r="B796" s="1" t="n">
        <v>44805</v>
      </c>
      <c r="C796" s="1" t="n">
        <v>45742</v>
      </c>
      <c r="D796" t="inlineStr">
        <is>
          <t>JÄMTLANDS LÄN</t>
        </is>
      </c>
      <c r="E796" t="inlineStr">
        <is>
          <t>RAGUNDA</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37324-2022</t>
        </is>
      </c>
      <c r="B797" s="1" t="n">
        <v>44806</v>
      </c>
      <c r="C797" s="1" t="n">
        <v>45742</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38426-2022</t>
        </is>
      </c>
      <c r="B798" s="1" t="n">
        <v>44812</v>
      </c>
      <c r="C798" s="1" t="n">
        <v>45742</v>
      </c>
      <c r="D798" t="inlineStr">
        <is>
          <t>JÄMTLANDS LÄN</t>
        </is>
      </c>
      <c r="E798" t="inlineStr">
        <is>
          <t>RAGUNDA</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44813</v>
      </c>
      <c r="C799" s="1" t="n">
        <v>45742</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38683-2022</t>
        </is>
      </c>
      <c r="B800" s="1" t="n">
        <v>44813</v>
      </c>
      <c r="C800" s="1" t="n">
        <v>45742</v>
      </c>
      <c r="D800" t="inlineStr">
        <is>
          <t>JÄMTLANDS LÄN</t>
        </is>
      </c>
      <c r="E800" t="inlineStr">
        <is>
          <t>RAGUNDA</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38664-2022</t>
        </is>
      </c>
      <c r="B801" s="1" t="n">
        <v>44813</v>
      </c>
      <c r="C801" s="1" t="n">
        <v>45742</v>
      </c>
      <c r="D801" t="inlineStr">
        <is>
          <t>JÄMTLANDS LÄN</t>
        </is>
      </c>
      <c r="E801" t="inlineStr">
        <is>
          <t>RAGUNDA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38733-2022</t>
        </is>
      </c>
      <c r="B802" s="1" t="n">
        <v>44815</v>
      </c>
      <c r="C802" s="1" t="n">
        <v>45742</v>
      </c>
      <c r="D802" t="inlineStr">
        <is>
          <t>JÄMTLANDS LÄN</t>
        </is>
      </c>
      <c r="E802" t="inlineStr">
        <is>
          <t>RAGUNDA</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39003-2022</t>
        </is>
      </c>
      <c r="B803" s="1" t="n">
        <v>44817</v>
      </c>
      <c r="C803" s="1" t="n">
        <v>45742</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39011-2022</t>
        </is>
      </c>
      <c r="B804" s="1" t="n">
        <v>44816</v>
      </c>
      <c r="C804" s="1" t="n">
        <v>45742</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39004-2022</t>
        </is>
      </c>
      <c r="B805" s="1" t="n">
        <v>44816</v>
      </c>
      <c r="C805" s="1" t="n">
        <v>45742</v>
      </c>
      <c r="D805" t="inlineStr">
        <is>
          <t>JÄMTLANDS LÄN</t>
        </is>
      </c>
      <c r="E805" t="inlineStr">
        <is>
          <t>RAGUNDA</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39402-2022</t>
        </is>
      </c>
      <c r="B806" s="1" t="n">
        <v>44818</v>
      </c>
      <c r="C806" s="1" t="n">
        <v>45742</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39408-2022</t>
        </is>
      </c>
      <c r="B807" s="1" t="n">
        <v>44817</v>
      </c>
      <c r="C807" s="1" t="n">
        <v>45742</v>
      </c>
      <c r="D807" t="inlineStr">
        <is>
          <t>JÄMTLANDS LÄN</t>
        </is>
      </c>
      <c r="E807" t="inlineStr">
        <is>
          <t>RAGUNDA</t>
        </is>
      </c>
      <c r="F807" t="inlineStr">
        <is>
          <t>SCA</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39693-2022</t>
        </is>
      </c>
      <c r="B808" s="1" t="n">
        <v>44819</v>
      </c>
      <c r="C808" s="1" t="n">
        <v>45742</v>
      </c>
      <c r="D808" t="inlineStr">
        <is>
          <t>JÄMTLANDS LÄN</t>
        </is>
      </c>
      <c r="E808" t="inlineStr">
        <is>
          <t>RAGUNDA</t>
        </is>
      </c>
      <c r="F808" t="inlineStr">
        <is>
          <t>SCA</t>
        </is>
      </c>
      <c r="G808" t="n">
        <v>0.3</v>
      </c>
      <c r="H808" t="n">
        <v>0</v>
      </c>
      <c r="I808" t="n">
        <v>0</v>
      </c>
      <c r="J808" t="n">
        <v>0</v>
      </c>
      <c r="K808" t="n">
        <v>0</v>
      </c>
      <c r="L808" t="n">
        <v>0</v>
      </c>
      <c r="M808" t="n">
        <v>0</v>
      </c>
      <c r="N808" t="n">
        <v>0</v>
      </c>
      <c r="O808" t="n">
        <v>0</v>
      </c>
      <c r="P808" t="n">
        <v>0</v>
      </c>
      <c r="Q808" t="n">
        <v>0</v>
      </c>
      <c r="R808" s="2" t="inlineStr"/>
    </row>
    <row r="809" ht="15" customHeight="1">
      <c r="A809" t="inlineStr">
        <is>
          <t>A 40200-2022</t>
        </is>
      </c>
      <c r="B809" s="1" t="n">
        <v>44818</v>
      </c>
      <c r="C809" s="1" t="n">
        <v>45742</v>
      </c>
      <c r="D809" t="inlineStr">
        <is>
          <t>JÄMTLANDS LÄN</t>
        </is>
      </c>
      <c r="E809" t="inlineStr">
        <is>
          <t>RAGUNDA</t>
        </is>
      </c>
      <c r="G809" t="n">
        <v>1.8</v>
      </c>
      <c r="H809" t="n">
        <v>0</v>
      </c>
      <c r="I809" t="n">
        <v>0</v>
      </c>
      <c r="J809" t="n">
        <v>0</v>
      </c>
      <c r="K809" t="n">
        <v>0</v>
      </c>
      <c r="L809" t="n">
        <v>0</v>
      </c>
      <c r="M809" t="n">
        <v>0</v>
      </c>
      <c r="N809" t="n">
        <v>0</v>
      </c>
      <c r="O809" t="n">
        <v>0</v>
      </c>
      <c r="P809" t="n">
        <v>0</v>
      </c>
      <c r="Q809" t="n">
        <v>0</v>
      </c>
      <c r="R809" s="2" t="inlineStr"/>
    </row>
    <row r="810" ht="15" customHeight="1">
      <c r="A810" t="inlineStr">
        <is>
          <t>A 39698-2022</t>
        </is>
      </c>
      <c r="B810" s="1" t="n">
        <v>44818</v>
      </c>
      <c r="C810" s="1" t="n">
        <v>45742</v>
      </c>
      <c r="D810" t="inlineStr">
        <is>
          <t>JÄMTLANDS LÄN</t>
        </is>
      </c>
      <c r="E810" t="inlineStr">
        <is>
          <t>RAGUNDA</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40265-2022</t>
        </is>
      </c>
      <c r="B811" s="1" t="n">
        <v>44821</v>
      </c>
      <c r="C811" s="1" t="n">
        <v>45742</v>
      </c>
      <c r="D811" t="inlineStr">
        <is>
          <t>JÄMTLANDS LÄN</t>
        </is>
      </c>
      <c r="E811" t="inlineStr">
        <is>
          <t>RAGUNDA</t>
        </is>
      </c>
      <c r="G811" t="n">
        <v>3.7</v>
      </c>
      <c r="H811" t="n">
        <v>0</v>
      </c>
      <c r="I811" t="n">
        <v>0</v>
      </c>
      <c r="J811" t="n">
        <v>0</v>
      </c>
      <c r="K811" t="n">
        <v>0</v>
      </c>
      <c r="L811" t="n">
        <v>0</v>
      </c>
      <c r="M811" t="n">
        <v>0</v>
      </c>
      <c r="N811" t="n">
        <v>0</v>
      </c>
      <c r="O811" t="n">
        <v>0</v>
      </c>
      <c r="P811" t="n">
        <v>0</v>
      </c>
      <c r="Q811" t="n">
        <v>0</v>
      </c>
      <c r="R811" s="2" t="inlineStr"/>
    </row>
    <row r="812" ht="15" customHeight="1">
      <c r="A812" t="inlineStr">
        <is>
          <t>A 40269-2022</t>
        </is>
      </c>
      <c r="B812" s="1" t="n">
        <v>44820</v>
      </c>
      <c r="C812" s="1" t="n">
        <v>45742</v>
      </c>
      <c r="D812" t="inlineStr">
        <is>
          <t>JÄMTLANDS LÄN</t>
        </is>
      </c>
      <c r="E812" t="inlineStr">
        <is>
          <t>RAGUNDA</t>
        </is>
      </c>
      <c r="F812" t="inlineStr">
        <is>
          <t>SCA</t>
        </is>
      </c>
      <c r="G812" t="n">
        <v>77.8</v>
      </c>
      <c r="H812" t="n">
        <v>0</v>
      </c>
      <c r="I812" t="n">
        <v>0</v>
      </c>
      <c r="J812" t="n">
        <v>0</v>
      </c>
      <c r="K812" t="n">
        <v>0</v>
      </c>
      <c r="L812" t="n">
        <v>0</v>
      </c>
      <c r="M812" t="n">
        <v>0</v>
      </c>
      <c r="N812" t="n">
        <v>0</v>
      </c>
      <c r="O812" t="n">
        <v>0</v>
      </c>
      <c r="P812" t="n">
        <v>0</v>
      </c>
      <c r="Q812" t="n">
        <v>0</v>
      </c>
      <c r="R812" s="2" t="inlineStr"/>
    </row>
    <row r="813" ht="15" customHeight="1">
      <c r="A813" t="inlineStr">
        <is>
          <t>A 40267-2022</t>
        </is>
      </c>
      <c r="B813" s="1" t="n">
        <v>44820</v>
      </c>
      <c r="C813" s="1" t="n">
        <v>45742</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40266-2022</t>
        </is>
      </c>
      <c r="B814" s="1" t="n">
        <v>44820</v>
      </c>
      <c r="C814" s="1" t="n">
        <v>45742</v>
      </c>
      <c r="D814" t="inlineStr">
        <is>
          <t>JÄMTLANDS LÄN</t>
        </is>
      </c>
      <c r="E814" t="inlineStr">
        <is>
          <t>RAGUNDA</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40951-2022</t>
        </is>
      </c>
      <c r="B815" s="1" t="n">
        <v>44820</v>
      </c>
      <c r="C815" s="1" t="n">
        <v>45742</v>
      </c>
      <c r="D815" t="inlineStr">
        <is>
          <t>JÄMTLANDS LÄN</t>
        </is>
      </c>
      <c r="E815" t="inlineStr">
        <is>
          <t>RAGUNDA</t>
        </is>
      </c>
      <c r="G815" t="n">
        <v>3</v>
      </c>
      <c r="H815" t="n">
        <v>0</v>
      </c>
      <c r="I815" t="n">
        <v>0</v>
      </c>
      <c r="J815" t="n">
        <v>0</v>
      </c>
      <c r="K815" t="n">
        <v>0</v>
      </c>
      <c r="L815" t="n">
        <v>0</v>
      </c>
      <c r="M815" t="n">
        <v>0</v>
      </c>
      <c r="N815" t="n">
        <v>0</v>
      </c>
      <c r="O815" t="n">
        <v>0</v>
      </c>
      <c r="P815" t="n">
        <v>0</v>
      </c>
      <c r="Q815" t="n">
        <v>0</v>
      </c>
      <c r="R815" s="2" t="inlineStr"/>
    </row>
    <row r="816" ht="15" customHeight="1">
      <c r="A816" t="inlineStr">
        <is>
          <t>A 40436-2022</t>
        </is>
      </c>
      <c r="B816" s="1" t="n">
        <v>44823</v>
      </c>
      <c r="C816" s="1" t="n">
        <v>45742</v>
      </c>
      <c r="D816" t="inlineStr">
        <is>
          <t>JÄMTLANDS LÄN</t>
        </is>
      </c>
      <c r="E816" t="inlineStr">
        <is>
          <t>RAGUNDA</t>
        </is>
      </c>
      <c r="G816" t="n">
        <v>3</v>
      </c>
      <c r="H816" t="n">
        <v>0</v>
      </c>
      <c r="I816" t="n">
        <v>0</v>
      </c>
      <c r="J816" t="n">
        <v>0</v>
      </c>
      <c r="K816" t="n">
        <v>0</v>
      </c>
      <c r="L816" t="n">
        <v>0</v>
      </c>
      <c r="M816" t="n">
        <v>0</v>
      </c>
      <c r="N816" t="n">
        <v>0</v>
      </c>
      <c r="O816" t="n">
        <v>0</v>
      </c>
      <c r="P816" t="n">
        <v>0</v>
      </c>
      <c r="Q816" t="n">
        <v>0</v>
      </c>
      <c r="R816" s="2" t="inlineStr"/>
    </row>
    <row r="817" ht="15" customHeight="1">
      <c r="A817" t="inlineStr">
        <is>
          <t>A 40612-2022</t>
        </is>
      </c>
      <c r="B817" s="1" t="n">
        <v>44824</v>
      </c>
      <c r="C817" s="1" t="n">
        <v>45742</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40978-2022</t>
        </is>
      </c>
      <c r="B818" s="1" t="n">
        <v>44823</v>
      </c>
      <c r="C818" s="1" t="n">
        <v>45742</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40829-2022</t>
        </is>
      </c>
      <c r="B819" s="1" t="n">
        <v>44825</v>
      </c>
      <c r="C819" s="1" t="n">
        <v>45742</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41180-2022</t>
        </is>
      </c>
      <c r="B820" s="1" t="n">
        <v>44825</v>
      </c>
      <c r="C820" s="1" t="n">
        <v>45742</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41179-2022</t>
        </is>
      </c>
      <c r="B821" s="1" t="n">
        <v>44825</v>
      </c>
      <c r="C821" s="1" t="n">
        <v>45742</v>
      </c>
      <c r="D821" t="inlineStr">
        <is>
          <t>JÄMTLANDS LÄN</t>
        </is>
      </c>
      <c r="E821" t="inlineStr">
        <is>
          <t>RAGUNDA</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42267-2022</t>
        </is>
      </c>
      <c r="B822" s="1" t="n">
        <v>44830</v>
      </c>
      <c r="C822" s="1" t="n">
        <v>45742</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42266-2022</t>
        </is>
      </c>
      <c r="B823" s="1" t="n">
        <v>44831</v>
      </c>
      <c r="C823" s="1" t="n">
        <v>45742</v>
      </c>
      <c r="D823" t="inlineStr">
        <is>
          <t>JÄMTLANDS LÄN</t>
        </is>
      </c>
      <c r="E823" t="inlineStr">
        <is>
          <t>RAGUNDA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42652-2022</t>
        </is>
      </c>
      <c r="B824" s="1" t="n">
        <v>44832</v>
      </c>
      <c r="C824" s="1" t="n">
        <v>45742</v>
      </c>
      <c r="D824" t="inlineStr">
        <is>
          <t>JÄMTLANDS LÄN</t>
        </is>
      </c>
      <c r="E824" t="inlineStr">
        <is>
          <t>RAGUNDA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42644-2022</t>
        </is>
      </c>
      <c r="B825" s="1" t="n">
        <v>44831</v>
      </c>
      <c r="C825" s="1" t="n">
        <v>45742</v>
      </c>
      <c r="D825" t="inlineStr">
        <is>
          <t>JÄMTLANDS LÄN</t>
        </is>
      </c>
      <c r="E825" t="inlineStr">
        <is>
          <t>RAGUNDA</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42655-2022</t>
        </is>
      </c>
      <c r="B826" s="1" t="n">
        <v>44831</v>
      </c>
      <c r="C826" s="1" t="n">
        <v>45742</v>
      </c>
      <c r="D826" t="inlineStr">
        <is>
          <t>JÄMTLANDS LÄN</t>
        </is>
      </c>
      <c r="E826" t="inlineStr">
        <is>
          <t>RAGUNDA</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42653-2022</t>
        </is>
      </c>
      <c r="B827" s="1" t="n">
        <v>44832</v>
      </c>
      <c r="C827" s="1" t="n">
        <v>45742</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42882-2022</t>
        </is>
      </c>
      <c r="B828" s="1" t="n">
        <v>44833</v>
      </c>
      <c r="C828" s="1" t="n">
        <v>45742</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42892-2022</t>
        </is>
      </c>
      <c r="B829" s="1" t="n">
        <v>44832</v>
      </c>
      <c r="C829" s="1" t="n">
        <v>45742</v>
      </c>
      <c r="D829" t="inlineStr">
        <is>
          <t>JÄMTLANDS LÄN</t>
        </is>
      </c>
      <c r="E829" t="inlineStr">
        <is>
          <t>RAGUNDA</t>
        </is>
      </c>
      <c r="F829" t="inlineStr">
        <is>
          <t>SCA</t>
        </is>
      </c>
      <c r="G829" t="n">
        <v>84</v>
      </c>
      <c r="H829" t="n">
        <v>0</v>
      </c>
      <c r="I829" t="n">
        <v>0</v>
      </c>
      <c r="J829" t="n">
        <v>0</v>
      </c>
      <c r="K829" t="n">
        <v>0</v>
      </c>
      <c r="L829" t="n">
        <v>0</v>
      </c>
      <c r="M829" t="n">
        <v>0</v>
      </c>
      <c r="N829" t="n">
        <v>0</v>
      </c>
      <c r="O829" t="n">
        <v>0</v>
      </c>
      <c r="P829" t="n">
        <v>0</v>
      </c>
      <c r="Q829" t="n">
        <v>0</v>
      </c>
      <c r="R829" s="2" t="inlineStr"/>
    </row>
    <row r="830" ht="15" customHeight="1">
      <c r="A830" t="inlineStr">
        <is>
          <t>A 42893-2022</t>
        </is>
      </c>
      <c r="B830" s="1" t="n">
        <v>44832</v>
      </c>
      <c r="C830" s="1" t="n">
        <v>45742</v>
      </c>
      <c r="D830" t="inlineStr">
        <is>
          <t>JÄMTLANDS LÄN</t>
        </is>
      </c>
      <c r="E830" t="inlineStr">
        <is>
          <t>RAGUNDA</t>
        </is>
      </c>
      <c r="F830" t="inlineStr">
        <is>
          <t>SCA</t>
        </is>
      </c>
      <c r="G830" t="n">
        <v>28.4</v>
      </c>
      <c r="H830" t="n">
        <v>0</v>
      </c>
      <c r="I830" t="n">
        <v>0</v>
      </c>
      <c r="J830" t="n">
        <v>0</v>
      </c>
      <c r="K830" t="n">
        <v>0</v>
      </c>
      <c r="L830" t="n">
        <v>0</v>
      </c>
      <c r="M830" t="n">
        <v>0</v>
      </c>
      <c r="N830" t="n">
        <v>0</v>
      </c>
      <c r="O830" t="n">
        <v>0</v>
      </c>
      <c r="P830" t="n">
        <v>0</v>
      </c>
      <c r="Q830" t="n">
        <v>0</v>
      </c>
      <c r="R830" s="2" t="inlineStr"/>
    </row>
    <row r="831" ht="15" customHeight="1">
      <c r="A831" t="inlineStr">
        <is>
          <t>A 42900-2022</t>
        </is>
      </c>
      <c r="B831" s="1" t="n">
        <v>44833</v>
      </c>
      <c r="C831" s="1" t="n">
        <v>45742</v>
      </c>
      <c r="D831" t="inlineStr">
        <is>
          <t>JÄMTLANDS LÄN</t>
        </is>
      </c>
      <c r="E831" t="inlineStr">
        <is>
          <t>RAGUNDA</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42901-2022</t>
        </is>
      </c>
      <c r="B832" s="1" t="n">
        <v>44832</v>
      </c>
      <c r="C832" s="1" t="n">
        <v>45742</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43147-2022</t>
        </is>
      </c>
      <c r="B833" s="1" t="n">
        <v>44834</v>
      </c>
      <c r="C833" s="1" t="n">
        <v>45742</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43163-2022</t>
        </is>
      </c>
      <c r="B834" s="1" t="n">
        <v>44834</v>
      </c>
      <c r="C834" s="1" t="n">
        <v>45742</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43478-2022</t>
        </is>
      </c>
      <c r="B835" s="1" t="n">
        <v>44837</v>
      </c>
      <c r="C835" s="1" t="n">
        <v>45742</v>
      </c>
      <c r="D835" t="inlineStr">
        <is>
          <t>JÄMTLANDS LÄN</t>
        </is>
      </c>
      <c r="E835" t="inlineStr">
        <is>
          <t>RAGUNDA</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43793-2022</t>
        </is>
      </c>
      <c r="B836" s="1" t="n">
        <v>44837</v>
      </c>
      <c r="C836" s="1" t="n">
        <v>45742</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43794-2022</t>
        </is>
      </c>
      <c r="B837" s="1" t="n">
        <v>44837</v>
      </c>
      <c r="C837" s="1" t="n">
        <v>45742</v>
      </c>
      <c r="D837" t="inlineStr">
        <is>
          <t>JÄMTLANDS LÄN</t>
        </is>
      </c>
      <c r="E837" t="inlineStr">
        <is>
          <t>RAGUNDA</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44050-2022</t>
        </is>
      </c>
      <c r="B838" s="1" t="n">
        <v>44838</v>
      </c>
      <c r="C838" s="1" t="n">
        <v>45742</v>
      </c>
      <c r="D838" t="inlineStr">
        <is>
          <t>JÄMTLANDS LÄN</t>
        </is>
      </c>
      <c r="E838" t="inlineStr">
        <is>
          <t>RAGUNDA</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44536-2022</t>
        </is>
      </c>
      <c r="B839" s="1" t="n">
        <v>44839</v>
      </c>
      <c r="C839" s="1" t="n">
        <v>45742</v>
      </c>
      <c r="D839" t="inlineStr">
        <is>
          <t>JÄMTLANDS LÄN</t>
        </is>
      </c>
      <c r="E839" t="inlineStr">
        <is>
          <t>RAGUNDA</t>
        </is>
      </c>
      <c r="G839" t="n">
        <v>4</v>
      </c>
      <c r="H839" t="n">
        <v>0</v>
      </c>
      <c r="I839" t="n">
        <v>0</v>
      </c>
      <c r="J839" t="n">
        <v>0</v>
      </c>
      <c r="K839" t="n">
        <v>0</v>
      </c>
      <c r="L839" t="n">
        <v>0</v>
      </c>
      <c r="M839" t="n">
        <v>0</v>
      </c>
      <c r="N839" t="n">
        <v>0</v>
      </c>
      <c r="O839" t="n">
        <v>0</v>
      </c>
      <c r="P839" t="n">
        <v>0</v>
      </c>
      <c r="Q839" t="n">
        <v>0</v>
      </c>
      <c r="R839" s="2" t="inlineStr"/>
    </row>
    <row r="840" ht="15" customHeight="1">
      <c r="A840" t="inlineStr">
        <is>
          <t>A 44600-2022</t>
        </is>
      </c>
      <c r="B840" s="1" t="n">
        <v>44839</v>
      </c>
      <c r="C840" s="1" t="n">
        <v>45742</v>
      </c>
      <c r="D840" t="inlineStr">
        <is>
          <t>JÄMTLANDS LÄN</t>
        </is>
      </c>
      <c r="E840" t="inlineStr">
        <is>
          <t>RAGUNDA</t>
        </is>
      </c>
      <c r="G840" t="n">
        <v>1.6</v>
      </c>
      <c r="H840" t="n">
        <v>0</v>
      </c>
      <c r="I840" t="n">
        <v>0</v>
      </c>
      <c r="J840" t="n">
        <v>0</v>
      </c>
      <c r="K840" t="n">
        <v>0</v>
      </c>
      <c r="L840" t="n">
        <v>0</v>
      </c>
      <c r="M840" t="n">
        <v>0</v>
      </c>
      <c r="N840" t="n">
        <v>0</v>
      </c>
      <c r="O840" t="n">
        <v>0</v>
      </c>
      <c r="P840" t="n">
        <v>0</v>
      </c>
      <c r="Q840" t="n">
        <v>0</v>
      </c>
      <c r="R840" s="2" t="inlineStr"/>
    </row>
    <row r="841" ht="15" customHeight="1">
      <c r="A841" t="inlineStr">
        <is>
          <t>A 44767-2022</t>
        </is>
      </c>
      <c r="B841" s="1" t="n">
        <v>44840</v>
      </c>
      <c r="C841" s="1" t="n">
        <v>45742</v>
      </c>
      <c r="D841" t="inlineStr">
        <is>
          <t>JÄMTLANDS LÄN</t>
        </is>
      </c>
      <c r="E841" t="inlineStr">
        <is>
          <t>RAGUNDA</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44766-2022</t>
        </is>
      </c>
      <c r="B842" s="1" t="n">
        <v>44841</v>
      </c>
      <c r="C842" s="1" t="n">
        <v>45742</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45437-2022</t>
        </is>
      </c>
      <c r="B843" s="1" t="n">
        <v>44844</v>
      </c>
      <c r="C843" s="1" t="n">
        <v>45742</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45438-2022</t>
        </is>
      </c>
      <c r="B844" s="1" t="n">
        <v>44845</v>
      </c>
      <c r="C844" s="1" t="n">
        <v>45742</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45708-2022</t>
        </is>
      </c>
      <c r="B845" s="1" t="n">
        <v>44846</v>
      </c>
      <c r="C845" s="1" t="n">
        <v>45742</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45712-2022</t>
        </is>
      </c>
      <c r="B846" s="1" t="n">
        <v>44845</v>
      </c>
      <c r="C846" s="1" t="n">
        <v>45742</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45710-2022</t>
        </is>
      </c>
      <c r="B847" s="1" t="n">
        <v>44845</v>
      </c>
      <c r="C847" s="1" t="n">
        <v>45742</v>
      </c>
      <c r="D847" t="inlineStr">
        <is>
          <t>JÄMTLANDS LÄN</t>
        </is>
      </c>
      <c r="E847" t="inlineStr">
        <is>
          <t>RAGUNDA</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45718-2022</t>
        </is>
      </c>
      <c r="B848" s="1" t="n">
        <v>44845</v>
      </c>
      <c r="C848" s="1" t="n">
        <v>45742</v>
      </c>
      <c r="D848" t="inlineStr">
        <is>
          <t>JÄMTLANDS LÄN</t>
        </is>
      </c>
      <c r="E848" t="inlineStr">
        <is>
          <t>RAGUNDA</t>
        </is>
      </c>
      <c r="F848" t="inlineStr">
        <is>
          <t>SCA</t>
        </is>
      </c>
      <c r="G848" t="n">
        <v>19.3</v>
      </c>
      <c r="H848" t="n">
        <v>0</v>
      </c>
      <c r="I848" t="n">
        <v>0</v>
      </c>
      <c r="J848" t="n">
        <v>0</v>
      </c>
      <c r="K848" t="n">
        <v>0</v>
      </c>
      <c r="L848" t="n">
        <v>0</v>
      </c>
      <c r="M848" t="n">
        <v>0</v>
      </c>
      <c r="N848" t="n">
        <v>0</v>
      </c>
      <c r="O848" t="n">
        <v>0</v>
      </c>
      <c r="P848" t="n">
        <v>0</v>
      </c>
      <c r="Q848" t="n">
        <v>0</v>
      </c>
      <c r="R848" s="2" t="inlineStr"/>
    </row>
    <row r="849" ht="15" customHeight="1">
      <c r="A849" t="inlineStr">
        <is>
          <t>A 45715-2022</t>
        </is>
      </c>
      <c r="B849" s="1" t="n">
        <v>44845</v>
      </c>
      <c r="C849" s="1" t="n">
        <v>45742</v>
      </c>
      <c r="D849" t="inlineStr">
        <is>
          <t>JÄMTLANDS LÄN</t>
        </is>
      </c>
      <c r="E849" t="inlineStr">
        <is>
          <t>RAGUNDA</t>
        </is>
      </c>
      <c r="F849" t="inlineStr">
        <is>
          <t>SCA</t>
        </is>
      </c>
      <c r="G849" t="n">
        <v>8.6</v>
      </c>
      <c r="H849" t="n">
        <v>0</v>
      </c>
      <c r="I849" t="n">
        <v>0</v>
      </c>
      <c r="J849" t="n">
        <v>0</v>
      </c>
      <c r="K849" t="n">
        <v>0</v>
      </c>
      <c r="L849" t="n">
        <v>0</v>
      </c>
      <c r="M849" t="n">
        <v>0</v>
      </c>
      <c r="N849" t="n">
        <v>0</v>
      </c>
      <c r="O849" t="n">
        <v>0</v>
      </c>
      <c r="P849" t="n">
        <v>0</v>
      </c>
      <c r="Q849" t="n">
        <v>0</v>
      </c>
      <c r="R849" s="2" t="inlineStr"/>
    </row>
    <row r="850" ht="15" customHeight="1">
      <c r="A850" t="inlineStr">
        <is>
          <t>A 46047-2022</t>
        </is>
      </c>
      <c r="B850" s="1" t="n">
        <v>44847</v>
      </c>
      <c r="C850" s="1" t="n">
        <v>45742</v>
      </c>
      <c r="D850" t="inlineStr">
        <is>
          <t>JÄMTLANDS LÄN</t>
        </is>
      </c>
      <c r="E850" t="inlineStr">
        <is>
          <t>RAGUNDA</t>
        </is>
      </c>
      <c r="F850" t="inlineStr">
        <is>
          <t>SCA</t>
        </is>
      </c>
      <c r="G850" t="n">
        <v>6.7</v>
      </c>
      <c r="H850" t="n">
        <v>0</v>
      </c>
      <c r="I850" t="n">
        <v>0</v>
      </c>
      <c r="J850" t="n">
        <v>0</v>
      </c>
      <c r="K850" t="n">
        <v>0</v>
      </c>
      <c r="L850" t="n">
        <v>0</v>
      </c>
      <c r="M850" t="n">
        <v>0</v>
      </c>
      <c r="N850" t="n">
        <v>0</v>
      </c>
      <c r="O850" t="n">
        <v>0</v>
      </c>
      <c r="P850" t="n">
        <v>0</v>
      </c>
      <c r="Q850" t="n">
        <v>0</v>
      </c>
      <c r="R850" s="2" t="inlineStr"/>
    </row>
    <row r="851" ht="15" customHeight="1">
      <c r="A851" t="inlineStr">
        <is>
          <t>A 46040-2022</t>
        </is>
      </c>
      <c r="B851" s="1" t="n">
        <v>44847</v>
      </c>
      <c r="C851" s="1" t="n">
        <v>45742</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46050-2022</t>
        </is>
      </c>
      <c r="B852" s="1" t="n">
        <v>44846</v>
      </c>
      <c r="C852" s="1" t="n">
        <v>45742</v>
      </c>
      <c r="D852" t="inlineStr">
        <is>
          <t>JÄMTLANDS LÄN</t>
        </is>
      </c>
      <c r="E852" t="inlineStr">
        <is>
          <t>RAGUNDA</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46049-2022</t>
        </is>
      </c>
      <c r="B853" s="1" t="n">
        <v>44847</v>
      </c>
      <c r="C853" s="1" t="n">
        <v>45742</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46048-2022</t>
        </is>
      </c>
      <c r="B854" s="1" t="n">
        <v>44846</v>
      </c>
      <c r="C854" s="1" t="n">
        <v>45742</v>
      </c>
      <c r="D854" t="inlineStr">
        <is>
          <t>JÄMTLANDS LÄN</t>
        </is>
      </c>
      <c r="E854" t="inlineStr">
        <is>
          <t>RAGUNDA</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46991-2022</t>
        </is>
      </c>
      <c r="B855" s="1" t="n">
        <v>44852</v>
      </c>
      <c r="C855" s="1" t="n">
        <v>45742</v>
      </c>
      <c r="D855" t="inlineStr">
        <is>
          <t>JÄMTLANDS LÄN</t>
        </is>
      </c>
      <c r="E855" t="inlineStr">
        <is>
          <t>RAGUNDA</t>
        </is>
      </c>
      <c r="F855" t="inlineStr">
        <is>
          <t>SCA</t>
        </is>
      </c>
      <c r="G855" t="n">
        <v>17.3</v>
      </c>
      <c r="H855" t="n">
        <v>0</v>
      </c>
      <c r="I855" t="n">
        <v>0</v>
      </c>
      <c r="J855" t="n">
        <v>0</v>
      </c>
      <c r="K855" t="n">
        <v>0</v>
      </c>
      <c r="L855" t="n">
        <v>0</v>
      </c>
      <c r="M855" t="n">
        <v>0</v>
      </c>
      <c r="N855" t="n">
        <v>0</v>
      </c>
      <c r="O855" t="n">
        <v>0</v>
      </c>
      <c r="P855" t="n">
        <v>0</v>
      </c>
      <c r="Q855" t="n">
        <v>0</v>
      </c>
      <c r="R855" s="2" t="inlineStr"/>
    </row>
    <row r="856" ht="15" customHeight="1">
      <c r="A856" t="inlineStr">
        <is>
          <t>A 46992-2022</t>
        </is>
      </c>
      <c r="B856" s="1" t="n">
        <v>44852</v>
      </c>
      <c r="C856" s="1" t="n">
        <v>45742</v>
      </c>
      <c r="D856" t="inlineStr">
        <is>
          <t>JÄMTLANDS LÄN</t>
        </is>
      </c>
      <c r="E856" t="inlineStr">
        <is>
          <t>RAGUNDA</t>
        </is>
      </c>
      <c r="F856" t="inlineStr">
        <is>
          <t>SCA</t>
        </is>
      </c>
      <c r="G856" t="n">
        <v>26.4</v>
      </c>
      <c r="H856" t="n">
        <v>0</v>
      </c>
      <c r="I856" t="n">
        <v>0</v>
      </c>
      <c r="J856" t="n">
        <v>0</v>
      </c>
      <c r="K856" t="n">
        <v>0</v>
      </c>
      <c r="L856" t="n">
        <v>0</v>
      </c>
      <c r="M856" t="n">
        <v>0</v>
      </c>
      <c r="N856" t="n">
        <v>0</v>
      </c>
      <c r="O856" t="n">
        <v>0</v>
      </c>
      <c r="P856" t="n">
        <v>0</v>
      </c>
      <c r="Q856" t="n">
        <v>0</v>
      </c>
      <c r="R856" s="2" t="inlineStr"/>
    </row>
    <row r="857" ht="15" customHeight="1">
      <c r="A857" t="inlineStr">
        <is>
          <t>A 47262-2022</t>
        </is>
      </c>
      <c r="B857" s="1" t="n">
        <v>44852</v>
      </c>
      <c r="C857" s="1" t="n">
        <v>45742</v>
      </c>
      <c r="D857" t="inlineStr">
        <is>
          <t>JÄMTLANDS LÄN</t>
        </is>
      </c>
      <c r="E857" t="inlineStr">
        <is>
          <t>RAGUNDA</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47280-2022</t>
        </is>
      </c>
      <c r="B858" s="1" t="n">
        <v>44852</v>
      </c>
      <c r="C858" s="1" t="n">
        <v>45742</v>
      </c>
      <c r="D858" t="inlineStr">
        <is>
          <t>JÄMTLANDS LÄN</t>
        </is>
      </c>
      <c r="E858" t="inlineStr">
        <is>
          <t>RAGUNDA</t>
        </is>
      </c>
      <c r="F858" t="inlineStr">
        <is>
          <t>SCA</t>
        </is>
      </c>
      <c r="G858" t="n">
        <v>4.7</v>
      </c>
      <c r="H858" t="n">
        <v>0</v>
      </c>
      <c r="I858" t="n">
        <v>0</v>
      </c>
      <c r="J858" t="n">
        <v>0</v>
      </c>
      <c r="K858" t="n">
        <v>0</v>
      </c>
      <c r="L858" t="n">
        <v>0</v>
      </c>
      <c r="M858" t="n">
        <v>0</v>
      </c>
      <c r="N858" t="n">
        <v>0</v>
      </c>
      <c r="O858" t="n">
        <v>0</v>
      </c>
      <c r="P858" t="n">
        <v>0</v>
      </c>
      <c r="Q858" t="n">
        <v>0</v>
      </c>
      <c r="R858" s="2" t="inlineStr"/>
    </row>
    <row r="859" ht="15" customHeight="1">
      <c r="A859" t="inlineStr">
        <is>
          <t>A 47278-2022</t>
        </is>
      </c>
      <c r="B859" s="1" t="n">
        <v>44852</v>
      </c>
      <c r="C859" s="1" t="n">
        <v>45742</v>
      </c>
      <c r="D859" t="inlineStr">
        <is>
          <t>JÄMTLANDS LÄN</t>
        </is>
      </c>
      <c r="E859" t="inlineStr">
        <is>
          <t>RAGUNDA</t>
        </is>
      </c>
      <c r="F859" t="inlineStr">
        <is>
          <t>SCA</t>
        </is>
      </c>
      <c r="G859" t="n">
        <v>10.1</v>
      </c>
      <c r="H859" t="n">
        <v>0</v>
      </c>
      <c r="I859" t="n">
        <v>0</v>
      </c>
      <c r="J859" t="n">
        <v>0</v>
      </c>
      <c r="K859" t="n">
        <v>0</v>
      </c>
      <c r="L859" t="n">
        <v>0</v>
      </c>
      <c r="M859" t="n">
        <v>0</v>
      </c>
      <c r="N859" t="n">
        <v>0</v>
      </c>
      <c r="O859" t="n">
        <v>0</v>
      </c>
      <c r="P859" t="n">
        <v>0</v>
      </c>
      <c r="Q859" t="n">
        <v>0</v>
      </c>
      <c r="R859" s="2" t="inlineStr"/>
    </row>
    <row r="860" ht="15" customHeight="1">
      <c r="A860" t="inlineStr">
        <is>
          <t>A 47567-2022</t>
        </is>
      </c>
      <c r="B860" s="1" t="n">
        <v>44853</v>
      </c>
      <c r="C860" s="1" t="n">
        <v>45742</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47568-2022</t>
        </is>
      </c>
      <c r="B861" s="1" t="n">
        <v>44854</v>
      </c>
      <c r="C861" s="1" t="n">
        <v>45742</v>
      </c>
      <c r="D861" t="inlineStr">
        <is>
          <t>JÄMTLANDS LÄN</t>
        </is>
      </c>
      <c r="E861" t="inlineStr">
        <is>
          <t>RAGUNDA</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47801-2022</t>
        </is>
      </c>
      <c r="B862" s="1" t="n">
        <v>44854</v>
      </c>
      <c r="C862" s="1" t="n">
        <v>45742</v>
      </c>
      <c r="D862" t="inlineStr">
        <is>
          <t>JÄMTLANDS LÄN</t>
        </is>
      </c>
      <c r="E862" t="inlineStr">
        <is>
          <t>RAGUNDA</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47803-2022</t>
        </is>
      </c>
      <c r="B863" s="1" t="n">
        <v>44855</v>
      </c>
      <c r="C863" s="1" t="n">
        <v>45742</v>
      </c>
      <c r="D863" t="inlineStr">
        <is>
          <t>JÄMTLANDS LÄN</t>
        </is>
      </c>
      <c r="E863" t="inlineStr">
        <is>
          <t>RAGUNDA</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48060-2022</t>
        </is>
      </c>
      <c r="B864" s="1" t="n">
        <v>44856</v>
      </c>
      <c r="C864" s="1" t="n">
        <v>45742</v>
      </c>
      <c r="D864" t="inlineStr">
        <is>
          <t>JÄMTLANDS LÄN</t>
        </is>
      </c>
      <c r="E864" t="inlineStr">
        <is>
          <t>RAGUNDA</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48055-2022</t>
        </is>
      </c>
      <c r="B865" s="1" t="n">
        <v>44856</v>
      </c>
      <c r="C865" s="1" t="n">
        <v>45742</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48058-2022</t>
        </is>
      </c>
      <c r="B866" s="1" t="n">
        <v>44856</v>
      </c>
      <c r="C866" s="1" t="n">
        <v>45742</v>
      </c>
      <c r="D866" t="inlineStr">
        <is>
          <t>JÄMTLANDS LÄN</t>
        </is>
      </c>
      <c r="E866" t="inlineStr">
        <is>
          <t>RAGUNDA</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48066-2022</t>
        </is>
      </c>
      <c r="B867" s="1" t="n">
        <v>44855</v>
      </c>
      <c r="C867" s="1" t="n">
        <v>45742</v>
      </c>
      <c r="D867" t="inlineStr">
        <is>
          <t>JÄMTLANDS LÄN</t>
        </is>
      </c>
      <c r="E867" t="inlineStr">
        <is>
          <t>RAGUNDA</t>
        </is>
      </c>
      <c r="F867" t="inlineStr">
        <is>
          <t>SCA</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48076-2022</t>
        </is>
      </c>
      <c r="B868" s="1" t="n">
        <v>44856</v>
      </c>
      <c r="C868" s="1" t="n">
        <v>45742</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48053-2022</t>
        </is>
      </c>
      <c r="B869" s="1" t="n">
        <v>44856</v>
      </c>
      <c r="C869" s="1" t="n">
        <v>45742</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48075-2022</t>
        </is>
      </c>
      <c r="B870" s="1" t="n">
        <v>44855</v>
      </c>
      <c r="C870" s="1" t="n">
        <v>45742</v>
      </c>
      <c r="D870" t="inlineStr">
        <is>
          <t>JÄMTLANDS LÄN</t>
        </is>
      </c>
      <c r="E870" t="inlineStr">
        <is>
          <t>RAGUNDA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48086-2022</t>
        </is>
      </c>
      <c r="B871" s="1" t="n">
        <v>44856</v>
      </c>
      <c r="C871" s="1" t="n">
        <v>45742</v>
      </c>
      <c r="D871" t="inlineStr">
        <is>
          <t>JÄMTLANDS LÄN</t>
        </is>
      </c>
      <c r="E871" t="inlineStr">
        <is>
          <t>RAGUNDA</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48085-2022</t>
        </is>
      </c>
      <c r="B872" s="1" t="n">
        <v>44855</v>
      </c>
      <c r="C872" s="1" t="n">
        <v>45742</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48536-2022</t>
        </is>
      </c>
      <c r="B873" s="1" t="n">
        <v>44858</v>
      </c>
      <c r="C873" s="1" t="n">
        <v>45742</v>
      </c>
      <c r="D873" t="inlineStr">
        <is>
          <t>JÄMTLANDS LÄN</t>
        </is>
      </c>
      <c r="E873" t="inlineStr">
        <is>
          <t>RAGUNDA</t>
        </is>
      </c>
      <c r="F873" t="inlineStr">
        <is>
          <t>SCA</t>
        </is>
      </c>
      <c r="G873" t="n">
        <v>9.5</v>
      </c>
      <c r="H873" t="n">
        <v>0</v>
      </c>
      <c r="I873" t="n">
        <v>0</v>
      </c>
      <c r="J873" t="n">
        <v>0</v>
      </c>
      <c r="K873" t="n">
        <v>0</v>
      </c>
      <c r="L873" t="n">
        <v>0</v>
      </c>
      <c r="M873" t="n">
        <v>0</v>
      </c>
      <c r="N873" t="n">
        <v>0</v>
      </c>
      <c r="O873" t="n">
        <v>0</v>
      </c>
      <c r="P873" t="n">
        <v>0</v>
      </c>
      <c r="Q873" t="n">
        <v>0</v>
      </c>
      <c r="R873" s="2" t="inlineStr"/>
    </row>
    <row r="874" ht="15" customHeight="1">
      <c r="A874" t="inlineStr">
        <is>
          <t>A 48538-2022</t>
        </is>
      </c>
      <c r="B874" s="1" t="n">
        <v>44858</v>
      </c>
      <c r="C874" s="1" t="n">
        <v>45742</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48522-2022</t>
        </is>
      </c>
      <c r="B875" s="1" t="n">
        <v>44859</v>
      </c>
      <c r="C875" s="1" t="n">
        <v>45742</v>
      </c>
      <c r="D875" t="inlineStr">
        <is>
          <t>JÄMTLANDS LÄN</t>
        </is>
      </c>
      <c r="E875" t="inlineStr">
        <is>
          <t>RAGUNDA</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48534-2022</t>
        </is>
      </c>
      <c r="B876" s="1" t="n">
        <v>44859</v>
      </c>
      <c r="C876" s="1" t="n">
        <v>45742</v>
      </c>
      <c r="D876" t="inlineStr">
        <is>
          <t>JÄMTLANDS LÄN</t>
        </is>
      </c>
      <c r="E876" t="inlineStr">
        <is>
          <t>RAGUNDA</t>
        </is>
      </c>
      <c r="F876" t="inlineStr">
        <is>
          <t>SCA</t>
        </is>
      </c>
      <c r="G876" t="n">
        <v>6.7</v>
      </c>
      <c r="H876" t="n">
        <v>0</v>
      </c>
      <c r="I876" t="n">
        <v>0</v>
      </c>
      <c r="J876" t="n">
        <v>0</v>
      </c>
      <c r="K876" t="n">
        <v>0</v>
      </c>
      <c r="L876" t="n">
        <v>0</v>
      </c>
      <c r="M876" t="n">
        <v>0</v>
      </c>
      <c r="N876" t="n">
        <v>0</v>
      </c>
      <c r="O876" t="n">
        <v>0</v>
      </c>
      <c r="P876" t="n">
        <v>0</v>
      </c>
      <c r="Q876" t="n">
        <v>0</v>
      </c>
      <c r="R876" s="2" t="inlineStr"/>
    </row>
    <row r="877" ht="15" customHeight="1">
      <c r="A877" t="inlineStr">
        <is>
          <t>A 48938-2022</t>
        </is>
      </c>
      <c r="B877" s="1" t="n">
        <v>44860</v>
      </c>
      <c r="C877" s="1" t="n">
        <v>45742</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49183-2022</t>
        </is>
      </c>
      <c r="B878" s="1" t="n">
        <v>44860</v>
      </c>
      <c r="C878" s="1" t="n">
        <v>45742</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49182-2022</t>
        </is>
      </c>
      <c r="B879" s="1" t="n">
        <v>44861</v>
      </c>
      <c r="C879" s="1" t="n">
        <v>45742</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49197-2022</t>
        </is>
      </c>
      <c r="B880" s="1" t="n">
        <v>44860</v>
      </c>
      <c r="C880" s="1" t="n">
        <v>45742</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49531-2022</t>
        </is>
      </c>
      <c r="B881" s="1" t="n">
        <v>44861</v>
      </c>
      <c r="C881" s="1" t="n">
        <v>45742</v>
      </c>
      <c r="D881" t="inlineStr">
        <is>
          <t>JÄMTLANDS LÄN</t>
        </is>
      </c>
      <c r="E881" t="inlineStr">
        <is>
          <t>RAGUNDA</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49530-2022</t>
        </is>
      </c>
      <c r="B882" s="1" t="n">
        <v>44861</v>
      </c>
      <c r="C882" s="1" t="n">
        <v>45742</v>
      </c>
      <c r="D882" t="inlineStr">
        <is>
          <t>JÄMTLANDS LÄN</t>
        </is>
      </c>
      <c r="E882" t="inlineStr">
        <is>
          <t>RAGUNDA</t>
        </is>
      </c>
      <c r="F882" t="inlineStr">
        <is>
          <t>SCA</t>
        </is>
      </c>
      <c r="G882" t="n">
        <v>13.4</v>
      </c>
      <c r="H882" t="n">
        <v>0</v>
      </c>
      <c r="I882" t="n">
        <v>0</v>
      </c>
      <c r="J882" t="n">
        <v>0</v>
      </c>
      <c r="K882" t="n">
        <v>0</v>
      </c>
      <c r="L882" t="n">
        <v>0</v>
      </c>
      <c r="M882" t="n">
        <v>0</v>
      </c>
      <c r="N882" t="n">
        <v>0</v>
      </c>
      <c r="O882" t="n">
        <v>0</v>
      </c>
      <c r="P882" t="n">
        <v>0</v>
      </c>
      <c r="Q882" t="n">
        <v>0</v>
      </c>
      <c r="R882" s="2" t="inlineStr"/>
    </row>
    <row r="883" ht="15" customHeight="1">
      <c r="A883" t="inlineStr">
        <is>
          <t>A 49544-2022</t>
        </is>
      </c>
      <c r="B883" s="1" t="n">
        <v>44862</v>
      </c>
      <c r="C883" s="1" t="n">
        <v>45742</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49543-2022</t>
        </is>
      </c>
      <c r="B884" s="1" t="n">
        <v>44862</v>
      </c>
      <c r="C884" s="1" t="n">
        <v>45742</v>
      </c>
      <c r="D884" t="inlineStr">
        <is>
          <t>JÄMTLANDS LÄN</t>
        </is>
      </c>
      <c r="E884" t="inlineStr">
        <is>
          <t>RAGUNDA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49844-2022</t>
        </is>
      </c>
      <c r="B885" s="1" t="n">
        <v>44863</v>
      </c>
      <c r="C885" s="1" t="n">
        <v>45742</v>
      </c>
      <c r="D885" t="inlineStr">
        <is>
          <t>JÄMTLANDS LÄN</t>
        </is>
      </c>
      <c r="E885" t="inlineStr">
        <is>
          <t>RAGUNDA</t>
        </is>
      </c>
      <c r="G885" t="n">
        <v>3.9</v>
      </c>
      <c r="H885" t="n">
        <v>0</v>
      </c>
      <c r="I885" t="n">
        <v>0</v>
      </c>
      <c r="J885" t="n">
        <v>0</v>
      </c>
      <c r="K885" t="n">
        <v>0</v>
      </c>
      <c r="L885" t="n">
        <v>0</v>
      </c>
      <c r="M885" t="n">
        <v>0</v>
      </c>
      <c r="N885" t="n">
        <v>0</v>
      </c>
      <c r="O885" t="n">
        <v>0</v>
      </c>
      <c r="P885" t="n">
        <v>0</v>
      </c>
      <c r="Q885" t="n">
        <v>0</v>
      </c>
      <c r="R885" s="2" t="inlineStr"/>
    </row>
    <row r="886" ht="15" customHeight="1">
      <c r="A886" t="inlineStr">
        <is>
          <t>A 49904-2022</t>
        </is>
      </c>
      <c r="B886" s="1" t="n">
        <v>44864</v>
      </c>
      <c r="C886" s="1" t="n">
        <v>45742</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50087-2022</t>
        </is>
      </c>
      <c r="B887" s="1" t="n">
        <v>44865</v>
      </c>
      <c r="C887" s="1" t="n">
        <v>45742</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50649-2022</t>
        </is>
      </c>
      <c r="B888" s="1" t="n">
        <v>44866</v>
      </c>
      <c r="C888" s="1" t="n">
        <v>45742</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50682-2022</t>
        </is>
      </c>
      <c r="B889" s="1" t="n">
        <v>44866</v>
      </c>
      <c r="C889" s="1" t="n">
        <v>45742</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51012-2022</t>
        </is>
      </c>
      <c r="B890" s="1" t="n">
        <v>44867</v>
      </c>
      <c r="C890" s="1" t="n">
        <v>45742</v>
      </c>
      <c r="D890" t="inlineStr">
        <is>
          <t>JÄMTLANDS LÄN</t>
        </is>
      </c>
      <c r="E890" t="inlineStr">
        <is>
          <t>RAGUNDA</t>
        </is>
      </c>
      <c r="F890" t="inlineStr">
        <is>
          <t>Sveaskog</t>
        </is>
      </c>
      <c r="G890" t="n">
        <v>8.4</v>
      </c>
      <c r="H890" t="n">
        <v>0</v>
      </c>
      <c r="I890" t="n">
        <v>0</v>
      </c>
      <c r="J890" t="n">
        <v>0</v>
      </c>
      <c r="K890" t="n">
        <v>0</v>
      </c>
      <c r="L890" t="n">
        <v>0</v>
      </c>
      <c r="M890" t="n">
        <v>0</v>
      </c>
      <c r="N890" t="n">
        <v>0</v>
      </c>
      <c r="O890" t="n">
        <v>0</v>
      </c>
      <c r="P890" t="n">
        <v>0</v>
      </c>
      <c r="Q890" t="n">
        <v>0</v>
      </c>
      <c r="R890" s="2" t="inlineStr"/>
    </row>
    <row r="891" ht="15" customHeight="1">
      <c r="A891" t="inlineStr">
        <is>
          <t>A 51540-2022</t>
        </is>
      </c>
      <c r="B891" s="1" t="n">
        <v>44869</v>
      </c>
      <c r="C891" s="1" t="n">
        <v>45742</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51538-2022</t>
        </is>
      </c>
      <c r="B892" s="1" t="n">
        <v>44869</v>
      </c>
      <c r="C892" s="1" t="n">
        <v>45742</v>
      </c>
      <c r="D892" t="inlineStr">
        <is>
          <t>JÄMTLANDS LÄN</t>
        </is>
      </c>
      <c r="E892" t="inlineStr">
        <is>
          <t>RAGUNDA</t>
        </is>
      </c>
      <c r="G892" t="n">
        <v>6.8</v>
      </c>
      <c r="H892" t="n">
        <v>0</v>
      </c>
      <c r="I892" t="n">
        <v>0</v>
      </c>
      <c r="J892" t="n">
        <v>0</v>
      </c>
      <c r="K892" t="n">
        <v>0</v>
      </c>
      <c r="L892" t="n">
        <v>0</v>
      </c>
      <c r="M892" t="n">
        <v>0</v>
      </c>
      <c r="N892" t="n">
        <v>0</v>
      </c>
      <c r="O892" t="n">
        <v>0</v>
      </c>
      <c r="P892" t="n">
        <v>0</v>
      </c>
      <c r="Q892" t="n">
        <v>0</v>
      </c>
      <c r="R892" s="2" t="inlineStr"/>
    </row>
    <row r="893" ht="15" customHeight="1">
      <c r="A893" t="inlineStr">
        <is>
          <t>A 51537-2022</t>
        </is>
      </c>
      <c r="B893" s="1" t="n">
        <v>44869</v>
      </c>
      <c r="C893" s="1" t="n">
        <v>45742</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52697-2022</t>
        </is>
      </c>
      <c r="B894" s="1" t="n">
        <v>44874</v>
      </c>
      <c r="C894" s="1" t="n">
        <v>45742</v>
      </c>
      <c r="D894" t="inlineStr">
        <is>
          <t>JÄMTLANDS LÄN</t>
        </is>
      </c>
      <c r="E894" t="inlineStr">
        <is>
          <t>RAGUNDA</t>
        </is>
      </c>
      <c r="G894" t="n">
        <v>3.9</v>
      </c>
      <c r="H894" t="n">
        <v>0</v>
      </c>
      <c r="I894" t="n">
        <v>0</v>
      </c>
      <c r="J894" t="n">
        <v>0</v>
      </c>
      <c r="K894" t="n">
        <v>0</v>
      </c>
      <c r="L894" t="n">
        <v>0</v>
      </c>
      <c r="M894" t="n">
        <v>0</v>
      </c>
      <c r="N894" t="n">
        <v>0</v>
      </c>
      <c r="O894" t="n">
        <v>0</v>
      </c>
      <c r="P894" t="n">
        <v>0</v>
      </c>
      <c r="Q894" t="n">
        <v>0</v>
      </c>
      <c r="R894" s="2" t="inlineStr"/>
    </row>
    <row r="895" ht="15" customHeight="1">
      <c r="A895" t="inlineStr">
        <is>
          <t>A 52720-2022</t>
        </is>
      </c>
      <c r="B895" s="1" t="n">
        <v>44874</v>
      </c>
      <c r="C895" s="1" t="n">
        <v>45742</v>
      </c>
      <c r="D895" t="inlineStr">
        <is>
          <t>JÄMTLANDS LÄN</t>
        </is>
      </c>
      <c r="E895" t="inlineStr">
        <is>
          <t>RAGUNDA</t>
        </is>
      </c>
      <c r="F895" t="inlineStr">
        <is>
          <t>SCA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53287-2022</t>
        </is>
      </c>
      <c r="B896" s="1" t="n">
        <v>44876</v>
      </c>
      <c r="C896" s="1" t="n">
        <v>45742</v>
      </c>
      <c r="D896" t="inlineStr">
        <is>
          <t>JÄMTLANDS LÄN</t>
        </is>
      </c>
      <c r="E896" t="inlineStr">
        <is>
          <t>RAGUNDA</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53288-2022</t>
        </is>
      </c>
      <c r="B897" s="1" t="n">
        <v>44876</v>
      </c>
      <c r="C897" s="1" t="n">
        <v>45742</v>
      </c>
      <c r="D897" t="inlineStr">
        <is>
          <t>JÄMTLANDS LÄN</t>
        </is>
      </c>
      <c r="E897" t="inlineStr">
        <is>
          <t>RAGUNDA</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53676-2022</t>
        </is>
      </c>
      <c r="B898" s="1" t="n">
        <v>44879</v>
      </c>
      <c r="C898" s="1" t="n">
        <v>45742</v>
      </c>
      <c r="D898" t="inlineStr">
        <is>
          <t>JÄMTLANDS LÄN</t>
        </is>
      </c>
      <c r="E898" t="inlineStr">
        <is>
          <t>RAGUNDA</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53678-2022</t>
        </is>
      </c>
      <c r="B899" s="1" t="n">
        <v>44879</v>
      </c>
      <c r="C899" s="1" t="n">
        <v>45742</v>
      </c>
      <c r="D899" t="inlineStr">
        <is>
          <t>JÄMTLANDS LÄN</t>
        </is>
      </c>
      <c r="E899" t="inlineStr">
        <is>
          <t>RAGUNDA</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53677-2022</t>
        </is>
      </c>
      <c r="B900" s="1" t="n">
        <v>44879</v>
      </c>
      <c r="C900" s="1" t="n">
        <v>45742</v>
      </c>
      <c r="D900" t="inlineStr">
        <is>
          <t>JÄMTLANDS LÄN</t>
        </is>
      </c>
      <c r="E900" t="inlineStr">
        <is>
          <t>RAGUNDA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53674-2022</t>
        </is>
      </c>
      <c r="B901" s="1" t="n">
        <v>44879</v>
      </c>
      <c r="C901" s="1" t="n">
        <v>45742</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53935-2022</t>
        </is>
      </c>
      <c r="B902" s="1" t="n">
        <v>44880</v>
      </c>
      <c r="C902" s="1" t="n">
        <v>45742</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53954-2022</t>
        </is>
      </c>
      <c r="B903" s="1" t="n">
        <v>44880</v>
      </c>
      <c r="C903" s="1" t="n">
        <v>45742</v>
      </c>
      <c r="D903" t="inlineStr">
        <is>
          <t>JÄMTLANDS LÄN</t>
        </is>
      </c>
      <c r="E903" t="inlineStr">
        <is>
          <t>RAGUNDA</t>
        </is>
      </c>
      <c r="F903" t="inlineStr">
        <is>
          <t>SCA</t>
        </is>
      </c>
      <c r="G903" t="n">
        <v>9.6</v>
      </c>
      <c r="H903" t="n">
        <v>0</v>
      </c>
      <c r="I903" t="n">
        <v>0</v>
      </c>
      <c r="J903" t="n">
        <v>0</v>
      </c>
      <c r="K903" t="n">
        <v>0</v>
      </c>
      <c r="L903" t="n">
        <v>0</v>
      </c>
      <c r="M903" t="n">
        <v>0</v>
      </c>
      <c r="N903" t="n">
        <v>0</v>
      </c>
      <c r="O903" t="n">
        <v>0</v>
      </c>
      <c r="P903" t="n">
        <v>0</v>
      </c>
      <c r="Q903" t="n">
        <v>0</v>
      </c>
      <c r="R903" s="2" t="inlineStr"/>
    </row>
    <row r="904" ht="15" customHeight="1">
      <c r="A904" t="inlineStr">
        <is>
          <t>A 53951-2022</t>
        </is>
      </c>
      <c r="B904" s="1" t="n">
        <v>44880</v>
      </c>
      <c r="C904" s="1" t="n">
        <v>45742</v>
      </c>
      <c r="D904" t="inlineStr">
        <is>
          <t>JÄMTLANDS LÄN</t>
        </is>
      </c>
      <c r="E904" t="inlineStr">
        <is>
          <t>RAGUNDA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53952-2022</t>
        </is>
      </c>
      <c r="B905" s="1" t="n">
        <v>44880</v>
      </c>
      <c r="C905" s="1" t="n">
        <v>45742</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53958-2022</t>
        </is>
      </c>
      <c r="B906" s="1" t="n">
        <v>44880</v>
      </c>
      <c r="C906" s="1" t="n">
        <v>45742</v>
      </c>
      <c r="D906" t="inlineStr">
        <is>
          <t>JÄMTLANDS LÄN</t>
        </is>
      </c>
      <c r="E906" t="inlineStr">
        <is>
          <t>RAGUNDA</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53937-2022</t>
        </is>
      </c>
      <c r="B907" s="1" t="n">
        <v>44880</v>
      </c>
      <c r="C907" s="1" t="n">
        <v>45742</v>
      </c>
      <c r="D907" t="inlineStr">
        <is>
          <t>JÄMTLANDS LÄN</t>
        </is>
      </c>
      <c r="E907" t="inlineStr">
        <is>
          <t>RAGUNDA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53955-2022</t>
        </is>
      </c>
      <c r="B908" s="1" t="n">
        <v>44880</v>
      </c>
      <c r="C908" s="1" t="n">
        <v>45742</v>
      </c>
      <c r="D908" t="inlineStr">
        <is>
          <t>JÄMTLANDS LÄN</t>
        </is>
      </c>
      <c r="E908" t="inlineStr">
        <is>
          <t>RAGUNDA</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54244-2022</t>
        </is>
      </c>
      <c r="B909" s="1" t="n">
        <v>44881</v>
      </c>
      <c r="C909" s="1" t="n">
        <v>45742</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54570-2022</t>
        </is>
      </c>
      <c r="B910" s="1" t="n">
        <v>44882</v>
      </c>
      <c r="C910" s="1" t="n">
        <v>45742</v>
      </c>
      <c r="D910" t="inlineStr">
        <is>
          <t>JÄMTLANDS LÄN</t>
        </is>
      </c>
      <c r="E910" t="inlineStr">
        <is>
          <t>RAGUNDA</t>
        </is>
      </c>
      <c r="G910" t="n">
        <v>2.3</v>
      </c>
      <c r="H910" t="n">
        <v>0</v>
      </c>
      <c r="I910" t="n">
        <v>0</v>
      </c>
      <c r="J910" t="n">
        <v>0</v>
      </c>
      <c r="K910" t="n">
        <v>0</v>
      </c>
      <c r="L910" t="n">
        <v>0</v>
      </c>
      <c r="M910" t="n">
        <v>0</v>
      </c>
      <c r="N910" t="n">
        <v>0</v>
      </c>
      <c r="O910" t="n">
        <v>0</v>
      </c>
      <c r="P910" t="n">
        <v>0</v>
      </c>
      <c r="Q910" t="n">
        <v>0</v>
      </c>
      <c r="R910" s="2" t="inlineStr"/>
    </row>
    <row r="911" ht="15" customHeight="1">
      <c r="A911" t="inlineStr">
        <is>
          <t>A 54572-2022</t>
        </is>
      </c>
      <c r="B911" s="1" t="n">
        <v>44882</v>
      </c>
      <c r="C911" s="1" t="n">
        <v>45742</v>
      </c>
      <c r="D911" t="inlineStr">
        <is>
          <t>JÄMTLANDS LÄN</t>
        </is>
      </c>
      <c r="E911" t="inlineStr">
        <is>
          <t>RAGUNDA</t>
        </is>
      </c>
      <c r="G911" t="n">
        <v>10.1</v>
      </c>
      <c r="H911" t="n">
        <v>0</v>
      </c>
      <c r="I911" t="n">
        <v>0</v>
      </c>
      <c r="J911" t="n">
        <v>0</v>
      </c>
      <c r="K911" t="n">
        <v>0</v>
      </c>
      <c r="L911" t="n">
        <v>0</v>
      </c>
      <c r="M911" t="n">
        <v>0</v>
      </c>
      <c r="N911" t="n">
        <v>0</v>
      </c>
      <c r="O911" t="n">
        <v>0</v>
      </c>
      <c r="P911" t="n">
        <v>0</v>
      </c>
      <c r="Q911" t="n">
        <v>0</v>
      </c>
      <c r="R911" s="2" t="inlineStr"/>
    </row>
    <row r="912" ht="15" customHeight="1">
      <c r="A912" t="inlineStr">
        <is>
          <t>A 54836-2022</t>
        </is>
      </c>
      <c r="B912" s="1" t="n">
        <v>44883</v>
      </c>
      <c r="C912" s="1" t="n">
        <v>45742</v>
      </c>
      <c r="D912" t="inlineStr">
        <is>
          <t>JÄMTLANDS LÄN</t>
        </is>
      </c>
      <c r="E912" t="inlineStr">
        <is>
          <t>RAGUNDA</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54835-2022</t>
        </is>
      </c>
      <c r="B913" s="1" t="n">
        <v>44883</v>
      </c>
      <c r="C913" s="1" t="n">
        <v>45742</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54830-2022</t>
        </is>
      </c>
      <c r="B914" s="1" t="n">
        <v>44883</v>
      </c>
      <c r="C914" s="1" t="n">
        <v>45742</v>
      </c>
      <c r="D914" t="inlineStr">
        <is>
          <t>JÄMTLANDS LÄN</t>
        </is>
      </c>
      <c r="E914" t="inlineStr">
        <is>
          <t>RAGUNDA</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54837-2022</t>
        </is>
      </c>
      <c r="B915" s="1" t="n">
        <v>44883</v>
      </c>
      <c r="C915" s="1" t="n">
        <v>45742</v>
      </c>
      <c r="D915" t="inlineStr">
        <is>
          <t>JÄMTLANDS LÄN</t>
        </is>
      </c>
      <c r="E915" t="inlineStr">
        <is>
          <t>RAGUNDA</t>
        </is>
      </c>
      <c r="F915" t="inlineStr">
        <is>
          <t>SCA</t>
        </is>
      </c>
      <c r="G915" t="n">
        <v>5.4</v>
      </c>
      <c r="H915" t="n">
        <v>0</v>
      </c>
      <c r="I915" t="n">
        <v>0</v>
      </c>
      <c r="J915" t="n">
        <v>0</v>
      </c>
      <c r="K915" t="n">
        <v>0</v>
      </c>
      <c r="L915" t="n">
        <v>0</v>
      </c>
      <c r="M915" t="n">
        <v>0</v>
      </c>
      <c r="N915" t="n">
        <v>0</v>
      </c>
      <c r="O915" t="n">
        <v>0</v>
      </c>
      <c r="P915" t="n">
        <v>0</v>
      </c>
      <c r="Q915" t="n">
        <v>0</v>
      </c>
      <c r="R915" s="2" t="inlineStr"/>
    </row>
    <row r="916" ht="15" customHeight="1">
      <c r="A916" t="inlineStr">
        <is>
          <t>A 54827-2022</t>
        </is>
      </c>
      <c r="B916" s="1" t="n">
        <v>44883</v>
      </c>
      <c r="C916" s="1" t="n">
        <v>45742</v>
      </c>
      <c r="D916" t="inlineStr">
        <is>
          <t>JÄMTLANDS LÄN</t>
        </is>
      </c>
      <c r="E916" t="inlineStr">
        <is>
          <t>RAGUNDA</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55214-2022</t>
        </is>
      </c>
      <c r="B917" s="1" t="n">
        <v>44886</v>
      </c>
      <c r="C917" s="1" t="n">
        <v>45742</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55904-2022</t>
        </is>
      </c>
      <c r="B918" s="1" t="n">
        <v>44888</v>
      </c>
      <c r="C918" s="1" t="n">
        <v>45742</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56191-2022</t>
        </is>
      </c>
      <c r="B919" s="1" t="n">
        <v>44889</v>
      </c>
      <c r="C919" s="1" t="n">
        <v>45742</v>
      </c>
      <c r="D919" t="inlineStr">
        <is>
          <t>JÄMTLANDS LÄN</t>
        </is>
      </c>
      <c r="E919" t="inlineStr">
        <is>
          <t>RAGUNDA</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56186-2022</t>
        </is>
      </c>
      <c r="B920" s="1" t="n">
        <v>44889</v>
      </c>
      <c r="C920" s="1" t="n">
        <v>45742</v>
      </c>
      <c r="D920" t="inlineStr">
        <is>
          <t>JÄMTLANDS LÄN</t>
        </is>
      </c>
      <c r="E920" t="inlineStr">
        <is>
          <t>RAGUNDA</t>
        </is>
      </c>
      <c r="F920" t="inlineStr">
        <is>
          <t>Sveaskog</t>
        </is>
      </c>
      <c r="G920" t="n">
        <v>6</v>
      </c>
      <c r="H920" t="n">
        <v>0</v>
      </c>
      <c r="I920" t="n">
        <v>0</v>
      </c>
      <c r="J920" t="n">
        <v>0</v>
      </c>
      <c r="K920" t="n">
        <v>0</v>
      </c>
      <c r="L920" t="n">
        <v>0</v>
      </c>
      <c r="M920" t="n">
        <v>0</v>
      </c>
      <c r="N920" t="n">
        <v>0</v>
      </c>
      <c r="O920" t="n">
        <v>0</v>
      </c>
      <c r="P920" t="n">
        <v>0</v>
      </c>
      <c r="Q920" t="n">
        <v>0</v>
      </c>
      <c r="R920" s="2" t="inlineStr"/>
    </row>
    <row r="921" ht="15" customHeight="1">
      <c r="A921" t="inlineStr">
        <is>
          <t>A 56192-2022</t>
        </is>
      </c>
      <c r="B921" s="1" t="n">
        <v>44889</v>
      </c>
      <c r="C921" s="1" t="n">
        <v>45742</v>
      </c>
      <c r="D921" t="inlineStr">
        <is>
          <t>JÄMTLANDS LÄN</t>
        </is>
      </c>
      <c r="E921" t="inlineStr">
        <is>
          <t>RAGUNDA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56193-2022</t>
        </is>
      </c>
      <c r="B922" s="1" t="n">
        <v>44889</v>
      </c>
      <c r="C922" s="1" t="n">
        <v>45742</v>
      </c>
      <c r="D922" t="inlineStr">
        <is>
          <t>JÄMTLANDS LÄN</t>
        </is>
      </c>
      <c r="E922" t="inlineStr">
        <is>
          <t>RAGUNDA</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57237-2022</t>
        </is>
      </c>
      <c r="B923" s="1" t="n">
        <v>44889</v>
      </c>
      <c r="C923" s="1" t="n">
        <v>45742</v>
      </c>
      <c r="D923" t="inlineStr">
        <is>
          <t>JÄMTLANDS LÄN</t>
        </is>
      </c>
      <c r="E923" t="inlineStr">
        <is>
          <t>RAGUNDA</t>
        </is>
      </c>
      <c r="G923" t="n">
        <v>2.2</v>
      </c>
      <c r="H923" t="n">
        <v>0</v>
      </c>
      <c r="I923" t="n">
        <v>0</v>
      </c>
      <c r="J923" t="n">
        <v>0</v>
      </c>
      <c r="K923" t="n">
        <v>0</v>
      </c>
      <c r="L923" t="n">
        <v>0</v>
      </c>
      <c r="M923" t="n">
        <v>0</v>
      </c>
      <c r="N923" t="n">
        <v>0</v>
      </c>
      <c r="O923" t="n">
        <v>0</v>
      </c>
      <c r="P923" t="n">
        <v>0</v>
      </c>
      <c r="Q923" t="n">
        <v>0</v>
      </c>
      <c r="R923" s="2" t="inlineStr"/>
    </row>
    <row r="924" ht="15" customHeight="1">
      <c r="A924" t="inlineStr">
        <is>
          <t>A 56630-2022</t>
        </is>
      </c>
      <c r="B924" s="1" t="n">
        <v>44893</v>
      </c>
      <c r="C924" s="1" t="n">
        <v>45742</v>
      </c>
      <c r="D924" t="inlineStr">
        <is>
          <t>JÄMTLANDS LÄN</t>
        </is>
      </c>
      <c r="E924" t="inlineStr">
        <is>
          <t>RAGUNDA</t>
        </is>
      </c>
      <c r="G924" t="n">
        <v>1.9</v>
      </c>
      <c r="H924" t="n">
        <v>0</v>
      </c>
      <c r="I924" t="n">
        <v>0</v>
      </c>
      <c r="J924" t="n">
        <v>0</v>
      </c>
      <c r="K924" t="n">
        <v>0</v>
      </c>
      <c r="L924" t="n">
        <v>0</v>
      </c>
      <c r="M924" t="n">
        <v>0</v>
      </c>
      <c r="N924" t="n">
        <v>0</v>
      </c>
      <c r="O924" t="n">
        <v>0</v>
      </c>
      <c r="P924" t="n">
        <v>0</v>
      </c>
      <c r="Q924" t="n">
        <v>0</v>
      </c>
      <c r="R924" s="2" t="inlineStr"/>
    </row>
    <row r="925" ht="15" customHeight="1">
      <c r="A925" t="inlineStr">
        <is>
          <t>A 56984-2022</t>
        </is>
      </c>
      <c r="B925" s="1" t="n">
        <v>44894</v>
      </c>
      <c r="C925" s="1" t="n">
        <v>45742</v>
      </c>
      <c r="D925" t="inlineStr">
        <is>
          <t>JÄMTLANDS LÄN</t>
        </is>
      </c>
      <c r="E925" t="inlineStr">
        <is>
          <t>RAGUNDA</t>
        </is>
      </c>
      <c r="G925" t="n">
        <v>1.4</v>
      </c>
      <c r="H925" t="n">
        <v>0</v>
      </c>
      <c r="I925" t="n">
        <v>0</v>
      </c>
      <c r="J925" t="n">
        <v>0</v>
      </c>
      <c r="K925" t="n">
        <v>0</v>
      </c>
      <c r="L925" t="n">
        <v>0</v>
      </c>
      <c r="M925" t="n">
        <v>0</v>
      </c>
      <c r="N925" t="n">
        <v>0</v>
      </c>
      <c r="O925" t="n">
        <v>0</v>
      </c>
      <c r="P925" t="n">
        <v>0</v>
      </c>
      <c r="Q925" t="n">
        <v>0</v>
      </c>
      <c r="R925" s="2" t="inlineStr"/>
    </row>
    <row r="926" ht="15" customHeight="1">
      <c r="A926" t="inlineStr">
        <is>
          <t>A 58537-2022</t>
        </is>
      </c>
      <c r="B926" s="1" t="n">
        <v>44894</v>
      </c>
      <c r="C926" s="1" t="n">
        <v>45742</v>
      </c>
      <c r="D926" t="inlineStr">
        <is>
          <t>JÄMTLANDS LÄN</t>
        </is>
      </c>
      <c r="E926" t="inlineStr">
        <is>
          <t>RAGUNDA</t>
        </is>
      </c>
      <c r="G926" t="n">
        <v>1.2</v>
      </c>
      <c r="H926" t="n">
        <v>0</v>
      </c>
      <c r="I926" t="n">
        <v>0</v>
      </c>
      <c r="J926" t="n">
        <v>0</v>
      </c>
      <c r="K926" t="n">
        <v>0</v>
      </c>
      <c r="L926" t="n">
        <v>0</v>
      </c>
      <c r="M926" t="n">
        <v>0</v>
      </c>
      <c r="N926" t="n">
        <v>0</v>
      </c>
      <c r="O926" t="n">
        <v>0</v>
      </c>
      <c r="P926" t="n">
        <v>0</v>
      </c>
      <c r="Q926" t="n">
        <v>0</v>
      </c>
      <c r="R926" s="2" t="inlineStr"/>
    </row>
    <row r="927" ht="15" customHeight="1">
      <c r="A927" t="inlineStr">
        <is>
          <t>A 57298-2022</t>
        </is>
      </c>
      <c r="B927" s="1" t="n">
        <v>44895</v>
      </c>
      <c r="C927" s="1" t="n">
        <v>45742</v>
      </c>
      <c r="D927" t="inlineStr">
        <is>
          <t>JÄMTLANDS LÄN</t>
        </is>
      </c>
      <c r="E927" t="inlineStr">
        <is>
          <t>RAGUNDA</t>
        </is>
      </c>
      <c r="F927" t="inlineStr">
        <is>
          <t>SCA</t>
        </is>
      </c>
      <c r="G927" t="n">
        <v>27.4</v>
      </c>
      <c r="H927" t="n">
        <v>0</v>
      </c>
      <c r="I927" t="n">
        <v>0</v>
      </c>
      <c r="J927" t="n">
        <v>0</v>
      </c>
      <c r="K927" t="n">
        <v>0</v>
      </c>
      <c r="L927" t="n">
        <v>0</v>
      </c>
      <c r="M927" t="n">
        <v>0</v>
      </c>
      <c r="N927" t="n">
        <v>0</v>
      </c>
      <c r="O927" t="n">
        <v>0</v>
      </c>
      <c r="P927" t="n">
        <v>0</v>
      </c>
      <c r="Q927" t="n">
        <v>0</v>
      </c>
      <c r="R927" s="2" t="inlineStr"/>
    </row>
    <row r="928" ht="15" customHeight="1">
      <c r="A928" t="inlineStr">
        <is>
          <t>A 59242-2022</t>
        </is>
      </c>
      <c r="B928" s="1" t="n">
        <v>44896</v>
      </c>
      <c r="C928" s="1" t="n">
        <v>45742</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57599-2022</t>
        </is>
      </c>
      <c r="B929" s="1" t="n">
        <v>44897</v>
      </c>
      <c r="C929" s="1" t="n">
        <v>45742</v>
      </c>
      <c r="D929" t="inlineStr">
        <is>
          <t>JÄMTLANDS LÄN</t>
        </is>
      </c>
      <c r="E929" t="inlineStr">
        <is>
          <t>RAGUNDA</t>
        </is>
      </c>
      <c r="F929" t="inlineStr">
        <is>
          <t>SCA</t>
        </is>
      </c>
      <c r="G929" t="n">
        <v>16.8</v>
      </c>
      <c r="H929" t="n">
        <v>0</v>
      </c>
      <c r="I929" t="n">
        <v>0</v>
      </c>
      <c r="J929" t="n">
        <v>0</v>
      </c>
      <c r="K929" t="n">
        <v>0</v>
      </c>
      <c r="L929" t="n">
        <v>0</v>
      </c>
      <c r="M929" t="n">
        <v>0</v>
      </c>
      <c r="N929" t="n">
        <v>0</v>
      </c>
      <c r="O929" t="n">
        <v>0</v>
      </c>
      <c r="P929" t="n">
        <v>0</v>
      </c>
      <c r="Q929" t="n">
        <v>0</v>
      </c>
      <c r="R929" s="2" t="inlineStr"/>
    </row>
    <row r="930" ht="15" customHeight="1">
      <c r="A930" t="inlineStr">
        <is>
          <t>A 57839-2022</t>
        </is>
      </c>
      <c r="B930" s="1" t="n">
        <v>44897</v>
      </c>
      <c r="C930" s="1" t="n">
        <v>45742</v>
      </c>
      <c r="D930" t="inlineStr">
        <is>
          <t>JÄMTLANDS LÄN</t>
        </is>
      </c>
      <c r="E930" t="inlineStr">
        <is>
          <t>RAGUNDA</t>
        </is>
      </c>
      <c r="F930" t="inlineStr">
        <is>
          <t>SCA</t>
        </is>
      </c>
      <c r="G930" t="n">
        <v>8.5</v>
      </c>
      <c r="H930" t="n">
        <v>0</v>
      </c>
      <c r="I930" t="n">
        <v>0</v>
      </c>
      <c r="J930" t="n">
        <v>0</v>
      </c>
      <c r="K930" t="n">
        <v>0</v>
      </c>
      <c r="L930" t="n">
        <v>0</v>
      </c>
      <c r="M930" t="n">
        <v>0</v>
      </c>
      <c r="N930" t="n">
        <v>0</v>
      </c>
      <c r="O930" t="n">
        <v>0</v>
      </c>
      <c r="P930" t="n">
        <v>0</v>
      </c>
      <c r="Q930" t="n">
        <v>0</v>
      </c>
      <c r="R930" s="2" t="inlineStr"/>
    </row>
    <row r="931" ht="15" customHeight="1">
      <c r="A931" t="inlineStr">
        <is>
          <t>A 58194-2022</t>
        </is>
      </c>
      <c r="B931" s="1" t="n">
        <v>44900</v>
      </c>
      <c r="C931" s="1" t="n">
        <v>45742</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58193-2022</t>
        </is>
      </c>
      <c r="B932" s="1" t="n">
        <v>44900</v>
      </c>
      <c r="C932" s="1" t="n">
        <v>45742</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58442-2022</t>
        </is>
      </c>
      <c r="B933" s="1" t="n">
        <v>44901</v>
      </c>
      <c r="C933" s="1" t="n">
        <v>45742</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58438-2022</t>
        </is>
      </c>
      <c r="B934" s="1" t="n">
        <v>44901</v>
      </c>
      <c r="C934" s="1" t="n">
        <v>45742</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58443-2022</t>
        </is>
      </c>
      <c r="B935" s="1" t="n">
        <v>44901</v>
      </c>
      <c r="C935" s="1" t="n">
        <v>45742</v>
      </c>
      <c r="D935" t="inlineStr">
        <is>
          <t>JÄMTLANDS LÄN</t>
        </is>
      </c>
      <c r="E935" t="inlineStr">
        <is>
          <t>RAGUNDA</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60225-2022</t>
        </is>
      </c>
      <c r="B936" s="1" t="n">
        <v>44903</v>
      </c>
      <c r="C936" s="1" t="n">
        <v>45742</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59044-2022</t>
        </is>
      </c>
      <c r="B937" s="1" t="n">
        <v>44903</v>
      </c>
      <c r="C937" s="1" t="n">
        <v>45742</v>
      </c>
      <c r="D937" t="inlineStr">
        <is>
          <t>JÄMTLANDS LÄN</t>
        </is>
      </c>
      <c r="E937" t="inlineStr">
        <is>
          <t>RAGUNDA</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59368-2022</t>
        </is>
      </c>
      <c r="B938" s="1" t="n">
        <v>44904</v>
      </c>
      <c r="C938" s="1" t="n">
        <v>45742</v>
      </c>
      <c r="D938" t="inlineStr">
        <is>
          <t>JÄMTLANDS LÄN</t>
        </is>
      </c>
      <c r="E938" t="inlineStr">
        <is>
          <t>RAGUNDA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59911-2022</t>
        </is>
      </c>
      <c r="B939" s="1" t="n">
        <v>44909</v>
      </c>
      <c r="C939" s="1" t="n">
        <v>45742</v>
      </c>
      <c r="D939" t="inlineStr">
        <is>
          <t>JÄMTLANDS LÄN</t>
        </is>
      </c>
      <c r="E939" t="inlineStr">
        <is>
          <t>RAGUNDA</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60177-2022</t>
        </is>
      </c>
      <c r="B940" s="1" t="n">
        <v>44909</v>
      </c>
      <c r="C940" s="1" t="n">
        <v>45742</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60660-2022</t>
        </is>
      </c>
      <c r="B941" s="1" t="n">
        <v>44911</v>
      </c>
      <c r="C941" s="1" t="n">
        <v>45742</v>
      </c>
      <c r="D941" t="inlineStr">
        <is>
          <t>JÄMTLANDS LÄN</t>
        </is>
      </c>
      <c r="E941" t="inlineStr">
        <is>
          <t>RAGUNDA</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60659-2022</t>
        </is>
      </c>
      <c r="B942" s="1" t="n">
        <v>44911</v>
      </c>
      <c r="C942" s="1" t="n">
        <v>45742</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60673-2022</t>
        </is>
      </c>
      <c r="B943" s="1" t="n">
        <v>44911</v>
      </c>
      <c r="C943" s="1" t="n">
        <v>45742</v>
      </c>
      <c r="D943" t="inlineStr">
        <is>
          <t>JÄMTLANDS LÄN</t>
        </is>
      </c>
      <c r="E943" t="inlineStr">
        <is>
          <t>RAGUNDA</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60663-2022</t>
        </is>
      </c>
      <c r="B944" s="1" t="n">
        <v>44911</v>
      </c>
      <c r="C944" s="1" t="n">
        <v>45742</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60699-2022</t>
        </is>
      </c>
      <c r="B945" s="1" t="n">
        <v>44911</v>
      </c>
      <c r="C945" s="1" t="n">
        <v>45742</v>
      </c>
      <c r="D945" t="inlineStr">
        <is>
          <t>JÄMTLANDS LÄN</t>
        </is>
      </c>
      <c r="E945" t="inlineStr">
        <is>
          <t>RAGUNDA</t>
        </is>
      </c>
      <c r="F945" t="inlineStr">
        <is>
          <t>SCA</t>
        </is>
      </c>
      <c r="G945" t="n">
        <v>4.9</v>
      </c>
      <c r="H945" t="n">
        <v>0</v>
      </c>
      <c r="I945" t="n">
        <v>0</v>
      </c>
      <c r="J945" t="n">
        <v>0</v>
      </c>
      <c r="K945" t="n">
        <v>0</v>
      </c>
      <c r="L945" t="n">
        <v>0</v>
      </c>
      <c r="M945" t="n">
        <v>0</v>
      </c>
      <c r="N945" t="n">
        <v>0</v>
      </c>
      <c r="O945" t="n">
        <v>0</v>
      </c>
      <c r="P945" t="n">
        <v>0</v>
      </c>
      <c r="Q945" t="n">
        <v>0</v>
      </c>
      <c r="R945" s="2" t="inlineStr"/>
    </row>
    <row r="946" ht="15" customHeight="1">
      <c r="A946" t="inlineStr">
        <is>
          <t>A 60739-2022</t>
        </is>
      </c>
      <c r="B946" s="1" t="n">
        <v>44913</v>
      </c>
      <c r="C946" s="1" t="n">
        <v>45742</v>
      </c>
      <c r="D946" t="inlineStr">
        <is>
          <t>JÄMTLANDS LÄN</t>
        </is>
      </c>
      <c r="E946" t="inlineStr">
        <is>
          <t>RAGUNDA</t>
        </is>
      </c>
      <c r="F946" t="inlineStr">
        <is>
          <t>Naturvårdsverket</t>
        </is>
      </c>
      <c r="G946" t="n">
        <v>6.6</v>
      </c>
      <c r="H946" t="n">
        <v>0</v>
      </c>
      <c r="I946" t="n">
        <v>0</v>
      </c>
      <c r="J946" t="n">
        <v>0</v>
      </c>
      <c r="K946" t="n">
        <v>0</v>
      </c>
      <c r="L946" t="n">
        <v>0</v>
      </c>
      <c r="M946" t="n">
        <v>0</v>
      </c>
      <c r="N946" t="n">
        <v>0</v>
      </c>
      <c r="O946" t="n">
        <v>0</v>
      </c>
      <c r="P946" t="n">
        <v>0</v>
      </c>
      <c r="Q946" t="n">
        <v>0</v>
      </c>
      <c r="R946" s="2" t="inlineStr"/>
    </row>
    <row r="947" ht="15" customHeight="1">
      <c r="A947" t="inlineStr">
        <is>
          <t>A 62011-2022</t>
        </is>
      </c>
      <c r="B947" s="1" t="n">
        <v>44914</v>
      </c>
      <c r="C947" s="1" t="n">
        <v>45742</v>
      </c>
      <c r="D947" t="inlineStr">
        <is>
          <t>JÄMTLANDS LÄN</t>
        </is>
      </c>
      <c r="E947" t="inlineStr">
        <is>
          <t>RAGUNDA</t>
        </is>
      </c>
      <c r="G947" t="n">
        <v>0.3</v>
      </c>
      <c r="H947" t="n">
        <v>0</v>
      </c>
      <c r="I947" t="n">
        <v>0</v>
      </c>
      <c r="J947" t="n">
        <v>0</v>
      </c>
      <c r="K947" t="n">
        <v>0</v>
      </c>
      <c r="L947" t="n">
        <v>0</v>
      </c>
      <c r="M947" t="n">
        <v>0</v>
      </c>
      <c r="N947" t="n">
        <v>0</v>
      </c>
      <c r="O947" t="n">
        <v>0</v>
      </c>
      <c r="P947" t="n">
        <v>0</v>
      </c>
      <c r="Q947" t="n">
        <v>0</v>
      </c>
      <c r="R947" s="2" t="inlineStr"/>
    </row>
    <row r="948" ht="15" customHeight="1">
      <c r="A948" t="inlineStr">
        <is>
          <t>A 61045-2022</t>
        </is>
      </c>
      <c r="B948" s="1" t="n">
        <v>44914</v>
      </c>
      <c r="C948" s="1" t="n">
        <v>45742</v>
      </c>
      <c r="D948" t="inlineStr">
        <is>
          <t>JÄMTLANDS LÄN</t>
        </is>
      </c>
      <c r="E948" t="inlineStr">
        <is>
          <t>RAGUNDA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61080-2022</t>
        </is>
      </c>
      <c r="B949" s="1" t="n">
        <v>44915</v>
      </c>
      <c r="C949" s="1" t="n">
        <v>45742</v>
      </c>
      <c r="D949" t="inlineStr">
        <is>
          <t>JÄMTLANDS LÄN</t>
        </is>
      </c>
      <c r="E949" t="inlineStr">
        <is>
          <t>RAGUNDA</t>
        </is>
      </c>
      <c r="G949" t="n">
        <v>3.4</v>
      </c>
      <c r="H949" t="n">
        <v>0</v>
      </c>
      <c r="I949" t="n">
        <v>0</v>
      </c>
      <c r="J949" t="n">
        <v>0</v>
      </c>
      <c r="K949" t="n">
        <v>0</v>
      </c>
      <c r="L949" t="n">
        <v>0</v>
      </c>
      <c r="M949" t="n">
        <v>0</v>
      </c>
      <c r="N949" t="n">
        <v>0</v>
      </c>
      <c r="O949" t="n">
        <v>0</v>
      </c>
      <c r="P949" t="n">
        <v>0</v>
      </c>
      <c r="Q949" t="n">
        <v>0</v>
      </c>
      <c r="R949" s="2" t="inlineStr"/>
    </row>
    <row r="950" ht="15" customHeight="1">
      <c r="A950" t="inlineStr">
        <is>
          <t>A 61400-2022</t>
        </is>
      </c>
      <c r="B950" s="1" t="n">
        <v>44915</v>
      </c>
      <c r="C950" s="1" t="n">
        <v>45742</v>
      </c>
      <c r="D950" t="inlineStr">
        <is>
          <t>JÄMTLANDS LÄN</t>
        </is>
      </c>
      <c r="E950" t="inlineStr">
        <is>
          <t>RAGUNDA</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61401-2022</t>
        </is>
      </c>
      <c r="B951" s="1" t="n">
        <v>44915</v>
      </c>
      <c r="C951" s="1" t="n">
        <v>45742</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62541-2022</t>
        </is>
      </c>
      <c r="B952" s="1" t="n">
        <v>44917</v>
      </c>
      <c r="C952" s="1" t="n">
        <v>45742</v>
      </c>
      <c r="D952" t="inlineStr">
        <is>
          <t>JÄMTLANDS LÄN</t>
        </is>
      </c>
      <c r="E952" t="inlineStr">
        <is>
          <t>RAGUNDA</t>
        </is>
      </c>
      <c r="G952" t="n">
        <v>2.6</v>
      </c>
      <c r="H952" t="n">
        <v>0</v>
      </c>
      <c r="I952" t="n">
        <v>0</v>
      </c>
      <c r="J952" t="n">
        <v>0</v>
      </c>
      <c r="K952" t="n">
        <v>0</v>
      </c>
      <c r="L952" t="n">
        <v>0</v>
      </c>
      <c r="M952" t="n">
        <v>0</v>
      </c>
      <c r="N952" t="n">
        <v>0</v>
      </c>
      <c r="O952" t="n">
        <v>0</v>
      </c>
      <c r="P952" t="n">
        <v>0</v>
      </c>
      <c r="Q952" t="n">
        <v>0</v>
      </c>
      <c r="R952" s="2" t="inlineStr"/>
    </row>
    <row r="953" ht="15" customHeight="1">
      <c r="A953" t="inlineStr">
        <is>
          <t>A 61934-2022</t>
        </is>
      </c>
      <c r="B953" s="1" t="n">
        <v>44917</v>
      </c>
      <c r="C953" s="1" t="n">
        <v>45742</v>
      </c>
      <c r="D953" t="inlineStr">
        <is>
          <t>JÄMTLANDS LÄN</t>
        </is>
      </c>
      <c r="E953" t="inlineStr">
        <is>
          <t>RAGUNDA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62081-2022</t>
        </is>
      </c>
      <c r="B954" s="1" t="n">
        <v>44918</v>
      </c>
      <c r="C954" s="1" t="n">
        <v>45742</v>
      </c>
      <c r="D954" t="inlineStr">
        <is>
          <t>JÄMTLANDS LÄN</t>
        </is>
      </c>
      <c r="E954" t="inlineStr">
        <is>
          <t>RAGUNDA</t>
        </is>
      </c>
      <c r="F954" t="inlineStr">
        <is>
          <t>SCA</t>
        </is>
      </c>
      <c r="G954" t="n">
        <v>2.9</v>
      </c>
      <c r="H954" t="n">
        <v>0</v>
      </c>
      <c r="I954" t="n">
        <v>0</v>
      </c>
      <c r="J954" t="n">
        <v>0</v>
      </c>
      <c r="K954" t="n">
        <v>0</v>
      </c>
      <c r="L954" t="n">
        <v>0</v>
      </c>
      <c r="M954" t="n">
        <v>0</v>
      </c>
      <c r="N954" t="n">
        <v>0</v>
      </c>
      <c r="O954" t="n">
        <v>0</v>
      </c>
      <c r="P954" t="n">
        <v>0</v>
      </c>
      <c r="Q954" t="n">
        <v>0</v>
      </c>
      <c r="R954" s="2" t="inlineStr"/>
    </row>
    <row r="955" ht="15" customHeight="1">
      <c r="A955" t="inlineStr">
        <is>
          <t>A 182-2023</t>
        </is>
      </c>
      <c r="B955" s="1" t="n">
        <v>44922</v>
      </c>
      <c r="C955" s="1" t="n">
        <v>45742</v>
      </c>
      <c r="D955" t="inlineStr">
        <is>
          <t>JÄMTLANDS LÄN</t>
        </is>
      </c>
      <c r="E955" t="inlineStr">
        <is>
          <t>RAGUNDA</t>
        </is>
      </c>
      <c r="G955" t="n">
        <v>1.4</v>
      </c>
      <c r="H955" t="n">
        <v>0</v>
      </c>
      <c r="I955" t="n">
        <v>0</v>
      </c>
      <c r="J955" t="n">
        <v>0</v>
      </c>
      <c r="K955" t="n">
        <v>0</v>
      </c>
      <c r="L955" t="n">
        <v>0</v>
      </c>
      <c r="M955" t="n">
        <v>0</v>
      </c>
      <c r="N955" t="n">
        <v>0</v>
      </c>
      <c r="O955" t="n">
        <v>0</v>
      </c>
      <c r="P955" t="n">
        <v>0</v>
      </c>
      <c r="Q955" t="n">
        <v>0</v>
      </c>
      <c r="R955" s="2" t="inlineStr"/>
    </row>
    <row r="956" ht="15" customHeight="1">
      <c r="A956" t="inlineStr">
        <is>
          <t>A 62407-2022</t>
        </is>
      </c>
      <c r="B956" s="1" t="n">
        <v>44923</v>
      </c>
      <c r="C956" s="1" t="n">
        <v>45742</v>
      </c>
      <c r="D956" t="inlineStr">
        <is>
          <t>JÄMTLANDS LÄN</t>
        </is>
      </c>
      <c r="E956" t="inlineStr">
        <is>
          <t>RAGUNDA</t>
        </is>
      </c>
      <c r="F956" t="inlineStr">
        <is>
          <t>SCA</t>
        </is>
      </c>
      <c r="G956" t="n">
        <v>53.6</v>
      </c>
      <c r="H956" t="n">
        <v>0</v>
      </c>
      <c r="I956" t="n">
        <v>0</v>
      </c>
      <c r="J956" t="n">
        <v>0</v>
      </c>
      <c r="K956" t="n">
        <v>0</v>
      </c>
      <c r="L956" t="n">
        <v>0</v>
      </c>
      <c r="M956" t="n">
        <v>0</v>
      </c>
      <c r="N956" t="n">
        <v>0</v>
      </c>
      <c r="O956" t="n">
        <v>0</v>
      </c>
      <c r="P956" t="n">
        <v>0</v>
      </c>
      <c r="Q956" t="n">
        <v>0</v>
      </c>
      <c r="R956" s="2" t="inlineStr"/>
    </row>
    <row r="957" ht="15" customHeight="1">
      <c r="A957" t="inlineStr">
        <is>
          <t>A 17-2023</t>
        </is>
      </c>
      <c r="B957" s="1" t="n">
        <v>44927</v>
      </c>
      <c r="C957" s="1" t="n">
        <v>45742</v>
      </c>
      <c r="D957" t="inlineStr">
        <is>
          <t>JÄMTLANDS LÄN</t>
        </is>
      </c>
      <c r="E957" t="inlineStr">
        <is>
          <t>RAGUNDA</t>
        </is>
      </c>
      <c r="F957" t="inlineStr">
        <is>
          <t>SCA</t>
        </is>
      </c>
      <c r="G957" t="n">
        <v>49.6</v>
      </c>
      <c r="H957" t="n">
        <v>0</v>
      </c>
      <c r="I957" t="n">
        <v>0</v>
      </c>
      <c r="J957" t="n">
        <v>0</v>
      </c>
      <c r="K957" t="n">
        <v>0</v>
      </c>
      <c r="L957" t="n">
        <v>0</v>
      </c>
      <c r="M957" t="n">
        <v>0</v>
      </c>
      <c r="N957" t="n">
        <v>0</v>
      </c>
      <c r="O957" t="n">
        <v>0</v>
      </c>
      <c r="P957" t="n">
        <v>0</v>
      </c>
      <c r="Q957" t="n">
        <v>0</v>
      </c>
      <c r="R957" s="2" t="inlineStr"/>
    </row>
    <row r="958" ht="15" customHeight="1">
      <c r="A958" t="inlineStr">
        <is>
          <t>A 462-2023</t>
        </is>
      </c>
      <c r="B958" s="1" t="n">
        <v>44929</v>
      </c>
      <c r="C958" s="1" t="n">
        <v>45742</v>
      </c>
      <c r="D958" t="inlineStr">
        <is>
          <t>JÄMTLANDS LÄN</t>
        </is>
      </c>
      <c r="E958" t="inlineStr">
        <is>
          <t>RAGUNDA</t>
        </is>
      </c>
      <c r="G958" t="n">
        <v>4.5</v>
      </c>
      <c r="H958" t="n">
        <v>0</v>
      </c>
      <c r="I958" t="n">
        <v>0</v>
      </c>
      <c r="J958" t="n">
        <v>0</v>
      </c>
      <c r="K958" t="n">
        <v>0</v>
      </c>
      <c r="L958" t="n">
        <v>0</v>
      </c>
      <c r="M958" t="n">
        <v>0</v>
      </c>
      <c r="N958" t="n">
        <v>0</v>
      </c>
      <c r="O958" t="n">
        <v>0</v>
      </c>
      <c r="P958" t="n">
        <v>0</v>
      </c>
      <c r="Q958" t="n">
        <v>0</v>
      </c>
      <c r="R958" s="2" t="inlineStr"/>
    </row>
    <row r="959" ht="15" customHeight="1">
      <c r="A959" t="inlineStr">
        <is>
          <t>A 467-2023</t>
        </is>
      </c>
      <c r="B959" s="1" t="n">
        <v>44929</v>
      </c>
      <c r="C959" s="1" t="n">
        <v>45742</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465-2023</t>
        </is>
      </c>
      <c r="B960" s="1" t="n">
        <v>44929</v>
      </c>
      <c r="C960" s="1" t="n">
        <v>45742</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464-2023</t>
        </is>
      </c>
      <c r="B961" s="1" t="n">
        <v>44929</v>
      </c>
      <c r="C961" s="1" t="n">
        <v>45742</v>
      </c>
      <c r="D961" t="inlineStr">
        <is>
          <t>JÄMTLANDS LÄN</t>
        </is>
      </c>
      <c r="E961" t="inlineStr">
        <is>
          <t>RAGUNDA</t>
        </is>
      </c>
      <c r="G961" t="n">
        <v>1.4</v>
      </c>
      <c r="H961" t="n">
        <v>0</v>
      </c>
      <c r="I961" t="n">
        <v>0</v>
      </c>
      <c r="J961" t="n">
        <v>0</v>
      </c>
      <c r="K961" t="n">
        <v>0</v>
      </c>
      <c r="L961" t="n">
        <v>0</v>
      </c>
      <c r="M961" t="n">
        <v>0</v>
      </c>
      <c r="N961" t="n">
        <v>0</v>
      </c>
      <c r="O961" t="n">
        <v>0</v>
      </c>
      <c r="P961" t="n">
        <v>0</v>
      </c>
      <c r="Q961" t="n">
        <v>0</v>
      </c>
      <c r="R961" s="2" t="inlineStr"/>
    </row>
    <row r="962" ht="15" customHeight="1">
      <c r="A962" t="inlineStr">
        <is>
          <t>A 719-2023</t>
        </is>
      </c>
      <c r="B962" s="1" t="n">
        <v>44930</v>
      </c>
      <c r="C962" s="1" t="n">
        <v>45742</v>
      </c>
      <c r="D962" t="inlineStr">
        <is>
          <t>JÄMTLANDS LÄN</t>
        </is>
      </c>
      <c r="E962" t="inlineStr">
        <is>
          <t>RAGUNDA</t>
        </is>
      </c>
      <c r="F962" t="inlineStr">
        <is>
          <t>SCA</t>
        </is>
      </c>
      <c r="G962" t="n">
        <v>10.7</v>
      </c>
      <c r="H962" t="n">
        <v>0</v>
      </c>
      <c r="I962" t="n">
        <v>0</v>
      </c>
      <c r="J962" t="n">
        <v>0</v>
      </c>
      <c r="K962" t="n">
        <v>0</v>
      </c>
      <c r="L962" t="n">
        <v>0</v>
      </c>
      <c r="M962" t="n">
        <v>0</v>
      </c>
      <c r="N962" t="n">
        <v>0</v>
      </c>
      <c r="O962" t="n">
        <v>0</v>
      </c>
      <c r="P962" t="n">
        <v>0</v>
      </c>
      <c r="Q962" t="n">
        <v>0</v>
      </c>
      <c r="R962" s="2" t="inlineStr"/>
    </row>
    <row r="963" ht="15" customHeight="1">
      <c r="A963" t="inlineStr">
        <is>
          <t>A 718-2023</t>
        </is>
      </c>
      <c r="B963" s="1" t="n">
        <v>44930</v>
      </c>
      <c r="C963" s="1" t="n">
        <v>45742</v>
      </c>
      <c r="D963" t="inlineStr">
        <is>
          <t>JÄMTLANDS LÄN</t>
        </is>
      </c>
      <c r="E963" t="inlineStr">
        <is>
          <t>RAGUNDA</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934-2023</t>
        </is>
      </c>
      <c r="B964" s="1" t="n">
        <v>44932</v>
      </c>
      <c r="C964" s="1" t="n">
        <v>45742</v>
      </c>
      <c r="D964" t="inlineStr">
        <is>
          <t>JÄMTLANDS LÄN</t>
        </is>
      </c>
      <c r="E964" t="inlineStr">
        <is>
          <t>RAGUNDA</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1876-2023</t>
        </is>
      </c>
      <c r="B965" s="1" t="n">
        <v>44938</v>
      </c>
      <c r="C965" s="1" t="n">
        <v>45742</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1870-2023</t>
        </is>
      </c>
      <c r="B966" s="1" t="n">
        <v>44938</v>
      </c>
      <c r="C966" s="1" t="n">
        <v>45742</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1871-2023</t>
        </is>
      </c>
      <c r="B967" s="1" t="n">
        <v>44938</v>
      </c>
      <c r="C967" s="1" t="n">
        <v>45742</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1875-2023</t>
        </is>
      </c>
      <c r="B968" s="1" t="n">
        <v>44938</v>
      </c>
      <c r="C968" s="1" t="n">
        <v>45742</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2117-2023</t>
        </is>
      </c>
      <c r="B969" s="1" t="n">
        <v>44939</v>
      </c>
      <c r="C969" s="1" t="n">
        <v>45742</v>
      </c>
      <c r="D969" t="inlineStr">
        <is>
          <t>JÄMTLANDS LÄN</t>
        </is>
      </c>
      <c r="E969" t="inlineStr">
        <is>
          <t>RAGUNDA</t>
        </is>
      </c>
      <c r="F969" t="inlineStr">
        <is>
          <t>SCA</t>
        </is>
      </c>
      <c r="G969" t="n">
        <v>7.3</v>
      </c>
      <c r="H969" t="n">
        <v>0</v>
      </c>
      <c r="I969" t="n">
        <v>0</v>
      </c>
      <c r="J969" t="n">
        <v>0</v>
      </c>
      <c r="K969" t="n">
        <v>0</v>
      </c>
      <c r="L969" t="n">
        <v>0</v>
      </c>
      <c r="M969" t="n">
        <v>0</v>
      </c>
      <c r="N969" t="n">
        <v>0</v>
      </c>
      <c r="O969" t="n">
        <v>0</v>
      </c>
      <c r="P969" t="n">
        <v>0</v>
      </c>
      <c r="Q969" t="n">
        <v>0</v>
      </c>
      <c r="R969" s="2" t="inlineStr"/>
    </row>
    <row r="970" ht="15" customHeight="1">
      <c r="A970" t="inlineStr">
        <is>
          <t>A 2130-2023</t>
        </is>
      </c>
      <c r="B970" s="1" t="n">
        <v>44939</v>
      </c>
      <c r="C970" s="1" t="n">
        <v>45742</v>
      </c>
      <c r="D970" t="inlineStr">
        <is>
          <t>JÄMTLANDS LÄN</t>
        </is>
      </c>
      <c r="E970" t="inlineStr">
        <is>
          <t>RAGUNDA</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2127-2023</t>
        </is>
      </c>
      <c r="B971" s="1" t="n">
        <v>44939</v>
      </c>
      <c r="C971" s="1" t="n">
        <v>45742</v>
      </c>
      <c r="D971" t="inlineStr">
        <is>
          <t>JÄMTLANDS LÄN</t>
        </is>
      </c>
      <c r="E971" t="inlineStr">
        <is>
          <t>RAGUNDA</t>
        </is>
      </c>
      <c r="F971" t="inlineStr">
        <is>
          <t>SCA</t>
        </is>
      </c>
      <c r="G971" t="n">
        <v>6.6</v>
      </c>
      <c r="H971" t="n">
        <v>0</v>
      </c>
      <c r="I971" t="n">
        <v>0</v>
      </c>
      <c r="J971" t="n">
        <v>0</v>
      </c>
      <c r="K971" t="n">
        <v>0</v>
      </c>
      <c r="L971" t="n">
        <v>0</v>
      </c>
      <c r="M971" t="n">
        <v>0</v>
      </c>
      <c r="N971" t="n">
        <v>0</v>
      </c>
      <c r="O971" t="n">
        <v>0</v>
      </c>
      <c r="P971" t="n">
        <v>0</v>
      </c>
      <c r="Q971" t="n">
        <v>0</v>
      </c>
      <c r="R971" s="2" t="inlineStr"/>
    </row>
    <row r="972" ht="15" customHeight="1">
      <c r="A972" t="inlineStr">
        <is>
          <t>A 2133-2023</t>
        </is>
      </c>
      <c r="B972" s="1" t="n">
        <v>44939</v>
      </c>
      <c r="C972" s="1" t="n">
        <v>45742</v>
      </c>
      <c r="D972" t="inlineStr">
        <is>
          <t>JÄMTLANDS LÄN</t>
        </is>
      </c>
      <c r="E972" t="inlineStr">
        <is>
          <t>RAGUNDA</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2401-2023</t>
        </is>
      </c>
      <c r="B973" s="1" t="n">
        <v>44942</v>
      </c>
      <c r="C973" s="1" t="n">
        <v>45742</v>
      </c>
      <c r="D973" t="inlineStr">
        <is>
          <t>JÄMTLANDS LÄN</t>
        </is>
      </c>
      <c r="E973" t="inlineStr">
        <is>
          <t>RAGUNDA</t>
        </is>
      </c>
      <c r="G973" t="n">
        <v>6.3</v>
      </c>
      <c r="H973" t="n">
        <v>0</v>
      </c>
      <c r="I973" t="n">
        <v>0</v>
      </c>
      <c r="J973" t="n">
        <v>0</v>
      </c>
      <c r="K973" t="n">
        <v>0</v>
      </c>
      <c r="L973" t="n">
        <v>0</v>
      </c>
      <c r="M973" t="n">
        <v>0</v>
      </c>
      <c r="N973" t="n">
        <v>0</v>
      </c>
      <c r="O973" t="n">
        <v>0</v>
      </c>
      <c r="P973" t="n">
        <v>0</v>
      </c>
      <c r="Q973" t="n">
        <v>0</v>
      </c>
      <c r="R973" s="2" t="inlineStr"/>
    </row>
    <row r="974" ht="15" customHeight="1">
      <c r="A974" t="inlineStr">
        <is>
          <t>A 2411-2023</t>
        </is>
      </c>
      <c r="B974" s="1" t="n">
        <v>44942</v>
      </c>
      <c r="C974" s="1" t="n">
        <v>45742</v>
      </c>
      <c r="D974" t="inlineStr">
        <is>
          <t>JÄMTLANDS LÄN</t>
        </is>
      </c>
      <c r="E974" t="inlineStr">
        <is>
          <t>RAGUNDA</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2402-2023</t>
        </is>
      </c>
      <c r="B975" s="1" t="n">
        <v>44942</v>
      </c>
      <c r="C975" s="1" t="n">
        <v>45742</v>
      </c>
      <c r="D975" t="inlineStr">
        <is>
          <t>JÄMTLANDS LÄN</t>
        </is>
      </c>
      <c r="E975" t="inlineStr">
        <is>
          <t>RAGUNDA</t>
        </is>
      </c>
      <c r="G975" t="n">
        <v>7.8</v>
      </c>
      <c r="H975" t="n">
        <v>0</v>
      </c>
      <c r="I975" t="n">
        <v>0</v>
      </c>
      <c r="J975" t="n">
        <v>0</v>
      </c>
      <c r="K975" t="n">
        <v>0</v>
      </c>
      <c r="L975" t="n">
        <v>0</v>
      </c>
      <c r="M975" t="n">
        <v>0</v>
      </c>
      <c r="N975" t="n">
        <v>0</v>
      </c>
      <c r="O975" t="n">
        <v>0</v>
      </c>
      <c r="P975" t="n">
        <v>0</v>
      </c>
      <c r="Q975" t="n">
        <v>0</v>
      </c>
      <c r="R975" s="2" t="inlineStr"/>
    </row>
    <row r="976" ht="15" customHeight="1">
      <c r="A976" t="inlineStr">
        <is>
          <t>A 2414-2023</t>
        </is>
      </c>
      <c r="B976" s="1" t="n">
        <v>44942</v>
      </c>
      <c r="C976" s="1" t="n">
        <v>45742</v>
      </c>
      <c r="D976" t="inlineStr">
        <is>
          <t>JÄMTLANDS LÄN</t>
        </is>
      </c>
      <c r="E976" t="inlineStr">
        <is>
          <t>RAGUNDA</t>
        </is>
      </c>
      <c r="F976" t="inlineStr">
        <is>
          <t>SCA</t>
        </is>
      </c>
      <c r="G976" t="n">
        <v>28.4</v>
      </c>
      <c r="H976" t="n">
        <v>0</v>
      </c>
      <c r="I976" t="n">
        <v>0</v>
      </c>
      <c r="J976" t="n">
        <v>0</v>
      </c>
      <c r="K976" t="n">
        <v>0</v>
      </c>
      <c r="L976" t="n">
        <v>0</v>
      </c>
      <c r="M976" t="n">
        <v>0</v>
      </c>
      <c r="N976" t="n">
        <v>0</v>
      </c>
      <c r="O976" t="n">
        <v>0</v>
      </c>
      <c r="P976" t="n">
        <v>0</v>
      </c>
      <c r="Q976" t="n">
        <v>0</v>
      </c>
      <c r="R976" s="2" t="inlineStr"/>
    </row>
    <row r="977" ht="15" customHeight="1">
      <c r="A977" t="inlineStr">
        <is>
          <t>A 2599-2023</t>
        </is>
      </c>
      <c r="B977" s="1" t="n">
        <v>44943</v>
      </c>
      <c r="C977" s="1" t="n">
        <v>45742</v>
      </c>
      <c r="D977" t="inlineStr">
        <is>
          <t>JÄMTLANDS LÄN</t>
        </is>
      </c>
      <c r="E977" t="inlineStr">
        <is>
          <t>RAGUNDA</t>
        </is>
      </c>
      <c r="F977" t="inlineStr">
        <is>
          <t>SCA</t>
        </is>
      </c>
      <c r="G977" t="n">
        <v>5.9</v>
      </c>
      <c r="H977" t="n">
        <v>0</v>
      </c>
      <c r="I977" t="n">
        <v>0</v>
      </c>
      <c r="J977" t="n">
        <v>0</v>
      </c>
      <c r="K977" t="n">
        <v>0</v>
      </c>
      <c r="L977" t="n">
        <v>0</v>
      </c>
      <c r="M977" t="n">
        <v>0</v>
      </c>
      <c r="N977" t="n">
        <v>0</v>
      </c>
      <c r="O977" t="n">
        <v>0</v>
      </c>
      <c r="P977" t="n">
        <v>0</v>
      </c>
      <c r="Q977" t="n">
        <v>0</v>
      </c>
      <c r="R977" s="2" t="inlineStr"/>
    </row>
    <row r="978" ht="15" customHeight="1">
      <c r="A978" t="inlineStr">
        <is>
          <t>A 2600-2023</t>
        </is>
      </c>
      <c r="B978" s="1" t="n">
        <v>44943</v>
      </c>
      <c r="C978" s="1" t="n">
        <v>45742</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2819-2023</t>
        </is>
      </c>
      <c r="B979" s="1" t="n">
        <v>44944</v>
      </c>
      <c r="C979" s="1" t="n">
        <v>45742</v>
      </c>
      <c r="D979" t="inlineStr">
        <is>
          <t>JÄMTLANDS LÄN</t>
        </is>
      </c>
      <c r="E979" t="inlineStr">
        <is>
          <t>RAGUNDA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3034-2023</t>
        </is>
      </c>
      <c r="B980" s="1" t="n">
        <v>44945</v>
      </c>
      <c r="C980" s="1" t="n">
        <v>45742</v>
      </c>
      <c r="D980" t="inlineStr">
        <is>
          <t>JÄMTLANDS LÄN</t>
        </is>
      </c>
      <c r="E980" t="inlineStr">
        <is>
          <t>RAGUNDA</t>
        </is>
      </c>
      <c r="F980" t="inlineStr">
        <is>
          <t>SCA</t>
        </is>
      </c>
      <c r="G980" t="n">
        <v>19.1</v>
      </c>
      <c r="H980" t="n">
        <v>0</v>
      </c>
      <c r="I980" t="n">
        <v>0</v>
      </c>
      <c r="J980" t="n">
        <v>0</v>
      </c>
      <c r="K980" t="n">
        <v>0</v>
      </c>
      <c r="L980" t="n">
        <v>0</v>
      </c>
      <c r="M980" t="n">
        <v>0</v>
      </c>
      <c r="N980" t="n">
        <v>0</v>
      </c>
      <c r="O980" t="n">
        <v>0</v>
      </c>
      <c r="P980" t="n">
        <v>0</v>
      </c>
      <c r="Q980" t="n">
        <v>0</v>
      </c>
      <c r="R980" s="2" t="inlineStr"/>
    </row>
    <row r="981" ht="15" customHeight="1">
      <c r="A981" t="inlineStr">
        <is>
          <t>A 3242-2023</t>
        </is>
      </c>
      <c r="B981" s="1" t="n">
        <v>44946</v>
      </c>
      <c r="C981" s="1" t="n">
        <v>45742</v>
      </c>
      <c r="D981" t="inlineStr">
        <is>
          <t>JÄMTLANDS LÄN</t>
        </is>
      </c>
      <c r="E981" t="inlineStr">
        <is>
          <t>RAGUNDA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3243-2023</t>
        </is>
      </c>
      <c r="B982" s="1" t="n">
        <v>44946</v>
      </c>
      <c r="C982" s="1" t="n">
        <v>45742</v>
      </c>
      <c r="D982" t="inlineStr">
        <is>
          <t>JÄMTLANDS LÄN</t>
        </is>
      </c>
      <c r="E982" t="inlineStr">
        <is>
          <t>RAGUNDA</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4348-2023</t>
        </is>
      </c>
      <c r="B983" s="1" t="n">
        <v>44953</v>
      </c>
      <c r="C983" s="1" t="n">
        <v>45742</v>
      </c>
      <c r="D983" t="inlineStr">
        <is>
          <t>JÄMTLANDS LÄN</t>
        </is>
      </c>
      <c r="E983" t="inlineStr">
        <is>
          <t>RAGUNDA</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4346-2023</t>
        </is>
      </c>
      <c r="B984" s="1" t="n">
        <v>44954</v>
      </c>
      <c r="C984" s="1" t="n">
        <v>45742</v>
      </c>
      <c r="D984" t="inlineStr">
        <is>
          <t>JÄMTLANDS LÄN</t>
        </is>
      </c>
      <c r="E984" t="inlineStr">
        <is>
          <t>RAGUNDA</t>
        </is>
      </c>
      <c r="F984" t="inlineStr">
        <is>
          <t>SCA</t>
        </is>
      </c>
      <c r="G984" t="n">
        <v>14.2</v>
      </c>
      <c r="H984" t="n">
        <v>0</v>
      </c>
      <c r="I984" t="n">
        <v>0</v>
      </c>
      <c r="J984" t="n">
        <v>0</v>
      </c>
      <c r="K984" t="n">
        <v>0</v>
      </c>
      <c r="L984" t="n">
        <v>0</v>
      </c>
      <c r="M984" t="n">
        <v>0</v>
      </c>
      <c r="N984" t="n">
        <v>0</v>
      </c>
      <c r="O984" t="n">
        <v>0</v>
      </c>
      <c r="P984" t="n">
        <v>0</v>
      </c>
      <c r="Q984" t="n">
        <v>0</v>
      </c>
      <c r="R984" s="2" t="inlineStr"/>
    </row>
    <row r="985" ht="15" customHeight="1">
      <c r="A985" t="inlineStr">
        <is>
          <t>A 4350-2023</t>
        </is>
      </c>
      <c r="B985" s="1" t="n">
        <v>44953</v>
      </c>
      <c r="C985" s="1" t="n">
        <v>45742</v>
      </c>
      <c r="D985" t="inlineStr">
        <is>
          <t>JÄMTLANDS LÄN</t>
        </is>
      </c>
      <c r="E985" t="inlineStr">
        <is>
          <t>RAGUNDA</t>
        </is>
      </c>
      <c r="F985" t="inlineStr">
        <is>
          <t>Naturvårdsverket</t>
        </is>
      </c>
      <c r="G985" t="n">
        <v>10.4</v>
      </c>
      <c r="H985" t="n">
        <v>0</v>
      </c>
      <c r="I985" t="n">
        <v>0</v>
      </c>
      <c r="J985" t="n">
        <v>0</v>
      </c>
      <c r="K985" t="n">
        <v>0</v>
      </c>
      <c r="L985" t="n">
        <v>0</v>
      </c>
      <c r="M985" t="n">
        <v>0</v>
      </c>
      <c r="N985" t="n">
        <v>0</v>
      </c>
      <c r="O985" t="n">
        <v>0</v>
      </c>
      <c r="P985" t="n">
        <v>0</v>
      </c>
      <c r="Q985" t="n">
        <v>0</v>
      </c>
      <c r="R985" s="2" t="inlineStr"/>
    </row>
    <row r="986" ht="15" customHeight="1">
      <c r="A986" t="inlineStr">
        <is>
          <t>A 4349-2023</t>
        </is>
      </c>
      <c r="B986" s="1" t="n">
        <v>44954</v>
      </c>
      <c r="C986" s="1" t="n">
        <v>45742</v>
      </c>
      <c r="D986" t="inlineStr">
        <is>
          <t>JÄMTLANDS LÄN</t>
        </is>
      </c>
      <c r="E986" t="inlineStr">
        <is>
          <t>RAGUNDA</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4622-2023</t>
        </is>
      </c>
      <c r="B987" s="1" t="n">
        <v>44956</v>
      </c>
      <c r="C987" s="1" t="n">
        <v>45742</v>
      </c>
      <c r="D987" t="inlineStr">
        <is>
          <t>JÄMTLANDS LÄN</t>
        </is>
      </c>
      <c r="E987" t="inlineStr">
        <is>
          <t>RAGUNDA</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4620-2023</t>
        </is>
      </c>
      <c r="B988" s="1" t="n">
        <v>44956</v>
      </c>
      <c r="C988" s="1" t="n">
        <v>45742</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4615-2023</t>
        </is>
      </c>
      <c r="B989" s="1" t="n">
        <v>44956</v>
      </c>
      <c r="C989" s="1" t="n">
        <v>45742</v>
      </c>
      <c r="D989" t="inlineStr">
        <is>
          <t>JÄMTLANDS LÄN</t>
        </is>
      </c>
      <c r="E989" t="inlineStr">
        <is>
          <t>RAGUNDA</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4882-2023</t>
        </is>
      </c>
      <c r="B990" s="1" t="n">
        <v>44957</v>
      </c>
      <c r="C990" s="1" t="n">
        <v>45742</v>
      </c>
      <c r="D990" t="inlineStr">
        <is>
          <t>JÄMTLANDS LÄN</t>
        </is>
      </c>
      <c r="E990" t="inlineStr">
        <is>
          <t>RAGUNDA</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4874-2023</t>
        </is>
      </c>
      <c r="B991" s="1" t="n">
        <v>44957</v>
      </c>
      <c r="C991" s="1" t="n">
        <v>45742</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4879-2023</t>
        </is>
      </c>
      <c r="B992" s="1" t="n">
        <v>44957</v>
      </c>
      <c r="C992" s="1" t="n">
        <v>45742</v>
      </c>
      <c r="D992" t="inlineStr">
        <is>
          <t>JÄMTLANDS LÄN</t>
        </is>
      </c>
      <c r="E992" t="inlineStr">
        <is>
          <t>RAGUNDA</t>
        </is>
      </c>
      <c r="F992" t="inlineStr">
        <is>
          <t>SCA</t>
        </is>
      </c>
      <c r="G992" t="n">
        <v>17.4</v>
      </c>
      <c r="H992" t="n">
        <v>0</v>
      </c>
      <c r="I992" t="n">
        <v>0</v>
      </c>
      <c r="J992" t="n">
        <v>0</v>
      </c>
      <c r="K992" t="n">
        <v>0</v>
      </c>
      <c r="L992" t="n">
        <v>0</v>
      </c>
      <c r="M992" t="n">
        <v>0</v>
      </c>
      <c r="N992" t="n">
        <v>0</v>
      </c>
      <c r="O992" t="n">
        <v>0</v>
      </c>
      <c r="P992" t="n">
        <v>0</v>
      </c>
      <c r="Q992" t="n">
        <v>0</v>
      </c>
      <c r="R992" s="2" t="inlineStr"/>
    </row>
    <row r="993" ht="15" customHeight="1">
      <c r="A993" t="inlineStr">
        <is>
          <t>A 5163-2023</t>
        </is>
      </c>
      <c r="B993" s="1" t="n">
        <v>44958</v>
      </c>
      <c r="C993" s="1" t="n">
        <v>45742</v>
      </c>
      <c r="D993" t="inlineStr">
        <is>
          <t>JÄMTLANDS LÄN</t>
        </is>
      </c>
      <c r="E993" t="inlineStr">
        <is>
          <t>RAGUNDA</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5815-2023</t>
        </is>
      </c>
      <c r="B994" s="1" t="n">
        <v>44958</v>
      </c>
      <c r="C994" s="1" t="n">
        <v>45742</v>
      </c>
      <c r="D994" t="inlineStr">
        <is>
          <t>JÄMTLANDS LÄN</t>
        </is>
      </c>
      <c r="E994" t="inlineStr">
        <is>
          <t>RAGUNDA</t>
        </is>
      </c>
      <c r="G994" t="n">
        <v>1.9</v>
      </c>
      <c r="H994" t="n">
        <v>0</v>
      </c>
      <c r="I994" t="n">
        <v>0</v>
      </c>
      <c r="J994" t="n">
        <v>0</v>
      </c>
      <c r="K994" t="n">
        <v>0</v>
      </c>
      <c r="L994" t="n">
        <v>0</v>
      </c>
      <c r="M994" t="n">
        <v>0</v>
      </c>
      <c r="N994" t="n">
        <v>0</v>
      </c>
      <c r="O994" t="n">
        <v>0</v>
      </c>
      <c r="P994" t="n">
        <v>0</v>
      </c>
      <c r="Q994" t="n">
        <v>0</v>
      </c>
      <c r="R994" s="2" t="inlineStr"/>
    </row>
    <row r="995" ht="15" customHeight="1">
      <c r="A995" t="inlineStr">
        <is>
          <t>A 5148-2023</t>
        </is>
      </c>
      <c r="B995" s="1" t="n">
        <v>44958</v>
      </c>
      <c r="C995" s="1" t="n">
        <v>45742</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5164-2023</t>
        </is>
      </c>
      <c r="B996" s="1" t="n">
        <v>44958</v>
      </c>
      <c r="C996" s="1" t="n">
        <v>45742</v>
      </c>
      <c r="D996" t="inlineStr">
        <is>
          <t>JÄMTLANDS LÄN</t>
        </is>
      </c>
      <c r="E996" t="inlineStr">
        <is>
          <t>RAGUNDA</t>
        </is>
      </c>
      <c r="F996" t="inlineStr">
        <is>
          <t>SCA</t>
        </is>
      </c>
      <c r="G996" t="n">
        <v>9.5</v>
      </c>
      <c r="H996" t="n">
        <v>0</v>
      </c>
      <c r="I996" t="n">
        <v>0</v>
      </c>
      <c r="J996" t="n">
        <v>0</v>
      </c>
      <c r="K996" t="n">
        <v>0</v>
      </c>
      <c r="L996" t="n">
        <v>0</v>
      </c>
      <c r="M996" t="n">
        <v>0</v>
      </c>
      <c r="N996" t="n">
        <v>0</v>
      </c>
      <c r="O996" t="n">
        <v>0</v>
      </c>
      <c r="P996" t="n">
        <v>0</v>
      </c>
      <c r="Q996" t="n">
        <v>0</v>
      </c>
      <c r="R996" s="2" t="inlineStr"/>
    </row>
    <row r="997" ht="15" customHeight="1">
      <c r="A997" t="inlineStr">
        <is>
          <t>A 5175-2023</t>
        </is>
      </c>
      <c r="B997" s="1" t="n">
        <v>44958</v>
      </c>
      <c r="C997" s="1" t="n">
        <v>45742</v>
      </c>
      <c r="D997" t="inlineStr">
        <is>
          <t>JÄMTLANDS LÄN</t>
        </is>
      </c>
      <c r="E997" t="inlineStr">
        <is>
          <t>RAGUNDA</t>
        </is>
      </c>
      <c r="F997" t="inlineStr">
        <is>
          <t>SCA</t>
        </is>
      </c>
      <c r="G997" t="n">
        <v>17.9</v>
      </c>
      <c r="H997" t="n">
        <v>0</v>
      </c>
      <c r="I997" t="n">
        <v>0</v>
      </c>
      <c r="J997" t="n">
        <v>0</v>
      </c>
      <c r="K997" t="n">
        <v>0</v>
      </c>
      <c r="L997" t="n">
        <v>0</v>
      </c>
      <c r="M997" t="n">
        <v>0</v>
      </c>
      <c r="N997" t="n">
        <v>0</v>
      </c>
      <c r="O997" t="n">
        <v>0</v>
      </c>
      <c r="P997" t="n">
        <v>0</v>
      </c>
      <c r="Q997" t="n">
        <v>0</v>
      </c>
      <c r="R997" s="2" t="inlineStr"/>
    </row>
    <row r="998" ht="15" customHeight="1">
      <c r="A998" t="inlineStr">
        <is>
          <t>A 5439-2023</t>
        </is>
      </c>
      <c r="B998" s="1" t="n">
        <v>44959</v>
      </c>
      <c r="C998" s="1" t="n">
        <v>45742</v>
      </c>
      <c r="D998" t="inlineStr">
        <is>
          <t>JÄMTLANDS LÄN</t>
        </is>
      </c>
      <c r="E998" t="inlineStr">
        <is>
          <t>RAGUNDA</t>
        </is>
      </c>
      <c r="G998" t="n">
        <v>4.3</v>
      </c>
      <c r="H998" t="n">
        <v>0</v>
      </c>
      <c r="I998" t="n">
        <v>0</v>
      </c>
      <c r="J998" t="n">
        <v>0</v>
      </c>
      <c r="K998" t="n">
        <v>0</v>
      </c>
      <c r="L998" t="n">
        <v>0</v>
      </c>
      <c r="M998" t="n">
        <v>0</v>
      </c>
      <c r="N998" t="n">
        <v>0</v>
      </c>
      <c r="O998" t="n">
        <v>0</v>
      </c>
      <c r="P998" t="n">
        <v>0</v>
      </c>
      <c r="Q998" t="n">
        <v>0</v>
      </c>
      <c r="R998" s="2" t="inlineStr"/>
    </row>
    <row r="999" ht="15" customHeight="1">
      <c r="A999" t="inlineStr">
        <is>
          <t>A 5711-2023</t>
        </is>
      </c>
      <c r="B999" s="1" t="n">
        <v>44960</v>
      </c>
      <c r="C999" s="1" t="n">
        <v>45742</v>
      </c>
      <c r="D999" t="inlineStr">
        <is>
          <t>JÄMTLANDS LÄN</t>
        </is>
      </c>
      <c r="E999" t="inlineStr">
        <is>
          <t>RAGUNDA</t>
        </is>
      </c>
      <c r="F999" t="inlineStr">
        <is>
          <t>SCA</t>
        </is>
      </c>
      <c r="G999" t="n">
        <v>15.4</v>
      </c>
      <c r="H999" t="n">
        <v>0</v>
      </c>
      <c r="I999" t="n">
        <v>0</v>
      </c>
      <c r="J999" t="n">
        <v>0</v>
      </c>
      <c r="K999" t="n">
        <v>0</v>
      </c>
      <c r="L999" t="n">
        <v>0</v>
      </c>
      <c r="M999" t="n">
        <v>0</v>
      </c>
      <c r="N999" t="n">
        <v>0</v>
      </c>
      <c r="O999" t="n">
        <v>0</v>
      </c>
      <c r="P999" t="n">
        <v>0</v>
      </c>
      <c r="Q999" t="n">
        <v>0</v>
      </c>
      <c r="R999" s="2" t="inlineStr"/>
    </row>
    <row r="1000" ht="15" customHeight="1">
      <c r="A1000" t="inlineStr">
        <is>
          <t>A 5958-2023</t>
        </is>
      </c>
      <c r="B1000" s="1" t="n">
        <v>44963</v>
      </c>
      <c r="C1000" s="1" t="n">
        <v>45742</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6586-2023</t>
        </is>
      </c>
      <c r="B1001" s="1" t="n">
        <v>44963</v>
      </c>
      <c r="C1001" s="1" t="n">
        <v>45742</v>
      </c>
      <c r="D1001" t="inlineStr">
        <is>
          <t>JÄMTLANDS LÄN</t>
        </is>
      </c>
      <c r="E1001" t="inlineStr">
        <is>
          <t>RAGUNDA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6467-2023</t>
        </is>
      </c>
      <c r="B1002" s="1" t="n">
        <v>44965</v>
      </c>
      <c r="C1002" s="1" t="n">
        <v>45742</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6470-2023</t>
        </is>
      </c>
      <c r="B1003" s="1" t="n">
        <v>44965</v>
      </c>
      <c r="C1003" s="1" t="n">
        <v>45742</v>
      </c>
      <c r="D1003" t="inlineStr">
        <is>
          <t>JÄMTLANDS LÄN</t>
        </is>
      </c>
      <c r="E1003" t="inlineStr">
        <is>
          <t>RAGUNDA</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6801-2023</t>
        </is>
      </c>
      <c r="B1004" s="1" t="n">
        <v>44966</v>
      </c>
      <c r="C1004" s="1" t="n">
        <v>45742</v>
      </c>
      <c r="D1004" t="inlineStr">
        <is>
          <t>JÄMTLANDS LÄN</t>
        </is>
      </c>
      <c r="E1004" t="inlineStr">
        <is>
          <t>RAGUNDA</t>
        </is>
      </c>
      <c r="F1004" t="inlineStr">
        <is>
          <t>SCA</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6802-2023</t>
        </is>
      </c>
      <c r="B1005" s="1" t="n">
        <v>44966</v>
      </c>
      <c r="C1005" s="1" t="n">
        <v>45742</v>
      </c>
      <c r="D1005" t="inlineStr">
        <is>
          <t>JÄMTLANDS LÄN</t>
        </is>
      </c>
      <c r="E1005" t="inlineStr">
        <is>
          <t>RAGUNDA</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6800-2023</t>
        </is>
      </c>
      <c r="B1006" s="1" t="n">
        <v>44966</v>
      </c>
      <c r="C1006" s="1" t="n">
        <v>45742</v>
      </c>
      <c r="D1006" t="inlineStr">
        <is>
          <t>JÄMTLANDS LÄN</t>
        </is>
      </c>
      <c r="E1006" t="inlineStr">
        <is>
          <t>RAGUNDA</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7019-2023</t>
        </is>
      </c>
      <c r="B1007" s="1" t="n">
        <v>44968</v>
      </c>
      <c r="C1007" s="1" t="n">
        <v>45742</v>
      </c>
      <c r="D1007" t="inlineStr">
        <is>
          <t>JÄMTLANDS LÄN</t>
        </is>
      </c>
      <c r="E1007" t="inlineStr">
        <is>
          <t>RAGUNDA</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7021-2023</t>
        </is>
      </c>
      <c r="B1008" s="1" t="n">
        <v>44967</v>
      </c>
      <c r="C1008" s="1" t="n">
        <v>45742</v>
      </c>
      <c r="D1008" t="inlineStr">
        <is>
          <t>JÄMTLANDS LÄN</t>
        </is>
      </c>
      <c r="E1008" t="inlineStr">
        <is>
          <t>RAGUNDA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45742</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7521-2023</t>
        </is>
      </c>
      <c r="B1010" s="1" t="n">
        <v>44972</v>
      </c>
      <c r="C1010" s="1" t="n">
        <v>45742</v>
      </c>
      <c r="D1010" t="inlineStr">
        <is>
          <t>JÄMTLANDS LÄN</t>
        </is>
      </c>
      <c r="E1010" t="inlineStr">
        <is>
          <t>RAGUNDA</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7722-2023</t>
        </is>
      </c>
      <c r="B1011" s="1" t="n">
        <v>44972</v>
      </c>
      <c r="C1011" s="1" t="n">
        <v>45742</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8416-2023</t>
        </is>
      </c>
      <c r="B1012" s="1" t="n">
        <v>44977</v>
      </c>
      <c r="C1012" s="1" t="n">
        <v>45742</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8403-2023</t>
        </is>
      </c>
      <c r="B1013" s="1" t="n">
        <v>44977</v>
      </c>
      <c r="C1013" s="1" t="n">
        <v>45742</v>
      </c>
      <c r="D1013" t="inlineStr">
        <is>
          <t>JÄMTLANDS LÄN</t>
        </is>
      </c>
      <c r="E1013" t="inlineStr">
        <is>
          <t>RAGUNDA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8678-2023</t>
        </is>
      </c>
      <c r="B1014" s="1" t="n">
        <v>44978</v>
      </c>
      <c r="C1014" s="1" t="n">
        <v>45742</v>
      </c>
      <c r="D1014" t="inlineStr">
        <is>
          <t>JÄMTLANDS LÄN</t>
        </is>
      </c>
      <c r="E1014" t="inlineStr">
        <is>
          <t>RAGUNDA</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8679-2023</t>
        </is>
      </c>
      <c r="B1015" s="1" t="n">
        <v>44978</v>
      </c>
      <c r="C1015" s="1" t="n">
        <v>45742</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8877-2023</t>
        </is>
      </c>
      <c r="B1016" s="1" t="n">
        <v>44978</v>
      </c>
      <c r="C1016" s="1" t="n">
        <v>45742</v>
      </c>
      <c r="D1016" t="inlineStr">
        <is>
          <t>JÄMTLANDS LÄN</t>
        </is>
      </c>
      <c r="E1016" t="inlineStr">
        <is>
          <t>RAGUNDA</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8878-2023</t>
        </is>
      </c>
      <c r="B1017" s="1" t="n">
        <v>44978</v>
      </c>
      <c r="C1017" s="1" t="n">
        <v>45742</v>
      </c>
      <c r="D1017" t="inlineStr">
        <is>
          <t>JÄMTLANDS LÄN</t>
        </is>
      </c>
      <c r="E1017" t="inlineStr">
        <is>
          <t>RAGUNDA</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8876-2023</t>
        </is>
      </c>
      <c r="B1018" s="1" t="n">
        <v>44978</v>
      </c>
      <c r="C1018" s="1" t="n">
        <v>45742</v>
      </c>
      <c r="D1018" t="inlineStr">
        <is>
          <t>JÄMTLANDS LÄN</t>
        </is>
      </c>
      <c r="E1018" t="inlineStr">
        <is>
          <t>RAGUNDA</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9084-2023</t>
        </is>
      </c>
      <c r="B1019" s="1" t="n">
        <v>44979</v>
      </c>
      <c r="C1019" s="1" t="n">
        <v>45742</v>
      </c>
      <c r="D1019" t="inlineStr">
        <is>
          <t>JÄMTLANDS LÄN</t>
        </is>
      </c>
      <c r="E1019" t="inlineStr">
        <is>
          <t>RAGUNDA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9082-2023</t>
        </is>
      </c>
      <c r="B1020" s="1" t="n">
        <v>44979</v>
      </c>
      <c r="C1020" s="1" t="n">
        <v>45742</v>
      </c>
      <c r="D1020" t="inlineStr">
        <is>
          <t>JÄMTLANDS LÄN</t>
        </is>
      </c>
      <c r="E1020" t="inlineStr">
        <is>
          <t>RAGUNDA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9100-2023</t>
        </is>
      </c>
      <c r="B1021" s="1" t="n">
        <v>44979</v>
      </c>
      <c r="C1021" s="1" t="n">
        <v>45742</v>
      </c>
      <c r="D1021" t="inlineStr">
        <is>
          <t>JÄMTLANDS LÄN</t>
        </is>
      </c>
      <c r="E1021" t="inlineStr">
        <is>
          <t>RAGUNDA</t>
        </is>
      </c>
      <c r="F1021" t="inlineStr">
        <is>
          <t>SCA</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9094-2023</t>
        </is>
      </c>
      <c r="B1022" s="1" t="n">
        <v>44979</v>
      </c>
      <c r="C1022" s="1" t="n">
        <v>45742</v>
      </c>
      <c r="D1022" t="inlineStr">
        <is>
          <t>JÄMTLANDS LÄN</t>
        </is>
      </c>
      <c r="E1022" t="inlineStr">
        <is>
          <t>RAGUNDA</t>
        </is>
      </c>
      <c r="F1022" t="inlineStr">
        <is>
          <t>SCA</t>
        </is>
      </c>
      <c r="G1022" t="n">
        <v>28.2</v>
      </c>
      <c r="H1022" t="n">
        <v>0</v>
      </c>
      <c r="I1022" t="n">
        <v>0</v>
      </c>
      <c r="J1022" t="n">
        <v>0</v>
      </c>
      <c r="K1022" t="n">
        <v>0</v>
      </c>
      <c r="L1022" t="n">
        <v>0</v>
      </c>
      <c r="M1022" t="n">
        <v>0</v>
      </c>
      <c r="N1022" t="n">
        <v>0</v>
      </c>
      <c r="O1022" t="n">
        <v>0</v>
      </c>
      <c r="P1022" t="n">
        <v>0</v>
      </c>
      <c r="Q1022" t="n">
        <v>0</v>
      </c>
      <c r="R1022" s="2" t="inlineStr"/>
    </row>
    <row r="1023" ht="15" customHeight="1">
      <c r="A1023" t="inlineStr">
        <is>
          <t>A 9346-2023</t>
        </is>
      </c>
      <c r="B1023" s="1" t="n">
        <v>44980</v>
      </c>
      <c r="C1023" s="1" t="n">
        <v>45742</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9360-2023</t>
        </is>
      </c>
      <c r="B1024" s="1" t="n">
        <v>44980</v>
      </c>
      <c r="C1024" s="1" t="n">
        <v>45742</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9339-2023</t>
        </is>
      </c>
      <c r="B1025" s="1" t="n">
        <v>44980</v>
      </c>
      <c r="C1025" s="1" t="n">
        <v>45742</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10706-2023</t>
        </is>
      </c>
      <c r="B1026" s="1" t="n">
        <v>44984</v>
      </c>
      <c r="C1026" s="1" t="n">
        <v>45742</v>
      </c>
      <c r="D1026" t="inlineStr">
        <is>
          <t>JÄMTLANDS LÄN</t>
        </is>
      </c>
      <c r="E1026" t="inlineStr">
        <is>
          <t>RAGUNDA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10092-2023</t>
        </is>
      </c>
      <c r="B1027" s="1" t="n">
        <v>44985</v>
      </c>
      <c r="C1027" s="1" t="n">
        <v>45742</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11093-2023</t>
        </is>
      </c>
      <c r="B1028" s="1" t="n">
        <v>44986</v>
      </c>
      <c r="C1028" s="1" t="n">
        <v>45742</v>
      </c>
      <c r="D1028" t="inlineStr">
        <is>
          <t>JÄMTLANDS LÄN</t>
        </is>
      </c>
      <c r="E1028" t="inlineStr">
        <is>
          <t>RAGUNDA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10550-2023</t>
        </is>
      </c>
      <c r="B1029" s="1" t="n">
        <v>44987</v>
      </c>
      <c r="C1029" s="1" t="n">
        <v>45742</v>
      </c>
      <c r="D1029" t="inlineStr">
        <is>
          <t>JÄMTLANDS LÄN</t>
        </is>
      </c>
      <c r="E1029" t="inlineStr">
        <is>
          <t>RAGUNDA</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11048-2023</t>
        </is>
      </c>
      <c r="B1030" s="1" t="n">
        <v>44991</v>
      </c>
      <c r="C1030" s="1" t="n">
        <v>45742</v>
      </c>
      <c r="D1030" t="inlineStr">
        <is>
          <t>JÄMTLANDS LÄN</t>
        </is>
      </c>
      <c r="E1030" t="inlineStr">
        <is>
          <t>RAGUNDA</t>
        </is>
      </c>
      <c r="F1030" t="inlineStr">
        <is>
          <t>SCA</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11063-2023</t>
        </is>
      </c>
      <c r="B1031" s="1" t="n">
        <v>44991</v>
      </c>
      <c r="C1031" s="1" t="n">
        <v>45742</v>
      </c>
      <c r="D1031" t="inlineStr">
        <is>
          <t>JÄMTLANDS LÄN</t>
        </is>
      </c>
      <c r="E1031" t="inlineStr">
        <is>
          <t>RAGUNDA</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11062-2023</t>
        </is>
      </c>
      <c r="B1032" s="1" t="n">
        <v>44991</v>
      </c>
      <c r="C1032" s="1" t="n">
        <v>45742</v>
      </c>
      <c r="D1032" t="inlineStr">
        <is>
          <t>JÄMTLANDS LÄN</t>
        </is>
      </c>
      <c r="E1032" t="inlineStr">
        <is>
          <t>RAGUNDA</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11603-2023</t>
        </is>
      </c>
      <c r="B1033" s="1" t="n">
        <v>44992</v>
      </c>
      <c r="C1033" s="1" t="n">
        <v>45742</v>
      </c>
      <c r="D1033" t="inlineStr">
        <is>
          <t>JÄMTLANDS LÄN</t>
        </is>
      </c>
      <c r="E1033" t="inlineStr">
        <is>
          <t>RAGUNDA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11556-2023</t>
        </is>
      </c>
      <c r="B1034" s="1" t="n">
        <v>44993</v>
      </c>
      <c r="C1034" s="1" t="n">
        <v>45742</v>
      </c>
      <c r="D1034" t="inlineStr">
        <is>
          <t>JÄMTLANDS LÄN</t>
        </is>
      </c>
      <c r="E1034" t="inlineStr">
        <is>
          <t>RAGUNDA</t>
        </is>
      </c>
      <c r="F1034" t="inlineStr">
        <is>
          <t>SCA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11322-2023</t>
        </is>
      </c>
      <c r="B1035" s="1" t="n">
        <v>44993</v>
      </c>
      <c r="C1035" s="1" t="n">
        <v>45742</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11558-2023</t>
        </is>
      </c>
      <c r="B1036" s="1" t="n">
        <v>44993</v>
      </c>
      <c r="C1036" s="1" t="n">
        <v>45742</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11553-2023</t>
        </is>
      </c>
      <c r="B1037" s="1" t="n">
        <v>44993</v>
      </c>
      <c r="C1037" s="1" t="n">
        <v>45742</v>
      </c>
      <c r="D1037" t="inlineStr">
        <is>
          <t>JÄMTLANDS LÄN</t>
        </is>
      </c>
      <c r="E1037" t="inlineStr">
        <is>
          <t>RAGUNDA</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11557-2023</t>
        </is>
      </c>
      <c r="B1038" s="1" t="n">
        <v>44993</v>
      </c>
      <c r="C1038" s="1" t="n">
        <v>45742</v>
      </c>
      <c r="D1038" t="inlineStr">
        <is>
          <t>JÄMTLANDS LÄN</t>
        </is>
      </c>
      <c r="E1038" t="inlineStr">
        <is>
          <t>RAGUNDA</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11562-2023</t>
        </is>
      </c>
      <c r="B1039" s="1" t="n">
        <v>44993</v>
      </c>
      <c r="C1039" s="1" t="n">
        <v>45742</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11834-2023</t>
        </is>
      </c>
      <c r="B1040" s="1" t="n">
        <v>44994</v>
      </c>
      <c r="C1040" s="1" t="n">
        <v>45742</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12055-2023</t>
        </is>
      </c>
      <c r="B1041" s="1" t="n">
        <v>44995</v>
      </c>
      <c r="C1041" s="1" t="n">
        <v>45742</v>
      </c>
      <c r="D1041" t="inlineStr">
        <is>
          <t>JÄMTLANDS LÄN</t>
        </is>
      </c>
      <c r="E1041" t="inlineStr">
        <is>
          <t>RAGUNDA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12051-2023</t>
        </is>
      </c>
      <c r="B1042" s="1" t="n">
        <v>44995</v>
      </c>
      <c r="C1042" s="1" t="n">
        <v>45742</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12040-2023</t>
        </is>
      </c>
      <c r="B1043" s="1" t="n">
        <v>44996</v>
      </c>
      <c r="C1043" s="1" t="n">
        <v>45742</v>
      </c>
      <c r="D1043" t="inlineStr">
        <is>
          <t>JÄMTLANDS LÄN</t>
        </is>
      </c>
      <c r="E1043" t="inlineStr">
        <is>
          <t>RAGUNDA</t>
        </is>
      </c>
      <c r="F1043" t="inlineStr">
        <is>
          <t>SCA</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12050-2023</t>
        </is>
      </c>
      <c r="B1044" s="1" t="n">
        <v>44996</v>
      </c>
      <c r="C1044" s="1" t="n">
        <v>45742</v>
      </c>
      <c r="D1044" t="inlineStr">
        <is>
          <t>JÄMTLANDS LÄN</t>
        </is>
      </c>
      <c r="E1044" t="inlineStr">
        <is>
          <t>RAGUNDA</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12039-2023</t>
        </is>
      </c>
      <c r="B1045" s="1" t="n">
        <v>44996</v>
      </c>
      <c r="C1045" s="1" t="n">
        <v>45742</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12523-2023</t>
        </is>
      </c>
      <c r="B1046" s="1" t="n">
        <v>45000</v>
      </c>
      <c r="C1046" s="1" t="n">
        <v>45742</v>
      </c>
      <c r="D1046" t="inlineStr">
        <is>
          <t>JÄMTLANDS LÄN</t>
        </is>
      </c>
      <c r="E1046" t="inlineStr">
        <is>
          <t>RAGUNDA</t>
        </is>
      </c>
      <c r="F1046" t="inlineStr">
        <is>
          <t>SCA</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12522-2023</t>
        </is>
      </c>
      <c r="B1047" s="1" t="n">
        <v>45000</v>
      </c>
      <c r="C1047" s="1" t="n">
        <v>45742</v>
      </c>
      <c r="D1047" t="inlineStr">
        <is>
          <t>JÄMTLANDS LÄN</t>
        </is>
      </c>
      <c r="E1047" t="inlineStr">
        <is>
          <t>RAGUNDA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12521-2023</t>
        </is>
      </c>
      <c r="B1048" s="1" t="n">
        <v>45000</v>
      </c>
      <c r="C1048" s="1" t="n">
        <v>45742</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12783-2023</t>
        </is>
      </c>
      <c r="B1049" s="1" t="n">
        <v>45000</v>
      </c>
      <c r="C1049" s="1" t="n">
        <v>45742</v>
      </c>
      <c r="D1049" t="inlineStr">
        <is>
          <t>JÄMTLANDS LÄN</t>
        </is>
      </c>
      <c r="E1049" t="inlineStr">
        <is>
          <t>RAGUNDA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12750-2023</t>
        </is>
      </c>
      <c r="B1050" s="1" t="n">
        <v>45000</v>
      </c>
      <c r="C1050" s="1" t="n">
        <v>45742</v>
      </c>
      <c r="D1050" t="inlineStr">
        <is>
          <t>JÄMTLANDS LÄN</t>
        </is>
      </c>
      <c r="E1050" t="inlineStr">
        <is>
          <t>RAGUNDA</t>
        </is>
      </c>
      <c r="F1050" t="inlineStr">
        <is>
          <t>Naturvårdsverket</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12995-2023</t>
        </is>
      </c>
      <c r="B1051" s="1" t="n">
        <v>45002</v>
      </c>
      <c r="C1051" s="1" t="n">
        <v>45742</v>
      </c>
      <c r="D1051" t="inlineStr">
        <is>
          <t>JÄMTLANDS LÄN</t>
        </is>
      </c>
      <c r="E1051" t="inlineStr">
        <is>
          <t>RAGUNDA</t>
        </is>
      </c>
      <c r="F1051" t="inlineStr">
        <is>
          <t>SCA</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13246-2023</t>
        </is>
      </c>
      <c r="B1052" s="1" t="n">
        <v>45002</v>
      </c>
      <c r="C1052" s="1" t="n">
        <v>45742</v>
      </c>
      <c r="D1052" t="inlineStr">
        <is>
          <t>JÄMTLANDS LÄN</t>
        </is>
      </c>
      <c r="E1052" t="inlineStr">
        <is>
          <t>RAGUNDA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13700-2023</t>
        </is>
      </c>
      <c r="B1053" s="1" t="n">
        <v>45006</v>
      </c>
      <c r="C1053" s="1" t="n">
        <v>45742</v>
      </c>
      <c r="D1053" t="inlineStr">
        <is>
          <t>JÄMTLANDS LÄN</t>
        </is>
      </c>
      <c r="E1053" t="inlineStr">
        <is>
          <t>RAGUNDA</t>
        </is>
      </c>
      <c r="F1053" t="inlineStr">
        <is>
          <t>SCA</t>
        </is>
      </c>
      <c r="G1053" t="n">
        <v>50.3</v>
      </c>
      <c r="H1053" t="n">
        <v>0</v>
      </c>
      <c r="I1053" t="n">
        <v>0</v>
      </c>
      <c r="J1053" t="n">
        <v>0</v>
      </c>
      <c r="K1053" t="n">
        <v>0</v>
      </c>
      <c r="L1053" t="n">
        <v>0</v>
      </c>
      <c r="M1053" t="n">
        <v>0</v>
      </c>
      <c r="N1053" t="n">
        <v>0</v>
      </c>
      <c r="O1053" t="n">
        <v>0</v>
      </c>
      <c r="P1053" t="n">
        <v>0</v>
      </c>
      <c r="Q1053" t="n">
        <v>0</v>
      </c>
      <c r="R1053" s="2" t="inlineStr"/>
    </row>
    <row r="1054" ht="15" customHeight="1">
      <c r="A1054" t="inlineStr">
        <is>
          <t>A 13917-2023</t>
        </is>
      </c>
      <c r="B1054" s="1" t="n">
        <v>45007</v>
      </c>
      <c r="C1054" s="1" t="n">
        <v>45742</v>
      </c>
      <c r="D1054" t="inlineStr">
        <is>
          <t>JÄMTLANDS LÄN</t>
        </is>
      </c>
      <c r="E1054" t="inlineStr">
        <is>
          <t>RAGUNDA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13900-2023</t>
        </is>
      </c>
      <c r="B1055" s="1" t="n">
        <v>45008</v>
      </c>
      <c r="C1055" s="1" t="n">
        <v>45742</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13898-2023</t>
        </is>
      </c>
      <c r="B1056" s="1" t="n">
        <v>45008</v>
      </c>
      <c r="C1056" s="1" t="n">
        <v>45742</v>
      </c>
      <c r="D1056" t="inlineStr">
        <is>
          <t>JÄMTLANDS LÄN</t>
        </is>
      </c>
      <c r="E1056" t="inlineStr">
        <is>
          <t>RAGUNDA</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14179-2023</t>
        </is>
      </c>
      <c r="B1057" s="1" t="n">
        <v>45009</v>
      </c>
      <c r="C1057" s="1" t="n">
        <v>45742</v>
      </c>
      <c r="D1057" t="inlineStr">
        <is>
          <t>JÄMTLANDS LÄN</t>
        </is>
      </c>
      <c r="E1057" t="inlineStr">
        <is>
          <t>RAGUNDA</t>
        </is>
      </c>
      <c r="G1057" t="n">
        <v>33.8</v>
      </c>
      <c r="H1057" t="n">
        <v>0</v>
      </c>
      <c r="I1057" t="n">
        <v>0</v>
      </c>
      <c r="J1057" t="n">
        <v>0</v>
      </c>
      <c r="K1057" t="n">
        <v>0</v>
      </c>
      <c r="L1057" t="n">
        <v>0</v>
      </c>
      <c r="M1057" t="n">
        <v>0</v>
      </c>
      <c r="N1057" t="n">
        <v>0</v>
      </c>
      <c r="O1057" t="n">
        <v>0</v>
      </c>
      <c r="P1057" t="n">
        <v>0</v>
      </c>
      <c r="Q1057" t="n">
        <v>0</v>
      </c>
      <c r="R1057" s="2" t="inlineStr"/>
    </row>
    <row r="1058" ht="15" customHeight="1">
      <c r="A1058" t="inlineStr">
        <is>
          <t>A 14074-2023</t>
        </is>
      </c>
      <c r="B1058" s="1" t="n">
        <v>45009</v>
      </c>
      <c r="C1058" s="1" t="n">
        <v>45742</v>
      </c>
      <c r="D1058" t="inlineStr">
        <is>
          <t>JÄMTLANDS LÄN</t>
        </is>
      </c>
      <c r="E1058" t="inlineStr">
        <is>
          <t>RAGUNDA</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14212-2023</t>
        </is>
      </c>
      <c r="B1059" s="1" t="n">
        <v>45009</v>
      </c>
      <c r="C1059" s="1" t="n">
        <v>45742</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14076-2023</t>
        </is>
      </c>
      <c r="B1060" s="1" t="n">
        <v>45009</v>
      </c>
      <c r="C1060" s="1" t="n">
        <v>45742</v>
      </c>
      <c r="D1060" t="inlineStr">
        <is>
          <t>JÄMTLANDS LÄN</t>
        </is>
      </c>
      <c r="E1060" t="inlineStr">
        <is>
          <t>RAGUNDA</t>
        </is>
      </c>
      <c r="F1060" t="inlineStr">
        <is>
          <t>SCA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14081-2023</t>
        </is>
      </c>
      <c r="B1061" s="1" t="n">
        <v>45009</v>
      </c>
      <c r="C1061" s="1" t="n">
        <v>45742</v>
      </c>
      <c r="D1061" t="inlineStr">
        <is>
          <t>JÄMTLANDS LÄN</t>
        </is>
      </c>
      <c r="E1061" t="inlineStr">
        <is>
          <t>RAGUNDA</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14080-2023</t>
        </is>
      </c>
      <c r="B1062" s="1" t="n">
        <v>45009</v>
      </c>
      <c r="C1062" s="1" t="n">
        <v>45742</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14531-2023</t>
        </is>
      </c>
      <c r="B1063" s="1" t="n">
        <v>45013</v>
      </c>
      <c r="C1063" s="1" t="n">
        <v>45742</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14869-2023</t>
        </is>
      </c>
      <c r="B1064" s="1" t="n">
        <v>45015</v>
      </c>
      <c r="C1064" s="1" t="n">
        <v>45742</v>
      </c>
      <c r="D1064" t="inlineStr">
        <is>
          <t>JÄMTLANDS LÄN</t>
        </is>
      </c>
      <c r="E1064" t="inlineStr">
        <is>
          <t>RAGUNDA</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14868-2023</t>
        </is>
      </c>
      <c r="B1065" s="1" t="n">
        <v>45015</v>
      </c>
      <c r="C1065" s="1" t="n">
        <v>45742</v>
      </c>
      <c r="D1065" t="inlineStr">
        <is>
          <t>JÄMTLANDS LÄN</t>
        </is>
      </c>
      <c r="E1065" t="inlineStr">
        <is>
          <t>RAGUNDA</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15078-2023</t>
        </is>
      </c>
      <c r="B1066" s="1" t="n">
        <v>45015</v>
      </c>
      <c r="C1066" s="1" t="n">
        <v>45742</v>
      </c>
      <c r="D1066" t="inlineStr">
        <is>
          <t>JÄMTLANDS LÄN</t>
        </is>
      </c>
      <c r="E1066" t="inlineStr">
        <is>
          <t>RAGUNDA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15077-2023</t>
        </is>
      </c>
      <c r="B1067" s="1" t="n">
        <v>45015</v>
      </c>
      <c r="C1067" s="1" t="n">
        <v>45742</v>
      </c>
      <c r="D1067" t="inlineStr">
        <is>
          <t>JÄMTLANDS LÄN</t>
        </is>
      </c>
      <c r="E1067" t="inlineStr">
        <is>
          <t>RAGUNDA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16364-2023</t>
        </is>
      </c>
      <c r="B1068" s="1" t="n">
        <v>45028</v>
      </c>
      <c r="C1068" s="1" t="n">
        <v>45742</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17248-2023</t>
        </is>
      </c>
      <c r="B1069" s="1" t="n">
        <v>45033</v>
      </c>
      <c r="C1069" s="1" t="n">
        <v>45742</v>
      </c>
      <c r="D1069" t="inlineStr">
        <is>
          <t>JÄMTLANDS LÄN</t>
        </is>
      </c>
      <c r="E1069" t="inlineStr">
        <is>
          <t>RAGUNDA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17207-2023</t>
        </is>
      </c>
      <c r="B1070" s="1" t="n">
        <v>45035</v>
      </c>
      <c r="C1070" s="1" t="n">
        <v>45742</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17206-2023</t>
        </is>
      </c>
      <c r="B1071" s="1" t="n">
        <v>45035</v>
      </c>
      <c r="C1071" s="1" t="n">
        <v>45742</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17559-2023</t>
        </is>
      </c>
      <c r="B1072" s="1" t="n">
        <v>45034</v>
      </c>
      <c r="C1072" s="1" t="n">
        <v>45742</v>
      </c>
      <c r="D1072" t="inlineStr">
        <is>
          <t>JÄMTLANDS LÄN</t>
        </is>
      </c>
      <c r="E1072" t="inlineStr">
        <is>
          <t>RAGUNDA</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17864-2023</t>
        </is>
      </c>
      <c r="B1073" s="1" t="n">
        <v>45038</v>
      </c>
      <c r="C1073" s="1" t="n">
        <v>45742</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17863-2023</t>
        </is>
      </c>
      <c r="B1074" s="1" t="n">
        <v>45038</v>
      </c>
      <c r="C1074" s="1" t="n">
        <v>45742</v>
      </c>
      <c r="D1074" t="inlineStr">
        <is>
          <t>JÄMTLANDS LÄN</t>
        </is>
      </c>
      <c r="E1074" t="inlineStr">
        <is>
          <t>RAGUNDA</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18159-2023</t>
        </is>
      </c>
      <c r="B1075" s="1" t="n">
        <v>45041</v>
      </c>
      <c r="C1075" s="1" t="n">
        <v>45742</v>
      </c>
      <c r="D1075" t="inlineStr">
        <is>
          <t>JÄMTLANDS LÄN</t>
        </is>
      </c>
      <c r="E1075" t="inlineStr">
        <is>
          <t>RAGUNDA</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18145-2023</t>
        </is>
      </c>
      <c r="B1076" s="1" t="n">
        <v>45041</v>
      </c>
      <c r="C1076" s="1" t="n">
        <v>45742</v>
      </c>
      <c r="D1076" t="inlineStr">
        <is>
          <t>JÄMTLANDS LÄN</t>
        </is>
      </c>
      <c r="E1076" t="inlineStr">
        <is>
          <t>RAGUNDA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18248-2023</t>
        </is>
      </c>
      <c r="B1077" s="1" t="n">
        <v>45040</v>
      </c>
      <c r="C1077" s="1" t="n">
        <v>45742</v>
      </c>
      <c r="D1077" t="inlineStr">
        <is>
          <t>JÄMTLANDS LÄN</t>
        </is>
      </c>
      <c r="E1077" t="inlineStr">
        <is>
          <t>RAGUNDA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18557-2023</t>
        </is>
      </c>
      <c r="B1078" s="1" t="n">
        <v>45043</v>
      </c>
      <c r="C1078" s="1" t="n">
        <v>45742</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18556-2023</t>
        </is>
      </c>
      <c r="B1079" s="1" t="n">
        <v>45043</v>
      </c>
      <c r="C1079" s="1" t="n">
        <v>45742</v>
      </c>
      <c r="D1079" t="inlineStr">
        <is>
          <t>JÄMTLANDS LÄN</t>
        </is>
      </c>
      <c r="E1079" t="inlineStr">
        <is>
          <t>RAGUNDA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18820-2023</t>
        </is>
      </c>
      <c r="B1080" s="1" t="n">
        <v>45042</v>
      </c>
      <c r="C1080" s="1" t="n">
        <v>45742</v>
      </c>
      <c r="D1080" t="inlineStr">
        <is>
          <t>JÄMTLANDS LÄN</t>
        </is>
      </c>
      <c r="E1080" t="inlineStr">
        <is>
          <t>RAGUNDA</t>
        </is>
      </c>
      <c r="G1080" t="n">
        <v>18.8</v>
      </c>
      <c r="H1080" t="n">
        <v>0</v>
      </c>
      <c r="I1080" t="n">
        <v>0</v>
      </c>
      <c r="J1080" t="n">
        <v>0</v>
      </c>
      <c r="K1080" t="n">
        <v>0</v>
      </c>
      <c r="L1080" t="n">
        <v>0</v>
      </c>
      <c r="M1080" t="n">
        <v>0</v>
      </c>
      <c r="N1080" t="n">
        <v>0</v>
      </c>
      <c r="O1080" t="n">
        <v>0</v>
      </c>
      <c r="P1080" t="n">
        <v>0</v>
      </c>
      <c r="Q1080" t="n">
        <v>0</v>
      </c>
      <c r="R1080" s="2" t="inlineStr"/>
    </row>
    <row r="1081" ht="15" customHeight="1">
      <c r="A1081" t="inlineStr">
        <is>
          <t>A 18984-2023</t>
        </is>
      </c>
      <c r="B1081" s="1" t="n">
        <v>45044</v>
      </c>
      <c r="C1081" s="1" t="n">
        <v>45742</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18995-2023</t>
        </is>
      </c>
      <c r="B1082" s="1" t="n">
        <v>45045</v>
      </c>
      <c r="C1082" s="1" t="n">
        <v>45742</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18996-2023</t>
        </is>
      </c>
      <c r="B1083" s="1" t="n">
        <v>45045</v>
      </c>
      <c r="C1083" s="1" t="n">
        <v>45742</v>
      </c>
      <c r="D1083" t="inlineStr">
        <is>
          <t>JÄMTLANDS LÄN</t>
        </is>
      </c>
      <c r="E1083" t="inlineStr">
        <is>
          <t>RAGUNDA</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19242-2023</t>
        </is>
      </c>
      <c r="B1084" s="1" t="n">
        <v>45048</v>
      </c>
      <c r="C1084" s="1" t="n">
        <v>45742</v>
      </c>
      <c r="D1084" t="inlineStr">
        <is>
          <t>JÄMTLANDS LÄN</t>
        </is>
      </c>
      <c r="E1084" t="inlineStr">
        <is>
          <t>RAGUNDA</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19246-2023</t>
        </is>
      </c>
      <c r="B1085" s="1" t="n">
        <v>45049</v>
      </c>
      <c r="C1085" s="1" t="n">
        <v>45742</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19438-2023</t>
        </is>
      </c>
      <c r="B1086" s="1" t="n">
        <v>45049</v>
      </c>
      <c r="C1086" s="1" t="n">
        <v>45742</v>
      </c>
      <c r="D1086" t="inlineStr">
        <is>
          <t>JÄMTLANDS LÄN</t>
        </is>
      </c>
      <c r="E1086" t="inlineStr">
        <is>
          <t>RAGUNDA</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19613-2023</t>
        </is>
      </c>
      <c r="B1087" s="1" t="n">
        <v>45051</v>
      </c>
      <c r="C1087" s="1" t="n">
        <v>45742</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19612-2023</t>
        </is>
      </c>
      <c r="B1088" s="1" t="n">
        <v>45051</v>
      </c>
      <c r="C1088" s="1" t="n">
        <v>45742</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19620-2023</t>
        </is>
      </c>
      <c r="B1089" s="1" t="n">
        <v>45050</v>
      </c>
      <c r="C1089" s="1" t="n">
        <v>45742</v>
      </c>
      <c r="D1089" t="inlineStr">
        <is>
          <t>JÄMTLANDS LÄN</t>
        </is>
      </c>
      <c r="E1089" t="inlineStr">
        <is>
          <t>RAGUNDA</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19865-2023</t>
        </is>
      </c>
      <c r="B1090" s="1" t="n">
        <v>45054</v>
      </c>
      <c r="C1090" s="1" t="n">
        <v>45742</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19866-2023</t>
        </is>
      </c>
      <c r="B1091" s="1" t="n">
        <v>45054</v>
      </c>
      <c r="C1091" s="1" t="n">
        <v>45742</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20079-2023</t>
        </is>
      </c>
      <c r="B1092" s="1" t="n">
        <v>45055</v>
      </c>
      <c r="C1092" s="1" t="n">
        <v>45742</v>
      </c>
      <c r="D1092" t="inlineStr">
        <is>
          <t>JÄMTLANDS LÄN</t>
        </is>
      </c>
      <c r="E1092" t="inlineStr">
        <is>
          <t>RAGUNDA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20088-2023</t>
        </is>
      </c>
      <c r="B1093" s="1" t="n">
        <v>45054</v>
      </c>
      <c r="C1093" s="1" t="n">
        <v>45742</v>
      </c>
      <c r="D1093" t="inlineStr">
        <is>
          <t>JÄMTLANDS LÄN</t>
        </is>
      </c>
      <c r="E1093" t="inlineStr">
        <is>
          <t>RAGUNDA</t>
        </is>
      </c>
      <c r="F1093" t="inlineStr">
        <is>
          <t>SCA</t>
        </is>
      </c>
      <c r="G1093" t="n">
        <v>23.4</v>
      </c>
      <c r="H1093" t="n">
        <v>0</v>
      </c>
      <c r="I1093" t="n">
        <v>0</v>
      </c>
      <c r="J1093" t="n">
        <v>0</v>
      </c>
      <c r="K1093" t="n">
        <v>0</v>
      </c>
      <c r="L1093" t="n">
        <v>0</v>
      </c>
      <c r="M1093" t="n">
        <v>0</v>
      </c>
      <c r="N1093" t="n">
        <v>0</v>
      </c>
      <c r="O1093" t="n">
        <v>0</v>
      </c>
      <c r="P1093" t="n">
        <v>0</v>
      </c>
      <c r="Q1093" t="n">
        <v>0</v>
      </c>
      <c r="R1093" s="2" t="inlineStr"/>
    </row>
    <row r="1094" ht="15" customHeight="1">
      <c r="A1094" t="inlineStr">
        <is>
          <t>A 20987-2023</t>
        </is>
      </c>
      <c r="B1094" s="1" t="n">
        <v>45056</v>
      </c>
      <c r="C1094" s="1" t="n">
        <v>45742</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20994-2023</t>
        </is>
      </c>
      <c r="B1095" s="1" t="n">
        <v>45056</v>
      </c>
      <c r="C1095" s="1" t="n">
        <v>45742</v>
      </c>
      <c r="D1095" t="inlineStr">
        <is>
          <t>JÄMTLANDS LÄN</t>
        </is>
      </c>
      <c r="E1095" t="inlineStr">
        <is>
          <t>RAGUNDA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20901-2023</t>
        </is>
      </c>
      <c r="B1096" s="1" t="n">
        <v>45060</v>
      </c>
      <c r="C1096" s="1" t="n">
        <v>45742</v>
      </c>
      <c r="D1096" t="inlineStr">
        <is>
          <t>JÄMTLANDS LÄN</t>
        </is>
      </c>
      <c r="E1096" t="inlineStr">
        <is>
          <t>RAGUNDA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21102-2023</t>
        </is>
      </c>
      <c r="B1097" s="1" t="n">
        <v>45062</v>
      </c>
      <c r="C1097" s="1" t="n">
        <v>45742</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21661-2023</t>
        </is>
      </c>
      <c r="B1098" s="1" t="n">
        <v>45063</v>
      </c>
      <c r="C1098" s="1" t="n">
        <v>45742</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21662-2023</t>
        </is>
      </c>
      <c r="B1099" s="1" t="n">
        <v>45063</v>
      </c>
      <c r="C1099" s="1" t="n">
        <v>45742</v>
      </c>
      <c r="D1099" t="inlineStr">
        <is>
          <t>JÄMTLANDS LÄN</t>
        </is>
      </c>
      <c r="E1099" t="inlineStr">
        <is>
          <t>RAGUNDA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21726-2023</t>
        </is>
      </c>
      <c r="B1100" s="1" t="n">
        <v>45065</v>
      </c>
      <c r="C1100" s="1" t="n">
        <v>45742</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22011-2023</t>
        </is>
      </c>
      <c r="B1101" s="1" t="n">
        <v>45068</v>
      </c>
      <c r="C1101" s="1" t="n">
        <v>45742</v>
      </c>
      <c r="D1101" t="inlineStr">
        <is>
          <t>JÄMTLANDS LÄN</t>
        </is>
      </c>
      <c r="E1101" t="inlineStr">
        <is>
          <t>RAGUNDA</t>
        </is>
      </c>
      <c r="F1101" t="inlineStr">
        <is>
          <t>SCA</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22569-2023</t>
        </is>
      </c>
      <c r="B1102" s="1" t="n">
        <v>45069</v>
      </c>
      <c r="C1102" s="1" t="n">
        <v>45742</v>
      </c>
      <c r="D1102" t="inlineStr">
        <is>
          <t>JÄMTLANDS LÄN</t>
        </is>
      </c>
      <c r="E1102" t="inlineStr">
        <is>
          <t>RAGUNDA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22479-2023</t>
        </is>
      </c>
      <c r="B1103" s="1" t="n">
        <v>45070</v>
      </c>
      <c r="C1103" s="1" t="n">
        <v>45742</v>
      </c>
      <c r="D1103" t="inlineStr">
        <is>
          <t>JÄMTLANDS LÄN</t>
        </is>
      </c>
      <c r="E1103" t="inlineStr">
        <is>
          <t>RAGUNDA</t>
        </is>
      </c>
      <c r="F1103" t="inlineStr">
        <is>
          <t>SCA</t>
        </is>
      </c>
      <c r="G1103" t="n">
        <v>31.8</v>
      </c>
      <c r="H1103" t="n">
        <v>0</v>
      </c>
      <c r="I1103" t="n">
        <v>0</v>
      </c>
      <c r="J1103" t="n">
        <v>0</v>
      </c>
      <c r="K1103" t="n">
        <v>0</v>
      </c>
      <c r="L1103" t="n">
        <v>0</v>
      </c>
      <c r="M1103" t="n">
        <v>0</v>
      </c>
      <c r="N1103" t="n">
        <v>0</v>
      </c>
      <c r="O1103" t="n">
        <v>0</v>
      </c>
      <c r="P1103" t="n">
        <v>0</v>
      </c>
      <c r="Q1103" t="n">
        <v>0</v>
      </c>
      <c r="R1103" s="2" t="inlineStr"/>
    </row>
    <row r="1104" ht="15" customHeight="1">
      <c r="A1104" t="inlineStr">
        <is>
          <t>A 23074-2023</t>
        </is>
      </c>
      <c r="B1104" s="1" t="n">
        <v>45070</v>
      </c>
      <c r="C1104" s="1" t="n">
        <v>45742</v>
      </c>
      <c r="D1104" t="inlineStr">
        <is>
          <t>JÄMTLANDS LÄN</t>
        </is>
      </c>
      <c r="E1104" t="inlineStr">
        <is>
          <t>RAGUNDA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23140-2023</t>
        </is>
      </c>
      <c r="B1105" s="1" t="n">
        <v>45070</v>
      </c>
      <c r="C1105" s="1" t="n">
        <v>45742</v>
      </c>
      <c r="D1105" t="inlineStr">
        <is>
          <t>JÄMTLANDS LÄN</t>
        </is>
      </c>
      <c r="E1105" t="inlineStr">
        <is>
          <t>RAGUNDA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22731-2023</t>
        </is>
      </c>
      <c r="B1106" s="1" t="n">
        <v>45071</v>
      </c>
      <c r="C1106" s="1" t="n">
        <v>45742</v>
      </c>
      <c r="D1106" t="inlineStr">
        <is>
          <t>JÄMTLANDS LÄN</t>
        </is>
      </c>
      <c r="E1106" t="inlineStr">
        <is>
          <t>RAGUNDA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22981-2023</t>
        </is>
      </c>
      <c r="B1107" s="1" t="n">
        <v>45073</v>
      </c>
      <c r="C1107" s="1" t="n">
        <v>45742</v>
      </c>
      <c r="D1107" t="inlineStr">
        <is>
          <t>JÄMTLANDS LÄN</t>
        </is>
      </c>
      <c r="E1107" t="inlineStr">
        <is>
          <t>RAGUNDA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23299-2023</t>
        </is>
      </c>
      <c r="B1108" s="1" t="n">
        <v>45076</v>
      </c>
      <c r="C1108" s="1" t="n">
        <v>45742</v>
      </c>
      <c r="D1108" t="inlineStr">
        <is>
          <t>JÄMTLANDS LÄN</t>
        </is>
      </c>
      <c r="E1108" t="inlineStr">
        <is>
          <t>RAGUNDA</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23304-2023</t>
        </is>
      </c>
      <c r="B1109" s="1" t="n">
        <v>45076</v>
      </c>
      <c r="C1109" s="1" t="n">
        <v>45742</v>
      </c>
      <c r="D1109" t="inlineStr">
        <is>
          <t>JÄMTLANDS LÄN</t>
        </is>
      </c>
      <c r="E1109" t="inlineStr">
        <is>
          <t>RAGUNDA</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23305-2023</t>
        </is>
      </c>
      <c r="B1110" s="1" t="n">
        <v>45076</v>
      </c>
      <c r="C1110" s="1" t="n">
        <v>45742</v>
      </c>
      <c r="D1110" t="inlineStr">
        <is>
          <t>JÄMTLANDS LÄN</t>
        </is>
      </c>
      <c r="E1110" t="inlineStr">
        <is>
          <t>RAGUNDA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23298-2023</t>
        </is>
      </c>
      <c r="B1111" s="1" t="n">
        <v>45076</v>
      </c>
      <c r="C1111" s="1" t="n">
        <v>45742</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24861-2023</t>
        </is>
      </c>
      <c r="B1112" s="1" t="n">
        <v>45078</v>
      </c>
      <c r="C1112" s="1" t="n">
        <v>45742</v>
      </c>
      <c r="D1112" t="inlineStr">
        <is>
          <t>JÄMTLANDS LÄN</t>
        </is>
      </c>
      <c r="E1112" t="inlineStr">
        <is>
          <t>RAGUNDA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25086-2023</t>
        </is>
      </c>
      <c r="B1113" s="1" t="n">
        <v>45078</v>
      </c>
      <c r="C1113" s="1" t="n">
        <v>45742</v>
      </c>
      <c r="D1113" t="inlineStr">
        <is>
          <t>JÄMTLANDS LÄN</t>
        </is>
      </c>
      <c r="E1113" t="inlineStr">
        <is>
          <t>RAGUNDA</t>
        </is>
      </c>
      <c r="G1113" t="n">
        <v>16.7</v>
      </c>
      <c r="H1113" t="n">
        <v>0</v>
      </c>
      <c r="I1113" t="n">
        <v>0</v>
      </c>
      <c r="J1113" t="n">
        <v>0</v>
      </c>
      <c r="K1113" t="n">
        <v>0</v>
      </c>
      <c r="L1113" t="n">
        <v>0</v>
      </c>
      <c r="M1113" t="n">
        <v>0</v>
      </c>
      <c r="N1113" t="n">
        <v>0</v>
      </c>
      <c r="O1113" t="n">
        <v>0</v>
      </c>
      <c r="P1113" t="n">
        <v>0</v>
      </c>
      <c r="Q1113" t="n">
        <v>0</v>
      </c>
      <c r="R1113" s="2" t="inlineStr"/>
    </row>
    <row r="1114" ht="15" customHeight="1">
      <c r="A1114" t="inlineStr">
        <is>
          <t>A 25416-2023</t>
        </is>
      </c>
      <c r="B1114" s="1" t="n">
        <v>45078</v>
      </c>
      <c r="C1114" s="1" t="n">
        <v>45742</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24300-2023</t>
        </is>
      </c>
      <c r="B1115" s="1" t="n">
        <v>45079</v>
      </c>
      <c r="C1115" s="1" t="n">
        <v>45742</v>
      </c>
      <c r="D1115" t="inlineStr">
        <is>
          <t>JÄMTLANDS LÄN</t>
        </is>
      </c>
      <c r="E1115" t="inlineStr">
        <is>
          <t>RAGUNDA</t>
        </is>
      </c>
      <c r="F1115" t="inlineStr">
        <is>
          <t>SCA</t>
        </is>
      </c>
      <c r="G1115" t="n">
        <v>13.3</v>
      </c>
      <c r="H1115" t="n">
        <v>0</v>
      </c>
      <c r="I1115" t="n">
        <v>0</v>
      </c>
      <c r="J1115" t="n">
        <v>0</v>
      </c>
      <c r="K1115" t="n">
        <v>0</v>
      </c>
      <c r="L1115" t="n">
        <v>0</v>
      </c>
      <c r="M1115" t="n">
        <v>0</v>
      </c>
      <c r="N1115" t="n">
        <v>0</v>
      </c>
      <c r="O1115" t="n">
        <v>0</v>
      </c>
      <c r="P1115" t="n">
        <v>0</v>
      </c>
      <c r="Q1115" t="n">
        <v>0</v>
      </c>
      <c r="R1115" s="2" t="inlineStr"/>
    </row>
    <row r="1116" ht="15" customHeight="1">
      <c r="A1116" t="inlineStr">
        <is>
          <t>A 24821-2023</t>
        </is>
      </c>
      <c r="B1116" s="1" t="n">
        <v>45085</v>
      </c>
      <c r="C1116" s="1" t="n">
        <v>45742</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24822-2023</t>
        </is>
      </c>
      <c r="B1117" s="1" t="n">
        <v>45085</v>
      </c>
      <c r="C1117" s="1" t="n">
        <v>45742</v>
      </c>
      <c r="D1117" t="inlineStr">
        <is>
          <t>JÄMTLANDS LÄN</t>
        </is>
      </c>
      <c r="E1117" t="inlineStr">
        <is>
          <t>RAGUNDA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24820-2023</t>
        </is>
      </c>
      <c r="B1118" s="1" t="n">
        <v>45084</v>
      </c>
      <c r="C1118" s="1" t="n">
        <v>45742</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25892-2023</t>
        </is>
      </c>
      <c r="B1119" s="1" t="n">
        <v>45085</v>
      </c>
      <c r="C1119" s="1" t="n">
        <v>45742</v>
      </c>
      <c r="D1119" t="inlineStr">
        <is>
          <t>JÄMTLANDS LÄN</t>
        </is>
      </c>
      <c r="E1119" t="inlineStr">
        <is>
          <t>RAGUNDA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25332-2023</t>
        </is>
      </c>
      <c r="B1120" s="1" t="n">
        <v>45087</v>
      </c>
      <c r="C1120" s="1" t="n">
        <v>45742</v>
      </c>
      <c r="D1120" t="inlineStr">
        <is>
          <t>JÄMTLANDS LÄN</t>
        </is>
      </c>
      <c r="E1120" t="inlineStr">
        <is>
          <t>RAGUNDA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25304-2023</t>
        </is>
      </c>
      <c r="B1121" s="1" t="n">
        <v>45086</v>
      </c>
      <c r="C1121" s="1" t="n">
        <v>45742</v>
      </c>
      <c r="D1121" t="inlineStr">
        <is>
          <t>JÄMTLANDS LÄN</t>
        </is>
      </c>
      <c r="E1121" t="inlineStr">
        <is>
          <t>RAGUNDA</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25430-2023</t>
        </is>
      </c>
      <c r="B1122" s="1" t="n">
        <v>45089</v>
      </c>
      <c r="C1122" s="1" t="n">
        <v>45742</v>
      </c>
      <c r="D1122" t="inlineStr">
        <is>
          <t>JÄMTLANDS LÄN</t>
        </is>
      </c>
      <c r="E1122" t="inlineStr">
        <is>
          <t>RAGUNDA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25669-2023</t>
        </is>
      </c>
      <c r="B1123" s="1" t="n">
        <v>45089</v>
      </c>
      <c r="C1123" s="1" t="n">
        <v>45742</v>
      </c>
      <c r="D1123" t="inlineStr">
        <is>
          <t>JÄMTLANDS LÄN</t>
        </is>
      </c>
      <c r="E1123" t="inlineStr">
        <is>
          <t>RAGUNDA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25666-2023</t>
        </is>
      </c>
      <c r="B1124" s="1" t="n">
        <v>45089</v>
      </c>
      <c r="C1124" s="1" t="n">
        <v>45742</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25670-2023</t>
        </is>
      </c>
      <c r="B1125" s="1" t="n">
        <v>45090</v>
      </c>
      <c r="C1125" s="1" t="n">
        <v>45742</v>
      </c>
      <c r="D1125" t="inlineStr">
        <is>
          <t>JÄMTLANDS LÄN</t>
        </is>
      </c>
      <c r="E1125" t="inlineStr">
        <is>
          <t>RAGUNDA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25708-2023</t>
        </is>
      </c>
      <c r="B1126" s="1" t="n">
        <v>45090</v>
      </c>
      <c r="C1126" s="1" t="n">
        <v>45742</v>
      </c>
      <c r="D1126" t="inlineStr">
        <is>
          <t>JÄMTLANDS LÄN</t>
        </is>
      </c>
      <c r="E1126" t="inlineStr">
        <is>
          <t>RAGUNDA</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26002-2023</t>
        </is>
      </c>
      <c r="B1127" s="1" t="n">
        <v>45091</v>
      </c>
      <c r="C1127" s="1" t="n">
        <v>45742</v>
      </c>
      <c r="D1127" t="inlineStr">
        <is>
          <t>JÄMTLANDS LÄN</t>
        </is>
      </c>
      <c r="E1127" t="inlineStr">
        <is>
          <t>RAGUNDA</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26347-2023</t>
        </is>
      </c>
      <c r="B1128" s="1" t="n">
        <v>45091</v>
      </c>
      <c r="C1128" s="1" t="n">
        <v>45742</v>
      </c>
      <c r="D1128" t="inlineStr">
        <is>
          <t>JÄMTLANDS LÄN</t>
        </is>
      </c>
      <c r="E1128" t="inlineStr">
        <is>
          <t>RAGUNDA</t>
        </is>
      </c>
      <c r="F1128" t="inlineStr">
        <is>
          <t>SCA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26455-2023</t>
        </is>
      </c>
      <c r="B1129" s="1" t="n">
        <v>45092</v>
      </c>
      <c r="C1129" s="1" t="n">
        <v>45742</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26644-2023</t>
        </is>
      </c>
      <c r="B1130" s="1" t="n">
        <v>45093</v>
      </c>
      <c r="C1130" s="1" t="n">
        <v>45742</v>
      </c>
      <c r="D1130" t="inlineStr">
        <is>
          <t>JÄMTLANDS LÄN</t>
        </is>
      </c>
      <c r="E1130" t="inlineStr">
        <is>
          <t>RAGUNDA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26646-2023</t>
        </is>
      </c>
      <c r="B1131" s="1" t="n">
        <v>45092</v>
      </c>
      <c r="C1131" s="1" t="n">
        <v>45742</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27091-2023</t>
        </is>
      </c>
      <c r="B1132" s="1" t="n">
        <v>45092</v>
      </c>
      <c r="C1132" s="1" t="n">
        <v>45742</v>
      </c>
      <c r="D1132" t="inlineStr">
        <is>
          <t>JÄMTLANDS LÄN</t>
        </is>
      </c>
      <c r="E1132" t="inlineStr">
        <is>
          <t>RAGUNDA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27085-2023</t>
        </is>
      </c>
      <c r="B1133" s="1" t="n">
        <v>45092</v>
      </c>
      <c r="C1133" s="1" t="n">
        <v>45742</v>
      </c>
      <c r="D1133" t="inlineStr">
        <is>
          <t>JÄMTLANDS LÄN</t>
        </is>
      </c>
      <c r="E1133" t="inlineStr">
        <is>
          <t>RAGUNDA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26991-2023</t>
        </is>
      </c>
      <c r="B1134" s="1" t="n">
        <v>45094</v>
      </c>
      <c r="C1134" s="1" t="n">
        <v>45742</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26995-2023</t>
        </is>
      </c>
      <c r="B1135" s="1" t="n">
        <v>45093</v>
      </c>
      <c r="C1135" s="1" t="n">
        <v>45742</v>
      </c>
      <c r="D1135" t="inlineStr">
        <is>
          <t>JÄMTLANDS LÄN</t>
        </is>
      </c>
      <c r="E1135" t="inlineStr">
        <is>
          <t>RAGUNDA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26993-2023</t>
        </is>
      </c>
      <c r="B1136" s="1" t="n">
        <v>45093</v>
      </c>
      <c r="C1136" s="1" t="n">
        <v>45742</v>
      </c>
      <c r="D1136" t="inlineStr">
        <is>
          <t>JÄMTLANDS LÄN</t>
        </is>
      </c>
      <c r="E1136" t="inlineStr">
        <is>
          <t>RAGUNDA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26994-2023</t>
        </is>
      </c>
      <c r="B1137" s="1" t="n">
        <v>45094</v>
      </c>
      <c r="C1137" s="1" t="n">
        <v>45742</v>
      </c>
      <c r="D1137" t="inlineStr">
        <is>
          <t>JÄMTLANDS LÄN</t>
        </is>
      </c>
      <c r="E1137" t="inlineStr">
        <is>
          <t>RAGUNDA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26992-2023</t>
        </is>
      </c>
      <c r="B1138" s="1" t="n">
        <v>45094</v>
      </c>
      <c r="C1138" s="1" t="n">
        <v>45742</v>
      </c>
      <c r="D1138" t="inlineStr">
        <is>
          <t>JÄMTLANDS LÄN</t>
        </is>
      </c>
      <c r="E1138" t="inlineStr">
        <is>
          <t>RAGUNDA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27373-2023</t>
        </is>
      </c>
      <c r="B1139" s="1" t="n">
        <v>45097</v>
      </c>
      <c r="C1139" s="1" t="n">
        <v>45742</v>
      </c>
      <c r="D1139" t="inlineStr">
        <is>
          <t>JÄMTLANDS LÄN</t>
        </is>
      </c>
      <c r="E1139" t="inlineStr">
        <is>
          <t>RAGUNDA</t>
        </is>
      </c>
      <c r="F1139" t="inlineStr">
        <is>
          <t>SCA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27379-2023</t>
        </is>
      </c>
      <c r="B1140" s="1" t="n">
        <v>45097</v>
      </c>
      <c r="C1140" s="1" t="n">
        <v>45742</v>
      </c>
      <c r="D1140" t="inlineStr">
        <is>
          <t>JÄMTLANDS LÄN</t>
        </is>
      </c>
      <c r="E1140" t="inlineStr">
        <is>
          <t>RAGUNDA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28685-2023</t>
        </is>
      </c>
      <c r="B1141" s="1" t="n">
        <v>45096</v>
      </c>
      <c r="C1141" s="1" t="n">
        <v>45742</v>
      </c>
      <c r="D1141" t="inlineStr">
        <is>
          <t>JÄMTLANDS LÄN</t>
        </is>
      </c>
      <c r="E1141" t="inlineStr">
        <is>
          <t>RAGUNDA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28806-2023</t>
        </is>
      </c>
      <c r="B1142" s="1" t="n">
        <v>45096</v>
      </c>
      <c r="C1142" s="1" t="n">
        <v>45742</v>
      </c>
      <c r="D1142" t="inlineStr">
        <is>
          <t>JÄMTLANDS LÄN</t>
        </is>
      </c>
      <c r="E1142" t="inlineStr">
        <is>
          <t>RAGUNDA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29775-2023</t>
        </is>
      </c>
      <c r="B1143" s="1" t="n">
        <v>45098</v>
      </c>
      <c r="C1143" s="1" t="n">
        <v>45742</v>
      </c>
      <c r="D1143" t="inlineStr">
        <is>
          <t>JÄMTLANDS LÄN</t>
        </is>
      </c>
      <c r="E1143" t="inlineStr">
        <is>
          <t>RAGUNDA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29766-2023</t>
        </is>
      </c>
      <c r="B1144" s="1" t="n">
        <v>45098</v>
      </c>
      <c r="C1144" s="1" t="n">
        <v>45742</v>
      </c>
      <c r="D1144" t="inlineStr">
        <is>
          <t>JÄMTLANDS LÄN</t>
        </is>
      </c>
      <c r="E1144" t="inlineStr">
        <is>
          <t>RAGUNDA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28352-2023</t>
        </is>
      </c>
      <c r="B1145" s="1" t="n">
        <v>45100</v>
      </c>
      <c r="C1145" s="1" t="n">
        <v>45742</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28351-2023</t>
        </is>
      </c>
      <c r="B1146" s="1" t="n">
        <v>45100</v>
      </c>
      <c r="C1146" s="1" t="n">
        <v>45742</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28742-2023</t>
        </is>
      </c>
      <c r="B1147" s="1" t="n">
        <v>45103</v>
      </c>
      <c r="C1147" s="1" t="n">
        <v>45742</v>
      </c>
      <c r="D1147" t="inlineStr">
        <is>
          <t>JÄMTLANDS LÄN</t>
        </is>
      </c>
      <c r="E1147" t="inlineStr">
        <is>
          <t>RAGUNDA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31135-2023</t>
        </is>
      </c>
      <c r="B1148" s="1" t="n">
        <v>45103</v>
      </c>
      <c r="C1148" s="1" t="n">
        <v>45742</v>
      </c>
      <c r="D1148" t="inlineStr">
        <is>
          <t>JÄMTLANDS LÄN</t>
        </is>
      </c>
      <c r="E1148" t="inlineStr">
        <is>
          <t>RAGUNDA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29053-2023</t>
        </is>
      </c>
      <c r="B1149" s="1" t="n">
        <v>45104</v>
      </c>
      <c r="C1149" s="1" t="n">
        <v>45742</v>
      </c>
      <c r="D1149" t="inlineStr">
        <is>
          <t>JÄMTLANDS LÄN</t>
        </is>
      </c>
      <c r="E1149" t="inlineStr">
        <is>
          <t>RAGUNDA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29319-2023</t>
        </is>
      </c>
      <c r="B1150" s="1" t="n">
        <v>45105</v>
      </c>
      <c r="C1150" s="1" t="n">
        <v>45742</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29940-2023</t>
        </is>
      </c>
      <c r="B1151" s="1" t="n">
        <v>45107</v>
      </c>
      <c r="C1151" s="1" t="n">
        <v>45742</v>
      </c>
      <c r="D1151" t="inlineStr">
        <is>
          <t>JÄMTLANDS LÄN</t>
        </is>
      </c>
      <c r="E1151" t="inlineStr">
        <is>
          <t>RAGUNDA</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29939-2023</t>
        </is>
      </c>
      <c r="B1152" s="1" t="n">
        <v>45107</v>
      </c>
      <c r="C1152" s="1" t="n">
        <v>45742</v>
      </c>
      <c r="D1152" t="inlineStr">
        <is>
          <t>JÄMTLANDS LÄN</t>
        </is>
      </c>
      <c r="E1152" t="inlineStr">
        <is>
          <t>RAGUNDA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45112</v>
      </c>
      <c r="C1153" s="1" t="n">
        <v>45742</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32592-2023</t>
        </is>
      </c>
      <c r="B1154" s="1" t="n">
        <v>45111</v>
      </c>
      <c r="C1154" s="1" t="n">
        <v>45742</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30826-2023</t>
        </is>
      </c>
      <c r="B1155" s="1" t="n">
        <v>45112</v>
      </c>
      <c r="C1155" s="1" t="n">
        <v>45742</v>
      </c>
      <c r="D1155" t="inlineStr">
        <is>
          <t>JÄMTLANDS LÄN</t>
        </is>
      </c>
      <c r="E1155" t="inlineStr">
        <is>
          <t>RAGUNDA</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30825-2023</t>
        </is>
      </c>
      <c r="B1156" s="1" t="n">
        <v>45113</v>
      </c>
      <c r="C1156" s="1" t="n">
        <v>45742</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30823-2023</t>
        </is>
      </c>
      <c r="B1157" s="1" t="n">
        <v>45112</v>
      </c>
      <c r="C1157" s="1" t="n">
        <v>45742</v>
      </c>
      <c r="D1157" t="inlineStr">
        <is>
          <t>JÄMTLANDS LÄN</t>
        </is>
      </c>
      <c r="E1157" t="inlineStr">
        <is>
          <t>RAGUNDA</t>
        </is>
      </c>
      <c r="F1157" t="inlineStr">
        <is>
          <t>SCA</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30824-2023</t>
        </is>
      </c>
      <c r="B1158" s="1" t="n">
        <v>45113</v>
      </c>
      <c r="C1158" s="1" t="n">
        <v>45742</v>
      </c>
      <c r="D1158" t="inlineStr">
        <is>
          <t>JÄMTLANDS LÄN</t>
        </is>
      </c>
      <c r="E1158" t="inlineStr">
        <is>
          <t>RAGUNDA</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31200-2023</t>
        </is>
      </c>
      <c r="B1159" s="1" t="n">
        <v>45114</v>
      </c>
      <c r="C1159" s="1" t="n">
        <v>45742</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31926-2023</t>
        </is>
      </c>
      <c r="B1160" s="1" t="n">
        <v>45119</v>
      </c>
      <c r="C1160" s="1" t="n">
        <v>45742</v>
      </c>
      <c r="D1160" t="inlineStr">
        <is>
          <t>JÄMTLANDS LÄN</t>
        </is>
      </c>
      <c r="E1160" t="inlineStr">
        <is>
          <t>RAGUNDA</t>
        </is>
      </c>
      <c r="F1160" t="inlineStr">
        <is>
          <t>SCA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32207-2023</t>
        </is>
      </c>
      <c r="B1161" s="1" t="n">
        <v>45120</v>
      </c>
      <c r="C1161" s="1" t="n">
        <v>45742</v>
      </c>
      <c r="D1161" t="inlineStr">
        <is>
          <t>JÄMTLANDS LÄN</t>
        </is>
      </c>
      <c r="E1161" t="inlineStr">
        <is>
          <t>RAGUNDA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33615-2023</t>
        </is>
      </c>
      <c r="B1162" s="1" t="n">
        <v>45119</v>
      </c>
      <c r="C1162" s="1" t="n">
        <v>45742</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33621-2023</t>
        </is>
      </c>
      <c r="B1163" s="1" t="n">
        <v>45119</v>
      </c>
      <c r="C1163" s="1" t="n">
        <v>45742</v>
      </c>
      <c r="D1163" t="inlineStr">
        <is>
          <t>JÄMTLANDS LÄN</t>
        </is>
      </c>
      <c r="E1163" t="inlineStr">
        <is>
          <t>RAGUNDA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33035-2023</t>
        </is>
      </c>
      <c r="B1164" s="1" t="n">
        <v>45126</v>
      </c>
      <c r="C1164" s="1" t="n">
        <v>45742</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33047-2023</t>
        </is>
      </c>
      <c r="B1165" s="1" t="n">
        <v>45126</v>
      </c>
      <c r="C1165" s="1" t="n">
        <v>45742</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33038-2023</t>
        </is>
      </c>
      <c r="B1166" s="1" t="n">
        <v>45126</v>
      </c>
      <c r="C1166" s="1" t="n">
        <v>45742</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33046-2023</t>
        </is>
      </c>
      <c r="B1167" s="1" t="n">
        <v>45126</v>
      </c>
      <c r="C1167" s="1" t="n">
        <v>45742</v>
      </c>
      <c r="D1167" t="inlineStr">
        <is>
          <t>JÄMTLANDS LÄN</t>
        </is>
      </c>
      <c r="E1167" t="inlineStr">
        <is>
          <t>RAGUNDA</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33432-2023</t>
        </is>
      </c>
      <c r="B1168" s="1" t="n">
        <v>45128</v>
      </c>
      <c r="C1168" s="1" t="n">
        <v>45742</v>
      </c>
      <c r="D1168" t="inlineStr">
        <is>
          <t>JÄMTLANDS LÄN</t>
        </is>
      </c>
      <c r="E1168" t="inlineStr">
        <is>
          <t>RAGUNDA</t>
        </is>
      </c>
      <c r="F1168" t="inlineStr">
        <is>
          <t>SCA</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33589-2023</t>
        </is>
      </c>
      <c r="B1169" s="1" t="n">
        <v>45132</v>
      </c>
      <c r="C1169" s="1" t="n">
        <v>45742</v>
      </c>
      <c r="D1169" t="inlineStr">
        <is>
          <t>JÄMTLANDS LÄN</t>
        </is>
      </c>
      <c r="E1169" t="inlineStr">
        <is>
          <t>RAGUNDA</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33588-2023</t>
        </is>
      </c>
      <c r="B1170" s="1" t="n">
        <v>45131</v>
      </c>
      <c r="C1170" s="1" t="n">
        <v>45742</v>
      </c>
      <c r="D1170" t="inlineStr">
        <is>
          <t>JÄMTLANDS LÄN</t>
        </is>
      </c>
      <c r="E1170" t="inlineStr">
        <is>
          <t>RAGUNDA</t>
        </is>
      </c>
      <c r="F1170" t="inlineStr">
        <is>
          <t>SCA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33717-2023</t>
        </is>
      </c>
      <c r="B1171" s="1" t="n">
        <v>45132</v>
      </c>
      <c r="C1171" s="1" t="n">
        <v>45742</v>
      </c>
      <c r="D1171" t="inlineStr">
        <is>
          <t>JÄMTLANDS LÄN</t>
        </is>
      </c>
      <c r="E1171" t="inlineStr">
        <is>
          <t>RAGUNDA</t>
        </is>
      </c>
      <c r="F1171" t="inlineStr">
        <is>
          <t>SCA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33877-2023</t>
        </is>
      </c>
      <c r="B1172" s="1" t="n">
        <v>45133</v>
      </c>
      <c r="C1172" s="1" t="n">
        <v>45742</v>
      </c>
      <c r="D1172" t="inlineStr">
        <is>
          <t>JÄMTLANDS LÄN</t>
        </is>
      </c>
      <c r="E1172" t="inlineStr">
        <is>
          <t>RAGUNDA</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34322-2023</t>
        </is>
      </c>
      <c r="B1173" s="1" t="n">
        <v>45139</v>
      </c>
      <c r="C1173" s="1" t="n">
        <v>45742</v>
      </c>
      <c r="D1173" t="inlineStr">
        <is>
          <t>JÄMTLANDS LÄN</t>
        </is>
      </c>
      <c r="E1173" t="inlineStr">
        <is>
          <t>RAGUNDA</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34321-2023</t>
        </is>
      </c>
      <c r="B1174" s="1" t="n">
        <v>45138</v>
      </c>
      <c r="C1174" s="1" t="n">
        <v>45742</v>
      </c>
      <c r="D1174" t="inlineStr">
        <is>
          <t>JÄMTLANDS LÄN</t>
        </is>
      </c>
      <c r="E1174" t="inlineStr">
        <is>
          <t>RAGUNDA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34323-2023</t>
        </is>
      </c>
      <c r="B1175" s="1" t="n">
        <v>45139</v>
      </c>
      <c r="C1175" s="1" t="n">
        <v>45742</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34483-2023</t>
        </is>
      </c>
      <c r="B1176" s="1" t="n">
        <v>45140</v>
      </c>
      <c r="C1176" s="1" t="n">
        <v>45742</v>
      </c>
      <c r="D1176" t="inlineStr">
        <is>
          <t>JÄMTLANDS LÄN</t>
        </is>
      </c>
      <c r="E1176" t="inlineStr">
        <is>
          <t>RAGUNDA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34689-2023</t>
        </is>
      </c>
      <c r="B1177" s="1" t="n">
        <v>45141</v>
      </c>
      <c r="C1177" s="1" t="n">
        <v>45742</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34691-2023</t>
        </is>
      </c>
      <c r="B1178" s="1" t="n">
        <v>45141</v>
      </c>
      <c r="C1178" s="1" t="n">
        <v>45742</v>
      </c>
      <c r="D1178" t="inlineStr">
        <is>
          <t>JÄMTLANDS LÄN</t>
        </is>
      </c>
      <c r="E1178" t="inlineStr">
        <is>
          <t>RAGUNDA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35009-2023</t>
        </is>
      </c>
      <c r="B1179" s="1" t="n">
        <v>45142</v>
      </c>
      <c r="C1179" s="1" t="n">
        <v>45742</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35272-2023</t>
        </is>
      </c>
      <c r="B1180" s="1" t="n">
        <v>45146</v>
      </c>
      <c r="C1180" s="1" t="n">
        <v>45742</v>
      </c>
      <c r="D1180" t="inlineStr">
        <is>
          <t>JÄMTLANDS LÄN</t>
        </is>
      </c>
      <c r="E1180" t="inlineStr">
        <is>
          <t>RAGUNDA</t>
        </is>
      </c>
      <c r="F1180" t="inlineStr">
        <is>
          <t>SCA</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35265-2023</t>
        </is>
      </c>
      <c r="B1181" s="1" t="n">
        <v>45146</v>
      </c>
      <c r="C1181" s="1" t="n">
        <v>45742</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35273-2023</t>
        </is>
      </c>
      <c r="B1182" s="1" t="n">
        <v>45146</v>
      </c>
      <c r="C1182" s="1" t="n">
        <v>45742</v>
      </c>
      <c r="D1182" t="inlineStr">
        <is>
          <t>JÄMTLANDS LÄN</t>
        </is>
      </c>
      <c r="E1182" t="inlineStr">
        <is>
          <t>RAGUNDA</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35274-2023</t>
        </is>
      </c>
      <c r="B1183" s="1" t="n">
        <v>45145</v>
      </c>
      <c r="C1183" s="1" t="n">
        <v>45742</v>
      </c>
      <c r="D1183" t="inlineStr">
        <is>
          <t>JÄMTLANDS LÄN</t>
        </is>
      </c>
      <c r="E1183" t="inlineStr">
        <is>
          <t>RAGUNDA</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35565-2023</t>
        </is>
      </c>
      <c r="B1184" s="1" t="n">
        <v>45146</v>
      </c>
      <c r="C1184" s="1" t="n">
        <v>45742</v>
      </c>
      <c r="D1184" t="inlineStr">
        <is>
          <t>JÄMTLANDS LÄN</t>
        </is>
      </c>
      <c r="E1184" t="inlineStr">
        <is>
          <t>RAGUNDA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35912-2023</t>
        </is>
      </c>
      <c r="B1185" s="1" t="n">
        <v>45148</v>
      </c>
      <c r="C1185" s="1" t="n">
        <v>45742</v>
      </c>
      <c r="D1185" t="inlineStr">
        <is>
          <t>JÄMTLANDS LÄN</t>
        </is>
      </c>
      <c r="E1185" t="inlineStr">
        <is>
          <t>RAGUNDA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36046-2023</t>
        </is>
      </c>
      <c r="B1186" s="1" t="n">
        <v>45148</v>
      </c>
      <c r="C1186" s="1" t="n">
        <v>45742</v>
      </c>
      <c r="D1186" t="inlineStr">
        <is>
          <t>JÄMTLANDS LÄN</t>
        </is>
      </c>
      <c r="E1186" t="inlineStr">
        <is>
          <t>RAGUNDA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36206-2023</t>
        </is>
      </c>
      <c r="B1187" s="1" t="n">
        <v>45150</v>
      </c>
      <c r="C1187" s="1" t="n">
        <v>45742</v>
      </c>
      <c r="D1187" t="inlineStr">
        <is>
          <t>JÄMTLANDS LÄN</t>
        </is>
      </c>
      <c r="E1187" t="inlineStr">
        <is>
          <t>RAGUNDA</t>
        </is>
      </c>
      <c r="F1187" t="inlineStr">
        <is>
          <t>SCA</t>
        </is>
      </c>
      <c r="G1187" t="n">
        <v>20.4</v>
      </c>
      <c r="H1187" t="n">
        <v>0</v>
      </c>
      <c r="I1187" t="n">
        <v>0</v>
      </c>
      <c r="J1187" t="n">
        <v>0</v>
      </c>
      <c r="K1187" t="n">
        <v>0</v>
      </c>
      <c r="L1187" t="n">
        <v>0</v>
      </c>
      <c r="M1187" t="n">
        <v>0</v>
      </c>
      <c r="N1187" t="n">
        <v>0</v>
      </c>
      <c r="O1187" t="n">
        <v>0</v>
      </c>
      <c r="P1187" t="n">
        <v>0</v>
      </c>
      <c r="Q1187" t="n">
        <v>0</v>
      </c>
      <c r="R1187" s="2" t="inlineStr"/>
    </row>
    <row r="1188" ht="15" customHeight="1">
      <c r="A1188" t="inlineStr">
        <is>
          <t>A 36227-2023</t>
        </is>
      </c>
      <c r="B1188" s="1" t="n">
        <v>45150</v>
      </c>
      <c r="C1188" s="1" t="n">
        <v>45742</v>
      </c>
      <c r="D1188" t="inlineStr">
        <is>
          <t>JÄMTLANDS LÄN</t>
        </is>
      </c>
      <c r="E1188" t="inlineStr">
        <is>
          <t>RAGUNDA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36212-2023</t>
        </is>
      </c>
      <c r="B1189" s="1" t="n">
        <v>45150</v>
      </c>
      <c r="C1189" s="1" t="n">
        <v>45742</v>
      </c>
      <c r="D1189" t="inlineStr">
        <is>
          <t>JÄMTLANDS LÄN</t>
        </is>
      </c>
      <c r="E1189" t="inlineStr">
        <is>
          <t>RAGUNDA</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36213-2023</t>
        </is>
      </c>
      <c r="B1190" s="1" t="n">
        <v>45150</v>
      </c>
      <c r="C1190" s="1" t="n">
        <v>45742</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36226-2023</t>
        </is>
      </c>
      <c r="B1191" s="1" t="n">
        <v>45150</v>
      </c>
      <c r="C1191" s="1" t="n">
        <v>45742</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36371-2023</t>
        </is>
      </c>
      <c r="B1192" s="1" t="n">
        <v>45149</v>
      </c>
      <c r="C1192" s="1" t="n">
        <v>45742</v>
      </c>
      <c r="D1192" t="inlineStr">
        <is>
          <t>JÄMTLANDS LÄN</t>
        </is>
      </c>
      <c r="E1192" t="inlineStr">
        <is>
          <t>RAGUNDA</t>
        </is>
      </c>
      <c r="G1192" t="n">
        <v>25.7</v>
      </c>
      <c r="H1192" t="n">
        <v>0</v>
      </c>
      <c r="I1192" t="n">
        <v>0</v>
      </c>
      <c r="J1192" t="n">
        <v>0</v>
      </c>
      <c r="K1192" t="n">
        <v>0</v>
      </c>
      <c r="L1192" t="n">
        <v>0</v>
      </c>
      <c r="M1192" t="n">
        <v>0</v>
      </c>
      <c r="N1192" t="n">
        <v>0</v>
      </c>
      <c r="O1192" t="n">
        <v>0</v>
      </c>
      <c r="P1192" t="n">
        <v>0</v>
      </c>
      <c r="Q1192" t="n">
        <v>0</v>
      </c>
      <c r="R1192" s="2" t="inlineStr"/>
    </row>
    <row r="1193" ht="15" customHeight="1">
      <c r="A1193" t="inlineStr">
        <is>
          <t>A 36506-2023</t>
        </is>
      </c>
      <c r="B1193" s="1" t="n">
        <v>45153</v>
      </c>
      <c r="C1193" s="1" t="n">
        <v>45742</v>
      </c>
      <c r="D1193" t="inlineStr">
        <is>
          <t>JÄMTLANDS LÄN</t>
        </is>
      </c>
      <c r="E1193" t="inlineStr">
        <is>
          <t>RAGUNDA</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36755-2023</t>
        </is>
      </c>
      <c r="B1194" s="1" t="n">
        <v>45153</v>
      </c>
      <c r="C1194" s="1" t="n">
        <v>45742</v>
      </c>
      <c r="D1194" t="inlineStr">
        <is>
          <t>JÄMTLANDS LÄN</t>
        </is>
      </c>
      <c r="E1194" t="inlineStr">
        <is>
          <t>RAGUNDA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36859-2023</t>
        </is>
      </c>
      <c r="B1195" s="1" t="n">
        <v>45153</v>
      </c>
      <c r="C1195" s="1" t="n">
        <v>45742</v>
      </c>
      <c r="D1195" t="inlineStr">
        <is>
          <t>JÄMTLANDS LÄN</t>
        </is>
      </c>
      <c r="E1195" t="inlineStr">
        <is>
          <t>RAGUNDA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36985-2023</t>
        </is>
      </c>
      <c r="B1196" s="1" t="n">
        <v>45155</v>
      </c>
      <c r="C1196" s="1" t="n">
        <v>45742</v>
      </c>
      <c r="D1196" t="inlineStr">
        <is>
          <t>JÄMTLANDS LÄN</t>
        </is>
      </c>
      <c r="E1196" t="inlineStr">
        <is>
          <t>RAGUNDA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36986-2023</t>
        </is>
      </c>
      <c r="B1197" s="1" t="n">
        <v>45155</v>
      </c>
      <c r="C1197" s="1" t="n">
        <v>45742</v>
      </c>
      <c r="D1197" t="inlineStr">
        <is>
          <t>JÄMTLANDS LÄN</t>
        </is>
      </c>
      <c r="E1197" t="inlineStr">
        <is>
          <t>RAGUNDA</t>
        </is>
      </c>
      <c r="F1197" t="inlineStr">
        <is>
          <t>SCA</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37251-2023</t>
        </is>
      </c>
      <c r="B1198" s="1" t="n">
        <v>45156</v>
      </c>
      <c r="C1198" s="1" t="n">
        <v>45742</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37480-2023</t>
        </is>
      </c>
      <c r="B1199" s="1" t="n">
        <v>45156</v>
      </c>
      <c r="C1199" s="1" t="n">
        <v>45742</v>
      </c>
      <c r="D1199" t="inlineStr">
        <is>
          <t>JÄMTLANDS LÄN</t>
        </is>
      </c>
      <c r="E1199" t="inlineStr">
        <is>
          <t>RAGUNDA</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37479-2023</t>
        </is>
      </c>
      <c r="B1200" s="1" t="n">
        <v>45156</v>
      </c>
      <c r="C1200" s="1" t="n">
        <v>45742</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37536-2023</t>
        </is>
      </c>
      <c r="B1201" s="1" t="n">
        <v>45159</v>
      </c>
      <c r="C1201" s="1" t="n">
        <v>45742</v>
      </c>
      <c r="D1201" t="inlineStr">
        <is>
          <t>JÄMTLANDS LÄN</t>
        </is>
      </c>
      <c r="E1201" t="inlineStr">
        <is>
          <t>RAGUNDA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37544-2023</t>
        </is>
      </c>
      <c r="B1202" s="1" t="n">
        <v>45159</v>
      </c>
      <c r="C1202" s="1" t="n">
        <v>45742</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37543-2023</t>
        </is>
      </c>
      <c r="B1203" s="1" t="n">
        <v>45159</v>
      </c>
      <c r="C1203" s="1" t="n">
        <v>45742</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37795-2023</t>
        </is>
      </c>
      <c r="B1204" s="1" t="n">
        <v>45160</v>
      </c>
      <c r="C1204" s="1" t="n">
        <v>45742</v>
      </c>
      <c r="D1204" t="inlineStr">
        <is>
          <t>JÄMTLANDS LÄN</t>
        </is>
      </c>
      <c r="E1204" t="inlineStr">
        <is>
          <t>RAGUNDA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37805-2023</t>
        </is>
      </c>
      <c r="B1205" s="1" t="n">
        <v>45160</v>
      </c>
      <c r="C1205" s="1" t="n">
        <v>45742</v>
      </c>
      <c r="D1205" t="inlineStr">
        <is>
          <t>JÄMTLANDS LÄN</t>
        </is>
      </c>
      <c r="E1205" t="inlineStr">
        <is>
          <t>RAGUNDA</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37804-2023</t>
        </is>
      </c>
      <c r="B1206" s="1" t="n">
        <v>45160</v>
      </c>
      <c r="C1206" s="1" t="n">
        <v>45742</v>
      </c>
      <c r="D1206" t="inlineStr">
        <is>
          <t>JÄMTLANDS LÄN</t>
        </is>
      </c>
      <c r="E1206" t="inlineStr">
        <is>
          <t>RAGUNDA</t>
        </is>
      </c>
      <c r="F1206" t="inlineStr">
        <is>
          <t>SCA</t>
        </is>
      </c>
      <c r="G1206" t="n">
        <v>14.3</v>
      </c>
      <c r="H1206" t="n">
        <v>0</v>
      </c>
      <c r="I1206" t="n">
        <v>0</v>
      </c>
      <c r="J1206" t="n">
        <v>0</v>
      </c>
      <c r="K1206" t="n">
        <v>0</v>
      </c>
      <c r="L1206" t="n">
        <v>0</v>
      </c>
      <c r="M1206" t="n">
        <v>0</v>
      </c>
      <c r="N1206" t="n">
        <v>0</v>
      </c>
      <c r="O1206" t="n">
        <v>0</v>
      </c>
      <c r="P1206" t="n">
        <v>0</v>
      </c>
      <c r="Q1206" t="n">
        <v>0</v>
      </c>
      <c r="R1206" s="2" t="inlineStr"/>
    </row>
    <row r="1207" ht="15" customHeight="1">
      <c r="A1207" t="inlineStr">
        <is>
          <t>A 39070-2023</t>
        </is>
      </c>
      <c r="B1207" s="1" t="n">
        <v>45164</v>
      </c>
      <c r="C1207" s="1" t="n">
        <v>45742</v>
      </c>
      <c r="D1207" t="inlineStr">
        <is>
          <t>JÄMTLANDS LÄN</t>
        </is>
      </c>
      <c r="E1207" t="inlineStr">
        <is>
          <t>RAGUNDA</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39076-2023</t>
        </is>
      </c>
      <c r="B1208" s="1" t="n">
        <v>45163</v>
      </c>
      <c r="C1208" s="1" t="n">
        <v>45742</v>
      </c>
      <c r="D1208" t="inlineStr">
        <is>
          <t>JÄMTLANDS LÄN</t>
        </is>
      </c>
      <c r="E1208" t="inlineStr">
        <is>
          <t>RAGUNDA</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39478-2023</t>
        </is>
      </c>
      <c r="B1209" s="1" t="n">
        <v>45166</v>
      </c>
      <c r="C1209" s="1" t="n">
        <v>45742</v>
      </c>
      <c r="D1209" t="inlineStr">
        <is>
          <t>JÄMTLANDS LÄN</t>
        </is>
      </c>
      <c r="E1209" t="inlineStr">
        <is>
          <t>RAGUNDA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39482-2023</t>
        </is>
      </c>
      <c r="B1210" s="1" t="n">
        <v>45167</v>
      </c>
      <c r="C1210" s="1" t="n">
        <v>45742</v>
      </c>
      <c r="D1210" t="inlineStr">
        <is>
          <t>JÄMTLANDS LÄN</t>
        </is>
      </c>
      <c r="E1210" t="inlineStr">
        <is>
          <t>RAGUNDA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39487-2023</t>
        </is>
      </c>
      <c r="B1211" s="1" t="n">
        <v>45167</v>
      </c>
      <c r="C1211" s="1" t="n">
        <v>45742</v>
      </c>
      <c r="D1211" t="inlineStr">
        <is>
          <t>JÄMTLANDS LÄN</t>
        </is>
      </c>
      <c r="E1211" t="inlineStr">
        <is>
          <t>RAGUNDA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39489-2023</t>
        </is>
      </c>
      <c r="B1212" s="1" t="n">
        <v>45166</v>
      </c>
      <c r="C1212" s="1" t="n">
        <v>45742</v>
      </c>
      <c r="D1212" t="inlineStr">
        <is>
          <t>JÄMTLANDS LÄN</t>
        </is>
      </c>
      <c r="E1212" t="inlineStr">
        <is>
          <t>RAGUNDA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39488-2023</t>
        </is>
      </c>
      <c r="B1213" s="1" t="n">
        <v>45166</v>
      </c>
      <c r="C1213" s="1" t="n">
        <v>45742</v>
      </c>
      <c r="D1213" t="inlineStr">
        <is>
          <t>JÄMTLANDS LÄN</t>
        </is>
      </c>
      <c r="E1213" t="inlineStr">
        <is>
          <t>RAGUNDA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39481-2023</t>
        </is>
      </c>
      <c r="B1214" s="1" t="n">
        <v>45167</v>
      </c>
      <c r="C1214" s="1" t="n">
        <v>45742</v>
      </c>
      <c r="D1214" t="inlineStr">
        <is>
          <t>JÄMTLANDS LÄN</t>
        </is>
      </c>
      <c r="E1214" t="inlineStr">
        <is>
          <t>RAGUNDA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39820-2023</t>
        </is>
      </c>
      <c r="B1215" s="1" t="n">
        <v>45167</v>
      </c>
      <c r="C1215" s="1" t="n">
        <v>45742</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40801-2023</t>
        </is>
      </c>
      <c r="B1216" s="1" t="n">
        <v>45170</v>
      </c>
      <c r="C1216" s="1" t="n">
        <v>45742</v>
      </c>
      <c r="D1216" t="inlineStr">
        <is>
          <t>JÄMTLANDS LÄN</t>
        </is>
      </c>
      <c r="E1216" t="inlineStr">
        <is>
          <t>RAGUNDA</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40800-2023</t>
        </is>
      </c>
      <c r="B1217" s="1" t="n">
        <v>45171</v>
      </c>
      <c r="C1217" s="1" t="n">
        <v>45742</v>
      </c>
      <c r="D1217" t="inlineStr">
        <is>
          <t>JÄMTLANDS LÄN</t>
        </is>
      </c>
      <c r="E1217" t="inlineStr">
        <is>
          <t>RAGUNDA</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41413-2023</t>
        </is>
      </c>
      <c r="B1218" s="1" t="n">
        <v>45175</v>
      </c>
      <c r="C1218" s="1" t="n">
        <v>45742</v>
      </c>
      <c r="D1218" t="inlineStr">
        <is>
          <t>JÄMTLANDS LÄN</t>
        </is>
      </c>
      <c r="E1218" t="inlineStr">
        <is>
          <t>RAGUNDA</t>
        </is>
      </c>
      <c r="F1218" t="inlineStr">
        <is>
          <t>SCA</t>
        </is>
      </c>
      <c r="G1218" t="n">
        <v>40.6</v>
      </c>
      <c r="H1218" t="n">
        <v>0</v>
      </c>
      <c r="I1218" t="n">
        <v>0</v>
      </c>
      <c r="J1218" t="n">
        <v>0</v>
      </c>
      <c r="K1218" t="n">
        <v>0</v>
      </c>
      <c r="L1218" t="n">
        <v>0</v>
      </c>
      <c r="M1218" t="n">
        <v>0</v>
      </c>
      <c r="N1218" t="n">
        <v>0</v>
      </c>
      <c r="O1218" t="n">
        <v>0</v>
      </c>
      <c r="P1218" t="n">
        <v>0</v>
      </c>
      <c r="Q1218" t="n">
        <v>0</v>
      </c>
      <c r="R1218" s="2" t="inlineStr"/>
    </row>
    <row r="1219" ht="15" customHeight="1">
      <c r="A1219" t="inlineStr">
        <is>
          <t>A 41402-2023</t>
        </is>
      </c>
      <c r="B1219" s="1" t="n">
        <v>45175</v>
      </c>
      <c r="C1219" s="1" t="n">
        <v>45742</v>
      </c>
      <c r="D1219" t="inlineStr">
        <is>
          <t>JÄMTLANDS LÄN</t>
        </is>
      </c>
      <c r="E1219" t="inlineStr">
        <is>
          <t>RAGUNDA</t>
        </is>
      </c>
      <c r="F1219" t="inlineStr">
        <is>
          <t>SCA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42295-2023</t>
        </is>
      </c>
      <c r="B1220" s="1" t="n">
        <v>45175</v>
      </c>
      <c r="C1220" s="1" t="n">
        <v>45742</v>
      </c>
      <c r="D1220" t="inlineStr">
        <is>
          <t>JÄMTLANDS LÄN</t>
        </is>
      </c>
      <c r="E1220" t="inlineStr">
        <is>
          <t>RAGUNDA</t>
        </is>
      </c>
      <c r="F1220" t="inlineStr">
        <is>
          <t>Kommuner</t>
        </is>
      </c>
      <c r="G1220" t="n">
        <v>11.8</v>
      </c>
      <c r="H1220" t="n">
        <v>0</v>
      </c>
      <c r="I1220" t="n">
        <v>0</v>
      </c>
      <c r="J1220" t="n">
        <v>0</v>
      </c>
      <c r="K1220" t="n">
        <v>0</v>
      </c>
      <c r="L1220" t="n">
        <v>0</v>
      </c>
      <c r="M1220" t="n">
        <v>0</v>
      </c>
      <c r="N1220" t="n">
        <v>0</v>
      </c>
      <c r="O1220" t="n">
        <v>0</v>
      </c>
      <c r="P1220" t="n">
        <v>0</v>
      </c>
      <c r="Q1220" t="n">
        <v>0</v>
      </c>
      <c r="R1220" s="2" t="inlineStr"/>
    </row>
    <row r="1221" ht="15" customHeight="1">
      <c r="A1221" t="inlineStr">
        <is>
          <t>A 41656-2023</t>
        </is>
      </c>
      <c r="B1221" s="1" t="n">
        <v>45175</v>
      </c>
      <c r="C1221" s="1" t="n">
        <v>45742</v>
      </c>
      <c r="D1221" t="inlineStr">
        <is>
          <t>JÄMTLANDS LÄN</t>
        </is>
      </c>
      <c r="E1221" t="inlineStr">
        <is>
          <t>RAGUNDA</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41693-2023</t>
        </is>
      </c>
      <c r="B1222" s="1" t="n">
        <v>45176</v>
      </c>
      <c r="C1222" s="1" t="n">
        <v>45742</v>
      </c>
      <c r="D1222" t="inlineStr">
        <is>
          <t>JÄMTLANDS LÄN</t>
        </is>
      </c>
      <c r="E1222" t="inlineStr">
        <is>
          <t>RAGUNDA</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41766-2023</t>
        </is>
      </c>
      <c r="B1223" s="1" t="n">
        <v>45176</v>
      </c>
      <c r="C1223" s="1" t="n">
        <v>45742</v>
      </c>
      <c r="D1223" t="inlineStr">
        <is>
          <t>JÄMTLANDS LÄN</t>
        </is>
      </c>
      <c r="E1223" t="inlineStr">
        <is>
          <t>RAGUNDA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41905-2023</t>
        </is>
      </c>
      <c r="B1224" s="1" t="n">
        <v>45176</v>
      </c>
      <c r="C1224" s="1" t="n">
        <v>45742</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42149-2023</t>
        </is>
      </c>
      <c r="B1225" s="1" t="n">
        <v>45177</v>
      </c>
      <c r="C1225" s="1" t="n">
        <v>45742</v>
      </c>
      <c r="D1225" t="inlineStr">
        <is>
          <t>JÄMTLANDS LÄN</t>
        </is>
      </c>
      <c r="E1225" t="inlineStr">
        <is>
          <t>RAGUNDA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42510-2023</t>
        </is>
      </c>
      <c r="B1226" s="1" t="n">
        <v>45181</v>
      </c>
      <c r="C1226" s="1" t="n">
        <v>45742</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42509-2023</t>
        </is>
      </c>
      <c r="B1227" s="1" t="n">
        <v>45180</v>
      </c>
      <c r="C1227" s="1" t="n">
        <v>45742</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42508-2023</t>
        </is>
      </c>
      <c r="B1228" s="1" t="n">
        <v>45181</v>
      </c>
      <c r="C1228" s="1" t="n">
        <v>45742</v>
      </c>
      <c r="D1228" t="inlineStr">
        <is>
          <t>JÄMTLANDS LÄN</t>
        </is>
      </c>
      <c r="E1228" t="inlineStr">
        <is>
          <t>RAGUNDA</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43607-2023</t>
        </is>
      </c>
      <c r="B1229" s="1" t="n">
        <v>45181</v>
      </c>
      <c r="C1229" s="1" t="n">
        <v>45742</v>
      </c>
      <c r="D1229" t="inlineStr">
        <is>
          <t>JÄMTLANDS LÄN</t>
        </is>
      </c>
      <c r="E1229" t="inlineStr">
        <is>
          <t>RAGUNDA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43102-2023</t>
        </is>
      </c>
      <c r="B1230" s="1" t="n">
        <v>45182</v>
      </c>
      <c r="C1230" s="1" t="n">
        <v>45742</v>
      </c>
      <c r="D1230" t="inlineStr">
        <is>
          <t>JÄMTLANDS LÄN</t>
        </is>
      </c>
      <c r="E1230" t="inlineStr">
        <is>
          <t>RAGUNDA</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43122-2023</t>
        </is>
      </c>
      <c r="B1231" s="1" t="n">
        <v>45183</v>
      </c>
      <c r="C1231" s="1" t="n">
        <v>45742</v>
      </c>
      <c r="D1231" t="inlineStr">
        <is>
          <t>JÄMTLANDS LÄN</t>
        </is>
      </c>
      <c r="E1231" t="inlineStr">
        <is>
          <t>RAGUNDA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43132-2023</t>
        </is>
      </c>
      <c r="B1232" s="1" t="n">
        <v>45182</v>
      </c>
      <c r="C1232" s="1" t="n">
        <v>45742</v>
      </c>
      <c r="D1232" t="inlineStr">
        <is>
          <t>JÄMTLANDS LÄN</t>
        </is>
      </c>
      <c r="E1232" t="inlineStr">
        <is>
          <t>RAGUNDA</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43926-2023</t>
        </is>
      </c>
      <c r="B1233" s="1" t="n">
        <v>45182</v>
      </c>
      <c r="C1233" s="1" t="n">
        <v>45742</v>
      </c>
      <c r="D1233" t="inlineStr">
        <is>
          <t>JÄMTLANDS LÄN</t>
        </is>
      </c>
      <c r="E1233" t="inlineStr">
        <is>
          <t>RAGUNDA</t>
        </is>
      </c>
      <c r="F1233" t="inlineStr">
        <is>
          <t>Kommuner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43405-2023</t>
        </is>
      </c>
      <c r="B1234" s="1" t="n">
        <v>45184</v>
      </c>
      <c r="C1234" s="1" t="n">
        <v>45742</v>
      </c>
      <c r="D1234" t="inlineStr">
        <is>
          <t>JÄMTLANDS LÄN</t>
        </is>
      </c>
      <c r="E1234" t="inlineStr">
        <is>
          <t>RAGUNDA</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43409-2023</t>
        </is>
      </c>
      <c r="B1235" s="1" t="n">
        <v>45184</v>
      </c>
      <c r="C1235" s="1" t="n">
        <v>45742</v>
      </c>
      <c r="D1235" t="inlineStr">
        <is>
          <t>JÄMTLANDS LÄN</t>
        </is>
      </c>
      <c r="E1235" t="inlineStr">
        <is>
          <t>RAGUNDA</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44630-2023</t>
        </is>
      </c>
      <c r="B1236" s="1" t="n">
        <v>45184</v>
      </c>
      <c r="C1236" s="1" t="n">
        <v>45742</v>
      </c>
      <c r="D1236" t="inlineStr">
        <is>
          <t>JÄMTLANDS LÄN</t>
        </is>
      </c>
      <c r="E1236" t="inlineStr">
        <is>
          <t>RAGUNDA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44881-2023</t>
        </is>
      </c>
      <c r="B1237" s="1" t="n">
        <v>45187</v>
      </c>
      <c r="C1237" s="1" t="n">
        <v>45742</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45257-2023</t>
        </is>
      </c>
      <c r="B1238" s="1" t="n">
        <v>45187</v>
      </c>
      <c r="C1238" s="1" t="n">
        <v>45742</v>
      </c>
      <c r="D1238" t="inlineStr">
        <is>
          <t>JÄMTLANDS LÄN</t>
        </is>
      </c>
      <c r="E1238" t="inlineStr">
        <is>
          <t>RAGUNDA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45253-2023</t>
        </is>
      </c>
      <c r="B1239" s="1" t="n">
        <v>45187</v>
      </c>
      <c r="C1239" s="1" t="n">
        <v>45742</v>
      </c>
      <c r="D1239" t="inlineStr">
        <is>
          <t>JÄMTLANDS LÄN</t>
        </is>
      </c>
      <c r="E1239" t="inlineStr">
        <is>
          <t>RAGUNDA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44987-2023</t>
        </is>
      </c>
      <c r="B1240" s="1" t="n">
        <v>45191</v>
      </c>
      <c r="C1240" s="1" t="n">
        <v>45742</v>
      </c>
      <c r="D1240" t="inlineStr">
        <is>
          <t>JÄMTLANDS LÄN</t>
        </is>
      </c>
      <c r="E1240" t="inlineStr">
        <is>
          <t>RAGUNDA</t>
        </is>
      </c>
      <c r="F1240" t="inlineStr">
        <is>
          <t>SCA</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44999-2023</t>
        </is>
      </c>
      <c r="B1241" s="1" t="n">
        <v>45191</v>
      </c>
      <c r="C1241" s="1" t="n">
        <v>45742</v>
      </c>
      <c r="D1241" t="inlineStr">
        <is>
          <t>JÄMTLANDS LÄN</t>
        </is>
      </c>
      <c r="E1241" t="inlineStr">
        <is>
          <t>RAGUNDA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44980-2023</t>
        </is>
      </c>
      <c r="B1242" s="1" t="n">
        <v>45190</v>
      </c>
      <c r="C1242" s="1" t="n">
        <v>45742</v>
      </c>
      <c r="D1242" t="inlineStr">
        <is>
          <t>JÄMTLANDS LÄN</t>
        </is>
      </c>
      <c r="E1242" t="inlineStr">
        <is>
          <t>RAGUNDA</t>
        </is>
      </c>
      <c r="F1242" t="inlineStr">
        <is>
          <t>SCA</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44988-2023</t>
        </is>
      </c>
      <c r="B1243" s="1" t="n">
        <v>45190</v>
      </c>
      <c r="C1243" s="1" t="n">
        <v>45742</v>
      </c>
      <c r="D1243" t="inlineStr">
        <is>
          <t>JÄMTLANDS LÄN</t>
        </is>
      </c>
      <c r="E1243" t="inlineStr">
        <is>
          <t>RAGUNDA</t>
        </is>
      </c>
      <c r="F1243" t="inlineStr">
        <is>
          <t>SCA</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44996-2023</t>
        </is>
      </c>
      <c r="B1244" s="1" t="n">
        <v>45191</v>
      </c>
      <c r="C1244" s="1" t="n">
        <v>45742</v>
      </c>
      <c r="D1244" t="inlineStr">
        <is>
          <t>JÄMTLANDS LÄN</t>
        </is>
      </c>
      <c r="E1244" t="inlineStr">
        <is>
          <t>RAGUNDA</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45020-2023</t>
        </is>
      </c>
      <c r="B1245" s="1" t="n">
        <v>45191</v>
      </c>
      <c r="C1245" s="1" t="n">
        <v>45742</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44997-2023</t>
        </is>
      </c>
      <c r="B1246" s="1" t="n">
        <v>45191</v>
      </c>
      <c r="C1246" s="1" t="n">
        <v>45742</v>
      </c>
      <c r="D1246" t="inlineStr">
        <is>
          <t>JÄMTLANDS LÄN</t>
        </is>
      </c>
      <c r="E1246" t="inlineStr">
        <is>
          <t>RAGUNDA</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45336-2023</t>
        </is>
      </c>
      <c r="B1247" s="1" t="n">
        <v>45192</v>
      </c>
      <c r="C1247" s="1" t="n">
        <v>45742</v>
      </c>
      <c r="D1247" t="inlineStr">
        <is>
          <t>JÄMTLANDS LÄN</t>
        </is>
      </c>
      <c r="E1247" t="inlineStr">
        <is>
          <t>RAGUNDA</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45335-2023</t>
        </is>
      </c>
      <c r="B1248" s="1" t="n">
        <v>45191</v>
      </c>
      <c r="C1248" s="1" t="n">
        <v>45742</v>
      </c>
      <c r="D1248" t="inlineStr">
        <is>
          <t>JÄMTLANDS LÄN</t>
        </is>
      </c>
      <c r="E1248" t="inlineStr">
        <is>
          <t>RAGUNDA</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45338-2023</t>
        </is>
      </c>
      <c r="B1249" s="1" t="n">
        <v>45192</v>
      </c>
      <c r="C1249" s="1" t="n">
        <v>45742</v>
      </c>
      <c r="D1249" t="inlineStr">
        <is>
          <t>JÄMTLANDS LÄN</t>
        </is>
      </c>
      <c r="E1249" t="inlineStr">
        <is>
          <t>RAGUNDA</t>
        </is>
      </c>
      <c r="F1249" t="inlineStr">
        <is>
          <t>SCA</t>
        </is>
      </c>
      <c r="G1249" t="n">
        <v>23.4</v>
      </c>
      <c r="H1249" t="n">
        <v>0</v>
      </c>
      <c r="I1249" t="n">
        <v>0</v>
      </c>
      <c r="J1249" t="n">
        <v>0</v>
      </c>
      <c r="K1249" t="n">
        <v>0</v>
      </c>
      <c r="L1249" t="n">
        <v>0</v>
      </c>
      <c r="M1249" t="n">
        <v>0</v>
      </c>
      <c r="N1249" t="n">
        <v>0</v>
      </c>
      <c r="O1249" t="n">
        <v>0</v>
      </c>
      <c r="P1249" t="n">
        <v>0</v>
      </c>
      <c r="Q1249" t="n">
        <v>0</v>
      </c>
      <c r="R1249" s="2" t="inlineStr"/>
    </row>
    <row r="1250" ht="15" customHeight="1">
      <c r="A1250" t="inlineStr">
        <is>
          <t>A 45953-2023</t>
        </is>
      </c>
      <c r="B1250" s="1" t="n">
        <v>45196</v>
      </c>
      <c r="C1250" s="1" t="n">
        <v>45742</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45974-2023</t>
        </is>
      </c>
      <c r="B1251" s="1" t="n">
        <v>45196</v>
      </c>
      <c r="C1251" s="1" t="n">
        <v>45742</v>
      </c>
      <c r="D1251" t="inlineStr">
        <is>
          <t>JÄMTLANDS LÄN</t>
        </is>
      </c>
      <c r="E1251" t="inlineStr">
        <is>
          <t>RAGUNDA</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45954-2023</t>
        </is>
      </c>
      <c r="B1252" s="1" t="n">
        <v>45196</v>
      </c>
      <c r="C1252" s="1" t="n">
        <v>45742</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45952-2023</t>
        </is>
      </c>
      <c r="B1253" s="1" t="n">
        <v>45195</v>
      </c>
      <c r="C1253" s="1" t="n">
        <v>45742</v>
      </c>
      <c r="D1253" t="inlineStr">
        <is>
          <t>JÄMTLANDS LÄN</t>
        </is>
      </c>
      <c r="E1253" t="inlineStr">
        <is>
          <t>RAGUNDA</t>
        </is>
      </c>
      <c r="F1253" t="inlineStr">
        <is>
          <t>SCA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45955-2023</t>
        </is>
      </c>
      <c r="B1254" s="1" t="n">
        <v>45196</v>
      </c>
      <c r="C1254" s="1" t="n">
        <v>45742</v>
      </c>
      <c r="D1254" t="inlineStr">
        <is>
          <t>JÄMTLANDS LÄN</t>
        </is>
      </c>
      <c r="E1254" t="inlineStr">
        <is>
          <t>RAGUNDA</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47319-2023</t>
        </is>
      </c>
      <c r="B1255" s="1" t="n">
        <v>45196</v>
      </c>
      <c r="C1255" s="1" t="n">
        <v>45742</v>
      </c>
      <c r="D1255" t="inlineStr">
        <is>
          <t>JÄMTLANDS LÄN</t>
        </is>
      </c>
      <c r="E1255" t="inlineStr">
        <is>
          <t>RAGUNDA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46536-2023</t>
        </is>
      </c>
      <c r="B1256" s="1" t="n">
        <v>45198</v>
      </c>
      <c r="C1256" s="1" t="n">
        <v>45742</v>
      </c>
      <c r="D1256" t="inlineStr">
        <is>
          <t>JÄMTLANDS LÄN</t>
        </is>
      </c>
      <c r="E1256" t="inlineStr">
        <is>
          <t>RAGUNDA</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46549-2023</t>
        </is>
      </c>
      <c r="B1257" s="1" t="n">
        <v>45198</v>
      </c>
      <c r="C1257" s="1" t="n">
        <v>45742</v>
      </c>
      <c r="D1257" t="inlineStr">
        <is>
          <t>JÄMTLANDS LÄN</t>
        </is>
      </c>
      <c r="E1257" t="inlineStr">
        <is>
          <t>RAGUNDA</t>
        </is>
      </c>
      <c r="F1257" t="inlineStr">
        <is>
          <t>SCA</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46537-2023</t>
        </is>
      </c>
      <c r="B1258" s="1" t="n">
        <v>45197</v>
      </c>
      <c r="C1258" s="1" t="n">
        <v>45742</v>
      </c>
      <c r="D1258" t="inlineStr">
        <is>
          <t>JÄMTLANDS LÄN</t>
        </is>
      </c>
      <c r="E1258" t="inlineStr">
        <is>
          <t>RAGUNDA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46546-2023</t>
        </is>
      </c>
      <c r="B1259" s="1" t="n">
        <v>45198</v>
      </c>
      <c r="C1259" s="1" t="n">
        <v>45742</v>
      </c>
      <c r="D1259" t="inlineStr">
        <is>
          <t>JÄMTLANDS LÄN</t>
        </is>
      </c>
      <c r="E1259" t="inlineStr">
        <is>
          <t>RAGUNDA</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47444-2023</t>
        </is>
      </c>
      <c r="B1260" s="1" t="n">
        <v>45197</v>
      </c>
      <c r="C1260" s="1" t="n">
        <v>45742</v>
      </c>
      <c r="D1260" t="inlineStr">
        <is>
          <t>JÄMTLANDS LÄN</t>
        </is>
      </c>
      <c r="E1260" t="inlineStr">
        <is>
          <t>RAGUNDA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46817-2023</t>
        </is>
      </c>
      <c r="B1261" s="1" t="n">
        <v>45199</v>
      </c>
      <c r="C1261" s="1" t="n">
        <v>45742</v>
      </c>
      <c r="D1261" t="inlineStr">
        <is>
          <t>JÄMTLANDS LÄN</t>
        </is>
      </c>
      <c r="E1261" t="inlineStr">
        <is>
          <t>RAGUNDA</t>
        </is>
      </c>
      <c r="F1261" t="inlineStr">
        <is>
          <t>SCA</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46806-2023</t>
        </is>
      </c>
      <c r="B1262" s="1" t="n">
        <v>45199</v>
      </c>
      <c r="C1262" s="1" t="n">
        <v>45742</v>
      </c>
      <c r="D1262" t="inlineStr">
        <is>
          <t>JÄMTLANDS LÄN</t>
        </is>
      </c>
      <c r="E1262" t="inlineStr">
        <is>
          <t>RAGUNDA</t>
        </is>
      </c>
      <c r="F1262" t="inlineStr">
        <is>
          <t>SCA</t>
        </is>
      </c>
      <c r="G1262" t="n">
        <v>39.8</v>
      </c>
      <c r="H1262" t="n">
        <v>0</v>
      </c>
      <c r="I1262" t="n">
        <v>0</v>
      </c>
      <c r="J1262" t="n">
        <v>0</v>
      </c>
      <c r="K1262" t="n">
        <v>0</v>
      </c>
      <c r="L1262" t="n">
        <v>0</v>
      </c>
      <c r="M1262" t="n">
        <v>0</v>
      </c>
      <c r="N1262" t="n">
        <v>0</v>
      </c>
      <c r="O1262" t="n">
        <v>0</v>
      </c>
      <c r="P1262" t="n">
        <v>0</v>
      </c>
      <c r="Q1262" t="n">
        <v>0</v>
      </c>
      <c r="R1262" s="2" t="inlineStr"/>
    </row>
    <row r="1263" ht="15" customHeight="1">
      <c r="A1263" t="inlineStr">
        <is>
          <t>A 47168-2023</t>
        </is>
      </c>
      <c r="B1263" s="1" t="n">
        <v>45201</v>
      </c>
      <c r="C1263" s="1" t="n">
        <v>45742</v>
      </c>
      <c r="D1263" t="inlineStr">
        <is>
          <t>JÄMTLANDS LÄN</t>
        </is>
      </c>
      <c r="E1263" t="inlineStr">
        <is>
          <t>RAGUNDA</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47173-2023</t>
        </is>
      </c>
      <c r="B1264" s="1" t="n">
        <v>45202</v>
      </c>
      <c r="C1264" s="1" t="n">
        <v>45742</v>
      </c>
      <c r="D1264" t="inlineStr">
        <is>
          <t>JÄMTLANDS LÄN</t>
        </is>
      </c>
      <c r="E1264" t="inlineStr">
        <is>
          <t>RAGUNDA</t>
        </is>
      </c>
      <c r="F1264" t="inlineStr">
        <is>
          <t>SCA</t>
        </is>
      </c>
      <c r="G1264" t="n">
        <v>21.5</v>
      </c>
      <c r="H1264" t="n">
        <v>0</v>
      </c>
      <c r="I1264" t="n">
        <v>0</v>
      </c>
      <c r="J1264" t="n">
        <v>0</v>
      </c>
      <c r="K1264" t="n">
        <v>0</v>
      </c>
      <c r="L1264" t="n">
        <v>0</v>
      </c>
      <c r="M1264" t="n">
        <v>0</v>
      </c>
      <c r="N1264" t="n">
        <v>0</v>
      </c>
      <c r="O1264" t="n">
        <v>0</v>
      </c>
      <c r="P1264" t="n">
        <v>0</v>
      </c>
      <c r="Q1264" t="n">
        <v>0</v>
      </c>
      <c r="R1264" s="2" t="inlineStr"/>
    </row>
    <row r="1265" ht="15" customHeight="1">
      <c r="A1265" t="inlineStr">
        <is>
          <t>A 48065-2023</t>
        </is>
      </c>
      <c r="B1265" s="1" t="n">
        <v>45205</v>
      </c>
      <c r="C1265" s="1" t="n">
        <v>45742</v>
      </c>
      <c r="D1265" t="inlineStr">
        <is>
          <t>JÄMTLANDS LÄN</t>
        </is>
      </c>
      <c r="E1265" t="inlineStr">
        <is>
          <t>RAGUNDA</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48066-2023</t>
        </is>
      </c>
      <c r="B1266" s="1" t="n">
        <v>45205</v>
      </c>
      <c r="C1266" s="1" t="n">
        <v>45742</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48421-2023</t>
        </is>
      </c>
      <c r="B1267" s="1" t="n">
        <v>45205</v>
      </c>
      <c r="C1267" s="1" t="n">
        <v>45742</v>
      </c>
      <c r="D1267" t="inlineStr">
        <is>
          <t>JÄMTLANDS LÄN</t>
        </is>
      </c>
      <c r="E1267" t="inlineStr">
        <is>
          <t>RAGUNDA</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48469-2023</t>
        </is>
      </c>
      <c r="B1268" s="1" t="n">
        <v>45207</v>
      </c>
      <c r="C1268" s="1" t="n">
        <v>45742</v>
      </c>
      <c r="D1268" t="inlineStr">
        <is>
          <t>JÄMTLANDS LÄN</t>
        </is>
      </c>
      <c r="E1268" t="inlineStr">
        <is>
          <t>RAGUNDA</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50160-2023</t>
        </is>
      </c>
      <c r="B1269" s="1" t="n">
        <v>45208</v>
      </c>
      <c r="C1269" s="1" t="n">
        <v>45742</v>
      </c>
      <c r="D1269" t="inlineStr">
        <is>
          <t>JÄMTLANDS LÄN</t>
        </is>
      </c>
      <c r="E1269" t="inlineStr">
        <is>
          <t>RAGUNDA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50157-2023</t>
        </is>
      </c>
      <c r="B1270" s="1" t="n">
        <v>45208</v>
      </c>
      <c r="C1270" s="1" t="n">
        <v>45742</v>
      </c>
      <c r="D1270" t="inlineStr">
        <is>
          <t>JÄMTLANDS LÄN</t>
        </is>
      </c>
      <c r="E1270" t="inlineStr">
        <is>
          <t>RAGUNDA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50658-2023</t>
        </is>
      </c>
      <c r="B1271" s="1" t="n">
        <v>45210</v>
      </c>
      <c r="C1271" s="1" t="n">
        <v>45742</v>
      </c>
      <c r="D1271" t="inlineStr">
        <is>
          <t>JÄMTLANDS LÄN</t>
        </is>
      </c>
      <c r="E1271" t="inlineStr">
        <is>
          <t>RAGUNDA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50650-2023</t>
        </is>
      </c>
      <c r="B1272" s="1" t="n">
        <v>45210</v>
      </c>
      <c r="C1272" s="1" t="n">
        <v>45742</v>
      </c>
      <c r="D1272" t="inlineStr">
        <is>
          <t>JÄMTLANDS LÄN</t>
        </is>
      </c>
      <c r="E1272" t="inlineStr">
        <is>
          <t>RAGUNDA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49650-2023</t>
        </is>
      </c>
      <c r="B1273" s="1" t="n">
        <v>45212</v>
      </c>
      <c r="C1273" s="1" t="n">
        <v>45742</v>
      </c>
      <c r="D1273" t="inlineStr">
        <is>
          <t>JÄMTLANDS LÄN</t>
        </is>
      </c>
      <c r="E1273" t="inlineStr">
        <is>
          <t>RAGUNDA</t>
        </is>
      </c>
      <c r="F1273" t="inlineStr">
        <is>
          <t>SCA</t>
        </is>
      </c>
      <c r="G1273" t="n">
        <v>19.8</v>
      </c>
      <c r="H1273" t="n">
        <v>0</v>
      </c>
      <c r="I1273" t="n">
        <v>0</v>
      </c>
      <c r="J1273" t="n">
        <v>0</v>
      </c>
      <c r="K1273" t="n">
        <v>0</v>
      </c>
      <c r="L1273" t="n">
        <v>0</v>
      </c>
      <c r="M1273" t="n">
        <v>0</v>
      </c>
      <c r="N1273" t="n">
        <v>0</v>
      </c>
      <c r="O1273" t="n">
        <v>0</v>
      </c>
      <c r="P1273" t="n">
        <v>0</v>
      </c>
      <c r="Q1273" t="n">
        <v>0</v>
      </c>
      <c r="R1273" s="2" t="inlineStr"/>
    </row>
    <row r="1274" ht="15" customHeight="1">
      <c r="A1274" t="inlineStr">
        <is>
          <t>A 49648-2023</t>
        </is>
      </c>
      <c r="B1274" s="1" t="n">
        <v>45212</v>
      </c>
      <c r="C1274" s="1" t="n">
        <v>45742</v>
      </c>
      <c r="D1274" t="inlineStr">
        <is>
          <t>JÄMTLANDS LÄN</t>
        </is>
      </c>
      <c r="E1274" t="inlineStr">
        <is>
          <t>RAGUNDA</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49659-2023</t>
        </is>
      </c>
      <c r="B1275" s="1" t="n">
        <v>45212</v>
      </c>
      <c r="C1275" s="1" t="n">
        <v>45742</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50211-2023</t>
        </is>
      </c>
      <c r="B1276" s="1" t="n">
        <v>45216</v>
      </c>
      <c r="C1276" s="1" t="n">
        <v>45742</v>
      </c>
      <c r="D1276" t="inlineStr">
        <is>
          <t>JÄMTLANDS LÄN</t>
        </is>
      </c>
      <c r="E1276" t="inlineStr">
        <is>
          <t>RAGUNDA</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51503-2023</t>
        </is>
      </c>
      <c r="B1277" s="1" t="n">
        <v>45215</v>
      </c>
      <c r="C1277" s="1" t="n">
        <v>45742</v>
      </c>
      <c r="D1277" t="inlineStr">
        <is>
          <t>JÄMTLANDS LÄN</t>
        </is>
      </c>
      <c r="E1277" t="inlineStr">
        <is>
          <t>RAGUNDA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51646-2023</t>
        </is>
      </c>
      <c r="B1278" s="1" t="n">
        <v>45215</v>
      </c>
      <c r="C1278" s="1" t="n">
        <v>45742</v>
      </c>
      <c r="D1278" t="inlineStr">
        <is>
          <t>JÄMTLANDS LÄN</t>
        </is>
      </c>
      <c r="E1278" t="inlineStr">
        <is>
          <t>RAGUNDA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50486-2023</t>
        </is>
      </c>
      <c r="B1279" s="1" t="n">
        <v>45217</v>
      </c>
      <c r="C1279" s="1" t="n">
        <v>45742</v>
      </c>
      <c r="D1279" t="inlineStr">
        <is>
          <t>JÄMTLANDS LÄN</t>
        </is>
      </c>
      <c r="E1279" t="inlineStr">
        <is>
          <t>RAGUNDA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50485-2023</t>
        </is>
      </c>
      <c r="B1280" s="1" t="n">
        <v>45217</v>
      </c>
      <c r="C1280" s="1" t="n">
        <v>45742</v>
      </c>
      <c r="D1280" t="inlineStr">
        <is>
          <t>JÄMTLANDS LÄN</t>
        </is>
      </c>
      <c r="E1280" t="inlineStr">
        <is>
          <t>RAGUNDA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50487-2023</t>
        </is>
      </c>
      <c r="B1281" s="1" t="n">
        <v>45217</v>
      </c>
      <c r="C1281" s="1" t="n">
        <v>45742</v>
      </c>
      <c r="D1281" t="inlineStr">
        <is>
          <t>JÄMTLANDS LÄN</t>
        </is>
      </c>
      <c r="E1281" t="inlineStr">
        <is>
          <t>RAGUNDA</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50483-2023</t>
        </is>
      </c>
      <c r="B1282" s="1" t="n">
        <v>45217</v>
      </c>
      <c r="C1282" s="1" t="n">
        <v>45742</v>
      </c>
      <c r="D1282" t="inlineStr">
        <is>
          <t>JÄMTLANDS LÄN</t>
        </is>
      </c>
      <c r="E1282" t="inlineStr">
        <is>
          <t>RAGUNDA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50484-2023</t>
        </is>
      </c>
      <c r="B1283" s="1" t="n">
        <v>45217</v>
      </c>
      <c r="C1283" s="1" t="n">
        <v>45742</v>
      </c>
      <c r="D1283" t="inlineStr">
        <is>
          <t>JÄMTLANDS LÄN</t>
        </is>
      </c>
      <c r="E1283" t="inlineStr">
        <is>
          <t>RAGUNDA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50831-2023</t>
        </is>
      </c>
      <c r="B1284" s="1" t="n">
        <v>45217</v>
      </c>
      <c r="C1284" s="1" t="n">
        <v>45742</v>
      </c>
      <c r="D1284" t="inlineStr">
        <is>
          <t>JÄMTLANDS LÄN</t>
        </is>
      </c>
      <c r="E1284" t="inlineStr">
        <is>
          <t>RAGUNDA</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50832-2023</t>
        </is>
      </c>
      <c r="B1285" s="1" t="n">
        <v>45218</v>
      </c>
      <c r="C1285" s="1" t="n">
        <v>45742</v>
      </c>
      <c r="D1285" t="inlineStr">
        <is>
          <t>JÄMTLANDS LÄN</t>
        </is>
      </c>
      <c r="E1285" t="inlineStr">
        <is>
          <t>RAGUNDA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50848-2023</t>
        </is>
      </c>
      <c r="B1286" s="1" t="n">
        <v>45217</v>
      </c>
      <c r="C1286" s="1" t="n">
        <v>45742</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52195-2023</t>
        </is>
      </c>
      <c r="B1287" s="1" t="n">
        <v>45217</v>
      </c>
      <c r="C1287" s="1" t="n">
        <v>45742</v>
      </c>
      <c r="D1287" t="inlineStr">
        <is>
          <t>JÄMTLANDS LÄN</t>
        </is>
      </c>
      <c r="E1287" t="inlineStr">
        <is>
          <t>RAGUNDA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50847-2023</t>
        </is>
      </c>
      <c r="B1288" s="1" t="n">
        <v>45217</v>
      </c>
      <c r="C1288" s="1" t="n">
        <v>45742</v>
      </c>
      <c r="D1288" t="inlineStr">
        <is>
          <t>JÄMTLANDS LÄN</t>
        </is>
      </c>
      <c r="E1288" t="inlineStr">
        <is>
          <t>RAGUNDA</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52550-2023</t>
        </is>
      </c>
      <c r="B1289" s="1" t="n">
        <v>45218</v>
      </c>
      <c r="C1289" s="1" t="n">
        <v>45742</v>
      </c>
      <c r="D1289" t="inlineStr">
        <is>
          <t>JÄMTLANDS LÄN</t>
        </is>
      </c>
      <c r="E1289" t="inlineStr">
        <is>
          <t>RAGUNDA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52544-2023</t>
        </is>
      </c>
      <c r="B1290" s="1" t="n">
        <v>45218</v>
      </c>
      <c r="C1290" s="1" t="n">
        <v>45742</v>
      </c>
      <c r="D1290" t="inlineStr">
        <is>
          <t>JÄMTLANDS LÄN</t>
        </is>
      </c>
      <c r="E1290" t="inlineStr">
        <is>
          <t>RAGUNDA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52631-2023</t>
        </is>
      </c>
      <c r="B1291" s="1" t="n">
        <v>45219</v>
      </c>
      <c r="C1291" s="1" t="n">
        <v>45742</v>
      </c>
      <c r="D1291" t="inlineStr">
        <is>
          <t>JÄMTLANDS LÄN</t>
        </is>
      </c>
      <c r="E1291" t="inlineStr">
        <is>
          <t>RAGUNDA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52622-2023</t>
        </is>
      </c>
      <c r="B1292" s="1" t="n">
        <v>45219</v>
      </c>
      <c r="C1292" s="1" t="n">
        <v>45742</v>
      </c>
      <c r="D1292" t="inlineStr">
        <is>
          <t>JÄMTLANDS LÄN</t>
        </is>
      </c>
      <c r="E1292" t="inlineStr">
        <is>
          <t>RAGUNDA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51435-2023</t>
        </is>
      </c>
      <c r="B1293" s="1" t="n">
        <v>45220</v>
      </c>
      <c r="C1293" s="1" t="n">
        <v>45742</v>
      </c>
      <c r="D1293" t="inlineStr">
        <is>
          <t>JÄMTLANDS LÄN</t>
        </is>
      </c>
      <c r="E1293" t="inlineStr">
        <is>
          <t>RAGUNDA</t>
        </is>
      </c>
      <c r="F1293" t="inlineStr">
        <is>
          <t>SCA</t>
        </is>
      </c>
      <c r="G1293" t="n">
        <v>39.6</v>
      </c>
      <c r="H1293" t="n">
        <v>0</v>
      </c>
      <c r="I1293" t="n">
        <v>0</v>
      </c>
      <c r="J1293" t="n">
        <v>0</v>
      </c>
      <c r="K1293" t="n">
        <v>0</v>
      </c>
      <c r="L1293" t="n">
        <v>0</v>
      </c>
      <c r="M1293" t="n">
        <v>0</v>
      </c>
      <c r="N1293" t="n">
        <v>0</v>
      </c>
      <c r="O1293" t="n">
        <v>0</v>
      </c>
      <c r="P1293" t="n">
        <v>0</v>
      </c>
      <c r="Q1293" t="n">
        <v>0</v>
      </c>
      <c r="R1293" s="2" t="inlineStr"/>
    </row>
    <row r="1294" ht="15" customHeight="1">
      <c r="A1294" t="inlineStr">
        <is>
          <t>A 51209-2023</t>
        </is>
      </c>
      <c r="B1294" s="1" t="n">
        <v>45219</v>
      </c>
      <c r="C1294" s="1" t="n">
        <v>45742</v>
      </c>
      <c r="D1294" t="inlineStr">
        <is>
          <t>JÄMTLANDS LÄN</t>
        </is>
      </c>
      <c r="E1294" t="inlineStr">
        <is>
          <t>RAGUNDA</t>
        </is>
      </c>
      <c r="G1294" t="n">
        <v>9.4</v>
      </c>
      <c r="H1294" t="n">
        <v>0</v>
      </c>
      <c r="I1294" t="n">
        <v>0</v>
      </c>
      <c r="J1294" t="n">
        <v>0</v>
      </c>
      <c r="K1294" t="n">
        <v>0</v>
      </c>
      <c r="L1294" t="n">
        <v>0</v>
      </c>
      <c r="M1294" t="n">
        <v>0</v>
      </c>
      <c r="N1294" t="n">
        <v>0</v>
      </c>
      <c r="O1294" t="n">
        <v>0</v>
      </c>
      <c r="P1294" t="n">
        <v>0</v>
      </c>
      <c r="Q1294" t="n">
        <v>0</v>
      </c>
      <c r="R1294" s="2" t="inlineStr"/>
    </row>
    <row r="1295" ht="15" customHeight="1">
      <c r="A1295" t="inlineStr">
        <is>
          <t>A 51807-2023</t>
        </is>
      </c>
      <c r="B1295" s="1" t="n">
        <v>45223</v>
      </c>
      <c r="C1295" s="1" t="n">
        <v>45742</v>
      </c>
      <c r="D1295" t="inlineStr">
        <is>
          <t>JÄMTLANDS LÄN</t>
        </is>
      </c>
      <c r="E1295" t="inlineStr">
        <is>
          <t>RAGUNDA</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52878-2023</t>
        </is>
      </c>
      <c r="B1296" s="1" t="n">
        <v>45222</v>
      </c>
      <c r="C1296" s="1" t="n">
        <v>45742</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53019-2023</t>
        </is>
      </c>
      <c r="B1297" s="1" t="n">
        <v>45222</v>
      </c>
      <c r="C1297" s="1" t="n">
        <v>45742</v>
      </c>
      <c r="D1297" t="inlineStr">
        <is>
          <t>JÄMTLANDS LÄN</t>
        </is>
      </c>
      <c r="E1297" t="inlineStr">
        <is>
          <t>RAGUNDA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53347-2023</t>
        </is>
      </c>
      <c r="B1298" s="1" t="n">
        <v>45223</v>
      </c>
      <c r="C1298" s="1" t="n">
        <v>45742</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53860-2023</t>
        </is>
      </c>
      <c r="B1299" s="1" t="n">
        <v>45224</v>
      </c>
      <c r="C1299" s="1" t="n">
        <v>45742</v>
      </c>
      <c r="D1299" t="inlineStr">
        <is>
          <t>JÄMTLANDS LÄN</t>
        </is>
      </c>
      <c r="E1299" t="inlineStr">
        <is>
          <t>RAGUNDA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53847-2023</t>
        </is>
      </c>
      <c r="B1300" s="1" t="n">
        <v>45224</v>
      </c>
      <c r="C1300" s="1" t="n">
        <v>45742</v>
      </c>
      <c r="D1300" t="inlineStr">
        <is>
          <t>JÄMTLANDS LÄN</t>
        </is>
      </c>
      <c r="E1300" t="inlineStr">
        <is>
          <t>RAGUNDA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53455-2023</t>
        </is>
      </c>
      <c r="B1301" s="1" t="n">
        <v>45230</v>
      </c>
      <c r="C1301" s="1" t="n">
        <v>45742</v>
      </c>
      <c r="D1301" t="inlineStr">
        <is>
          <t>JÄMTLANDS LÄN</t>
        </is>
      </c>
      <c r="E1301" t="inlineStr">
        <is>
          <t>RAGUNDA</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53762-2023</t>
        </is>
      </c>
      <c r="B1302" s="1" t="n">
        <v>45231</v>
      </c>
      <c r="C1302" s="1" t="n">
        <v>45742</v>
      </c>
      <c r="D1302" t="inlineStr">
        <is>
          <t>JÄMTLANDS LÄN</t>
        </is>
      </c>
      <c r="E1302" t="inlineStr">
        <is>
          <t>RAGUNDA</t>
        </is>
      </c>
      <c r="F1302" t="inlineStr">
        <is>
          <t>SCA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53766-2023</t>
        </is>
      </c>
      <c r="B1303" s="1" t="n">
        <v>45231</v>
      </c>
      <c r="C1303" s="1" t="n">
        <v>45742</v>
      </c>
      <c r="D1303" t="inlineStr">
        <is>
          <t>JÄMTLANDS LÄN</t>
        </is>
      </c>
      <c r="E1303" t="inlineStr">
        <is>
          <t>RAGUNDA</t>
        </is>
      </c>
      <c r="F1303" t="inlineStr">
        <is>
          <t>SCA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53769-2023</t>
        </is>
      </c>
      <c r="B1304" s="1" t="n">
        <v>45230</v>
      </c>
      <c r="C1304" s="1" t="n">
        <v>45742</v>
      </c>
      <c r="D1304" t="inlineStr">
        <is>
          <t>JÄMTLANDS LÄN</t>
        </is>
      </c>
      <c r="E1304" t="inlineStr">
        <is>
          <t>RAGUNDA</t>
        </is>
      </c>
      <c r="F1304" t="inlineStr">
        <is>
          <t>SCA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55250-2023</t>
        </is>
      </c>
      <c r="B1305" s="1" t="n">
        <v>45231</v>
      </c>
      <c r="C1305" s="1" t="n">
        <v>45742</v>
      </c>
      <c r="D1305" t="inlineStr">
        <is>
          <t>JÄMTLANDS LÄN</t>
        </is>
      </c>
      <c r="E1305" t="inlineStr">
        <is>
          <t>RAGUNDA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54322-2023</t>
        </is>
      </c>
      <c r="B1306" s="1" t="n">
        <v>45232</v>
      </c>
      <c r="C1306" s="1" t="n">
        <v>45742</v>
      </c>
      <c r="D1306" t="inlineStr">
        <is>
          <t>JÄMTLANDS LÄN</t>
        </is>
      </c>
      <c r="E1306" t="inlineStr">
        <is>
          <t>RAGUNDA</t>
        </is>
      </c>
      <c r="G1306" t="n">
        <v>11.4</v>
      </c>
      <c r="H1306" t="n">
        <v>0</v>
      </c>
      <c r="I1306" t="n">
        <v>0</v>
      </c>
      <c r="J1306" t="n">
        <v>0</v>
      </c>
      <c r="K1306" t="n">
        <v>0</v>
      </c>
      <c r="L1306" t="n">
        <v>0</v>
      </c>
      <c r="M1306" t="n">
        <v>0</v>
      </c>
      <c r="N1306" t="n">
        <v>0</v>
      </c>
      <c r="O1306" t="n">
        <v>0</v>
      </c>
      <c r="P1306" t="n">
        <v>0</v>
      </c>
      <c r="Q1306" t="n">
        <v>0</v>
      </c>
      <c r="R1306" s="2" t="inlineStr"/>
    </row>
    <row r="1307" ht="15" customHeight="1">
      <c r="A1307" t="inlineStr">
        <is>
          <t>A 54321-2023</t>
        </is>
      </c>
      <c r="B1307" s="1" t="n">
        <v>45232</v>
      </c>
      <c r="C1307" s="1" t="n">
        <v>45742</v>
      </c>
      <c r="D1307" t="inlineStr">
        <is>
          <t>JÄMTLANDS LÄN</t>
        </is>
      </c>
      <c r="E1307" t="inlineStr">
        <is>
          <t>RAGUNDA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54599-2023</t>
        </is>
      </c>
      <c r="B1308" s="1" t="n">
        <v>45233</v>
      </c>
      <c r="C1308" s="1" t="n">
        <v>45742</v>
      </c>
      <c r="D1308" t="inlineStr">
        <is>
          <t>JÄMTLANDS LÄN</t>
        </is>
      </c>
      <c r="E1308" t="inlineStr">
        <is>
          <t>RAGUNDA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56338-2023</t>
        </is>
      </c>
      <c r="B1309" s="1" t="n">
        <v>45236</v>
      </c>
      <c r="C1309" s="1" t="n">
        <v>45742</v>
      </c>
      <c r="D1309" t="inlineStr">
        <is>
          <t>JÄMTLANDS LÄN</t>
        </is>
      </c>
      <c r="E1309" t="inlineStr">
        <is>
          <t>RAGUNDA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56331-2023</t>
        </is>
      </c>
      <c r="B1310" s="1" t="n">
        <v>45236</v>
      </c>
      <c r="C1310" s="1" t="n">
        <v>45742</v>
      </c>
      <c r="D1310" t="inlineStr">
        <is>
          <t>JÄMTLANDS LÄN</t>
        </is>
      </c>
      <c r="E1310" t="inlineStr">
        <is>
          <t>RAGUNDA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56343-2023</t>
        </is>
      </c>
      <c r="B1311" s="1" t="n">
        <v>45236</v>
      </c>
      <c r="C1311" s="1" t="n">
        <v>45742</v>
      </c>
      <c r="D1311" t="inlineStr">
        <is>
          <t>JÄMTLANDS LÄN</t>
        </is>
      </c>
      <c r="E1311" t="inlineStr">
        <is>
          <t>RAGUNDA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56351-2023</t>
        </is>
      </c>
      <c r="B1312" s="1" t="n">
        <v>45236</v>
      </c>
      <c r="C1312" s="1" t="n">
        <v>45742</v>
      </c>
      <c r="D1312" t="inlineStr">
        <is>
          <t>JÄMTLANDS LÄN</t>
        </is>
      </c>
      <c r="E1312" t="inlineStr">
        <is>
          <t>RAGUNDA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55649-2023</t>
        </is>
      </c>
      <c r="B1313" s="1" t="n">
        <v>45238</v>
      </c>
      <c r="C1313" s="1" t="n">
        <v>45742</v>
      </c>
      <c r="D1313" t="inlineStr">
        <is>
          <t>JÄMTLANDS LÄN</t>
        </is>
      </c>
      <c r="E1313" t="inlineStr">
        <is>
          <t>RAGUNDA</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55669-2023</t>
        </is>
      </c>
      <c r="B1314" s="1" t="n">
        <v>45239</v>
      </c>
      <c r="C1314" s="1" t="n">
        <v>45742</v>
      </c>
      <c r="D1314" t="inlineStr">
        <is>
          <t>JÄMTLANDS LÄN</t>
        </is>
      </c>
      <c r="E1314" t="inlineStr">
        <is>
          <t>RAGUNDA</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56618-2023</t>
        </is>
      </c>
      <c r="B1315" s="1" t="n">
        <v>45238</v>
      </c>
      <c r="C1315" s="1" t="n">
        <v>45742</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55487-2023</t>
        </is>
      </c>
      <c r="B1316" s="1" t="n">
        <v>45238</v>
      </c>
      <c r="C1316" s="1" t="n">
        <v>45742</v>
      </c>
      <c r="D1316" t="inlineStr">
        <is>
          <t>JÄMTLANDS LÄN</t>
        </is>
      </c>
      <c r="E1316" t="inlineStr">
        <is>
          <t>RAGUNDA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57433-2023</t>
        </is>
      </c>
      <c r="B1317" s="1" t="n">
        <v>45240</v>
      </c>
      <c r="C1317" s="1" t="n">
        <v>45742</v>
      </c>
      <c r="D1317" t="inlineStr">
        <is>
          <t>JÄMTLANDS LÄN</t>
        </is>
      </c>
      <c r="E1317" t="inlineStr">
        <is>
          <t>RAGUNDA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57425-2023</t>
        </is>
      </c>
      <c r="B1318" s="1" t="n">
        <v>45240</v>
      </c>
      <c r="C1318" s="1" t="n">
        <v>45742</v>
      </c>
      <c r="D1318" t="inlineStr">
        <is>
          <t>JÄMTLANDS LÄN</t>
        </is>
      </c>
      <c r="E1318" t="inlineStr">
        <is>
          <t>RAGUNDA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56284-2023</t>
        </is>
      </c>
      <c r="B1319" s="1" t="n">
        <v>45241</v>
      </c>
      <c r="C1319" s="1" t="n">
        <v>45742</v>
      </c>
      <c r="D1319" t="inlineStr">
        <is>
          <t>JÄMTLANDS LÄN</t>
        </is>
      </c>
      <c r="E1319" t="inlineStr">
        <is>
          <t>RAGUNDA</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56287-2023</t>
        </is>
      </c>
      <c r="B1320" s="1" t="n">
        <v>45241</v>
      </c>
      <c r="C1320" s="1" t="n">
        <v>45742</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56286-2023</t>
        </is>
      </c>
      <c r="B1321" s="1" t="n">
        <v>45241</v>
      </c>
      <c r="C1321" s="1" t="n">
        <v>45742</v>
      </c>
      <c r="D1321" t="inlineStr">
        <is>
          <t>JÄMTLANDS LÄN</t>
        </is>
      </c>
      <c r="E1321" t="inlineStr">
        <is>
          <t>RAGUNDA</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56658-2023</t>
        </is>
      </c>
      <c r="B1322" s="1" t="n">
        <v>45243</v>
      </c>
      <c r="C1322" s="1" t="n">
        <v>45742</v>
      </c>
      <c r="D1322" t="inlineStr">
        <is>
          <t>JÄMTLANDS LÄN</t>
        </is>
      </c>
      <c r="E1322" t="inlineStr">
        <is>
          <t>RAGUNDA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56702-2023</t>
        </is>
      </c>
      <c r="B1323" s="1" t="n">
        <v>45244</v>
      </c>
      <c r="C1323" s="1" t="n">
        <v>45742</v>
      </c>
      <c r="D1323" t="inlineStr">
        <is>
          <t>JÄMTLANDS LÄN</t>
        </is>
      </c>
      <c r="E1323" t="inlineStr">
        <is>
          <t>RAGUNDA</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57078-2023</t>
        </is>
      </c>
      <c r="B1324" s="1" t="n">
        <v>45245</v>
      </c>
      <c r="C1324" s="1" t="n">
        <v>45742</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57925-2023</t>
        </is>
      </c>
      <c r="B1325" s="1" t="n">
        <v>45244</v>
      </c>
      <c r="C1325" s="1" t="n">
        <v>45742</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57778-2023</t>
        </is>
      </c>
      <c r="B1326" s="1" t="n">
        <v>45246</v>
      </c>
      <c r="C1326" s="1" t="n">
        <v>45742</v>
      </c>
      <c r="D1326" t="inlineStr">
        <is>
          <t>JÄMTLANDS LÄN</t>
        </is>
      </c>
      <c r="E1326" t="inlineStr">
        <is>
          <t>RAGUNDA</t>
        </is>
      </c>
      <c r="F1326" t="inlineStr">
        <is>
          <t>SCA</t>
        </is>
      </c>
      <c r="G1326" t="n">
        <v>37.8</v>
      </c>
      <c r="H1326" t="n">
        <v>0</v>
      </c>
      <c r="I1326" t="n">
        <v>0</v>
      </c>
      <c r="J1326" t="n">
        <v>0</v>
      </c>
      <c r="K1326" t="n">
        <v>0</v>
      </c>
      <c r="L1326" t="n">
        <v>0</v>
      </c>
      <c r="M1326" t="n">
        <v>0</v>
      </c>
      <c r="N1326" t="n">
        <v>0</v>
      </c>
      <c r="O1326" t="n">
        <v>0</v>
      </c>
      <c r="P1326" t="n">
        <v>0</v>
      </c>
      <c r="Q1326" t="n">
        <v>0</v>
      </c>
      <c r="R1326" s="2" t="inlineStr"/>
    </row>
    <row r="1327" ht="15" customHeight="1">
      <c r="A1327" t="inlineStr">
        <is>
          <t>A 58084-2023</t>
        </is>
      </c>
      <c r="B1327" s="1" t="n">
        <v>45248</v>
      </c>
      <c r="C1327" s="1" t="n">
        <v>45742</v>
      </c>
      <c r="D1327" t="inlineStr">
        <is>
          <t>JÄMTLANDS LÄN</t>
        </is>
      </c>
      <c r="E1327" t="inlineStr">
        <is>
          <t>RAGUNDA</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58992-2023</t>
        </is>
      </c>
      <c r="B1328" s="1" t="n">
        <v>45250</v>
      </c>
      <c r="C1328" s="1" t="n">
        <v>45742</v>
      </c>
      <c r="D1328" t="inlineStr">
        <is>
          <t>JÄMTLANDS LÄN</t>
        </is>
      </c>
      <c r="E1328" t="inlineStr">
        <is>
          <t>RAGUNDA</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58863-2023</t>
        </is>
      </c>
      <c r="B1329" s="1" t="n">
        <v>45250</v>
      </c>
      <c r="C1329" s="1" t="n">
        <v>45742</v>
      </c>
      <c r="D1329" t="inlineStr">
        <is>
          <t>JÄMTLANDS LÄN</t>
        </is>
      </c>
      <c r="E1329" t="inlineStr">
        <is>
          <t>RAGUNDA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58921-2023</t>
        </is>
      </c>
      <c r="B1330" s="1" t="n">
        <v>45250</v>
      </c>
      <c r="C1330" s="1" t="n">
        <v>45742</v>
      </c>
      <c r="D1330" t="inlineStr">
        <is>
          <t>JÄMTLANDS LÄN</t>
        </is>
      </c>
      <c r="E1330" t="inlineStr">
        <is>
          <t>RAGUNDA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59136-2023</t>
        </is>
      </c>
      <c r="B1331" s="1" t="n">
        <v>45251</v>
      </c>
      <c r="C1331" s="1" t="n">
        <v>45742</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59286-2023</t>
        </is>
      </c>
      <c r="B1332" s="1" t="n">
        <v>45253</v>
      </c>
      <c r="C1332" s="1" t="n">
        <v>45742</v>
      </c>
      <c r="D1332" t="inlineStr">
        <is>
          <t>JÄMTLANDS LÄN</t>
        </is>
      </c>
      <c r="E1332" t="inlineStr">
        <is>
          <t>RAGUNDA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59557-2023</t>
        </is>
      </c>
      <c r="B1333" s="1" t="n">
        <v>45253</v>
      </c>
      <c r="C1333" s="1" t="n">
        <v>45742</v>
      </c>
      <c r="D1333" t="inlineStr">
        <is>
          <t>JÄMTLANDS LÄN</t>
        </is>
      </c>
      <c r="E1333" t="inlineStr">
        <is>
          <t>RAGUNDA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59658-2023</t>
        </is>
      </c>
      <c r="B1334" s="1" t="n">
        <v>45255</v>
      </c>
      <c r="C1334" s="1" t="n">
        <v>45742</v>
      </c>
      <c r="D1334" t="inlineStr">
        <is>
          <t>JÄMTLANDS LÄN</t>
        </is>
      </c>
      <c r="E1334" t="inlineStr">
        <is>
          <t>RAGUNDA</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59670-2023</t>
        </is>
      </c>
      <c r="B1335" s="1" t="n">
        <v>45255</v>
      </c>
      <c r="C1335" s="1" t="n">
        <v>45742</v>
      </c>
      <c r="D1335" t="inlineStr">
        <is>
          <t>JÄMTLANDS LÄN</t>
        </is>
      </c>
      <c r="E1335" t="inlineStr">
        <is>
          <t>RAGUNDA</t>
        </is>
      </c>
      <c r="F1335" t="inlineStr">
        <is>
          <t>SCA</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59669-2023</t>
        </is>
      </c>
      <c r="B1336" s="1" t="n">
        <v>45255</v>
      </c>
      <c r="C1336" s="1" t="n">
        <v>45742</v>
      </c>
      <c r="D1336" t="inlineStr">
        <is>
          <t>JÄMTLANDS LÄN</t>
        </is>
      </c>
      <c r="E1336" t="inlineStr">
        <is>
          <t>RAGUNDA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59996-2023</t>
        </is>
      </c>
      <c r="B1337" s="1" t="n">
        <v>45257</v>
      </c>
      <c r="C1337" s="1" t="n">
        <v>45742</v>
      </c>
      <c r="D1337" t="inlineStr">
        <is>
          <t>JÄMTLANDS LÄN</t>
        </is>
      </c>
      <c r="E1337" t="inlineStr">
        <is>
          <t>RAGUNDA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60185-2023</t>
        </is>
      </c>
      <c r="B1338" s="1" t="n">
        <v>45257</v>
      </c>
      <c r="C1338" s="1" t="n">
        <v>45742</v>
      </c>
      <c r="D1338" t="inlineStr">
        <is>
          <t>JÄMTLANDS LÄN</t>
        </is>
      </c>
      <c r="E1338" t="inlineStr">
        <is>
          <t>RAGUNDA</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60012-2023</t>
        </is>
      </c>
      <c r="B1339" s="1" t="n">
        <v>45257</v>
      </c>
      <c r="C1339" s="1" t="n">
        <v>45742</v>
      </c>
      <c r="D1339" t="inlineStr">
        <is>
          <t>JÄMTLANDS LÄN</t>
        </is>
      </c>
      <c r="E1339" t="inlineStr">
        <is>
          <t>RAGUNDA</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60222-2023</t>
        </is>
      </c>
      <c r="B1340" s="1" t="n">
        <v>45257</v>
      </c>
      <c r="C1340" s="1" t="n">
        <v>45742</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60235-2023</t>
        </is>
      </c>
      <c r="B1341" s="1" t="n">
        <v>45257</v>
      </c>
      <c r="C1341" s="1" t="n">
        <v>45742</v>
      </c>
      <c r="D1341" t="inlineStr">
        <is>
          <t>JÄMTLANDS LÄN</t>
        </is>
      </c>
      <c r="E1341" t="inlineStr">
        <is>
          <t>RAGUNDA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60228-2023</t>
        </is>
      </c>
      <c r="B1342" s="1" t="n">
        <v>45257</v>
      </c>
      <c r="C1342" s="1" t="n">
        <v>45742</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60199-2023</t>
        </is>
      </c>
      <c r="B1343" s="1" t="n">
        <v>45257</v>
      </c>
      <c r="C1343" s="1" t="n">
        <v>45742</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60195-2023</t>
        </is>
      </c>
      <c r="B1344" s="1" t="n">
        <v>45257</v>
      </c>
      <c r="C1344" s="1" t="n">
        <v>45742</v>
      </c>
      <c r="D1344" t="inlineStr">
        <is>
          <t>JÄMTLANDS LÄN</t>
        </is>
      </c>
      <c r="E1344" t="inlineStr">
        <is>
          <t>RAGUNDA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60330-2023</t>
        </is>
      </c>
      <c r="B1345" s="1" t="n">
        <v>45258</v>
      </c>
      <c r="C1345" s="1" t="n">
        <v>45742</v>
      </c>
      <c r="D1345" t="inlineStr">
        <is>
          <t>JÄMTLANDS LÄN</t>
        </is>
      </c>
      <c r="E1345" t="inlineStr">
        <is>
          <t>RAGUNDA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60456-2023</t>
        </is>
      </c>
      <c r="B1346" s="1" t="n">
        <v>45258</v>
      </c>
      <c r="C1346" s="1" t="n">
        <v>45742</v>
      </c>
      <c r="D1346" t="inlineStr">
        <is>
          <t>JÄMTLANDS LÄN</t>
        </is>
      </c>
      <c r="E1346" t="inlineStr">
        <is>
          <t>RAGUNDA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60413-2023</t>
        </is>
      </c>
      <c r="B1347" s="1" t="n">
        <v>45258</v>
      </c>
      <c r="C1347" s="1" t="n">
        <v>45742</v>
      </c>
      <c r="D1347" t="inlineStr">
        <is>
          <t>JÄMTLANDS LÄN</t>
        </is>
      </c>
      <c r="E1347" t="inlineStr">
        <is>
          <t>RAGUNDA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60450-2023</t>
        </is>
      </c>
      <c r="B1348" s="1" t="n">
        <v>45258</v>
      </c>
      <c r="C1348" s="1" t="n">
        <v>45742</v>
      </c>
      <c r="D1348" t="inlineStr">
        <is>
          <t>JÄMTLANDS LÄN</t>
        </is>
      </c>
      <c r="E1348" t="inlineStr">
        <is>
          <t>RAGUNDA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60443-2023</t>
        </is>
      </c>
      <c r="B1349" s="1" t="n">
        <v>45258</v>
      </c>
      <c r="C1349" s="1" t="n">
        <v>45742</v>
      </c>
      <c r="D1349" t="inlineStr">
        <is>
          <t>JÄMTLANDS LÄN</t>
        </is>
      </c>
      <c r="E1349" t="inlineStr">
        <is>
          <t>RAGUNDA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60629-2023</t>
        </is>
      </c>
      <c r="B1350" s="1" t="n">
        <v>45259</v>
      </c>
      <c r="C1350" s="1" t="n">
        <v>45742</v>
      </c>
      <c r="D1350" t="inlineStr">
        <is>
          <t>JÄMTLANDS LÄN</t>
        </is>
      </c>
      <c r="E1350" t="inlineStr">
        <is>
          <t>RAGUNDA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60643-2023</t>
        </is>
      </c>
      <c r="B1351" s="1" t="n">
        <v>45259</v>
      </c>
      <c r="C1351" s="1" t="n">
        <v>45742</v>
      </c>
      <c r="D1351" t="inlineStr">
        <is>
          <t>JÄMTLANDS LÄN</t>
        </is>
      </c>
      <c r="E1351" t="inlineStr">
        <is>
          <t>RAGUNDA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60836-2023</t>
        </is>
      </c>
      <c r="B1352" s="1" t="n">
        <v>45260</v>
      </c>
      <c r="C1352" s="1" t="n">
        <v>45742</v>
      </c>
      <c r="D1352" t="inlineStr">
        <is>
          <t>JÄMTLANDS LÄN</t>
        </is>
      </c>
      <c r="E1352" t="inlineStr">
        <is>
          <t>RAGUNDA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60860-2023</t>
        </is>
      </c>
      <c r="B1353" s="1" t="n">
        <v>45260</v>
      </c>
      <c r="C1353" s="1" t="n">
        <v>45742</v>
      </c>
      <c r="D1353" t="inlineStr">
        <is>
          <t>JÄMTLANDS LÄN</t>
        </is>
      </c>
      <c r="E1353" t="inlineStr">
        <is>
          <t>RAGUNDA</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60838-2023</t>
        </is>
      </c>
      <c r="B1354" s="1" t="n">
        <v>45260</v>
      </c>
      <c r="C1354" s="1" t="n">
        <v>45742</v>
      </c>
      <c r="D1354" t="inlineStr">
        <is>
          <t>JÄMTLANDS LÄN</t>
        </is>
      </c>
      <c r="E1354" t="inlineStr">
        <is>
          <t>RAGUNDA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61197-2023</t>
        </is>
      </c>
      <c r="B1355" s="1" t="n">
        <v>45260</v>
      </c>
      <c r="C1355" s="1" t="n">
        <v>45742</v>
      </c>
      <c r="D1355" t="inlineStr">
        <is>
          <t>JÄMTLANDS LÄN</t>
        </is>
      </c>
      <c r="E1355" t="inlineStr">
        <is>
          <t>RAGUNDA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61191-2023</t>
        </is>
      </c>
      <c r="B1356" s="1" t="n">
        <v>45260</v>
      </c>
      <c r="C1356" s="1" t="n">
        <v>45742</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62106-2023</t>
        </is>
      </c>
      <c r="B1357" s="1" t="n">
        <v>45266</v>
      </c>
      <c r="C1357" s="1" t="n">
        <v>45742</v>
      </c>
      <c r="D1357" t="inlineStr">
        <is>
          <t>JÄMTLANDS LÄN</t>
        </is>
      </c>
      <c r="E1357" t="inlineStr">
        <is>
          <t>RAGUNDA</t>
        </is>
      </c>
      <c r="F1357" t="inlineStr">
        <is>
          <t>SCA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62107-2023</t>
        </is>
      </c>
      <c r="B1358" s="1" t="n">
        <v>45266</v>
      </c>
      <c r="C1358" s="1" t="n">
        <v>45742</v>
      </c>
      <c r="D1358" t="inlineStr">
        <is>
          <t>JÄMTLANDS LÄN</t>
        </is>
      </c>
      <c r="E1358" t="inlineStr">
        <is>
          <t>RAGUNDA</t>
        </is>
      </c>
      <c r="F1358" t="inlineStr">
        <is>
          <t>SCA</t>
        </is>
      </c>
      <c r="G1358" t="n">
        <v>38.4</v>
      </c>
      <c r="H1358" t="n">
        <v>0</v>
      </c>
      <c r="I1358" t="n">
        <v>0</v>
      </c>
      <c r="J1358" t="n">
        <v>0</v>
      </c>
      <c r="K1358" t="n">
        <v>0</v>
      </c>
      <c r="L1358" t="n">
        <v>0</v>
      </c>
      <c r="M1358" t="n">
        <v>0</v>
      </c>
      <c r="N1358" t="n">
        <v>0</v>
      </c>
      <c r="O1358" t="n">
        <v>0</v>
      </c>
      <c r="P1358" t="n">
        <v>0</v>
      </c>
      <c r="Q1358" t="n">
        <v>0</v>
      </c>
      <c r="R1358" s="2" t="inlineStr"/>
    </row>
    <row r="1359" ht="15" customHeight="1">
      <c r="A1359" t="inlineStr">
        <is>
          <t>A 62397-2023</t>
        </is>
      </c>
      <c r="B1359" s="1" t="n">
        <v>45266</v>
      </c>
      <c r="C1359" s="1" t="n">
        <v>45742</v>
      </c>
      <c r="D1359" t="inlineStr">
        <is>
          <t>JÄMTLANDS LÄN</t>
        </is>
      </c>
      <c r="E1359" t="inlineStr">
        <is>
          <t>RAGUNDA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62405-2023</t>
        </is>
      </c>
      <c r="B1360" s="1" t="n">
        <v>45266</v>
      </c>
      <c r="C1360" s="1" t="n">
        <v>45742</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62407-2023</t>
        </is>
      </c>
      <c r="B1361" s="1" t="n">
        <v>45266</v>
      </c>
      <c r="C1361" s="1" t="n">
        <v>45742</v>
      </c>
      <c r="D1361" t="inlineStr">
        <is>
          <t>JÄMTLANDS LÄN</t>
        </is>
      </c>
      <c r="E1361" t="inlineStr">
        <is>
          <t>RAGUNDA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62358-2023</t>
        </is>
      </c>
      <c r="B1362" s="1" t="n">
        <v>45267</v>
      </c>
      <c r="C1362" s="1" t="n">
        <v>45742</v>
      </c>
      <c r="D1362" t="inlineStr">
        <is>
          <t>JÄMTLANDS LÄN</t>
        </is>
      </c>
      <c r="E1362" t="inlineStr">
        <is>
          <t>RAGUNDA</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62526-2023</t>
        </is>
      </c>
      <c r="B1363" s="1" t="n">
        <v>45267</v>
      </c>
      <c r="C1363" s="1" t="n">
        <v>45742</v>
      </c>
      <c r="D1363" t="inlineStr">
        <is>
          <t>JÄMTLANDS LÄN</t>
        </is>
      </c>
      <c r="E1363" t="inlineStr">
        <is>
          <t>RAGUNDA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62839-2023</t>
        </is>
      </c>
      <c r="B1364" s="1" t="n">
        <v>45271</v>
      </c>
      <c r="C1364" s="1" t="n">
        <v>45742</v>
      </c>
      <c r="D1364" t="inlineStr">
        <is>
          <t>JÄMTLANDS LÄN</t>
        </is>
      </c>
      <c r="E1364" t="inlineStr">
        <is>
          <t>RAGUNDA</t>
        </is>
      </c>
      <c r="F1364" t="inlineStr">
        <is>
          <t>SCA</t>
        </is>
      </c>
      <c r="G1364" t="n">
        <v>26.7</v>
      </c>
      <c r="H1364" t="n">
        <v>0</v>
      </c>
      <c r="I1364" t="n">
        <v>0</v>
      </c>
      <c r="J1364" t="n">
        <v>0</v>
      </c>
      <c r="K1364" t="n">
        <v>0</v>
      </c>
      <c r="L1364" t="n">
        <v>0</v>
      </c>
      <c r="M1364" t="n">
        <v>0</v>
      </c>
      <c r="N1364" t="n">
        <v>0</v>
      </c>
      <c r="O1364" t="n">
        <v>0</v>
      </c>
      <c r="P1364" t="n">
        <v>0</v>
      </c>
      <c r="Q1364" t="n">
        <v>0</v>
      </c>
      <c r="R1364" s="2" t="inlineStr"/>
    </row>
    <row r="1365" ht="15" customHeight="1">
      <c r="A1365" t="inlineStr">
        <is>
          <t>A 63708-2023</t>
        </is>
      </c>
      <c r="B1365" s="1" t="n">
        <v>45275</v>
      </c>
      <c r="C1365" s="1" t="n">
        <v>45742</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64017-2023</t>
        </is>
      </c>
      <c r="B1366" s="1" t="n">
        <v>45278</v>
      </c>
      <c r="C1366" s="1" t="n">
        <v>45742</v>
      </c>
      <c r="D1366" t="inlineStr">
        <is>
          <t>JÄMTLANDS LÄN</t>
        </is>
      </c>
      <c r="E1366" t="inlineStr">
        <is>
          <t>RAGUNDA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64039-2023</t>
        </is>
      </c>
      <c r="B1367" s="1" t="n">
        <v>45278</v>
      </c>
      <c r="C1367" s="1" t="n">
        <v>45742</v>
      </c>
      <c r="D1367" t="inlineStr">
        <is>
          <t>JÄMTLANDS LÄN</t>
        </is>
      </c>
      <c r="E1367" t="inlineStr">
        <is>
          <t>RAGUNDA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64265-2023</t>
        </is>
      </c>
      <c r="B1368" s="1" t="n">
        <v>45279</v>
      </c>
      <c r="C1368" s="1" t="n">
        <v>45742</v>
      </c>
      <c r="D1368" t="inlineStr">
        <is>
          <t>JÄMTLANDS LÄN</t>
        </is>
      </c>
      <c r="E1368" t="inlineStr">
        <is>
          <t>RAGUNDA</t>
        </is>
      </c>
      <c r="F1368" t="inlineStr">
        <is>
          <t>SCA</t>
        </is>
      </c>
      <c r="G1368" t="n">
        <v>9.300000000000001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64264-2023</t>
        </is>
      </c>
      <c r="B1369" s="1" t="n">
        <v>45279</v>
      </c>
      <c r="C1369" s="1" t="n">
        <v>45742</v>
      </c>
      <c r="D1369" t="inlineStr">
        <is>
          <t>JÄMTLANDS LÄN</t>
        </is>
      </c>
      <c r="E1369" t="inlineStr">
        <is>
          <t>RAGUNDA</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64415-2023</t>
        </is>
      </c>
      <c r="B1370" s="1" t="n">
        <v>45280</v>
      </c>
      <c r="C1370" s="1" t="n">
        <v>45742</v>
      </c>
      <c r="D1370" t="inlineStr">
        <is>
          <t>JÄMTLANDS LÄN</t>
        </is>
      </c>
      <c r="E1370" t="inlineStr">
        <is>
          <t>RAGUNDA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64492-2023</t>
        </is>
      </c>
      <c r="B1371" s="1" t="n">
        <v>45280</v>
      </c>
      <c r="C1371" s="1" t="n">
        <v>45742</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65083-2023</t>
        </is>
      </c>
      <c r="B1372" s="1" t="n">
        <v>45287</v>
      </c>
      <c r="C1372" s="1" t="n">
        <v>45742</v>
      </c>
      <c r="D1372" t="inlineStr">
        <is>
          <t>JÄMTLANDS LÄN</t>
        </is>
      </c>
      <c r="E1372" t="inlineStr">
        <is>
          <t>RAGUNDA</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65216-2023</t>
        </is>
      </c>
      <c r="B1373" s="1" t="n">
        <v>45289</v>
      </c>
      <c r="C1373" s="1" t="n">
        <v>45742</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65242-2023</t>
        </is>
      </c>
      <c r="B1374" s="1" t="n">
        <v>45289</v>
      </c>
      <c r="C1374" s="1" t="n">
        <v>45742</v>
      </c>
      <c r="D1374" t="inlineStr">
        <is>
          <t>JÄMTLANDS LÄN</t>
        </is>
      </c>
      <c r="E1374" t="inlineStr">
        <is>
          <t>RAGUNDA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1130-2024</t>
        </is>
      </c>
      <c r="B1375" s="1" t="n">
        <v>45302</v>
      </c>
      <c r="C1375" s="1" t="n">
        <v>45742</v>
      </c>
      <c r="D1375" t="inlineStr">
        <is>
          <t>JÄMTLANDS LÄN</t>
        </is>
      </c>
      <c r="E1375" t="inlineStr">
        <is>
          <t>RAGUNDA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1123-2024</t>
        </is>
      </c>
      <c r="B1376" s="1" t="n">
        <v>45302</v>
      </c>
      <c r="C1376" s="1" t="n">
        <v>45742</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1465-2024</t>
        </is>
      </c>
      <c r="B1377" s="1" t="n">
        <v>45304</v>
      </c>
      <c r="C1377" s="1" t="n">
        <v>45742</v>
      </c>
      <c r="D1377" t="inlineStr">
        <is>
          <t>JÄMTLANDS LÄN</t>
        </is>
      </c>
      <c r="E1377" t="inlineStr">
        <is>
          <t>RAGUNDA</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1466-2024</t>
        </is>
      </c>
      <c r="B1378" s="1" t="n">
        <v>45304</v>
      </c>
      <c r="C1378" s="1" t="n">
        <v>45742</v>
      </c>
      <c r="D1378" t="inlineStr">
        <is>
          <t>JÄMTLANDS LÄN</t>
        </is>
      </c>
      <c r="E1378" t="inlineStr">
        <is>
          <t>RAGUNDA</t>
        </is>
      </c>
      <c r="F1378" t="inlineStr">
        <is>
          <t>SCA</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1523-2024</t>
        </is>
      </c>
      <c r="B1379" s="1" t="n">
        <v>45306</v>
      </c>
      <c r="C1379" s="1" t="n">
        <v>45742</v>
      </c>
      <c r="D1379" t="inlineStr">
        <is>
          <t>JÄMTLANDS LÄN</t>
        </is>
      </c>
      <c r="E1379" t="inlineStr">
        <is>
          <t>RAGUNDA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1554-2024</t>
        </is>
      </c>
      <c r="B1380" s="1" t="n">
        <v>45306</v>
      </c>
      <c r="C1380" s="1" t="n">
        <v>45742</v>
      </c>
      <c r="D1380" t="inlineStr">
        <is>
          <t>JÄMTLANDS LÄN</t>
        </is>
      </c>
      <c r="E1380" t="inlineStr">
        <is>
          <t>RAGUNDA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1537-2024</t>
        </is>
      </c>
      <c r="B1381" s="1" t="n">
        <v>45306</v>
      </c>
      <c r="C1381" s="1" t="n">
        <v>45742</v>
      </c>
      <c r="D1381" t="inlineStr">
        <is>
          <t>JÄMTLANDS LÄN</t>
        </is>
      </c>
      <c r="E1381" t="inlineStr">
        <is>
          <t>RAGUNDA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1884-2024</t>
        </is>
      </c>
      <c r="B1382" s="1" t="n">
        <v>45307</v>
      </c>
      <c r="C1382" s="1" t="n">
        <v>45742</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1888-2024</t>
        </is>
      </c>
      <c r="B1383" s="1" t="n">
        <v>45308</v>
      </c>
      <c r="C1383" s="1" t="n">
        <v>45742</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1887-2024</t>
        </is>
      </c>
      <c r="B1384" s="1" t="n">
        <v>45308</v>
      </c>
      <c r="C1384" s="1" t="n">
        <v>45742</v>
      </c>
      <c r="D1384" t="inlineStr">
        <is>
          <t>JÄMTLANDS LÄN</t>
        </is>
      </c>
      <c r="E1384" t="inlineStr">
        <is>
          <t>RAGUNDA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1889-2024</t>
        </is>
      </c>
      <c r="B1385" s="1" t="n">
        <v>45308</v>
      </c>
      <c r="C1385" s="1" t="n">
        <v>45742</v>
      </c>
      <c r="D1385" t="inlineStr">
        <is>
          <t>JÄMTLANDS LÄN</t>
        </is>
      </c>
      <c r="E1385" t="inlineStr">
        <is>
          <t>RAGUNDA</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2143-2024</t>
        </is>
      </c>
      <c r="B1386" s="1" t="n">
        <v>45309</v>
      </c>
      <c r="C1386" s="1" t="n">
        <v>45742</v>
      </c>
      <c r="D1386" t="inlineStr">
        <is>
          <t>JÄMTLANDS LÄN</t>
        </is>
      </c>
      <c r="E1386" t="inlineStr">
        <is>
          <t>RAGUNDA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2224-2024</t>
        </is>
      </c>
      <c r="B1387" s="1" t="n">
        <v>45309</v>
      </c>
      <c r="C1387" s="1" t="n">
        <v>45742</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2241-2024</t>
        </is>
      </c>
      <c r="B1388" s="1" t="n">
        <v>45309</v>
      </c>
      <c r="C1388" s="1" t="n">
        <v>45742</v>
      </c>
      <c r="D1388" t="inlineStr">
        <is>
          <t>JÄMTLANDS LÄN</t>
        </is>
      </c>
      <c r="E1388" t="inlineStr">
        <is>
          <t>RAGUNDA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2245-2024</t>
        </is>
      </c>
      <c r="B1389" s="1" t="n">
        <v>45309</v>
      </c>
      <c r="C1389" s="1" t="n">
        <v>45742</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2242-2024</t>
        </is>
      </c>
      <c r="B1390" s="1" t="n">
        <v>45309</v>
      </c>
      <c r="C1390" s="1" t="n">
        <v>45742</v>
      </c>
      <c r="D1390" t="inlineStr">
        <is>
          <t>JÄMTLANDS LÄN</t>
        </is>
      </c>
      <c r="E1390" t="inlineStr">
        <is>
          <t>RAGUNDA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2248-2024</t>
        </is>
      </c>
      <c r="B1391" s="1" t="n">
        <v>45309</v>
      </c>
      <c r="C1391" s="1" t="n">
        <v>45742</v>
      </c>
      <c r="D1391" t="inlineStr">
        <is>
          <t>JÄMTLANDS LÄN</t>
        </is>
      </c>
      <c r="E1391" t="inlineStr">
        <is>
          <t>RAGUNDA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2240-2024</t>
        </is>
      </c>
      <c r="B1392" s="1" t="n">
        <v>45309</v>
      </c>
      <c r="C1392" s="1" t="n">
        <v>45742</v>
      </c>
      <c r="D1392" t="inlineStr">
        <is>
          <t>JÄMTLANDS LÄN</t>
        </is>
      </c>
      <c r="E1392" t="inlineStr">
        <is>
          <t>RAGUNDA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2244-2024</t>
        </is>
      </c>
      <c r="B1393" s="1" t="n">
        <v>45309</v>
      </c>
      <c r="C1393" s="1" t="n">
        <v>45742</v>
      </c>
      <c r="D1393" t="inlineStr">
        <is>
          <t>JÄMTLANDS LÄN</t>
        </is>
      </c>
      <c r="E1393" t="inlineStr">
        <is>
          <t>RAGUNDA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2243-2024</t>
        </is>
      </c>
      <c r="B1394" s="1" t="n">
        <v>45309</v>
      </c>
      <c r="C1394" s="1" t="n">
        <v>45742</v>
      </c>
      <c r="D1394" t="inlineStr">
        <is>
          <t>JÄMTLANDS LÄN</t>
        </is>
      </c>
      <c r="E1394" t="inlineStr">
        <is>
          <t>RAGUNDA</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2424-2024</t>
        </is>
      </c>
      <c r="B1395" s="1" t="n">
        <v>45310</v>
      </c>
      <c r="C1395" s="1" t="n">
        <v>45742</v>
      </c>
      <c r="D1395" t="inlineStr">
        <is>
          <t>JÄMTLANDS LÄN</t>
        </is>
      </c>
      <c r="E1395" t="inlineStr">
        <is>
          <t>RAGUNDA</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2629-2024</t>
        </is>
      </c>
      <c r="B1396" s="1" t="n">
        <v>45313</v>
      </c>
      <c r="C1396" s="1" t="n">
        <v>45742</v>
      </c>
      <c r="D1396" t="inlineStr">
        <is>
          <t>JÄMTLANDS LÄN</t>
        </is>
      </c>
      <c r="E1396" t="inlineStr">
        <is>
          <t>RAGUNDA</t>
        </is>
      </c>
      <c r="F1396" t="inlineStr">
        <is>
          <t>SCA</t>
        </is>
      </c>
      <c r="G1396" t="n">
        <v>40.9</v>
      </c>
      <c r="H1396" t="n">
        <v>0</v>
      </c>
      <c r="I1396" t="n">
        <v>0</v>
      </c>
      <c r="J1396" t="n">
        <v>0</v>
      </c>
      <c r="K1396" t="n">
        <v>0</v>
      </c>
      <c r="L1396" t="n">
        <v>0</v>
      </c>
      <c r="M1396" t="n">
        <v>0</v>
      </c>
      <c r="N1396" t="n">
        <v>0</v>
      </c>
      <c r="O1396" t="n">
        <v>0</v>
      </c>
      <c r="P1396" t="n">
        <v>0</v>
      </c>
      <c r="Q1396" t="n">
        <v>0</v>
      </c>
      <c r="R1396" s="2" t="inlineStr"/>
    </row>
    <row r="1397" ht="15" customHeight="1">
      <c r="A1397" t="inlineStr">
        <is>
          <t>A 2630-2024</t>
        </is>
      </c>
      <c r="B1397" s="1" t="n">
        <v>45313</v>
      </c>
      <c r="C1397" s="1" t="n">
        <v>45742</v>
      </c>
      <c r="D1397" t="inlineStr">
        <is>
          <t>JÄMTLANDS LÄN</t>
        </is>
      </c>
      <c r="E1397" t="inlineStr">
        <is>
          <t>RAGUNDA</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2673-2024</t>
        </is>
      </c>
      <c r="B1398" s="1" t="n">
        <v>45314</v>
      </c>
      <c r="C1398" s="1" t="n">
        <v>45742</v>
      </c>
      <c r="D1398" t="inlineStr">
        <is>
          <t>JÄMTLANDS LÄN</t>
        </is>
      </c>
      <c r="E1398" t="inlineStr">
        <is>
          <t>RAGUNDA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2751-2024</t>
        </is>
      </c>
      <c r="B1399" s="1" t="n">
        <v>45314</v>
      </c>
      <c r="C1399" s="1" t="n">
        <v>45742</v>
      </c>
      <c r="D1399" t="inlineStr">
        <is>
          <t>JÄMTLANDS LÄN</t>
        </is>
      </c>
      <c r="E1399" t="inlineStr">
        <is>
          <t>RAGUNDA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2678-2024</t>
        </is>
      </c>
      <c r="B1400" s="1" t="n">
        <v>45314</v>
      </c>
      <c r="C1400" s="1" t="n">
        <v>45742</v>
      </c>
      <c r="D1400" t="inlineStr">
        <is>
          <t>JÄMTLANDS LÄN</t>
        </is>
      </c>
      <c r="E1400" t="inlineStr">
        <is>
          <t>RAGUNDA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2834-2024</t>
        </is>
      </c>
      <c r="B1401" s="1" t="n">
        <v>45314</v>
      </c>
      <c r="C1401" s="1" t="n">
        <v>45742</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2831-2024</t>
        </is>
      </c>
      <c r="B1402" s="1" t="n">
        <v>45314</v>
      </c>
      <c r="C1402" s="1" t="n">
        <v>45742</v>
      </c>
      <c r="D1402" t="inlineStr">
        <is>
          <t>JÄMTLANDS LÄN</t>
        </is>
      </c>
      <c r="E1402" t="inlineStr">
        <is>
          <t>RAGUNDA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3016-2024</t>
        </is>
      </c>
      <c r="B1403" s="1" t="n">
        <v>45315</v>
      </c>
      <c r="C1403" s="1" t="n">
        <v>45742</v>
      </c>
      <c r="D1403" t="inlineStr">
        <is>
          <t>JÄMTLANDS LÄN</t>
        </is>
      </c>
      <c r="E1403" t="inlineStr">
        <is>
          <t>RAGUNDA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3018-2024</t>
        </is>
      </c>
      <c r="B1404" s="1" t="n">
        <v>45315</v>
      </c>
      <c r="C1404" s="1" t="n">
        <v>45742</v>
      </c>
      <c r="D1404" t="inlineStr">
        <is>
          <t>JÄMTLANDS LÄN</t>
        </is>
      </c>
      <c r="E1404" t="inlineStr">
        <is>
          <t>RAGUNDA</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3240-2024</t>
        </is>
      </c>
      <c r="B1405" s="1" t="n">
        <v>45316</v>
      </c>
      <c r="C1405" s="1" t="n">
        <v>45742</v>
      </c>
      <c r="D1405" t="inlineStr">
        <is>
          <t>JÄMTLANDS LÄN</t>
        </is>
      </c>
      <c r="E1405" t="inlineStr">
        <is>
          <t>RAGUNDA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3635-2024</t>
        </is>
      </c>
      <c r="B1406" s="1" t="n">
        <v>45320</v>
      </c>
      <c r="C1406" s="1" t="n">
        <v>45742</v>
      </c>
      <c r="D1406" t="inlineStr">
        <is>
          <t>JÄMTLANDS LÄN</t>
        </is>
      </c>
      <c r="E1406" t="inlineStr">
        <is>
          <t>RAGUNDA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3938-2024</t>
        </is>
      </c>
      <c r="B1407" s="1" t="n">
        <v>45322</v>
      </c>
      <c r="C1407" s="1" t="n">
        <v>45742</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3992-2024</t>
        </is>
      </c>
      <c r="B1408" s="1" t="n">
        <v>45322</v>
      </c>
      <c r="C1408" s="1" t="n">
        <v>45742</v>
      </c>
      <c r="D1408" t="inlineStr">
        <is>
          <t>JÄMTLANDS LÄN</t>
        </is>
      </c>
      <c r="E1408" t="inlineStr">
        <is>
          <t>RAGUNDA</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4125-2024</t>
        </is>
      </c>
      <c r="B1409" s="1" t="n">
        <v>45323</v>
      </c>
      <c r="C1409" s="1" t="n">
        <v>45742</v>
      </c>
      <c r="D1409" t="inlineStr">
        <is>
          <t>JÄMTLANDS LÄN</t>
        </is>
      </c>
      <c r="E1409" t="inlineStr">
        <is>
          <t>RAGUNDA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4212-2024</t>
        </is>
      </c>
      <c r="B1410" s="1" t="n">
        <v>45324</v>
      </c>
      <c r="C1410" s="1" t="n">
        <v>45742</v>
      </c>
      <c r="D1410" t="inlineStr">
        <is>
          <t>JÄMTLANDS LÄN</t>
        </is>
      </c>
      <c r="E1410" t="inlineStr">
        <is>
          <t>RAGUNDA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4249-2024</t>
        </is>
      </c>
      <c r="B1411" s="1" t="n">
        <v>45324</v>
      </c>
      <c r="C1411" s="1" t="n">
        <v>45742</v>
      </c>
      <c r="D1411" t="inlineStr">
        <is>
          <t>JÄMTLANDS LÄN</t>
        </is>
      </c>
      <c r="E1411" t="inlineStr">
        <is>
          <t>RAGUNDA</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4594-2024</t>
        </is>
      </c>
      <c r="B1412" s="1" t="n">
        <v>45327</v>
      </c>
      <c r="C1412" s="1" t="n">
        <v>45742</v>
      </c>
      <c r="D1412" t="inlineStr">
        <is>
          <t>JÄMTLANDS LÄN</t>
        </is>
      </c>
      <c r="E1412" t="inlineStr">
        <is>
          <t>RAGUNDA</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4592-2024</t>
        </is>
      </c>
      <c r="B1413" s="1" t="n">
        <v>45327</v>
      </c>
      <c r="C1413" s="1" t="n">
        <v>45742</v>
      </c>
      <c r="D1413" t="inlineStr">
        <is>
          <t>JÄMTLANDS LÄN</t>
        </is>
      </c>
      <c r="E1413" t="inlineStr">
        <is>
          <t>RAGUNDA</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4591-2024</t>
        </is>
      </c>
      <c r="B1414" s="1" t="n">
        <v>45327</v>
      </c>
      <c r="C1414" s="1" t="n">
        <v>45742</v>
      </c>
      <c r="D1414" t="inlineStr">
        <is>
          <t>JÄMTLANDS LÄN</t>
        </is>
      </c>
      <c r="E1414" t="inlineStr">
        <is>
          <t>RAGUNDA</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4820-2024</t>
        </is>
      </c>
      <c r="B1415" s="1" t="n">
        <v>45328</v>
      </c>
      <c r="C1415" s="1" t="n">
        <v>45742</v>
      </c>
      <c r="D1415" t="inlineStr">
        <is>
          <t>JÄMTLANDS LÄN</t>
        </is>
      </c>
      <c r="E1415" t="inlineStr">
        <is>
          <t>RAGUNDA</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4822-2024</t>
        </is>
      </c>
      <c r="B1416" s="1" t="n">
        <v>45328</v>
      </c>
      <c r="C1416" s="1" t="n">
        <v>45742</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4811-2024</t>
        </is>
      </c>
      <c r="B1417" s="1" t="n">
        <v>45328</v>
      </c>
      <c r="C1417" s="1" t="n">
        <v>45742</v>
      </c>
      <c r="D1417" t="inlineStr">
        <is>
          <t>JÄMTLANDS LÄN</t>
        </is>
      </c>
      <c r="E1417" t="inlineStr">
        <is>
          <t>RAGUNDA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4936-2024</t>
        </is>
      </c>
      <c r="B1418" s="1" t="n">
        <v>45329</v>
      </c>
      <c r="C1418" s="1" t="n">
        <v>45742</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5067-2024</t>
        </is>
      </c>
      <c r="B1419" s="1" t="n">
        <v>45329</v>
      </c>
      <c r="C1419" s="1" t="n">
        <v>45742</v>
      </c>
      <c r="D1419" t="inlineStr">
        <is>
          <t>JÄMTLANDS LÄN</t>
        </is>
      </c>
      <c r="E1419" t="inlineStr">
        <is>
          <t>RAGUNDA</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5250-2024</t>
        </is>
      </c>
      <c r="B1420" s="1" t="n">
        <v>45330</v>
      </c>
      <c r="C1420" s="1" t="n">
        <v>45742</v>
      </c>
      <c r="D1420" t="inlineStr">
        <is>
          <t>JÄMTLANDS LÄN</t>
        </is>
      </c>
      <c r="E1420" t="inlineStr">
        <is>
          <t>RAGUNDA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5263-2024</t>
        </is>
      </c>
      <c r="B1421" s="1" t="n">
        <v>45331</v>
      </c>
      <c r="C1421" s="1" t="n">
        <v>45742</v>
      </c>
      <c r="D1421" t="inlineStr">
        <is>
          <t>JÄMTLANDS LÄN</t>
        </is>
      </c>
      <c r="E1421" t="inlineStr">
        <is>
          <t>RAGUNDA</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5429-2024</t>
        </is>
      </c>
      <c r="B1422" s="1" t="n">
        <v>45331</v>
      </c>
      <c r="C1422" s="1" t="n">
        <v>45742</v>
      </c>
      <c r="D1422" t="inlineStr">
        <is>
          <t>JÄMTLANDS LÄN</t>
        </is>
      </c>
      <c r="E1422" t="inlineStr">
        <is>
          <t>RAGUNDA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6267-2024</t>
        </is>
      </c>
      <c r="B1423" s="1" t="n">
        <v>45337</v>
      </c>
      <c r="C1423" s="1" t="n">
        <v>45742</v>
      </c>
      <c r="D1423" t="inlineStr">
        <is>
          <t>JÄMTLANDS LÄN</t>
        </is>
      </c>
      <c r="E1423" t="inlineStr">
        <is>
          <t>RAGUNDA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6477-2024</t>
        </is>
      </c>
      <c r="B1424" s="1" t="n">
        <v>45338</v>
      </c>
      <c r="C1424" s="1" t="n">
        <v>45742</v>
      </c>
      <c r="D1424" t="inlineStr">
        <is>
          <t>JÄMTLANDS LÄN</t>
        </is>
      </c>
      <c r="E1424" t="inlineStr">
        <is>
          <t>RAGUNDA</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6687-2024</t>
        </is>
      </c>
      <c r="B1425" s="1" t="n">
        <v>45341</v>
      </c>
      <c r="C1425" s="1" t="n">
        <v>45742</v>
      </c>
      <c r="D1425" t="inlineStr">
        <is>
          <t>JÄMTLANDS LÄN</t>
        </is>
      </c>
      <c r="E1425" t="inlineStr">
        <is>
          <t>RAGUNDA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6694-2024</t>
        </is>
      </c>
      <c r="B1426" s="1" t="n">
        <v>45341</v>
      </c>
      <c r="C1426" s="1" t="n">
        <v>45742</v>
      </c>
      <c r="D1426" t="inlineStr">
        <is>
          <t>JÄMTLANDS LÄN</t>
        </is>
      </c>
      <c r="E1426" t="inlineStr">
        <is>
          <t>RAGUNDA</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6688-2024</t>
        </is>
      </c>
      <c r="B1427" s="1" t="n">
        <v>45341</v>
      </c>
      <c r="C1427" s="1" t="n">
        <v>45742</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6736-2024</t>
        </is>
      </c>
      <c r="B1428" s="1" t="n">
        <v>45342</v>
      </c>
      <c r="C1428" s="1" t="n">
        <v>45742</v>
      </c>
      <c r="D1428" t="inlineStr">
        <is>
          <t>JÄMTLANDS LÄN</t>
        </is>
      </c>
      <c r="E1428" t="inlineStr">
        <is>
          <t>RAGUNDA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6902-2024</t>
        </is>
      </c>
      <c r="B1429" s="1" t="n">
        <v>45342</v>
      </c>
      <c r="C1429" s="1" t="n">
        <v>45742</v>
      </c>
      <c r="D1429" t="inlineStr">
        <is>
          <t>JÄMTLANDS LÄN</t>
        </is>
      </c>
      <c r="E1429" t="inlineStr">
        <is>
          <t>RAGUNDA</t>
        </is>
      </c>
      <c r="F1429" t="inlineStr">
        <is>
          <t>SCA</t>
        </is>
      </c>
      <c r="G1429" t="n">
        <v>18.7</v>
      </c>
      <c r="H1429" t="n">
        <v>0</v>
      </c>
      <c r="I1429" t="n">
        <v>0</v>
      </c>
      <c r="J1429" t="n">
        <v>0</v>
      </c>
      <c r="K1429" t="n">
        <v>0</v>
      </c>
      <c r="L1429" t="n">
        <v>0</v>
      </c>
      <c r="M1429" t="n">
        <v>0</v>
      </c>
      <c r="N1429" t="n">
        <v>0</v>
      </c>
      <c r="O1429" t="n">
        <v>0</v>
      </c>
      <c r="P1429" t="n">
        <v>0</v>
      </c>
      <c r="Q1429" t="n">
        <v>0</v>
      </c>
      <c r="R1429" s="2" t="inlineStr"/>
    </row>
    <row r="1430" ht="15" customHeight="1">
      <c r="A1430" t="inlineStr">
        <is>
          <t>A 6905-2024</t>
        </is>
      </c>
      <c r="B1430" s="1" t="n">
        <v>45342</v>
      </c>
      <c r="C1430" s="1" t="n">
        <v>45742</v>
      </c>
      <c r="D1430" t="inlineStr">
        <is>
          <t>JÄMTLANDS LÄN</t>
        </is>
      </c>
      <c r="E1430" t="inlineStr">
        <is>
          <t>RAGUNDA</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6929-2024</t>
        </is>
      </c>
      <c r="B1431" s="1" t="n">
        <v>45343</v>
      </c>
      <c r="C1431" s="1" t="n">
        <v>45742</v>
      </c>
      <c r="D1431" t="inlineStr">
        <is>
          <t>JÄMTLANDS LÄN</t>
        </is>
      </c>
      <c r="E1431" t="inlineStr">
        <is>
          <t>RAGUNDA</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7279-2024</t>
        </is>
      </c>
      <c r="B1432" s="1" t="n">
        <v>45344</v>
      </c>
      <c r="C1432" s="1" t="n">
        <v>45742</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7281-2024</t>
        </is>
      </c>
      <c r="B1433" s="1" t="n">
        <v>45344</v>
      </c>
      <c r="C1433" s="1" t="n">
        <v>45742</v>
      </c>
      <c r="D1433" t="inlineStr">
        <is>
          <t>JÄMTLANDS LÄN</t>
        </is>
      </c>
      <c r="E1433" t="inlineStr">
        <is>
          <t>RAGUNDA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7285-2024</t>
        </is>
      </c>
      <c r="B1434" s="1" t="n">
        <v>45344</v>
      </c>
      <c r="C1434" s="1" t="n">
        <v>45742</v>
      </c>
      <c r="D1434" t="inlineStr">
        <is>
          <t>JÄMTLANDS LÄN</t>
        </is>
      </c>
      <c r="E1434" t="inlineStr">
        <is>
          <t>RAGUNDA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7280-2024</t>
        </is>
      </c>
      <c r="B1435" s="1" t="n">
        <v>45344</v>
      </c>
      <c r="C1435" s="1" t="n">
        <v>45742</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7284-2024</t>
        </is>
      </c>
      <c r="B1436" s="1" t="n">
        <v>45344</v>
      </c>
      <c r="C1436" s="1" t="n">
        <v>45742</v>
      </c>
      <c r="D1436" t="inlineStr">
        <is>
          <t>JÄMTLANDS LÄN</t>
        </is>
      </c>
      <c r="E1436" t="inlineStr">
        <is>
          <t>RAGUNDA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7850-2024</t>
        </is>
      </c>
      <c r="B1437" s="1" t="n">
        <v>45350</v>
      </c>
      <c r="C1437" s="1" t="n">
        <v>45742</v>
      </c>
      <c r="D1437" t="inlineStr">
        <is>
          <t>JÄMTLANDS LÄN</t>
        </is>
      </c>
      <c r="E1437" t="inlineStr">
        <is>
          <t>RAGUNDA</t>
        </is>
      </c>
      <c r="F1437" t="inlineStr">
        <is>
          <t>SCA</t>
        </is>
      </c>
      <c r="G1437" t="n">
        <v>27.8</v>
      </c>
      <c r="H1437" t="n">
        <v>0</v>
      </c>
      <c r="I1437" t="n">
        <v>0</v>
      </c>
      <c r="J1437" t="n">
        <v>0</v>
      </c>
      <c r="K1437" t="n">
        <v>0</v>
      </c>
      <c r="L1437" t="n">
        <v>0</v>
      </c>
      <c r="M1437" t="n">
        <v>0</v>
      </c>
      <c r="N1437" t="n">
        <v>0</v>
      </c>
      <c r="O1437" t="n">
        <v>0</v>
      </c>
      <c r="P1437" t="n">
        <v>0</v>
      </c>
      <c r="Q1437" t="n">
        <v>0</v>
      </c>
      <c r="R1437" s="2" t="inlineStr"/>
    </row>
    <row r="1438" ht="15" customHeight="1">
      <c r="A1438" t="inlineStr">
        <is>
          <t>A 7855-2024</t>
        </is>
      </c>
      <c r="B1438" s="1" t="n">
        <v>45350</v>
      </c>
      <c r="C1438" s="1" t="n">
        <v>45742</v>
      </c>
      <c r="D1438" t="inlineStr">
        <is>
          <t>JÄMTLANDS LÄN</t>
        </is>
      </c>
      <c r="E1438" t="inlineStr">
        <is>
          <t>RAGUNDA</t>
        </is>
      </c>
      <c r="F1438" t="inlineStr">
        <is>
          <t>SCA</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8241-2024</t>
        </is>
      </c>
      <c r="B1439" s="1" t="n">
        <v>45352</v>
      </c>
      <c r="C1439" s="1" t="n">
        <v>45742</v>
      </c>
      <c r="D1439" t="inlineStr">
        <is>
          <t>JÄMTLANDS LÄN</t>
        </is>
      </c>
      <c r="E1439" t="inlineStr">
        <is>
          <t>RAGUNDA</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8243-2024</t>
        </is>
      </c>
      <c r="B1440" s="1" t="n">
        <v>45352</v>
      </c>
      <c r="C1440" s="1" t="n">
        <v>45742</v>
      </c>
      <c r="D1440" t="inlineStr">
        <is>
          <t>JÄMTLANDS LÄN</t>
        </is>
      </c>
      <c r="E1440" t="inlineStr">
        <is>
          <t>RAGUNDA</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8639-2024</t>
        </is>
      </c>
      <c r="B1441" s="1" t="n">
        <v>45356</v>
      </c>
      <c r="C1441" s="1" t="n">
        <v>45742</v>
      </c>
      <c r="D1441" t="inlineStr">
        <is>
          <t>JÄMTLANDS LÄN</t>
        </is>
      </c>
      <c r="E1441" t="inlineStr">
        <is>
          <t>RAGUNDA</t>
        </is>
      </c>
      <c r="F1441" t="inlineStr">
        <is>
          <t>SCA</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8643-2024</t>
        </is>
      </c>
      <c r="B1442" s="1" t="n">
        <v>45356</v>
      </c>
      <c r="C1442" s="1" t="n">
        <v>45742</v>
      </c>
      <c r="D1442" t="inlineStr">
        <is>
          <t>JÄMTLANDS LÄN</t>
        </is>
      </c>
      <c r="E1442" t="inlineStr">
        <is>
          <t>RAGUNDA</t>
        </is>
      </c>
      <c r="F1442" t="inlineStr">
        <is>
          <t>SCA</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8644-2024</t>
        </is>
      </c>
      <c r="B1443" s="1" t="n">
        <v>45356</v>
      </c>
      <c r="C1443" s="1" t="n">
        <v>45742</v>
      </c>
      <c r="D1443" t="inlineStr">
        <is>
          <t>JÄMTLANDS LÄN</t>
        </is>
      </c>
      <c r="E1443" t="inlineStr">
        <is>
          <t>RAGUNDA</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8642-2024</t>
        </is>
      </c>
      <c r="B1444" s="1" t="n">
        <v>45356</v>
      </c>
      <c r="C1444" s="1" t="n">
        <v>45742</v>
      </c>
      <c r="D1444" t="inlineStr">
        <is>
          <t>JÄMTLANDS LÄN</t>
        </is>
      </c>
      <c r="E1444" t="inlineStr">
        <is>
          <t>RAGUNDA</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8654-2024</t>
        </is>
      </c>
      <c r="B1445" s="1" t="n">
        <v>45356</v>
      </c>
      <c r="C1445" s="1" t="n">
        <v>45742</v>
      </c>
      <c r="D1445" t="inlineStr">
        <is>
          <t>JÄMTLANDS LÄN</t>
        </is>
      </c>
      <c r="E1445" t="inlineStr">
        <is>
          <t>RAGUNDA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8886-2024</t>
        </is>
      </c>
      <c r="B1446" s="1" t="n">
        <v>45357</v>
      </c>
      <c r="C1446" s="1" t="n">
        <v>45742</v>
      </c>
      <c r="D1446" t="inlineStr">
        <is>
          <t>JÄMTLANDS LÄN</t>
        </is>
      </c>
      <c r="E1446" t="inlineStr">
        <is>
          <t>RAGUNDA</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9326-2024</t>
        </is>
      </c>
      <c r="B1447" s="1" t="n">
        <v>45358</v>
      </c>
      <c r="C1447" s="1" t="n">
        <v>45742</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9325-2024</t>
        </is>
      </c>
      <c r="B1448" s="1" t="n">
        <v>45358</v>
      </c>
      <c r="C1448" s="1" t="n">
        <v>45742</v>
      </c>
      <c r="D1448" t="inlineStr">
        <is>
          <t>JÄMTLANDS LÄN</t>
        </is>
      </c>
      <c r="E1448" t="inlineStr">
        <is>
          <t>RAGUNDA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9560-2024</t>
        </is>
      </c>
      <c r="B1449" s="1" t="n">
        <v>45360</v>
      </c>
      <c r="C1449" s="1" t="n">
        <v>45742</v>
      </c>
      <c r="D1449" t="inlineStr">
        <is>
          <t>JÄMTLANDS LÄN</t>
        </is>
      </c>
      <c r="E1449" t="inlineStr">
        <is>
          <t>RAGUNDA</t>
        </is>
      </c>
      <c r="F1449" t="inlineStr">
        <is>
          <t>SCA</t>
        </is>
      </c>
      <c r="G1449" t="n">
        <v>21.7</v>
      </c>
      <c r="H1449" t="n">
        <v>0</v>
      </c>
      <c r="I1449" t="n">
        <v>0</v>
      </c>
      <c r="J1449" t="n">
        <v>0</v>
      </c>
      <c r="K1449" t="n">
        <v>0</v>
      </c>
      <c r="L1449" t="n">
        <v>0</v>
      </c>
      <c r="M1449" t="n">
        <v>0</v>
      </c>
      <c r="N1449" t="n">
        <v>0</v>
      </c>
      <c r="O1449" t="n">
        <v>0</v>
      </c>
      <c r="P1449" t="n">
        <v>0</v>
      </c>
      <c r="Q1449" t="n">
        <v>0</v>
      </c>
      <c r="R1449" s="2" t="inlineStr"/>
    </row>
    <row r="1450" ht="15" customHeight="1">
      <c r="A1450" t="inlineStr">
        <is>
          <t>A 10196-2024</t>
        </is>
      </c>
      <c r="B1450" s="1" t="n">
        <v>45364</v>
      </c>
      <c r="C1450" s="1" t="n">
        <v>45742</v>
      </c>
      <c r="D1450" t="inlineStr">
        <is>
          <t>JÄMTLANDS LÄN</t>
        </is>
      </c>
      <c r="E1450" t="inlineStr">
        <is>
          <t>RAGUNDA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10197-2024</t>
        </is>
      </c>
      <c r="B1451" s="1" t="n">
        <v>45364</v>
      </c>
      <c r="C1451" s="1" t="n">
        <v>45742</v>
      </c>
      <c r="D1451" t="inlineStr">
        <is>
          <t>JÄMTLANDS LÄN</t>
        </is>
      </c>
      <c r="E1451" t="inlineStr">
        <is>
          <t>RAGUNDA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10205-2024</t>
        </is>
      </c>
      <c r="B1452" s="1" t="n">
        <v>45364</v>
      </c>
      <c r="C1452" s="1" t="n">
        <v>45742</v>
      </c>
      <c r="D1452" t="inlineStr">
        <is>
          <t>JÄMTLANDS LÄN</t>
        </is>
      </c>
      <c r="E1452" t="inlineStr">
        <is>
          <t>RAGUNDA</t>
        </is>
      </c>
      <c r="G1452" t="n">
        <v>25.3</v>
      </c>
      <c r="H1452" t="n">
        <v>0</v>
      </c>
      <c r="I1452" t="n">
        <v>0</v>
      </c>
      <c r="J1452" t="n">
        <v>0</v>
      </c>
      <c r="K1452" t="n">
        <v>0</v>
      </c>
      <c r="L1452" t="n">
        <v>0</v>
      </c>
      <c r="M1452" t="n">
        <v>0</v>
      </c>
      <c r="N1452" t="n">
        <v>0</v>
      </c>
      <c r="O1452" t="n">
        <v>0</v>
      </c>
      <c r="P1452" t="n">
        <v>0</v>
      </c>
      <c r="Q1452" t="n">
        <v>0</v>
      </c>
      <c r="R1452" s="2" t="inlineStr"/>
    </row>
    <row r="1453" ht="15" customHeight="1">
      <c r="A1453" t="inlineStr">
        <is>
          <t>A 10194-2024</t>
        </is>
      </c>
      <c r="B1453" s="1" t="n">
        <v>45364</v>
      </c>
      <c r="C1453" s="1" t="n">
        <v>45742</v>
      </c>
      <c r="D1453" t="inlineStr">
        <is>
          <t>JÄMTLANDS LÄN</t>
        </is>
      </c>
      <c r="E1453" t="inlineStr">
        <is>
          <t>RAGUNDA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10217-2024</t>
        </is>
      </c>
      <c r="B1454" s="1" t="n">
        <v>45364</v>
      </c>
      <c r="C1454" s="1" t="n">
        <v>45742</v>
      </c>
      <c r="D1454" t="inlineStr">
        <is>
          <t>JÄMTLANDS LÄN</t>
        </is>
      </c>
      <c r="E1454" t="inlineStr">
        <is>
          <t>RAGUNDA</t>
        </is>
      </c>
      <c r="F1454" t="inlineStr">
        <is>
          <t>SCA</t>
        </is>
      </c>
      <c r="G1454" t="n">
        <v>4.6</v>
      </c>
      <c r="H1454" t="n">
        <v>0</v>
      </c>
      <c r="I1454" t="n">
        <v>0</v>
      </c>
      <c r="J1454" t="n">
        <v>0</v>
      </c>
      <c r="K1454" t="n">
        <v>0</v>
      </c>
      <c r="L1454" t="n">
        <v>0</v>
      </c>
      <c r="M1454" t="n">
        <v>0</v>
      </c>
      <c r="N1454" t="n">
        <v>0</v>
      </c>
      <c r="O1454" t="n">
        <v>0</v>
      </c>
      <c r="P1454" t="n">
        <v>0</v>
      </c>
      <c r="Q1454" t="n">
        <v>0</v>
      </c>
      <c r="R1454" s="2" t="inlineStr"/>
      <c r="U1454">
        <f>HYPERLINK("https://klasma.github.io/Logging_2303/knärot/A 10217-2024 karta knärot.png", "A 10217-2024")</f>
        <v/>
      </c>
      <c r="V1454">
        <f>HYPERLINK("https://klasma.github.io/Logging_2303/klagomål/A 10217-2024 FSC-klagomål.docx", "A 10217-2024")</f>
        <v/>
      </c>
      <c r="W1454">
        <f>HYPERLINK("https://klasma.github.io/Logging_2303/klagomålsmail/A 10217-2024 FSC-klagomål mail.docx", "A 10217-2024")</f>
        <v/>
      </c>
      <c r="X1454">
        <f>HYPERLINK("https://klasma.github.io/Logging_2303/tillsyn/A 10217-2024 tillsynsbegäran.docx", "A 10217-2024")</f>
        <v/>
      </c>
      <c r="Y1454">
        <f>HYPERLINK("https://klasma.github.io/Logging_2303/tillsynsmail/A 10217-2024 tillsynsbegäran mail.docx", "A 10217-2024")</f>
        <v/>
      </c>
    </row>
    <row r="1455" ht="15" customHeight="1">
      <c r="A1455" t="inlineStr">
        <is>
          <t>A 10644-2024</t>
        </is>
      </c>
      <c r="B1455" s="1" t="n">
        <v>45367</v>
      </c>
      <c r="C1455" s="1" t="n">
        <v>45742</v>
      </c>
      <c r="D1455" t="inlineStr">
        <is>
          <t>JÄMTLANDS LÄN</t>
        </is>
      </c>
      <c r="E1455" t="inlineStr">
        <is>
          <t>RAGUNDA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10639-2024</t>
        </is>
      </c>
      <c r="B1456" s="1" t="n">
        <v>45367</v>
      </c>
      <c r="C1456" s="1" t="n">
        <v>45742</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10610-2024</t>
        </is>
      </c>
      <c r="B1457" s="1" t="n">
        <v>45367</v>
      </c>
      <c r="C1457" s="1" t="n">
        <v>45742</v>
      </c>
      <c r="D1457" t="inlineStr">
        <is>
          <t>JÄMTLANDS LÄN</t>
        </is>
      </c>
      <c r="E1457" t="inlineStr">
        <is>
          <t>RAGUNDA</t>
        </is>
      </c>
      <c r="F1457" t="inlineStr">
        <is>
          <t>SCA</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10614-2024</t>
        </is>
      </c>
      <c r="B1458" s="1" t="n">
        <v>45367</v>
      </c>
      <c r="C1458" s="1" t="n">
        <v>45742</v>
      </c>
      <c r="D1458" t="inlineStr">
        <is>
          <t>JÄMTLANDS LÄN</t>
        </is>
      </c>
      <c r="E1458" t="inlineStr">
        <is>
          <t>RAGUNDA</t>
        </is>
      </c>
      <c r="F1458" t="inlineStr">
        <is>
          <t>SCA</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10609-2024</t>
        </is>
      </c>
      <c r="B1459" s="1" t="n">
        <v>45367</v>
      </c>
      <c r="C1459" s="1" t="n">
        <v>45742</v>
      </c>
      <c r="D1459" t="inlineStr">
        <is>
          <t>JÄMTLANDS LÄN</t>
        </is>
      </c>
      <c r="E1459" t="inlineStr">
        <is>
          <t>RAGUNDA</t>
        </is>
      </c>
      <c r="F1459" t="inlineStr">
        <is>
          <t>SCA</t>
        </is>
      </c>
      <c r="G1459" t="n">
        <v>20.3</v>
      </c>
      <c r="H1459" t="n">
        <v>0</v>
      </c>
      <c r="I1459" t="n">
        <v>0</v>
      </c>
      <c r="J1459" t="n">
        <v>0</v>
      </c>
      <c r="K1459" t="n">
        <v>0</v>
      </c>
      <c r="L1459" t="n">
        <v>0</v>
      </c>
      <c r="M1459" t="n">
        <v>0</v>
      </c>
      <c r="N1459" t="n">
        <v>0</v>
      </c>
      <c r="O1459" t="n">
        <v>0</v>
      </c>
      <c r="P1459" t="n">
        <v>0</v>
      </c>
      <c r="Q1459" t="n">
        <v>0</v>
      </c>
      <c r="R1459" s="2" t="inlineStr"/>
    </row>
    <row r="1460" ht="15" customHeight="1">
      <c r="A1460" t="inlineStr">
        <is>
          <t>A 10613-2024</t>
        </is>
      </c>
      <c r="B1460" s="1" t="n">
        <v>45367</v>
      </c>
      <c r="C1460" s="1" t="n">
        <v>45742</v>
      </c>
      <c r="D1460" t="inlineStr">
        <is>
          <t>JÄMTLANDS LÄN</t>
        </is>
      </c>
      <c r="E1460" t="inlineStr">
        <is>
          <t>RAGUNDA</t>
        </is>
      </c>
      <c r="F1460" t="inlineStr">
        <is>
          <t>SCA</t>
        </is>
      </c>
      <c r="G1460" t="n">
        <v>18.2</v>
      </c>
      <c r="H1460" t="n">
        <v>0</v>
      </c>
      <c r="I1460" t="n">
        <v>0</v>
      </c>
      <c r="J1460" t="n">
        <v>0</v>
      </c>
      <c r="K1460" t="n">
        <v>0</v>
      </c>
      <c r="L1460" t="n">
        <v>0</v>
      </c>
      <c r="M1460" t="n">
        <v>0</v>
      </c>
      <c r="N1460" t="n">
        <v>0</v>
      </c>
      <c r="O1460" t="n">
        <v>0</v>
      </c>
      <c r="P1460" t="n">
        <v>0</v>
      </c>
      <c r="Q1460" t="n">
        <v>0</v>
      </c>
      <c r="R1460" s="2" t="inlineStr"/>
    </row>
    <row r="1461" ht="15" customHeight="1">
      <c r="A1461" t="inlineStr">
        <is>
          <t>A 10641-2024</t>
        </is>
      </c>
      <c r="B1461" s="1" t="n">
        <v>45367</v>
      </c>
      <c r="C1461" s="1" t="n">
        <v>45742</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10867-2024</t>
        </is>
      </c>
      <c r="B1462" s="1" t="n">
        <v>45370</v>
      </c>
      <c r="C1462" s="1" t="n">
        <v>45742</v>
      </c>
      <c r="D1462" t="inlineStr">
        <is>
          <t>JÄMTLANDS LÄN</t>
        </is>
      </c>
      <c r="E1462" t="inlineStr">
        <is>
          <t>RAGUNDA</t>
        </is>
      </c>
      <c r="F1462" t="inlineStr">
        <is>
          <t>SCA</t>
        </is>
      </c>
      <c r="G1462" t="n">
        <v>20.8</v>
      </c>
      <c r="H1462" t="n">
        <v>0</v>
      </c>
      <c r="I1462" t="n">
        <v>0</v>
      </c>
      <c r="J1462" t="n">
        <v>0</v>
      </c>
      <c r="K1462" t="n">
        <v>0</v>
      </c>
      <c r="L1462" t="n">
        <v>0</v>
      </c>
      <c r="M1462" t="n">
        <v>0</v>
      </c>
      <c r="N1462" t="n">
        <v>0</v>
      </c>
      <c r="O1462" t="n">
        <v>0</v>
      </c>
      <c r="P1462" t="n">
        <v>0</v>
      </c>
      <c r="Q1462" t="n">
        <v>0</v>
      </c>
      <c r="R1462" s="2" t="inlineStr"/>
    </row>
    <row r="1463" ht="15" customHeight="1">
      <c r="A1463" t="inlineStr">
        <is>
          <t>A 10920-2024</t>
        </is>
      </c>
      <c r="B1463" s="1" t="n">
        <v>45370</v>
      </c>
      <c r="C1463" s="1" t="n">
        <v>45742</v>
      </c>
      <c r="D1463" t="inlineStr">
        <is>
          <t>JÄMTLANDS LÄN</t>
        </is>
      </c>
      <c r="E1463" t="inlineStr">
        <is>
          <t>RAGUNDA</t>
        </is>
      </c>
      <c r="G1463" t="n">
        <v>10.8</v>
      </c>
      <c r="H1463" t="n">
        <v>0</v>
      </c>
      <c r="I1463" t="n">
        <v>0</v>
      </c>
      <c r="J1463" t="n">
        <v>0</v>
      </c>
      <c r="K1463" t="n">
        <v>0</v>
      </c>
      <c r="L1463" t="n">
        <v>0</v>
      </c>
      <c r="M1463" t="n">
        <v>0</v>
      </c>
      <c r="N1463" t="n">
        <v>0</v>
      </c>
      <c r="O1463" t="n">
        <v>0</v>
      </c>
      <c r="P1463" t="n">
        <v>0</v>
      </c>
      <c r="Q1463" t="n">
        <v>0</v>
      </c>
      <c r="R1463" s="2" t="inlineStr"/>
    </row>
    <row r="1464" ht="15" customHeight="1">
      <c r="A1464" t="inlineStr">
        <is>
          <t>A 11547-2024</t>
        </is>
      </c>
      <c r="B1464" s="1" t="n">
        <v>45372</v>
      </c>
      <c r="C1464" s="1" t="n">
        <v>45742</v>
      </c>
      <c r="D1464" t="inlineStr">
        <is>
          <t>JÄMTLANDS LÄN</t>
        </is>
      </c>
      <c r="E1464" t="inlineStr">
        <is>
          <t>RAGUNDA</t>
        </is>
      </c>
      <c r="F1464" t="inlineStr">
        <is>
          <t>SCA</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11551-2024</t>
        </is>
      </c>
      <c r="B1465" s="1" t="n">
        <v>45372</v>
      </c>
      <c r="C1465" s="1" t="n">
        <v>45742</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11550-2024</t>
        </is>
      </c>
      <c r="B1466" s="1" t="n">
        <v>45372</v>
      </c>
      <c r="C1466" s="1" t="n">
        <v>45742</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11541-2024</t>
        </is>
      </c>
      <c r="B1467" s="1" t="n">
        <v>45372</v>
      </c>
      <c r="C1467" s="1" t="n">
        <v>45742</v>
      </c>
      <c r="D1467" t="inlineStr">
        <is>
          <t>JÄMTLANDS LÄN</t>
        </is>
      </c>
      <c r="E1467" t="inlineStr">
        <is>
          <t>RAGUNDA</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11780-2024</t>
        </is>
      </c>
      <c r="B1468" s="1" t="n">
        <v>45374</v>
      </c>
      <c r="C1468" s="1" t="n">
        <v>45742</v>
      </c>
      <c r="D1468" t="inlineStr">
        <is>
          <t>JÄMTLANDS LÄN</t>
        </is>
      </c>
      <c r="E1468" t="inlineStr">
        <is>
          <t>RAGUNDA</t>
        </is>
      </c>
      <c r="G1468" t="n">
        <v>14.6</v>
      </c>
      <c r="H1468" t="n">
        <v>0</v>
      </c>
      <c r="I1468" t="n">
        <v>0</v>
      </c>
      <c r="J1468" t="n">
        <v>0</v>
      </c>
      <c r="K1468" t="n">
        <v>0</v>
      </c>
      <c r="L1468" t="n">
        <v>0</v>
      </c>
      <c r="M1468" t="n">
        <v>0</v>
      </c>
      <c r="N1468" t="n">
        <v>0</v>
      </c>
      <c r="O1468" t="n">
        <v>0</v>
      </c>
      <c r="P1468" t="n">
        <v>0</v>
      </c>
      <c r="Q1468" t="n">
        <v>0</v>
      </c>
      <c r="R1468" s="2" t="inlineStr"/>
    </row>
    <row r="1469" ht="15" customHeight="1">
      <c r="A1469" t="inlineStr">
        <is>
          <t>A 11990-2024</t>
        </is>
      </c>
      <c r="B1469" s="1" t="n">
        <v>45376</v>
      </c>
      <c r="C1469" s="1" t="n">
        <v>45742</v>
      </c>
      <c r="D1469" t="inlineStr">
        <is>
          <t>JÄMTLANDS LÄN</t>
        </is>
      </c>
      <c r="E1469" t="inlineStr">
        <is>
          <t>RAGUNDA</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12201-2024</t>
        </is>
      </c>
      <c r="B1470" s="1" t="n">
        <v>45377</v>
      </c>
      <c r="C1470" s="1" t="n">
        <v>45742</v>
      </c>
      <c r="D1470" t="inlineStr">
        <is>
          <t>JÄMTLANDS LÄN</t>
        </is>
      </c>
      <c r="E1470" t="inlineStr">
        <is>
          <t>RAGUNDA</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12362-2024</t>
        </is>
      </c>
      <c r="B1471" s="1" t="n">
        <v>45378</v>
      </c>
      <c r="C1471" s="1" t="n">
        <v>45742</v>
      </c>
      <c r="D1471" t="inlineStr">
        <is>
          <t>JÄMTLANDS LÄN</t>
        </is>
      </c>
      <c r="E1471" t="inlineStr">
        <is>
          <t>RAGUNDA</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12585-2024</t>
        </is>
      </c>
      <c r="B1472" s="1" t="n">
        <v>45379</v>
      </c>
      <c r="C1472" s="1" t="n">
        <v>45742</v>
      </c>
      <c r="D1472" t="inlineStr">
        <is>
          <t>JÄMTLANDS LÄN</t>
        </is>
      </c>
      <c r="E1472" t="inlineStr">
        <is>
          <t>RAGUNDA</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12653-2024</t>
        </is>
      </c>
      <c r="B1473" s="1" t="n">
        <v>45384</v>
      </c>
      <c r="C1473" s="1" t="n">
        <v>45742</v>
      </c>
      <c r="D1473" t="inlineStr">
        <is>
          <t>JÄMTLANDS LÄN</t>
        </is>
      </c>
      <c r="E1473" t="inlineStr">
        <is>
          <t>RAGUNDA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12660-2024</t>
        </is>
      </c>
      <c r="B1474" s="1" t="n">
        <v>45384</v>
      </c>
      <c r="C1474" s="1" t="n">
        <v>45742</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12867-2024</t>
        </is>
      </c>
      <c r="B1475" s="1" t="n">
        <v>45385</v>
      </c>
      <c r="C1475" s="1" t="n">
        <v>45742</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12868-2024</t>
        </is>
      </c>
      <c r="B1476" s="1" t="n">
        <v>45385</v>
      </c>
      <c r="C1476" s="1" t="n">
        <v>45742</v>
      </c>
      <c r="D1476" t="inlineStr">
        <is>
          <t>JÄMTLANDS LÄN</t>
        </is>
      </c>
      <c r="E1476" t="inlineStr">
        <is>
          <t>RAGUNDA</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13299-2024</t>
        </is>
      </c>
      <c r="B1477" s="1" t="n">
        <v>45386</v>
      </c>
      <c r="C1477" s="1" t="n">
        <v>45742</v>
      </c>
      <c r="D1477" t="inlineStr">
        <is>
          <t>JÄMTLANDS LÄN</t>
        </is>
      </c>
      <c r="E1477" t="inlineStr">
        <is>
          <t>RAGUNDA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13335-2024</t>
        </is>
      </c>
      <c r="B1478" s="1" t="n">
        <v>45387</v>
      </c>
      <c r="C1478" s="1" t="n">
        <v>45742</v>
      </c>
      <c r="D1478" t="inlineStr">
        <is>
          <t>JÄMTLANDS LÄN</t>
        </is>
      </c>
      <c r="E1478" t="inlineStr">
        <is>
          <t>RAGUNDA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13336-2024</t>
        </is>
      </c>
      <c r="B1479" s="1" t="n">
        <v>45387</v>
      </c>
      <c r="C1479" s="1" t="n">
        <v>45742</v>
      </c>
      <c r="D1479" t="inlineStr">
        <is>
          <t>JÄMTLANDS LÄN</t>
        </is>
      </c>
      <c r="E1479" t="inlineStr">
        <is>
          <t>RAGUNDA</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13322-2024</t>
        </is>
      </c>
      <c r="B1480" s="1" t="n">
        <v>45386</v>
      </c>
      <c r="C1480" s="1" t="n">
        <v>45742</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13334-2024</t>
        </is>
      </c>
      <c r="B1481" s="1" t="n">
        <v>45386</v>
      </c>
      <c r="C1481" s="1" t="n">
        <v>45742</v>
      </c>
      <c r="D1481" t="inlineStr">
        <is>
          <t>JÄMTLANDS LÄN</t>
        </is>
      </c>
      <c r="E1481" t="inlineStr">
        <is>
          <t>RAGUNDA</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13547-2024</t>
        </is>
      </c>
      <c r="B1482" s="1" t="n">
        <v>45388</v>
      </c>
      <c r="C1482" s="1" t="n">
        <v>45742</v>
      </c>
      <c r="D1482" t="inlineStr">
        <is>
          <t>JÄMTLANDS LÄN</t>
        </is>
      </c>
      <c r="E1482" t="inlineStr">
        <is>
          <t>RAGUNDA</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13628-2024</t>
        </is>
      </c>
      <c r="B1483" s="1" t="n">
        <v>45387</v>
      </c>
      <c r="C1483" s="1" t="n">
        <v>45742</v>
      </c>
      <c r="D1483" t="inlineStr">
        <is>
          <t>JÄMTLANDS LÄN</t>
        </is>
      </c>
      <c r="E1483" t="inlineStr">
        <is>
          <t>RAGUNDA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13767-2024</t>
        </is>
      </c>
      <c r="B1484" s="1" t="n">
        <v>45390</v>
      </c>
      <c r="C1484" s="1" t="n">
        <v>45742</v>
      </c>
      <c r="D1484" t="inlineStr">
        <is>
          <t>JÄMTLANDS LÄN</t>
        </is>
      </c>
      <c r="E1484" t="inlineStr">
        <is>
          <t>RAGUNDA</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13935-2024</t>
        </is>
      </c>
      <c r="B1485" s="1" t="n">
        <v>45392</v>
      </c>
      <c r="C1485" s="1" t="n">
        <v>45742</v>
      </c>
      <c r="D1485" t="inlineStr">
        <is>
          <t>JÄMTLANDS LÄN</t>
        </is>
      </c>
      <c r="E1485" t="inlineStr">
        <is>
          <t>RAGUNDA</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14156-2024</t>
        </is>
      </c>
      <c r="B1486" s="1" t="n">
        <v>45392</v>
      </c>
      <c r="C1486" s="1" t="n">
        <v>45742</v>
      </c>
      <c r="D1486" t="inlineStr">
        <is>
          <t>JÄMTLANDS LÄN</t>
        </is>
      </c>
      <c r="E1486" t="inlineStr">
        <is>
          <t>RAGUNDA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14016-2024</t>
        </is>
      </c>
      <c r="B1487" s="1" t="n">
        <v>45392</v>
      </c>
      <c r="C1487" s="1" t="n">
        <v>45742</v>
      </c>
      <c r="D1487" t="inlineStr">
        <is>
          <t>JÄMTLANDS LÄN</t>
        </is>
      </c>
      <c r="E1487" t="inlineStr">
        <is>
          <t>RAGUNDA</t>
        </is>
      </c>
      <c r="F1487" t="inlineStr">
        <is>
          <t>Kyrkan</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14151-2024</t>
        </is>
      </c>
      <c r="B1488" s="1" t="n">
        <v>45393</v>
      </c>
      <c r="C1488" s="1" t="n">
        <v>45742</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14158-2024</t>
        </is>
      </c>
      <c r="B1489" s="1" t="n">
        <v>45392</v>
      </c>
      <c r="C1489" s="1" t="n">
        <v>45742</v>
      </c>
      <c r="D1489" t="inlineStr">
        <is>
          <t>JÄMTLANDS LÄN</t>
        </is>
      </c>
      <c r="E1489" t="inlineStr">
        <is>
          <t>RAGUNDA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14157-2024</t>
        </is>
      </c>
      <c r="B1490" s="1" t="n">
        <v>45393</v>
      </c>
      <c r="C1490" s="1" t="n">
        <v>45742</v>
      </c>
      <c r="D1490" t="inlineStr">
        <is>
          <t>JÄMTLANDS LÄN</t>
        </is>
      </c>
      <c r="E1490" t="inlineStr">
        <is>
          <t>RAGUNDA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14368-2024</t>
        </is>
      </c>
      <c r="B1491" s="1" t="n">
        <v>45394</v>
      </c>
      <c r="C1491" s="1" t="n">
        <v>45742</v>
      </c>
      <c r="D1491" t="inlineStr">
        <is>
          <t>JÄMTLANDS LÄN</t>
        </is>
      </c>
      <c r="E1491" t="inlineStr">
        <is>
          <t>RAGUNDA</t>
        </is>
      </c>
      <c r="F1491" t="inlineStr">
        <is>
          <t>Naturvårdsverket</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14369-2024</t>
        </is>
      </c>
      <c r="B1492" s="1" t="n">
        <v>45394</v>
      </c>
      <c r="C1492" s="1" t="n">
        <v>45742</v>
      </c>
      <c r="D1492" t="inlineStr">
        <is>
          <t>JÄMTLANDS LÄN</t>
        </is>
      </c>
      <c r="E1492" t="inlineStr">
        <is>
          <t>RAGUNDA</t>
        </is>
      </c>
      <c r="F1492" t="inlineStr">
        <is>
          <t>Naturvårdsverket</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14566-2024</t>
        </is>
      </c>
      <c r="B1493" s="1" t="n">
        <v>45395</v>
      </c>
      <c r="C1493" s="1" t="n">
        <v>45742</v>
      </c>
      <c r="D1493" t="inlineStr">
        <is>
          <t>JÄMTLANDS LÄN</t>
        </is>
      </c>
      <c r="E1493" t="inlineStr">
        <is>
          <t>RAGUNDA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14540-2024</t>
        </is>
      </c>
      <c r="B1494" s="1" t="n">
        <v>45394</v>
      </c>
      <c r="C1494" s="1" t="n">
        <v>45742</v>
      </c>
      <c r="D1494" t="inlineStr">
        <is>
          <t>JÄMTLANDS LÄN</t>
        </is>
      </c>
      <c r="E1494" t="inlineStr">
        <is>
          <t>RAGUNDA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14813-2024</t>
        </is>
      </c>
      <c r="B1495" s="1" t="n">
        <v>45398</v>
      </c>
      <c r="C1495" s="1" t="n">
        <v>45742</v>
      </c>
      <c r="D1495" t="inlineStr">
        <is>
          <t>JÄMTLANDS LÄN</t>
        </is>
      </c>
      <c r="E1495" t="inlineStr">
        <is>
          <t>RAGUNDA</t>
        </is>
      </c>
      <c r="F1495" t="inlineStr">
        <is>
          <t>SCA</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15583-2024</t>
        </is>
      </c>
      <c r="B1496" s="1" t="n">
        <v>45401</v>
      </c>
      <c r="C1496" s="1" t="n">
        <v>45742</v>
      </c>
      <c r="D1496" t="inlineStr">
        <is>
          <t>JÄMTLANDS LÄN</t>
        </is>
      </c>
      <c r="E1496" t="inlineStr">
        <is>
          <t>RAGUNDA</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15611-2024</t>
        </is>
      </c>
      <c r="B1497" s="1" t="n">
        <v>45401</v>
      </c>
      <c r="C1497" s="1" t="n">
        <v>45742</v>
      </c>
      <c r="D1497" t="inlineStr">
        <is>
          <t>JÄMTLANDS LÄN</t>
        </is>
      </c>
      <c r="E1497" t="inlineStr">
        <is>
          <t>RAGUNDA</t>
        </is>
      </c>
      <c r="F1497" t="inlineStr">
        <is>
          <t>SCA</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15581-2024</t>
        </is>
      </c>
      <c r="B1498" s="1" t="n">
        <v>45401</v>
      </c>
      <c r="C1498" s="1" t="n">
        <v>45742</v>
      </c>
      <c r="D1498" t="inlineStr">
        <is>
          <t>JÄMTLANDS LÄN</t>
        </is>
      </c>
      <c r="E1498" t="inlineStr">
        <is>
          <t>RAGUNDA</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15585-2024</t>
        </is>
      </c>
      <c r="B1499" s="1" t="n">
        <v>45401</v>
      </c>
      <c r="C1499" s="1" t="n">
        <v>45742</v>
      </c>
      <c r="D1499" t="inlineStr">
        <is>
          <t>JÄMTLANDS LÄN</t>
        </is>
      </c>
      <c r="E1499" t="inlineStr">
        <is>
          <t>RAGUNDA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15864-2024</t>
        </is>
      </c>
      <c r="B1500" s="1" t="n">
        <v>45405</v>
      </c>
      <c r="C1500" s="1" t="n">
        <v>45742</v>
      </c>
      <c r="D1500" t="inlineStr">
        <is>
          <t>JÄMTLANDS LÄN</t>
        </is>
      </c>
      <c r="E1500" t="inlineStr">
        <is>
          <t>RAGUNDA</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15842-2024</t>
        </is>
      </c>
      <c r="B1501" s="1" t="n">
        <v>45405</v>
      </c>
      <c r="C1501" s="1" t="n">
        <v>45742</v>
      </c>
      <c r="D1501" t="inlineStr">
        <is>
          <t>JÄMTLANDS LÄN</t>
        </is>
      </c>
      <c r="E1501" t="inlineStr">
        <is>
          <t>RAGUNDA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16698-2024</t>
        </is>
      </c>
      <c r="B1502" s="1" t="n">
        <v>45409</v>
      </c>
      <c r="C1502" s="1" t="n">
        <v>45742</v>
      </c>
      <c r="D1502" t="inlineStr">
        <is>
          <t>JÄMTLANDS LÄN</t>
        </is>
      </c>
      <c r="E1502" t="inlineStr">
        <is>
          <t>RAGUNDA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16982-2024</t>
        </is>
      </c>
      <c r="B1503" s="1" t="n">
        <v>45412</v>
      </c>
      <c r="C1503" s="1" t="n">
        <v>45742</v>
      </c>
      <c r="D1503" t="inlineStr">
        <is>
          <t>JÄMTLANDS LÄN</t>
        </is>
      </c>
      <c r="E1503" t="inlineStr">
        <is>
          <t>RAGUNDA</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17208-2024</t>
        </is>
      </c>
      <c r="B1504" s="1" t="n">
        <v>45414</v>
      </c>
      <c r="C1504" s="1" t="n">
        <v>45742</v>
      </c>
      <c r="D1504" t="inlineStr">
        <is>
          <t>JÄMTLANDS LÄN</t>
        </is>
      </c>
      <c r="E1504" t="inlineStr">
        <is>
          <t>RAGUNDA</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17443-2024</t>
        </is>
      </c>
      <c r="B1505" s="1" t="n">
        <v>45415</v>
      </c>
      <c r="C1505" s="1" t="n">
        <v>45742</v>
      </c>
      <c r="D1505" t="inlineStr">
        <is>
          <t>JÄMTLANDS LÄN</t>
        </is>
      </c>
      <c r="E1505" t="inlineStr">
        <is>
          <t>RAGUNDA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17521-2024</t>
        </is>
      </c>
      <c r="B1506" s="1" t="n">
        <v>45415</v>
      </c>
      <c r="C1506" s="1" t="n">
        <v>45742</v>
      </c>
      <c r="D1506" t="inlineStr">
        <is>
          <t>JÄMTLANDS LÄN</t>
        </is>
      </c>
      <c r="E1506" t="inlineStr">
        <is>
          <t>RAGUNDA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17595-2024</t>
        </is>
      </c>
      <c r="B1507" s="1" t="n">
        <v>45416</v>
      </c>
      <c r="C1507" s="1" t="n">
        <v>45742</v>
      </c>
      <c r="D1507" t="inlineStr">
        <is>
          <t>JÄMTLANDS LÄN</t>
        </is>
      </c>
      <c r="E1507" t="inlineStr">
        <is>
          <t>RAGUNDA</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18225-2024</t>
        </is>
      </c>
      <c r="B1508" s="1" t="n">
        <v>45420</v>
      </c>
      <c r="C1508" s="1" t="n">
        <v>45742</v>
      </c>
      <c r="D1508" t="inlineStr">
        <is>
          <t>JÄMTLANDS LÄN</t>
        </is>
      </c>
      <c r="E1508" t="inlineStr">
        <is>
          <t>RAGUNDA</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18615-2024</t>
        </is>
      </c>
      <c r="B1509" s="1" t="n">
        <v>45426</v>
      </c>
      <c r="C1509" s="1" t="n">
        <v>45742</v>
      </c>
      <c r="D1509" t="inlineStr">
        <is>
          <t>JÄMTLANDS LÄN</t>
        </is>
      </c>
      <c r="E1509" t="inlineStr">
        <is>
          <t>RAGUNDA</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18631-2024</t>
        </is>
      </c>
      <c r="B1510" s="1" t="n">
        <v>45426</v>
      </c>
      <c r="C1510" s="1" t="n">
        <v>45742</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18635-2024</t>
        </is>
      </c>
      <c r="B1511" s="1" t="n">
        <v>45426</v>
      </c>
      <c r="C1511" s="1" t="n">
        <v>45742</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18612-2024</t>
        </is>
      </c>
      <c r="B1512" s="1" t="n">
        <v>45426</v>
      </c>
      <c r="C1512" s="1" t="n">
        <v>45742</v>
      </c>
      <c r="D1512" t="inlineStr">
        <is>
          <t>JÄMTLANDS LÄN</t>
        </is>
      </c>
      <c r="E1512" t="inlineStr">
        <is>
          <t>RAGUNDA</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18636-2024</t>
        </is>
      </c>
      <c r="B1513" s="1" t="n">
        <v>45426</v>
      </c>
      <c r="C1513" s="1" t="n">
        <v>45742</v>
      </c>
      <c r="D1513" t="inlineStr">
        <is>
          <t>JÄMTLANDS LÄN</t>
        </is>
      </c>
      <c r="E1513" t="inlineStr">
        <is>
          <t>RAGUNDA</t>
        </is>
      </c>
      <c r="F1513" t="inlineStr">
        <is>
          <t>SCA</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18610-2024</t>
        </is>
      </c>
      <c r="B1514" s="1" t="n">
        <v>45426</v>
      </c>
      <c r="C1514" s="1" t="n">
        <v>45742</v>
      </c>
      <c r="D1514" t="inlineStr">
        <is>
          <t>JÄMTLANDS LÄN</t>
        </is>
      </c>
      <c r="E1514" t="inlineStr">
        <is>
          <t>RAGUNDA</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18614-2024</t>
        </is>
      </c>
      <c r="B1515" s="1" t="n">
        <v>45426</v>
      </c>
      <c r="C1515" s="1" t="n">
        <v>45742</v>
      </c>
      <c r="D1515" t="inlineStr">
        <is>
          <t>JÄMTLANDS LÄN</t>
        </is>
      </c>
      <c r="E1515" t="inlineStr">
        <is>
          <t>RAGUNDA</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18782-2024</t>
        </is>
      </c>
      <c r="B1516" s="1" t="n">
        <v>45426</v>
      </c>
      <c r="C1516" s="1" t="n">
        <v>45742</v>
      </c>
      <c r="D1516" t="inlineStr">
        <is>
          <t>JÄMTLANDS LÄN</t>
        </is>
      </c>
      <c r="E1516" t="inlineStr">
        <is>
          <t>RAGUNDA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18777-2024</t>
        </is>
      </c>
      <c r="B1517" s="1" t="n">
        <v>45426</v>
      </c>
      <c r="C1517" s="1" t="n">
        <v>45742</v>
      </c>
      <c r="D1517" t="inlineStr">
        <is>
          <t>JÄMTLANDS LÄN</t>
        </is>
      </c>
      <c r="E1517" t="inlineStr">
        <is>
          <t>RAGUNDA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18781-2024</t>
        </is>
      </c>
      <c r="B1518" s="1" t="n">
        <v>45426</v>
      </c>
      <c r="C1518" s="1" t="n">
        <v>45742</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18778-2024</t>
        </is>
      </c>
      <c r="B1519" s="1" t="n">
        <v>45426</v>
      </c>
      <c r="C1519" s="1" t="n">
        <v>45742</v>
      </c>
      <c r="D1519" t="inlineStr">
        <is>
          <t>JÄMTLANDS LÄN</t>
        </is>
      </c>
      <c r="E1519" t="inlineStr">
        <is>
          <t>RAGUNDA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19089-2024</t>
        </is>
      </c>
      <c r="B1520" s="1" t="n">
        <v>45428</v>
      </c>
      <c r="C1520" s="1" t="n">
        <v>45742</v>
      </c>
      <c r="D1520" t="inlineStr">
        <is>
          <t>JÄMTLANDS LÄN</t>
        </is>
      </c>
      <c r="E1520" t="inlineStr">
        <is>
          <t>RAGUNDA</t>
        </is>
      </c>
      <c r="F1520" t="inlineStr">
        <is>
          <t>SCA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19329-2024</t>
        </is>
      </c>
      <c r="B1521" s="1" t="n">
        <v>45429</v>
      </c>
      <c r="C1521" s="1" t="n">
        <v>45742</v>
      </c>
      <c r="D1521" t="inlineStr">
        <is>
          <t>JÄMTLANDS LÄN</t>
        </is>
      </c>
      <c r="E1521" t="inlineStr">
        <is>
          <t>RAGUNDA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19335-2024</t>
        </is>
      </c>
      <c r="B1522" s="1" t="n">
        <v>45429</v>
      </c>
      <c r="C1522" s="1" t="n">
        <v>45742</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19419-2024</t>
        </is>
      </c>
      <c r="B1523" s="1" t="n">
        <v>45429</v>
      </c>
      <c r="C1523" s="1" t="n">
        <v>45742</v>
      </c>
      <c r="D1523" t="inlineStr">
        <is>
          <t>JÄMTLANDS LÄN</t>
        </is>
      </c>
      <c r="E1523" t="inlineStr">
        <is>
          <t>RAGUNDA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19486-2024</t>
        </is>
      </c>
      <c r="B1524" s="1" t="n">
        <v>45429</v>
      </c>
      <c r="C1524" s="1" t="n">
        <v>45742</v>
      </c>
      <c r="D1524" t="inlineStr">
        <is>
          <t>JÄMTLANDS LÄN</t>
        </is>
      </c>
      <c r="E1524" t="inlineStr">
        <is>
          <t>RAGUNDA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19850-2024</t>
        </is>
      </c>
      <c r="B1525" s="1" t="n">
        <v>45433</v>
      </c>
      <c r="C1525" s="1" t="n">
        <v>45742</v>
      </c>
      <c r="D1525" t="inlineStr">
        <is>
          <t>JÄMTLANDS LÄN</t>
        </is>
      </c>
      <c r="E1525" t="inlineStr">
        <is>
          <t>RAGUNDA</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19897-2024</t>
        </is>
      </c>
      <c r="B1526" s="1" t="n">
        <v>45433</v>
      </c>
      <c r="C1526" s="1" t="n">
        <v>45742</v>
      </c>
      <c r="D1526" t="inlineStr">
        <is>
          <t>JÄMTLANDS LÄN</t>
        </is>
      </c>
      <c r="E1526" t="inlineStr">
        <is>
          <t>RAGUNDA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19997-2024</t>
        </is>
      </c>
      <c r="B1527" s="1" t="n">
        <v>45434</v>
      </c>
      <c r="C1527" s="1" t="n">
        <v>45742</v>
      </c>
      <c r="D1527" t="inlineStr">
        <is>
          <t>JÄMTLANDS LÄN</t>
        </is>
      </c>
      <c r="E1527" t="inlineStr">
        <is>
          <t>RAGUNDA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20426-2024</t>
        </is>
      </c>
      <c r="B1528" s="1" t="n">
        <v>45435</v>
      </c>
      <c r="C1528" s="1" t="n">
        <v>45742</v>
      </c>
      <c r="D1528" t="inlineStr">
        <is>
          <t>JÄMTLANDS LÄN</t>
        </is>
      </c>
      <c r="E1528" t="inlineStr">
        <is>
          <t>RAGUNDA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20363-2024</t>
        </is>
      </c>
      <c r="B1529" s="1" t="n">
        <v>45435</v>
      </c>
      <c r="C1529" s="1" t="n">
        <v>45742</v>
      </c>
      <c r="D1529" t="inlineStr">
        <is>
          <t>JÄMTLANDS LÄN</t>
        </is>
      </c>
      <c r="E1529" t="inlineStr">
        <is>
          <t>RAGUNDA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20770-2024</t>
        </is>
      </c>
      <c r="B1530" s="1" t="n">
        <v>45437</v>
      </c>
      <c r="C1530" s="1" t="n">
        <v>45742</v>
      </c>
      <c r="D1530" t="inlineStr">
        <is>
          <t>JÄMTLANDS LÄN</t>
        </is>
      </c>
      <c r="E1530" t="inlineStr">
        <is>
          <t>RAGUNDA</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20773-2024</t>
        </is>
      </c>
      <c r="B1531" s="1" t="n">
        <v>45437</v>
      </c>
      <c r="C1531" s="1" t="n">
        <v>45742</v>
      </c>
      <c r="D1531" t="inlineStr">
        <is>
          <t>JÄMTLANDS LÄN</t>
        </is>
      </c>
      <c r="E1531" t="inlineStr">
        <is>
          <t>RAGUNDA</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20772-2024</t>
        </is>
      </c>
      <c r="B1532" s="1" t="n">
        <v>45437</v>
      </c>
      <c r="C1532" s="1" t="n">
        <v>45742</v>
      </c>
      <c r="D1532" t="inlineStr">
        <is>
          <t>JÄMTLANDS LÄN</t>
        </is>
      </c>
      <c r="E1532" t="inlineStr">
        <is>
          <t>RAGUNDA</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21082-2024</t>
        </is>
      </c>
      <c r="B1533" s="1" t="n">
        <v>45440</v>
      </c>
      <c r="C1533" s="1" t="n">
        <v>45742</v>
      </c>
      <c r="D1533" t="inlineStr">
        <is>
          <t>JÄMTLANDS LÄN</t>
        </is>
      </c>
      <c r="E1533" t="inlineStr">
        <is>
          <t>RAGUNDA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21083-2024</t>
        </is>
      </c>
      <c r="B1534" s="1" t="n">
        <v>45440</v>
      </c>
      <c r="C1534" s="1" t="n">
        <v>45742</v>
      </c>
      <c r="D1534" t="inlineStr">
        <is>
          <t>JÄMTLANDS LÄN</t>
        </is>
      </c>
      <c r="E1534" t="inlineStr">
        <is>
          <t>RAGUNDA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21105-2024</t>
        </is>
      </c>
      <c r="B1535" s="1" t="n">
        <v>45440</v>
      </c>
      <c r="C1535" s="1" t="n">
        <v>45742</v>
      </c>
      <c r="D1535" t="inlineStr">
        <is>
          <t>JÄMTLANDS LÄN</t>
        </is>
      </c>
      <c r="E1535" t="inlineStr">
        <is>
          <t>RAGUNDA</t>
        </is>
      </c>
      <c r="F1535" t="inlineStr">
        <is>
          <t>SCA</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21401-2024</t>
        </is>
      </c>
      <c r="B1536" s="1" t="n">
        <v>45441</v>
      </c>
      <c r="C1536" s="1" t="n">
        <v>45742</v>
      </c>
      <c r="D1536" t="inlineStr">
        <is>
          <t>JÄMTLANDS LÄN</t>
        </is>
      </c>
      <c r="E1536" t="inlineStr">
        <is>
          <t>RAGUNDA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21524-2024</t>
        </is>
      </c>
      <c r="B1537" s="1" t="n">
        <v>45441</v>
      </c>
      <c r="C1537" s="1" t="n">
        <v>45742</v>
      </c>
      <c r="D1537" t="inlineStr">
        <is>
          <t>JÄMTLANDS LÄN</t>
        </is>
      </c>
      <c r="E1537" t="inlineStr">
        <is>
          <t>RAGUNDA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21853-2024</t>
        </is>
      </c>
      <c r="B1538" s="1" t="n">
        <v>45443</v>
      </c>
      <c r="C1538" s="1" t="n">
        <v>45742</v>
      </c>
      <c r="D1538" t="inlineStr">
        <is>
          <t>JÄMTLANDS LÄN</t>
        </is>
      </c>
      <c r="E1538" t="inlineStr">
        <is>
          <t>RAGUNDA</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22412-2024</t>
        </is>
      </c>
      <c r="B1539" s="1" t="n">
        <v>45446</v>
      </c>
      <c r="C1539" s="1" t="n">
        <v>45742</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22482-2024</t>
        </is>
      </c>
      <c r="B1540" s="1" t="n">
        <v>45447</v>
      </c>
      <c r="C1540" s="1" t="n">
        <v>45742</v>
      </c>
      <c r="D1540" t="inlineStr">
        <is>
          <t>JÄMTLANDS LÄN</t>
        </is>
      </c>
      <c r="E1540" t="inlineStr">
        <is>
          <t>RAGUNDA</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22311-2024</t>
        </is>
      </c>
      <c r="B1541" s="1" t="n">
        <v>45446</v>
      </c>
      <c r="C1541" s="1" t="n">
        <v>45742</v>
      </c>
      <c r="D1541" t="inlineStr">
        <is>
          <t>JÄMTLANDS LÄN</t>
        </is>
      </c>
      <c r="E1541" t="inlineStr">
        <is>
          <t>RAGUNDA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22948-2024</t>
        </is>
      </c>
      <c r="B1542" s="1" t="n">
        <v>45449</v>
      </c>
      <c r="C1542" s="1" t="n">
        <v>45742</v>
      </c>
      <c r="D1542" t="inlineStr">
        <is>
          <t>JÄMTLANDS LÄN</t>
        </is>
      </c>
      <c r="E1542" t="inlineStr">
        <is>
          <t>RAGUNDA</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22941-2024</t>
        </is>
      </c>
      <c r="B1543" s="1" t="n">
        <v>45449</v>
      </c>
      <c r="C1543" s="1" t="n">
        <v>45742</v>
      </c>
      <c r="D1543" t="inlineStr">
        <is>
          <t>JÄMTLANDS LÄN</t>
        </is>
      </c>
      <c r="E1543" t="inlineStr">
        <is>
          <t>RAGUNDA</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22951-2024</t>
        </is>
      </c>
      <c r="B1544" s="1" t="n">
        <v>45449</v>
      </c>
      <c r="C1544" s="1" t="n">
        <v>45742</v>
      </c>
      <c r="D1544" t="inlineStr">
        <is>
          <t>JÄMTLANDS LÄN</t>
        </is>
      </c>
      <c r="E1544" t="inlineStr">
        <is>
          <t>RAGUNDA</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23223-2024</t>
        </is>
      </c>
      <c r="B1545" s="1" t="n">
        <v>45453</v>
      </c>
      <c r="C1545" s="1" t="n">
        <v>45742</v>
      </c>
      <c r="D1545" t="inlineStr">
        <is>
          <t>JÄMTLANDS LÄN</t>
        </is>
      </c>
      <c r="E1545" t="inlineStr">
        <is>
          <t>RAGUNDA</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23287-2024</t>
        </is>
      </c>
      <c r="B1546" s="1" t="n">
        <v>45453</v>
      </c>
      <c r="C1546" s="1" t="n">
        <v>45742</v>
      </c>
      <c r="D1546" t="inlineStr">
        <is>
          <t>JÄMTLANDS LÄN</t>
        </is>
      </c>
      <c r="E1546" t="inlineStr">
        <is>
          <t>RAGUNDA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23303-2024</t>
        </is>
      </c>
      <c r="B1547" s="1" t="n">
        <v>45453</v>
      </c>
      <c r="C1547" s="1" t="n">
        <v>45742</v>
      </c>
      <c r="D1547" t="inlineStr">
        <is>
          <t>JÄMTLANDS LÄN</t>
        </is>
      </c>
      <c r="E1547" t="inlineStr">
        <is>
          <t>RAGUNDA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23312-2024</t>
        </is>
      </c>
      <c r="B1548" s="1" t="n">
        <v>45453</v>
      </c>
      <c r="C1548" s="1" t="n">
        <v>45742</v>
      </c>
      <c r="D1548" t="inlineStr">
        <is>
          <t>JÄMTLANDS LÄN</t>
        </is>
      </c>
      <c r="E1548" t="inlineStr">
        <is>
          <t>RAGUNDA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23528-2024</t>
        </is>
      </c>
      <c r="B1549" s="1" t="n">
        <v>45454</v>
      </c>
      <c r="C1549" s="1" t="n">
        <v>45742</v>
      </c>
      <c r="D1549" t="inlineStr">
        <is>
          <t>JÄMTLANDS LÄN</t>
        </is>
      </c>
      <c r="E1549" t="inlineStr">
        <is>
          <t>RAGUNDA</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23535-2024</t>
        </is>
      </c>
      <c r="B1550" s="1" t="n">
        <v>45454</v>
      </c>
      <c r="C1550" s="1" t="n">
        <v>45742</v>
      </c>
      <c r="D1550" t="inlineStr">
        <is>
          <t>JÄMTLANDS LÄN</t>
        </is>
      </c>
      <c r="E1550" t="inlineStr">
        <is>
          <t>RAGUNDA</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23567-2024</t>
        </is>
      </c>
      <c r="B1551" s="1" t="n">
        <v>45454</v>
      </c>
      <c r="C1551" s="1" t="n">
        <v>45742</v>
      </c>
      <c r="D1551" t="inlineStr">
        <is>
          <t>JÄMTLANDS LÄN</t>
        </is>
      </c>
      <c r="E1551" t="inlineStr">
        <is>
          <t>RAGUNDA</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23727-2024</t>
        </is>
      </c>
      <c r="B1552" s="1" t="n">
        <v>45455</v>
      </c>
      <c r="C1552" s="1" t="n">
        <v>45742</v>
      </c>
      <c r="D1552" t="inlineStr">
        <is>
          <t>JÄMTLANDS LÄN</t>
        </is>
      </c>
      <c r="E1552" t="inlineStr">
        <is>
          <t>RAGUNDA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23734-2024</t>
        </is>
      </c>
      <c r="B1553" s="1" t="n">
        <v>45455</v>
      </c>
      <c r="C1553" s="1" t="n">
        <v>45742</v>
      </c>
      <c r="D1553" t="inlineStr">
        <is>
          <t>JÄMTLANDS LÄN</t>
        </is>
      </c>
      <c r="E1553" t="inlineStr">
        <is>
          <t>RAGUNDA</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23726-2024</t>
        </is>
      </c>
      <c r="B1554" s="1" t="n">
        <v>45455</v>
      </c>
      <c r="C1554" s="1" t="n">
        <v>45742</v>
      </c>
      <c r="D1554" t="inlineStr">
        <is>
          <t>JÄMTLANDS LÄN</t>
        </is>
      </c>
      <c r="E1554" t="inlineStr">
        <is>
          <t>RAGUNDA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24207-2024</t>
        </is>
      </c>
      <c r="B1555" s="1" t="n">
        <v>45457</v>
      </c>
      <c r="C1555" s="1" t="n">
        <v>45742</v>
      </c>
      <c r="D1555" t="inlineStr">
        <is>
          <t>JÄMTLANDS LÄN</t>
        </is>
      </c>
      <c r="E1555" t="inlineStr">
        <is>
          <t>RAGUNDA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24197-2024</t>
        </is>
      </c>
      <c r="B1556" s="1" t="n">
        <v>45457</v>
      </c>
      <c r="C1556" s="1" t="n">
        <v>45742</v>
      </c>
      <c r="D1556" t="inlineStr">
        <is>
          <t>JÄMTLANDS LÄN</t>
        </is>
      </c>
      <c r="E1556" t="inlineStr">
        <is>
          <t>RAGUNDA</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24196-2024</t>
        </is>
      </c>
      <c r="B1557" s="1" t="n">
        <v>45457</v>
      </c>
      <c r="C1557" s="1" t="n">
        <v>45742</v>
      </c>
      <c r="D1557" t="inlineStr">
        <is>
          <t>JÄMTLANDS LÄN</t>
        </is>
      </c>
      <c r="E1557" t="inlineStr">
        <is>
          <t>RAGUNDA</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24224-2024</t>
        </is>
      </c>
      <c r="B1558" s="1" t="n">
        <v>45457</v>
      </c>
      <c r="C1558" s="1" t="n">
        <v>45742</v>
      </c>
      <c r="D1558" t="inlineStr">
        <is>
          <t>JÄMTLANDS LÄN</t>
        </is>
      </c>
      <c r="E1558" t="inlineStr">
        <is>
          <t>RAGUNDA</t>
        </is>
      </c>
      <c r="G1558" t="n">
        <v>31.5</v>
      </c>
      <c r="H1558" t="n">
        <v>0</v>
      </c>
      <c r="I1558" t="n">
        <v>0</v>
      </c>
      <c r="J1558" t="n">
        <v>0</v>
      </c>
      <c r="K1558" t="n">
        <v>0</v>
      </c>
      <c r="L1558" t="n">
        <v>0</v>
      </c>
      <c r="M1558" t="n">
        <v>0</v>
      </c>
      <c r="N1558" t="n">
        <v>0</v>
      </c>
      <c r="O1558" t="n">
        <v>0</v>
      </c>
      <c r="P1558" t="n">
        <v>0</v>
      </c>
      <c r="Q1558" t="n">
        <v>0</v>
      </c>
      <c r="R1558" s="2" t="inlineStr"/>
    </row>
    <row r="1559" ht="15" customHeight="1">
      <c r="A1559" t="inlineStr">
        <is>
          <t>A 24441-2024</t>
        </is>
      </c>
      <c r="B1559" s="1" t="n">
        <v>45458</v>
      </c>
      <c r="C1559" s="1" t="n">
        <v>45742</v>
      </c>
      <c r="D1559" t="inlineStr">
        <is>
          <t>JÄMTLANDS LÄN</t>
        </is>
      </c>
      <c r="E1559" t="inlineStr">
        <is>
          <t>RAGUNDA</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25366-2024</t>
        </is>
      </c>
      <c r="B1560" s="1" t="n">
        <v>45463</v>
      </c>
      <c r="C1560" s="1" t="n">
        <v>45742</v>
      </c>
      <c r="D1560" t="inlineStr">
        <is>
          <t>JÄMTLANDS LÄN</t>
        </is>
      </c>
      <c r="E1560" t="inlineStr">
        <is>
          <t>RAGUNDA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25193-2024</t>
        </is>
      </c>
      <c r="B1561" s="1" t="n">
        <v>45462</v>
      </c>
      <c r="C1561" s="1" t="n">
        <v>45742</v>
      </c>
      <c r="D1561" t="inlineStr">
        <is>
          <t>JÄMTLANDS LÄN</t>
        </is>
      </c>
      <c r="E1561" t="inlineStr">
        <is>
          <t>RAGUNDA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25353-2024</t>
        </is>
      </c>
      <c r="B1562" s="1" t="n">
        <v>45463</v>
      </c>
      <c r="C1562" s="1" t="n">
        <v>45742</v>
      </c>
      <c r="D1562" t="inlineStr">
        <is>
          <t>JÄMTLANDS LÄN</t>
        </is>
      </c>
      <c r="E1562" t="inlineStr">
        <is>
          <t>RAGUNDA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25683-2024</t>
        </is>
      </c>
      <c r="B1563" s="1" t="n">
        <v>45464</v>
      </c>
      <c r="C1563" s="1" t="n">
        <v>45742</v>
      </c>
      <c r="D1563" t="inlineStr">
        <is>
          <t>JÄMTLANDS LÄN</t>
        </is>
      </c>
      <c r="E1563" t="inlineStr">
        <is>
          <t>RAGUNDA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25684-2024</t>
        </is>
      </c>
      <c r="B1564" s="1" t="n">
        <v>45464</v>
      </c>
      <c r="C1564" s="1" t="n">
        <v>45742</v>
      </c>
      <c r="D1564" t="inlineStr">
        <is>
          <t>JÄMTLANDS LÄN</t>
        </is>
      </c>
      <c r="E1564" t="inlineStr">
        <is>
          <t>RAGUNDA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25720-2024</t>
        </is>
      </c>
      <c r="B1565" s="1" t="n">
        <v>45464</v>
      </c>
      <c r="C1565" s="1" t="n">
        <v>45742</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25685-2024</t>
        </is>
      </c>
      <c r="B1566" s="1" t="n">
        <v>45464</v>
      </c>
      <c r="C1566" s="1" t="n">
        <v>45742</v>
      </c>
      <c r="D1566" t="inlineStr">
        <is>
          <t>JÄMTLANDS LÄN</t>
        </is>
      </c>
      <c r="E1566" t="inlineStr">
        <is>
          <t>RAGUNDA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26026-2024</t>
        </is>
      </c>
      <c r="B1567" s="1" t="n">
        <v>45468</v>
      </c>
      <c r="C1567" s="1" t="n">
        <v>45742</v>
      </c>
      <c r="D1567" t="inlineStr">
        <is>
          <t>JÄMTLANDS LÄN</t>
        </is>
      </c>
      <c r="E1567" t="inlineStr">
        <is>
          <t>RAGUNDA</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26282-2024</t>
        </is>
      </c>
      <c r="B1568" s="1" t="n">
        <v>45468</v>
      </c>
      <c r="C1568" s="1" t="n">
        <v>45742</v>
      </c>
      <c r="D1568" t="inlineStr">
        <is>
          <t>JÄMTLANDS LÄN</t>
        </is>
      </c>
      <c r="E1568" t="inlineStr">
        <is>
          <t>RAGUNDA</t>
        </is>
      </c>
      <c r="F1568" t="inlineStr">
        <is>
          <t>Kommuner</t>
        </is>
      </c>
      <c r="G1568" t="n">
        <v>20</v>
      </c>
      <c r="H1568" t="n">
        <v>0</v>
      </c>
      <c r="I1568" t="n">
        <v>0</v>
      </c>
      <c r="J1568" t="n">
        <v>0</v>
      </c>
      <c r="K1568" t="n">
        <v>0</v>
      </c>
      <c r="L1568" t="n">
        <v>0</v>
      </c>
      <c r="M1568" t="n">
        <v>0</v>
      </c>
      <c r="N1568" t="n">
        <v>0</v>
      </c>
      <c r="O1568" t="n">
        <v>0</v>
      </c>
      <c r="P1568" t="n">
        <v>0</v>
      </c>
      <c r="Q1568" t="n">
        <v>0</v>
      </c>
      <c r="R1568" s="2" t="inlineStr"/>
    </row>
    <row r="1569" ht="15" customHeight="1">
      <c r="A1569" t="inlineStr">
        <is>
          <t>A 26300-2024</t>
        </is>
      </c>
      <c r="B1569" s="1" t="n">
        <v>45469</v>
      </c>
      <c r="C1569" s="1" t="n">
        <v>45742</v>
      </c>
      <c r="D1569" t="inlineStr">
        <is>
          <t>JÄMTLANDS LÄN</t>
        </is>
      </c>
      <c r="E1569" t="inlineStr">
        <is>
          <t>RAGUNDA</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26651-2024</t>
        </is>
      </c>
      <c r="B1570" s="1" t="n">
        <v>45470</v>
      </c>
      <c r="C1570" s="1" t="n">
        <v>45742</v>
      </c>
      <c r="D1570" t="inlineStr">
        <is>
          <t>JÄMTLANDS LÄN</t>
        </is>
      </c>
      <c r="E1570" t="inlineStr">
        <is>
          <t>RAGUNDA</t>
        </is>
      </c>
      <c r="F1570" t="inlineStr">
        <is>
          <t>SCA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26645-2024</t>
        </is>
      </c>
      <c r="B1571" s="1" t="n">
        <v>45470</v>
      </c>
      <c r="C1571" s="1" t="n">
        <v>45742</v>
      </c>
      <c r="D1571" t="inlineStr">
        <is>
          <t>JÄMTLANDS LÄN</t>
        </is>
      </c>
      <c r="E1571" t="inlineStr">
        <is>
          <t>RAGUNDA</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26652-2024</t>
        </is>
      </c>
      <c r="B1572" s="1" t="n">
        <v>45470</v>
      </c>
      <c r="C1572" s="1" t="n">
        <v>45742</v>
      </c>
      <c r="D1572" t="inlineStr">
        <is>
          <t>JÄMTLANDS LÄN</t>
        </is>
      </c>
      <c r="E1572" t="inlineStr">
        <is>
          <t>RAGUNDA</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26768-2024</t>
        </is>
      </c>
      <c r="B1573" s="1" t="n">
        <v>45470</v>
      </c>
      <c r="C1573" s="1" t="n">
        <v>45742</v>
      </c>
      <c r="D1573" t="inlineStr">
        <is>
          <t>JÄMTLANDS LÄN</t>
        </is>
      </c>
      <c r="E1573" t="inlineStr">
        <is>
          <t>RAGUNDA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27307-2024</t>
        </is>
      </c>
      <c r="B1574" s="1" t="n">
        <v>45472</v>
      </c>
      <c r="C1574" s="1" t="n">
        <v>45742</v>
      </c>
      <c r="D1574" t="inlineStr">
        <is>
          <t>JÄMTLANDS LÄN</t>
        </is>
      </c>
      <c r="E1574" t="inlineStr">
        <is>
          <t>RAGUNDA</t>
        </is>
      </c>
      <c r="F1574" t="inlineStr">
        <is>
          <t>SCA</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27499-2024</t>
        </is>
      </c>
      <c r="B1575" s="1" t="n">
        <v>45474</v>
      </c>
      <c r="C1575" s="1" t="n">
        <v>45742</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27647-2024</t>
        </is>
      </c>
      <c r="B1576" s="1" t="n">
        <v>45475</v>
      </c>
      <c r="C1576" s="1" t="n">
        <v>45742</v>
      </c>
      <c r="D1576" t="inlineStr">
        <is>
          <t>JÄMTLANDS LÄN</t>
        </is>
      </c>
      <c r="E1576" t="inlineStr">
        <is>
          <t>RAGUNDA</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27632-2024</t>
        </is>
      </c>
      <c r="B1577" s="1" t="n">
        <v>45475</v>
      </c>
      <c r="C1577" s="1" t="n">
        <v>45742</v>
      </c>
      <c r="D1577" t="inlineStr">
        <is>
          <t>JÄMTLANDS LÄN</t>
        </is>
      </c>
      <c r="E1577" t="inlineStr">
        <is>
          <t>RAGUNDA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27934-2024</t>
        </is>
      </c>
      <c r="B1578" s="1" t="n">
        <v>45476</v>
      </c>
      <c r="C1578" s="1" t="n">
        <v>45742</v>
      </c>
      <c r="D1578" t="inlineStr">
        <is>
          <t>JÄMTLANDS LÄN</t>
        </is>
      </c>
      <c r="E1578" t="inlineStr">
        <is>
          <t>RAGUNDA</t>
        </is>
      </c>
      <c r="F1578" t="inlineStr">
        <is>
          <t>SCA</t>
        </is>
      </c>
      <c r="G1578" t="n">
        <v>16.8</v>
      </c>
      <c r="H1578" t="n">
        <v>0</v>
      </c>
      <c r="I1578" t="n">
        <v>0</v>
      </c>
      <c r="J1578" t="n">
        <v>0</v>
      </c>
      <c r="K1578" t="n">
        <v>0</v>
      </c>
      <c r="L1578" t="n">
        <v>0</v>
      </c>
      <c r="M1578" t="n">
        <v>0</v>
      </c>
      <c r="N1578" t="n">
        <v>0</v>
      </c>
      <c r="O1578" t="n">
        <v>0</v>
      </c>
      <c r="P1578" t="n">
        <v>0</v>
      </c>
      <c r="Q1578" t="n">
        <v>0</v>
      </c>
      <c r="R1578" s="2" t="inlineStr"/>
    </row>
    <row r="1579" ht="15" customHeight="1">
      <c r="A1579" t="inlineStr">
        <is>
          <t>A 27899-2024</t>
        </is>
      </c>
      <c r="B1579" s="1" t="n">
        <v>45476</v>
      </c>
      <c r="C1579" s="1" t="n">
        <v>45742</v>
      </c>
      <c r="D1579" t="inlineStr">
        <is>
          <t>JÄMTLANDS LÄN</t>
        </is>
      </c>
      <c r="E1579" t="inlineStr">
        <is>
          <t>RAGUNDA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28173-2024</t>
        </is>
      </c>
      <c r="B1580" s="1" t="n">
        <v>45477</v>
      </c>
      <c r="C1580" s="1" t="n">
        <v>45742</v>
      </c>
      <c r="D1580" t="inlineStr">
        <is>
          <t>JÄMTLANDS LÄN</t>
        </is>
      </c>
      <c r="E1580" t="inlineStr">
        <is>
          <t>RAGUNDA</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28500-2024</t>
        </is>
      </c>
      <c r="B1581" s="1" t="n">
        <v>45478</v>
      </c>
      <c r="C1581" s="1" t="n">
        <v>45742</v>
      </c>
      <c r="D1581" t="inlineStr">
        <is>
          <t>JÄMTLANDS LÄN</t>
        </is>
      </c>
      <c r="E1581" t="inlineStr">
        <is>
          <t>RAGUNDA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28292-2024</t>
        </is>
      </c>
      <c r="B1582" s="1" t="n">
        <v>45477</v>
      </c>
      <c r="C1582" s="1" t="n">
        <v>45742</v>
      </c>
      <c r="D1582" t="inlineStr">
        <is>
          <t>JÄMTLANDS LÄN</t>
        </is>
      </c>
      <c r="E1582" t="inlineStr">
        <is>
          <t>RAGUNDA</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28639-2024</t>
        </is>
      </c>
      <c r="B1583" s="1" t="n">
        <v>45478</v>
      </c>
      <c r="C1583" s="1" t="n">
        <v>45742</v>
      </c>
      <c r="D1583" t="inlineStr">
        <is>
          <t>JÄMTLANDS LÄN</t>
        </is>
      </c>
      <c r="E1583" t="inlineStr">
        <is>
          <t>RAGUNDA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28829-2024</t>
        </is>
      </c>
      <c r="B1584" s="1" t="n">
        <v>45478</v>
      </c>
      <c r="C1584" s="1" t="n">
        <v>45742</v>
      </c>
      <c r="D1584" t="inlineStr">
        <is>
          <t>JÄMTLANDS LÄN</t>
        </is>
      </c>
      <c r="E1584" t="inlineStr">
        <is>
          <t>RAGUNDA</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28636-2024</t>
        </is>
      </c>
      <c r="B1585" s="1" t="n">
        <v>45478</v>
      </c>
      <c r="C1585" s="1" t="n">
        <v>45742</v>
      </c>
      <c r="D1585" t="inlineStr">
        <is>
          <t>JÄMTLANDS LÄN</t>
        </is>
      </c>
      <c r="E1585" t="inlineStr">
        <is>
          <t>RAGUNDA</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28641-2024</t>
        </is>
      </c>
      <c r="B1586" s="1" t="n">
        <v>45478</v>
      </c>
      <c r="C1586" s="1" t="n">
        <v>45742</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29257-2024</t>
        </is>
      </c>
      <c r="B1587" s="1" t="n">
        <v>45483</v>
      </c>
      <c r="C1587" s="1" t="n">
        <v>45742</v>
      </c>
      <c r="D1587" t="inlineStr">
        <is>
          <t>JÄMTLANDS LÄN</t>
        </is>
      </c>
      <c r="E1587" t="inlineStr">
        <is>
          <t>RAGUNDA</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29265-2024</t>
        </is>
      </c>
      <c r="B1588" s="1" t="n">
        <v>45483</v>
      </c>
      <c r="C1588" s="1" t="n">
        <v>45742</v>
      </c>
      <c r="D1588" t="inlineStr">
        <is>
          <t>JÄMTLANDS LÄN</t>
        </is>
      </c>
      <c r="E1588" t="inlineStr">
        <is>
          <t>RAGUNDA</t>
        </is>
      </c>
      <c r="F1588" t="inlineStr">
        <is>
          <t>SCA</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29263-2024</t>
        </is>
      </c>
      <c r="B1589" s="1" t="n">
        <v>45483</v>
      </c>
      <c r="C1589" s="1" t="n">
        <v>45742</v>
      </c>
      <c r="D1589" t="inlineStr">
        <is>
          <t>JÄMTLANDS LÄN</t>
        </is>
      </c>
      <c r="E1589" t="inlineStr">
        <is>
          <t>RAGUNDA</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29261-2024</t>
        </is>
      </c>
      <c r="B1590" s="1" t="n">
        <v>45483</v>
      </c>
      <c r="C1590" s="1" t="n">
        <v>45742</v>
      </c>
      <c r="D1590" t="inlineStr">
        <is>
          <t>JÄMTLANDS LÄN</t>
        </is>
      </c>
      <c r="E1590" t="inlineStr">
        <is>
          <t>RAGUNDA</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29311-2024</t>
        </is>
      </c>
      <c r="B1591" s="1" t="n">
        <v>45483</v>
      </c>
      <c r="C1591" s="1" t="n">
        <v>45742</v>
      </c>
      <c r="D1591" t="inlineStr">
        <is>
          <t>JÄMTLANDS LÄN</t>
        </is>
      </c>
      <c r="E1591" t="inlineStr">
        <is>
          <t>RAGUNDA</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29920-2024</t>
        </is>
      </c>
      <c r="B1592" s="1" t="n">
        <v>45488</v>
      </c>
      <c r="C1592" s="1" t="n">
        <v>45742</v>
      </c>
      <c r="D1592" t="inlineStr">
        <is>
          <t>JÄMTLANDS LÄN</t>
        </is>
      </c>
      <c r="E1592" t="inlineStr">
        <is>
          <t>RAGUNDA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30053-2024</t>
        </is>
      </c>
      <c r="B1593" s="1" t="n">
        <v>45489</v>
      </c>
      <c r="C1593" s="1" t="n">
        <v>45742</v>
      </c>
      <c r="D1593" t="inlineStr">
        <is>
          <t>JÄMTLANDS LÄN</t>
        </is>
      </c>
      <c r="E1593" t="inlineStr">
        <is>
          <t>RAGUNDA</t>
        </is>
      </c>
      <c r="F1593" t="inlineStr">
        <is>
          <t>SCA</t>
        </is>
      </c>
      <c r="G1593" t="n">
        <v>9.6</v>
      </c>
      <c r="H1593" t="n">
        <v>0</v>
      </c>
      <c r="I1593" t="n">
        <v>0</v>
      </c>
      <c r="J1593" t="n">
        <v>0</v>
      </c>
      <c r="K1593" t="n">
        <v>0</v>
      </c>
      <c r="L1593" t="n">
        <v>0</v>
      </c>
      <c r="M1593" t="n">
        <v>0</v>
      </c>
      <c r="N1593" t="n">
        <v>0</v>
      </c>
      <c r="O1593" t="n">
        <v>0</v>
      </c>
      <c r="P1593" t="n">
        <v>0</v>
      </c>
      <c r="Q1593" t="n">
        <v>0</v>
      </c>
      <c r="R1593" s="2" t="inlineStr"/>
    </row>
    <row r="1594" ht="15" customHeight="1">
      <c r="A1594" t="inlineStr">
        <is>
          <t>A 30472-2024</t>
        </is>
      </c>
      <c r="B1594" s="1" t="n">
        <v>45492</v>
      </c>
      <c r="C1594" s="1" t="n">
        <v>45742</v>
      </c>
      <c r="D1594" t="inlineStr">
        <is>
          <t>JÄMTLANDS LÄN</t>
        </is>
      </c>
      <c r="E1594" t="inlineStr">
        <is>
          <t>RAGUNDA</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30484-2024</t>
        </is>
      </c>
      <c r="B1595" s="1" t="n">
        <v>45491</v>
      </c>
      <c r="C1595" s="1" t="n">
        <v>45742</v>
      </c>
      <c r="D1595" t="inlineStr">
        <is>
          <t>JÄMTLANDS LÄN</t>
        </is>
      </c>
      <c r="E1595" t="inlineStr">
        <is>
          <t>RAGUNDA</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30637-2024</t>
        </is>
      </c>
      <c r="B1596" s="1" t="n">
        <v>45495</v>
      </c>
      <c r="C1596" s="1" t="n">
        <v>45742</v>
      </c>
      <c r="D1596" t="inlineStr">
        <is>
          <t>JÄMTLANDS LÄN</t>
        </is>
      </c>
      <c r="E1596" t="inlineStr">
        <is>
          <t>RAGUNDA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30642-2024</t>
        </is>
      </c>
      <c r="B1597" s="1" t="n">
        <v>45495</v>
      </c>
      <c r="C1597" s="1" t="n">
        <v>45742</v>
      </c>
      <c r="D1597" t="inlineStr">
        <is>
          <t>JÄMTLANDS LÄN</t>
        </is>
      </c>
      <c r="E1597" t="inlineStr">
        <is>
          <t>RAGUNDA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30771-2024</t>
        </is>
      </c>
      <c r="B1598" s="1" t="n">
        <v>45497</v>
      </c>
      <c r="C1598" s="1" t="n">
        <v>45742</v>
      </c>
      <c r="D1598" t="inlineStr">
        <is>
          <t>JÄMTLANDS LÄN</t>
        </is>
      </c>
      <c r="E1598" t="inlineStr">
        <is>
          <t>RAGUNDA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31111-2024</t>
        </is>
      </c>
      <c r="B1599" s="1" t="n">
        <v>45502</v>
      </c>
      <c r="C1599" s="1" t="n">
        <v>45742</v>
      </c>
      <c r="D1599" t="inlineStr">
        <is>
          <t>JÄMTLANDS LÄN</t>
        </is>
      </c>
      <c r="E1599" t="inlineStr">
        <is>
          <t>RAGUNDA</t>
        </is>
      </c>
      <c r="G1599" t="n">
        <v>17.8</v>
      </c>
      <c r="H1599" t="n">
        <v>0</v>
      </c>
      <c r="I1599" t="n">
        <v>0</v>
      </c>
      <c r="J1599" t="n">
        <v>0</v>
      </c>
      <c r="K1599" t="n">
        <v>0</v>
      </c>
      <c r="L1599" t="n">
        <v>0</v>
      </c>
      <c r="M1599" t="n">
        <v>0</v>
      </c>
      <c r="N1599" t="n">
        <v>0</v>
      </c>
      <c r="O1599" t="n">
        <v>0</v>
      </c>
      <c r="P1599" t="n">
        <v>0</v>
      </c>
      <c r="Q1599" t="n">
        <v>0</v>
      </c>
      <c r="R1599" s="2" t="inlineStr"/>
    </row>
    <row r="1600" ht="15" customHeight="1">
      <c r="A1600" t="inlineStr">
        <is>
          <t>A 31506-2024</t>
        </is>
      </c>
      <c r="B1600" s="1" t="n">
        <v>45505</v>
      </c>
      <c r="C1600" s="1" t="n">
        <v>45742</v>
      </c>
      <c r="D1600" t="inlineStr">
        <is>
          <t>JÄMTLANDS LÄN</t>
        </is>
      </c>
      <c r="E1600" t="inlineStr">
        <is>
          <t>RAGUNDA</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31463-2024</t>
        </is>
      </c>
      <c r="B1601" s="1" t="n">
        <v>45505</v>
      </c>
      <c r="C1601" s="1" t="n">
        <v>45742</v>
      </c>
      <c r="D1601" t="inlineStr">
        <is>
          <t>JÄMTLANDS LÄN</t>
        </is>
      </c>
      <c r="E1601" t="inlineStr">
        <is>
          <t>RAGUNDA</t>
        </is>
      </c>
      <c r="F1601" t="inlineStr">
        <is>
          <t>SCA</t>
        </is>
      </c>
      <c r="G1601" t="n">
        <v>20.3</v>
      </c>
      <c r="H1601" t="n">
        <v>0</v>
      </c>
      <c r="I1601" t="n">
        <v>0</v>
      </c>
      <c r="J1601" t="n">
        <v>0</v>
      </c>
      <c r="K1601" t="n">
        <v>0</v>
      </c>
      <c r="L1601" t="n">
        <v>0</v>
      </c>
      <c r="M1601" t="n">
        <v>0</v>
      </c>
      <c r="N1601" t="n">
        <v>0</v>
      </c>
      <c r="O1601" t="n">
        <v>0</v>
      </c>
      <c r="P1601" t="n">
        <v>0</v>
      </c>
      <c r="Q1601" t="n">
        <v>0</v>
      </c>
      <c r="R1601" s="2" t="inlineStr"/>
    </row>
    <row r="1602" ht="15" customHeight="1">
      <c r="A1602" t="inlineStr">
        <is>
          <t>A 31636-2024</t>
        </is>
      </c>
      <c r="B1602" s="1" t="n">
        <v>45506</v>
      </c>
      <c r="C1602" s="1" t="n">
        <v>45742</v>
      </c>
      <c r="D1602" t="inlineStr">
        <is>
          <t>JÄMTLANDS LÄN</t>
        </is>
      </c>
      <c r="E1602" t="inlineStr">
        <is>
          <t>RAGUNDA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31879-2024</t>
        </is>
      </c>
      <c r="B1603" s="1" t="n">
        <v>45510</v>
      </c>
      <c r="C1603" s="1" t="n">
        <v>45742</v>
      </c>
      <c r="D1603" t="inlineStr">
        <is>
          <t>JÄMTLANDS LÄN</t>
        </is>
      </c>
      <c r="E1603" t="inlineStr">
        <is>
          <t>RAGUNDA</t>
        </is>
      </c>
      <c r="F1603" t="inlineStr">
        <is>
          <t>SCA</t>
        </is>
      </c>
      <c r="G1603" t="n">
        <v>24.9</v>
      </c>
      <c r="H1603" t="n">
        <v>0</v>
      </c>
      <c r="I1603" t="n">
        <v>0</v>
      </c>
      <c r="J1603" t="n">
        <v>0</v>
      </c>
      <c r="K1603" t="n">
        <v>0</v>
      </c>
      <c r="L1603" t="n">
        <v>0</v>
      </c>
      <c r="M1603" t="n">
        <v>0</v>
      </c>
      <c r="N1603" t="n">
        <v>0</v>
      </c>
      <c r="O1603" t="n">
        <v>0</v>
      </c>
      <c r="P1603" t="n">
        <v>0</v>
      </c>
      <c r="Q1603" t="n">
        <v>0</v>
      </c>
      <c r="R1603" s="2" t="inlineStr"/>
    </row>
    <row r="1604" ht="15" customHeight="1">
      <c r="A1604" t="inlineStr">
        <is>
          <t>A 32063-2024</t>
        </is>
      </c>
      <c r="B1604" s="1" t="n">
        <v>45510</v>
      </c>
      <c r="C1604" s="1" t="n">
        <v>45742</v>
      </c>
      <c r="D1604" t="inlineStr">
        <is>
          <t>JÄMTLANDS LÄN</t>
        </is>
      </c>
      <c r="E1604" t="inlineStr">
        <is>
          <t>RAGUNDA</t>
        </is>
      </c>
      <c r="F1604" t="inlineStr">
        <is>
          <t>SCA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32258-2024</t>
        </is>
      </c>
      <c r="B1605" s="1" t="n">
        <v>45511</v>
      </c>
      <c r="C1605" s="1" t="n">
        <v>45742</v>
      </c>
      <c r="D1605" t="inlineStr">
        <is>
          <t>JÄMTLANDS LÄN</t>
        </is>
      </c>
      <c r="E1605" t="inlineStr">
        <is>
          <t>RAGUNDA</t>
        </is>
      </c>
      <c r="F1605" t="inlineStr">
        <is>
          <t>SCA</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32259-2024</t>
        </is>
      </c>
      <c r="B1606" s="1" t="n">
        <v>45511</v>
      </c>
      <c r="C1606" s="1" t="n">
        <v>45742</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32441-2024</t>
        </is>
      </c>
      <c r="B1607" s="1" t="n">
        <v>45513</v>
      </c>
      <c r="C1607" s="1" t="n">
        <v>45742</v>
      </c>
      <c r="D1607" t="inlineStr">
        <is>
          <t>JÄMTLANDS LÄN</t>
        </is>
      </c>
      <c r="E1607" t="inlineStr">
        <is>
          <t>RAGUNDA</t>
        </is>
      </c>
      <c r="F1607" t="inlineStr">
        <is>
          <t>SCA</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32638-2024</t>
        </is>
      </c>
      <c r="B1608" s="1" t="n">
        <v>45514</v>
      </c>
      <c r="C1608" s="1" t="n">
        <v>45742</v>
      </c>
      <c r="D1608" t="inlineStr">
        <is>
          <t>JÄMTLANDS LÄN</t>
        </is>
      </c>
      <c r="E1608" t="inlineStr">
        <is>
          <t>RAGUNDA</t>
        </is>
      </c>
      <c r="F1608" t="inlineStr">
        <is>
          <t>SCA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32910-2024</t>
        </is>
      </c>
      <c r="B1609" s="1" t="n">
        <v>45517</v>
      </c>
      <c r="C1609" s="1" t="n">
        <v>45742</v>
      </c>
      <c r="D1609" t="inlineStr">
        <is>
          <t>JÄMTLANDS LÄN</t>
        </is>
      </c>
      <c r="E1609" t="inlineStr">
        <is>
          <t>RAGUNDA</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32904-2024</t>
        </is>
      </c>
      <c r="B1610" s="1" t="n">
        <v>45517</v>
      </c>
      <c r="C1610" s="1" t="n">
        <v>45742</v>
      </c>
      <c r="D1610" t="inlineStr">
        <is>
          <t>JÄMTLANDS LÄN</t>
        </is>
      </c>
      <c r="E1610" t="inlineStr">
        <is>
          <t>RAGUNDA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35311-2024</t>
        </is>
      </c>
      <c r="B1611" s="1" t="n">
        <v>45530</v>
      </c>
      <c r="C1611" s="1" t="n">
        <v>45742</v>
      </c>
      <c r="D1611" t="inlineStr">
        <is>
          <t>JÄMTLANDS LÄN</t>
        </is>
      </c>
      <c r="E1611" t="inlineStr">
        <is>
          <t>RAGUNDA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35153-2024</t>
        </is>
      </c>
      <c r="B1612" s="1" t="n">
        <v>45530</v>
      </c>
      <c r="C1612" s="1" t="n">
        <v>45742</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35986-2024</t>
        </is>
      </c>
      <c r="B1613" s="1" t="n">
        <v>45533</v>
      </c>
      <c r="C1613" s="1" t="n">
        <v>45742</v>
      </c>
      <c r="D1613" t="inlineStr">
        <is>
          <t>JÄMTLANDS LÄN</t>
        </is>
      </c>
      <c r="E1613" t="inlineStr">
        <is>
          <t>RAGUNDA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36246-2024</t>
        </is>
      </c>
      <c r="B1614" s="1" t="n">
        <v>45534</v>
      </c>
      <c r="C1614" s="1" t="n">
        <v>45742</v>
      </c>
      <c r="D1614" t="inlineStr">
        <is>
          <t>JÄMTLANDS LÄN</t>
        </is>
      </c>
      <c r="E1614" t="inlineStr">
        <is>
          <t>RAGUNDA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36340-2024</t>
        </is>
      </c>
      <c r="B1615" s="1" t="n">
        <v>45534</v>
      </c>
      <c r="C1615" s="1" t="n">
        <v>45742</v>
      </c>
      <c r="D1615" t="inlineStr">
        <is>
          <t>JÄMTLANDS LÄN</t>
        </is>
      </c>
      <c r="E1615" t="inlineStr">
        <is>
          <t>RAGUNDA</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36317-2024</t>
        </is>
      </c>
      <c r="B1616" s="1" t="n">
        <v>45534</v>
      </c>
      <c r="C1616" s="1" t="n">
        <v>45742</v>
      </c>
      <c r="D1616" t="inlineStr">
        <is>
          <t>JÄMTLANDS LÄN</t>
        </is>
      </c>
      <c r="E1616" t="inlineStr">
        <is>
          <t>RAGUNDA</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37242-2024</t>
        </is>
      </c>
      <c r="B1617" s="1" t="n">
        <v>45540</v>
      </c>
      <c r="C1617" s="1" t="n">
        <v>45742</v>
      </c>
      <c r="D1617" t="inlineStr">
        <is>
          <t>JÄMTLANDS LÄN</t>
        </is>
      </c>
      <c r="E1617" t="inlineStr">
        <is>
          <t>RAGUNDA</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37266-2024</t>
        </is>
      </c>
      <c r="B1618" s="1" t="n">
        <v>45540</v>
      </c>
      <c r="C1618" s="1" t="n">
        <v>45742</v>
      </c>
      <c r="D1618" t="inlineStr">
        <is>
          <t>JÄMTLANDS LÄN</t>
        </is>
      </c>
      <c r="E1618" t="inlineStr">
        <is>
          <t>RAGUNDA</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37265-2024</t>
        </is>
      </c>
      <c r="B1619" s="1" t="n">
        <v>45540</v>
      </c>
      <c r="C1619" s="1" t="n">
        <v>45742</v>
      </c>
      <c r="D1619" t="inlineStr">
        <is>
          <t>JÄMTLANDS LÄN</t>
        </is>
      </c>
      <c r="E1619" t="inlineStr">
        <is>
          <t>RAGUNDA</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37268-2024</t>
        </is>
      </c>
      <c r="B1620" s="1" t="n">
        <v>45540</v>
      </c>
      <c r="C1620" s="1" t="n">
        <v>45742</v>
      </c>
      <c r="D1620" t="inlineStr">
        <is>
          <t>JÄMTLANDS LÄN</t>
        </is>
      </c>
      <c r="E1620" t="inlineStr">
        <is>
          <t>RAGUNDA</t>
        </is>
      </c>
      <c r="F1620" t="inlineStr">
        <is>
          <t>SCA</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38027-2024</t>
        </is>
      </c>
      <c r="B1621" s="1" t="n">
        <v>45544</v>
      </c>
      <c r="C1621" s="1" t="n">
        <v>45742</v>
      </c>
      <c r="D1621" t="inlineStr">
        <is>
          <t>JÄMTLANDS LÄN</t>
        </is>
      </c>
      <c r="E1621" t="inlineStr">
        <is>
          <t>RAGUNDA</t>
        </is>
      </c>
      <c r="F1621" t="inlineStr">
        <is>
          <t>SCA</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38191-2024</t>
        </is>
      </c>
      <c r="B1622" s="1" t="n">
        <v>45545</v>
      </c>
      <c r="C1622" s="1" t="n">
        <v>45742</v>
      </c>
      <c r="D1622" t="inlineStr">
        <is>
          <t>JÄMTLANDS LÄN</t>
        </is>
      </c>
      <c r="E1622" t="inlineStr">
        <is>
          <t>RAGUNDA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38192-2024</t>
        </is>
      </c>
      <c r="B1623" s="1" t="n">
        <v>45545</v>
      </c>
      <c r="C1623" s="1" t="n">
        <v>45742</v>
      </c>
      <c r="D1623" t="inlineStr">
        <is>
          <t>JÄMTLANDS LÄN</t>
        </is>
      </c>
      <c r="E1623" t="inlineStr">
        <is>
          <t>RAGUNDA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38189-2024</t>
        </is>
      </c>
      <c r="B1624" s="1" t="n">
        <v>45545</v>
      </c>
      <c r="C1624" s="1" t="n">
        <v>45742</v>
      </c>
      <c r="D1624" t="inlineStr">
        <is>
          <t>JÄMTLANDS LÄN</t>
        </is>
      </c>
      <c r="E1624" t="inlineStr">
        <is>
          <t>RAGUNDA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38312-2024</t>
        </is>
      </c>
      <c r="B1625" s="1" t="n">
        <v>45545</v>
      </c>
      <c r="C1625" s="1" t="n">
        <v>45742</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38506-2024</t>
        </is>
      </c>
      <c r="B1626" s="1" t="n">
        <v>45546</v>
      </c>
      <c r="C1626" s="1" t="n">
        <v>45742</v>
      </c>
      <c r="D1626" t="inlineStr">
        <is>
          <t>JÄMTLANDS LÄN</t>
        </is>
      </c>
      <c r="E1626" t="inlineStr">
        <is>
          <t>RAGUNDA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38548-2024</t>
        </is>
      </c>
      <c r="B1627" s="1" t="n">
        <v>45546</v>
      </c>
      <c r="C1627" s="1" t="n">
        <v>45742</v>
      </c>
      <c r="D1627" t="inlineStr">
        <is>
          <t>JÄMTLANDS LÄN</t>
        </is>
      </c>
      <c r="E1627" t="inlineStr">
        <is>
          <t>RAGUNDA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38571-2024</t>
        </is>
      </c>
      <c r="B1628" s="1" t="n">
        <v>45546</v>
      </c>
      <c r="C1628" s="1" t="n">
        <v>45742</v>
      </c>
      <c r="D1628" t="inlineStr">
        <is>
          <t>JÄMTLANDS LÄN</t>
        </is>
      </c>
      <c r="E1628" t="inlineStr">
        <is>
          <t>RAGUNDA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38825-2024</t>
        </is>
      </c>
      <c r="B1629" s="1" t="n">
        <v>45547</v>
      </c>
      <c r="C1629" s="1" t="n">
        <v>45742</v>
      </c>
      <c r="D1629" t="inlineStr">
        <is>
          <t>JÄMTLANDS LÄN</t>
        </is>
      </c>
      <c r="E1629" t="inlineStr">
        <is>
          <t>RAGUNDA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39494-2024</t>
        </is>
      </c>
      <c r="B1630" s="1" t="n">
        <v>45551</v>
      </c>
      <c r="C1630" s="1" t="n">
        <v>45742</v>
      </c>
      <c r="D1630" t="inlineStr">
        <is>
          <t>JÄMTLANDS LÄN</t>
        </is>
      </c>
      <c r="E1630" t="inlineStr">
        <is>
          <t>RAGUNDA</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39608-2024</t>
        </is>
      </c>
      <c r="B1631" s="1" t="n">
        <v>45552</v>
      </c>
      <c r="C1631" s="1" t="n">
        <v>45742</v>
      </c>
      <c r="D1631" t="inlineStr">
        <is>
          <t>JÄMTLANDS LÄN</t>
        </is>
      </c>
      <c r="E1631" t="inlineStr">
        <is>
          <t>RAGUNDA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39626-2024</t>
        </is>
      </c>
      <c r="B1632" s="1" t="n">
        <v>45552</v>
      </c>
      <c r="C1632" s="1" t="n">
        <v>45742</v>
      </c>
      <c r="D1632" t="inlineStr">
        <is>
          <t>JÄMTLANDS LÄN</t>
        </is>
      </c>
      <c r="E1632" t="inlineStr">
        <is>
          <t>RAGUNDA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40246-2024</t>
        </is>
      </c>
      <c r="B1633" s="1" t="n">
        <v>45554</v>
      </c>
      <c r="C1633" s="1" t="n">
        <v>45742</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40405-2024</t>
        </is>
      </c>
      <c r="B1634" s="1" t="n">
        <v>45555</v>
      </c>
      <c r="C1634" s="1" t="n">
        <v>45742</v>
      </c>
      <c r="D1634" t="inlineStr">
        <is>
          <t>JÄMTLANDS LÄN</t>
        </is>
      </c>
      <c r="E1634" t="inlineStr">
        <is>
          <t>RAGUNDA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40365-2024</t>
        </is>
      </c>
      <c r="B1635" s="1" t="n">
        <v>45555</v>
      </c>
      <c r="C1635" s="1" t="n">
        <v>45742</v>
      </c>
      <c r="D1635" t="inlineStr">
        <is>
          <t>JÄMTLANDS LÄN</t>
        </is>
      </c>
      <c r="E1635" t="inlineStr">
        <is>
          <t>RAGUNDA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40919-2024</t>
        </is>
      </c>
      <c r="B1636" s="1" t="n">
        <v>45558</v>
      </c>
      <c r="C1636" s="1" t="n">
        <v>45742</v>
      </c>
      <c r="D1636" t="inlineStr">
        <is>
          <t>JÄMTLANDS LÄN</t>
        </is>
      </c>
      <c r="E1636" t="inlineStr">
        <is>
          <t>RAGUNDA</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41344-2024</t>
        </is>
      </c>
      <c r="B1637" s="1" t="n">
        <v>45559</v>
      </c>
      <c r="C1637" s="1" t="n">
        <v>45742</v>
      </c>
      <c r="D1637" t="inlineStr">
        <is>
          <t>JÄMTLANDS LÄN</t>
        </is>
      </c>
      <c r="E1637" t="inlineStr">
        <is>
          <t>RAGUNDA</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41343-2024</t>
        </is>
      </c>
      <c r="B1638" s="1" t="n">
        <v>45559</v>
      </c>
      <c r="C1638" s="1" t="n">
        <v>45742</v>
      </c>
      <c r="D1638" t="inlineStr">
        <is>
          <t>JÄMTLANDS LÄN</t>
        </is>
      </c>
      <c r="E1638" t="inlineStr">
        <is>
          <t>RAGUNDA</t>
        </is>
      </c>
      <c r="F1638" t="inlineStr">
        <is>
          <t>SCA</t>
        </is>
      </c>
      <c r="G1638" t="n">
        <v>25.1</v>
      </c>
      <c r="H1638" t="n">
        <v>0</v>
      </c>
      <c r="I1638" t="n">
        <v>0</v>
      </c>
      <c r="J1638" t="n">
        <v>0</v>
      </c>
      <c r="K1638" t="n">
        <v>0</v>
      </c>
      <c r="L1638" t="n">
        <v>0</v>
      </c>
      <c r="M1638" t="n">
        <v>0</v>
      </c>
      <c r="N1638" t="n">
        <v>0</v>
      </c>
      <c r="O1638" t="n">
        <v>0</v>
      </c>
      <c r="P1638" t="n">
        <v>0</v>
      </c>
      <c r="Q1638" t="n">
        <v>0</v>
      </c>
      <c r="R1638" s="2" t="inlineStr"/>
    </row>
    <row r="1639" ht="15" customHeight="1">
      <c r="A1639" t="inlineStr">
        <is>
          <t>A 41378-2024</t>
        </is>
      </c>
      <c r="B1639" s="1" t="n">
        <v>45559</v>
      </c>
      <c r="C1639" s="1" t="n">
        <v>45742</v>
      </c>
      <c r="D1639" t="inlineStr">
        <is>
          <t>JÄMTLANDS LÄN</t>
        </is>
      </c>
      <c r="E1639" t="inlineStr">
        <is>
          <t>RAGUNDA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41685-2024</t>
        </is>
      </c>
      <c r="B1640" s="1" t="n">
        <v>45560</v>
      </c>
      <c r="C1640" s="1" t="n">
        <v>45742</v>
      </c>
      <c r="D1640" t="inlineStr">
        <is>
          <t>JÄMTLANDS LÄN</t>
        </is>
      </c>
      <c r="E1640" t="inlineStr">
        <is>
          <t>RAGUNDA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41531-2024</t>
        </is>
      </c>
      <c r="B1641" s="1" t="n">
        <v>45560</v>
      </c>
      <c r="C1641" s="1" t="n">
        <v>45742</v>
      </c>
      <c r="D1641" t="inlineStr">
        <is>
          <t>JÄMTLANDS LÄN</t>
        </is>
      </c>
      <c r="E1641" t="inlineStr">
        <is>
          <t>RAGUNDA</t>
        </is>
      </c>
      <c r="F1641" t="inlineStr">
        <is>
          <t>SCA</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41422-2024</t>
        </is>
      </c>
      <c r="B1642" s="1" t="n">
        <v>45560</v>
      </c>
      <c r="C1642" s="1" t="n">
        <v>45742</v>
      </c>
      <c r="D1642" t="inlineStr">
        <is>
          <t>JÄMTLANDS LÄN</t>
        </is>
      </c>
      <c r="E1642" t="inlineStr">
        <is>
          <t>RAGUNDA</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41690-2024</t>
        </is>
      </c>
      <c r="B1643" s="1" t="n">
        <v>45560</v>
      </c>
      <c r="C1643" s="1" t="n">
        <v>45742</v>
      </c>
      <c r="D1643" t="inlineStr">
        <is>
          <t>JÄMTLANDS LÄN</t>
        </is>
      </c>
      <c r="E1643" t="inlineStr">
        <is>
          <t>RAGUNDA</t>
        </is>
      </c>
      <c r="F1643" t="inlineStr">
        <is>
          <t>SCA</t>
        </is>
      </c>
      <c r="G1643" t="n">
        <v>38.6</v>
      </c>
      <c r="H1643" t="n">
        <v>0</v>
      </c>
      <c r="I1643" t="n">
        <v>0</v>
      </c>
      <c r="J1643" t="n">
        <v>0</v>
      </c>
      <c r="K1643" t="n">
        <v>0</v>
      </c>
      <c r="L1643" t="n">
        <v>0</v>
      </c>
      <c r="M1643" t="n">
        <v>0</v>
      </c>
      <c r="N1643" t="n">
        <v>0</v>
      </c>
      <c r="O1643" t="n">
        <v>0</v>
      </c>
      <c r="P1643" t="n">
        <v>0</v>
      </c>
      <c r="Q1643" t="n">
        <v>0</v>
      </c>
      <c r="R1643" s="2" t="inlineStr"/>
    </row>
    <row r="1644" ht="15" customHeight="1">
      <c r="A1644" t="inlineStr">
        <is>
          <t>A 41759-2024</t>
        </is>
      </c>
      <c r="B1644" s="1" t="n">
        <v>45561</v>
      </c>
      <c r="C1644" s="1" t="n">
        <v>45742</v>
      </c>
      <c r="D1644" t="inlineStr">
        <is>
          <t>JÄMTLANDS LÄN</t>
        </is>
      </c>
      <c r="E1644" t="inlineStr">
        <is>
          <t>RAGUNDA</t>
        </is>
      </c>
      <c r="F1644" t="inlineStr">
        <is>
          <t>SCA</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41772-2024</t>
        </is>
      </c>
      <c r="B1645" s="1" t="n">
        <v>45561</v>
      </c>
      <c r="C1645" s="1" t="n">
        <v>45742</v>
      </c>
      <c r="D1645" t="inlineStr">
        <is>
          <t>JÄMTLANDS LÄN</t>
        </is>
      </c>
      <c r="E1645" t="inlineStr">
        <is>
          <t>RAGUNDA</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42135-2024</t>
        </is>
      </c>
      <c r="B1646" s="1" t="n">
        <v>45562</v>
      </c>
      <c r="C1646" s="1" t="n">
        <v>45742</v>
      </c>
      <c r="D1646" t="inlineStr">
        <is>
          <t>JÄMTLANDS LÄN</t>
        </is>
      </c>
      <c r="E1646" t="inlineStr">
        <is>
          <t>RAGUNDA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42544-2024</t>
        </is>
      </c>
      <c r="B1647" s="1" t="n">
        <v>45565</v>
      </c>
      <c r="C1647" s="1" t="n">
        <v>45742</v>
      </c>
      <c r="D1647" t="inlineStr">
        <is>
          <t>JÄMTLANDS LÄN</t>
        </is>
      </c>
      <c r="E1647" t="inlineStr">
        <is>
          <t>RAGUNDA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42875-2024</t>
        </is>
      </c>
      <c r="B1648" s="1" t="n">
        <v>45566</v>
      </c>
      <c r="C1648" s="1" t="n">
        <v>45742</v>
      </c>
      <c r="D1648" t="inlineStr">
        <is>
          <t>JÄMTLANDS LÄN</t>
        </is>
      </c>
      <c r="E1648" t="inlineStr">
        <is>
          <t>RAGUNDA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42998-2024</t>
        </is>
      </c>
      <c r="B1649" s="1" t="n">
        <v>45567</v>
      </c>
      <c r="C1649" s="1" t="n">
        <v>45742</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42994-2024</t>
        </is>
      </c>
      <c r="B1650" s="1" t="n">
        <v>45567</v>
      </c>
      <c r="C1650" s="1" t="n">
        <v>45742</v>
      </c>
      <c r="D1650" t="inlineStr">
        <is>
          <t>JÄMTLANDS LÄN</t>
        </is>
      </c>
      <c r="E1650" t="inlineStr">
        <is>
          <t>RAGUNDA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43339-2024</t>
        </is>
      </c>
      <c r="B1651" s="1" t="n">
        <v>45568</v>
      </c>
      <c r="C1651" s="1" t="n">
        <v>45742</v>
      </c>
      <c r="D1651" t="inlineStr">
        <is>
          <t>JÄMTLANDS LÄN</t>
        </is>
      </c>
      <c r="E1651" t="inlineStr">
        <is>
          <t>RAGUNDA</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43738-2024</t>
        </is>
      </c>
      <c r="B1652" s="1" t="n">
        <v>45569</v>
      </c>
      <c r="C1652" s="1" t="n">
        <v>45742</v>
      </c>
      <c r="D1652" t="inlineStr">
        <is>
          <t>JÄMTLANDS LÄN</t>
        </is>
      </c>
      <c r="E1652" t="inlineStr">
        <is>
          <t>RAGUNDA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44070-2024</t>
        </is>
      </c>
      <c r="B1653" s="1" t="n">
        <v>45572</v>
      </c>
      <c r="C1653" s="1" t="n">
        <v>45742</v>
      </c>
      <c r="D1653" t="inlineStr">
        <is>
          <t>JÄMTLANDS LÄN</t>
        </is>
      </c>
      <c r="E1653" t="inlineStr">
        <is>
          <t>RAGUNDA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44066-2024</t>
        </is>
      </c>
      <c r="B1654" s="1" t="n">
        <v>45572</v>
      </c>
      <c r="C1654" s="1" t="n">
        <v>45742</v>
      </c>
      <c r="D1654" t="inlineStr">
        <is>
          <t>JÄMTLANDS LÄN</t>
        </is>
      </c>
      <c r="E1654" t="inlineStr">
        <is>
          <t>RAGUNDA</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44242-2024</t>
        </is>
      </c>
      <c r="B1655" s="1" t="n">
        <v>45573</v>
      </c>
      <c r="C1655" s="1" t="n">
        <v>45742</v>
      </c>
      <c r="D1655" t="inlineStr">
        <is>
          <t>JÄMTLANDS LÄN</t>
        </is>
      </c>
      <c r="E1655" t="inlineStr">
        <is>
          <t>RAGUNDA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44598-2024</t>
        </is>
      </c>
      <c r="B1656" s="1" t="n">
        <v>45574</v>
      </c>
      <c r="C1656" s="1" t="n">
        <v>45742</v>
      </c>
      <c r="D1656" t="inlineStr">
        <is>
          <t>JÄMTLANDS LÄN</t>
        </is>
      </c>
      <c r="E1656" t="inlineStr">
        <is>
          <t>RAGUNDA</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44755-2024</t>
        </is>
      </c>
      <c r="B1657" s="1" t="n">
        <v>45574</v>
      </c>
      <c r="C1657" s="1" t="n">
        <v>45742</v>
      </c>
      <c r="D1657" t="inlineStr">
        <is>
          <t>JÄMTLANDS LÄN</t>
        </is>
      </c>
      <c r="E1657" t="inlineStr">
        <is>
          <t>RAGUNDA</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44759-2024</t>
        </is>
      </c>
      <c r="B1658" s="1" t="n">
        <v>45574</v>
      </c>
      <c r="C1658" s="1" t="n">
        <v>45742</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44766-2024</t>
        </is>
      </c>
      <c r="B1659" s="1" t="n">
        <v>45574</v>
      </c>
      <c r="C1659" s="1" t="n">
        <v>45742</v>
      </c>
      <c r="D1659" t="inlineStr">
        <is>
          <t>JÄMTLANDS LÄN</t>
        </is>
      </c>
      <c r="E1659" t="inlineStr">
        <is>
          <t>RAGUNDA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44778-2024</t>
        </is>
      </c>
      <c r="B1660" s="1" t="n">
        <v>45574</v>
      </c>
      <c r="C1660" s="1" t="n">
        <v>45742</v>
      </c>
      <c r="D1660" t="inlineStr">
        <is>
          <t>JÄMTLANDS LÄN</t>
        </is>
      </c>
      <c r="E1660" t="inlineStr">
        <is>
          <t>RAGUNDA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44597-2024</t>
        </is>
      </c>
      <c r="B1661" s="1" t="n">
        <v>45574</v>
      </c>
      <c r="C1661" s="1" t="n">
        <v>45742</v>
      </c>
      <c r="D1661" t="inlineStr">
        <is>
          <t>JÄMTLANDS LÄN</t>
        </is>
      </c>
      <c r="E1661" t="inlineStr">
        <is>
          <t>RAGUNDA</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44605-2024</t>
        </is>
      </c>
      <c r="B1662" s="1" t="n">
        <v>45574</v>
      </c>
      <c r="C1662" s="1" t="n">
        <v>45742</v>
      </c>
      <c r="D1662" t="inlineStr">
        <is>
          <t>JÄMTLANDS LÄN</t>
        </is>
      </c>
      <c r="E1662" t="inlineStr">
        <is>
          <t>RAGUNDA</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44494-2024</t>
        </is>
      </c>
      <c r="B1663" s="1" t="n">
        <v>45574</v>
      </c>
      <c r="C1663" s="1" t="n">
        <v>45742</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44498-2024</t>
        </is>
      </c>
      <c r="B1664" s="1" t="n">
        <v>45574</v>
      </c>
      <c r="C1664" s="1" t="n">
        <v>45742</v>
      </c>
      <c r="D1664" t="inlineStr">
        <is>
          <t>JÄMTLANDS LÄN</t>
        </is>
      </c>
      <c r="E1664" t="inlineStr">
        <is>
          <t>RAGUNDA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44727-2024</t>
        </is>
      </c>
      <c r="B1665" s="1" t="n">
        <v>45574</v>
      </c>
      <c r="C1665" s="1" t="n">
        <v>45742</v>
      </c>
      <c r="D1665" t="inlineStr">
        <is>
          <t>JÄMTLANDS LÄN</t>
        </is>
      </c>
      <c r="E1665" t="inlineStr">
        <is>
          <t>RAGUNDA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44953-2024</t>
        </is>
      </c>
      <c r="B1666" s="1" t="n">
        <v>45575</v>
      </c>
      <c r="C1666" s="1" t="n">
        <v>45742</v>
      </c>
      <c r="D1666" t="inlineStr">
        <is>
          <t>JÄMTLANDS LÄN</t>
        </is>
      </c>
      <c r="E1666" t="inlineStr">
        <is>
          <t>RAGUNDA</t>
        </is>
      </c>
      <c r="F1666" t="inlineStr">
        <is>
          <t>SCA</t>
        </is>
      </c>
      <c r="G1666" t="n">
        <v>15.4</v>
      </c>
      <c r="H1666" t="n">
        <v>0</v>
      </c>
      <c r="I1666" t="n">
        <v>0</v>
      </c>
      <c r="J1666" t="n">
        <v>0</v>
      </c>
      <c r="K1666" t="n">
        <v>0</v>
      </c>
      <c r="L1666" t="n">
        <v>0</v>
      </c>
      <c r="M1666" t="n">
        <v>0</v>
      </c>
      <c r="N1666" t="n">
        <v>0</v>
      </c>
      <c r="O1666" t="n">
        <v>0</v>
      </c>
      <c r="P1666" t="n">
        <v>0</v>
      </c>
      <c r="Q1666" t="n">
        <v>0</v>
      </c>
      <c r="R1666" s="2" t="inlineStr"/>
    </row>
    <row r="1667" ht="15" customHeight="1">
      <c r="A1667" t="inlineStr">
        <is>
          <t>A 45273-2024</t>
        </is>
      </c>
      <c r="B1667" s="1" t="n">
        <v>45576</v>
      </c>
      <c r="C1667" s="1" t="n">
        <v>45742</v>
      </c>
      <c r="D1667" t="inlineStr">
        <is>
          <t>JÄMTLANDS LÄN</t>
        </is>
      </c>
      <c r="E1667" t="inlineStr">
        <is>
          <t>RAGUNDA</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45631-2024</t>
        </is>
      </c>
      <c r="B1668" s="1" t="n">
        <v>45579</v>
      </c>
      <c r="C1668" s="1" t="n">
        <v>45742</v>
      </c>
      <c r="D1668" t="inlineStr">
        <is>
          <t>JÄMTLANDS LÄN</t>
        </is>
      </c>
      <c r="E1668" t="inlineStr">
        <is>
          <t>RAGUNDA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45879-2024</t>
        </is>
      </c>
      <c r="B1669" s="1" t="n">
        <v>45580</v>
      </c>
      <c r="C1669" s="1" t="n">
        <v>45742</v>
      </c>
      <c r="D1669" t="inlineStr">
        <is>
          <t>JÄMTLANDS LÄN</t>
        </is>
      </c>
      <c r="E1669" t="inlineStr">
        <is>
          <t>RAGUNDA</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46211-2024</t>
        </is>
      </c>
      <c r="B1670" s="1" t="n">
        <v>45581</v>
      </c>
      <c r="C1670" s="1" t="n">
        <v>45742</v>
      </c>
      <c r="D1670" t="inlineStr">
        <is>
          <t>JÄMTLANDS LÄN</t>
        </is>
      </c>
      <c r="E1670" t="inlineStr">
        <is>
          <t>RAGUNDA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46090-2024</t>
        </is>
      </c>
      <c r="B1671" s="1" t="n">
        <v>45581</v>
      </c>
      <c r="C1671" s="1" t="n">
        <v>45742</v>
      </c>
      <c r="D1671" t="inlineStr">
        <is>
          <t>JÄMTLANDS LÄN</t>
        </is>
      </c>
      <c r="E1671" t="inlineStr">
        <is>
          <t>RAGUNDA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46250-2024</t>
        </is>
      </c>
      <c r="B1672" s="1" t="n">
        <v>45581</v>
      </c>
      <c r="C1672" s="1" t="n">
        <v>45742</v>
      </c>
      <c r="D1672" t="inlineStr">
        <is>
          <t>JÄMTLANDS LÄN</t>
        </is>
      </c>
      <c r="E1672" t="inlineStr">
        <is>
          <t>RAGUNDA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46637-2024</t>
        </is>
      </c>
      <c r="B1673" s="1" t="n">
        <v>45583</v>
      </c>
      <c r="C1673" s="1" t="n">
        <v>45742</v>
      </c>
      <c r="D1673" t="inlineStr">
        <is>
          <t>JÄMTLANDS LÄN</t>
        </is>
      </c>
      <c r="E1673" t="inlineStr">
        <is>
          <t>RAGUNDA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47658-2024</t>
        </is>
      </c>
      <c r="B1674" s="1" t="n">
        <v>45588</v>
      </c>
      <c r="C1674" s="1" t="n">
        <v>45742</v>
      </c>
      <c r="D1674" t="inlineStr">
        <is>
          <t>JÄMTLANDS LÄN</t>
        </is>
      </c>
      <c r="E1674" t="inlineStr">
        <is>
          <t>RAGUNDA</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47720-2024</t>
        </is>
      </c>
      <c r="B1675" s="1" t="n">
        <v>45588</v>
      </c>
      <c r="C1675" s="1" t="n">
        <v>45742</v>
      </c>
      <c r="D1675" t="inlineStr">
        <is>
          <t>JÄMTLANDS LÄN</t>
        </is>
      </c>
      <c r="E1675" t="inlineStr">
        <is>
          <t>RAGUNDA</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48147-2024</t>
        </is>
      </c>
      <c r="B1676" s="1" t="n">
        <v>45589</v>
      </c>
      <c r="C1676" s="1" t="n">
        <v>45742</v>
      </c>
      <c r="D1676" t="inlineStr">
        <is>
          <t>JÄMTLANDS LÄN</t>
        </is>
      </c>
      <c r="E1676" t="inlineStr">
        <is>
          <t>RAGUNDA</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48249-2024</t>
        </is>
      </c>
      <c r="B1677" s="1" t="n">
        <v>45590</v>
      </c>
      <c r="C1677" s="1" t="n">
        <v>45742</v>
      </c>
      <c r="D1677" t="inlineStr">
        <is>
          <t>JÄMTLANDS LÄN</t>
        </is>
      </c>
      <c r="E1677" t="inlineStr">
        <is>
          <t>RAGUNDA</t>
        </is>
      </c>
      <c r="F1677" t="inlineStr">
        <is>
          <t>SCA</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48192-2024</t>
        </is>
      </c>
      <c r="B1678" s="1" t="n">
        <v>45590</v>
      </c>
      <c r="C1678" s="1" t="n">
        <v>45742</v>
      </c>
      <c r="D1678" t="inlineStr">
        <is>
          <t>JÄMTLANDS LÄN</t>
        </is>
      </c>
      <c r="E1678" t="inlineStr">
        <is>
          <t>RAGUNDA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48666-2024</t>
        </is>
      </c>
      <c r="B1679" s="1" t="n">
        <v>45593</v>
      </c>
      <c r="C1679" s="1" t="n">
        <v>45742</v>
      </c>
      <c r="D1679" t="inlineStr">
        <is>
          <t>JÄMTLANDS LÄN</t>
        </is>
      </c>
      <c r="E1679" t="inlineStr">
        <is>
          <t>RAGUNDA</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49229-2024</t>
        </is>
      </c>
      <c r="B1680" s="1" t="n">
        <v>45595</v>
      </c>
      <c r="C1680" s="1" t="n">
        <v>45742</v>
      </c>
      <c r="D1680" t="inlineStr">
        <is>
          <t>JÄMTLANDS LÄN</t>
        </is>
      </c>
      <c r="E1680" t="inlineStr">
        <is>
          <t>RAGUNDA</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49239-2024</t>
        </is>
      </c>
      <c r="B1681" s="1" t="n">
        <v>45595</v>
      </c>
      <c r="C1681" s="1" t="n">
        <v>45742</v>
      </c>
      <c r="D1681" t="inlineStr">
        <is>
          <t>JÄMTLANDS LÄN</t>
        </is>
      </c>
      <c r="E1681" t="inlineStr">
        <is>
          <t>RAGUNDA</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49348-2024</t>
        </is>
      </c>
      <c r="B1682" s="1" t="n">
        <v>45595</v>
      </c>
      <c r="C1682" s="1" t="n">
        <v>45742</v>
      </c>
      <c r="D1682" t="inlineStr">
        <is>
          <t>JÄMTLANDS LÄN</t>
        </is>
      </c>
      <c r="E1682" t="inlineStr">
        <is>
          <t>RAGUNDA</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49649-2024</t>
        </is>
      </c>
      <c r="B1683" s="1" t="n">
        <v>45596</v>
      </c>
      <c r="C1683" s="1" t="n">
        <v>45742</v>
      </c>
      <c r="D1683" t="inlineStr">
        <is>
          <t>JÄMTLANDS LÄN</t>
        </is>
      </c>
      <c r="E1683" t="inlineStr">
        <is>
          <t>RAGUNDA</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49650-2024</t>
        </is>
      </c>
      <c r="B1684" s="1" t="n">
        <v>45596</v>
      </c>
      <c r="C1684" s="1" t="n">
        <v>45742</v>
      </c>
      <c r="D1684" t="inlineStr">
        <is>
          <t>JÄMTLANDS LÄN</t>
        </is>
      </c>
      <c r="E1684" t="inlineStr">
        <is>
          <t>RAGUNDA</t>
        </is>
      </c>
      <c r="F1684" t="inlineStr">
        <is>
          <t>Naturvårdsverket</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49653-2024</t>
        </is>
      </c>
      <c r="B1685" s="1" t="n">
        <v>45596</v>
      </c>
      <c r="C1685" s="1" t="n">
        <v>45742</v>
      </c>
      <c r="D1685" t="inlineStr">
        <is>
          <t>JÄMTLANDS LÄN</t>
        </is>
      </c>
      <c r="E1685" t="inlineStr">
        <is>
          <t>RAGUNDA</t>
        </is>
      </c>
      <c r="F1685" t="inlineStr">
        <is>
          <t>SCA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49647-2024</t>
        </is>
      </c>
      <c r="B1686" s="1" t="n">
        <v>45596</v>
      </c>
      <c r="C1686" s="1" t="n">
        <v>45742</v>
      </c>
      <c r="D1686" t="inlineStr">
        <is>
          <t>JÄMTLANDS LÄN</t>
        </is>
      </c>
      <c r="E1686" t="inlineStr">
        <is>
          <t>RAGUNDA</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49651-2024</t>
        </is>
      </c>
      <c r="B1687" s="1" t="n">
        <v>45596</v>
      </c>
      <c r="C1687" s="1" t="n">
        <v>45742</v>
      </c>
      <c r="D1687" t="inlineStr">
        <is>
          <t>JÄMTLANDS LÄN</t>
        </is>
      </c>
      <c r="E1687" t="inlineStr">
        <is>
          <t>RAGUNDA</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49787-2024</t>
        </is>
      </c>
      <c r="B1688" s="1" t="n">
        <v>45597</v>
      </c>
      <c r="C1688" s="1" t="n">
        <v>45742</v>
      </c>
      <c r="D1688" t="inlineStr">
        <is>
          <t>JÄMTLANDS LÄN</t>
        </is>
      </c>
      <c r="E1688" t="inlineStr">
        <is>
          <t>RAGUNDA</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50011-2024</t>
        </is>
      </c>
      <c r="B1689" s="1" t="n">
        <v>45598</v>
      </c>
      <c r="C1689" s="1" t="n">
        <v>45742</v>
      </c>
      <c r="D1689" t="inlineStr">
        <is>
          <t>JÄMTLANDS LÄN</t>
        </is>
      </c>
      <c r="E1689" t="inlineStr">
        <is>
          <t>RAGUNDA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50521-2024</t>
        </is>
      </c>
      <c r="B1690" s="1" t="n">
        <v>45601</v>
      </c>
      <c r="C1690" s="1" t="n">
        <v>45742</v>
      </c>
      <c r="D1690" t="inlineStr">
        <is>
          <t>JÄMTLANDS LÄN</t>
        </is>
      </c>
      <c r="E1690" t="inlineStr">
        <is>
          <t>RAGUNDA</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50555-2024</t>
        </is>
      </c>
      <c r="B1691" s="1" t="n">
        <v>45601</v>
      </c>
      <c r="C1691" s="1" t="n">
        <v>45742</v>
      </c>
      <c r="D1691" t="inlineStr">
        <is>
          <t>JÄMTLANDS LÄN</t>
        </is>
      </c>
      <c r="E1691" t="inlineStr">
        <is>
          <t>RAGUNDA</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50432-2024</t>
        </is>
      </c>
      <c r="B1692" s="1" t="n">
        <v>45601</v>
      </c>
      <c r="C1692" s="1" t="n">
        <v>45742</v>
      </c>
      <c r="D1692" t="inlineStr">
        <is>
          <t>JÄMTLANDS LÄN</t>
        </is>
      </c>
      <c r="E1692" t="inlineStr">
        <is>
          <t>RAGUNDA</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50503-2024</t>
        </is>
      </c>
      <c r="B1693" s="1" t="n">
        <v>45601</v>
      </c>
      <c r="C1693" s="1" t="n">
        <v>45742</v>
      </c>
      <c r="D1693" t="inlineStr">
        <is>
          <t>JÄMTLANDS LÄN</t>
        </is>
      </c>
      <c r="E1693" t="inlineStr">
        <is>
          <t>RAGUNDA</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50623-2024</t>
        </is>
      </c>
      <c r="B1694" s="1" t="n">
        <v>45601</v>
      </c>
      <c r="C1694" s="1" t="n">
        <v>45742</v>
      </c>
      <c r="D1694" t="inlineStr">
        <is>
          <t>JÄMTLANDS LÄN</t>
        </is>
      </c>
      <c r="E1694" t="inlineStr">
        <is>
          <t>RAGUNDA</t>
        </is>
      </c>
      <c r="F1694" t="inlineStr">
        <is>
          <t>SCA</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50431-2024</t>
        </is>
      </c>
      <c r="B1695" s="1" t="n">
        <v>45601</v>
      </c>
      <c r="C1695" s="1" t="n">
        <v>45742</v>
      </c>
      <c r="D1695" t="inlineStr">
        <is>
          <t>JÄMTLANDS LÄN</t>
        </is>
      </c>
      <c r="E1695" t="inlineStr">
        <is>
          <t>RAGUNDA</t>
        </is>
      </c>
      <c r="F1695" t="inlineStr">
        <is>
          <t>SCA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51066-2024</t>
        </is>
      </c>
      <c r="B1696" s="1" t="n">
        <v>45603</v>
      </c>
      <c r="C1696" s="1" t="n">
        <v>45742</v>
      </c>
      <c r="D1696" t="inlineStr">
        <is>
          <t>JÄMTLANDS LÄN</t>
        </is>
      </c>
      <c r="E1696" t="inlineStr">
        <is>
          <t>RAGUNDA</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51245-2024</t>
        </is>
      </c>
      <c r="B1697" s="1" t="n">
        <v>45603</v>
      </c>
      <c r="C1697" s="1" t="n">
        <v>45742</v>
      </c>
      <c r="D1697" t="inlineStr">
        <is>
          <t>JÄMTLANDS LÄN</t>
        </is>
      </c>
      <c r="E1697" t="inlineStr">
        <is>
          <t>RAGUNDA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51049-2024</t>
        </is>
      </c>
      <c r="B1698" s="1" t="n">
        <v>45603</v>
      </c>
      <c r="C1698" s="1" t="n">
        <v>45742</v>
      </c>
      <c r="D1698" t="inlineStr">
        <is>
          <t>JÄMTLANDS LÄN</t>
        </is>
      </c>
      <c r="E1698" t="inlineStr">
        <is>
          <t>RAGUNDA</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51396-2024</t>
        </is>
      </c>
      <c r="B1699" s="1" t="n">
        <v>45604</v>
      </c>
      <c r="C1699" s="1" t="n">
        <v>45742</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51412-2024</t>
        </is>
      </c>
      <c r="B1700" s="1" t="n">
        <v>45604</v>
      </c>
      <c r="C1700" s="1" t="n">
        <v>45742</v>
      </c>
      <c r="D1700" t="inlineStr">
        <is>
          <t>JÄMTLANDS LÄN</t>
        </is>
      </c>
      <c r="E1700" t="inlineStr">
        <is>
          <t>RAGUNDA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51335-2024</t>
        </is>
      </c>
      <c r="B1701" s="1" t="n">
        <v>45604</v>
      </c>
      <c r="C1701" s="1" t="n">
        <v>45742</v>
      </c>
      <c r="D1701" t="inlineStr">
        <is>
          <t>JÄMTLANDS LÄN</t>
        </is>
      </c>
      <c r="E1701" t="inlineStr">
        <is>
          <t>RAGUNDA</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51579-2024</t>
        </is>
      </c>
      <c r="B1702" s="1" t="n">
        <v>45604</v>
      </c>
      <c r="C1702" s="1" t="n">
        <v>45742</v>
      </c>
      <c r="D1702" t="inlineStr">
        <is>
          <t>JÄMTLANDS LÄN</t>
        </is>
      </c>
      <c r="E1702" t="inlineStr">
        <is>
          <t>RAGUNDA</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51389-2024</t>
        </is>
      </c>
      <c r="B1703" s="1" t="n">
        <v>45604</v>
      </c>
      <c r="C1703" s="1" t="n">
        <v>45742</v>
      </c>
      <c r="D1703" t="inlineStr">
        <is>
          <t>JÄMTLANDS LÄN</t>
        </is>
      </c>
      <c r="E1703" t="inlineStr">
        <is>
          <t>RAGUNDA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51393-2024</t>
        </is>
      </c>
      <c r="B1704" s="1" t="n">
        <v>45604</v>
      </c>
      <c r="C1704" s="1" t="n">
        <v>45742</v>
      </c>
      <c r="D1704" t="inlineStr">
        <is>
          <t>JÄMTLANDS LÄN</t>
        </is>
      </c>
      <c r="E1704" t="inlineStr">
        <is>
          <t>RAGUNDA</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51397-2024</t>
        </is>
      </c>
      <c r="B1705" s="1" t="n">
        <v>45604</v>
      </c>
      <c r="C1705" s="1" t="n">
        <v>45742</v>
      </c>
      <c r="D1705" t="inlineStr">
        <is>
          <t>JÄMTLANDS LÄN</t>
        </is>
      </c>
      <c r="E1705" t="inlineStr">
        <is>
          <t>RAGUNDA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51417-2024</t>
        </is>
      </c>
      <c r="B1706" s="1" t="n">
        <v>45604</v>
      </c>
      <c r="C1706" s="1" t="n">
        <v>45742</v>
      </c>
      <c r="D1706" t="inlineStr">
        <is>
          <t>JÄMTLANDS LÄN</t>
        </is>
      </c>
      <c r="E1706" t="inlineStr">
        <is>
          <t>RAGUNDA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52013-2024</t>
        </is>
      </c>
      <c r="B1707" s="1" t="n">
        <v>45607</v>
      </c>
      <c r="C1707" s="1" t="n">
        <v>45742</v>
      </c>
      <c r="D1707" t="inlineStr">
        <is>
          <t>JÄMTLANDS LÄN</t>
        </is>
      </c>
      <c r="E1707" t="inlineStr">
        <is>
          <t>RAGUNDA</t>
        </is>
      </c>
      <c r="G1707" t="n">
        <v>12.8</v>
      </c>
      <c r="H1707" t="n">
        <v>0</v>
      </c>
      <c r="I1707" t="n">
        <v>0</v>
      </c>
      <c r="J1707" t="n">
        <v>0</v>
      </c>
      <c r="K1707" t="n">
        <v>0</v>
      </c>
      <c r="L1707" t="n">
        <v>0</v>
      </c>
      <c r="M1707" t="n">
        <v>0</v>
      </c>
      <c r="N1707" t="n">
        <v>0</v>
      </c>
      <c r="O1707" t="n">
        <v>0</v>
      </c>
      <c r="P1707" t="n">
        <v>0</v>
      </c>
      <c r="Q1707" t="n">
        <v>0</v>
      </c>
      <c r="R1707" s="2" t="inlineStr"/>
    </row>
    <row r="1708" ht="15" customHeight="1">
      <c r="A1708" t="inlineStr">
        <is>
          <t>A 52228-2024</t>
        </is>
      </c>
      <c r="B1708" s="1" t="n">
        <v>45608</v>
      </c>
      <c r="C1708" s="1" t="n">
        <v>45742</v>
      </c>
      <c r="D1708" t="inlineStr">
        <is>
          <t>JÄMTLANDS LÄN</t>
        </is>
      </c>
      <c r="E1708" t="inlineStr">
        <is>
          <t>RAGUNDA</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52148-2024</t>
        </is>
      </c>
      <c r="B1709" s="1" t="n">
        <v>45608</v>
      </c>
      <c r="C1709" s="1" t="n">
        <v>45742</v>
      </c>
      <c r="D1709" t="inlineStr">
        <is>
          <t>JÄMTLANDS LÄN</t>
        </is>
      </c>
      <c r="E1709" t="inlineStr">
        <is>
          <t>RAGUNDA</t>
        </is>
      </c>
      <c r="F1709" t="inlineStr">
        <is>
          <t>SCA</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52345-2024</t>
        </is>
      </c>
      <c r="B1710" s="1" t="n">
        <v>45609</v>
      </c>
      <c r="C1710" s="1" t="n">
        <v>45742</v>
      </c>
      <c r="D1710" t="inlineStr">
        <is>
          <t>JÄMTLANDS LÄN</t>
        </is>
      </c>
      <c r="E1710" t="inlineStr">
        <is>
          <t>RAGUNDA</t>
        </is>
      </c>
      <c r="F1710" t="inlineStr">
        <is>
          <t>SCA</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52599-2024</t>
        </is>
      </c>
      <c r="B1711" s="1" t="n">
        <v>45609</v>
      </c>
      <c r="C1711" s="1" t="n">
        <v>45742</v>
      </c>
      <c r="D1711" t="inlineStr">
        <is>
          <t>JÄMTLANDS LÄN</t>
        </is>
      </c>
      <c r="E1711" t="inlineStr">
        <is>
          <t>RAGUNDA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52708-2024</t>
        </is>
      </c>
      <c r="B1712" s="1" t="n">
        <v>45610</v>
      </c>
      <c r="C1712" s="1" t="n">
        <v>45742</v>
      </c>
      <c r="D1712" t="inlineStr">
        <is>
          <t>JÄMTLANDS LÄN</t>
        </is>
      </c>
      <c r="E1712" t="inlineStr">
        <is>
          <t>RAGUNDA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53171-2024</t>
        </is>
      </c>
      <c r="B1713" s="1" t="n">
        <v>45611</v>
      </c>
      <c r="C1713" s="1" t="n">
        <v>45742</v>
      </c>
      <c r="D1713" t="inlineStr">
        <is>
          <t>JÄMTLANDS LÄN</t>
        </is>
      </c>
      <c r="E1713" t="inlineStr">
        <is>
          <t>RAGUNDA</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53133-2024</t>
        </is>
      </c>
      <c r="B1714" s="1" t="n">
        <v>45611</v>
      </c>
      <c r="C1714" s="1" t="n">
        <v>45742</v>
      </c>
      <c r="D1714" t="inlineStr">
        <is>
          <t>JÄMTLANDS LÄN</t>
        </is>
      </c>
      <c r="E1714" t="inlineStr">
        <is>
          <t>RAGUNDA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53136-2024</t>
        </is>
      </c>
      <c r="B1715" s="1" t="n">
        <v>45611</v>
      </c>
      <c r="C1715" s="1" t="n">
        <v>45742</v>
      </c>
      <c r="D1715" t="inlineStr">
        <is>
          <t>JÄMTLANDS LÄN</t>
        </is>
      </c>
      <c r="E1715" t="inlineStr">
        <is>
          <t>RAGUNDA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53144-2024</t>
        </is>
      </c>
      <c r="B1716" s="1" t="n">
        <v>45611</v>
      </c>
      <c r="C1716" s="1" t="n">
        <v>45742</v>
      </c>
      <c r="D1716" t="inlineStr">
        <is>
          <t>JÄMTLANDS LÄN</t>
        </is>
      </c>
      <c r="E1716" t="inlineStr">
        <is>
          <t>RAGUNDA</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53135-2024</t>
        </is>
      </c>
      <c r="B1717" s="1" t="n">
        <v>45611</v>
      </c>
      <c r="C1717" s="1" t="n">
        <v>45742</v>
      </c>
      <c r="D1717" t="inlineStr">
        <is>
          <t>JÄMTLANDS LÄN</t>
        </is>
      </c>
      <c r="E1717" t="inlineStr">
        <is>
          <t>RAGUNDA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53134-2024</t>
        </is>
      </c>
      <c r="B1718" s="1" t="n">
        <v>45611</v>
      </c>
      <c r="C1718" s="1" t="n">
        <v>45742</v>
      </c>
      <c r="D1718" t="inlineStr">
        <is>
          <t>JÄMTLANDS LÄN</t>
        </is>
      </c>
      <c r="E1718" t="inlineStr">
        <is>
          <t>RAGUNDA</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53551-2024</t>
        </is>
      </c>
      <c r="B1719" s="1" t="n">
        <v>45614</v>
      </c>
      <c r="C1719" s="1" t="n">
        <v>45742</v>
      </c>
      <c r="D1719" t="inlineStr">
        <is>
          <t>JÄMTLANDS LÄN</t>
        </is>
      </c>
      <c r="E1719" t="inlineStr">
        <is>
          <t>RAGUNDA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53561-2024</t>
        </is>
      </c>
      <c r="B1720" s="1" t="n">
        <v>45614</v>
      </c>
      <c r="C1720" s="1" t="n">
        <v>45742</v>
      </c>
      <c r="D1720" t="inlineStr">
        <is>
          <t>JÄMTLANDS LÄN</t>
        </is>
      </c>
      <c r="E1720" t="inlineStr">
        <is>
          <t>RAGUNDA</t>
        </is>
      </c>
      <c r="F1720" t="inlineStr">
        <is>
          <t>Naturvårdsverket</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53264-2024</t>
        </is>
      </c>
      <c r="B1721" s="1" t="n">
        <v>45614</v>
      </c>
      <c r="C1721" s="1" t="n">
        <v>45742</v>
      </c>
      <c r="D1721" t="inlineStr">
        <is>
          <t>JÄMTLANDS LÄN</t>
        </is>
      </c>
      <c r="E1721" t="inlineStr">
        <is>
          <t>RAGUNDA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53549-2024</t>
        </is>
      </c>
      <c r="B1722" s="1" t="n">
        <v>45614</v>
      </c>
      <c r="C1722" s="1" t="n">
        <v>45742</v>
      </c>
      <c r="D1722" t="inlineStr">
        <is>
          <t>JÄMTLANDS LÄN</t>
        </is>
      </c>
      <c r="E1722" t="inlineStr">
        <is>
          <t>RAGUNDA</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53263-2024</t>
        </is>
      </c>
      <c r="B1723" s="1" t="n">
        <v>45614</v>
      </c>
      <c r="C1723" s="1" t="n">
        <v>45742</v>
      </c>
      <c r="D1723" t="inlineStr">
        <is>
          <t>JÄMTLANDS LÄN</t>
        </is>
      </c>
      <c r="E1723" t="inlineStr">
        <is>
          <t>RAGUNDA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53714-2024</t>
        </is>
      </c>
      <c r="B1724" s="1" t="n">
        <v>45615</v>
      </c>
      <c r="C1724" s="1" t="n">
        <v>45742</v>
      </c>
      <c r="D1724" t="inlineStr">
        <is>
          <t>JÄMTLANDS LÄN</t>
        </is>
      </c>
      <c r="E1724" t="inlineStr">
        <is>
          <t>RAGUNDA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53740-2024</t>
        </is>
      </c>
      <c r="B1725" s="1" t="n">
        <v>45615</v>
      </c>
      <c r="C1725" s="1" t="n">
        <v>45742</v>
      </c>
      <c r="D1725" t="inlineStr">
        <is>
          <t>JÄMTLANDS LÄN</t>
        </is>
      </c>
      <c r="E1725" t="inlineStr">
        <is>
          <t>RAGUNDA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53757-2024</t>
        </is>
      </c>
      <c r="B1726" s="1" t="n">
        <v>45615</v>
      </c>
      <c r="C1726" s="1" t="n">
        <v>45742</v>
      </c>
      <c r="D1726" t="inlineStr">
        <is>
          <t>JÄMTLANDS LÄN</t>
        </is>
      </c>
      <c r="E1726" t="inlineStr">
        <is>
          <t>RAGUNDA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53990-2024</t>
        </is>
      </c>
      <c r="B1727" s="1" t="n">
        <v>45616</v>
      </c>
      <c r="C1727" s="1" t="n">
        <v>45742</v>
      </c>
      <c r="D1727" t="inlineStr">
        <is>
          <t>JÄMTLANDS LÄN</t>
        </is>
      </c>
      <c r="E1727" t="inlineStr">
        <is>
          <t>RAGUNDA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54061-2024</t>
        </is>
      </c>
      <c r="B1728" s="1" t="n">
        <v>45616</v>
      </c>
      <c r="C1728" s="1" t="n">
        <v>45742</v>
      </c>
      <c r="D1728" t="inlineStr">
        <is>
          <t>JÄMTLANDS LÄN</t>
        </is>
      </c>
      <c r="E1728" t="inlineStr">
        <is>
          <t>RAGUNDA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54092-2024</t>
        </is>
      </c>
      <c r="B1729" s="1" t="n">
        <v>45616</v>
      </c>
      <c r="C1729" s="1" t="n">
        <v>45742</v>
      </c>
      <c r="D1729" t="inlineStr">
        <is>
          <t>JÄMTLANDS LÄN</t>
        </is>
      </c>
      <c r="E1729" t="inlineStr">
        <is>
          <t>RAGUNDA</t>
        </is>
      </c>
      <c r="F1729" t="inlineStr">
        <is>
          <t>Naturvårdsverket</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53989-2024</t>
        </is>
      </c>
      <c r="B1730" s="1" t="n">
        <v>45616</v>
      </c>
      <c r="C1730" s="1" t="n">
        <v>45742</v>
      </c>
      <c r="D1730" t="inlineStr">
        <is>
          <t>JÄMTLANDS LÄN</t>
        </is>
      </c>
      <c r="E1730" t="inlineStr">
        <is>
          <t>RAGUNDA</t>
        </is>
      </c>
      <c r="F1730" t="inlineStr">
        <is>
          <t>SCA</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54232-2024</t>
        </is>
      </c>
      <c r="B1731" s="1" t="n">
        <v>45616</v>
      </c>
      <c r="C1731" s="1" t="n">
        <v>45742</v>
      </c>
      <c r="D1731" t="inlineStr">
        <is>
          <t>JÄMTLANDS LÄN</t>
        </is>
      </c>
      <c r="E1731" t="inlineStr">
        <is>
          <t>RAGUNDA</t>
        </is>
      </c>
      <c r="F1731" t="inlineStr">
        <is>
          <t>Naturvårdsverket</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54339-2024</t>
        </is>
      </c>
      <c r="B1732" s="1" t="n">
        <v>45617</v>
      </c>
      <c r="C1732" s="1" t="n">
        <v>45742</v>
      </c>
      <c r="D1732" t="inlineStr">
        <is>
          <t>JÄMTLANDS LÄN</t>
        </is>
      </c>
      <c r="E1732" t="inlineStr">
        <is>
          <t>RAGUNDA</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54476-2024</t>
        </is>
      </c>
      <c r="B1733" s="1" t="n">
        <v>45617</v>
      </c>
      <c r="C1733" s="1" t="n">
        <v>45742</v>
      </c>
      <c r="D1733" t="inlineStr">
        <is>
          <t>JÄMTLANDS LÄN</t>
        </is>
      </c>
      <c r="E1733" t="inlineStr">
        <is>
          <t>RAGUNDA</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54733-2024</t>
        </is>
      </c>
      <c r="B1734" s="1" t="n">
        <v>45618</v>
      </c>
      <c r="C1734" s="1" t="n">
        <v>45742</v>
      </c>
      <c r="D1734" t="inlineStr">
        <is>
          <t>JÄMTLANDS LÄN</t>
        </is>
      </c>
      <c r="E1734" t="inlineStr">
        <is>
          <t>RAGUNDA</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54694-2024</t>
        </is>
      </c>
      <c r="B1735" s="1" t="n">
        <v>45618</v>
      </c>
      <c r="C1735" s="1" t="n">
        <v>45742</v>
      </c>
      <c r="D1735" t="inlineStr">
        <is>
          <t>JÄMTLANDS LÄN</t>
        </is>
      </c>
      <c r="E1735" t="inlineStr">
        <is>
          <t>RAGUNDA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54764-2024</t>
        </is>
      </c>
      <c r="B1736" s="1" t="n">
        <v>45618</v>
      </c>
      <c r="C1736" s="1" t="n">
        <v>45742</v>
      </c>
      <c r="D1736" t="inlineStr">
        <is>
          <t>JÄMTLANDS LÄN</t>
        </is>
      </c>
      <c r="E1736" t="inlineStr">
        <is>
          <t>RAGUNDA</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55222-2024</t>
        </is>
      </c>
      <c r="B1737" s="1" t="n">
        <v>45621</v>
      </c>
      <c r="C1737" s="1" t="n">
        <v>45742</v>
      </c>
      <c r="D1737" t="inlineStr">
        <is>
          <t>JÄMTLANDS LÄN</t>
        </is>
      </c>
      <c r="E1737" t="inlineStr">
        <is>
          <t>RAGUNDA</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55489-2024</t>
        </is>
      </c>
      <c r="B1738" s="1" t="n">
        <v>45622</v>
      </c>
      <c r="C1738" s="1" t="n">
        <v>45742</v>
      </c>
      <c r="D1738" t="inlineStr">
        <is>
          <t>JÄMTLANDS LÄN</t>
        </is>
      </c>
      <c r="E1738" t="inlineStr">
        <is>
          <t>RAGUNDA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55571-2024</t>
        </is>
      </c>
      <c r="B1739" s="1" t="n">
        <v>45622</v>
      </c>
      <c r="C1739" s="1" t="n">
        <v>45742</v>
      </c>
      <c r="D1739" t="inlineStr">
        <is>
          <t>JÄMTLANDS LÄN</t>
        </is>
      </c>
      <c r="E1739" t="inlineStr">
        <is>
          <t>RAGUNDA</t>
        </is>
      </c>
      <c r="F1739" t="inlineStr">
        <is>
          <t>SCA</t>
        </is>
      </c>
      <c r="G1739" t="n">
        <v>41.5</v>
      </c>
      <c r="H1739" t="n">
        <v>0</v>
      </c>
      <c r="I1739" t="n">
        <v>0</v>
      </c>
      <c r="J1739" t="n">
        <v>0</v>
      </c>
      <c r="K1739" t="n">
        <v>0</v>
      </c>
      <c r="L1739" t="n">
        <v>0</v>
      </c>
      <c r="M1739" t="n">
        <v>0</v>
      </c>
      <c r="N1739" t="n">
        <v>0</v>
      </c>
      <c r="O1739" t="n">
        <v>0</v>
      </c>
      <c r="P1739" t="n">
        <v>0</v>
      </c>
      <c r="Q1739" t="n">
        <v>0</v>
      </c>
      <c r="R1739" s="2" t="inlineStr"/>
    </row>
    <row r="1740" ht="15" customHeight="1">
      <c r="A1740" t="inlineStr">
        <is>
          <t>A 55421-2024</t>
        </is>
      </c>
      <c r="B1740" s="1" t="n">
        <v>45622</v>
      </c>
      <c r="C1740" s="1" t="n">
        <v>45742</v>
      </c>
      <c r="D1740" t="inlineStr">
        <is>
          <t>JÄMTLANDS LÄN</t>
        </is>
      </c>
      <c r="E1740" t="inlineStr">
        <is>
          <t>RAGUNDA</t>
        </is>
      </c>
      <c r="F1740" t="inlineStr">
        <is>
          <t>SCA</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55508-2024</t>
        </is>
      </c>
      <c r="B1741" s="1" t="n">
        <v>45622</v>
      </c>
      <c r="C1741" s="1" t="n">
        <v>45742</v>
      </c>
      <c r="D1741" t="inlineStr">
        <is>
          <t>JÄMTLANDS LÄN</t>
        </is>
      </c>
      <c r="E1741" t="inlineStr">
        <is>
          <t>RAGUNDA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55536-2024</t>
        </is>
      </c>
      <c r="B1742" s="1" t="n">
        <v>45622</v>
      </c>
      <c r="C1742" s="1" t="n">
        <v>45742</v>
      </c>
      <c r="D1742" t="inlineStr">
        <is>
          <t>JÄMTLANDS LÄN</t>
        </is>
      </c>
      <c r="E1742" t="inlineStr">
        <is>
          <t>RAGUNDA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55514-2024</t>
        </is>
      </c>
      <c r="B1743" s="1" t="n">
        <v>45622</v>
      </c>
      <c r="C1743" s="1" t="n">
        <v>45742</v>
      </c>
      <c r="D1743" t="inlineStr">
        <is>
          <t>JÄMTLANDS LÄN</t>
        </is>
      </c>
      <c r="E1743" t="inlineStr">
        <is>
          <t>RAGUNDA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55524-2024</t>
        </is>
      </c>
      <c r="B1744" s="1" t="n">
        <v>45622</v>
      </c>
      <c r="C1744" s="1" t="n">
        <v>45742</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55533-2024</t>
        </is>
      </c>
      <c r="B1745" s="1" t="n">
        <v>45622</v>
      </c>
      <c r="C1745" s="1" t="n">
        <v>45742</v>
      </c>
      <c r="D1745" t="inlineStr">
        <is>
          <t>JÄMTLANDS LÄN</t>
        </is>
      </c>
      <c r="E1745" t="inlineStr">
        <is>
          <t>RAGUNDA</t>
        </is>
      </c>
      <c r="F1745" t="inlineStr">
        <is>
          <t>SCA</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55803-2024</t>
        </is>
      </c>
      <c r="B1746" s="1" t="n">
        <v>45623</v>
      </c>
      <c r="C1746" s="1" t="n">
        <v>45742</v>
      </c>
      <c r="D1746" t="inlineStr">
        <is>
          <t>JÄMTLANDS LÄN</t>
        </is>
      </c>
      <c r="E1746" t="inlineStr">
        <is>
          <t>RAGUNDA</t>
        </is>
      </c>
      <c r="F1746" t="inlineStr">
        <is>
          <t>SCA</t>
        </is>
      </c>
      <c r="G1746" t="n">
        <v>19.4</v>
      </c>
      <c r="H1746" t="n">
        <v>0</v>
      </c>
      <c r="I1746" t="n">
        <v>0</v>
      </c>
      <c r="J1746" t="n">
        <v>0</v>
      </c>
      <c r="K1746" t="n">
        <v>0</v>
      </c>
      <c r="L1746" t="n">
        <v>0</v>
      </c>
      <c r="M1746" t="n">
        <v>0</v>
      </c>
      <c r="N1746" t="n">
        <v>0</v>
      </c>
      <c r="O1746" t="n">
        <v>0</v>
      </c>
      <c r="P1746" t="n">
        <v>0</v>
      </c>
      <c r="Q1746" t="n">
        <v>0</v>
      </c>
      <c r="R1746" s="2" t="inlineStr"/>
    </row>
    <row r="1747" ht="15" customHeight="1">
      <c r="A1747" t="inlineStr">
        <is>
          <t>A 55804-2024</t>
        </is>
      </c>
      <c r="B1747" s="1" t="n">
        <v>45623</v>
      </c>
      <c r="C1747" s="1" t="n">
        <v>45742</v>
      </c>
      <c r="D1747" t="inlineStr">
        <is>
          <t>JÄMTLANDS LÄN</t>
        </is>
      </c>
      <c r="E1747" t="inlineStr">
        <is>
          <t>RAGUNDA</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56504-2024</t>
        </is>
      </c>
      <c r="B1748" s="1" t="n">
        <v>45625</v>
      </c>
      <c r="C1748" s="1" t="n">
        <v>45742</v>
      </c>
      <c r="D1748" t="inlineStr">
        <is>
          <t>JÄMTLANDS LÄN</t>
        </is>
      </c>
      <c r="E1748" t="inlineStr">
        <is>
          <t>RAGUNDA</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56893-2024</t>
        </is>
      </c>
      <c r="B1749" s="1" t="n">
        <v>45628</v>
      </c>
      <c r="C1749" s="1" t="n">
        <v>45742</v>
      </c>
      <c r="D1749" t="inlineStr">
        <is>
          <t>JÄMTLANDS LÄN</t>
        </is>
      </c>
      <c r="E1749" t="inlineStr">
        <is>
          <t>RAGUNDA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57086-2024</t>
        </is>
      </c>
      <c r="B1750" s="1" t="n">
        <v>45629</v>
      </c>
      <c r="C1750" s="1" t="n">
        <v>45742</v>
      </c>
      <c r="D1750" t="inlineStr">
        <is>
          <t>JÄMTLANDS LÄN</t>
        </is>
      </c>
      <c r="E1750" t="inlineStr">
        <is>
          <t>RAGUNDA</t>
        </is>
      </c>
      <c r="F1750" t="inlineStr">
        <is>
          <t>SCA</t>
        </is>
      </c>
      <c r="G1750" t="n">
        <v>24.6</v>
      </c>
      <c r="H1750" t="n">
        <v>0</v>
      </c>
      <c r="I1750" t="n">
        <v>0</v>
      </c>
      <c r="J1750" t="n">
        <v>0</v>
      </c>
      <c r="K1750" t="n">
        <v>0</v>
      </c>
      <c r="L1750" t="n">
        <v>0</v>
      </c>
      <c r="M1750" t="n">
        <v>0</v>
      </c>
      <c r="N1750" t="n">
        <v>0</v>
      </c>
      <c r="O1750" t="n">
        <v>0</v>
      </c>
      <c r="P1750" t="n">
        <v>0</v>
      </c>
      <c r="Q1750" t="n">
        <v>0</v>
      </c>
      <c r="R1750" s="2" t="inlineStr"/>
    </row>
    <row r="1751" ht="15" customHeight="1">
      <c r="A1751" t="inlineStr">
        <is>
          <t>A 57112-2024</t>
        </is>
      </c>
      <c r="B1751" s="1" t="n">
        <v>45629</v>
      </c>
      <c r="C1751" s="1" t="n">
        <v>45742</v>
      </c>
      <c r="D1751" t="inlineStr">
        <is>
          <t>JÄMTLANDS LÄN</t>
        </is>
      </c>
      <c r="E1751" t="inlineStr">
        <is>
          <t>RAGUNDA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57116-2024</t>
        </is>
      </c>
      <c r="B1752" s="1" t="n">
        <v>45629</v>
      </c>
      <c r="C1752" s="1" t="n">
        <v>45742</v>
      </c>
      <c r="D1752" t="inlineStr">
        <is>
          <t>JÄMTLANDS LÄN</t>
        </is>
      </c>
      <c r="E1752" t="inlineStr">
        <is>
          <t>RAGUNDA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57064-2024</t>
        </is>
      </c>
      <c r="B1753" s="1" t="n">
        <v>45629</v>
      </c>
      <c r="C1753" s="1" t="n">
        <v>45742</v>
      </c>
      <c r="D1753" t="inlineStr">
        <is>
          <t>JÄMTLANDS LÄN</t>
        </is>
      </c>
      <c r="E1753" t="inlineStr">
        <is>
          <t>RAGUNDA</t>
        </is>
      </c>
      <c r="F1753" t="inlineStr">
        <is>
          <t>Naturvårdsverket</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57170-2024</t>
        </is>
      </c>
      <c r="B1754" s="1" t="n">
        <v>45629</v>
      </c>
      <c r="C1754" s="1" t="n">
        <v>45742</v>
      </c>
      <c r="D1754" t="inlineStr">
        <is>
          <t>JÄMTLANDS LÄN</t>
        </is>
      </c>
      <c r="E1754" t="inlineStr">
        <is>
          <t>RAGUNDA</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57749-2024</t>
        </is>
      </c>
      <c r="B1755" s="1" t="n">
        <v>45630</v>
      </c>
      <c r="C1755" s="1" t="n">
        <v>45742</v>
      </c>
      <c r="D1755" t="inlineStr">
        <is>
          <t>JÄMTLANDS LÄN</t>
        </is>
      </c>
      <c r="E1755" t="inlineStr">
        <is>
          <t>RAGUNDA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57842-2024</t>
        </is>
      </c>
      <c r="B1756" s="1" t="n">
        <v>45631</v>
      </c>
      <c r="C1756" s="1" t="n">
        <v>45742</v>
      </c>
      <c r="D1756" t="inlineStr">
        <is>
          <t>JÄMTLANDS LÄN</t>
        </is>
      </c>
      <c r="E1756" t="inlineStr">
        <is>
          <t>RAGUNDA</t>
        </is>
      </c>
      <c r="F1756" t="inlineStr">
        <is>
          <t>SCA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57889-2024</t>
        </is>
      </c>
      <c r="B1757" s="1" t="n">
        <v>45631</v>
      </c>
      <c r="C1757" s="1" t="n">
        <v>45742</v>
      </c>
      <c r="D1757" t="inlineStr">
        <is>
          <t>JÄMTLANDS LÄN</t>
        </is>
      </c>
      <c r="E1757" t="inlineStr">
        <is>
          <t>RAGUNDA</t>
        </is>
      </c>
      <c r="G1757" t="n">
        <v>11.1</v>
      </c>
      <c r="H1757" t="n">
        <v>0</v>
      </c>
      <c r="I1757" t="n">
        <v>0</v>
      </c>
      <c r="J1757" t="n">
        <v>0</v>
      </c>
      <c r="K1757" t="n">
        <v>0</v>
      </c>
      <c r="L1757" t="n">
        <v>0</v>
      </c>
      <c r="M1757" t="n">
        <v>0</v>
      </c>
      <c r="N1757" t="n">
        <v>0</v>
      </c>
      <c r="O1757" t="n">
        <v>0</v>
      </c>
      <c r="P1757" t="n">
        <v>0</v>
      </c>
      <c r="Q1757" t="n">
        <v>0</v>
      </c>
      <c r="R1757" s="2" t="inlineStr"/>
    </row>
    <row r="1758" ht="15" customHeight="1">
      <c r="A1758" t="inlineStr">
        <is>
          <t>A 57992-2024</t>
        </is>
      </c>
      <c r="B1758" s="1" t="n">
        <v>45631</v>
      </c>
      <c r="C1758" s="1" t="n">
        <v>45742</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45742</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45742</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45742</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45742</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45742</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45742</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45742</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45742</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45742</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45742</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45742</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45742</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45742</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45742</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45742</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45742</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45742</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45742</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45742</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45742</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45742</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45742</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45742</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45742</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45742</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45742</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45742</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45742</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45742</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45742</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45742</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45742</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45742</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45742</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45742</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45742</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45742</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45742</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45742</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45742</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45742</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45742</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45742</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45742</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45742</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45742</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45742</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45742</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45742</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45742</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45742</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45742</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45742</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45742</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45742</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45742</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45742</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45742</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45742</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45742</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45742</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45742</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45742</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45742</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45742</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45742</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45742</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45742</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45742</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45742</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45742</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45742</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45742</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45742</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45742</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45742</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45742</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45742</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45742</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45742</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45742</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45742</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45742</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45742</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45742</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45742</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45742</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45742</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45742</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45742</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45742</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7668-2025</t>
        </is>
      </c>
      <c r="B1850" s="1" t="n">
        <v>45706</v>
      </c>
      <c r="C1850" s="1" t="n">
        <v>45742</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45742</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45742</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45742</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45742</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9262-2025</t>
        </is>
      </c>
      <c r="B1855" s="1" t="n">
        <v>45714</v>
      </c>
      <c r="C1855" s="1" t="n">
        <v>45742</v>
      </c>
      <c r="D1855" t="inlineStr">
        <is>
          <t>JÄMTLANDS LÄN</t>
        </is>
      </c>
      <c r="E1855" t="inlineStr">
        <is>
          <t>RAGUNDA</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9266-2025</t>
        </is>
      </c>
      <c r="B1856" s="1" t="n">
        <v>45714</v>
      </c>
      <c r="C1856" s="1" t="n">
        <v>45742</v>
      </c>
      <c r="D1856" t="inlineStr">
        <is>
          <t>JÄMTLANDS LÄN</t>
        </is>
      </c>
      <c r="E1856" t="inlineStr">
        <is>
          <t>RAGUNDA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9232-2025</t>
        </is>
      </c>
      <c r="B1857" s="1" t="n">
        <v>45714</v>
      </c>
      <c r="C1857" s="1" t="n">
        <v>45742</v>
      </c>
      <c r="D1857" t="inlineStr">
        <is>
          <t>JÄMTLANDS LÄN</t>
        </is>
      </c>
      <c r="E1857" t="inlineStr">
        <is>
          <t>RAGUNDA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45742</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45742</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45742</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9823-2025</t>
        </is>
      </c>
      <c r="B1861" s="1" t="n">
        <v>45716</v>
      </c>
      <c r="C1861" s="1" t="n">
        <v>45742</v>
      </c>
      <c r="D1861" t="inlineStr">
        <is>
          <t>JÄMTLANDS LÄN</t>
        </is>
      </c>
      <c r="E1861" t="inlineStr">
        <is>
          <t>RAGUNDA</t>
        </is>
      </c>
      <c r="F1861" t="inlineStr">
        <is>
          <t>SCA</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9847-2025</t>
        </is>
      </c>
      <c r="B1862" s="1" t="n">
        <v>45716</v>
      </c>
      <c r="C1862" s="1" t="n">
        <v>45742</v>
      </c>
      <c r="D1862" t="inlineStr">
        <is>
          <t>JÄMTLANDS LÄN</t>
        </is>
      </c>
      <c r="E1862" t="inlineStr">
        <is>
          <t>RAGUNDA</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10754-2025</t>
        </is>
      </c>
      <c r="B1863" s="1" t="n">
        <v>45722</v>
      </c>
      <c r="C1863" s="1" t="n">
        <v>45742</v>
      </c>
      <c r="D1863" t="inlineStr">
        <is>
          <t>JÄMTLANDS LÄN</t>
        </is>
      </c>
      <c r="E1863" t="inlineStr">
        <is>
          <t>RAGUNDA</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10788-2025</t>
        </is>
      </c>
      <c r="B1864" s="1" t="n">
        <v>45722</v>
      </c>
      <c r="C1864" s="1" t="n">
        <v>45742</v>
      </c>
      <c r="D1864" t="inlineStr">
        <is>
          <t>JÄMTLANDS LÄN</t>
        </is>
      </c>
      <c r="E1864" t="inlineStr">
        <is>
          <t>RAGUNDA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11058-2025</t>
        </is>
      </c>
      <c r="B1865" s="1" t="n">
        <v>45723</v>
      </c>
      <c r="C1865" s="1" t="n">
        <v>45742</v>
      </c>
      <c r="D1865" t="inlineStr">
        <is>
          <t>JÄMTLANDS LÄN</t>
        </is>
      </c>
      <c r="E1865" t="inlineStr">
        <is>
          <t>RAGUNDA</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11147-2025</t>
        </is>
      </c>
      <c r="B1866" s="1" t="n">
        <v>45723</v>
      </c>
      <c r="C1866" s="1" t="n">
        <v>45742</v>
      </c>
      <c r="D1866" t="inlineStr">
        <is>
          <t>JÄMTLANDS LÄN</t>
        </is>
      </c>
      <c r="E1866" t="inlineStr">
        <is>
          <t>RAGUNDA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11107-2025</t>
        </is>
      </c>
      <c r="B1867" s="1" t="n">
        <v>45723</v>
      </c>
      <c r="C1867" s="1" t="n">
        <v>45742</v>
      </c>
      <c r="D1867" t="inlineStr">
        <is>
          <t>JÄMTLANDS LÄN</t>
        </is>
      </c>
      <c r="E1867" t="inlineStr">
        <is>
          <t>RAGUNDA</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11252-2025</t>
        </is>
      </c>
      <c r="B1868" s="1" t="n">
        <v>45726</v>
      </c>
      <c r="C1868" s="1" t="n">
        <v>45742</v>
      </c>
      <c r="D1868" t="inlineStr">
        <is>
          <t>JÄMTLANDS LÄN</t>
        </is>
      </c>
      <c r="E1868" t="inlineStr">
        <is>
          <t>RAGUNDA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11245-2025</t>
        </is>
      </c>
      <c r="B1869" s="1" t="n">
        <v>45726</v>
      </c>
      <c r="C1869" s="1" t="n">
        <v>45742</v>
      </c>
      <c r="D1869" t="inlineStr">
        <is>
          <t>JÄMTLANDS LÄN</t>
        </is>
      </c>
      <c r="E1869" t="inlineStr">
        <is>
          <t>RAGUNDA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11249-2025</t>
        </is>
      </c>
      <c r="B1870" s="1" t="n">
        <v>45726</v>
      </c>
      <c r="C1870" s="1" t="n">
        <v>45742</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11253-2025</t>
        </is>
      </c>
      <c r="B1871" s="1" t="n">
        <v>45726</v>
      </c>
      <c r="C1871" s="1" t="n">
        <v>45742</v>
      </c>
      <c r="D1871" t="inlineStr">
        <is>
          <t>JÄMTLANDS LÄN</t>
        </is>
      </c>
      <c r="E1871" t="inlineStr">
        <is>
          <t>RAGUNDA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12204-2025</t>
        </is>
      </c>
      <c r="B1872" s="1" t="n">
        <v>45729</v>
      </c>
      <c r="C1872" s="1" t="n">
        <v>45742</v>
      </c>
      <c r="D1872" t="inlineStr">
        <is>
          <t>JÄMTLANDS LÄN</t>
        </is>
      </c>
      <c r="E1872" t="inlineStr">
        <is>
          <t>RAGUNDA</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45742</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12405-2025</t>
        </is>
      </c>
      <c r="B1874" s="1" t="n">
        <v>45730</v>
      </c>
      <c r="C1874" s="1" t="n">
        <v>45742</v>
      </c>
      <c r="D1874" t="inlineStr">
        <is>
          <t>JÄMTLANDS LÄN</t>
        </is>
      </c>
      <c r="E1874" t="inlineStr">
        <is>
          <t>RAGUNDA</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12464-2025</t>
        </is>
      </c>
      <c r="B1875" s="1" t="n">
        <v>45730</v>
      </c>
      <c r="C1875" s="1" t="n">
        <v>45742</v>
      </c>
      <c r="D1875" t="inlineStr">
        <is>
          <t>JÄMTLANDS LÄN</t>
        </is>
      </c>
      <c r="E1875" t="inlineStr">
        <is>
          <t>RAGUNDA</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45742</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12805-2025</t>
        </is>
      </c>
      <c r="B1877" s="1" t="n">
        <v>45733</v>
      </c>
      <c r="C1877" s="1" t="n">
        <v>45742</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12976-2025</t>
        </is>
      </c>
      <c r="B1878" s="1" t="n">
        <v>45734</v>
      </c>
      <c r="C1878" s="1" t="n">
        <v>45742</v>
      </c>
      <c r="D1878" t="inlineStr">
        <is>
          <t>JÄMTLANDS LÄN</t>
        </is>
      </c>
      <c r="E1878" t="inlineStr">
        <is>
          <t>RAGUNDA</t>
        </is>
      </c>
      <c r="G1878" t="n">
        <v>24.2</v>
      </c>
      <c r="H1878" t="n">
        <v>0</v>
      </c>
      <c r="I1878" t="n">
        <v>0</v>
      </c>
      <c r="J1878" t="n">
        <v>0</v>
      </c>
      <c r="K1878" t="n">
        <v>0</v>
      </c>
      <c r="L1878" t="n">
        <v>0</v>
      </c>
      <c r="M1878" t="n">
        <v>0</v>
      </c>
      <c r="N1878" t="n">
        <v>0</v>
      </c>
      <c r="O1878" t="n">
        <v>0</v>
      </c>
      <c r="P1878" t="n">
        <v>0</v>
      </c>
      <c r="Q1878" t="n">
        <v>0</v>
      </c>
      <c r="R1878" s="2" t="inlineStr"/>
    </row>
    <row r="1879" ht="15" customHeight="1">
      <c r="A1879" t="inlineStr">
        <is>
          <t>A 12983-2025</t>
        </is>
      </c>
      <c r="B1879" s="1" t="n">
        <v>45734</v>
      </c>
      <c r="C1879" s="1" t="n">
        <v>45742</v>
      </c>
      <c r="D1879" t="inlineStr">
        <is>
          <t>JÄMTLANDS LÄN</t>
        </is>
      </c>
      <c r="E1879" t="inlineStr">
        <is>
          <t>RAGUNDA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13263-2025</t>
        </is>
      </c>
      <c r="B1880" s="1" t="n">
        <v>45735</v>
      </c>
      <c r="C1880" s="1" t="n">
        <v>45742</v>
      </c>
      <c r="D1880" t="inlineStr">
        <is>
          <t>JÄMTLANDS LÄN</t>
        </is>
      </c>
      <c r="E1880" t="inlineStr">
        <is>
          <t>RAGUNDA</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13389-2025</t>
        </is>
      </c>
      <c r="B1881" s="1" t="n">
        <v>45735</v>
      </c>
      <c r="C1881" s="1" t="n">
        <v>45742</v>
      </c>
      <c r="D1881" t="inlineStr">
        <is>
          <t>JÄMTLANDS LÄN</t>
        </is>
      </c>
      <c r="E1881" t="inlineStr">
        <is>
          <t>RAGUNDA</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13264-2025</t>
        </is>
      </c>
      <c r="B1882" s="1" t="n">
        <v>45735</v>
      </c>
      <c r="C1882" s="1" t="n">
        <v>45742</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13276-2025</t>
        </is>
      </c>
      <c r="B1883" s="1" t="n">
        <v>45735</v>
      </c>
      <c r="C1883" s="1" t="n">
        <v>45742</v>
      </c>
      <c r="D1883" t="inlineStr">
        <is>
          <t>JÄMTLANDS LÄN</t>
        </is>
      </c>
      <c r="E1883" t="inlineStr">
        <is>
          <t>RAGUNDA</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13472-2025</t>
        </is>
      </c>
      <c r="B1884" s="1" t="n">
        <v>45736</v>
      </c>
      <c r="C1884" s="1" t="n">
        <v>45742</v>
      </c>
      <c r="D1884" t="inlineStr">
        <is>
          <t>JÄMTLANDS LÄN</t>
        </is>
      </c>
      <c r="E1884" t="inlineStr">
        <is>
          <t>RAGUNDA</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13905-2025</t>
        </is>
      </c>
      <c r="B1885" s="1" t="n">
        <v>45737</v>
      </c>
      <c r="C1885" s="1" t="n">
        <v>45742</v>
      </c>
      <c r="D1885" t="inlineStr">
        <is>
          <t>JÄMTLANDS LÄN</t>
        </is>
      </c>
      <c r="E1885" t="inlineStr">
        <is>
          <t>RAGUNDA</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13890-2025</t>
        </is>
      </c>
      <c r="B1886" s="1" t="n">
        <v>45737</v>
      </c>
      <c r="C1886" s="1" t="n">
        <v>45742</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13941-2025</t>
        </is>
      </c>
      <c r="B1887" s="1" t="n">
        <v>45737</v>
      </c>
      <c r="C1887" s="1" t="n">
        <v>45742</v>
      </c>
      <c r="D1887" t="inlineStr">
        <is>
          <t>JÄMTLANDS LÄN</t>
        </is>
      </c>
      <c r="E1887" t="inlineStr">
        <is>
          <t>RAGUNDA</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14513-2025</t>
        </is>
      </c>
      <c r="B1888" s="1" t="n">
        <v>45741</v>
      </c>
      <c r="C1888" s="1" t="n">
        <v>45742</v>
      </c>
      <c r="D1888" t="inlineStr">
        <is>
          <t>JÄMTLANDS LÄN</t>
        </is>
      </c>
      <c r="E1888" t="inlineStr">
        <is>
          <t>RAGUNDA</t>
        </is>
      </c>
      <c r="F1888" t="inlineStr">
        <is>
          <t>SCA</t>
        </is>
      </c>
      <c r="G1888" t="n">
        <v>6.8</v>
      </c>
      <c r="H1888" t="n">
        <v>0</v>
      </c>
      <c r="I1888" t="n">
        <v>0</v>
      </c>
      <c r="J1888" t="n">
        <v>0</v>
      </c>
      <c r="K1888" t="n">
        <v>0</v>
      </c>
      <c r="L1888" t="n">
        <v>0</v>
      </c>
      <c r="M1888" t="n">
        <v>0</v>
      </c>
      <c r="N1888" t="n">
        <v>0</v>
      </c>
      <c r="O1888" t="n">
        <v>0</v>
      </c>
      <c r="P1888" t="n">
        <v>0</v>
      </c>
      <c r="Q1888" t="n">
        <v>0</v>
      </c>
      <c r="R1888" s="2" t="inlineStr"/>
    </row>
    <row r="1889">
      <c r="A1889" t="inlineStr">
        <is>
          <t>A 14512-2025</t>
        </is>
      </c>
      <c r="B1889" s="1" t="n">
        <v>45741</v>
      </c>
      <c r="C1889" s="1" t="n">
        <v>45742</v>
      </c>
      <c r="D1889" t="inlineStr">
        <is>
          <t>JÄMTLANDS LÄN</t>
        </is>
      </c>
      <c r="E1889" t="inlineStr">
        <is>
          <t>RAGUNDA</t>
        </is>
      </c>
      <c r="F1889" t="inlineStr">
        <is>
          <t>SCA</t>
        </is>
      </c>
      <c r="G1889" t="n">
        <v>8.9</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2025-03-26T17:40:30Z</dcterms:created>
  <dcterms:modified xmlns:dcterms="http://purl.org/dc/terms/" xmlns:xsi="http://www.w3.org/2001/XMLSchema-instance" xsi:type="dcterms:W3CDTF">2025-03-26T17:40:31Z</dcterms:modified>
</cp:coreProperties>
</file>