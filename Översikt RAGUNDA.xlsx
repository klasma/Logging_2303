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46090</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46090</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46090</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46090</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46090</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46090</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46090</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46090</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46090</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46090</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46090</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46090</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46090</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46090</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46090</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46090</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46090</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46090</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46090</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46090</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25632-2025</t>
        </is>
      </c>
      <c r="B22" s="1" t="n">
        <v>45803.59474537037</v>
      </c>
      <c r="C22" s="1" t="n">
        <v>46090</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46090</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46090</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46090</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46090</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46090</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46090</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46090</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4591-2024</t>
        </is>
      </c>
      <c r="B30" s="1" t="n">
        <v>45327</v>
      </c>
      <c r="C30" s="1" t="n">
        <v>46090</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46090</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46090</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25016-2025</t>
        </is>
      </c>
      <c r="B33" s="1" t="n">
        <v>45799.63574074074</v>
      </c>
      <c r="C33" s="1" t="n">
        <v>46090</v>
      </c>
      <c r="D33" t="inlineStr">
        <is>
          <t>JÄMTLANDS LÄN</t>
        </is>
      </c>
      <c r="E33" t="inlineStr">
        <is>
          <t>RAGUNDA</t>
        </is>
      </c>
      <c r="F33" t="inlineStr">
        <is>
          <t>SCA</t>
        </is>
      </c>
      <c r="G33" t="n">
        <v>17.9</v>
      </c>
      <c r="H33" t="n">
        <v>2</v>
      </c>
      <c r="I33" t="n">
        <v>3</v>
      </c>
      <c r="J33" t="n">
        <v>6</v>
      </c>
      <c r="K33" t="n">
        <v>0</v>
      </c>
      <c r="L33" t="n">
        <v>0</v>
      </c>
      <c r="M33" t="n">
        <v>0</v>
      </c>
      <c r="N33" t="n">
        <v>0</v>
      </c>
      <c r="O33" t="n">
        <v>6</v>
      </c>
      <c r="P33" t="n">
        <v>0</v>
      </c>
      <c r="Q33" t="n">
        <v>9</v>
      </c>
      <c r="R33" s="2" t="inlineStr">
        <is>
          <t>Garnlav
Granticka
Lunglav
Spillkråka
Tretåig hackspett
Ullticka
Bårdlav
Stuplav
Vedticka</t>
        </is>
      </c>
      <c r="S33">
        <f>HYPERLINK("https://klasma.github.io/Logging_2303/artfynd/A 25016-2025 artfynd.xlsx", "A 25016-2025")</f>
        <v/>
      </c>
      <c r="T33">
        <f>HYPERLINK("https://klasma.github.io/Logging_2303/kartor/A 25016-2025 karta.png", "A 25016-2025")</f>
        <v/>
      </c>
      <c r="V33">
        <f>HYPERLINK("https://klasma.github.io/Logging_2303/klagomål/A 25016-2025 FSC-klagomål.docx", "A 25016-2025")</f>
        <v/>
      </c>
      <c r="W33">
        <f>HYPERLINK("https://klasma.github.io/Logging_2303/klagomålsmail/A 25016-2025 FSC-klagomål mail.docx", "A 25016-2025")</f>
        <v/>
      </c>
      <c r="X33">
        <f>HYPERLINK("https://klasma.github.io/Logging_2303/tillsyn/A 25016-2025 tillsynsbegäran.docx", "A 25016-2025")</f>
        <v/>
      </c>
      <c r="Y33">
        <f>HYPERLINK("https://klasma.github.io/Logging_2303/tillsynsmail/A 25016-2025 tillsynsbegäran mail.docx", "A 25016-2025")</f>
        <v/>
      </c>
      <c r="Z33">
        <f>HYPERLINK("https://klasma.github.io/Logging_2303/fåglar/A 25016-2025 prioriterade fågelarter.docx", "A 25016-2025")</f>
        <v/>
      </c>
    </row>
    <row r="34" ht="15" customHeight="1">
      <c r="A34" t="inlineStr">
        <is>
          <t>A 24735-2025</t>
        </is>
      </c>
      <c r="B34" s="1" t="n">
        <v>45799.34461805555</v>
      </c>
      <c r="C34" s="1" t="n">
        <v>46090</v>
      </c>
      <c r="D34" t="inlineStr">
        <is>
          <t>JÄMTLANDS LÄN</t>
        </is>
      </c>
      <c r="E34" t="inlineStr">
        <is>
          <t>RAGUNDA</t>
        </is>
      </c>
      <c r="F34" t="inlineStr">
        <is>
          <t>SCA</t>
        </is>
      </c>
      <c r="G34" t="n">
        <v>7.1</v>
      </c>
      <c r="H34" t="n">
        <v>1</v>
      </c>
      <c r="I34" t="n">
        <v>4</v>
      </c>
      <c r="J34" t="n">
        <v>5</v>
      </c>
      <c r="K34" t="n">
        <v>0</v>
      </c>
      <c r="L34" t="n">
        <v>0</v>
      </c>
      <c r="M34" t="n">
        <v>0</v>
      </c>
      <c r="N34" t="n">
        <v>0</v>
      </c>
      <c r="O34" t="n">
        <v>5</v>
      </c>
      <c r="P34" t="n">
        <v>0</v>
      </c>
      <c r="Q34" t="n">
        <v>9</v>
      </c>
      <c r="R34" s="2" t="inlineStr">
        <is>
          <t>Garnlav
Lunglav
Mörk kolflarnlav
Tretåig hackspett
Ullticka
Bollvitmossa
Norrlandslav
Skinnlav
Stuplav</t>
        </is>
      </c>
      <c r="S34">
        <f>HYPERLINK("https://klasma.github.io/Logging_2303/artfynd/A 24735-2025 artfynd.xlsx", "A 24735-2025")</f>
        <v/>
      </c>
      <c r="T34">
        <f>HYPERLINK("https://klasma.github.io/Logging_2303/kartor/A 24735-2025 karta.png", "A 24735-2025")</f>
        <v/>
      </c>
      <c r="V34">
        <f>HYPERLINK("https://klasma.github.io/Logging_2303/klagomål/A 24735-2025 FSC-klagomål.docx", "A 24735-2025")</f>
        <v/>
      </c>
      <c r="W34">
        <f>HYPERLINK("https://klasma.github.io/Logging_2303/klagomålsmail/A 24735-2025 FSC-klagomål mail.docx", "A 24735-2025")</f>
        <v/>
      </c>
      <c r="X34">
        <f>HYPERLINK("https://klasma.github.io/Logging_2303/tillsyn/A 24735-2025 tillsynsbegäran.docx", "A 24735-2025")</f>
        <v/>
      </c>
      <c r="Y34">
        <f>HYPERLINK("https://klasma.github.io/Logging_2303/tillsynsmail/A 24735-2025 tillsynsbegäran mail.docx", "A 24735-2025")</f>
        <v/>
      </c>
      <c r="Z34">
        <f>HYPERLINK("https://klasma.github.io/Logging_2303/fåglar/A 24735-2025 prioriterade fågelarter.docx", "A 24735-2025")</f>
        <v/>
      </c>
    </row>
    <row r="35" ht="15" customHeight="1">
      <c r="A35" t="inlineStr">
        <is>
          <t>A 32068-2024</t>
        </is>
      </c>
      <c r="B35" s="1" t="n">
        <v>45510</v>
      </c>
      <c r="C35" s="1" t="n">
        <v>46090</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46090</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30876-2025</t>
        </is>
      </c>
      <c r="B37" s="1" t="n">
        <v>45832.34461805555</v>
      </c>
      <c r="C37" s="1" t="n">
        <v>46090</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42393-2025</t>
        </is>
      </c>
      <c r="B38" s="1" t="n">
        <v>45905</v>
      </c>
      <c r="C38" s="1" t="n">
        <v>46090</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58876-2025</t>
        </is>
      </c>
      <c r="B39" s="1" t="n">
        <v>45987.46929398148</v>
      </c>
      <c r="C39" s="1" t="n">
        <v>46090</v>
      </c>
      <c r="D39" t="inlineStr">
        <is>
          <t>JÄMTLANDS LÄN</t>
        </is>
      </c>
      <c r="E39" t="inlineStr">
        <is>
          <t>RAGUNDA</t>
        </is>
      </c>
      <c r="F39" t="inlineStr">
        <is>
          <t>SCA</t>
        </is>
      </c>
      <c r="G39" t="n">
        <v>6.3</v>
      </c>
      <c r="H39" t="n">
        <v>2</v>
      </c>
      <c r="I39" t="n">
        <v>0</v>
      </c>
      <c r="J39" t="n">
        <v>7</v>
      </c>
      <c r="K39" t="n">
        <v>1</v>
      </c>
      <c r="L39" t="n">
        <v>0</v>
      </c>
      <c r="M39" t="n">
        <v>0</v>
      </c>
      <c r="N39" t="n">
        <v>0</v>
      </c>
      <c r="O39" t="n">
        <v>8</v>
      </c>
      <c r="P39" t="n">
        <v>1</v>
      </c>
      <c r="Q39" t="n">
        <v>9</v>
      </c>
      <c r="R39" s="2" t="inlineStr">
        <is>
          <t>Knärot
Gammelgransskål
Garnlav
Granticka
Lunglav
Rosenticka
Ullticka
Vitgrynig nållav
Fläcknycklar</t>
        </is>
      </c>
      <c r="S39">
        <f>HYPERLINK("https://klasma.github.io/Logging_2303/artfynd/A 58876-2025 artfynd.xlsx", "A 58876-2025")</f>
        <v/>
      </c>
      <c r="T39">
        <f>HYPERLINK("https://klasma.github.io/Logging_2303/kartor/A 58876-2025 karta.png", "A 58876-2025")</f>
        <v/>
      </c>
      <c r="U39">
        <f>HYPERLINK("https://klasma.github.io/Logging_2303/knärot/A 58876-2025 karta knärot.png", "A 58876-2025")</f>
        <v/>
      </c>
      <c r="V39">
        <f>HYPERLINK("https://klasma.github.io/Logging_2303/klagomål/A 58876-2025 FSC-klagomål.docx", "A 58876-2025")</f>
        <v/>
      </c>
      <c r="W39">
        <f>HYPERLINK("https://klasma.github.io/Logging_2303/klagomålsmail/A 58876-2025 FSC-klagomål mail.docx", "A 58876-2025")</f>
        <v/>
      </c>
      <c r="X39">
        <f>HYPERLINK("https://klasma.github.io/Logging_2303/tillsyn/A 58876-2025 tillsynsbegäran.docx", "A 58876-2025")</f>
        <v/>
      </c>
      <c r="Y39">
        <f>HYPERLINK("https://klasma.github.io/Logging_2303/tillsynsmail/A 58876-2025 tillsynsbegäran mail.docx", "A 58876-2025")</f>
        <v/>
      </c>
    </row>
    <row r="40" ht="15" customHeight="1">
      <c r="A40" t="inlineStr">
        <is>
          <t>A 2316-2026</t>
        </is>
      </c>
      <c r="B40" s="1" t="n">
        <v>46036.59826388889</v>
      </c>
      <c r="C40" s="1" t="n">
        <v>46090</v>
      </c>
      <c r="D40" t="inlineStr">
        <is>
          <t>JÄMTLANDS LÄN</t>
        </is>
      </c>
      <c r="E40" t="inlineStr">
        <is>
          <t>RAGUNDA</t>
        </is>
      </c>
      <c r="G40" t="n">
        <v>5.1</v>
      </c>
      <c r="H40" t="n">
        <v>3</v>
      </c>
      <c r="I40" t="n">
        <v>0</v>
      </c>
      <c r="J40" t="n">
        <v>9</v>
      </c>
      <c r="K40" t="n">
        <v>0</v>
      </c>
      <c r="L40" t="n">
        <v>0</v>
      </c>
      <c r="M40" t="n">
        <v>0</v>
      </c>
      <c r="N40" t="n">
        <v>0</v>
      </c>
      <c r="O40" t="n">
        <v>9</v>
      </c>
      <c r="P40" t="n">
        <v>0</v>
      </c>
      <c r="Q40" t="n">
        <v>9</v>
      </c>
      <c r="R40" s="2" t="inlineStr">
        <is>
          <t>Garnlav
Harticka
Kolflarnlav
Liten svartspik
Lunglav
Talltita
Tretåig hackspett
Utter
Vitgrynig nållav</t>
        </is>
      </c>
      <c r="S40">
        <f>HYPERLINK("https://klasma.github.io/Logging_2303/artfynd/A 2316-2026 artfynd.xlsx", "A 2316-2026")</f>
        <v/>
      </c>
      <c r="T40">
        <f>HYPERLINK("https://klasma.github.io/Logging_2303/kartor/A 2316-2026 karta.png", "A 2316-2026")</f>
        <v/>
      </c>
      <c r="V40">
        <f>HYPERLINK("https://klasma.github.io/Logging_2303/klagomål/A 2316-2026 FSC-klagomål.docx", "A 2316-2026")</f>
        <v/>
      </c>
      <c r="W40">
        <f>HYPERLINK("https://klasma.github.io/Logging_2303/klagomålsmail/A 2316-2026 FSC-klagomål mail.docx", "A 2316-2026")</f>
        <v/>
      </c>
      <c r="X40">
        <f>HYPERLINK("https://klasma.github.io/Logging_2303/tillsyn/A 2316-2026 tillsynsbegäran.docx", "A 2316-2026")</f>
        <v/>
      </c>
      <c r="Y40">
        <f>HYPERLINK("https://klasma.github.io/Logging_2303/tillsynsmail/A 2316-2026 tillsynsbegäran mail.docx", "A 2316-2026")</f>
        <v/>
      </c>
      <c r="Z40">
        <f>HYPERLINK("https://klasma.github.io/Logging_2303/fåglar/A 2316-2026 prioriterade fågelarter.docx", "A 2316-2026")</f>
        <v/>
      </c>
    </row>
    <row r="41" ht="15" customHeight="1">
      <c r="A41" t="inlineStr">
        <is>
          <t>A 45008-2023</t>
        </is>
      </c>
      <c r="B41" s="1" t="n">
        <v>45190.96092592592</v>
      </c>
      <c r="C41" s="1" t="n">
        <v>46090</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46090</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46090</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4146-2025</t>
        </is>
      </c>
      <c r="B44" s="1" t="n">
        <v>45685.36501157407</v>
      </c>
      <c r="C44" s="1" t="n">
        <v>46090</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3634-2024</t>
        </is>
      </c>
      <c r="B45" s="1" t="n">
        <v>45320</v>
      </c>
      <c r="C45" s="1" t="n">
        <v>46090</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24732-2025</t>
        </is>
      </c>
      <c r="B46" s="1" t="n">
        <v>45799.34421296296</v>
      </c>
      <c r="C46" s="1" t="n">
        <v>46090</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30335-2025</t>
        </is>
      </c>
      <c r="B47" s="1" t="n">
        <v>45827.5110300926</v>
      </c>
      <c r="C47" s="1" t="n">
        <v>46090</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46090</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46090</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46090</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46090</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46090</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46090</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46090</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46090</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26750-2025</t>
        </is>
      </c>
      <c r="B56" s="1" t="n">
        <v>45810.55061342593</v>
      </c>
      <c r="C56" s="1" t="n">
        <v>46090</v>
      </c>
      <c r="D56" t="inlineStr">
        <is>
          <t>JÄMTLANDS LÄN</t>
        </is>
      </c>
      <c r="E56" t="inlineStr">
        <is>
          <t>RAGUNDA</t>
        </is>
      </c>
      <c r="G56" t="n">
        <v>18</v>
      </c>
      <c r="H56" t="n">
        <v>0</v>
      </c>
      <c r="I56" t="n">
        <v>3</v>
      </c>
      <c r="J56" t="n">
        <v>4</v>
      </c>
      <c r="K56" t="n">
        <v>0</v>
      </c>
      <c r="L56" t="n">
        <v>0</v>
      </c>
      <c r="M56" t="n">
        <v>0</v>
      </c>
      <c r="N56" t="n">
        <v>0</v>
      </c>
      <c r="O56" t="n">
        <v>4</v>
      </c>
      <c r="P56" t="n">
        <v>0</v>
      </c>
      <c r="Q56" t="n">
        <v>7</v>
      </c>
      <c r="R56" s="2" t="inlineStr">
        <is>
          <t>Blå taggsvamp
Orange taggsvamp
Skrovlig taggsvamp
Svartvit taggsvamp
Dropptaggsvamp
Rödfläckig zontaggsvamp
Skarp dropptaggsvamp</t>
        </is>
      </c>
      <c r="S56">
        <f>HYPERLINK("https://klasma.github.io/Logging_2303/artfynd/A 26750-2025 artfynd.xlsx", "A 26750-2025")</f>
        <v/>
      </c>
      <c r="T56">
        <f>HYPERLINK("https://klasma.github.io/Logging_2303/kartor/A 26750-2025 karta.png", "A 26750-2025")</f>
        <v/>
      </c>
      <c r="V56">
        <f>HYPERLINK("https://klasma.github.io/Logging_2303/klagomål/A 26750-2025 FSC-klagomål.docx", "A 26750-2025")</f>
        <v/>
      </c>
      <c r="W56">
        <f>HYPERLINK("https://klasma.github.io/Logging_2303/klagomålsmail/A 26750-2025 FSC-klagomål mail.docx", "A 26750-2025")</f>
        <v/>
      </c>
      <c r="X56">
        <f>HYPERLINK("https://klasma.github.io/Logging_2303/tillsyn/A 26750-2025 tillsynsbegäran.docx", "A 26750-2025")</f>
        <v/>
      </c>
      <c r="Y56">
        <f>HYPERLINK("https://klasma.github.io/Logging_2303/tillsynsmail/A 26750-2025 tillsynsbegäran mail.docx", "A 26750-2025")</f>
        <v/>
      </c>
    </row>
    <row r="57" ht="15" customHeight="1">
      <c r="A57" t="inlineStr">
        <is>
          <t>A 33806-2023</t>
        </is>
      </c>
      <c r="B57" s="1" t="n">
        <v>45121</v>
      </c>
      <c r="C57" s="1" t="n">
        <v>46090</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19399-2025</t>
        </is>
      </c>
      <c r="B58" s="1" t="n">
        <v>45769.67740740741</v>
      </c>
      <c r="C58" s="1" t="n">
        <v>46090</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46090</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46090</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27913-2024</t>
        </is>
      </c>
      <c r="B61" s="1" t="n">
        <v>45475.94796296296</v>
      </c>
      <c r="C61" s="1" t="n">
        <v>46090</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46090</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46090</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46090</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46090</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46090</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19402-2025</t>
        </is>
      </c>
      <c r="B67" s="1" t="n">
        <v>45769.67778935185</v>
      </c>
      <c r="C67" s="1" t="n">
        <v>46090</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30884-2025</t>
        </is>
      </c>
      <c r="B68" s="1" t="n">
        <v>45832.34564814815</v>
      </c>
      <c r="C68" s="1" t="n">
        <v>46090</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53021-2022</t>
        </is>
      </c>
      <c r="B69" s="1" t="n">
        <v>44875</v>
      </c>
      <c r="C69" s="1" t="n">
        <v>46090</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49291-2025</t>
        </is>
      </c>
      <c r="B70" s="1" t="n">
        <v>45938.53188657408</v>
      </c>
      <c r="C70" s="1" t="n">
        <v>46090</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36276-2025</t>
        </is>
      </c>
      <c r="B71" s="1" t="n">
        <v>45867.63619212963</v>
      </c>
      <c r="C71" s="1" t="n">
        <v>46090</v>
      </c>
      <c r="D71" t="inlineStr">
        <is>
          <t>JÄMTLANDS LÄN</t>
        </is>
      </c>
      <c r="E71" t="inlineStr">
        <is>
          <t>RAGUNDA</t>
        </is>
      </c>
      <c r="F71" t="inlineStr">
        <is>
          <t>SCA</t>
        </is>
      </c>
      <c r="G71" t="n">
        <v>3.2</v>
      </c>
      <c r="H71" t="n">
        <v>1</v>
      </c>
      <c r="I71" t="n">
        <v>2</v>
      </c>
      <c r="J71" t="n">
        <v>3</v>
      </c>
      <c r="K71" t="n">
        <v>1</v>
      </c>
      <c r="L71" t="n">
        <v>0</v>
      </c>
      <c r="M71" t="n">
        <v>0</v>
      </c>
      <c r="N71" t="n">
        <v>0</v>
      </c>
      <c r="O71" t="n">
        <v>4</v>
      </c>
      <c r="P71" t="n">
        <v>1</v>
      </c>
      <c r="Q71" t="n">
        <v>6</v>
      </c>
      <c r="R71" s="2" t="inlineStr">
        <is>
          <t>Knärot
Garnlav
Lunglav
Ullticka
Grovticka
Stuplav</t>
        </is>
      </c>
      <c r="S71">
        <f>HYPERLINK("https://klasma.github.io/Logging_2303/artfynd/A 36276-2025 artfynd.xlsx", "A 36276-2025")</f>
        <v/>
      </c>
      <c r="T71">
        <f>HYPERLINK("https://klasma.github.io/Logging_2303/kartor/A 36276-2025 karta.png", "A 36276-2025")</f>
        <v/>
      </c>
      <c r="U71">
        <f>HYPERLINK("https://klasma.github.io/Logging_2303/knärot/A 36276-2025 karta knärot.png", "A 36276-2025")</f>
        <v/>
      </c>
      <c r="V71">
        <f>HYPERLINK("https://klasma.github.io/Logging_2303/klagomål/A 36276-2025 FSC-klagomål.docx", "A 36276-2025")</f>
        <v/>
      </c>
      <c r="W71">
        <f>HYPERLINK("https://klasma.github.io/Logging_2303/klagomålsmail/A 36276-2025 FSC-klagomål mail.docx", "A 36276-2025")</f>
        <v/>
      </c>
      <c r="X71">
        <f>HYPERLINK("https://klasma.github.io/Logging_2303/tillsyn/A 36276-2025 tillsynsbegäran.docx", "A 36276-2025")</f>
        <v/>
      </c>
      <c r="Y71">
        <f>HYPERLINK("https://klasma.github.io/Logging_2303/tillsynsmail/A 36276-2025 tillsynsbegäran mail.docx", "A 36276-2025")</f>
        <v/>
      </c>
    </row>
    <row r="72" ht="15" customHeight="1">
      <c r="A72" t="inlineStr">
        <is>
          <t>A 9197-2026</t>
        </is>
      </c>
      <c r="B72" s="1" t="n">
        <v>46070.40322916667</v>
      </c>
      <c r="C72" s="1" t="n">
        <v>46090</v>
      </c>
      <c r="D72" t="inlineStr">
        <is>
          <t>JÄMTLANDS LÄN</t>
        </is>
      </c>
      <c r="E72" t="inlineStr">
        <is>
          <t>RAGUNDA</t>
        </is>
      </c>
      <c r="G72" t="n">
        <v>3.3</v>
      </c>
      <c r="H72" t="n">
        <v>5</v>
      </c>
      <c r="I72" t="n">
        <v>0</v>
      </c>
      <c r="J72" t="n">
        <v>4</v>
      </c>
      <c r="K72" t="n">
        <v>0</v>
      </c>
      <c r="L72" t="n">
        <v>0</v>
      </c>
      <c r="M72" t="n">
        <v>0</v>
      </c>
      <c r="N72" t="n">
        <v>0</v>
      </c>
      <c r="O72" t="n">
        <v>4</v>
      </c>
      <c r="P72" t="n">
        <v>0</v>
      </c>
      <c r="Q72" t="n">
        <v>6</v>
      </c>
      <c r="R72" s="2" t="inlineStr">
        <is>
          <t>Granticka
Järpe
Spillkråka
Talltita
Grönsiska
Kungsfågel</t>
        </is>
      </c>
      <c r="S72">
        <f>HYPERLINK("https://klasma.github.io/Logging_2303/artfynd/A 9197-2026 artfynd.xlsx", "A 9197-2026")</f>
        <v/>
      </c>
      <c r="T72">
        <f>HYPERLINK("https://klasma.github.io/Logging_2303/kartor/A 9197-2026 karta.png", "A 9197-2026")</f>
        <v/>
      </c>
      <c r="V72">
        <f>HYPERLINK("https://klasma.github.io/Logging_2303/klagomål/A 9197-2026 FSC-klagomål.docx", "A 9197-2026")</f>
        <v/>
      </c>
      <c r="W72">
        <f>HYPERLINK("https://klasma.github.io/Logging_2303/klagomålsmail/A 9197-2026 FSC-klagomål mail.docx", "A 9197-2026")</f>
        <v/>
      </c>
      <c r="X72">
        <f>HYPERLINK("https://klasma.github.io/Logging_2303/tillsyn/A 9197-2026 tillsynsbegäran.docx", "A 9197-2026")</f>
        <v/>
      </c>
      <c r="Y72">
        <f>HYPERLINK("https://klasma.github.io/Logging_2303/tillsynsmail/A 9197-2026 tillsynsbegäran mail.docx", "A 9197-2026")</f>
        <v/>
      </c>
      <c r="Z72">
        <f>HYPERLINK("https://klasma.github.io/Logging_2303/fåglar/A 9197-2026 prioriterade fågelarter.docx", "A 9197-2026")</f>
        <v/>
      </c>
    </row>
    <row r="73" ht="15" customHeight="1">
      <c r="A73" t="inlineStr">
        <is>
          <t>A 2193-2026</t>
        </is>
      </c>
      <c r="B73" s="1" t="n">
        <v>46036.46946759259</v>
      </c>
      <c r="C73" s="1" t="n">
        <v>46090</v>
      </c>
      <c r="D73" t="inlineStr">
        <is>
          <t>JÄMTLANDS LÄN</t>
        </is>
      </c>
      <c r="E73" t="inlineStr">
        <is>
          <t>RAGUNDA</t>
        </is>
      </c>
      <c r="F73" t="inlineStr">
        <is>
          <t>SCA</t>
        </is>
      </c>
      <c r="G73" t="n">
        <v>2.4</v>
      </c>
      <c r="H73" t="n">
        <v>1</v>
      </c>
      <c r="I73" t="n">
        <v>1</v>
      </c>
      <c r="J73" t="n">
        <v>4</v>
      </c>
      <c r="K73" t="n">
        <v>1</v>
      </c>
      <c r="L73" t="n">
        <v>0</v>
      </c>
      <c r="M73" t="n">
        <v>0</v>
      </c>
      <c r="N73" t="n">
        <v>0</v>
      </c>
      <c r="O73" t="n">
        <v>5</v>
      </c>
      <c r="P73" t="n">
        <v>1</v>
      </c>
      <c r="Q73" t="n">
        <v>6</v>
      </c>
      <c r="R73" s="2" t="inlineStr">
        <is>
          <t>Knärot
Garnlav
Lunglav
Rosenticka
Ullticka
Luddlav</t>
        </is>
      </c>
      <c r="S73">
        <f>HYPERLINK("https://klasma.github.io/Logging_2303/artfynd/A 2193-2026 artfynd.xlsx", "A 2193-2026")</f>
        <v/>
      </c>
      <c r="T73">
        <f>HYPERLINK("https://klasma.github.io/Logging_2303/kartor/A 2193-2026 karta.png", "A 2193-2026")</f>
        <v/>
      </c>
      <c r="U73">
        <f>HYPERLINK("https://klasma.github.io/Logging_2303/knärot/A 2193-2026 karta knärot.png", "A 2193-2026")</f>
        <v/>
      </c>
      <c r="V73">
        <f>HYPERLINK("https://klasma.github.io/Logging_2303/klagomål/A 2193-2026 FSC-klagomål.docx", "A 2193-2026")</f>
        <v/>
      </c>
      <c r="W73">
        <f>HYPERLINK("https://klasma.github.io/Logging_2303/klagomålsmail/A 2193-2026 FSC-klagomål mail.docx", "A 2193-2026")</f>
        <v/>
      </c>
      <c r="X73">
        <f>HYPERLINK("https://klasma.github.io/Logging_2303/tillsyn/A 2193-2026 tillsynsbegäran.docx", "A 2193-2026")</f>
        <v/>
      </c>
      <c r="Y73">
        <f>HYPERLINK("https://klasma.github.io/Logging_2303/tillsynsmail/A 2193-2026 tillsynsbegäran mail.docx", "A 2193-2026")</f>
        <v/>
      </c>
    </row>
    <row r="74" ht="15" customHeight="1">
      <c r="A74" t="inlineStr">
        <is>
          <t>A 55646-2023</t>
        </is>
      </c>
      <c r="B74" s="1" t="n">
        <v>45238</v>
      </c>
      <c r="C74" s="1" t="n">
        <v>46090</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47115-2025</t>
        </is>
      </c>
      <c r="B75" s="1" t="n">
        <v>45929</v>
      </c>
      <c r="C75" s="1" t="n">
        <v>46090</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34317-2025</t>
        </is>
      </c>
      <c r="B76" s="1" t="n">
        <v>45846</v>
      </c>
      <c r="C76" s="1" t="n">
        <v>46090</v>
      </c>
      <c r="D76" t="inlineStr">
        <is>
          <t>JÄMTLANDS LÄN</t>
        </is>
      </c>
      <c r="E76" t="inlineStr">
        <is>
          <t>RAGUNDA</t>
        </is>
      </c>
      <c r="G76" t="n">
        <v>8.300000000000001</v>
      </c>
      <c r="H76" t="n">
        <v>2</v>
      </c>
      <c r="I76" t="n">
        <v>1</v>
      </c>
      <c r="J76" t="n">
        <v>4</v>
      </c>
      <c r="K76" t="n">
        <v>1</v>
      </c>
      <c r="L76" t="n">
        <v>0</v>
      </c>
      <c r="M76" t="n">
        <v>0</v>
      </c>
      <c r="N76" t="n">
        <v>0</v>
      </c>
      <c r="O76" t="n">
        <v>5</v>
      </c>
      <c r="P76" t="n">
        <v>1</v>
      </c>
      <c r="Q76" t="n">
        <v>6</v>
      </c>
      <c r="R76" s="2" t="inlineStr">
        <is>
          <t>Knärot
Garnlav
Lunglav
Nordtagging
Talltita
Skinnlav</t>
        </is>
      </c>
      <c r="S76">
        <f>HYPERLINK("https://klasma.github.io/Logging_2303/artfynd/A 34317-2025 artfynd.xlsx", "A 34317-2025")</f>
        <v/>
      </c>
      <c r="T76">
        <f>HYPERLINK("https://klasma.github.io/Logging_2303/kartor/A 34317-2025 karta.png", "A 34317-2025")</f>
        <v/>
      </c>
      <c r="U76">
        <f>HYPERLINK("https://klasma.github.io/Logging_2303/knärot/A 34317-2025 karta knärot.png", "A 34317-2025")</f>
        <v/>
      </c>
      <c r="V76">
        <f>HYPERLINK("https://klasma.github.io/Logging_2303/klagomål/A 34317-2025 FSC-klagomål.docx", "A 34317-2025")</f>
        <v/>
      </c>
      <c r="W76">
        <f>HYPERLINK("https://klasma.github.io/Logging_2303/klagomålsmail/A 34317-2025 FSC-klagomål mail.docx", "A 34317-2025")</f>
        <v/>
      </c>
      <c r="X76">
        <f>HYPERLINK("https://klasma.github.io/Logging_2303/tillsyn/A 34317-2025 tillsynsbegäran.docx", "A 34317-2025")</f>
        <v/>
      </c>
      <c r="Y76">
        <f>HYPERLINK("https://klasma.github.io/Logging_2303/tillsynsmail/A 34317-2025 tillsynsbegäran mail.docx", "A 34317-2025")</f>
        <v/>
      </c>
      <c r="Z76">
        <f>HYPERLINK("https://klasma.github.io/Logging_2303/fåglar/A 34317-2025 prioriterade fågelarter.docx", "A 34317-2025")</f>
        <v/>
      </c>
    </row>
    <row r="77" ht="15" customHeight="1">
      <c r="A77" t="inlineStr">
        <is>
          <t>A 30637-2024</t>
        </is>
      </c>
      <c r="B77" s="1" t="n">
        <v>45495</v>
      </c>
      <c r="C77" s="1" t="n">
        <v>46090</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46090</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24431-2024</t>
        </is>
      </c>
      <c r="B79" s="1" t="n">
        <v>45457</v>
      </c>
      <c r="C79" s="1" t="n">
        <v>46090</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26326-2024</t>
        </is>
      </c>
      <c r="B80" s="1" t="n">
        <v>45468.97528935185</v>
      </c>
      <c r="C80" s="1" t="n">
        <v>46090</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46090</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21037-2021</t>
        </is>
      </c>
      <c r="B82" s="1" t="n">
        <v>44319</v>
      </c>
      <c r="C82" s="1" t="n">
        <v>46090</v>
      </c>
      <c r="D82" t="inlineStr">
        <is>
          <t>JÄMTLANDS LÄN</t>
        </is>
      </c>
      <c r="E82" t="inlineStr">
        <is>
          <t>RAGUNDA</t>
        </is>
      </c>
      <c r="F82" t="inlineStr">
        <is>
          <t>Kyrkan</t>
        </is>
      </c>
      <c r="G82" t="n">
        <v>0.8</v>
      </c>
      <c r="H82" t="n">
        <v>0</v>
      </c>
      <c r="I82" t="n">
        <v>2</v>
      </c>
      <c r="J82" t="n">
        <v>3</v>
      </c>
      <c r="K82" t="n">
        <v>0</v>
      </c>
      <c r="L82" t="n">
        <v>0</v>
      </c>
      <c r="M82" t="n">
        <v>0</v>
      </c>
      <c r="N82" t="n">
        <v>0</v>
      </c>
      <c r="O82" t="n">
        <v>3</v>
      </c>
      <c r="P82" t="n">
        <v>0</v>
      </c>
      <c r="Q82" t="n">
        <v>5</v>
      </c>
      <c r="R82" s="2" t="inlineStr">
        <is>
          <t>Olivbrun gytterlav
Persiljespindling
Stickelfrö
Grov baronmossa
Guldlockmossa</t>
        </is>
      </c>
      <c r="S82">
        <f>HYPERLINK("https://klasma.github.io/Logging_2303/artfynd/A 21037-2021 artfynd.xlsx", "A 21037-2021")</f>
        <v/>
      </c>
      <c r="T82">
        <f>HYPERLINK("https://klasma.github.io/Logging_2303/kartor/A 21037-2021 karta.png", "A 21037-2021")</f>
        <v/>
      </c>
      <c r="V82">
        <f>HYPERLINK("https://klasma.github.io/Logging_2303/klagomål/A 21037-2021 FSC-klagomål.docx", "A 21037-2021")</f>
        <v/>
      </c>
      <c r="W82">
        <f>HYPERLINK("https://klasma.github.io/Logging_2303/klagomålsmail/A 21037-2021 FSC-klagomål mail.docx", "A 21037-2021")</f>
        <v/>
      </c>
      <c r="X82">
        <f>HYPERLINK("https://klasma.github.io/Logging_2303/tillsyn/A 21037-2021 tillsynsbegäran.docx", "A 21037-2021")</f>
        <v/>
      </c>
      <c r="Y82">
        <f>HYPERLINK("https://klasma.github.io/Logging_2303/tillsynsmail/A 21037-2021 tillsynsbegäran mail.docx", "A 21037-2021")</f>
        <v/>
      </c>
    </row>
    <row r="83" ht="15" customHeight="1">
      <c r="A83" t="inlineStr">
        <is>
          <t>A 14908-2022</t>
        </is>
      </c>
      <c r="B83" s="1" t="n">
        <v>44656</v>
      </c>
      <c r="C83" s="1" t="n">
        <v>46090</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15379-2024</t>
        </is>
      </c>
      <c r="B84" s="1" t="n">
        <v>45400.94002314815</v>
      </c>
      <c r="C84" s="1" t="n">
        <v>46090</v>
      </c>
      <c r="D84" t="inlineStr">
        <is>
          <t>JÄMTLANDS LÄN</t>
        </is>
      </c>
      <c r="E84" t="inlineStr">
        <is>
          <t>RAGUNDA</t>
        </is>
      </c>
      <c r="F84" t="inlineStr">
        <is>
          <t>SCA</t>
        </is>
      </c>
      <c r="G84" t="n">
        <v>4.2</v>
      </c>
      <c r="H84" t="n">
        <v>3</v>
      </c>
      <c r="I84" t="n">
        <v>3</v>
      </c>
      <c r="J84" t="n">
        <v>0</v>
      </c>
      <c r="K84" t="n">
        <v>1</v>
      </c>
      <c r="L84" t="n">
        <v>0</v>
      </c>
      <c r="M84" t="n">
        <v>0</v>
      </c>
      <c r="N84" t="n">
        <v>0</v>
      </c>
      <c r="O84" t="n">
        <v>1</v>
      </c>
      <c r="P84" t="n">
        <v>1</v>
      </c>
      <c r="Q84" t="n">
        <v>5</v>
      </c>
      <c r="R84" s="2" t="inlineStr">
        <is>
          <t>Knärot
Finbräken
Guckusko
Svavelriska
Blåsippa</t>
        </is>
      </c>
      <c r="S84">
        <f>HYPERLINK("https://klasma.github.io/Logging_2303/artfynd/A 15379-2024 artfynd.xlsx", "A 15379-2024")</f>
        <v/>
      </c>
      <c r="T84">
        <f>HYPERLINK("https://klasma.github.io/Logging_2303/kartor/A 15379-2024 karta.png", "A 15379-2024")</f>
        <v/>
      </c>
      <c r="U84">
        <f>HYPERLINK("https://klasma.github.io/Logging_2303/knärot/A 15379-2024 karta knärot.png", "A 15379-2024")</f>
        <v/>
      </c>
      <c r="V84">
        <f>HYPERLINK("https://klasma.github.io/Logging_2303/klagomål/A 15379-2024 FSC-klagomål.docx", "A 15379-2024")</f>
        <v/>
      </c>
      <c r="W84">
        <f>HYPERLINK("https://klasma.github.io/Logging_2303/klagomålsmail/A 15379-2024 FSC-klagomål mail.docx", "A 15379-2024")</f>
        <v/>
      </c>
      <c r="X84">
        <f>HYPERLINK("https://klasma.github.io/Logging_2303/tillsyn/A 15379-2024 tillsynsbegäran.docx", "A 15379-2024")</f>
        <v/>
      </c>
      <c r="Y84">
        <f>HYPERLINK("https://klasma.github.io/Logging_2303/tillsynsmail/A 15379-2024 tillsynsbegäran mail.docx", "A 15379-2024")</f>
        <v/>
      </c>
    </row>
    <row r="85" ht="15" customHeight="1">
      <c r="A85" t="inlineStr">
        <is>
          <t>A 45969-2023</t>
        </is>
      </c>
      <c r="B85" s="1" t="n">
        <v>45195</v>
      </c>
      <c r="C85" s="1" t="n">
        <v>46090</v>
      </c>
      <c r="D85" t="inlineStr">
        <is>
          <t>JÄMTLANDS LÄN</t>
        </is>
      </c>
      <c r="E85" t="inlineStr">
        <is>
          <t>RAGUNDA</t>
        </is>
      </c>
      <c r="F85" t="inlineStr">
        <is>
          <t>SCA</t>
        </is>
      </c>
      <c r="G85" t="n">
        <v>9.300000000000001</v>
      </c>
      <c r="H85" t="n">
        <v>1</v>
      </c>
      <c r="I85" t="n">
        <v>4</v>
      </c>
      <c r="J85" t="n">
        <v>1</v>
      </c>
      <c r="K85" t="n">
        <v>0</v>
      </c>
      <c r="L85" t="n">
        <v>0</v>
      </c>
      <c r="M85" t="n">
        <v>0</v>
      </c>
      <c r="N85" t="n">
        <v>0</v>
      </c>
      <c r="O85" t="n">
        <v>1</v>
      </c>
      <c r="P85" t="n">
        <v>0</v>
      </c>
      <c r="Q85" t="n">
        <v>5</v>
      </c>
      <c r="R85" s="2" t="inlineStr">
        <is>
          <t>Lunglav
Dropptaggsvamp
Grönpyrola
Plattlummer
Skarp dropptaggsvamp</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39365-2024</t>
        </is>
      </c>
      <c r="B86" s="1" t="n">
        <v>45551.46912037037</v>
      </c>
      <c r="C86" s="1" t="n">
        <v>46090</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15244-2025</t>
        </is>
      </c>
      <c r="B87" s="1" t="n">
        <v>45744.61550925926</v>
      </c>
      <c r="C87" s="1" t="n">
        <v>46090</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39974-2025</t>
        </is>
      </c>
      <c r="B88" s="1" t="n">
        <v>45893.38599537037</v>
      </c>
      <c r="C88" s="1" t="n">
        <v>46090</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27313-2024</t>
        </is>
      </c>
      <c r="B89" s="1" t="n">
        <v>45471.94623842592</v>
      </c>
      <c r="C89" s="1" t="n">
        <v>46090</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30886-2025</t>
        </is>
      </c>
      <c r="B90" s="1" t="n">
        <v>45832.34578703704</v>
      </c>
      <c r="C90" s="1" t="n">
        <v>46090</v>
      </c>
      <c r="D90" t="inlineStr">
        <is>
          <t>JÄMTLANDS LÄN</t>
        </is>
      </c>
      <c r="E90" t="inlineStr">
        <is>
          <t>RAGUNDA</t>
        </is>
      </c>
      <c r="F90" t="inlineStr">
        <is>
          <t>SCA</t>
        </is>
      </c>
      <c r="G90" t="n">
        <v>4.4</v>
      </c>
      <c r="H90" t="n">
        <v>3</v>
      </c>
      <c r="I90" t="n">
        <v>1</v>
      </c>
      <c r="J90" t="n">
        <v>2</v>
      </c>
      <c r="K90" t="n">
        <v>1</v>
      </c>
      <c r="L90" t="n">
        <v>0</v>
      </c>
      <c r="M90" t="n">
        <v>0</v>
      </c>
      <c r="N90" t="n">
        <v>0</v>
      </c>
      <c r="O90" t="n">
        <v>3</v>
      </c>
      <c r="P90" t="n">
        <v>1</v>
      </c>
      <c r="Q90" t="n">
        <v>5</v>
      </c>
      <c r="R90" s="2" t="inlineStr">
        <is>
          <t>Knärot
Järpe
Lunglav
Ögonpyrola
Nattviol</t>
        </is>
      </c>
      <c r="S90">
        <f>HYPERLINK("https://klasma.github.io/Logging_2303/artfynd/A 30886-2025 artfynd.xlsx", "A 30886-2025")</f>
        <v/>
      </c>
      <c r="T90">
        <f>HYPERLINK("https://klasma.github.io/Logging_2303/kartor/A 30886-2025 karta.png", "A 30886-2025")</f>
        <v/>
      </c>
      <c r="U90">
        <f>HYPERLINK("https://klasma.github.io/Logging_2303/knärot/A 30886-2025 karta knärot.png", "A 30886-2025")</f>
        <v/>
      </c>
      <c r="V90">
        <f>HYPERLINK("https://klasma.github.io/Logging_2303/klagomål/A 30886-2025 FSC-klagomål.docx", "A 30886-2025")</f>
        <v/>
      </c>
      <c r="W90">
        <f>HYPERLINK("https://klasma.github.io/Logging_2303/klagomålsmail/A 30886-2025 FSC-klagomål mail.docx", "A 30886-2025")</f>
        <v/>
      </c>
      <c r="X90">
        <f>HYPERLINK("https://klasma.github.io/Logging_2303/tillsyn/A 30886-2025 tillsynsbegäran.docx", "A 30886-2025")</f>
        <v/>
      </c>
      <c r="Y90">
        <f>HYPERLINK("https://klasma.github.io/Logging_2303/tillsynsmail/A 30886-2025 tillsynsbegäran mail.docx", "A 30886-2025")</f>
        <v/>
      </c>
      <c r="Z90">
        <f>HYPERLINK("https://klasma.github.io/Logging_2303/fåglar/A 30886-2025 prioriterade fågelarter.docx", "A 30886-2025")</f>
        <v/>
      </c>
    </row>
    <row r="91" ht="15" customHeight="1">
      <c r="A91" t="inlineStr">
        <is>
          <t>A 35344-2025</t>
        </is>
      </c>
      <c r="B91" s="1" t="n">
        <v>45854.61494212963</v>
      </c>
      <c r="C91" s="1" t="n">
        <v>46090</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agg.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46090</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13266-2023</t>
        </is>
      </c>
      <c r="B93" s="1" t="n">
        <v>45002.94356481481</v>
      </c>
      <c r="C93" s="1" t="n">
        <v>46090</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38169-2024</t>
        </is>
      </c>
      <c r="B94" s="1" t="n">
        <v>45545.45748842593</v>
      </c>
      <c r="C94" s="1" t="n">
        <v>46090</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46090</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57073-2023</t>
        </is>
      </c>
      <c r="B96" s="1" t="n">
        <v>45244</v>
      </c>
      <c r="C96" s="1" t="n">
        <v>46090</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Läderlappslav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11641-2026</t>
        </is>
      </c>
      <c r="B97" s="1" t="n">
        <v>46084.50094907408</v>
      </c>
      <c r="C97" s="1" t="n">
        <v>46090</v>
      </c>
      <c r="D97" t="inlineStr">
        <is>
          <t>JÄMTLANDS LÄN</t>
        </is>
      </c>
      <c r="E97" t="inlineStr">
        <is>
          <t>RAGUNDA</t>
        </is>
      </c>
      <c r="G97" t="n">
        <v>1.8</v>
      </c>
      <c r="H97" t="n">
        <v>0</v>
      </c>
      <c r="I97" t="n">
        <v>2</v>
      </c>
      <c r="J97" t="n">
        <v>3</v>
      </c>
      <c r="K97" t="n">
        <v>0</v>
      </c>
      <c r="L97" t="n">
        <v>0</v>
      </c>
      <c r="M97" t="n">
        <v>0</v>
      </c>
      <c r="N97" t="n">
        <v>0</v>
      </c>
      <c r="O97" t="n">
        <v>3</v>
      </c>
      <c r="P97" t="n">
        <v>0</v>
      </c>
      <c r="Q97" t="n">
        <v>5</v>
      </c>
      <c r="R97" s="2" t="inlineStr">
        <is>
          <t>Lunglav
Skrovellav
Vitgrynig nållav
Bårdlav
Stuplav</t>
        </is>
      </c>
      <c r="S97">
        <f>HYPERLINK("https://klasma.github.io/Logging_2303/artfynd/A 11641-2026 artfynd.xlsx", "A 11641-2026")</f>
        <v/>
      </c>
      <c r="T97">
        <f>HYPERLINK("https://klasma.github.io/Logging_2303/kartor/A 11641-2026 karta.png", "A 11641-2026")</f>
        <v/>
      </c>
      <c r="U97">
        <f>HYPERLINK("https://klasma.github.io/Logging_2303/knärot/A 11641-2026 karta knärot.png", "A 11641-2026")</f>
        <v/>
      </c>
      <c r="V97">
        <f>HYPERLINK("https://klasma.github.io/Logging_2303/klagomål/A 11641-2026 FSC-klagomål.docx", "A 11641-2026")</f>
        <v/>
      </c>
      <c r="W97">
        <f>HYPERLINK("https://klasma.github.io/Logging_2303/klagomålsmail/A 11641-2026 FSC-klagomål mail.docx", "A 11641-2026")</f>
        <v/>
      </c>
      <c r="X97">
        <f>HYPERLINK("https://klasma.github.io/Logging_2303/tillsyn/A 11641-2026 tillsynsbegäran.docx", "A 11641-2026")</f>
        <v/>
      </c>
      <c r="Y97">
        <f>HYPERLINK("https://klasma.github.io/Logging_2303/tillsynsmail/A 11641-2026 tillsynsbegäran mail.docx", "A 11641-2026")</f>
        <v/>
      </c>
    </row>
    <row r="98" ht="15" customHeight="1">
      <c r="A98" t="inlineStr">
        <is>
          <t>A 43106-2023</t>
        </is>
      </c>
      <c r="B98" s="1" t="n">
        <v>45182</v>
      </c>
      <c r="C98" s="1" t="n">
        <v>46090</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60683-2022</t>
        </is>
      </c>
      <c r="B99" s="1" t="n">
        <v>44911</v>
      </c>
      <c r="C99" s="1" t="n">
        <v>46090</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18629-2024</t>
        </is>
      </c>
      <c r="B100" s="1" t="n">
        <v>45425.96472222222</v>
      </c>
      <c r="C100" s="1" t="n">
        <v>46090</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46090</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19851-2022</t>
        </is>
      </c>
      <c r="B102" s="1" t="n">
        <v>44696</v>
      </c>
      <c r="C102" s="1" t="n">
        <v>46090</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46090</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60670-2022</t>
        </is>
      </c>
      <c r="B104" s="1" t="n">
        <v>44911</v>
      </c>
      <c r="C104" s="1" t="n">
        <v>46090</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32903-2024</t>
        </is>
      </c>
      <c r="B105" s="1" t="n">
        <v>45516.94723379629</v>
      </c>
      <c r="C105" s="1" t="n">
        <v>46090</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23682-2021</t>
        </is>
      </c>
      <c r="B106" s="1" t="n">
        <v>44334</v>
      </c>
      <c r="C106" s="1" t="n">
        <v>46090</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46090</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26082-2025</t>
        </is>
      </c>
      <c r="B108" s="1" t="n">
        <v>45805.34415509259</v>
      </c>
      <c r="C108" s="1" t="n">
        <v>46090</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43960-2023</t>
        </is>
      </c>
      <c r="B109" s="1" t="n">
        <v>45187</v>
      </c>
      <c r="C109" s="1" t="n">
        <v>46090</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40653-2025</t>
        </is>
      </c>
      <c r="B110" s="1" t="n">
        <v>45896.63618055556</v>
      </c>
      <c r="C110" s="1" t="n">
        <v>46090</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30483-2024</t>
        </is>
      </c>
      <c r="B111" s="1" t="n">
        <v>45491</v>
      </c>
      <c r="C111" s="1" t="n">
        <v>46090</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23931-2024</t>
        </is>
      </c>
      <c r="B112" s="1" t="n">
        <v>45455.96195601852</v>
      </c>
      <c r="C112" s="1" t="n">
        <v>46090</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50342-2025</t>
        </is>
      </c>
      <c r="B113" s="1" t="n">
        <v>45944.53186342592</v>
      </c>
      <c r="C113" s="1" t="n">
        <v>46090</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32067-2024</t>
        </is>
      </c>
      <c r="B114" s="1" t="n">
        <v>45510</v>
      </c>
      <c r="C114" s="1" t="n">
        <v>46090</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30465-2024</t>
        </is>
      </c>
      <c r="B115" s="1" t="n">
        <v>45491</v>
      </c>
      <c r="C115" s="1" t="n">
        <v>46090</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15836-2024</t>
        </is>
      </c>
      <c r="B116" s="1" t="n">
        <v>45404</v>
      </c>
      <c r="C116" s="1" t="n">
        <v>46090</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52168-2025</t>
        </is>
      </c>
      <c r="B117" s="1" t="n">
        <v>45953.365625</v>
      </c>
      <c r="C117" s="1" t="n">
        <v>46090</v>
      </c>
      <c r="D117" t="inlineStr">
        <is>
          <t>JÄMTLANDS LÄN</t>
        </is>
      </c>
      <c r="E117" t="inlineStr">
        <is>
          <t>RAGUNDA</t>
        </is>
      </c>
      <c r="F117" t="inlineStr">
        <is>
          <t>SCA</t>
        </is>
      </c>
      <c r="G117" t="n">
        <v>19.5</v>
      </c>
      <c r="H117" t="n">
        <v>0</v>
      </c>
      <c r="I117" t="n">
        <v>1</v>
      </c>
      <c r="J117" t="n">
        <v>3</v>
      </c>
      <c r="K117" t="n">
        <v>0</v>
      </c>
      <c r="L117" t="n">
        <v>0</v>
      </c>
      <c r="M117" t="n">
        <v>0</v>
      </c>
      <c r="N117" t="n">
        <v>0</v>
      </c>
      <c r="O117" t="n">
        <v>3</v>
      </c>
      <c r="P117" t="n">
        <v>0</v>
      </c>
      <c r="Q117" t="n">
        <v>4</v>
      </c>
      <c r="R117" s="2" t="inlineStr">
        <is>
          <t>Garnlav
Granticka
Vitgrynig nållav
Källmossa</t>
        </is>
      </c>
      <c r="S117">
        <f>HYPERLINK("https://klasma.github.io/Logging_2303/artfynd/A 52168-2025 artfynd.xlsx", "A 52168-2025")</f>
        <v/>
      </c>
      <c r="T117">
        <f>HYPERLINK("https://klasma.github.io/Logging_2303/kartor/A 52168-2025 karta.png", "A 52168-2025")</f>
        <v/>
      </c>
      <c r="V117">
        <f>HYPERLINK("https://klasma.github.io/Logging_2303/klagomål/A 52168-2025 FSC-klagomål.docx", "A 52168-2025")</f>
        <v/>
      </c>
      <c r="W117">
        <f>HYPERLINK("https://klasma.github.io/Logging_2303/klagomålsmail/A 52168-2025 FSC-klagomål mail.docx", "A 52168-2025")</f>
        <v/>
      </c>
      <c r="X117">
        <f>HYPERLINK("https://klasma.github.io/Logging_2303/tillsyn/A 52168-2025 tillsynsbegäran.docx", "A 52168-2025")</f>
        <v/>
      </c>
      <c r="Y117">
        <f>HYPERLINK("https://klasma.github.io/Logging_2303/tillsynsmail/A 52168-2025 tillsynsbegäran mail.docx", "A 52168-2025")</f>
        <v/>
      </c>
    </row>
    <row r="118" ht="15" customHeight="1">
      <c r="A118" t="inlineStr">
        <is>
          <t>A 2282-2026</t>
        </is>
      </c>
      <c r="B118" s="1" t="n">
        <v>46036.57798611111</v>
      </c>
      <c r="C118" s="1" t="n">
        <v>46090</v>
      </c>
      <c r="D118" t="inlineStr">
        <is>
          <t>JÄMTLANDS LÄN</t>
        </is>
      </c>
      <c r="E118" t="inlineStr">
        <is>
          <t>RAGUNDA</t>
        </is>
      </c>
      <c r="G118" t="n">
        <v>2</v>
      </c>
      <c r="H118" t="n">
        <v>1</v>
      </c>
      <c r="I118" t="n">
        <v>0</v>
      </c>
      <c r="J118" t="n">
        <v>4</v>
      </c>
      <c r="K118" t="n">
        <v>0</v>
      </c>
      <c r="L118" t="n">
        <v>0</v>
      </c>
      <c r="M118" t="n">
        <v>0</v>
      </c>
      <c r="N118" t="n">
        <v>0</v>
      </c>
      <c r="O118" t="n">
        <v>4</v>
      </c>
      <c r="P118" t="n">
        <v>0</v>
      </c>
      <c r="Q118" t="n">
        <v>4</v>
      </c>
      <c r="R118" s="2" t="inlineStr">
        <is>
          <t>Garnlav
Harticka
Lunglav
Tretåig hackspett</t>
        </is>
      </c>
      <c r="S118">
        <f>HYPERLINK("https://klasma.github.io/Logging_2303/artfynd/A 2282-2026 artfynd.xlsx", "A 2282-2026")</f>
        <v/>
      </c>
      <c r="T118">
        <f>HYPERLINK("https://klasma.github.io/Logging_2303/kartor/A 2282-2026 karta.png", "A 2282-2026")</f>
        <v/>
      </c>
      <c r="V118">
        <f>HYPERLINK("https://klasma.github.io/Logging_2303/klagomål/A 2282-2026 FSC-klagomål.docx", "A 2282-2026")</f>
        <v/>
      </c>
      <c r="W118">
        <f>HYPERLINK("https://klasma.github.io/Logging_2303/klagomålsmail/A 2282-2026 FSC-klagomål mail.docx", "A 2282-2026")</f>
        <v/>
      </c>
      <c r="X118">
        <f>HYPERLINK("https://klasma.github.io/Logging_2303/tillsyn/A 2282-2026 tillsynsbegäran.docx", "A 2282-2026")</f>
        <v/>
      </c>
      <c r="Y118">
        <f>HYPERLINK("https://klasma.github.io/Logging_2303/tillsynsmail/A 2282-2026 tillsynsbegäran mail.docx", "A 2282-2026")</f>
        <v/>
      </c>
      <c r="Z118">
        <f>HYPERLINK("https://klasma.github.io/Logging_2303/fåglar/A 2282-2026 prioriterade fågelarter.docx", "A 2282-2026")</f>
        <v/>
      </c>
    </row>
    <row r="119" ht="15" customHeight="1">
      <c r="A119" t="inlineStr">
        <is>
          <t>A 3809-2026</t>
        </is>
      </c>
      <c r="B119" s="1" t="n">
        <v>46043.58364583334</v>
      </c>
      <c r="C119" s="1" t="n">
        <v>46090</v>
      </c>
      <c r="D119" t="inlineStr">
        <is>
          <t>JÄMTLANDS LÄN</t>
        </is>
      </c>
      <c r="E119" t="inlineStr">
        <is>
          <t>RAGUNDA</t>
        </is>
      </c>
      <c r="G119" t="n">
        <v>28.6</v>
      </c>
      <c r="H119" t="n">
        <v>1</v>
      </c>
      <c r="I119" t="n">
        <v>0</v>
      </c>
      <c r="J119" t="n">
        <v>3</v>
      </c>
      <c r="K119" t="n">
        <v>1</v>
      </c>
      <c r="L119" t="n">
        <v>0</v>
      </c>
      <c r="M119" t="n">
        <v>0</v>
      </c>
      <c r="N119" t="n">
        <v>0</v>
      </c>
      <c r="O119" t="n">
        <v>4</v>
      </c>
      <c r="P119" t="n">
        <v>1</v>
      </c>
      <c r="Q119" t="n">
        <v>4</v>
      </c>
      <c r="R119" s="2" t="inlineStr">
        <is>
          <t>Knärot
Garnlav
Lunglav
Vitgrynig nållav</t>
        </is>
      </c>
      <c r="S119">
        <f>HYPERLINK("https://klasma.github.io/Logging_2303/artfynd/A 3809-2026 artfynd.xlsx", "A 3809-2026")</f>
        <v/>
      </c>
      <c r="T119">
        <f>HYPERLINK("https://klasma.github.io/Logging_2303/kartor/A 3809-2026 karta.png", "A 3809-2026")</f>
        <v/>
      </c>
      <c r="U119">
        <f>HYPERLINK("https://klasma.github.io/Logging_2303/knärot/A 3809-2026 karta knärot.png", "A 3809-2026")</f>
        <v/>
      </c>
      <c r="V119">
        <f>HYPERLINK("https://klasma.github.io/Logging_2303/klagomål/A 3809-2026 FSC-klagomål.docx", "A 3809-2026")</f>
        <v/>
      </c>
      <c r="W119">
        <f>HYPERLINK("https://klasma.github.io/Logging_2303/klagomålsmail/A 3809-2026 FSC-klagomål mail.docx", "A 3809-2026")</f>
        <v/>
      </c>
      <c r="X119">
        <f>HYPERLINK("https://klasma.github.io/Logging_2303/tillsyn/A 3809-2026 tillsynsbegäran.docx", "A 3809-2026")</f>
        <v/>
      </c>
      <c r="Y119">
        <f>HYPERLINK("https://klasma.github.io/Logging_2303/tillsynsmail/A 3809-2026 tillsynsbegäran mail.docx", "A 3809-2026")</f>
        <v/>
      </c>
    </row>
    <row r="120" ht="15" customHeight="1">
      <c r="A120" t="inlineStr">
        <is>
          <t>A 52644-2024</t>
        </is>
      </c>
      <c r="B120" s="1" t="n">
        <v>45610.34415509259</v>
      </c>
      <c r="C120" s="1" t="n">
        <v>46090</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19401-2025</t>
        </is>
      </c>
      <c r="B121" s="1" t="n">
        <v>45769.67767361111</v>
      </c>
      <c r="C121" s="1" t="n">
        <v>46090</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17092-2022</t>
        </is>
      </c>
      <c r="B122" s="1" t="n">
        <v>44677</v>
      </c>
      <c r="C122" s="1" t="n">
        <v>46090</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46090</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46090</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46090</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46090</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46090</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46090</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46090</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46090</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46090</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25769-2025</t>
        </is>
      </c>
      <c r="B132" s="1" t="n">
        <v>45804.34474537037</v>
      </c>
      <c r="C132" s="1" t="n">
        <v>46090</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58737-2022</t>
        </is>
      </c>
      <c r="B133" s="1" t="n">
        <v>44902</v>
      </c>
      <c r="C133" s="1" t="n">
        <v>46090</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22571-2025</t>
        </is>
      </c>
      <c r="B134" s="1" t="n">
        <v>45789.36503472222</v>
      </c>
      <c r="C134" s="1" t="n">
        <v>46090</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28178-2023</t>
        </is>
      </c>
      <c r="B135" s="1" t="n">
        <v>45093</v>
      </c>
      <c r="C135" s="1" t="n">
        <v>46090</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34585-2025</t>
        </is>
      </c>
      <c r="B136" s="1" t="n">
        <v>45847.61498842593</v>
      </c>
      <c r="C136" s="1" t="n">
        <v>46090</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46090</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49047-2023</t>
        </is>
      </c>
      <c r="B138" s="1" t="n">
        <v>45209</v>
      </c>
      <c r="C138" s="1" t="n">
        <v>46090</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14814-2024</t>
        </is>
      </c>
      <c r="B139" s="1" t="n">
        <v>45397.95748842593</v>
      </c>
      <c r="C139" s="1" t="n">
        <v>46090</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33278-2022</t>
        </is>
      </c>
      <c r="B140" s="1" t="n">
        <v>44788</v>
      </c>
      <c r="C140" s="1" t="n">
        <v>46090</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7519-2023</t>
        </is>
      </c>
      <c r="B141" s="1" t="n">
        <v>44971</v>
      </c>
      <c r="C141" s="1" t="n">
        <v>46090</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57667-2025</t>
        </is>
      </c>
      <c r="B142" s="1" t="n">
        <v>45981.42767361111</v>
      </c>
      <c r="C142" s="1" t="n">
        <v>46090</v>
      </c>
      <c r="D142" t="inlineStr">
        <is>
          <t>JÄMTLANDS LÄN</t>
        </is>
      </c>
      <c r="E142" t="inlineStr">
        <is>
          <t>RAGUNDA</t>
        </is>
      </c>
      <c r="F142" t="inlineStr">
        <is>
          <t>SCA</t>
        </is>
      </c>
      <c r="G142" t="n">
        <v>1.7</v>
      </c>
      <c r="H142" t="n">
        <v>0</v>
      </c>
      <c r="I142" t="n">
        <v>2</v>
      </c>
      <c r="J142" t="n">
        <v>1</v>
      </c>
      <c r="K142" t="n">
        <v>0</v>
      </c>
      <c r="L142" t="n">
        <v>0</v>
      </c>
      <c r="M142" t="n">
        <v>0</v>
      </c>
      <c r="N142" t="n">
        <v>0</v>
      </c>
      <c r="O142" t="n">
        <v>1</v>
      </c>
      <c r="P142" t="n">
        <v>0</v>
      </c>
      <c r="Q142" t="n">
        <v>3</v>
      </c>
      <c r="R142" s="2" t="inlineStr">
        <is>
          <t>Lunglav
Korallblylav
Luddlav</t>
        </is>
      </c>
      <c r="S142">
        <f>HYPERLINK("https://klasma.github.io/Logging_2303/artfynd/A 57667-2025 artfynd.xlsx", "A 57667-2025")</f>
        <v/>
      </c>
      <c r="T142">
        <f>HYPERLINK("https://klasma.github.io/Logging_2303/kartor/A 57667-2025 karta.png", "A 57667-2025")</f>
        <v/>
      </c>
      <c r="V142">
        <f>HYPERLINK("https://klasma.github.io/Logging_2303/klagomål/A 57667-2025 FSC-klagomål.docx", "A 57667-2025")</f>
        <v/>
      </c>
      <c r="W142">
        <f>HYPERLINK("https://klasma.github.io/Logging_2303/klagomålsmail/A 57667-2025 FSC-klagomål mail.docx", "A 57667-2025")</f>
        <v/>
      </c>
      <c r="X142">
        <f>HYPERLINK("https://klasma.github.io/Logging_2303/tillsyn/A 57667-2025 tillsynsbegäran.docx", "A 57667-2025")</f>
        <v/>
      </c>
      <c r="Y142">
        <f>HYPERLINK("https://klasma.github.io/Logging_2303/tillsynsmail/A 57667-2025 tillsynsbegäran mail.docx", "A 57667-2025")</f>
        <v/>
      </c>
    </row>
    <row r="143" ht="15" customHeight="1">
      <c r="A143" t="inlineStr">
        <is>
          <t>A 12737-2025</t>
        </is>
      </c>
      <c r="B143" s="1" t="n">
        <v>45733</v>
      </c>
      <c r="C143" s="1" t="n">
        <v>46090</v>
      </c>
      <c r="D143" t="inlineStr">
        <is>
          <t>JÄMTLANDS LÄN</t>
        </is>
      </c>
      <c r="E143" t="inlineStr">
        <is>
          <t>RAGUNDA</t>
        </is>
      </c>
      <c r="G143" t="n">
        <v>16.1</v>
      </c>
      <c r="H143" t="n">
        <v>2</v>
      </c>
      <c r="I143" t="n">
        <v>2</v>
      </c>
      <c r="J143" t="n">
        <v>0</v>
      </c>
      <c r="K143" t="n">
        <v>1</v>
      </c>
      <c r="L143" t="n">
        <v>0</v>
      </c>
      <c r="M143" t="n">
        <v>0</v>
      </c>
      <c r="N143" t="n">
        <v>0</v>
      </c>
      <c r="O143" t="n">
        <v>1</v>
      </c>
      <c r="P143" t="n">
        <v>1</v>
      </c>
      <c r="Q143" t="n">
        <v>3</v>
      </c>
      <c r="R143" s="2" t="inlineStr">
        <is>
          <t>Knärot
Plattlummer
Skarp dropptaggsvamp</t>
        </is>
      </c>
      <c r="S143">
        <f>HYPERLINK("https://klasma.github.io/Logging_2303/artfynd/A 12737-2025 artfynd.xlsx", "A 12737-2025")</f>
        <v/>
      </c>
      <c r="T143">
        <f>HYPERLINK("https://klasma.github.io/Logging_2303/kartor/A 12737-2025 karta.png", "A 12737-2025")</f>
        <v/>
      </c>
      <c r="U143">
        <f>HYPERLINK("https://klasma.github.io/Logging_2303/knärot/A 12737-2025 karta knärot.png", "A 12737-2025")</f>
        <v/>
      </c>
      <c r="V143">
        <f>HYPERLINK("https://klasma.github.io/Logging_2303/klagomål/A 12737-2025 FSC-klagomål.docx", "A 12737-2025")</f>
        <v/>
      </c>
      <c r="W143">
        <f>HYPERLINK("https://klasma.github.io/Logging_2303/klagomålsmail/A 12737-2025 FSC-klagomål mail.docx", "A 12737-2025")</f>
        <v/>
      </c>
      <c r="X143">
        <f>HYPERLINK("https://klasma.github.io/Logging_2303/tillsyn/A 12737-2025 tillsynsbegäran.docx", "A 12737-2025")</f>
        <v/>
      </c>
      <c r="Y143">
        <f>HYPERLINK("https://klasma.github.io/Logging_2303/tillsynsmail/A 12737-2025 tillsynsbegäran mail.docx", "A 12737-2025")</f>
        <v/>
      </c>
    </row>
    <row r="144" ht="15" customHeight="1">
      <c r="A144" t="inlineStr">
        <is>
          <t>A 59179-2025</t>
        </is>
      </c>
      <c r="B144" s="1" t="n">
        <v>45988.57350694444</v>
      </c>
      <c r="C144" s="1" t="n">
        <v>46090</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57941-2024</t>
        </is>
      </c>
      <c r="B145" s="1" t="n">
        <v>45631</v>
      </c>
      <c r="C145" s="1" t="n">
        <v>46090</v>
      </c>
      <c r="D145" t="inlineStr">
        <is>
          <t>JÄMTLANDS LÄN</t>
        </is>
      </c>
      <c r="E145" t="inlineStr">
        <is>
          <t>RAGUNDA</t>
        </is>
      </c>
      <c r="F145" t="inlineStr">
        <is>
          <t>SCA</t>
        </is>
      </c>
      <c r="G145" t="n">
        <v>4.2</v>
      </c>
      <c r="H145" t="n">
        <v>1</v>
      </c>
      <c r="I145" t="n">
        <v>0</v>
      </c>
      <c r="J145" t="n">
        <v>3</v>
      </c>
      <c r="K145" t="n">
        <v>0</v>
      </c>
      <c r="L145" t="n">
        <v>0</v>
      </c>
      <c r="M145" t="n">
        <v>0</v>
      </c>
      <c r="N145" t="n">
        <v>0</v>
      </c>
      <c r="O145" t="n">
        <v>3</v>
      </c>
      <c r="P145" t="n">
        <v>0</v>
      </c>
      <c r="Q145" t="n">
        <v>3</v>
      </c>
      <c r="R145" s="2" t="inlineStr">
        <is>
          <t>Garnlav
Lunglav
Tretåig hackspett</t>
        </is>
      </c>
      <c r="S145">
        <f>HYPERLINK("https://klasma.github.io/Logging_2303/artfynd/A 57941-2024 artfynd.xlsx", "A 57941-2024")</f>
        <v/>
      </c>
      <c r="T145">
        <f>HYPERLINK("https://klasma.github.io/Logging_2303/kartor/A 57941-2024 karta.png", "A 57941-2024")</f>
        <v/>
      </c>
      <c r="V145">
        <f>HYPERLINK("https://klasma.github.io/Logging_2303/klagomål/A 57941-2024 FSC-klagomål.docx", "A 57941-2024")</f>
        <v/>
      </c>
      <c r="W145">
        <f>HYPERLINK("https://klasma.github.io/Logging_2303/klagomålsmail/A 57941-2024 FSC-klagomål mail.docx", "A 57941-2024")</f>
        <v/>
      </c>
      <c r="X145">
        <f>HYPERLINK("https://klasma.github.io/Logging_2303/tillsyn/A 57941-2024 tillsynsbegäran.docx", "A 57941-2024")</f>
        <v/>
      </c>
      <c r="Y145">
        <f>HYPERLINK("https://klasma.github.io/Logging_2303/tillsynsmail/A 57941-2024 tillsynsbegäran mail.docx", "A 57941-2024")</f>
        <v/>
      </c>
      <c r="Z145">
        <f>HYPERLINK("https://klasma.github.io/Logging_2303/fåglar/A 57941-2024 prioriterade fågelarter.docx", "A 57941-2024")</f>
        <v/>
      </c>
    </row>
    <row r="146" ht="15" customHeight="1">
      <c r="A146" t="inlineStr">
        <is>
          <t>A 5048-2025</t>
        </is>
      </c>
      <c r="B146" s="1" t="n">
        <v>45691.44769675926</v>
      </c>
      <c r="C146" s="1" t="n">
        <v>46090</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61954-2025</t>
        </is>
      </c>
      <c r="B147" s="1" t="n">
        <v>46003.57381944444</v>
      </c>
      <c r="C147" s="1" t="n">
        <v>46090</v>
      </c>
      <c r="D147" t="inlineStr">
        <is>
          <t>JÄMTLANDS LÄN</t>
        </is>
      </c>
      <c r="E147" t="inlineStr">
        <is>
          <t>RAGUNDA</t>
        </is>
      </c>
      <c r="F147" t="inlineStr">
        <is>
          <t>SCA</t>
        </is>
      </c>
      <c r="G147" t="n">
        <v>6.5</v>
      </c>
      <c r="H147" t="n">
        <v>0</v>
      </c>
      <c r="I147" t="n">
        <v>1</v>
      </c>
      <c r="J147" t="n">
        <v>2</v>
      </c>
      <c r="K147" t="n">
        <v>0</v>
      </c>
      <c r="L147" t="n">
        <v>0</v>
      </c>
      <c r="M147" t="n">
        <v>0</v>
      </c>
      <c r="N147" t="n">
        <v>0</v>
      </c>
      <c r="O147" t="n">
        <v>2</v>
      </c>
      <c r="P147" t="n">
        <v>0</v>
      </c>
      <c r="Q147" t="n">
        <v>3</v>
      </c>
      <c r="R147" s="2" t="inlineStr">
        <is>
          <t>Garnlav
Lunglav
Trådticka</t>
        </is>
      </c>
      <c r="S147">
        <f>HYPERLINK("https://klasma.github.io/Logging_2303/artfynd/A 61954-2025 artfynd.xlsx", "A 61954-2025")</f>
        <v/>
      </c>
      <c r="T147">
        <f>HYPERLINK("https://klasma.github.io/Logging_2303/kartor/A 61954-2025 karta.png", "A 61954-2025")</f>
        <v/>
      </c>
      <c r="V147">
        <f>HYPERLINK("https://klasma.github.io/Logging_2303/klagomål/A 61954-2025 FSC-klagomål.docx", "A 61954-2025")</f>
        <v/>
      </c>
      <c r="W147">
        <f>HYPERLINK("https://klasma.github.io/Logging_2303/klagomålsmail/A 61954-2025 FSC-klagomål mail.docx", "A 61954-2025")</f>
        <v/>
      </c>
      <c r="X147">
        <f>HYPERLINK("https://klasma.github.io/Logging_2303/tillsyn/A 61954-2025 tillsynsbegäran.docx", "A 61954-2025")</f>
        <v/>
      </c>
      <c r="Y147">
        <f>HYPERLINK("https://klasma.github.io/Logging_2303/tillsynsmail/A 61954-2025 tillsynsbegäran mail.docx", "A 61954-2025")</f>
        <v/>
      </c>
    </row>
    <row r="148" ht="15" customHeight="1">
      <c r="A148" t="inlineStr">
        <is>
          <t>A 5731-2026</t>
        </is>
      </c>
      <c r="B148" s="1" t="n">
        <v>46051.57355324074</v>
      </c>
      <c r="C148" s="1" t="n">
        <v>46090</v>
      </c>
      <c r="D148" t="inlineStr">
        <is>
          <t>JÄMTLANDS LÄN</t>
        </is>
      </c>
      <c r="E148" t="inlineStr">
        <is>
          <t>RAGUNDA</t>
        </is>
      </c>
      <c r="F148" t="inlineStr">
        <is>
          <t>SCA</t>
        </is>
      </c>
      <c r="G148" t="n">
        <v>2</v>
      </c>
      <c r="H148" t="n">
        <v>1</v>
      </c>
      <c r="I148" t="n">
        <v>0</v>
      </c>
      <c r="J148" t="n">
        <v>2</v>
      </c>
      <c r="K148" t="n">
        <v>0</v>
      </c>
      <c r="L148" t="n">
        <v>0</v>
      </c>
      <c r="M148" t="n">
        <v>0</v>
      </c>
      <c r="N148" t="n">
        <v>0</v>
      </c>
      <c r="O148" t="n">
        <v>2</v>
      </c>
      <c r="P148" t="n">
        <v>0</v>
      </c>
      <c r="Q148" t="n">
        <v>3</v>
      </c>
      <c r="R148" s="2" t="inlineStr">
        <is>
          <t>Garnlav
Lunglav
Lavskrika</t>
        </is>
      </c>
      <c r="S148">
        <f>HYPERLINK("https://klasma.github.io/Logging_2303/artfynd/A 5731-2026 artfynd.xlsx", "A 5731-2026")</f>
        <v/>
      </c>
      <c r="T148">
        <f>HYPERLINK("https://klasma.github.io/Logging_2303/kartor/A 5731-2026 karta.png", "A 5731-2026")</f>
        <v/>
      </c>
      <c r="V148">
        <f>HYPERLINK("https://klasma.github.io/Logging_2303/klagomål/A 5731-2026 FSC-klagomål.docx", "A 5731-2026")</f>
        <v/>
      </c>
      <c r="W148">
        <f>HYPERLINK("https://klasma.github.io/Logging_2303/klagomålsmail/A 5731-2026 FSC-klagomål mail.docx", "A 5731-2026")</f>
        <v/>
      </c>
      <c r="X148">
        <f>HYPERLINK("https://klasma.github.io/Logging_2303/tillsyn/A 5731-2026 tillsynsbegäran.docx", "A 5731-2026")</f>
        <v/>
      </c>
      <c r="Y148">
        <f>HYPERLINK("https://klasma.github.io/Logging_2303/tillsynsmail/A 5731-2026 tillsynsbegäran mail.docx", "A 5731-2026")</f>
        <v/>
      </c>
      <c r="Z148">
        <f>HYPERLINK("https://klasma.github.io/Logging_2303/fåglar/A 5731-2026 prioriterade fågelarter.docx", "A 5731-2026")</f>
        <v/>
      </c>
    </row>
    <row r="149" ht="15" customHeight="1">
      <c r="A149" t="inlineStr">
        <is>
          <t>A 30470-2024</t>
        </is>
      </c>
      <c r="B149" s="1" t="n">
        <v>45491</v>
      </c>
      <c r="C149" s="1" t="n">
        <v>46090</v>
      </c>
      <c r="D149" t="inlineStr">
        <is>
          <t>JÄMTLANDS LÄN</t>
        </is>
      </c>
      <c r="E149" t="inlineStr">
        <is>
          <t>RAGUNDA</t>
        </is>
      </c>
      <c r="F149" t="inlineStr">
        <is>
          <t>SCA</t>
        </is>
      </c>
      <c r="G149" t="n">
        <v>1.4</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HYPERLINK("https://klasma.github.io/Logging_2303/artfynd/A 30470-2024 artfynd.xlsx", "A 30470-2024")</f>
        <v/>
      </c>
      <c r="T149">
        <f>HYPERLINK("https://klasma.github.io/Logging_2303/kartor/A 30470-2024 karta.png", "A 30470-2024")</f>
        <v/>
      </c>
      <c r="U149">
        <f>HYPERLINK("https://klasma.github.io/Logging_2303/knärot/A 30470-2024 karta knärot.png", "A 30470-2024")</f>
        <v/>
      </c>
      <c r="V149">
        <f>HYPERLINK("https://klasma.github.io/Logging_2303/klagomål/A 30470-2024 FSC-klagomål.docx", "A 30470-2024")</f>
        <v/>
      </c>
      <c r="W149">
        <f>HYPERLINK("https://klasma.github.io/Logging_2303/klagomålsmail/A 30470-2024 FSC-klagomål mail.docx", "A 30470-2024")</f>
        <v/>
      </c>
      <c r="X149">
        <f>HYPERLINK("https://klasma.github.io/Logging_2303/tillsyn/A 30470-2024 tillsynsbegäran.docx", "A 30470-2024")</f>
        <v/>
      </c>
      <c r="Y149">
        <f>HYPERLINK("https://klasma.github.io/Logging_2303/tillsynsmail/A 30470-2024 tillsynsbegäran mail.docx", "A 30470-2024")</f>
        <v/>
      </c>
      <c r="Z149">
        <f>HYPERLINK("https://klasma.github.io/Logging_2303/fåglar/A 30470-2024 prioriterade fågelarter.docx", "A 30470-2024")</f>
        <v/>
      </c>
    </row>
    <row r="150" ht="15" customHeight="1">
      <c r="A150" t="inlineStr">
        <is>
          <t>A 61790-2023</t>
        </is>
      </c>
      <c r="B150" s="1" t="n">
        <v>45265</v>
      </c>
      <c r="C150" s="1" t="n">
        <v>46090</v>
      </c>
      <c r="D150" t="inlineStr">
        <is>
          <t>JÄMTLANDS LÄN</t>
        </is>
      </c>
      <c r="E150" t="inlineStr">
        <is>
          <t>RAGUNDA</t>
        </is>
      </c>
      <c r="F150" t="inlineStr">
        <is>
          <t>SCA</t>
        </is>
      </c>
      <c r="G150" t="n">
        <v>6.1</v>
      </c>
      <c r="H150" t="n">
        <v>0</v>
      </c>
      <c r="I150" t="n">
        <v>0</v>
      </c>
      <c r="J150" t="n">
        <v>3</v>
      </c>
      <c r="K150" t="n">
        <v>0</v>
      </c>
      <c r="L150" t="n">
        <v>0</v>
      </c>
      <c r="M150" t="n">
        <v>0</v>
      </c>
      <c r="N150" t="n">
        <v>0</v>
      </c>
      <c r="O150" t="n">
        <v>3</v>
      </c>
      <c r="P150" t="n">
        <v>0</v>
      </c>
      <c r="Q150" t="n">
        <v>3</v>
      </c>
      <c r="R150" s="2" t="inlineStr">
        <is>
          <t>Gammelgransskål
Lunglav
Skrovellav</t>
        </is>
      </c>
      <c r="S150">
        <f>HYPERLINK("https://klasma.github.io/Logging_2303/artfynd/A 61790-2023 artfynd.xlsx", "A 61790-2023")</f>
        <v/>
      </c>
      <c r="T150">
        <f>HYPERLINK("https://klasma.github.io/Logging_2303/kartor/A 61790-2023 karta.png", "A 61790-2023")</f>
        <v/>
      </c>
      <c r="V150">
        <f>HYPERLINK("https://klasma.github.io/Logging_2303/klagomål/A 61790-2023 FSC-klagomål.docx", "A 61790-2023")</f>
        <v/>
      </c>
      <c r="W150">
        <f>HYPERLINK("https://klasma.github.io/Logging_2303/klagomålsmail/A 61790-2023 FSC-klagomål mail.docx", "A 61790-2023")</f>
        <v/>
      </c>
      <c r="X150">
        <f>HYPERLINK("https://klasma.github.io/Logging_2303/tillsyn/A 61790-2023 tillsynsbegäran.docx", "A 61790-2023")</f>
        <v/>
      </c>
      <c r="Y150">
        <f>HYPERLINK("https://klasma.github.io/Logging_2303/tillsynsmail/A 61790-2023 tillsynsbegäran mail.docx", "A 61790-2023")</f>
        <v/>
      </c>
    </row>
    <row r="151" ht="15" customHeight="1">
      <c r="A151" t="inlineStr">
        <is>
          <t>A 48054-2022</t>
        </is>
      </c>
      <c r="B151" s="1" t="n">
        <v>44855</v>
      </c>
      <c r="C151" s="1" t="n">
        <v>46090</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20776-2024</t>
        </is>
      </c>
      <c r="B152" s="1" t="n">
        <v>45436.94686342592</v>
      </c>
      <c r="C152" s="1" t="n">
        <v>46090</v>
      </c>
      <c r="D152" t="inlineStr">
        <is>
          <t>JÄMTLANDS LÄN</t>
        </is>
      </c>
      <c r="E152" t="inlineStr">
        <is>
          <t>RAGUNDA</t>
        </is>
      </c>
      <c r="F152" t="inlineStr">
        <is>
          <t>SCA</t>
        </is>
      </c>
      <c r="G152" t="n">
        <v>5.2</v>
      </c>
      <c r="H152" t="n">
        <v>0</v>
      </c>
      <c r="I152" t="n">
        <v>0</v>
      </c>
      <c r="J152" t="n">
        <v>2</v>
      </c>
      <c r="K152" t="n">
        <v>1</v>
      </c>
      <c r="L152" t="n">
        <v>0</v>
      </c>
      <c r="M152" t="n">
        <v>0</v>
      </c>
      <c r="N152" t="n">
        <v>0</v>
      </c>
      <c r="O152" t="n">
        <v>3</v>
      </c>
      <c r="P152" t="n">
        <v>1</v>
      </c>
      <c r="Q152" t="n">
        <v>3</v>
      </c>
      <c r="R152" s="2" t="inlineStr">
        <is>
          <t>Liten hornflikmossa
Garnlav
Vedtrappmossa</t>
        </is>
      </c>
      <c r="S152">
        <f>HYPERLINK("https://klasma.github.io/Logging_2303/artfynd/A 20776-2024 artfynd.xlsx", "A 20776-2024")</f>
        <v/>
      </c>
      <c r="T152">
        <f>HYPERLINK("https://klasma.github.io/Logging_2303/kartor/A 20776-2024 karta.png", "A 20776-2024")</f>
        <v/>
      </c>
      <c r="V152">
        <f>HYPERLINK("https://klasma.github.io/Logging_2303/klagomål/A 20776-2024 FSC-klagomål.docx", "A 20776-2024")</f>
        <v/>
      </c>
      <c r="W152">
        <f>HYPERLINK("https://klasma.github.io/Logging_2303/klagomålsmail/A 20776-2024 FSC-klagomål mail.docx", "A 20776-2024")</f>
        <v/>
      </c>
      <c r="X152">
        <f>HYPERLINK("https://klasma.github.io/Logging_2303/tillsyn/A 20776-2024 tillsynsbegäran.docx", "A 20776-2024")</f>
        <v/>
      </c>
      <c r="Y152">
        <f>HYPERLINK("https://klasma.github.io/Logging_2303/tillsynsmail/A 20776-2024 tillsynsbegäran mail.docx", "A 20776-2024")</f>
        <v/>
      </c>
    </row>
    <row r="153" ht="15" customHeight="1">
      <c r="A153" t="inlineStr">
        <is>
          <t>A 36504-2023</t>
        </is>
      </c>
      <c r="B153" s="1" t="n">
        <v>45152</v>
      </c>
      <c r="C153" s="1" t="n">
        <v>46090</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16305-2025</t>
        </is>
      </c>
      <c r="B154" s="1" t="n">
        <v>45751.34650462963</v>
      </c>
      <c r="C154" s="1" t="n">
        <v>46090</v>
      </c>
      <c r="D154" t="inlineStr">
        <is>
          <t>JÄMTLANDS LÄN</t>
        </is>
      </c>
      <c r="E154" t="inlineStr">
        <is>
          <t>RAGUNDA</t>
        </is>
      </c>
      <c r="F154" t="inlineStr">
        <is>
          <t>SCA</t>
        </is>
      </c>
      <c r="G154" t="n">
        <v>2.5</v>
      </c>
      <c r="H154" t="n">
        <v>0</v>
      </c>
      <c r="I154" t="n">
        <v>2</v>
      </c>
      <c r="J154" t="n">
        <v>1</v>
      </c>
      <c r="K154" t="n">
        <v>0</v>
      </c>
      <c r="L154" t="n">
        <v>0</v>
      </c>
      <c r="M154" t="n">
        <v>0</v>
      </c>
      <c r="N154" t="n">
        <v>0</v>
      </c>
      <c r="O154" t="n">
        <v>1</v>
      </c>
      <c r="P154" t="n">
        <v>0</v>
      </c>
      <c r="Q154" t="n">
        <v>3</v>
      </c>
      <c r="R154" s="2" t="inlineStr">
        <is>
          <t>Lunglav
Bollvitmossa
Källmossa</t>
        </is>
      </c>
      <c r="S154">
        <f>HYPERLINK("https://klasma.github.io/Logging_2303/artfynd/A 16305-2025 artfynd.xlsx", "A 16305-2025")</f>
        <v/>
      </c>
      <c r="T154">
        <f>HYPERLINK("https://klasma.github.io/Logging_2303/kartor/A 16305-2025 karta.png", "A 16305-2025")</f>
        <v/>
      </c>
      <c r="V154">
        <f>HYPERLINK("https://klasma.github.io/Logging_2303/klagomål/A 16305-2025 FSC-klagomål.docx", "A 16305-2025")</f>
        <v/>
      </c>
      <c r="W154">
        <f>HYPERLINK("https://klasma.github.io/Logging_2303/klagomålsmail/A 16305-2025 FSC-klagomål mail.docx", "A 16305-2025")</f>
        <v/>
      </c>
      <c r="X154">
        <f>HYPERLINK("https://klasma.github.io/Logging_2303/tillsyn/A 16305-2025 tillsynsbegäran.docx", "A 16305-2025")</f>
        <v/>
      </c>
      <c r="Y154">
        <f>HYPERLINK("https://klasma.github.io/Logging_2303/tillsynsmail/A 16305-2025 tillsynsbegäran mail.docx", "A 16305-2025")</f>
        <v/>
      </c>
    </row>
    <row r="155" ht="15" customHeight="1">
      <c r="A155" t="inlineStr">
        <is>
          <t>A 22730-2023</t>
        </is>
      </c>
      <c r="B155" s="1" t="n">
        <v>45071</v>
      </c>
      <c r="C155" s="1" t="n">
        <v>46090</v>
      </c>
      <c r="D155" t="inlineStr">
        <is>
          <t>JÄMTLANDS LÄN</t>
        </is>
      </c>
      <c r="E155" t="inlineStr">
        <is>
          <t>RAGUNDA</t>
        </is>
      </c>
      <c r="G155" t="n">
        <v>3.6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33432-2023</t>
        </is>
      </c>
      <c r="B156" s="1" t="n">
        <v>45128</v>
      </c>
      <c r="C156" s="1" t="n">
        <v>46090</v>
      </c>
      <c r="D156" t="inlineStr">
        <is>
          <t>JÄMTLANDS LÄN</t>
        </is>
      </c>
      <c r="E156" t="inlineStr">
        <is>
          <t>RAGUNDA</t>
        </is>
      </c>
      <c r="F156" t="inlineStr">
        <is>
          <t>SCA</t>
        </is>
      </c>
      <c r="G156" t="n">
        <v>10</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HYPERLINK("https://klasma.github.io/Logging_2303/artfynd/A 33432-2023 artfynd.xlsx", "A 33432-2023")</f>
        <v/>
      </c>
      <c r="T156">
        <f>HYPERLINK("https://klasma.github.io/Logging_2303/kartor/A 33432-2023 karta.png", "A 33432-2023")</f>
        <v/>
      </c>
      <c r="V156">
        <f>HYPERLINK("https://klasma.github.io/Logging_2303/klagomål/A 33432-2023 FSC-klagomål.docx", "A 33432-2023")</f>
        <v/>
      </c>
      <c r="W156">
        <f>HYPERLINK("https://klasma.github.io/Logging_2303/klagomålsmail/A 33432-2023 FSC-klagomål mail.docx", "A 33432-2023")</f>
        <v/>
      </c>
      <c r="X156">
        <f>HYPERLINK("https://klasma.github.io/Logging_2303/tillsyn/A 33432-2023 tillsynsbegäran.docx", "A 33432-2023")</f>
        <v/>
      </c>
      <c r="Y156">
        <f>HYPERLINK("https://klasma.github.io/Logging_2303/tillsynsmail/A 33432-2023 tillsynsbegäran mail.docx", "A 33432-2023")</f>
        <v/>
      </c>
      <c r="Z156">
        <f>HYPERLINK("https://klasma.github.io/Logging_2303/fåglar/A 33432-2023 prioriterade fågelarter.docx", "A 33432-2023")</f>
        <v/>
      </c>
    </row>
    <row r="157" ht="15" customHeight="1">
      <c r="A157" t="inlineStr">
        <is>
          <t>A 21248-2025</t>
        </is>
      </c>
      <c r="B157" s="1" t="n">
        <v>45779.57392361111</v>
      </c>
      <c r="C157" s="1" t="n">
        <v>46090</v>
      </c>
      <c r="D157" t="inlineStr">
        <is>
          <t>JÄMTLANDS LÄN</t>
        </is>
      </c>
      <c r="E157" t="inlineStr">
        <is>
          <t>RAGUNDA</t>
        </is>
      </c>
      <c r="F157" t="inlineStr">
        <is>
          <t>SCA</t>
        </is>
      </c>
      <c r="G157" t="n">
        <v>2.9</v>
      </c>
      <c r="H157" t="n">
        <v>1</v>
      </c>
      <c r="I157" t="n">
        <v>1</v>
      </c>
      <c r="J157" t="n">
        <v>2</v>
      </c>
      <c r="K157" t="n">
        <v>0</v>
      </c>
      <c r="L157" t="n">
        <v>0</v>
      </c>
      <c r="M157" t="n">
        <v>0</v>
      </c>
      <c r="N157" t="n">
        <v>0</v>
      </c>
      <c r="O157" t="n">
        <v>2</v>
      </c>
      <c r="P157" t="n">
        <v>0</v>
      </c>
      <c r="Q157" t="n">
        <v>3</v>
      </c>
      <c r="R157" s="2" t="inlineStr">
        <is>
          <t>Garnlav
Tretåig hackspett
Vedticka</t>
        </is>
      </c>
      <c r="S157">
        <f>HYPERLINK("https://klasma.github.io/Logging_2303/artfynd/A 21248-2025 artfynd.xlsx", "A 21248-2025")</f>
        <v/>
      </c>
      <c r="T157">
        <f>HYPERLINK("https://klasma.github.io/Logging_2303/kartor/A 21248-2025 karta.png", "A 21248-2025")</f>
        <v/>
      </c>
      <c r="V157">
        <f>HYPERLINK("https://klasma.github.io/Logging_2303/klagomål/A 21248-2025 FSC-klagomål.docx", "A 21248-2025")</f>
        <v/>
      </c>
      <c r="W157">
        <f>HYPERLINK("https://klasma.github.io/Logging_2303/klagomålsmail/A 21248-2025 FSC-klagomål mail.docx", "A 21248-2025")</f>
        <v/>
      </c>
      <c r="X157">
        <f>HYPERLINK("https://klasma.github.io/Logging_2303/tillsyn/A 21248-2025 tillsynsbegäran.docx", "A 21248-2025")</f>
        <v/>
      </c>
      <c r="Y157">
        <f>HYPERLINK("https://klasma.github.io/Logging_2303/tillsynsmail/A 21248-2025 tillsynsbegäran mail.docx", "A 21248-2025")</f>
        <v/>
      </c>
      <c r="Z157">
        <f>HYPERLINK("https://klasma.github.io/Logging_2303/fåglar/A 21248-2025 prioriterade fågelarter.docx", "A 21248-2025")</f>
        <v/>
      </c>
    </row>
    <row r="158" ht="15" customHeight="1">
      <c r="A158" t="inlineStr">
        <is>
          <t>A 17043-2022</t>
        </is>
      </c>
      <c r="B158" s="1" t="n">
        <v>44676</v>
      </c>
      <c r="C158" s="1" t="n">
        <v>46090</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46090</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19384-2025</t>
        </is>
      </c>
      <c r="B160" s="1" t="n">
        <v>45769.65692129629</v>
      </c>
      <c r="C160" s="1" t="n">
        <v>46090</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56634-2025</t>
        </is>
      </c>
      <c r="B161" s="1" t="n">
        <v>45975.61619212963</v>
      </c>
      <c r="C161" s="1" t="n">
        <v>46090</v>
      </c>
      <c r="D161" t="inlineStr">
        <is>
          <t>JÄMTLANDS LÄN</t>
        </is>
      </c>
      <c r="E161" t="inlineStr">
        <is>
          <t>RAGUNDA</t>
        </is>
      </c>
      <c r="F161" t="inlineStr">
        <is>
          <t>SCA</t>
        </is>
      </c>
      <c r="G161" t="n">
        <v>86.59999999999999</v>
      </c>
      <c r="H161" t="n">
        <v>0</v>
      </c>
      <c r="I161" t="n">
        <v>1</v>
      </c>
      <c r="J161" t="n">
        <v>1</v>
      </c>
      <c r="K161" t="n">
        <v>0</v>
      </c>
      <c r="L161" t="n">
        <v>0</v>
      </c>
      <c r="M161" t="n">
        <v>0</v>
      </c>
      <c r="N161" t="n">
        <v>0</v>
      </c>
      <c r="O161" t="n">
        <v>1</v>
      </c>
      <c r="P161" t="n">
        <v>0</v>
      </c>
      <c r="Q161" t="n">
        <v>2</v>
      </c>
      <c r="R161" s="2" t="inlineStr">
        <is>
          <t>Garnlav
Skuggblåslav</t>
        </is>
      </c>
      <c r="S161">
        <f>HYPERLINK("https://klasma.github.io/Logging_2303/artfynd/A 56634-2025 artfynd.xlsx", "A 56634-2025")</f>
        <v/>
      </c>
      <c r="T161">
        <f>HYPERLINK("https://klasma.github.io/Logging_2303/kartor/A 56634-2025 karta.png", "A 56634-2025")</f>
        <v/>
      </c>
      <c r="V161">
        <f>HYPERLINK("https://klasma.github.io/Logging_2303/klagomål/A 56634-2025 FSC-klagomål.docx", "A 56634-2025")</f>
        <v/>
      </c>
      <c r="W161">
        <f>HYPERLINK("https://klasma.github.io/Logging_2303/klagomålsmail/A 56634-2025 FSC-klagomål mail.docx", "A 56634-2025")</f>
        <v/>
      </c>
      <c r="X161">
        <f>HYPERLINK("https://klasma.github.io/Logging_2303/tillsyn/A 56634-2025 tillsynsbegäran.docx", "A 56634-2025")</f>
        <v/>
      </c>
      <c r="Y161">
        <f>HYPERLINK("https://klasma.github.io/Logging_2303/tillsynsmail/A 56634-2025 tillsynsbegäran mail.docx", "A 56634-2025")</f>
        <v/>
      </c>
    </row>
    <row r="162" ht="15" customHeight="1">
      <c r="A162" t="inlineStr">
        <is>
          <t>A 25155-2025</t>
        </is>
      </c>
      <c r="B162" s="1" t="n">
        <v>45800.42782407408</v>
      </c>
      <c r="C162" s="1" t="n">
        <v>46090</v>
      </c>
      <c r="D162" t="inlineStr">
        <is>
          <t>JÄMTLANDS LÄN</t>
        </is>
      </c>
      <c r="E162" t="inlineStr">
        <is>
          <t>RAGUNDA</t>
        </is>
      </c>
      <c r="F162" t="inlineStr">
        <is>
          <t>SCA</t>
        </is>
      </c>
      <c r="G162" t="n">
        <v>1.7</v>
      </c>
      <c r="H162" t="n">
        <v>1</v>
      </c>
      <c r="I162" t="n">
        <v>0</v>
      </c>
      <c r="J162" t="n">
        <v>1</v>
      </c>
      <c r="K162" t="n">
        <v>0</v>
      </c>
      <c r="L162" t="n">
        <v>0</v>
      </c>
      <c r="M162" t="n">
        <v>0</v>
      </c>
      <c r="N162" t="n">
        <v>0</v>
      </c>
      <c r="O162" t="n">
        <v>1</v>
      </c>
      <c r="P162" t="n">
        <v>0</v>
      </c>
      <c r="Q162" t="n">
        <v>2</v>
      </c>
      <c r="R162" s="2" t="inlineStr">
        <is>
          <t>Kötticka
Fläcknycklar</t>
        </is>
      </c>
      <c r="S162">
        <f>HYPERLINK("https://klasma.github.io/Logging_2303/artfynd/A 25155-2025 artfynd.xlsx", "A 25155-2025")</f>
        <v/>
      </c>
      <c r="T162">
        <f>HYPERLINK("https://klasma.github.io/Logging_2303/kartor/A 25155-2025 karta.png", "A 25155-2025")</f>
        <v/>
      </c>
      <c r="V162">
        <f>HYPERLINK("https://klasma.github.io/Logging_2303/klagomål/A 25155-2025 FSC-klagomål.docx", "A 25155-2025")</f>
        <v/>
      </c>
      <c r="W162">
        <f>HYPERLINK("https://klasma.github.io/Logging_2303/klagomålsmail/A 25155-2025 FSC-klagomål mail.docx", "A 25155-2025")</f>
        <v/>
      </c>
      <c r="X162">
        <f>HYPERLINK("https://klasma.github.io/Logging_2303/tillsyn/A 25155-2025 tillsynsbegäran.docx", "A 25155-2025")</f>
        <v/>
      </c>
      <c r="Y162">
        <f>HYPERLINK("https://klasma.github.io/Logging_2303/tillsynsmail/A 25155-2025 tillsynsbegäran mail.docx", "A 25155-2025")</f>
        <v/>
      </c>
    </row>
    <row r="163" ht="15" customHeight="1">
      <c r="A163" t="inlineStr">
        <is>
          <t>A 32736-2023</t>
        </is>
      </c>
      <c r="B163" s="1" t="n">
        <v>45121</v>
      </c>
      <c r="C163" s="1" t="n">
        <v>46090</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55647-2023</t>
        </is>
      </c>
      <c r="B164" s="1" t="n">
        <v>45238</v>
      </c>
      <c r="C164" s="1" t="n">
        <v>46090</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47267-2022</t>
        </is>
      </c>
      <c r="B165" s="1" t="n">
        <v>44852</v>
      </c>
      <c r="C165" s="1" t="n">
        <v>46090</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45021-2023</t>
        </is>
      </c>
      <c r="B166" s="1" t="n">
        <v>45190</v>
      </c>
      <c r="C166" s="1" t="n">
        <v>46090</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48427-2023</t>
        </is>
      </c>
      <c r="B167" s="1" t="n">
        <v>45205</v>
      </c>
      <c r="C167" s="1" t="n">
        <v>46090</v>
      </c>
      <c r="D167" t="inlineStr">
        <is>
          <t>JÄMTLANDS LÄN</t>
        </is>
      </c>
      <c r="E167" t="inlineStr">
        <is>
          <t>RAGUNDA</t>
        </is>
      </c>
      <c r="F167" t="inlineStr">
        <is>
          <t>SCA</t>
        </is>
      </c>
      <c r="G167" t="n">
        <v>10.1</v>
      </c>
      <c r="H167" t="n">
        <v>0</v>
      </c>
      <c r="I167" t="n">
        <v>1</v>
      </c>
      <c r="J167" t="n">
        <v>1</v>
      </c>
      <c r="K167" t="n">
        <v>0</v>
      </c>
      <c r="L167" t="n">
        <v>0</v>
      </c>
      <c r="M167" t="n">
        <v>0</v>
      </c>
      <c r="N167" t="n">
        <v>0</v>
      </c>
      <c r="O167" t="n">
        <v>1</v>
      </c>
      <c r="P167" t="n">
        <v>0</v>
      </c>
      <c r="Q167" t="n">
        <v>2</v>
      </c>
      <c r="R167" s="2" t="inlineStr">
        <is>
          <t>Lunglav
Luddlav</t>
        </is>
      </c>
      <c r="S167">
        <f>HYPERLINK("https://klasma.github.io/Logging_2303/artfynd/A 48427-2023 artfynd.xlsx", "A 48427-2023")</f>
        <v/>
      </c>
      <c r="T167">
        <f>HYPERLINK("https://klasma.github.io/Logging_2303/kartor/A 48427-2023 karta.png", "A 48427-2023")</f>
        <v/>
      </c>
      <c r="V167">
        <f>HYPERLINK("https://klasma.github.io/Logging_2303/klagomål/A 48427-2023 FSC-klagomål.docx", "A 48427-2023")</f>
        <v/>
      </c>
      <c r="W167">
        <f>HYPERLINK("https://klasma.github.io/Logging_2303/klagomålsmail/A 48427-2023 FSC-klagomål mail.docx", "A 48427-2023")</f>
        <v/>
      </c>
      <c r="X167">
        <f>HYPERLINK("https://klasma.github.io/Logging_2303/tillsyn/A 48427-2023 tillsynsbegäran.docx", "A 48427-2023")</f>
        <v/>
      </c>
      <c r="Y167">
        <f>HYPERLINK("https://klasma.github.io/Logging_2303/tillsynsmail/A 48427-2023 tillsynsbegäran mail.docx", "A 48427-2023")</f>
        <v/>
      </c>
    </row>
    <row r="168" ht="15" customHeight="1">
      <c r="A168" t="inlineStr">
        <is>
          <t>A 31960-2025</t>
        </is>
      </c>
      <c r="B168" s="1" t="n">
        <v>45835.344375</v>
      </c>
      <c r="C168" s="1" t="n">
        <v>46090</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47850-2025</t>
        </is>
      </c>
      <c r="B169" s="1" t="n">
        <v>45932.38626157407</v>
      </c>
      <c r="C169" s="1" t="n">
        <v>46090</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30053-2024</t>
        </is>
      </c>
      <c r="B170" s="1" t="n">
        <v>45488.94747685185</v>
      </c>
      <c r="C170" s="1" t="n">
        <v>46090</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35131-2025</t>
        </is>
      </c>
      <c r="B171" s="1" t="n">
        <v>45852.63597222222</v>
      </c>
      <c r="C171" s="1" t="n">
        <v>46090</v>
      </c>
      <c r="D171" t="inlineStr">
        <is>
          <t>JÄMTLANDS LÄN</t>
        </is>
      </c>
      <c r="E171" t="inlineStr">
        <is>
          <t>RAGUNDA</t>
        </is>
      </c>
      <c r="F171" t="inlineStr">
        <is>
          <t>SCA</t>
        </is>
      </c>
      <c r="G171" t="n">
        <v>6.9</v>
      </c>
      <c r="H171" t="n">
        <v>1</v>
      </c>
      <c r="I171" t="n">
        <v>1</v>
      </c>
      <c r="J171" t="n">
        <v>0</v>
      </c>
      <c r="K171" t="n">
        <v>0</v>
      </c>
      <c r="L171" t="n">
        <v>0</v>
      </c>
      <c r="M171" t="n">
        <v>0</v>
      </c>
      <c r="N171" t="n">
        <v>0</v>
      </c>
      <c r="O171" t="n">
        <v>0</v>
      </c>
      <c r="P171" t="n">
        <v>0</v>
      </c>
      <c r="Q171" t="n">
        <v>2</v>
      </c>
      <c r="R171" s="2" t="inlineStr">
        <is>
          <t>Ögonpyrola
Nattviol</t>
        </is>
      </c>
      <c r="S171">
        <f>HYPERLINK("https://klasma.github.io/Logging_2303/artfynd/A 35131-2025 artfynd.xlsx", "A 35131-2025")</f>
        <v/>
      </c>
      <c r="T171">
        <f>HYPERLINK("https://klasma.github.io/Logging_2303/kartor/A 35131-2025 karta.png", "A 35131-2025")</f>
        <v/>
      </c>
      <c r="V171">
        <f>HYPERLINK("https://klasma.github.io/Logging_2303/klagomål/A 35131-2025 FSC-klagomål.docx", "A 35131-2025")</f>
        <v/>
      </c>
      <c r="W171">
        <f>HYPERLINK("https://klasma.github.io/Logging_2303/klagomålsmail/A 35131-2025 FSC-klagomål mail.docx", "A 35131-2025")</f>
        <v/>
      </c>
      <c r="X171">
        <f>HYPERLINK("https://klasma.github.io/Logging_2303/tillsyn/A 35131-2025 tillsynsbegäran.docx", "A 35131-2025")</f>
        <v/>
      </c>
      <c r="Y171">
        <f>HYPERLINK("https://klasma.github.io/Logging_2303/tillsynsmail/A 35131-2025 tillsynsbegäran mail.docx", "A 35131-2025")</f>
        <v/>
      </c>
    </row>
    <row r="172" ht="15" customHeight="1">
      <c r="A172" t="inlineStr">
        <is>
          <t>A 50089-2022</t>
        </is>
      </c>
      <c r="B172" s="1" t="n">
        <v>44865</v>
      </c>
      <c r="C172" s="1" t="n">
        <v>46090</v>
      </c>
      <c r="D172" t="inlineStr">
        <is>
          <t>JÄMTLANDS LÄN</t>
        </is>
      </c>
      <c r="E172" t="inlineStr">
        <is>
          <t>RAGUNDA</t>
        </is>
      </c>
      <c r="G172" t="n">
        <v>5.7</v>
      </c>
      <c r="H172" t="n">
        <v>2</v>
      </c>
      <c r="I172" t="n">
        <v>0</v>
      </c>
      <c r="J172" t="n">
        <v>2</v>
      </c>
      <c r="K172" t="n">
        <v>0</v>
      </c>
      <c r="L172" t="n">
        <v>0</v>
      </c>
      <c r="M172" t="n">
        <v>0</v>
      </c>
      <c r="N172" t="n">
        <v>0</v>
      </c>
      <c r="O172" t="n">
        <v>2</v>
      </c>
      <c r="P172" t="n">
        <v>0</v>
      </c>
      <c r="Q172" t="n">
        <v>2</v>
      </c>
      <c r="R172" s="2" t="inlineStr">
        <is>
          <t>Björktrast
Drillsnäppa</t>
        </is>
      </c>
      <c r="S172">
        <f>HYPERLINK("https://klasma.github.io/Logging_2303/artfynd/A 50089-2022 artfynd.xlsx", "A 50089-2022")</f>
        <v/>
      </c>
      <c r="T172">
        <f>HYPERLINK("https://klasma.github.io/Logging_2303/kartor/A 50089-2022 karta.png", "A 50089-2022")</f>
        <v/>
      </c>
      <c r="V172">
        <f>HYPERLINK("https://klasma.github.io/Logging_2303/klagomål/A 50089-2022 FSC-klagomål.docx", "A 50089-2022")</f>
        <v/>
      </c>
      <c r="W172">
        <f>HYPERLINK("https://klasma.github.io/Logging_2303/klagomålsmail/A 50089-2022 FSC-klagomål mail.docx", "A 50089-2022")</f>
        <v/>
      </c>
      <c r="X172">
        <f>HYPERLINK("https://klasma.github.io/Logging_2303/tillsyn/A 50089-2022 tillsynsbegäran.docx", "A 50089-2022")</f>
        <v/>
      </c>
      <c r="Y172">
        <f>HYPERLINK("https://klasma.github.io/Logging_2303/tillsynsmail/A 50089-2022 tillsynsbegäran mail.docx", "A 50089-2022")</f>
        <v/>
      </c>
      <c r="Z172">
        <f>HYPERLINK("https://klasma.github.io/Logging_2303/fåglar/A 50089-2022 prioriterade fågelarter.docx", "A 50089-2022")</f>
        <v/>
      </c>
    </row>
    <row r="173" ht="15" customHeight="1">
      <c r="A173" t="inlineStr">
        <is>
          <t>A 9749-2026</t>
        </is>
      </c>
      <c r="B173" s="1" t="n">
        <v>46072.53167824074</v>
      </c>
      <c r="C173" s="1" t="n">
        <v>46090</v>
      </c>
      <c r="D173" t="inlineStr">
        <is>
          <t>JÄMTLANDS LÄN</t>
        </is>
      </c>
      <c r="E173" t="inlineStr">
        <is>
          <t>RAGUNDA</t>
        </is>
      </c>
      <c r="F173" t="inlineStr">
        <is>
          <t>SCA</t>
        </is>
      </c>
      <c r="G173" t="n">
        <v>2.7</v>
      </c>
      <c r="H173" t="n">
        <v>1</v>
      </c>
      <c r="I173" t="n">
        <v>0</v>
      </c>
      <c r="J173" t="n">
        <v>2</v>
      </c>
      <c r="K173" t="n">
        <v>0</v>
      </c>
      <c r="L173" t="n">
        <v>0</v>
      </c>
      <c r="M173" t="n">
        <v>0</v>
      </c>
      <c r="N173" t="n">
        <v>0</v>
      </c>
      <c r="O173" t="n">
        <v>2</v>
      </c>
      <c r="P173" t="n">
        <v>0</v>
      </c>
      <c r="Q173" t="n">
        <v>2</v>
      </c>
      <c r="R173" s="2" t="inlineStr">
        <is>
          <t>Järpe
Ullticka</t>
        </is>
      </c>
      <c r="S173">
        <f>HYPERLINK("https://klasma.github.io/Logging_2303/artfynd/A 9749-2026 artfynd.xlsx", "A 9749-2026")</f>
        <v/>
      </c>
      <c r="T173">
        <f>HYPERLINK("https://klasma.github.io/Logging_2303/kartor/A 9749-2026 karta.png", "A 9749-2026")</f>
        <v/>
      </c>
      <c r="V173">
        <f>HYPERLINK("https://klasma.github.io/Logging_2303/klagomål/A 9749-2026 FSC-klagomål.docx", "A 9749-2026")</f>
        <v/>
      </c>
      <c r="W173">
        <f>HYPERLINK("https://klasma.github.io/Logging_2303/klagomålsmail/A 9749-2026 FSC-klagomål mail.docx", "A 9749-2026")</f>
        <v/>
      </c>
      <c r="X173">
        <f>HYPERLINK("https://klasma.github.io/Logging_2303/tillsyn/A 9749-2026 tillsynsbegäran.docx", "A 9749-2026")</f>
        <v/>
      </c>
      <c r="Y173">
        <f>HYPERLINK("https://klasma.github.io/Logging_2303/tillsynsmail/A 9749-2026 tillsynsbegäran mail.docx", "A 9749-2026")</f>
        <v/>
      </c>
      <c r="Z173">
        <f>HYPERLINK("https://klasma.github.io/Logging_2303/fåglar/A 9749-2026 prioriterade fågelarter.docx", "A 9749-2026")</f>
        <v/>
      </c>
    </row>
    <row r="174" ht="15" customHeight="1">
      <c r="A174" t="inlineStr">
        <is>
          <t>A 11086-2025</t>
        </is>
      </c>
      <c r="B174" s="1" t="n">
        <v>45723.57329861111</v>
      </c>
      <c r="C174" s="1" t="n">
        <v>46090</v>
      </c>
      <c r="D174" t="inlineStr">
        <is>
          <t>JÄMTLANDS LÄN</t>
        </is>
      </c>
      <c r="E174" t="inlineStr">
        <is>
          <t>RAGUNDA</t>
        </is>
      </c>
      <c r="F174" t="inlineStr">
        <is>
          <t>SCA</t>
        </is>
      </c>
      <c r="G174" t="n">
        <v>10.8</v>
      </c>
      <c r="H174" t="n">
        <v>0</v>
      </c>
      <c r="I174" t="n">
        <v>0</v>
      </c>
      <c r="J174" t="n">
        <v>1</v>
      </c>
      <c r="K174" t="n">
        <v>1</v>
      </c>
      <c r="L174" t="n">
        <v>0</v>
      </c>
      <c r="M174" t="n">
        <v>0</v>
      </c>
      <c r="N174" t="n">
        <v>0</v>
      </c>
      <c r="O174" t="n">
        <v>2</v>
      </c>
      <c r="P174" t="n">
        <v>1</v>
      </c>
      <c r="Q174" t="n">
        <v>2</v>
      </c>
      <c r="R174" s="2" t="inlineStr">
        <is>
          <t>Gräddporing
Dvärgbägarlav</t>
        </is>
      </c>
      <c r="S174">
        <f>HYPERLINK("https://klasma.github.io/Logging_2303/artfynd/A 11086-2025 artfynd.xlsx", "A 11086-2025")</f>
        <v/>
      </c>
      <c r="T174">
        <f>HYPERLINK("https://klasma.github.io/Logging_2303/kartor/A 11086-2025 karta.png", "A 11086-2025")</f>
        <v/>
      </c>
      <c r="V174">
        <f>HYPERLINK("https://klasma.github.io/Logging_2303/klagomål/A 11086-2025 FSC-klagomål.docx", "A 11086-2025")</f>
        <v/>
      </c>
      <c r="W174">
        <f>HYPERLINK("https://klasma.github.io/Logging_2303/klagomålsmail/A 11086-2025 FSC-klagomål mail.docx", "A 11086-2025")</f>
        <v/>
      </c>
      <c r="X174">
        <f>HYPERLINK("https://klasma.github.io/Logging_2303/tillsyn/A 11086-2025 tillsynsbegäran.docx", "A 11086-2025")</f>
        <v/>
      </c>
      <c r="Y174">
        <f>HYPERLINK("https://klasma.github.io/Logging_2303/tillsynsmail/A 11086-2025 tillsynsbegäran mail.docx", "A 11086-2025")</f>
        <v/>
      </c>
    </row>
    <row r="175" ht="15" customHeight="1">
      <c r="A175" t="inlineStr">
        <is>
          <t>A 40826-2023</t>
        </is>
      </c>
      <c r="B175" s="1" t="n">
        <v>45171</v>
      </c>
      <c r="C175" s="1" t="n">
        <v>46090</v>
      </c>
      <c r="D175" t="inlineStr">
        <is>
          <t>JÄMTLANDS LÄN</t>
        </is>
      </c>
      <c r="E175" t="inlineStr">
        <is>
          <t>RAGUNDA</t>
        </is>
      </c>
      <c r="F175" t="inlineStr">
        <is>
          <t>SCA</t>
        </is>
      </c>
      <c r="G175" t="n">
        <v>4.5</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40826-2023 artfynd.xlsx", "A 40826-2023")</f>
        <v/>
      </c>
      <c r="T175">
        <f>HYPERLINK("https://klasma.github.io/Logging_2303/kartor/A 40826-2023 karta.png", "A 40826-2023")</f>
        <v/>
      </c>
      <c r="V175">
        <f>HYPERLINK("https://klasma.github.io/Logging_2303/klagomål/A 40826-2023 FSC-klagomål.docx", "A 40826-2023")</f>
        <v/>
      </c>
      <c r="W175">
        <f>HYPERLINK("https://klasma.github.io/Logging_2303/klagomålsmail/A 40826-2023 FSC-klagomål mail.docx", "A 40826-2023")</f>
        <v/>
      </c>
      <c r="X175">
        <f>HYPERLINK("https://klasma.github.io/Logging_2303/tillsyn/A 40826-2023 tillsynsbegäran.docx", "A 40826-2023")</f>
        <v/>
      </c>
      <c r="Y175">
        <f>HYPERLINK("https://klasma.github.io/Logging_2303/tillsynsmail/A 40826-2023 tillsynsbegäran mail.docx", "A 40826-2023")</f>
        <v/>
      </c>
    </row>
    <row r="176" ht="15" customHeight="1">
      <c r="A176" t="inlineStr">
        <is>
          <t>A 41490-2022</t>
        </is>
      </c>
      <c r="B176" s="1" t="n">
        <v>44826.94976851852</v>
      </c>
      <c r="C176" s="1" t="n">
        <v>46090</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14502-2024</t>
        </is>
      </c>
      <c r="B177" s="1" t="n">
        <v>45394</v>
      </c>
      <c r="C177" s="1" t="n">
        <v>46090</v>
      </c>
      <c r="D177" t="inlineStr">
        <is>
          <t>JÄMTLANDS LÄN</t>
        </is>
      </c>
      <c r="E177" t="inlineStr">
        <is>
          <t>RAGUNDA</t>
        </is>
      </c>
      <c r="G177" t="n">
        <v>11.6</v>
      </c>
      <c r="H177" t="n">
        <v>0</v>
      </c>
      <c r="I177" t="n">
        <v>0</v>
      </c>
      <c r="J177" t="n">
        <v>2</v>
      </c>
      <c r="K177" t="n">
        <v>0</v>
      </c>
      <c r="L177" t="n">
        <v>0</v>
      </c>
      <c r="M177" t="n">
        <v>0</v>
      </c>
      <c r="N177" t="n">
        <v>0</v>
      </c>
      <c r="O177" t="n">
        <v>2</v>
      </c>
      <c r="P177" t="n">
        <v>0</v>
      </c>
      <c r="Q177" t="n">
        <v>2</v>
      </c>
      <c r="R177" s="2" t="inlineStr">
        <is>
          <t>Garnlav
Stjärntagging</t>
        </is>
      </c>
      <c r="S177">
        <f>HYPERLINK("https://klasma.github.io/Logging_2303/artfynd/A 14502-2024 artfynd.xlsx", "A 14502-2024")</f>
        <v/>
      </c>
      <c r="T177">
        <f>HYPERLINK("https://klasma.github.io/Logging_2303/kartor/A 14502-2024 karta.png", "A 14502-2024")</f>
        <v/>
      </c>
      <c r="V177">
        <f>HYPERLINK("https://klasma.github.io/Logging_2303/klagomål/A 14502-2024 FSC-klagomål.docx", "A 14502-2024")</f>
        <v/>
      </c>
      <c r="W177">
        <f>HYPERLINK("https://klasma.github.io/Logging_2303/klagomålsmail/A 14502-2024 FSC-klagomål mail.docx", "A 14502-2024")</f>
        <v/>
      </c>
      <c r="X177">
        <f>HYPERLINK("https://klasma.github.io/Logging_2303/tillsyn/A 14502-2024 tillsynsbegäran.docx", "A 14502-2024")</f>
        <v/>
      </c>
      <c r="Y177">
        <f>HYPERLINK("https://klasma.github.io/Logging_2303/tillsynsmail/A 14502-2024 tillsynsbegäran mail.docx", "A 14502-2024")</f>
        <v/>
      </c>
    </row>
    <row r="178" ht="15" customHeight="1">
      <c r="A178" t="inlineStr">
        <is>
          <t>A 57940-2024</t>
        </is>
      </c>
      <c r="B178" s="1" t="n">
        <v>45631</v>
      </c>
      <c r="C178" s="1" t="n">
        <v>46090</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46771-2024</t>
        </is>
      </c>
      <c r="B179" s="1" t="n">
        <v>45583.49642361111</v>
      </c>
      <c r="C179" s="1" t="n">
        <v>46090</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44409-2023</t>
        </is>
      </c>
      <c r="B180" s="1" t="n">
        <v>45188</v>
      </c>
      <c r="C180" s="1" t="n">
        <v>46090</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44409-2023 artfynd.xlsx", "A 44409-2023")</f>
        <v/>
      </c>
      <c r="T180">
        <f>HYPERLINK("https://klasma.github.io/Logging_2303/kartor/A 44409-2023 karta.png", "A 44409-2023")</f>
        <v/>
      </c>
      <c r="V180">
        <f>HYPERLINK("https://klasma.github.io/Logging_2303/klagomål/A 44409-2023 FSC-klagomål.docx", "A 44409-2023")</f>
        <v/>
      </c>
      <c r="W180">
        <f>HYPERLINK("https://klasma.github.io/Logging_2303/klagomålsmail/A 44409-2023 FSC-klagomål mail.docx", "A 44409-2023")</f>
        <v/>
      </c>
      <c r="X180">
        <f>HYPERLINK("https://klasma.github.io/Logging_2303/tillsyn/A 44409-2023 tillsynsbegäran.docx", "A 44409-2023")</f>
        <v/>
      </c>
      <c r="Y180">
        <f>HYPERLINK("https://klasma.github.io/Logging_2303/tillsynsmail/A 44409-2023 tillsynsbegäran mail.docx", "A 44409-2023")</f>
        <v/>
      </c>
    </row>
    <row r="181" ht="15" customHeight="1">
      <c r="A181" t="inlineStr">
        <is>
          <t>A 12271-2024</t>
        </is>
      </c>
      <c r="B181" s="1" t="n">
        <v>45378</v>
      </c>
      <c r="C181" s="1" t="n">
        <v>46090</v>
      </c>
      <c r="D181" t="inlineStr">
        <is>
          <t>JÄMTLANDS LÄN</t>
        </is>
      </c>
      <c r="E181" t="inlineStr">
        <is>
          <t>RAGUNDA</t>
        </is>
      </c>
      <c r="F181" t="inlineStr">
        <is>
          <t>Kommuner</t>
        </is>
      </c>
      <c r="G181" t="n">
        <v>6.1</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12271-2024 artfynd.xlsx", "A 12271-2024")</f>
        <v/>
      </c>
      <c r="T181">
        <f>HYPERLINK("https://klasma.github.io/Logging_2303/kartor/A 12271-2024 karta.png", "A 12271-2024")</f>
        <v/>
      </c>
      <c r="V181">
        <f>HYPERLINK("https://klasma.github.io/Logging_2303/klagomål/A 12271-2024 FSC-klagomål.docx", "A 12271-2024")</f>
        <v/>
      </c>
      <c r="W181">
        <f>HYPERLINK("https://klasma.github.io/Logging_2303/klagomålsmail/A 12271-2024 FSC-klagomål mail.docx", "A 12271-2024")</f>
        <v/>
      </c>
      <c r="X181">
        <f>HYPERLINK("https://klasma.github.io/Logging_2303/tillsyn/A 12271-2024 tillsynsbegäran.docx", "A 12271-2024")</f>
        <v/>
      </c>
      <c r="Y181">
        <f>HYPERLINK("https://klasma.github.io/Logging_2303/tillsynsmail/A 12271-2024 tillsynsbegäran mail.docx", "A 12271-2024")</f>
        <v/>
      </c>
    </row>
    <row r="182" ht="15" customHeight="1">
      <c r="A182" t="inlineStr">
        <is>
          <t>A 34715-2024</t>
        </is>
      </c>
      <c r="B182" s="1" t="n">
        <v>45526.56393518519</v>
      </c>
      <c r="C182" s="1" t="n">
        <v>46090</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62636-2025</t>
        </is>
      </c>
      <c r="B183" s="1" t="n">
        <v>46008.3653587963</v>
      </c>
      <c r="C183" s="1" t="n">
        <v>46090</v>
      </c>
      <c r="D183" t="inlineStr">
        <is>
          <t>JÄMTLANDS LÄN</t>
        </is>
      </c>
      <c r="E183" t="inlineStr">
        <is>
          <t>RAGUNDA</t>
        </is>
      </c>
      <c r="G183" t="n">
        <v>3.1</v>
      </c>
      <c r="H183" t="n">
        <v>1</v>
      </c>
      <c r="I183" t="n">
        <v>0</v>
      </c>
      <c r="J183" t="n">
        <v>2</v>
      </c>
      <c r="K183" t="n">
        <v>0</v>
      </c>
      <c r="L183" t="n">
        <v>0</v>
      </c>
      <c r="M183" t="n">
        <v>0</v>
      </c>
      <c r="N183" t="n">
        <v>0</v>
      </c>
      <c r="O183" t="n">
        <v>2</v>
      </c>
      <c r="P183" t="n">
        <v>0</v>
      </c>
      <c r="Q183" t="n">
        <v>2</v>
      </c>
      <c r="R183" s="2" t="inlineStr">
        <is>
          <t>Garnlav
Talltita</t>
        </is>
      </c>
      <c r="S183">
        <f>HYPERLINK("https://klasma.github.io/Logging_2303/artfynd/A 62636-2025 artfynd.xlsx", "A 62636-2025")</f>
        <v/>
      </c>
      <c r="T183">
        <f>HYPERLINK("https://klasma.github.io/Logging_2303/kartor/A 62636-2025 karta.png", "A 62636-2025")</f>
        <v/>
      </c>
      <c r="V183">
        <f>HYPERLINK("https://klasma.github.io/Logging_2303/klagomål/A 62636-2025 FSC-klagomål.docx", "A 62636-2025")</f>
        <v/>
      </c>
      <c r="W183">
        <f>HYPERLINK("https://klasma.github.io/Logging_2303/klagomålsmail/A 62636-2025 FSC-klagomål mail.docx", "A 62636-2025")</f>
        <v/>
      </c>
      <c r="X183">
        <f>HYPERLINK("https://klasma.github.io/Logging_2303/tillsyn/A 62636-2025 tillsynsbegäran.docx", "A 62636-2025")</f>
        <v/>
      </c>
      <c r="Y183">
        <f>HYPERLINK("https://klasma.github.io/Logging_2303/tillsynsmail/A 62636-2025 tillsynsbegäran mail.docx", "A 62636-2025")</f>
        <v/>
      </c>
      <c r="Z183">
        <f>HYPERLINK("https://klasma.github.io/Logging_2303/fåglar/A 62636-2025 prioriterade fågelarter.docx", "A 62636-2025")</f>
        <v/>
      </c>
    </row>
    <row r="184" ht="15" customHeight="1">
      <c r="A184" t="inlineStr">
        <is>
          <t>A 10866-2025</t>
        </is>
      </c>
      <c r="B184" s="1" t="n">
        <v>45722.61543981481</v>
      </c>
      <c r="C184" s="1" t="n">
        <v>46090</v>
      </c>
      <c r="D184" t="inlineStr">
        <is>
          <t>JÄMTLANDS LÄN</t>
        </is>
      </c>
      <c r="E184" t="inlineStr">
        <is>
          <t>RAGUNDA</t>
        </is>
      </c>
      <c r="F184" t="inlineStr">
        <is>
          <t>SCA</t>
        </is>
      </c>
      <c r="G184" t="n">
        <v>15.9</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10866-2025 artfynd.xlsx", "A 10866-2025")</f>
        <v/>
      </c>
      <c r="T184">
        <f>HYPERLINK("https://klasma.github.io/Logging_2303/kartor/A 10866-2025 karta.png", "A 10866-2025")</f>
        <v/>
      </c>
      <c r="V184">
        <f>HYPERLINK("https://klasma.github.io/Logging_2303/klagomål/A 10866-2025 FSC-klagomål.docx", "A 10866-2025")</f>
        <v/>
      </c>
      <c r="W184">
        <f>HYPERLINK("https://klasma.github.io/Logging_2303/klagomålsmail/A 10866-2025 FSC-klagomål mail.docx", "A 10866-2025")</f>
        <v/>
      </c>
      <c r="X184">
        <f>HYPERLINK("https://klasma.github.io/Logging_2303/tillsyn/A 10866-2025 tillsynsbegäran.docx", "A 10866-2025")</f>
        <v/>
      </c>
      <c r="Y184">
        <f>HYPERLINK("https://klasma.github.io/Logging_2303/tillsynsmail/A 10866-2025 tillsynsbegäran mail.docx", "A 10866-2025")</f>
        <v/>
      </c>
    </row>
    <row r="185" ht="15" customHeight="1">
      <c r="A185" t="inlineStr">
        <is>
          <t>A 10884-2025</t>
        </is>
      </c>
      <c r="B185" s="1" t="n">
        <v>45722.65670138889</v>
      </c>
      <c r="C185" s="1" t="n">
        <v>46090</v>
      </c>
      <c r="D185" t="inlineStr">
        <is>
          <t>JÄMTLANDS LÄN</t>
        </is>
      </c>
      <c r="E185" t="inlineStr">
        <is>
          <t>RAGUNDA</t>
        </is>
      </c>
      <c r="F185" t="inlineStr">
        <is>
          <t>SCA</t>
        </is>
      </c>
      <c r="G185" t="n">
        <v>5.4</v>
      </c>
      <c r="H185" t="n">
        <v>0</v>
      </c>
      <c r="I185" t="n">
        <v>1</v>
      </c>
      <c r="J185" t="n">
        <v>1</v>
      </c>
      <c r="K185" t="n">
        <v>0</v>
      </c>
      <c r="L185" t="n">
        <v>0</v>
      </c>
      <c r="M185" t="n">
        <v>0</v>
      </c>
      <c r="N185" t="n">
        <v>0</v>
      </c>
      <c r="O185" t="n">
        <v>1</v>
      </c>
      <c r="P185" t="n">
        <v>0</v>
      </c>
      <c r="Q185" t="n">
        <v>2</v>
      </c>
      <c r="R185" s="2" t="inlineStr">
        <is>
          <t>Vitgrynig nållav
Dropptaggsvamp</t>
        </is>
      </c>
      <c r="S185">
        <f>HYPERLINK("https://klasma.github.io/Logging_2303/artfynd/A 10884-2025 artfynd.xlsx", "A 10884-2025")</f>
        <v/>
      </c>
      <c r="T185">
        <f>HYPERLINK("https://klasma.github.io/Logging_2303/kartor/A 10884-2025 karta.png", "A 10884-2025")</f>
        <v/>
      </c>
      <c r="V185">
        <f>HYPERLINK("https://klasma.github.io/Logging_2303/klagomål/A 10884-2025 FSC-klagomål.docx", "A 10884-2025")</f>
        <v/>
      </c>
      <c r="W185">
        <f>HYPERLINK("https://klasma.github.io/Logging_2303/klagomålsmail/A 10884-2025 FSC-klagomål mail.docx", "A 10884-2025")</f>
        <v/>
      </c>
      <c r="X185">
        <f>HYPERLINK("https://klasma.github.io/Logging_2303/tillsyn/A 10884-2025 tillsynsbegäran.docx", "A 10884-2025")</f>
        <v/>
      </c>
      <c r="Y185">
        <f>HYPERLINK("https://klasma.github.io/Logging_2303/tillsynsmail/A 10884-2025 tillsynsbegäran mail.docx", "A 10884-2025")</f>
        <v/>
      </c>
    </row>
    <row r="186" ht="15" customHeight="1">
      <c r="A186" t="inlineStr">
        <is>
          <t>A 3838-2024</t>
        </is>
      </c>
      <c r="B186" s="1" t="n">
        <v>45321</v>
      </c>
      <c r="C186" s="1" t="n">
        <v>46090</v>
      </c>
      <c r="D186" t="inlineStr">
        <is>
          <t>JÄMTLANDS LÄN</t>
        </is>
      </c>
      <c r="E186" t="inlineStr">
        <is>
          <t>RAGUNDA</t>
        </is>
      </c>
      <c r="F186" t="inlineStr">
        <is>
          <t>SCA</t>
        </is>
      </c>
      <c r="G186" t="n">
        <v>2</v>
      </c>
      <c r="H186" t="n">
        <v>1</v>
      </c>
      <c r="I186" t="n">
        <v>1</v>
      </c>
      <c r="J186" t="n">
        <v>1</v>
      </c>
      <c r="K186" t="n">
        <v>0</v>
      </c>
      <c r="L186" t="n">
        <v>0</v>
      </c>
      <c r="M186" t="n">
        <v>0</v>
      </c>
      <c r="N186" t="n">
        <v>0</v>
      </c>
      <c r="O186" t="n">
        <v>1</v>
      </c>
      <c r="P186" t="n">
        <v>0</v>
      </c>
      <c r="Q186" t="n">
        <v>2</v>
      </c>
      <c r="R186" s="2" t="inlineStr">
        <is>
          <t>Garnlav
Guckusko</t>
        </is>
      </c>
      <c r="S186">
        <f>HYPERLINK("https://klasma.github.io/Logging_2303/artfynd/A 3838-2024 artfynd.xlsx", "A 3838-2024")</f>
        <v/>
      </c>
      <c r="T186">
        <f>HYPERLINK("https://klasma.github.io/Logging_2303/kartor/A 3838-2024 karta.png", "A 3838-2024")</f>
        <v/>
      </c>
      <c r="V186">
        <f>HYPERLINK("https://klasma.github.io/Logging_2303/klagomål/A 3838-2024 FSC-klagomål.docx", "A 3838-2024")</f>
        <v/>
      </c>
      <c r="W186">
        <f>HYPERLINK("https://klasma.github.io/Logging_2303/klagomålsmail/A 3838-2024 FSC-klagomål mail.docx", "A 3838-2024")</f>
        <v/>
      </c>
      <c r="X186">
        <f>HYPERLINK("https://klasma.github.io/Logging_2303/tillsyn/A 3838-2024 tillsynsbegäran.docx", "A 3838-2024")</f>
        <v/>
      </c>
      <c r="Y186">
        <f>HYPERLINK("https://klasma.github.io/Logging_2303/tillsynsmail/A 3838-2024 tillsynsbegäran mail.docx", "A 3838-2024")</f>
        <v/>
      </c>
    </row>
    <row r="187" ht="15" customHeight="1">
      <c r="A187" t="inlineStr">
        <is>
          <t>A 36756-2023</t>
        </is>
      </c>
      <c r="B187" s="1" t="n">
        <v>45153</v>
      </c>
      <c r="C187" s="1" t="n">
        <v>46090</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56285-2023</t>
        </is>
      </c>
      <c r="B188" s="1" t="n">
        <v>45241</v>
      </c>
      <c r="C188" s="1" t="n">
        <v>46090</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39495-2024</t>
        </is>
      </c>
      <c r="B189" s="1" t="n">
        <v>45551.65726851852</v>
      </c>
      <c r="C189" s="1" t="n">
        <v>46090</v>
      </c>
      <c r="D189" t="inlineStr">
        <is>
          <t>JÄMTLANDS LÄN</t>
        </is>
      </c>
      <c r="E189" t="inlineStr">
        <is>
          <t>RAGUNDA</t>
        </is>
      </c>
      <c r="F189" t="inlineStr">
        <is>
          <t>SCA</t>
        </is>
      </c>
      <c r="G189" t="n">
        <v>6.6</v>
      </c>
      <c r="H189" t="n">
        <v>0</v>
      </c>
      <c r="I189" t="n">
        <v>0</v>
      </c>
      <c r="J189" t="n">
        <v>2</v>
      </c>
      <c r="K189" t="n">
        <v>0</v>
      </c>
      <c r="L189" t="n">
        <v>0</v>
      </c>
      <c r="M189" t="n">
        <v>0</v>
      </c>
      <c r="N189" t="n">
        <v>0</v>
      </c>
      <c r="O189" t="n">
        <v>2</v>
      </c>
      <c r="P189" t="n">
        <v>0</v>
      </c>
      <c r="Q189" t="n">
        <v>2</v>
      </c>
      <c r="R189" s="2" t="inlineStr">
        <is>
          <t>Garnlav
Ullticka</t>
        </is>
      </c>
      <c r="S189">
        <f>HYPERLINK("https://klasma.github.io/Logging_2303/artfynd/A 39495-2024 artfynd.xlsx", "A 39495-2024")</f>
        <v/>
      </c>
      <c r="T189">
        <f>HYPERLINK("https://klasma.github.io/Logging_2303/kartor/A 39495-2024 karta.png", "A 39495-2024")</f>
        <v/>
      </c>
      <c r="V189">
        <f>HYPERLINK("https://klasma.github.io/Logging_2303/klagomål/A 39495-2024 FSC-klagomål.docx", "A 39495-2024")</f>
        <v/>
      </c>
      <c r="W189">
        <f>HYPERLINK("https://klasma.github.io/Logging_2303/klagomålsmail/A 39495-2024 FSC-klagomål mail.docx", "A 39495-2024")</f>
        <v/>
      </c>
      <c r="X189">
        <f>HYPERLINK("https://klasma.github.io/Logging_2303/tillsyn/A 39495-2024 tillsynsbegäran.docx", "A 39495-2024")</f>
        <v/>
      </c>
      <c r="Y189">
        <f>HYPERLINK("https://klasma.github.io/Logging_2303/tillsynsmail/A 39495-2024 tillsynsbegäran mail.docx", "A 39495-2024")</f>
        <v/>
      </c>
    </row>
    <row r="190" ht="15" customHeight="1">
      <c r="A190" t="inlineStr">
        <is>
          <t>A 19728-2025</t>
        </is>
      </c>
      <c r="B190" s="1" t="n">
        <v>45771.36548611111</v>
      </c>
      <c r="C190" s="1" t="n">
        <v>46090</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45035-2023</t>
        </is>
      </c>
      <c r="B191" s="1" t="n">
        <v>45191</v>
      </c>
      <c r="C191" s="1" t="n">
        <v>46090</v>
      </c>
      <c r="D191" t="inlineStr">
        <is>
          <t>JÄMTLANDS LÄN</t>
        </is>
      </c>
      <c r="E191" t="inlineStr">
        <is>
          <t>RAGUNDA</t>
        </is>
      </c>
      <c r="G191" t="n">
        <v>2.9</v>
      </c>
      <c r="H191" t="n">
        <v>0</v>
      </c>
      <c r="I191" t="n">
        <v>1</v>
      </c>
      <c r="J191" t="n">
        <v>1</v>
      </c>
      <c r="K191" t="n">
        <v>0</v>
      </c>
      <c r="L191" t="n">
        <v>0</v>
      </c>
      <c r="M191" t="n">
        <v>0</v>
      </c>
      <c r="N191" t="n">
        <v>0</v>
      </c>
      <c r="O191" t="n">
        <v>1</v>
      </c>
      <c r="P191" t="n">
        <v>0</v>
      </c>
      <c r="Q191" t="n">
        <v>2</v>
      </c>
      <c r="R191" s="2" t="inlineStr">
        <is>
          <t>Lunglav
Korallblylav</t>
        </is>
      </c>
      <c r="S191">
        <f>HYPERLINK("https://klasma.github.io/Logging_2303/artfynd/A 45035-2023 artfynd.xlsx", "A 45035-2023")</f>
        <v/>
      </c>
      <c r="T191">
        <f>HYPERLINK("https://klasma.github.io/Logging_2303/kartor/A 45035-2023 karta.png", "A 45035-2023")</f>
        <v/>
      </c>
      <c r="V191">
        <f>HYPERLINK("https://klasma.github.io/Logging_2303/klagomål/A 45035-2023 FSC-klagomål.docx", "A 45035-2023")</f>
        <v/>
      </c>
      <c r="W191">
        <f>HYPERLINK("https://klasma.github.io/Logging_2303/klagomålsmail/A 45035-2023 FSC-klagomål mail.docx", "A 45035-2023")</f>
        <v/>
      </c>
      <c r="X191">
        <f>HYPERLINK("https://klasma.github.io/Logging_2303/tillsyn/A 45035-2023 tillsynsbegäran.docx", "A 45035-2023")</f>
        <v/>
      </c>
      <c r="Y191">
        <f>HYPERLINK("https://klasma.github.io/Logging_2303/tillsynsmail/A 45035-2023 tillsynsbegäran mail.docx", "A 45035-2023")</f>
        <v/>
      </c>
    </row>
    <row r="192" ht="15" customHeight="1">
      <c r="A192" t="inlineStr">
        <is>
          <t>A 11544-2024</t>
        </is>
      </c>
      <c r="B192" s="1" t="n">
        <v>45372.95680555556</v>
      </c>
      <c r="C192" s="1" t="n">
        <v>46090</v>
      </c>
      <c r="D192" t="inlineStr">
        <is>
          <t>JÄMTLANDS LÄN</t>
        </is>
      </c>
      <c r="E192" t="inlineStr">
        <is>
          <t>RAGUNDA</t>
        </is>
      </c>
      <c r="F192" t="inlineStr">
        <is>
          <t>SCA</t>
        </is>
      </c>
      <c r="G192" t="n">
        <v>15.5</v>
      </c>
      <c r="H192" t="n">
        <v>0</v>
      </c>
      <c r="I192" t="n">
        <v>0</v>
      </c>
      <c r="J192" t="n">
        <v>2</v>
      </c>
      <c r="K192" t="n">
        <v>0</v>
      </c>
      <c r="L192" t="n">
        <v>0</v>
      </c>
      <c r="M192" t="n">
        <v>0</v>
      </c>
      <c r="N192" t="n">
        <v>0</v>
      </c>
      <c r="O192" t="n">
        <v>2</v>
      </c>
      <c r="P192" t="n">
        <v>0</v>
      </c>
      <c r="Q192" t="n">
        <v>2</v>
      </c>
      <c r="R192" s="2" t="inlineStr">
        <is>
          <t>Granticka
Mörk kolflarnlav</t>
        </is>
      </c>
      <c r="S192">
        <f>HYPERLINK("https://klasma.github.io/Logging_2303/artfynd/A 11544-2024 artfynd.xlsx", "A 11544-2024")</f>
        <v/>
      </c>
      <c r="T192">
        <f>HYPERLINK("https://klasma.github.io/Logging_2303/kartor/A 11544-2024 karta.png", "A 11544-2024")</f>
        <v/>
      </c>
      <c r="V192">
        <f>HYPERLINK("https://klasma.github.io/Logging_2303/klagomål/A 11544-2024 FSC-klagomål.docx", "A 11544-2024")</f>
        <v/>
      </c>
      <c r="W192">
        <f>HYPERLINK("https://klasma.github.io/Logging_2303/klagomålsmail/A 11544-2024 FSC-klagomål mail.docx", "A 11544-2024")</f>
        <v/>
      </c>
      <c r="X192">
        <f>HYPERLINK("https://klasma.github.io/Logging_2303/tillsyn/A 11544-2024 tillsynsbegäran.docx", "A 11544-2024")</f>
        <v/>
      </c>
      <c r="Y192">
        <f>HYPERLINK("https://klasma.github.io/Logging_2303/tillsynsmail/A 11544-2024 tillsynsbegäran mail.docx", "A 11544-2024")</f>
        <v/>
      </c>
    </row>
    <row r="193" ht="15" customHeight="1">
      <c r="A193" t="inlineStr">
        <is>
          <t>A 11843-2023</t>
        </is>
      </c>
      <c r="B193" s="1" t="n">
        <v>44993</v>
      </c>
      <c r="C193" s="1" t="n">
        <v>46090</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17733-2022</t>
        </is>
      </c>
      <c r="B194" s="1" t="n">
        <v>44680</v>
      </c>
      <c r="C194" s="1" t="n">
        <v>46090</v>
      </c>
      <c r="D194" t="inlineStr">
        <is>
          <t>JÄMTLANDS LÄN</t>
        </is>
      </c>
      <c r="E194" t="inlineStr">
        <is>
          <t>RAGUNDA</t>
        </is>
      </c>
      <c r="G194" t="n">
        <v>2.2</v>
      </c>
      <c r="H194" t="n">
        <v>0</v>
      </c>
      <c r="I194" t="n">
        <v>0</v>
      </c>
      <c r="J194" t="n">
        <v>2</v>
      </c>
      <c r="K194" t="n">
        <v>0</v>
      </c>
      <c r="L194" t="n">
        <v>0</v>
      </c>
      <c r="M194" t="n">
        <v>0</v>
      </c>
      <c r="N194" t="n">
        <v>0</v>
      </c>
      <c r="O194" t="n">
        <v>2</v>
      </c>
      <c r="P194" t="n">
        <v>0</v>
      </c>
      <c r="Q194" t="n">
        <v>2</v>
      </c>
      <c r="R194" s="2" t="inlineStr">
        <is>
          <t>Lunglav
Skrovellav</t>
        </is>
      </c>
      <c r="S194">
        <f>HYPERLINK("https://klasma.github.io/Logging_2303/artfynd/A 17733-2022 artfynd.xlsx", "A 17733-2022")</f>
        <v/>
      </c>
      <c r="T194">
        <f>HYPERLINK("https://klasma.github.io/Logging_2303/kartor/A 17733-2022 karta.png", "A 17733-2022")</f>
        <v/>
      </c>
      <c r="V194">
        <f>HYPERLINK("https://klasma.github.io/Logging_2303/klagomål/A 17733-2022 FSC-klagomål.docx", "A 17733-2022")</f>
        <v/>
      </c>
      <c r="W194">
        <f>HYPERLINK("https://klasma.github.io/Logging_2303/klagomålsmail/A 17733-2022 FSC-klagomål mail.docx", "A 17733-2022")</f>
        <v/>
      </c>
      <c r="X194">
        <f>HYPERLINK("https://klasma.github.io/Logging_2303/tillsyn/A 17733-2022 tillsynsbegäran.docx", "A 17733-2022")</f>
        <v/>
      </c>
      <c r="Y194">
        <f>HYPERLINK("https://klasma.github.io/Logging_2303/tillsynsmail/A 17733-2022 tillsynsbegäran mail.docx", "A 17733-2022")</f>
        <v/>
      </c>
    </row>
    <row r="195" ht="15" customHeight="1">
      <c r="A195" t="inlineStr">
        <is>
          <t>A 26482-2023</t>
        </is>
      </c>
      <c r="B195" s="1" t="n">
        <v>45089</v>
      </c>
      <c r="C195" s="1" t="n">
        <v>46090</v>
      </c>
      <c r="D195" t="inlineStr">
        <is>
          <t>JÄMTLANDS LÄN</t>
        </is>
      </c>
      <c r="E195" t="inlineStr">
        <is>
          <t>RAGUNDA</t>
        </is>
      </c>
      <c r="G195" t="n">
        <v>2</v>
      </c>
      <c r="H195" t="n">
        <v>1</v>
      </c>
      <c r="I195" t="n">
        <v>0</v>
      </c>
      <c r="J195" t="n">
        <v>2</v>
      </c>
      <c r="K195" t="n">
        <v>0</v>
      </c>
      <c r="L195" t="n">
        <v>0</v>
      </c>
      <c r="M195" t="n">
        <v>0</v>
      </c>
      <c r="N195" t="n">
        <v>0</v>
      </c>
      <c r="O195" t="n">
        <v>2</v>
      </c>
      <c r="P195" t="n">
        <v>0</v>
      </c>
      <c r="Q195" t="n">
        <v>2</v>
      </c>
      <c r="R195" s="2" t="inlineStr">
        <is>
          <t>Tretåig hackspett
Ullticka</t>
        </is>
      </c>
      <c r="S195">
        <f>HYPERLINK("https://klasma.github.io/Logging_2303/artfynd/A 26482-2023 artfynd.xlsx", "A 26482-2023")</f>
        <v/>
      </c>
      <c r="T195">
        <f>HYPERLINK("https://klasma.github.io/Logging_2303/kartor/A 26482-2023 karta.png", "A 26482-2023")</f>
        <v/>
      </c>
      <c r="V195">
        <f>HYPERLINK("https://klasma.github.io/Logging_2303/klagomål/A 26482-2023 FSC-klagomål.docx", "A 26482-2023")</f>
        <v/>
      </c>
      <c r="W195">
        <f>HYPERLINK("https://klasma.github.io/Logging_2303/klagomålsmail/A 26482-2023 FSC-klagomål mail.docx", "A 26482-2023")</f>
        <v/>
      </c>
      <c r="X195">
        <f>HYPERLINK("https://klasma.github.io/Logging_2303/tillsyn/A 26482-2023 tillsynsbegäran.docx", "A 26482-2023")</f>
        <v/>
      </c>
      <c r="Y195">
        <f>HYPERLINK("https://klasma.github.io/Logging_2303/tillsynsmail/A 26482-2023 tillsynsbegäran mail.docx", "A 26482-2023")</f>
        <v/>
      </c>
      <c r="Z195">
        <f>HYPERLINK("https://klasma.github.io/Logging_2303/fåglar/A 26482-2023 prioriterade fågelarter.docx", "A 26482-2023")</f>
        <v/>
      </c>
    </row>
    <row r="196" ht="15" customHeight="1">
      <c r="A196" t="inlineStr">
        <is>
          <t>A 48084-2022</t>
        </is>
      </c>
      <c r="B196" s="1" t="n">
        <v>44855</v>
      </c>
      <c r="C196" s="1" t="n">
        <v>46090</v>
      </c>
      <c r="D196" t="inlineStr">
        <is>
          <t>JÄMTLANDS LÄN</t>
        </is>
      </c>
      <c r="E196" t="inlineStr">
        <is>
          <t>RAGUNDA</t>
        </is>
      </c>
      <c r="F196" t="inlineStr">
        <is>
          <t>SCA</t>
        </is>
      </c>
      <c r="G196" t="n">
        <v>4.7</v>
      </c>
      <c r="H196" t="n">
        <v>1</v>
      </c>
      <c r="I196" t="n">
        <v>0</v>
      </c>
      <c r="J196" t="n">
        <v>2</v>
      </c>
      <c r="K196" t="n">
        <v>0</v>
      </c>
      <c r="L196" t="n">
        <v>0</v>
      </c>
      <c r="M196" t="n">
        <v>0</v>
      </c>
      <c r="N196" t="n">
        <v>0</v>
      </c>
      <c r="O196" t="n">
        <v>2</v>
      </c>
      <c r="P196" t="n">
        <v>0</v>
      </c>
      <c r="Q196" t="n">
        <v>2</v>
      </c>
      <c r="R196" s="2" t="inlineStr">
        <is>
          <t>Rosenticka
Tretåig hackspett</t>
        </is>
      </c>
      <c r="S196">
        <f>HYPERLINK("https://klasma.github.io/Logging_2303/artfynd/A 48084-2022 artfynd.xlsx", "A 48084-2022")</f>
        <v/>
      </c>
      <c r="T196">
        <f>HYPERLINK("https://klasma.github.io/Logging_2303/kartor/A 48084-2022 karta.png", "A 48084-2022")</f>
        <v/>
      </c>
      <c r="V196">
        <f>HYPERLINK("https://klasma.github.io/Logging_2303/klagomål/A 48084-2022 FSC-klagomål.docx", "A 48084-2022")</f>
        <v/>
      </c>
      <c r="W196">
        <f>HYPERLINK("https://klasma.github.io/Logging_2303/klagomålsmail/A 48084-2022 FSC-klagomål mail.docx", "A 48084-2022")</f>
        <v/>
      </c>
      <c r="X196">
        <f>HYPERLINK("https://klasma.github.io/Logging_2303/tillsyn/A 48084-2022 tillsynsbegäran.docx", "A 48084-2022")</f>
        <v/>
      </c>
      <c r="Y196">
        <f>HYPERLINK("https://klasma.github.io/Logging_2303/tillsynsmail/A 48084-2022 tillsynsbegäran mail.docx", "A 48084-2022")</f>
        <v/>
      </c>
      <c r="Z196">
        <f>HYPERLINK("https://klasma.github.io/Logging_2303/fåglar/A 48084-2022 prioriterade fågelarter.docx", "A 48084-2022")</f>
        <v/>
      </c>
    </row>
    <row r="197" ht="15" customHeight="1">
      <c r="A197" t="inlineStr">
        <is>
          <t>A 26324-2024</t>
        </is>
      </c>
      <c r="B197" s="1" t="n">
        <v>45468.97495370371</v>
      </c>
      <c r="C197" s="1" t="n">
        <v>46090</v>
      </c>
      <c r="D197" t="inlineStr">
        <is>
          <t>JÄMTLANDS LÄN</t>
        </is>
      </c>
      <c r="E197" t="inlineStr">
        <is>
          <t>RAGUNDA</t>
        </is>
      </c>
      <c r="F197" t="inlineStr">
        <is>
          <t>SCA</t>
        </is>
      </c>
      <c r="G197" t="n">
        <v>2</v>
      </c>
      <c r="H197" t="n">
        <v>1</v>
      </c>
      <c r="I197" t="n">
        <v>0</v>
      </c>
      <c r="J197" t="n">
        <v>1</v>
      </c>
      <c r="K197" t="n">
        <v>1</v>
      </c>
      <c r="L197" t="n">
        <v>0</v>
      </c>
      <c r="M197" t="n">
        <v>0</v>
      </c>
      <c r="N197" t="n">
        <v>0</v>
      </c>
      <c r="O197" t="n">
        <v>2</v>
      </c>
      <c r="P197" t="n">
        <v>1</v>
      </c>
      <c r="Q197" t="n">
        <v>2</v>
      </c>
      <c r="R197" s="2" t="inlineStr">
        <is>
          <t>Knärot
Vedtrappmossa</t>
        </is>
      </c>
      <c r="S197">
        <f>HYPERLINK("https://klasma.github.io/Logging_2303/artfynd/A 26324-2024 artfynd.xlsx", "A 26324-2024")</f>
        <v/>
      </c>
      <c r="T197">
        <f>HYPERLINK("https://klasma.github.io/Logging_2303/kartor/A 26324-2024 karta.png", "A 26324-2024")</f>
        <v/>
      </c>
      <c r="U197">
        <f>HYPERLINK("https://klasma.github.io/Logging_2303/knärot/A 26324-2024 karta knärot.png", "A 26324-2024")</f>
        <v/>
      </c>
      <c r="V197">
        <f>HYPERLINK("https://klasma.github.io/Logging_2303/klagomål/A 26324-2024 FSC-klagomål.docx", "A 26324-2024")</f>
        <v/>
      </c>
      <c r="W197">
        <f>HYPERLINK("https://klasma.github.io/Logging_2303/klagomålsmail/A 26324-2024 FSC-klagomål mail.docx", "A 26324-2024")</f>
        <v/>
      </c>
      <c r="X197">
        <f>HYPERLINK("https://klasma.github.io/Logging_2303/tillsyn/A 26324-2024 tillsynsbegäran.docx", "A 26324-2024")</f>
        <v/>
      </c>
      <c r="Y197">
        <f>HYPERLINK("https://klasma.github.io/Logging_2303/tillsynsmail/A 26324-2024 tillsynsbegäran mail.docx", "A 26324-2024")</f>
        <v/>
      </c>
    </row>
    <row r="198" ht="15" customHeight="1">
      <c r="A198" t="inlineStr">
        <is>
          <t>A 21245-2025</t>
        </is>
      </c>
      <c r="B198" s="1" t="n">
        <v>45779.57350694444</v>
      </c>
      <c r="C198" s="1" t="n">
        <v>46090</v>
      </c>
      <c r="D198" t="inlineStr">
        <is>
          <t>JÄMTLANDS LÄN</t>
        </is>
      </c>
      <c r="E198" t="inlineStr">
        <is>
          <t>RAGUNDA</t>
        </is>
      </c>
      <c r="F198" t="inlineStr">
        <is>
          <t>SCA</t>
        </is>
      </c>
      <c r="G198" t="n">
        <v>3.7</v>
      </c>
      <c r="H198" t="n">
        <v>1</v>
      </c>
      <c r="I198" t="n">
        <v>0</v>
      </c>
      <c r="J198" t="n">
        <v>1</v>
      </c>
      <c r="K198" t="n">
        <v>0</v>
      </c>
      <c r="L198" t="n">
        <v>0</v>
      </c>
      <c r="M198" t="n">
        <v>0</v>
      </c>
      <c r="N198" t="n">
        <v>0</v>
      </c>
      <c r="O198" t="n">
        <v>1</v>
      </c>
      <c r="P198" t="n">
        <v>0</v>
      </c>
      <c r="Q198" t="n">
        <v>2</v>
      </c>
      <c r="R198" s="2" t="inlineStr">
        <is>
          <t>Garnlav
Tjäder</t>
        </is>
      </c>
      <c r="S198">
        <f>HYPERLINK("https://klasma.github.io/Logging_2303/artfynd/A 21245-2025 artfynd.xlsx", "A 21245-2025")</f>
        <v/>
      </c>
      <c r="T198">
        <f>HYPERLINK("https://klasma.github.io/Logging_2303/kartor/A 21245-2025 karta.png", "A 21245-2025")</f>
        <v/>
      </c>
      <c r="V198">
        <f>HYPERLINK("https://klasma.github.io/Logging_2303/klagomål/A 21245-2025 FSC-klagomål.docx", "A 21245-2025")</f>
        <v/>
      </c>
      <c r="W198">
        <f>HYPERLINK("https://klasma.github.io/Logging_2303/klagomålsmail/A 21245-2025 FSC-klagomål mail.docx", "A 21245-2025")</f>
        <v/>
      </c>
      <c r="X198">
        <f>HYPERLINK("https://klasma.github.io/Logging_2303/tillsyn/A 21245-2025 tillsynsbegäran.docx", "A 21245-2025")</f>
        <v/>
      </c>
      <c r="Y198">
        <f>HYPERLINK("https://klasma.github.io/Logging_2303/tillsynsmail/A 21245-2025 tillsynsbegäran mail.docx", "A 21245-2025")</f>
        <v/>
      </c>
      <c r="Z198">
        <f>HYPERLINK("https://klasma.github.io/Logging_2303/fåglar/A 21245-2025 prioriterade fågelarter.docx", "A 21245-2025")</f>
        <v/>
      </c>
    </row>
    <row r="199" ht="15" customHeight="1">
      <c r="A199" t="inlineStr">
        <is>
          <t>A 51916-2021</t>
        </is>
      </c>
      <c r="B199" s="1" t="n">
        <v>44462</v>
      </c>
      <c r="C199" s="1" t="n">
        <v>46090</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46090</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46090</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46090</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46090</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46090</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6703-2024</t>
        </is>
      </c>
      <c r="B205" s="1" t="n">
        <v>45341</v>
      </c>
      <c r="C205" s="1" t="n">
        <v>46090</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59104-2023</t>
        </is>
      </c>
      <c r="B206" s="1" t="n">
        <v>45252</v>
      </c>
      <c r="C206" s="1" t="n">
        <v>46090</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16316-2025</t>
        </is>
      </c>
      <c r="B207" s="1" t="n">
        <v>45751.34795138889</v>
      </c>
      <c r="C207" s="1" t="n">
        <v>46090</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Vanliga ängsnycklar</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25694-2023</t>
        </is>
      </c>
      <c r="B208" s="1" t="n">
        <v>45089</v>
      </c>
      <c r="C208" s="1" t="n">
        <v>46090</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20575-2025</t>
        </is>
      </c>
      <c r="B209" s="1" t="n">
        <v>45775.67769675926</v>
      </c>
      <c r="C209" s="1" t="n">
        <v>46090</v>
      </c>
      <c r="D209" t="inlineStr">
        <is>
          <t>JÄMTLANDS LÄN</t>
        </is>
      </c>
      <c r="E209" t="inlineStr">
        <is>
          <t>RAGUNDA</t>
        </is>
      </c>
      <c r="F209" t="inlineStr">
        <is>
          <t>SCA</t>
        </is>
      </c>
      <c r="G209" t="n">
        <v>8.1</v>
      </c>
      <c r="H209" t="n">
        <v>1</v>
      </c>
      <c r="I209" t="n">
        <v>0</v>
      </c>
      <c r="J209" t="n">
        <v>1</v>
      </c>
      <c r="K209" t="n">
        <v>0</v>
      </c>
      <c r="L209" t="n">
        <v>0</v>
      </c>
      <c r="M209" t="n">
        <v>0</v>
      </c>
      <c r="N209" t="n">
        <v>0</v>
      </c>
      <c r="O209" t="n">
        <v>1</v>
      </c>
      <c r="P209" t="n">
        <v>0</v>
      </c>
      <c r="Q209" t="n">
        <v>1</v>
      </c>
      <c r="R209" s="2" t="inlineStr">
        <is>
          <t>Skogsfru</t>
        </is>
      </c>
      <c r="S209">
        <f>HYPERLINK("https://klasma.github.io/Logging_2303/artfynd/A 20575-2025 artfynd.xlsx", "A 20575-2025")</f>
        <v/>
      </c>
      <c r="T209">
        <f>HYPERLINK("https://klasma.github.io/Logging_2303/kartor/A 20575-2025 karta.png", "A 20575-2025")</f>
        <v/>
      </c>
      <c r="V209">
        <f>HYPERLINK("https://klasma.github.io/Logging_2303/klagomål/A 20575-2025 FSC-klagomål.docx", "A 20575-2025")</f>
        <v/>
      </c>
      <c r="W209">
        <f>HYPERLINK("https://klasma.github.io/Logging_2303/klagomålsmail/A 20575-2025 FSC-klagomål mail.docx", "A 20575-2025")</f>
        <v/>
      </c>
      <c r="X209">
        <f>HYPERLINK("https://klasma.github.io/Logging_2303/tillsyn/A 20575-2025 tillsynsbegäran.docx", "A 20575-2025")</f>
        <v/>
      </c>
      <c r="Y209">
        <f>HYPERLINK("https://klasma.github.io/Logging_2303/tillsynsmail/A 20575-2025 tillsynsbegäran mail.docx", "A 20575-2025")</f>
        <v/>
      </c>
    </row>
    <row r="210" ht="15" customHeight="1">
      <c r="A210" t="inlineStr">
        <is>
          <t>A 11040-2023</t>
        </is>
      </c>
      <c r="B210" s="1" t="n">
        <v>44991</v>
      </c>
      <c r="C210" s="1" t="n">
        <v>46090</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36975-2023</t>
        </is>
      </c>
      <c r="B211" s="1" t="n">
        <v>45154</v>
      </c>
      <c r="C211" s="1" t="n">
        <v>46090</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50233-2024</t>
        </is>
      </c>
      <c r="B212" s="1" t="n">
        <v>45600.55265046296</v>
      </c>
      <c r="C212" s="1" t="n">
        <v>46090</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36224-2023</t>
        </is>
      </c>
      <c r="B213" s="1" t="n">
        <v>45149</v>
      </c>
      <c r="C213" s="1" t="n">
        <v>46090</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43404-2023</t>
        </is>
      </c>
      <c r="B214" s="1" t="n">
        <v>45183</v>
      </c>
      <c r="C214" s="1" t="n">
        <v>46090</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40841-2025</t>
        </is>
      </c>
      <c r="B215" s="1" t="n">
        <v>45897.531875</v>
      </c>
      <c r="C215" s="1" t="n">
        <v>46090</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24443-2024</t>
        </is>
      </c>
      <c r="B216" s="1" t="n">
        <v>45457.9640625</v>
      </c>
      <c r="C216" s="1" t="n">
        <v>46090</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46090</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27573-2025</t>
        </is>
      </c>
      <c r="B218" s="1" t="n">
        <v>45813.49061342593</v>
      </c>
      <c r="C218" s="1" t="n">
        <v>46090</v>
      </c>
      <c r="D218" t="inlineStr">
        <is>
          <t>JÄMTLANDS LÄN</t>
        </is>
      </c>
      <c r="E218" t="inlineStr">
        <is>
          <t>RAGUNDA</t>
        </is>
      </c>
      <c r="F218" t="inlineStr">
        <is>
          <t>SCA</t>
        </is>
      </c>
      <c r="G218" t="n">
        <v>14.9</v>
      </c>
      <c r="H218" t="n">
        <v>0</v>
      </c>
      <c r="I218" t="n">
        <v>1</v>
      </c>
      <c r="J218" t="n">
        <v>0</v>
      </c>
      <c r="K218" t="n">
        <v>0</v>
      </c>
      <c r="L218" t="n">
        <v>0</v>
      </c>
      <c r="M218" t="n">
        <v>0</v>
      </c>
      <c r="N218" t="n">
        <v>0</v>
      </c>
      <c r="O218" t="n">
        <v>0</v>
      </c>
      <c r="P218" t="n">
        <v>0</v>
      </c>
      <c r="Q218" t="n">
        <v>1</v>
      </c>
      <c r="R218" s="2" t="inlineStr">
        <is>
          <t>Skinnlav</t>
        </is>
      </c>
      <c r="S218">
        <f>HYPERLINK("https://klasma.github.io/Logging_2303/artfynd/A 27573-2025 artfynd.xlsx", "A 27573-2025")</f>
        <v/>
      </c>
      <c r="T218">
        <f>HYPERLINK("https://klasma.github.io/Logging_2303/kartor/A 27573-2025 karta.png", "A 27573-2025")</f>
        <v/>
      </c>
      <c r="U218">
        <f>HYPERLINK("https://klasma.github.io/Logging_2303/knärot/A 27573-2025 karta knärot.png", "A 27573-2025")</f>
        <v/>
      </c>
      <c r="V218">
        <f>HYPERLINK("https://klasma.github.io/Logging_2303/klagomål/A 27573-2025 FSC-klagomål.docx", "A 27573-2025")</f>
        <v/>
      </c>
      <c r="W218">
        <f>HYPERLINK("https://klasma.github.io/Logging_2303/klagomålsmail/A 27573-2025 FSC-klagomål mail.docx", "A 27573-2025")</f>
        <v/>
      </c>
      <c r="X218">
        <f>HYPERLINK("https://klasma.github.io/Logging_2303/tillsyn/A 27573-2025 tillsynsbegäran.docx", "A 27573-2025")</f>
        <v/>
      </c>
      <c r="Y218">
        <f>HYPERLINK("https://klasma.github.io/Logging_2303/tillsynsmail/A 27573-2025 tillsynsbegäran mail.docx", "A 27573-2025")</f>
        <v/>
      </c>
    </row>
    <row r="219" ht="15" customHeight="1">
      <c r="A219" t="inlineStr">
        <is>
          <t>A 43526-2025</t>
        </is>
      </c>
      <c r="B219" s="1" t="n">
        <v>45911</v>
      </c>
      <c r="C219" s="1" t="n">
        <v>46090</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30390-2025</t>
        </is>
      </c>
      <c r="B220" s="1" t="n">
        <v>45827.57371527778</v>
      </c>
      <c r="C220" s="1" t="n">
        <v>46090</v>
      </c>
      <c r="D220" t="inlineStr">
        <is>
          <t>JÄMTLANDS LÄN</t>
        </is>
      </c>
      <c r="E220" t="inlineStr">
        <is>
          <t>RAGUNDA</t>
        </is>
      </c>
      <c r="F220" t="inlineStr">
        <is>
          <t>SCA</t>
        </is>
      </c>
      <c r="G220" t="n">
        <v>11.2</v>
      </c>
      <c r="H220" t="n">
        <v>0</v>
      </c>
      <c r="I220" t="n">
        <v>0</v>
      </c>
      <c r="J220" t="n">
        <v>1</v>
      </c>
      <c r="K220" t="n">
        <v>0</v>
      </c>
      <c r="L220" t="n">
        <v>0</v>
      </c>
      <c r="M220" t="n">
        <v>0</v>
      </c>
      <c r="N220" t="n">
        <v>0</v>
      </c>
      <c r="O220" t="n">
        <v>1</v>
      </c>
      <c r="P220" t="n">
        <v>0</v>
      </c>
      <c r="Q220" t="n">
        <v>1</v>
      </c>
      <c r="R220" s="2" t="inlineStr">
        <is>
          <t>Lunglav</t>
        </is>
      </c>
      <c r="S220">
        <f>HYPERLINK("https://klasma.github.io/Logging_2303/artfynd/A 30390-2025 artfynd.xlsx", "A 30390-2025")</f>
        <v/>
      </c>
      <c r="T220">
        <f>HYPERLINK("https://klasma.github.io/Logging_2303/kartor/A 30390-2025 karta.png", "A 30390-2025")</f>
        <v/>
      </c>
      <c r="U220">
        <f>HYPERLINK("https://klasma.github.io/Logging_2303/knärot/A 30390-2025 karta knärot.png", "A 30390-2025")</f>
        <v/>
      </c>
      <c r="V220">
        <f>HYPERLINK("https://klasma.github.io/Logging_2303/klagomål/A 30390-2025 FSC-klagomål.docx", "A 30390-2025")</f>
        <v/>
      </c>
      <c r="W220">
        <f>HYPERLINK("https://klasma.github.io/Logging_2303/klagomålsmail/A 30390-2025 FSC-klagomål mail.docx", "A 30390-2025")</f>
        <v/>
      </c>
      <c r="X220">
        <f>HYPERLINK("https://klasma.github.io/Logging_2303/tillsyn/A 30390-2025 tillsynsbegäran.docx", "A 30390-2025")</f>
        <v/>
      </c>
      <c r="Y220">
        <f>HYPERLINK("https://klasma.github.io/Logging_2303/tillsynsmail/A 30390-2025 tillsynsbegäran mail.docx", "A 30390-2025")</f>
        <v/>
      </c>
    </row>
    <row r="221" ht="15" customHeight="1">
      <c r="A221" t="inlineStr">
        <is>
          <t>A 978-2024</t>
        </is>
      </c>
      <c r="B221" s="1" t="n">
        <v>45301</v>
      </c>
      <c r="C221" s="1" t="n">
        <v>46090</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46090</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46090</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31773-2021</t>
        </is>
      </c>
      <c r="B224" s="1" t="n">
        <v>44369</v>
      </c>
      <c r="C224" s="1" t="n">
        <v>46090</v>
      </c>
      <c r="D224" t="inlineStr">
        <is>
          <t>JÄMTLANDS LÄN</t>
        </is>
      </c>
      <c r="E224" t="inlineStr">
        <is>
          <t>RAGUNDA</t>
        </is>
      </c>
      <c r="G224" t="n">
        <v>0.8</v>
      </c>
      <c r="H224" t="n">
        <v>0</v>
      </c>
      <c r="I224" t="n">
        <v>0</v>
      </c>
      <c r="J224" t="n">
        <v>0</v>
      </c>
      <c r="K224" t="n">
        <v>1</v>
      </c>
      <c r="L224" t="n">
        <v>0</v>
      </c>
      <c r="M224" t="n">
        <v>0</v>
      </c>
      <c r="N224" t="n">
        <v>0</v>
      </c>
      <c r="O224" t="n">
        <v>1</v>
      </c>
      <c r="P224" t="n">
        <v>1</v>
      </c>
      <c r="Q224" t="n">
        <v>1</v>
      </c>
      <c r="R224" s="2" t="inlineStr">
        <is>
          <t>Strandsandjägare</t>
        </is>
      </c>
      <c r="S224">
        <f>HYPERLINK("https://klasma.github.io/Logging_2303/artfynd/A 31773-2021 artfynd.xlsx", "A 31773-2021")</f>
        <v/>
      </c>
      <c r="T224">
        <f>HYPERLINK("https://klasma.github.io/Logging_2303/kartor/A 31773-2021 karta.png", "A 31773-2021")</f>
        <v/>
      </c>
      <c r="V224">
        <f>HYPERLINK("https://klasma.github.io/Logging_2303/klagomål/A 31773-2021 FSC-klagomål.docx", "A 31773-2021")</f>
        <v/>
      </c>
      <c r="W224">
        <f>HYPERLINK("https://klasma.github.io/Logging_2303/klagomålsmail/A 31773-2021 FSC-klagomål mail.docx", "A 31773-2021")</f>
        <v/>
      </c>
      <c r="X224">
        <f>HYPERLINK("https://klasma.github.io/Logging_2303/tillsyn/A 31773-2021 tillsynsbegäran.docx", "A 31773-2021")</f>
        <v/>
      </c>
      <c r="Y224">
        <f>HYPERLINK("https://klasma.github.io/Logging_2303/tillsynsmail/A 31773-2021 tillsynsbegäran mail.docx", "A 31773-2021")</f>
        <v/>
      </c>
    </row>
    <row r="225" ht="15" customHeight="1">
      <c r="A225" t="inlineStr">
        <is>
          <t>A 34474-2025</t>
        </is>
      </c>
      <c r="B225" s="1" t="n">
        <v>45847.36528935185</v>
      </c>
      <c r="C225" s="1" t="n">
        <v>46090</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49053-2025</t>
        </is>
      </c>
      <c r="B226" s="1" t="n">
        <v>45937.64009259259</v>
      </c>
      <c r="C226" s="1" t="n">
        <v>46090</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26317-2024</t>
        </is>
      </c>
      <c r="B227" s="1" t="n">
        <v>45468</v>
      </c>
      <c r="C227" s="1" t="n">
        <v>46090</v>
      </c>
      <c r="D227" t="inlineStr">
        <is>
          <t>JÄMTLANDS LÄN</t>
        </is>
      </c>
      <c r="E227" t="inlineStr">
        <is>
          <t>RAGUNDA</t>
        </is>
      </c>
      <c r="F227" t="inlineStr">
        <is>
          <t>SCA</t>
        </is>
      </c>
      <c r="G227" t="n">
        <v>3.8</v>
      </c>
      <c r="H227" t="n">
        <v>0</v>
      </c>
      <c r="I227" t="n">
        <v>0</v>
      </c>
      <c r="J227" t="n">
        <v>1</v>
      </c>
      <c r="K227" t="n">
        <v>0</v>
      </c>
      <c r="L227" t="n">
        <v>0</v>
      </c>
      <c r="M227" t="n">
        <v>0</v>
      </c>
      <c r="N227" t="n">
        <v>0</v>
      </c>
      <c r="O227" t="n">
        <v>1</v>
      </c>
      <c r="P227" t="n">
        <v>0</v>
      </c>
      <c r="Q227" t="n">
        <v>1</v>
      </c>
      <c r="R227" s="2" t="inlineStr">
        <is>
          <t>Kortskaftad ärgspik</t>
        </is>
      </c>
      <c r="S227">
        <f>HYPERLINK("https://klasma.github.io/Logging_2303/artfynd/A 26317-2024 artfynd.xlsx", "A 26317-2024")</f>
        <v/>
      </c>
      <c r="T227">
        <f>HYPERLINK("https://klasma.github.io/Logging_2303/kartor/A 26317-2024 karta.png", "A 26317-2024")</f>
        <v/>
      </c>
      <c r="V227">
        <f>HYPERLINK("https://klasma.github.io/Logging_2303/klagomål/A 26317-2024 FSC-klagomål.docx", "A 26317-2024")</f>
        <v/>
      </c>
      <c r="W227">
        <f>HYPERLINK("https://klasma.github.io/Logging_2303/klagomålsmail/A 26317-2024 FSC-klagomål mail.docx", "A 26317-2024")</f>
        <v/>
      </c>
      <c r="X227">
        <f>HYPERLINK("https://klasma.github.io/Logging_2303/tillsyn/A 26317-2024 tillsynsbegäran.docx", "A 26317-2024")</f>
        <v/>
      </c>
      <c r="Y227">
        <f>HYPERLINK("https://klasma.github.io/Logging_2303/tillsynsmail/A 26317-2024 tillsynsbegäran mail.docx", "A 26317-2024")</f>
        <v/>
      </c>
    </row>
    <row r="228" ht="15" customHeight="1">
      <c r="A228" t="inlineStr">
        <is>
          <t>A 49091-2022</t>
        </is>
      </c>
      <c r="B228" s="1" t="n">
        <v>44860</v>
      </c>
      <c r="C228" s="1" t="n">
        <v>46090</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51912-2025</t>
        </is>
      </c>
      <c r="B229" s="1" t="n">
        <v>45952.46939814815</v>
      </c>
      <c r="C229" s="1" t="n">
        <v>46090</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48429-2023</t>
        </is>
      </c>
      <c r="B230" s="1" t="n">
        <v>45205</v>
      </c>
      <c r="C230" s="1" t="n">
        <v>46090</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50164-2023</t>
        </is>
      </c>
      <c r="B231" s="1" t="n">
        <v>45208</v>
      </c>
      <c r="C231" s="1" t="n">
        <v>46090</v>
      </c>
      <c r="D231" t="inlineStr">
        <is>
          <t>JÄMTLANDS LÄN</t>
        </is>
      </c>
      <c r="E231" t="inlineStr">
        <is>
          <t>RAGUNDA</t>
        </is>
      </c>
      <c r="G231" t="n">
        <v>2.9</v>
      </c>
      <c r="H231" t="n">
        <v>0</v>
      </c>
      <c r="I231" t="n">
        <v>0</v>
      </c>
      <c r="J231" t="n">
        <v>0</v>
      </c>
      <c r="K231" t="n">
        <v>1</v>
      </c>
      <c r="L231" t="n">
        <v>0</v>
      </c>
      <c r="M231" t="n">
        <v>0</v>
      </c>
      <c r="N231" t="n">
        <v>0</v>
      </c>
      <c r="O231" t="n">
        <v>1</v>
      </c>
      <c r="P231" t="n">
        <v>1</v>
      </c>
      <c r="Q231" t="n">
        <v>1</v>
      </c>
      <c r="R231" s="2" t="inlineStr">
        <is>
          <t>Mindre barkplattbagge</t>
        </is>
      </c>
      <c r="S231">
        <f>HYPERLINK("https://klasma.github.io/Logging_2303/artfynd/A 50164-2023 artfynd.xlsx", "A 50164-2023")</f>
        <v/>
      </c>
      <c r="T231">
        <f>HYPERLINK("https://klasma.github.io/Logging_2303/kartor/A 50164-2023 karta.png", "A 50164-2023")</f>
        <v/>
      </c>
      <c r="V231">
        <f>HYPERLINK("https://klasma.github.io/Logging_2303/klagomål/A 50164-2023 FSC-klagomål.docx", "A 50164-2023")</f>
        <v/>
      </c>
      <c r="W231">
        <f>HYPERLINK("https://klasma.github.io/Logging_2303/klagomålsmail/A 50164-2023 FSC-klagomål mail.docx", "A 50164-2023")</f>
        <v/>
      </c>
      <c r="X231">
        <f>HYPERLINK("https://klasma.github.io/Logging_2303/tillsyn/A 50164-2023 tillsynsbegäran.docx", "A 50164-2023")</f>
        <v/>
      </c>
      <c r="Y231">
        <f>HYPERLINK("https://klasma.github.io/Logging_2303/tillsynsmail/A 50164-2023 tillsynsbegäran mail.docx", "A 50164-2023")</f>
        <v/>
      </c>
    </row>
    <row r="232" ht="15" customHeight="1">
      <c r="A232" t="inlineStr">
        <is>
          <t>A 55756-2025</t>
        </is>
      </c>
      <c r="B232" s="1" t="n">
        <v>45972.59438657408</v>
      </c>
      <c r="C232" s="1" t="n">
        <v>46090</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10358-2026</t>
        </is>
      </c>
      <c r="B233" s="1" t="n">
        <v>46076</v>
      </c>
      <c r="C233" s="1" t="n">
        <v>46090</v>
      </c>
      <c r="D233" t="inlineStr">
        <is>
          <t>JÄMTLANDS LÄN</t>
        </is>
      </c>
      <c r="E233" t="inlineStr">
        <is>
          <t>RAGUNDA</t>
        </is>
      </c>
      <c r="G233" t="n">
        <v>5.4</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10358-2026 artfynd.xlsx", "A 10358-2026")</f>
        <v/>
      </c>
      <c r="T233">
        <f>HYPERLINK("https://klasma.github.io/Logging_2303/kartor/A 10358-2026 karta.png", "A 10358-2026")</f>
        <v/>
      </c>
      <c r="V233">
        <f>HYPERLINK("https://klasma.github.io/Logging_2303/klagomål/A 10358-2026 FSC-klagomål.docx", "A 10358-2026")</f>
        <v/>
      </c>
      <c r="W233">
        <f>HYPERLINK("https://klasma.github.io/Logging_2303/klagomålsmail/A 10358-2026 FSC-klagomål mail.docx", "A 10358-2026")</f>
        <v/>
      </c>
      <c r="X233">
        <f>HYPERLINK("https://klasma.github.io/Logging_2303/tillsyn/A 10358-2026 tillsynsbegäran.docx", "A 10358-2026")</f>
        <v/>
      </c>
      <c r="Y233">
        <f>HYPERLINK("https://klasma.github.io/Logging_2303/tillsynsmail/A 10358-2026 tillsynsbegäran mail.docx", "A 10358-2026")</f>
        <v/>
      </c>
      <c r="Z233">
        <f>HYPERLINK("https://klasma.github.io/Logging_2303/fåglar/A 10358-2026 prioriterade fågelarter.docx", "A 10358-2026")</f>
        <v/>
      </c>
    </row>
    <row r="234" ht="15" customHeight="1">
      <c r="A234" t="inlineStr">
        <is>
          <t>A 56599-2025</t>
        </is>
      </c>
      <c r="B234" s="1" t="n">
        <v>45975.5734837963</v>
      </c>
      <c r="C234" s="1" t="n">
        <v>46090</v>
      </c>
      <c r="D234" t="inlineStr">
        <is>
          <t>JÄMTLANDS LÄN</t>
        </is>
      </c>
      <c r="E234" t="inlineStr">
        <is>
          <t>RAGUNDA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HYPERLINK("https://klasma.github.io/Logging_2303/artfynd/A 56599-2025 artfynd.xlsx", "A 56599-2025")</f>
        <v/>
      </c>
      <c r="T234">
        <f>HYPERLINK("https://klasma.github.io/Logging_2303/kartor/A 56599-2025 karta.png", "A 56599-2025")</f>
        <v/>
      </c>
      <c r="V234">
        <f>HYPERLINK("https://klasma.github.io/Logging_2303/klagomål/A 56599-2025 FSC-klagomål.docx", "A 56599-2025")</f>
        <v/>
      </c>
      <c r="W234">
        <f>HYPERLINK("https://klasma.github.io/Logging_2303/klagomålsmail/A 56599-2025 FSC-klagomål mail.docx", "A 56599-2025")</f>
        <v/>
      </c>
      <c r="X234">
        <f>HYPERLINK("https://klasma.github.io/Logging_2303/tillsyn/A 56599-2025 tillsynsbegäran.docx", "A 56599-2025")</f>
        <v/>
      </c>
      <c r="Y234">
        <f>HYPERLINK("https://klasma.github.io/Logging_2303/tillsynsmail/A 56599-2025 tillsynsbegäran mail.docx", "A 56599-2025")</f>
        <v/>
      </c>
    </row>
    <row r="235" ht="15" customHeight="1">
      <c r="A235" t="inlineStr">
        <is>
          <t>A 57253-2025</t>
        </is>
      </c>
      <c r="B235" s="1" t="n">
        <v>45979.64381944444</v>
      </c>
      <c r="C235" s="1" t="n">
        <v>46090</v>
      </c>
      <c r="D235" t="inlineStr">
        <is>
          <t>JÄMTLANDS LÄN</t>
        </is>
      </c>
      <c r="E235" t="inlineStr">
        <is>
          <t>RAGUNDA</t>
        </is>
      </c>
      <c r="G235" t="n">
        <v>1.2</v>
      </c>
      <c r="H235" t="n">
        <v>0</v>
      </c>
      <c r="I235" t="n">
        <v>1</v>
      </c>
      <c r="J235" t="n">
        <v>0</v>
      </c>
      <c r="K235" t="n">
        <v>0</v>
      </c>
      <c r="L235" t="n">
        <v>0</v>
      </c>
      <c r="M235" t="n">
        <v>0</v>
      </c>
      <c r="N235" t="n">
        <v>0</v>
      </c>
      <c r="O235" t="n">
        <v>0</v>
      </c>
      <c r="P235" t="n">
        <v>0</v>
      </c>
      <c r="Q235" t="n">
        <v>1</v>
      </c>
      <c r="R235" s="2" t="inlineStr">
        <is>
          <t>Skinnlav</t>
        </is>
      </c>
      <c r="S235">
        <f>HYPERLINK("https://klasma.github.io/Logging_2303/artfynd/A 57253-2025 artfynd.xlsx", "A 57253-2025")</f>
        <v/>
      </c>
      <c r="T235">
        <f>HYPERLINK("https://klasma.github.io/Logging_2303/kartor/A 57253-2025 karta.png", "A 57253-2025")</f>
        <v/>
      </c>
      <c r="V235">
        <f>HYPERLINK("https://klasma.github.io/Logging_2303/klagomål/A 57253-2025 FSC-klagomål.docx", "A 57253-2025")</f>
        <v/>
      </c>
      <c r="W235">
        <f>HYPERLINK("https://klasma.github.io/Logging_2303/klagomålsmail/A 57253-2025 FSC-klagomål mail.docx", "A 57253-2025")</f>
        <v/>
      </c>
      <c r="X235">
        <f>HYPERLINK("https://klasma.github.io/Logging_2303/tillsyn/A 57253-2025 tillsynsbegäran.docx", "A 57253-2025")</f>
        <v/>
      </c>
      <c r="Y235">
        <f>HYPERLINK("https://klasma.github.io/Logging_2303/tillsynsmail/A 57253-2025 tillsynsbegäran mail.docx", "A 57253-2025")</f>
        <v/>
      </c>
    </row>
    <row r="236" ht="15" customHeight="1">
      <c r="A236" t="inlineStr">
        <is>
          <t>A 17340-2023</t>
        </is>
      </c>
      <c r="B236" s="1" t="n">
        <v>45033</v>
      </c>
      <c r="C236" s="1" t="n">
        <v>46090</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Vedtrappmossa</t>
        </is>
      </c>
      <c r="S236">
        <f>HYPERLINK("https://klasma.github.io/Logging_2303/artfynd/A 17340-2023 artfynd.xlsx", "A 17340-2023")</f>
        <v/>
      </c>
      <c r="T236">
        <f>HYPERLINK("https://klasma.github.io/Logging_2303/kartor/A 17340-2023 karta.png", "A 17340-2023")</f>
        <v/>
      </c>
      <c r="U236">
        <f>HYPERLINK("https://klasma.github.io/Logging_2303/knärot/A 17340-2023 karta knärot.png", "A 17340-2023")</f>
        <v/>
      </c>
      <c r="V236">
        <f>HYPERLINK("https://klasma.github.io/Logging_2303/klagomål/A 17340-2023 FSC-klagomål.docx", "A 17340-2023")</f>
        <v/>
      </c>
      <c r="W236">
        <f>HYPERLINK("https://klasma.github.io/Logging_2303/klagomålsmail/A 17340-2023 FSC-klagomål mail.docx", "A 17340-2023")</f>
        <v/>
      </c>
      <c r="X236">
        <f>HYPERLINK("https://klasma.github.io/Logging_2303/tillsyn/A 17340-2023 tillsynsbegäran.docx", "A 17340-2023")</f>
        <v/>
      </c>
      <c r="Y236">
        <f>HYPERLINK("https://klasma.github.io/Logging_2303/tillsynsmail/A 17340-2023 tillsynsbegäran mail.docx", "A 17340-2023")</f>
        <v/>
      </c>
    </row>
    <row r="237" ht="15" customHeight="1">
      <c r="A237" t="inlineStr">
        <is>
          <t>A 57479-2025</t>
        </is>
      </c>
      <c r="B237" s="1" t="n">
        <v>45980.5737037037</v>
      </c>
      <c r="C237" s="1" t="n">
        <v>46090</v>
      </c>
      <c r="D237" t="inlineStr">
        <is>
          <t>JÄMTLANDS LÄN</t>
        </is>
      </c>
      <c r="E237" t="inlineStr">
        <is>
          <t>RAGUNDA</t>
        </is>
      </c>
      <c r="F237" t="inlineStr">
        <is>
          <t>SCA</t>
        </is>
      </c>
      <c r="G237" t="n">
        <v>12</v>
      </c>
      <c r="H237" t="n">
        <v>0</v>
      </c>
      <c r="I237" t="n">
        <v>0</v>
      </c>
      <c r="J237" t="n">
        <v>1</v>
      </c>
      <c r="K237" t="n">
        <v>0</v>
      </c>
      <c r="L237" t="n">
        <v>0</v>
      </c>
      <c r="M237" t="n">
        <v>0</v>
      </c>
      <c r="N237" t="n">
        <v>0</v>
      </c>
      <c r="O237" t="n">
        <v>1</v>
      </c>
      <c r="P237" t="n">
        <v>0</v>
      </c>
      <c r="Q237" t="n">
        <v>1</v>
      </c>
      <c r="R237" s="2" t="inlineStr">
        <is>
          <t>Kolflarnlav</t>
        </is>
      </c>
      <c r="S237">
        <f>HYPERLINK("https://klasma.github.io/Logging_2303/artfynd/A 57479-2025 artfynd.xlsx", "A 57479-2025")</f>
        <v/>
      </c>
      <c r="T237">
        <f>HYPERLINK("https://klasma.github.io/Logging_2303/kartor/A 57479-2025 karta.png", "A 57479-2025")</f>
        <v/>
      </c>
      <c r="V237">
        <f>HYPERLINK("https://klasma.github.io/Logging_2303/klagomål/A 57479-2025 FSC-klagomål.docx", "A 57479-2025")</f>
        <v/>
      </c>
      <c r="W237">
        <f>HYPERLINK("https://klasma.github.io/Logging_2303/klagomålsmail/A 57479-2025 FSC-klagomål mail.docx", "A 57479-2025")</f>
        <v/>
      </c>
      <c r="X237">
        <f>HYPERLINK("https://klasma.github.io/Logging_2303/tillsyn/A 57479-2025 tillsynsbegäran.docx", "A 57479-2025")</f>
        <v/>
      </c>
      <c r="Y237">
        <f>HYPERLINK("https://klasma.github.io/Logging_2303/tillsynsmail/A 57479-2025 tillsynsbegäran mail.docx", "A 57479-2025")</f>
        <v/>
      </c>
    </row>
    <row r="238" ht="15" customHeight="1">
      <c r="A238" t="inlineStr">
        <is>
          <t>A 57478-2025</t>
        </is>
      </c>
      <c r="B238" s="1" t="n">
        <v>45980.57349537037</v>
      </c>
      <c r="C238" s="1" t="n">
        <v>46090</v>
      </c>
      <c r="D238" t="inlineStr">
        <is>
          <t>JÄMTLANDS LÄN</t>
        </is>
      </c>
      <c r="E238" t="inlineStr">
        <is>
          <t>RAGUNDA</t>
        </is>
      </c>
      <c r="F238" t="inlineStr">
        <is>
          <t>SCA</t>
        </is>
      </c>
      <c r="G238" t="n">
        <v>3.3</v>
      </c>
      <c r="H238" t="n">
        <v>0</v>
      </c>
      <c r="I238" t="n">
        <v>0</v>
      </c>
      <c r="J238" t="n">
        <v>1</v>
      </c>
      <c r="K238" t="n">
        <v>0</v>
      </c>
      <c r="L238" t="n">
        <v>0</v>
      </c>
      <c r="M238" t="n">
        <v>0</v>
      </c>
      <c r="N238" t="n">
        <v>0</v>
      </c>
      <c r="O238" t="n">
        <v>1</v>
      </c>
      <c r="P238" t="n">
        <v>0</v>
      </c>
      <c r="Q238" t="n">
        <v>1</v>
      </c>
      <c r="R238" s="2" t="inlineStr">
        <is>
          <t>Lunglav</t>
        </is>
      </c>
      <c r="S238">
        <f>HYPERLINK("https://klasma.github.io/Logging_2303/artfynd/A 57478-2025 artfynd.xlsx", "A 57478-2025")</f>
        <v/>
      </c>
      <c r="T238">
        <f>HYPERLINK("https://klasma.github.io/Logging_2303/kartor/A 57478-2025 karta.png", "A 57478-2025")</f>
        <v/>
      </c>
      <c r="V238">
        <f>HYPERLINK("https://klasma.github.io/Logging_2303/klagomål/A 57478-2025 FSC-klagomål.docx", "A 57478-2025")</f>
        <v/>
      </c>
      <c r="W238">
        <f>HYPERLINK("https://klasma.github.io/Logging_2303/klagomålsmail/A 57478-2025 FSC-klagomål mail.docx", "A 57478-2025")</f>
        <v/>
      </c>
      <c r="X238">
        <f>HYPERLINK("https://klasma.github.io/Logging_2303/tillsyn/A 57478-2025 tillsynsbegäran.docx", "A 57478-2025")</f>
        <v/>
      </c>
      <c r="Y238">
        <f>HYPERLINK("https://klasma.github.io/Logging_2303/tillsynsmail/A 57478-2025 tillsynsbegäran mail.docx", "A 57478-2025")</f>
        <v/>
      </c>
    </row>
    <row r="239" ht="15" customHeight="1">
      <c r="A239" t="inlineStr">
        <is>
          <t>A 26322-2024</t>
        </is>
      </c>
      <c r="B239" s="1" t="n">
        <v>45468.97461805555</v>
      </c>
      <c r="C239" s="1" t="n">
        <v>46090</v>
      </c>
      <c r="D239" t="inlineStr">
        <is>
          <t>JÄMTLANDS LÄN</t>
        </is>
      </c>
      <c r="E239" t="inlineStr">
        <is>
          <t>RAGUNDA</t>
        </is>
      </c>
      <c r="F239" t="inlineStr">
        <is>
          <t>SCA</t>
        </is>
      </c>
      <c r="G239" t="n">
        <v>9.6</v>
      </c>
      <c r="H239" t="n">
        <v>0</v>
      </c>
      <c r="I239" t="n">
        <v>0</v>
      </c>
      <c r="J239" t="n">
        <v>1</v>
      </c>
      <c r="K239" t="n">
        <v>0</v>
      </c>
      <c r="L239" t="n">
        <v>0</v>
      </c>
      <c r="M239" t="n">
        <v>0</v>
      </c>
      <c r="N239" t="n">
        <v>0</v>
      </c>
      <c r="O239" t="n">
        <v>1</v>
      </c>
      <c r="P239" t="n">
        <v>0</v>
      </c>
      <c r="Q239" t="n">
        <v>1</v>
      </c>
      <c r="R239" s="2" t="inlineStr">
        <is>
          <t>Rosenticka</t>
        </is>
      </c>
      <c r="S239">
        <f>HYPERLINK("https://klasma.github.io/Logging_2303/artfynd/A 26322-2024 artfynd.xlsx", "A 26322-2024")</f>
        <v/>
      </c>
      <c r="T239">
        <f>HYPERLINK("https://klasma.github.io/Logging_2303/kartor/A 26322-2024 karta.png", "A 26322-2024")</f>
        <v/>
      </c>
      <c r="U239">
        <f>HYPERLINK("https://klasma.github.io/Logging_2303/knärot/A 26322-2024 karta knärot.png", "A 26322-2024")</f>
        <v/>
      </c>
      <c r="V239">
        <f>HYPERLINK("https://klasma.github.io/Logging_2303/klagomål/A 26322-2024 FSC-klagomål.docx", "A 26322-2024")</f>
        <v/>
      </c>
      <c r="W239">
        <f>HYPERLINK("https://klasma.github.io/Logging_2303/klagomålsmail/A 26322-2024 FSC-klagomål mail.docx", "A 26322-2024")</f>
        <v/>
      </c>
      <c r="X239">
        <f>HYPERLINK("https://klasma.github.io/Logging_2303/tillsyn/A 26322-2024 tillsynsbegäran.docx", "A 26322-2024")</f>
        <v/>
      </c>
      <c r="Y239">
        <f>HYPERLINK("https://klasma.github.io/Logging_2303/tillsynsmail/A 26322-2024 tillsynsbegäran mail.docx", "A 26322-2024")</f>
        <v/>
      </c>
    </row>
    <row r="240" ht="15" customHeight="1">
      <c r="A240" t="inlineStr">
        <is>
          <t>A 58990-2025</t>
        </is>
      </c>
      <c r="B240" s="1" t="n">
        <v>45987</v>
      </c>
      <c r="C240" s="1" t="n">
        <v>46090</v>
      </c>
      <c r="D240" t="inlineStr">
        <is>
          <t>JÄMTLANDS LÄN</t>
        </is>
      </c>
      <c r="E240" t="inlineStr">
        <is>
          <t>RAGUNDA</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58990-2025 artfynd.xlsx", "A 58990-2025")</f>
        <v/>
      </c>
      <c r="T240">
        <f>HYPERLINK("https://klasma.github.io/Logging_2303/kartor/A 58990-2025 karta.png", "A 58990-2025")</f>
        <v/>
      </c>
      <c r="V240">
        <f>HYPERLINK("https://klasma.github.io/Logging_2303/klagomål/A 58990-2025 FSC-klagomål.docx", "A 58990-2025")</f>
        <v/>
      </c>
      <c r="W240">
        <f>HYPERLINK("https://klasma.github.io/Logging_2303/klagomålsmail/A 58990-2025 FSC-klagomål mail.docx", "A 58990-2025")</f>
        <v/>
      </c>
      <c r="X240">
        <f>HYPERLINK("https://klasma.github.io/Logging_2303/tillsyn/A 58990-2025 tillsynsbegäran.docx", "A 58990-2025")</f>
        <v/>
      </c>
      <c r="Y240">
        <f>HYPERLINK("https://klasma.github.io/Logging_2303/tillsynsmail/A 58990-2025 tillsynsbegäran mail.docx", "A 58990-2025")</f>
        <v/>
      </c>
      <c r="Z240">
        <f>HYPERLINK("https://klasma.github.io/Logging_2303/fåglar/A 58990-2025 prioriterade fågelarter.docx", "A 58990-2025")</f>
        <v/>
      </c>
    </row>
    <row r="241" ht="15" customHeight="1">
      <c r="A241" t="inlineStr">
        <is>
          <t>A 2097-2026</t>
        </is>
      </c>
      <c r="B241" s="1" t="n">
        <v>46036.36556712963</v>
      </c>
      <c r="C241" s="1" t="n">
        <v>46090</v>
      </c>
      <c r="D241" t="inlineStr">
        <is>
          <t>JÄMTLANDS LÄN</t>
        </is>
      </c>
      <c r="E241" t="inlineStr">
        <is>
          <t>RAGUNDA</t>
        </is>
      </c>
      <c r="F241" t="inlineStr">
        <is>
          <t>SCA</t>
        </is>
      </c>
      <c r="G241" t="n">
        <v>0.9</v>
      </c>
      <c r="H241" t="n">
        <v>0</v>
      </c>
      <c r="I241" t="n">
        <v>0</v>
      </c>
      <c r="J241" t="n">
        <v>0</v>
      </c>
      <c r="K241" t="n">
        <v>0</v>
      </c>
      <c r="L241" t="n">
        <v>1</v>
      </c>
      <c r="M241" t="n">
        <v>0</v>
      </c>
      <c r="N241" t="n">
        <v>0</v>
      </c>
      <c r="O241" t="n">
        <v>1</v>
      </c>
      <c r="P241" t="n">
        <v>1</v>
      </c>
      <c r="Q241" t="n">
        <v>1</v>
      </c>
      <c r="R241" s="2" t="inlineStr">
        <is>
          <t>Trolldruvemätare</t>
        </is>
      </c>
      <c r="S241">
        <f>HYPERLINK("https://klasma.github.io/Logging_2303/artfynd/A 2097-2026 artfynd.xlsx", "A 2097-2026")</f>
        <v/>
      </c>
      <c r="T241">
        <f>HYPERLINK("https://klasma.github.io/Logging_2303/kartor/A 2097-2026 karta.png", "A 2097-2026")</f>
        <v/>
      </c>
      <c r="V241">
        <f>HYPERLINK("https://klasma.github.io/Logging_2303/klagomål/A 2097-2026 FSC-klagomål.docx", "A 2097-2026")</f>
        <v/>
      </c>
      <c r="W241">
        <f>HYPERLINK("https://klasma.github.io/Logging_2303/klagomålsmail/A 2097-2026 FSC-klagomål mail.docx", "A 2097-2026")</f>
        <v/>
      </c>
      <c r="X241">
        <f>HYPERLINK("https://klasma.github.io/Logging_2303/tillsyn/A 2097-2026 tillsynsbegäran.docx", "A 2097-2026")</f>
        <v/>
      </c>
      <c r="Y241">
        <f>HYPERLINK("https://klasma.github.io/Logging_2303/tillsynsmail/A 2097-2026 tillsynsbegäran mail.docx", "A 2097-2026")</f>
        <v/>
      </c>
    </row>
    <row r="242" ht="15" customHeight="1">
      <c r="A242" t="inlineStr">
        <is>
          <t>A 29921-2024</t>
        </is>
      </c>
      <c r="B242" s="1" t="n">
        <v>45487.92863425926</v>
      </c>
      <c r="C242" s="1" t="n">
        <v>46090</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30485-2024</t>
        </is>
      </c>
      <c r="B243" s="1" t="n">
        <v>45491.95008101852</v>
      </c>
      <c r="C243" s="1" t="n">
        <v>46090</v>
      </c>
      <c r="D243" t="inlineStr">
        <is>
          <t>JÄMTLANDS LÄN</t>
        </is>
      </c>
      <c r="E243" t="inlineStr">
        <is>
          <t>RAGUNDA</t>
        </is>
      </c>
      <c r="F243" t="inlineStr">
        <is>
          <t>SCA</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HYPERLINK("https://klasma.github.io/Logging_2303/artfynd/A 30485-2024 artfynd.xlsx", "A 30485-2024")</f>
        <v/>
      </c>
      <c r="T243">
        <f>HYPERLINK("https://klasma.github.io/Logging_2303/kartor/A 30485-2024 karta.png", "A 30485-2024")</f>
        <v/>
      </c>
      <c r="V243">
        <f>HYPERLINK("https://klasma.github.io/Logging_2303/klagomål/A 30485-2024 FSC-klagomål.docx", "A 30485-2024")</f>
        <v/>
      </c>
      <c r="W243">
        <f>HYPERLINK("https://klasma.github.io/Logging_2303/klagomålsmail/A 30485-2024 FSC-klagomål mail.docx", "A 30485-2024")</f>
        <v/>
      </c>
      <c r="X243">
        <f>HYPERLINK("https://klasma.github.io/Logging_2303/tillsyn/A 30485-2024 tillsynsbegäran.docx", "A 30485-2024")</f>
        <v/>
      </c>
      <c r="Y243">
        <f>HYPERLINK("https://klasma.github.io/Logging_2303/tillsynsmail/A 30485-2024 tillsynsbegäran mail.docx", "A 30485-2024")</f>
        <v/>
      </c>
    </row>
    <row r="244" ht="15" customHeight="1">
      <c r="A244" t="inlineStr">
        <is>
          <t>A 48477-2023</t>
        </is>
      </c>
      <c r="B244" s="1" t="n">
        <v>45206</v>
      </c>
      <c r="C244" s="1" t="n">
        <v>46090</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16724-2025</t>
        </is>
      </c>
      <c r="B245" s="1" t="n">
        <v>45754.51064814815</v>
      </c>
      <c r="C245" s="1" t="n">
        <v>46090</v>
      </c>
      <c r="D245" t="inlineStr">
        <is>
          <t>JÄMTLANDS LÄN</t>
        </is>
      </c>
      <c r="E245" t="inlineStr">
        <is>
          <t>RAGUNDA</t>
        </is>
      </c>
      <c r="G245" t="n">
        <v>3.5</v>
      </c>
      <c r="H245" t="n">
        <v>0</v>
      </c>
      <c r="I245" t="n">
        <v>0</v>
      </c>
      <c r="J245" t="n">
        <v>1</v>
      </c>
      <c r="K245" t="n">
        <v>0</v>
      </c>
      <c r="L245" t="n">
        <v>0</v>
      </c>
      <c r="M245" t="n">
        <v>0</v>
      </c>
      <c r="N245" t="n">
        <v>0</v>
      </c>
      <c r="O245" t="n">
        <v>1</v>
      </c>
      <c r="P245" t="n">
        <v>0</v>
      </c>
      <c r="Q245" t="n">
        <v>1</v>
      </c>
      <c r="R245" s="2" t="inlineStr">
        <is>
          <t>Kolflarnlav</t>
        </is>
      </c>
      <c r="S245">
        <f>HYPERLINK("https://klasma.github.io/Logging_2303/artfynd/A 16724-2025 artfynd.xlsx", "A 16724-2025")</f>
        <v/>
      </c>
      <c r="T245">
        <f>HYPERLINK("https://klasma.github.io/Logging_2303/kartor/A 16724-2025 karta.png", "A 16724-2025")</f>
        <v/>
      </c>
      <c r="V245">
        <f>HYPERLINK("https://klasma.github.io/Logging_2303/klagomål/A 16724-2025 FSC-klagomål.docx", "A 16724-2025")</f>
        <v/>
      </c>
      <c r="W245">
        <f>HYPERLINK("https://klasma.github.io/Logging_2303/klagomålsmail/A 16724-2025 FSC-klagomål mail.docx", "A 16724-2025")</f>
        <v/>
      </c>
      <c r="X245">
        <f>HYPERLINK("https://klasma.github.io/Logging_2303/tillsyn/A 16724-2025 tillsynsbegäran.docx", "A 16724-2025")</f>
        <v/>
      </c>
      <c r="Y245">
        <f>HYPERLINK("https://klasma.github.io/Logging_2303/tillsynsmail/A 16724-2025 tillsynsbegäran mail.docx", "A 16724-2025")</f>
        <v/>
      </c>
    </row>
    <row r="246" ht="15" customHeight="1">
      <c r="A246" t="inlineStr">
        <is>
          <t>A 49770-2024</t>
        </is>
      </c>
      <c r="B246" s="1" t="n">
        <v>45597.34461805555</v>
      </c>
      <c r="C246" s="1" t="n">
        <v>46090</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22054-2025</t>
        </is>
      </c>
      <c r="B247" s="1" t="n">
        <v>45785.36525462963</v>
      </c>
      <c r="C247" s="1" t="n">
        <v>46090</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4157-2026</t>
        </is>
      </c>
      <c r="B248" s="1" t="n">
        <v>46044.65694444445</v>
      </c>
      <c r="C248" s="1" t="n">
        <v>46090</v>
      </c>
      <c r="D248" t="inlineStr">
        <is>
          <t>JÄMTLANDS LÄN</t>
        </is>
      </c>
      <c r="E248" t="inlineStr">
        <is>
          <t>RAGUNDA</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HYPERLINK("https://klasma.github.io/Logging_2303/artfynd/A 4157-2026 artfynd.xlsx", "A 4157-2026")</f>
        <v/>
      </c>
      <c r="T248">
        <f>HYPERLINK("https://klasma.github.io/Logging_2303/kartor/A 4157-2026 karta.png", "A 4157-2026")</f>
        <v/>
      </c>
      <c r="V248">
        <f>HYPERLINK("https://klasma.github.io/Logging_2303/klagomål/A 4157-2026 FSC-klagomål.docx", "A 4157-2026")</f>
        <v/>
      </c>
      <c r="W248">
        <f>HYPERLINK("https://klasma.github.io/Logging_2303/klagomålsmail/A 4157-2026 FSC-klagomål mail.docx", "A 4157-2026")</f>
        <v/>
      </c>
      <c r="X248">
        <f>HYPERLINK("https://klasma.github.io/Logging_2303/tillsyn/A 4157-2026 tillsynsbegäran.docx", "A 4157-2026")</f>
        <v/>
      </c>
      <c r="Y248">
        <f>HYPERLINK("https://klasma.github.io/Logging_2303/tillsynsmail/A 4157-2026 tillsynsbegäran mail.docx", "A 4157-2026")</f>
        <v/>
      </c>
    </row>
    <row r="249" ht="15" customHeight="1">
      <c r="A249" t="inlineStr">
        <is>
          <t>A 61324-2024</t>
        </is>
      </c>
      <c r="B249" s="1" t="n">
        <v>45646.34438657408</v>
      </c>
      <c r="C249" s="1" t="n">
        <v>46090</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32069-2024</t>
        </is>
      </c>
      <c r="B250" s="1" t="n">
        <v>45510</v>
      </c>
      <c r="C250" s="1" t="n">
        <v>46090</v>
      </c>
      <c r="D250" t="inlineStr">
        <is>
          <t>JÄMTLANDS LÄN</t>
        </is>
      </c>
      <c r="E250" t="inlineStr">
        <is>
          <t>RAGUNDA</t>
        </is>
      </c>
      <c r="F250" t="inlineStr">
        <is>
          <t>SCA</t>
        </is>
      </c>
      <c r="G250" t="n">
        <v>1.8</v>
      </c>
      <c r="H250" t="n">
        <v>0</v>
      </c>
      <c r="I250" t="n">
        <v>0</v>
      </c>
      <c r="J250" t="n">
        <v>1</v>
      </c>
      <c r="K250" t="n">
        <v>0</v>
      </c>
      <c r="L250" t="n">
        <v>0</v>
      </c>
      <c r="M250" t="n">
        <v>0</v>
      </c>
      <c r="N250" t="n">
        <v>0</v>
      </c>
      <c r="O250" t="n">
        <v>1</v>
      </c>
      <c r="P250" t="n">
        <v>0</v>
      </c>
      <c r="Q250" t="n">
        <v>1</v>
      </c>
      <c r="R250" s="2" t="inlineStr">
        <is>
          <t>Lunglav</t>
        </is>
      </c>
      <c r="S250">
        <f>HYPERLINK("https://klasma.github.io/Logging_2303/artfynd/A 32069-2024 artfynd.xlsx", "A 32069-2024")</f>
        <v/>
      </c>
      <c r="T250">
        <f>HYPERLINK("https://klasma.github.io/Logging_2303/kartor/A 32069-2024 karta.png", "A 32069-2024")</f>
        <v/>
      </c>
      <c r="V250">
        <f>HYPERLINK("https://klasma.github.io/Logging_2303/klagomål/A 32069-2024 FSC-klagomål.docx", "A 32069-2024")</f>
        <v/>
      </c>
      <c r="W250">
        <f>HYPERLINK("https://klasma.github.io/Logging_2303/klagomålsmail/A 32069-2024 FSC-klagomål mail.docx", "A 32069-2024")</f>
        <v/>
      </c>
      <c r="X250">
        <f>HYPERLINK("https://klasma.github.io/Logging_2303/tillsyn/A 32069-2024 tillsynsbegäran.docx", "A 32069-2024")</f>
        <v/>
      </c>
      <c r="Y250">
        <f>HYPERLINK("https://klasma.github.io/Logging_2303/tillsynsmail/A 32069-2024 tillsynsbegäran mail.docx", "A 32069-2024")</f>
        <v/>
      </c>
    </row>
    <row r="251" ht="15" customHeight="1">
      <c r="A251" t="inlineStr">
        <is>
          <t>A 19751-2025</t>
        </is>
      </c>
      <c r="B251" s="1" t="n">
        <v>45771.3859837963</v>
      </c>
      <c r="C251" s="1" t="n">
        <v>46090</v>
      </c>
      <c r="D251" t="inlineStr">
        <is>
          <t>JÄMTLANDS LÄN</t>
        </is>
      </c>
      <c r="E251" t="inlineStr">
        <is>
          <t>RAGUNDA</t>
        </is>
      </c>
      <c r="F251" t="inlineStr">
        <is>
          <t>SCA</t>
        </is>
      </c>
      <c r="G251" t="n">
        <v>1.1</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19751-2025 artfynd.xlsx", "A 19751-2025")</f>
        <v/>
      </c>
      <c r="T251">
        <f>HYPERLINK("https://klasma.github.io/Logging_2303/kartor/A 19751-2025 karta.png", "A 19751-2025")</f>
        <v/>
      </c>
      <c r="V251">
        <f>HYPERLINK("https://klasma.github.io/Logging_2303/klagomål/A 19751-2025 FSC-klagomål.docx", "A 19751-2025")</f>
        <v/>
      </c>
      <c r="W251">
        <f>HYPERLINK("https://klasma.github.io/Logging_2303/klagomålsmail/A 19751-2025 FSC-klagomål mail.docx", "A 19751-2025")</f>
        <v/>
      </c>
      <c r="X251">
        <f>HYPERLINK("https://klasma.github.io/Logging_2303/tillsyn/A 19751-2025 tillsynsbegäran.docx", "A 19751-2025")</f>
        <v/>
      </c>
      <c r="Y251">
        <f>HYPERLINK("https://klasma.github.io/Logging_2303/tillsynsmail/A 19751-2025 tillsynsbegäran mail.docx", "A 19751-2025")</f>
        <v/>
      </c>
      <c r="Z251">
        <f>HYPERLINK("https://klasma.github.io/Logging_2303/fåglar/A 19751-2025 prioriterade fågelarter.docx", "A 19751-2025")</f>
        <v/>
      </c>
    </row>
    <row r="252" ht="15" customHeight="1">
      <c r="A252" t="inlineStr">
        <is>
          <t>A 19387-2025</t>
        </is>
      </c>
      <c r="B252" s="1" t="n">
        <v>45769.65736111111</v>
      </c>
      <c r="C252" s="1" t="n">
        <v>46090</v>
      </c>
      <c r="D252" t="inlineStr">
        <is>
          <t>JÄMTLANDS LÄN</t>
        </is>
      </c>
      <c r="E252" t="inlineStr">
        <is>
          <t>RAGUNDA</t>
        </is>
      </c>
      <c r="F252" t="inlineStr">
        <is>
          <t>SCA</t>
        </is>
      </c>
      <c r="G252" t="n">
        <v>16.4</v>
      </c>
      <c r="H252" t="n">
        <v>1</v>
      </c>
      <c r="I252" t="n">
        <v>0</v>
      </c>
      <c r="J252" t="n">
        <v>0</v>
      </c>
      <c r="K252" t="n">
        <v>1</v>
      </c>
      <c r="L252" t="n">
        <v>0</v>
      </c>
      <c r="M252" t="n">
        <v>0</v>
      </c>
      <c r="N252" t="n">
        <v>0</v>
      </c>
      <c r="O252" t="n">
        <v>1</v>
      </c>
      <c r="P252" t="n">
        <v>1</v>
      </c>
      <c r="Q252" t="n">
        <v>1</v>
      </c>
      <c r="R252" s="2" t="inlineStr">
        <is>
          <t>Norna</t>
        </is>
      </c>
      <c r="S252">
        <f>HYPERLINK("https://klasma.github.io/Logging_2303/artfynd/A 19387-2025 artfynd.xlsx", "A 19387-2025")</f>
        <v/>
      </c>
      <c r="T252">
        <f>HYPERLINK("https://klasma.github.io/Logging_2303/kartor/A 19387-2025 karta.png", "A 19387-2025")</f>
        <v/>
      </c>
      <c r="V252">
        <f>HYPERLINK("https://klasma.github.io/Logging_2303/klagomål/A 19387-2025 FSC-klagomål.docx", "A 19387-2025")</f>
        <v/>
      </c>
      <c r="W252">
        <f>HYPERLINK("https://klasma.github.io/Logging_2303/klagomålsmail/A 19387-2025 FSC-klagomål mail.docx", "A 19387-2025")</f>
        <v/>
      </c>
      <c r="X252">
        <f>HYPERLINK("https://klasma.github.io/Logging_2303/tillsyn/A 19387-2025 tillsynsbegäran.docx", "A 19387-2025")</f>
        <v/>
      </c>
      <c r="Y252">
        <f>HYPERLINK("https://klasma.github.io/Logging_2303/tillsynsmail/A 19387-2025 tillsynsbegäran mail.docx", "A 19387-2025")</f>
        <v/>
      </c>
    </row>
    <row r="253" ht="15" customHeight="1">
      <c r="A253" t="inlineStr">
        <is>
          <t>A 2929-2024</t>
        </is>
      </c>
      <c r="B253" s="1" t="n">
        <v>45315</v>
      </c>
      <c r="C253" s="1" t="n">
        <v>46090</v>
      </c>
      <c r="D253" t="inlineStr">
        <is>
          <t>JÄMTLANDS LÄN</t>
        </is>
      </c>
      <c r="E253" t="inlineStr">
        <is>
          <t>RAGUNDA</t>
        </is>
      </c>
      <c r="G253" t="n">
        <v>1</v>
      </c>
      <c r="H253" t="n">
        <v>0</v>
      </c>
      <c r="I253" t="n">
        <v>0</v>
      </c>
      <c r="J253" t="n">
        <v>1</v>
      </c>
      <c r="K253" t="n">
        <v>0</v>
      </c>
      <c r="L253" t="n">
        <v>0</v>
      </c>
      <c r="M253" t="n">
        <v>0</v>
      </c>
      <c r="N253" t="n">
        <v>0</v>
      </c>
      <c r="O253" t="n">
        <v>1</v>
      </c>
      <c r="P253" t="n">
        <v>0</v>
      </c>
      <c r="Q253" t="n">
        <v>1</v>
      </c>
      <c r="R253" s="2" t="inlineStr">
        <is>
          <t>Klådris</t>
        </is>
      </c>
      <c r="S253">
        <f>HYPERLINK("https://klasma.github.io/Logging_2303/artfynd/A 2929-2024 artfynd.xlsx", "A 2929-2024")</f>
        <v/>
      </c>
      <c r="T253">
        <f>HYPERLINK("https://klasma.github.io/Logging_2303/kartor/A 2929-2024 karta.png", "A 2929-2024")</f>
        <v/>
      </c>
      <c r="V253">
        <f>HYPERLINK("https://klasma.github.io/Logging_2303/klagomål/A 2929-2024 FSC-klagomål.docx", "A 2929-2024")</f>
        <v/>
      </c>
      <c r="W253">
        <f>HYPERLINK("https://klasma.github.io/Logging_2303/klagomålsmail/A 2929-2024 FSC-klagomål mail.docx", "A 2929-2024")</f>
        <v/>
      </c>
      <c r="X253">
        <f>HYPERLINK("https://klasma.github.io/Logging_2303/tillsyn/A 2929-2024 tillsynsbegäran.docx", "A 2929-2024")</f>
        <v/>
      </c>
      <c r="Y253">
        <f>HYPERLINK("https://klasma.github.io/Logging_2303/tillsynsmail/A 2929-2024 tillsynsbegäran mail.docx", "A 2929-2024")</f>
        <v/>
      </c>
    </row>
    <row r="254" ht="15" customHeight="1">
      <c r="A254" t="inlineStr">
        <is>
          <t>A 58846-2024</t>
        </is>
      </c>
      <c r="B254" s="1" t="n">
        <v>45636.3863425926</v>
      </c>
      <c r="C254" s="1" t="n">
        <v>46090</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36854-2023</t>
        </is>
      </c>
      <c r="B255" s="1" t="n">
        <v>45153</v>
      </c>
      <c r="C255" s="1" t="n">
        <v>46090</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18985-2023</t>
        </is>
      </c>
      <c r="B256" s="1" t="n">
        <v>45044</v>
      </c>
      <c r="C256" s="1" t="n">
        <v>46090</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35750-2023</t>
        </is>
      </c>
      <c r="B257" s="1" t="n">
        <v>45147</v>
      </c>
      <c r="C257" s="1" t="n">
        <v>46090</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62072-2023</t>
        </is>
      </c>
      <c r="B258" s="1" t="n">
        <v>45266</v>
      </c>
      <c r="C258" s="1" t="n">
        <v>46090</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Lappuggla</t>
        </is>
      </c>
      <c r="S258">
        <f>HYPERLINK("https://klasma.github.io/Logging_2303/artfynd/A 62072-2023 artfynd.xlsx", "A 62072-2023")</f>
        <v/>
      </c>
      <c r="T258">
        <f>HYPERLINK("https://klasma.github.io/Logging_2303/kartor/A 62072-2023 karta.png", "A 62072-2023")</f>
        <v/>
      </c>
      <c r="V258">
        <f>HYPERLINK("https://klasma.github.io/Logging_2303/klagomål/A 62072-2023 FSC-klagomål.docx", "A 62072-2023")</f>
        <v/>
      </c>
      <c r="W258">
        <f>HYPERLINK("https://klasma.github.io/Logging_2303/klagomålsmail/A 62072-2023 FSC-klagomål mail.docx", "A 62072-2023")</f>
        <v/>
      </c>
      <c r="X258">
        <f>HYPERLINK("https://klasma.github.io/Logging_2303/tillsyn/A 62072-2023 tillsynsbegäran.docx", "A 62072-2023")</f>
        <v/>
      </c>
      <c r="Y258">
        <f>HYPERLINK("https://klasma.github.io/Logging_2303/tillsynsmail/A 62072-2023 tillsynsbegäran mail.docx", "A 62072-2023")</f>
        <v/>
      </c>
      <c r="Z258">
        <f>HYPERLINK("https://klasma.github.io/Logging_2303/fåglar/A 62072-2023 prioriterade fågelarter.docx", "A 62072-2023")</f>
        <v/>
      </c>
    </row>
    <row r="259" ht="15" customHeight="1">
      <c r="A259" t="inlineStr">
        <is>
          <t>A 20774-2024</t>
        </is>
      </c>
      <c r="B259" s="1" t="n">
        <v>45436.94644675926</v>
      </c>
      <c r="C259" s="1" t="n">
        <v>46090</v>
      </c>
      <c r="D259" t="inlineStr">
        <is>
          <t>JÄMTLANDS LÄN</t>
        </is>
      </c>
      <c r="E259" t="inlineStr">
        <is>
          <t>RAGUNDA</t>
        </is>
      </c>
      <c r="F259" t="inlineStr">
        <is>
          <t>SCA</t>
        </is>
      </c>
      <c r="G259" t="n">
        <v>2.3</v>
      </c>
      <c r="H259" t="n">
        <v>0</v>
      </c>
      <c r="I259" t="n">
        <v>1</v>
      </c>
      <c r="J259" t="n">
        <v>0</v>
      </c>
      <c r="K259" t="n">
        <v>0</v>
      </c>
      <c r="L259" t="n">
        <v>0</v>
      </c>
      <c r="M259" t="n">
        <v>0</v>
      </c>
      <c r="N259" t="n">
        <v>0</v>
      </c>
      <c r="O259" t="n">
        <v>0</v>
      </c>
      <c r="P259" t="n">
        <v>0</v>
      </c>
      <c r="Q259" t="n">
        <v>1</v>
      </c>
      <c r="R259" s="2" t="inlineStr">
        <is>
          <t>Fjällig taggsvamp s.str.</t>
        </is>
      </c>
      <c r="S259">
        <f>HYPERLINK("https://klasma.github.io/Logging_2303/artfynd/A 20774-2024 artfynd.xlsx", "A 20774-2024")</f>
        <v/>
      </c>
      <c r="T259">
        <f>HYPERLINK("https://klasma.github.io/Logging_2303/kartor/A 20774-2024 karta.png", "A 20774-2024")</f>
        <v/>
      </c>
      <c r="V259">
        <f>HYPERLINK("https://klasma.github.io/Logging_2303/klagomål/A 20774-2024 FSC-klagomål.docx", "A 20774-2024")</f>
        <v/>
      </c>
      <c r="W259">
        <f>HYPERLINK("https://klasma.github.io/Logging_2303/klagomålsmail/A 20774-2024 FSC-klagomål mail.docx", "A 20774-2024")</f>
        <v/>
      </c>
      <c r="X259">
        <f>HYPERLINK("https://klasma.github.io/Logging_2303/tillsyn/A 20774-2024 tillsynsbegäran.docx", "A 20774-2024")</f>
        <v/>
      </c>
      <c r="Y259">
        <f>HYPERLINK("https://klasma.github.io/Logging_2303/tillsynsmail/A 20774-2024 tillsynsbegäran mail.docx", "A 20774-2024")</f>
        <v/>
      </c>
    </row>
    <row r="260" ht="15" customHeight="1">
      <c r="A260" t="inlineStr">
        <is>
          <t>A 36757-2023</t>
        </is>
      </c>
      <c r="B260" s="1" t="n">
        <v>45153</v>
      </c>
      <c r="C260" s="1" t="n">
        <v>46090</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21212-2025</t>
        </is>
      </c>
      <c r="B261" s="1" t="n">
        <v>45779.48993055556</v>
      </c>
      <c r="C261" s="1" t="n">
        <v>46090</v>
      </c>
      <c r="D261" t="inlineStr">
        <is>
          <t>JÄMTLANDS LÄN</t>
        </is>
      </c>
      <c r="E261" t="inlineStr">
        <is>
          <t>RAGUNDA</t>
        </is>
      </c>
      <c r="F261" t="inlineStr">
        <is>
          <t>SCA</t>
        </is>
      </c>
      <c r="G261" t="n">
        <v>2.6</v>
      </c>
      <c r="H261" t="n">
        <v>0</v>
      </c>
      <c r="I261" t="n">
        <v>0</v>
      </c>
      <c r="J261" t="n">
        <v>1</v>
      </c>
      <c r="K261" t="n">
        <v>0</v>
      </c>
      <c r="L261" t="n">
        <v>0</v>
      </c>
      <c r="M261" t="n">
        <v>0</v>
      </c>
      <c r="N261" t="n">
        <v>0</v>
      </c>
      <c r="O261" t="n">
        <v>1</v>
      </c>
      <c r="P261" t="n">
        <v>0</v>
      </c>
      <c r="Q261" t="n">
        <v>1</v>
      </c>
      <c r="R261" s="2" t="inlineStr">
        <is>
          <t>Garnlav</t>
        </is>
      </c>
      <c r="S261">
        <f>HYPERLINK("https://klasma.github.io/Logging_2303/artfynd/A 21212-2025 artfynd.xlsx", "A 21212-2025")</f>
        <v/>
      </c>
      <c r="T261">
        <f>HYPERLINK("https://klasma.github.io/Logging_2303/kartor/A 21212-2025 karta.png", "A 21212-2025")</f>
        <v/>
      </c>
      <c r="V261">
        <f>HYPERLINK("https://klasma.github.io/Logging_2303/klagomål/A 21212-2025 FSC-klagomål.docx", "A 21212-2025")</f>
        <v/>
      </c>
      <c r="W261">
        <f>HYPERLINK("https://klasma.github.io/Logging_2303/klagomålsmail/A 21212-2025 FSC-klagomål mail.docx", "A 21212-2025")</f>
        <v/>
      </c>
      <c r="X261">
        <f>HYPERLINK("https://klasma.github.io/Logging_2303/tillsyn/A 21212-2025 tillsynsbegäran.docx", "A 21212-2025")</f>
        <v/>
      </c>
      <c r="Y261">
        <f>HYPERLINK("https://klasma.github.io/Logging_2303/tillsynsmail/A 21212-2025 tillsynsbegäran mail.docx", "A 21212-2025")</f>
        <v/>
      </c>
    </row>
    <row r="262" ht="15" customHeight="1">
      <c r="A262" t="inlineStr">
        <is>
          <t>A 44066-2024</t>
        </is>
      </c>
      <c r="B262" s="1" t="n">
        <v>45572.60363425926</v>
      </c>
      <c r="C262" s="1" t="n">
        <v>46090</v>
      </c>
      <c r="D262" t="inlineStr">
        <is>
          <t>JÄMTLANDS LÄN</t>
        </is>
      </c>
      <c r="E262" t="inlineStr">
        <is>
          <t>RAGUNDA</t>
        </is>
      </c>
      <c r="G262" t="n">
        <v>6.4</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44066-2024 artfynd.xlsx", "A 44066-2024")</f>
        <v/>
      </c>
      <c r="T262">
        <f>HYPERLINK("https://klasma.github.io/Logging_2303/kartor/A 44066-2024 karta.png", "A 44066-2024")</f>
        <v/>
      </c>
      <c r="V262">
        <f>HYPERLINK("https://klasma.github.io/Logging_2303/klagomål/A 44066-2024 FSC-klagomål.docx", "A 44066-2024")</f>
        <v/>
      </c>
      <c r="W262">
        <f>HYPERLINK("https://klasma.github.io/Logging_2303/klagomålsmail/A 44066-2024 FSC-klagomål mail.docx", "A 44066-2024")</f>
        <v/>
      </c>
      <c r="X262">
        <f>HYPERLINK("https://klasma.github.io/Logging_2303/tillsyn/A 44066-2024 tillsynsbegäran.docx", "A 44066-2024")</f>
        <v/>
      </c>
      <c r="Y262">
        <f>HYPERLINK("https://klasma.github.io/Logging_2303/tillsynsmail/A 44066-2024 tillsynsbegäran mail.docx", "A 44066-2024")</f>
        <v/>
      </c>
      <c r="Z262">
        <f>HYPERLINK("https://klasma.github.io/Logging_2303/fåglar/A 44066-2024 prioriterade fågelarter.docx", "A 44066-2024")</f>
        <v/>
      </c>
    </row>
    <row r="263" ht="15" customHeight="1">
      <c r="A263" t="inlineStr">
        <is>
          <t>A 46050-2022</t>
        </is>
      </c>
      <c r="B263" s="1" t="n">
        <v>44846</v>
      </c>
      <c r="C263" s="1" t="n">
        <v>46090</v>
      </c>
      <c r="D263" t="inlineStr">
        <is>
          <t>JÄMTLANDS LÄN</t>
        </is>
      </c>
      <c r="E263" t="inlineStr">
        <is>
          <t>RAGUNDA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66059-2021</t>
        </is>
      </c>
      <c r="B264" s="1" t="n">
        <v>44517</v>
      </c>
      <c r="C264" s="1" t="n">
        <v>46090</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46090</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46090</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39408-2022</t>
        </is>
      </c>
      <c r="B267" s="1" t="n">
        <v>44817</v>
      </c>
      <c r="C267" s="1" t="n">
        <v>46090</v>
      </c>
      <c r="D267" t="inlineStr">
        <is>
          <t>JÄMTLANDS LÄN</t>
        </is>
      </c>
      <c r="E267" t="inlineStr">
        <is>
          <t>RAGUNDA</t>
        </is>
      </c>
      <c r="F267" t="inlineStr">
        <is>
          <t>SCA</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46090</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46090</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46090</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59321-2021</t>
        </is>
      </c>
      <c r="B271" s="1" t="n">
        <v>44490.94109953703</v>
      </c>
      <c r="C271" s="1" t="n">
        <v>46090</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46090</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46090</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46090</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46090</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46090</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46090</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14776-2021</t>
        </is>
      </c>
      <c r="B278" s="1" t="n">
        <v>44280</v>
      </c>
      <c r="C278" s="1" t="n">
        <v>46090</v>
      </c>
      <c r="D278" t="inlineStr">
        <is>
          <t>JÄMTLANDS LÄN</t>
        </is>
      </c>
      <c r="E278" t="inlineStr">
        <is>
          <t>RAGUNDA</t>
        </is>
      </c>
      <c r="G278" t="n">
        <v>0.8</v>
      </c>
      <c r="H278" t="n">
        <v>0</v>
      </c>
      <c r="I278" t="n">
        <v>0</v>
      </c>
      <c r="J278" t="n">
        <v>0</v>
      </c>
      <c r="K278" t="n">
        <v>0</v>
      </c>
      <c r="L278" t="n">
        <v>0</v>
      </c>
      <c r="M278" t="n">
        <v>0</v>
      </c>
      <c r="N278" t="n">
        <v>0</v>
      </c>
      <c r="O278" t="n">
        <v>0</v>
      </c>
      <c r="P278" t="n">
        <v>0</v>
      </c>
      <c r="Q278" t="n">
        <v>0</v>
      </c>
      <c r="R278" s="2" t="inlineStr"/>
    </row>
    <row r="279" ht="15" customHeight="1">
      <c r="A279" t="inlineStr">
        <is>
          <t>A 35386-2021</t>
        </is>
      </c>
      <c r="B279" s="1" t="n">
        <v>44385.33887731482</v>
      </c>
      <c r="C279" s="1" t="n">
        <v>46090</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46090</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46047-2022</t>
        </is>
      </c>
      <c r="B281" s="1" t="n">
        <v>44846.9522337963</v>
      </c>
      <c r="C281" s="1" t="n">
        <v>46090</v>
      </c>
      <c r="D281" t="inlineStr">
        <is>
          <t>JÄMTLANDS LÄN</t>
        </is>
      </c>
      <c r="E281" t="inlineStr">
        <is>
          <t>RAGUNDA</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46090</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46090</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39693-2022</t>
        </is>
      </c>
      <c r="B284" s="1" t="n">
        <v>44818.94929398148</v>
      </c>
      <c r="C284" s="1" t="n">
        <v>46090</v>
      </c>
      <c r="D284" t="inlineStr">
        <is>
          <t>JÄMTLANDS LÄN</t>
        </is>
      </c>
      <c r="E284" t="inlineStr">
        <is>
          <t>RAGUNDA</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46090</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46090</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41609-2021</t>
        </is>
      </c>
      <c r="B287" s="1" t="n">
        <v>44425</v>
      </c>
      <c r="C287" s="1" t="n">
        <v>46090</v>
      </c>
      <c r="D287" t="inlineStr">
        <is>
          <t>JÄMTLANDS LÄN</t>
        </is>
      </c>
      <c r="E287" t="inlineStr">
        <is>
          <t>RAGUNDA</t>
        </is>
      </c>
      <c r="F287" t="inlineStr">
        <is>
          <t>Kommuner</t>
        </is>
      </c>
      <c r="G287" t="n">
        <v>2.8</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46090</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46090</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46090</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46090</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46090</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46090</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46090</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46090</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48538-2022</t>
        </is>
      </c>
      <c r="B296" s="1" t="n">
        <v>44858</v>
      </c>
      <c r="C296" s="1" t="n">
        <v>46090</v>
      </c>
      <c r="D296" t="inlineStr">
        <is>
          <t>JÄMTLANDS LÄN</t>
        </is>
      </c>
      <c r="E296" t="inlineStr">
        <is>
          <t>RAGUNDA</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48075-2022</t>
        </is>
      </c>
      <c r="B297" s="1" t="n">
        <v>44855</v>
      </c>
      <c r="C297" s="1" t="n">
        <v>46090</v>
      </c>
      <c r="D297" t="inlineStr">
        <is>
          <t>JÄMTLANDS LÄN</t>
        </is>
      </c>
      <c r="E297" t="inlineStr">
        <is>
          <t>RAGUNDA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46090</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46090</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46090</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46090</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46090</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46090</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46090</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46090</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46090</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46090</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46090</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46090</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46090</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46090</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46090</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46090</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46090</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46090</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46090</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46090</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46090</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46090</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46090</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46090</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46090</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46090</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46090</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46090</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46090</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46090</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46090</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46090</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46090</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46090</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46090</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46090</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46090</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46090</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46090</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46090</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46090</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46090</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46090</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46090</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46090</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46090</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46090</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46090</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46090</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46090</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46090</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46090</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46090</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46090</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46090</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46090</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46090</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46090</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46090</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46090</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46090</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46090</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46090</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46090</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46090</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46090</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46090</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46090</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46090</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46090</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46090</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46090</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46090</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46090</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46090</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46090</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46090</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46090</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46090</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46090</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46090</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46090</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46090</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46090</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46090</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46090</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46090</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46090</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46090</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46090</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46090</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46090</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46090</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46090</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46090</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46090</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46090</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46090</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46090</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46090</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46090</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46090</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26122-2022</t>
        </is>
      </c>
      <c r="B400" s="1" t="n">
        <v>44734.94193287037</v>
      </c>
      <c r="C400" s="1" t="n">
        <v>46090</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21193-2022</t>
        </is>
      </c>
      <c r="B401" s="1" t="n">
        <v>44704.94217592593</v>
      </c>
      <c r="C401" s="1" t="n">
        <v>46090</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46090</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58537-2022</t>
        </is>
      </c>
      <c r="B403" s="1" t="n">
        <v>44894</v>
      </c>
      <c r="C403" s="1" t="n">
        <v>46090</v>
      </c>
      <c r="D403" t="inlineStr">
        <is>
          <t>JÄMTLANDS LÄN</t>
        </is>
      </c>
      <c r="E403" t="inlineStr">
        <is>
          <t>RAGUNDA</t>
        </is>
      </c>
      <c r="G403" t="n">
        <v>1.2</v>
      </c>
      <c r="H403" t="n">
        <v>0</v>
      </c>
      <c r="I403" t="n">
        <v>0</v>
      </c>
      <c r="J403" t="n">
        <v>0</v>
      </c>
      <c r="K403" t="n">
        <v>0</v>
      </c>
      <c r="L403" t="n">
        <v>0</v>
      </c>
      <c r="M403" t="n">
        <v>0</v>
      </c>
      <c r="N403" t="n">
        <v>0</v>
      </c>
      <c r="O403" t="n">
        <v>0</v>
      </c>
      <c r="P403" t="n">
        <v>0</v>
      </c>
      <c r="Q403" t="n">
        <v>0</v>
      </c>
      <c r="R403" s="2" t="inlineStr"/>
    </row>
    <row r="404" ht="15" customHeight="1">
      <c r="A404" t="inlineStr">
        <is>
          <t>A 35153-2024</t>
        </is>
      </c>
      <c r="B404" s="1" t="n">
        <v>45530</v>
      </c>
      <c r="C404" s="1" t="n">
        <v>46090</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36246-2024</t>
        </is>
      </c>
      <c r="B405" s="1" t="n">
        <v>45534</v>
      </c>
      <c r="C405" s="1" t="n">
        <v>46090</v>
      </c>
      <c r="D405" t="inlineStr">
        <is>
          <t>JÄMTLANDS LÄN</t>
        </is>
      </c>
      <c r="E405" t="inlineStr">
        <is>
          <t>RAGUNDA</t>
        </is>
      </c>
      <c r="G405" t="n">
        <v>1.6</v>
      </c>
      <c r="H405" t="n">
        <v>0</v>
      </c>
      <c r="I405" t="n">
        <v>0</v>
      </c>
      <c r="J405" t="n">
        <v>0</v>
      </c>
      <c r="K405" t="n">
        <v>0</v>
      </c>
      <c r="L405" t="n">
        <v>0</v>
      </c>
      <c r="M405" t="n">
        <v>0</v>
      </c>
      <c r="N405" t="n">
        <v>0</v>
      </c>
      <c r="O405" t="n">
        <v>0</v>
      </c>
      <c r="P405" t="n">
        <v>0</v>
      </c>
      <c r="Q405" t="n">
        <v>0</v>
      </c>
      <c r="R405" s="2" t="inlineStr"/>
    </row>
    <row r="406" ht="15" customHeight="1">
      <c r="A406" t="inlineStr">
        <is>
          <t>A 24197-2024</t>
        </is>
      </c>
      <c r="B406" s="1" t="n">
        <v>45456.96601851852</v>
      </c>
      <c r="C406" s="1" t="n">
        <v>46090</v>
      </c>
      <c r="D406" t="inlineStr">
        <is>
          <t>JÄMTLANDS LÄN</t>
        </is>
      </c>
      <c r="E406" t="inlineStr">
        <is>
          <t>RAGUNDA</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24196-2024</t>
        </is>
      </c>
      <c r="B407" s="1" t="n">
        <v>45456.96569444444</v>
      </c>
      <c r="C407" s="1" t="n">
        <v>46090</v>
      </c>
      <c r="D407" t="inlineStr">
        <is>
          <t>JÄMTLANDS LÄN</t>
        </is>
      </c>
      <c r="E407" t="inlineStr">
        <is>
          <t>RAGUNDA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44630-2023</t>
        </is>
      </c>
      <c r="B408" s="1" t="n">
        <v>45184</v>
      </c>
      <c r="C408" s="1" t="n">
        <v>46090</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11558-2023</t>
        </is>
      </c>
      <c r="B409" s="1" t="n">
        <v>44993.94958333333</v>
      </c>
      <c r="C409" s="1" t="n">
        <v>46090</v>
      </c>
      <c r="D409" t="inlineStr">
        <is>
          <t>JÄMTLANDS LÄN</t>
        </is>
      </c>
      <c r="E409" t="inlineStr">
        <is>
          <t>RAGUNDA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5175-2023</t>
        </is>
      </c>
      <c r="B410" s="1" t="n">
        <v>44958.94298611111</v>
      </c>
      <c r="C410" s="1" t="n">
        <v>46090</v>
      </c>
      <c r="D410" t="inlineStr">
        <is>
          <t>JÄMTLANDS LÄN</t>
        </is>
      </c>
      <c r="E410" t="inlineStr">
        <is>
          <t>RAGUNDA</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46090</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45392.92903935185</v>
      </c>
      <c r="C412" s="1" t="n">
        <v>46090</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14896-2022</t>
        </is>
      </c>
      <c r="B413" s="1" t="n">
        <v>44656</v>
      </c>
      <c r="C413" s="1" t="n">
        <v>46090</v>
      </c>
      <c r="D413" t="inlineStr">
        <is>
          <t>JÄMTLANDS LÄN</t>
        </is>
      </c>
      <c r="E413" t="inlineStr">
        <is>
          <t>RAGUNDA</t>
        </is>
      </c>
      <c r="F413" t="inlineStr">
        <is>
          <t>SCA</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20574-2025</t>
        </is>
      </c>
      <c r="B414" s="1" t="n">
        <v>45775.67747685185</v>
      </c>
      <c r="C414" s="1" t="n">
        <v>46090</v>
      </c>
      <c r="D414" t="inlineStr">
        <is>
          <t>JÄMTLANDS LÄN</t>
        </is>
      </c>
      <c r="E414" t="inlineStr">
        <is>
          <t>RAGUNDA</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46090</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46090</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46090</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46090</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46090</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13767-2022</t>
        </is>
      </c>
      <c r="B420" s="1" t="n">
        <v>44649.47048611111</v>
      </c>
      <c r="C420" s="1" t="n">
        <v>46090</v>
      </c>
      <c r="D420" t="inlineStr">
        <is>
          <t>JÄMTLANDS LÄN</t>
        </is>
      </c>
      <c r="E420" t="inlineStr">
        <is>
          <t>RAGUNDA</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55487-2023</t>
        </is>
      </c>
      <c r="B421" s="1" t="n">
        <v>45238</v>
      </c>
      <c r="C421" s="1" t="n">
        <v>46090</v>
      </c>
      <c r="D421" t="inlineStr">
        <is>
          <t>JÄMTLANDS LÄN</t>
        </is>
      </c>
      <c r="E421" t="inlineStr">
        <is>
          <t>RAGUNDA</t>
        </is>
      </c>
      <c r="G421" t="n">
        <v>3</v>
      </c>
      <c r="H421" t="n">
        <v>0</v>
      </c>
      <c r="I421" t="n">
        <v>0</v>
      </c>
      <c r="J421" t="n">
        <v>0</v>
      </c>
      <c r="K421" t="n">
        <v>0</v>
      </c>
      <c r="L421" t="n">
        <v>0</v>
      </c>
      <c r="M421" t="n">
        <v>0</v>
      </c>
      <c r="N421" t="n">
        <v>0</v>
      </c>
      <c r="O421" t="n">
        <v>0</v>
      </c>
      <c r="P421" t="n">
        <v>0</v>
      </c>
      <c r="Q421" t="n">
        <v>0</v>
      </c>
      <c r="R421" s="2" t="inlineStr"/>
    </row>
    <row r="422" ht="15" customHeight="1">
      <c r="A422" t="inlineStr">
        <is>
          <t>A 18454-2021</t>
        </is>
      </c>
      <c r="B422" s="1" t="n">
        <v>44305.92047453704</v>
      </c>
      <c r="C422" s="1" t="n">
        <v>46090</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13276-2025</t>
        </is>
      </c>
      <c r="B423" s="1" t="n">
        <v>45735.5517824074</v>
      </c>
      <c r="C423" s="1" t="n">
        <v>46090</v>
      </c>
      <c r="D423" t="inlineStr">
        <is>
          <t>JÄMTLANDS LÄN</t>
        </is>
      </c>
      <c r="E423" t="inlineStr">
        <is>
          <t>RAGUNDA</t>
        </is>
      </c>
      <c r="G423" t="n">
        <v>16.6</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46090</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11252-2025</t>
        </is>
      </c>
      <c r="B425" s="1" t="n">
        <v>45726.38615740741</v>
      </c>
      <c r="C425" s="1" t="n">
        <v>46090</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22569-2023</t>
        </is>
      </c>
      <c r="B426" s="1" t="n">
        <v>45069</v>
      </c>
      <c r="C426" s="1" t="n">
        <v>46090</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9360-2023</t>
        </is>
      </c>
      <c r="B427" s="1" t="n">
        <v>44980.93865740741</v>
      </c>
      <c r="C427" s="1" t="n">
        <v>46090</v>
      </c>
      <c r="D427" t="inlineStr">
        <is>
          <t>JÄMTLANDS LÄN</t>
        </is>
      </c>
      <c r="E427" t="inlineStr">
        <is>
          <t>RAGUNDA</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55524-2024</t>
        </is>
      </c>
      <c r="B428" s="1" t="n">
        <v>45622.47435185185</v>
      </c>
      <c r="C428" s="1" t="n">
        <v>46090</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45335-2023</t>
        </is>
      </c>
      <c r="B429" s="1" t="n">
        <v>45191</v>
      </c>
      <c r="C429" s="1" t="n">
        <v>46090</v>
      </c>
      <c r="D429" t="inlineStr">
        <is>
          <t>JÄMTLANDS LÄN</t>
        </is>
      </c>
      <c r="E429" t="inlineStr">
        <is>
          <t>RAGUNDA</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11048-2023</t>
        </is>
      </c>
      <c r="B430" s="1" t="n">
        <v>44991</v>
      </c>
      <c r="C430" s="1" t="n">
        <v>46090</v>
      </c>
      <c r="D430" t="inlineStr">
        <is>
          <t>JÄMTLANDS LÄN</t>
        </is>
      </c>
      <c r="E430" t="inlineStr">
        <is>
          <t>RAGUNDA</t>
        </is>
      </c>
      <c r="F430" t="inlineStr">
        <is>
          <t>SCA</t>
        </is>
      </c>
      <c r="G430" t="n">
        <v>13.5</v>
      </c>
      <c r="H430" t="n">
        <v>0</v>
      </c>
      <c r="I430" t="n">
        <v>0</v>
      </c>
      <c r="J430" t="n">
        <v>0</v>
      </c>
      <c r="K430" t="n">
        <v>0</v>
      </c>
      <c r="L430" t="n">
        <v>0</v>
      </c>
      <c r="M430" t="n">
        <v>0</v>
      </c>
      <c r="N430" t="n">
        <v>0</v>
      </c>
      <c r="O430" t="n">
        <v>0</v>
      </c>
      <c r="P430" t="n">
        <v>0</v>
      </c>
      <c r="Q430" t="n">
        <v>0</v>
      </c>
      <c r="R430" s="2" t="inlineStr"/>
    </row>
    <row r="431" ht="15" customHeight="1">
      <c r="A431" t="inlineStr">
        <is>
          <t>A 25332-2023</t>
        </is>
      </c>
      <c r="B431" s="1" t="n">
        <v>45086.94010416666</v>
      </c>
      <c r="C431" s="1" t="n">
        <v>46090</v>
      </c>
      <c r="D431" t="inlineStr">
        <is>
          <t>JÄMTLANDS LÄN</t>
        </is>
      </c>
      <c r="E431" t="inlineStr">
        <is>
          <t>RAGUNDA</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7280-2024</t>
        </is>
      </c>
      <c r="B432" s="1" t="n">
        <v>45344</v>
      </c>
      <c r="C432" s="1" t="n">
        <v>46090</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11062-2023</t>
        </is>
      </c>
      <c r="B433" s="1" t="n">
        <v>44991</v>
      </c>
      <c r="C433" s="1" t="n">
        <v>46090</v>
      </c>
      <c r="D433" t="inlineStr">
        <is>
          <t>JÄMTLANDS LÄN</t>
        </is>
      </c>
      <c r="E433" t="inlineStr">
        <is>
          <t>RAGUNDA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29920-2024</t>
        </is>
      </c>
      <c r="B434" s="1" t="n">
        <v>45487.92856481481</v>
      </c>
      <c r="C434" s="1" t="n">
        <v>46090</v>
      </c>
      <c r="D434" t="inlineStr">
        <is>
          <t>JÄMTLANDS LÄN</t>
        </is>
      </c>
      <c r="E434" t="inlineStr">
        <is>
          <t>RAGUNDA</t>
        </is>
      </c>
      <c r="G434" t="n">
        <v>3.4</v>
      </c>
      <c r="H434" t="n">
        <v>0</v>
      </c>
      <c r="I434" t="n">
        <v>0</v>
      </c>
      <c r="J434" t="n">
        <v>0</v>
      </c>
      <c r="K434" t="n">
        <v>0</v>
      </c>
      <c r="L434" t="n">
        <v>0</v>
      </c>
      <c r="M434" t="n">
        <v>0</v>
      </c>
      <c r="N434" t="n">
        <v>0</v>
      </c>
      <c r="O434" t="n">
        <v>0</v>
      </c>
      <c r="P434" t="n">
        <v>0</v>
      </c>
      <c r="Q434" t="n">
        <v>0</v>
      </c>
      <c r="R434" s="2" t="inlineStr"/>
    </row>
    <row r="435" ht="15" customHeight="1">
      <c r="A435" t="inlineStr">
        <is>
          <t>A 14368-2024</t>
        </is>
      </c>
      <c r="B435" s="1" t="n">
        <v>45393.94431712963</v>
      </c>
      <c r="C435" s="1" t="n">
        <v>46090</v>
      </c>
      <c r="D435" t="inlineStr">
        <is>
          <t>JÄMTLANDS LÄN</t>
        </is>
      </c>
      <c r="E435" t="inlineStr">
        <is>
          <t>RAGUNDA</t>
        </is>
      </c>
      <c r="F435" t="inlineStr">
        <is>
          <t>Naturvårdsverket</t>
        </is>
      </c>
      <c r="G435" t="n">
        <v>1.6</v>
      </c>
      <c r="H435" t="n">
        <v>0</v>
      </c>
      <c r="I435" t="n">
        <v>0</v>
      </c>
      <c r="J435" t="n">
        <v>0</v>
      </c>
      <c r="K435" t="n">
        <v>0</v>
      </c>
      <c r="L435" t="n">
        <v>0</v>
      </c>
      <c r="M435" t="n">
        <v>0</v>
      </c>
      <c r="N435" t="n">
        <v>0</v>
      </c>
      <c r="O435" t="n">
        <v>0</v>
      </c>
      <c r="P435" t="n">
        <v>0</v>
      </c>
      <c r="Q435" t="n">
        <v>0</v>
      </c>
      <c r="R435" s="2" t="inlineStr"/>
    </row>
    <row r="436" ht="15" customHeight="1">
      <c r="A436" t="inlineStr">
        <is>
          <t>A 3767-2025</t>
        </is>
      </c>
      <c r="B436" s="1" t="n">
        <v>45681.60203703704</v>
      </c>
      <c r="C436" s="1" t="n">
        <v>46090</v>
      </c>
      <c r="D436" t="inlineStr">
        <is>
          <t>JÄMTLANDS LÄN</t>
        </is>
      </c>
      <c r="E436" t="inlineStr">
        <is>
          <t>RAGUNDA</t>
        </is>
      </c>
      <c r="G436" t="n">
        <v>4.9</v>
      </c>
      <c r="H436" t="n">
        <v>0</v>
      </c>
      <c r="I436" t="n">
        <v>0</v>
      </c>
      <c r="J436" t="n">
        <v>0</v>
      </c>
      <c r="K436" t="n">
        <v>0</v>
      </c>
      <c r="L436" t="n">
        <v>0</v>
      </c>
      <c r="M436" t="n">
        <v>0</v>
      </c>
      <c r="N436" t="n">
        <v>0</v>
      </c>
      <c r="O436" t="n">
        <v>0</v>
      </c>
      <c r="P436" t="n">
        <v>0</v>
      </c>
      <c r="Q436" t="n">
        <v>0</v>
      </c>
      <c r="R436" s="2" t="inlineStr"/>
    </row>
    <row r="437" ht="15" customHeight="1">
      <c r="A437" t="inlineStr">
        <is>
          <t>A 12783-2023</t>
        </is>
      </c>
      <c r="B437" s="1" t="n">
        <v>45000</v>
      </c>
      <c r="C437" s="1" t="n">
        <v>46090</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44778-2024</t>
        </is>
      </c>
      <c r="B438" s="1" t="n">
        <v>45574.63355324074</v>
      </c>
      <c r="C438" s="1" t="n">
        <v>46090</v>
      </c>
      <c r="D438" t="inlineStr">
        <is>
          <t>JÄMTLANDS LÄN</t>
        </is>
      </c>
      <c r="E438" t="inlineStr">
        <is>
          <t>RAGUNDA</t>
        </is>
      </c>
      <c r="G438" t="n">
        <v>5.5</v>
      </c>
      <c r="H438" t="n">
        <v>0</v>
      </c>
      <c r="I438" t="n">
        <v>0</v>
      </c>
      <c r="J438" t="n">
        <v>0</v>
      </c>
      <c r="K438" t="n">
        <v>0</v>
      </c>
      <c r="L438" t="n">
        <v>0</v>
      </c>
      <c r="M438" t="n">
        <v>0</v>
      </c>
      <c r="N438" t="n">
        <v>0</v>
      </c>
      <c r="O438" t="n">
        <v>0</v>
      </c>
      <c r="P438" t="n">
        <v>0</v>
      </c>
      <c r="Q438" t="n">
        <v>0</v>
      </c>
      <c r="R438" s="2" t="inlineStr"/>
    </row>
    <row r="439" ht="15" customHeight="1">
      <c r="A439" t="inlineStr">
        <is>
          <t>A 53171-2024</t>
        </is>
      </c>
      <c r="B439" s="1" t="n">
        <v>45611.65679398148</v>
      </c>
      <c r="C439" s="1" t="n">
        <v>46090</v>
      </c>
      <c r="D439" t="inlineStr">
        <is>
          <t>JÄMTLANDS LÄN</t>
        </is>
      </c>
      <c r="E439" t="inlineStr">
        <is>
          <t>RAGUNDA</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2673-2024</t>
        </is>
      </c>
      <c r="B440" s="1" t="n">
        <v>45314</v>
      </c>
      <c r="C440" s="1" t="n">
        <v>46090</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7279-2024</t>
        </is>
      </c>
      <c r="B441" s="1" t="n">
        <v>45344.92822916667</v>
      </c>
      <c r="C441" s="1" t="n">
        <v>46090</v>
      </c>
      <c r="D441" t="inlineStr">
        <is>
          <t>JÄMTLANDS LÄN</t>
        </is>
      </c>
      <c r="E441" t="inlineStr">
        <is>
          <t>RAGUNDA</t>
        </is>
      </c>
      <c r="G441" t="n">
        <v>2.1</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46090</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12660-2024</t>
        </is>
      </c>
      <c r="B443" s="1" t="n">
        <v>45384</v>
      </c>
      <c r="C443" s="1" t="n">
        <v>46090</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54599-2023</t>
        </is>
      </c>
      <c r="B444" s="1" t="n">
        <v>45233.92591435185</v>
      </c>
      <c r="C444" s="1" t="n">
        <v>46090</v>
      </c>
      <c r="D444" t="inlineStr">
        <is>
          <t>JÄMTLANDS LÄN</t>
        </is>
      </c>
      <c r="E444" t="inlineStr">
        <is>
          <t>RAGUNDA</t>
        </is>
      </c>
      <c r="G444" t="n">
        <v>3.7</v>
      </c>
      <c r="H444" t="n">
        <v>0</v>
      </c>
      <c r="I444" t="n">
        <v>0</v>
      </c>
      <c r="J444" t="n">
        <v>0</v>
      </c>
      <c r="K444" t="n">
        <v>0</v>
      </c>
      <c r="L444" t="n">
        <v>0</v>
      </c>
      <c r="M444" t="n">
        <v>0</v>
      </c>
      <c r="N444" t="n">
        <v>0</v>
      </c>
      <c r="O444" t="n">
        <v>0</v>
      </c>
      <c r="P444" t="n">
        <v>0</v>
      </c>
      <c r="Q444" t="n">
        <v>0</v>
      </c>
      <c r="R444" s="2" t="inlineStr"/>
    </row>
    <row r="445" ht="15" customHeight="1">
      <c r="A445" t="inlineStr">
        <is>
          <t>A 55649-2023</t>
        </is>
      </c>
      <c r="B445" s="1" t="n">
        <v>45238</v>
      </c>
      <c r="C445" s="1" t="n">
        <v>46090</v>
      </c>
      <c r="D445" t="inlineStr">
        <is>
          <t>JÄMTLANDS LÄN</t>
        </is>
      </c>
      <c r="E445" t="inlineStr">
        <is>
          <t>RAGUNDA</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12521-2023</t>
        </is>
      </c>
      <c r="B446" s="1" t="n">
        <v>45000</v>
      </c>
      <c r="C446" s="1" t="n">
        <v>46090</v>
      </c>
      <c r="D446" t="inlineStr">
        <is>
          <t>JÄMTLANDS LÄN</t>
        </is>
      </c>
      <c r="E446" t="inlineStr">
        <is>
          <t>RAGUNDA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464-2023</t>
        </is>
      </c>
      <c r="B447" s="1" t="n">
        <v>44929.92489583333</v>
      </c>
      <c r="C447" s="1" t="n">
        <v>46090</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53769-2023</t>
        </is>
      </c>
      <c r="B448" s="1" t="n">
        <v>45230</v>
      </c>
      <c r="C448" s="1" t="n">
        <v>46090</v>
      </c>
      <c r="D448" t="inlineStr">
        <is>
          <t>JÄMTLANDS LÄN</t>
        </is>
      </c>
      <c r="E448" t="inlineStr">
        <is>
          <t>RAGUNDA</t>
        </is>
      </c>
      <c r="F448" t="inlineStr">
        <is>
          <t>SCA</t>
        </is>
      </c>
      <c r="G448" t="n">
        <v>11.6</v>
      </c>
      <c r="H448" t="n">
        <v>0</v>
      </c>
      <c r="I448" t="n">
        <v>0</v>
      </c>
      <c r="J448" t="n">
        <v>0</v>
      </c>
      <c r="K448" t="n">
        <v>0</v>
      </c>
      <c r="L448" t="n">
        <v>0</v>
      </c>
      <c r="M448" t="n">
        <v>0</v>
      </c>
      <c r="N448" t="n">
        <v>0</v>
      </c>
      <c r="O448" t="n">
        <v>0</v>
      </c>
      <c r="P448" t="n">
        <v>0</v>
      </c>
      <c r="Q448" t="n">
        <v>0</v>
      </c>
      <c r="R448" s="2" t="inlineStr"/>
    </row>
    <row r="449" ht="15" customHeight="1">
      <c r="A449" t="inlineStr">
        <is>
          <t>A 52228-2024</t>
        </is>
      </c>
      <c r="B449" s="1" t="n">
        <v>45608.6078587963</v>
      </c>
      <c r="C449" s="1" t="n">
        <v>46090</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29319-2023</t>
        </is>
      </c>
      <c r="B450" s="1" t="n">
        <v>45105</v>
      </c>
      <c r="C450" s="1" t="n">
        <v>46090</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18612-2024</t>
        </is>
      </c>
      <c r="B451" s="1" t="n">
        <v>45425.96239583333</v>
      </c>
      <c r="C451" s="1" t="n">
        <v>46090</v>
      </c>
      <c r="D451" t="inlineStr">
        <is>
          <t>JÄMTLANDS LÄN</t>
        </is>
      </c>
      <c r="E451" t="inlineStr">
        <is>
          <t>RAGUNDA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57064-2024</t>
        </is>
      </c>
      <c r="B452" s="1" t="n">
        <v>45629.35326388889</v>
      </c>
      <c r="C452" s="1" t="n">
        <v>46090</v>
      </c>
      <c r="D452" t="inlineStr">
        <is>
          <t>JÄMTLANDS LÄN</t>
        </is>
      </c>
      <c r="E452" t="inlineStr">
        <is>
          <t>RAGUNDA</t>
        </is>
      </c>
      <c r="F452" t="inlineStr">
        <is>
          <t>Naturvårdsverket</t>
        </is>
      </c>
      <c r="G452" t="n">
        <v>0.5</v>
      </c>
      <c r="H452" t="n">
        <v>0</v>
      </c>
      <c r="I452" t="n">
        <v>0</v>
      </c>
      <c r="J452" t="n">
        <v>0</v>
      </c>
      <c r="K452" t="n">
        <v>0</v>
      </c>
      <c r="L452" t="n">
        <v>0</v>
      </c>
      <c r="M452" t="n">
        <v>0</v>
      </c>
      <c r="N452" t="n">
        <v>0</v>
      </c>
      <c r="O452" t="n">
        <v>0</v>
      </c>
      <c r="P452" t="n">
        <v>0</v>
      </c>
      <c r="Q452" t="n">
        <v>0</v>
      </c>
      <c r="R452" s="2" t="inlineStr"/>
    </row>
    <row r="453" ht="15" customHeight="1">
      <c r="A453" t="inlineStr">
        <is>
          <t>A 2242-2024</t>
        </is>
      </c>
      <c r="B453" s="1" t="n">
        <v>45309</v>
      </c>
      <c r="C453" s="1" t="n">
        <v>46090</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2248-2024</t>
        </is>
      </c>
      <c r="B454" s="1" t="n">
        <v>45309</v>
      </c>
      <c r="C454" s="1" t="n">
        <v>46090</v>
      </c>
      <c r="D454" t="inlineStr">
        <is>
          <t>JÄMTLANDS LÄN</t>
        </is>
      </c>
      <c r="E454" t="inlineStr">
        <is>
          <t>RAGUNDA</t>
        </is>
      </c>
      <c r="G454" t="n">
        <v>4.2</v>
      </c>
      <c r="H454" t="n">
        <v>0</v>
      </c>
      <c r="I454" t="n">
        <v>0</v>
      </c>
      <c r="J454" t="n">
        <v>0</v>
      </c>
      <c r="K454" t="n">
        <v>0</v>
      </c>
      <c r="L454" t="n">
        <v>0</v>
      </c>
      <c r="M454" t="n">
        <v>0</v>
      </c>
      <c r="N454" t="n">
        <v>0</v>
      </c>
      <c r="O454" t="n">
        <v>0</v>
      </c>
      <c r="P454" t="n">
        <v>0</v>
      </c>
      <c r="Q454" t="n">
        <v>0</v>
      </c>
      <c r="R454" s="2" t="inlineStr"/>
    </row>
    <row r="455" ht="15" customHeight="1">
      <c r="A455" t="inlineStr">
        <is>
          <t>A 23405-2025</t>
        </is>
      </c>
      <c r="B455" s="1" t="n">
        <v>45792.34527777778</v>
      </c>
      <c r="C455" s="1" t="n">
        <v>46090</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19264-2025</t>
        </is>
      </c>
      <c r="B456" s="1" t="n">
        <v>45769.51087962963</v>
      </c>
      <c r="C456" s="1" t="n">
        <v>46090</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29263-2024</t>
        </is>
      </c>
      <c r="B457" s="1" t="n">
        <v>45482.94891203703</v>
      </c>
      <c r="C457" s="1" t="n">
        <v>46090</v>
      </c>
      <c r="D457" t="inlineStr">
        <is>
          <t>JÄMTLANDS LÄN</t>
        </is>
      </c>
      <c r="E457" t="inlineStr">
        <is>
          <t>RAGUNDA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8800-2025</t>
        </is>
      </c>
      <c r="B458" s="1" t="n">
        <v>45712.65671296296</v>
      </c>
      <c r="C458" s="1" t="n">
        <v>46090</v>
      </c>
      <c r="D458" t="inlineStr">
        <is>
          <t>JÄMTLANDS LÄN</t>
        </is>
      </c>
      <c r="E458" t="inlineStr">
        <is>
          <t>RAGUNDA</t>
        </is>
      </c>
      <c r="G458" t="n">
        <v>2.6</v>
      </c>
      <c r="H458" t="n">
        <v>0</v>
      </c>
      <c r="I458" t="n">
        <v>0</v>
      </c>
      <c r="J458" t="n">
        <v>0</v>
      </c>
      <c r="K458" t="n">
        <v>0</v>
      </c>
      <c r="L458" t="n">
        <v>0</v>
      </c>
      <c r="M458" t="n">
        <v>0</v>
      </c>
      <c r="N458" t="n">
        <v>0</v>
      </c>
      <c r="O458" t="n">
        <v>0</v>
      </c>
      <c r="P458" t="n">
        <v>0</v>
      </c>
      <c r="Q458" t="n">
        <v>0</v>
      </c>
      <c r="R458" s="2" t="inlineStr"/>
    </row>
    <row r="459" ht="15" customHeight="1">
      <c r="A459" t="inlineStr">
        <is>
          <t>A 29265-2024</t>
        </is>
      </c>
      <c r="B459" s="1" t="n">
        <v>45482.9491087963</v>
      </c>
      <c r="C459" s="1" t="n">
        <v>46090</v>
      </c>
      <c r="D459" t="inlineStr">
        <is>
          <t>JÄMTLANDS LÄN</t>
        </is>
      </c>
      <c r="E459" t="inlineStr">
        <is>
          <t>RAGUNDA</t>
        </is>
      </c>
      <c r="F459" t="inlineStr">
        <is>
          <t>SCA</t>
        </is>
      </c>
      <c r="G459" t="n">
        <v>11.6</v>
      </c>
      <c r="H459" t="n">
        <v>0</v>
      </c>
      <c r="I459" t="n">
        <v>0</v>
      </c>
      <c r="J459" t="n">
        <v>0</v>
      </c>
      <c r="K459" t="n">
        <v>0</v>
      </c>
      <c r="L459" t="n">
        <v>0</v>
      </c>
      <c r="M459" t="n">
        <v>0</v>
      </c>
      <c r="N459" t="n">
        <v>0</v>
      </c>
      <c r="O459" t="n">
        <v>0</v>
      </c>
      <c r="P459" t="n">
        <v>0</v>
      </c>
      <c r="Q459" t="n">
        <v>0</v>
      </c>
      <c r="R459" s="2" t="inlineStr"/>
    </row>
    <row r="460" ht="15" customHeight="1">
      <c r="A460" t="inlineStr">
        <is>
          <t>A 6569-2026</t>
        </is>
      </c>
      <c r="B460" s="1" t="n">
        <v>46052</v>
      </c>
      <c r="C460" s="1" t="n">
        <v>46090</v>
      </c>
      <c r="D460" t="inlineStr">
        <is>
          <t>JÄMTLANDS LÄN</t>
        </is>
      </c>
      <c r="E460" t="inlineStr">
        <is>
          <t>RAGUNDA</t>
        </is>
      </c>
      <c r="G460" t="n">
        <v>0.7</v>
      </c>
      <c r="H460" t="n">
        <v>0</v>
      </c>
      <c r="I460" t="n">
        <v>0</v>
      </c>
      <c r="J460" t="n">
        <v>0</v>
      </c>
      <c r="K460" t="n">
        <v>0</v>
      </c>
      <c r="L460" t="n">
        <v>0</v>
      </c>
      <c r="M460" t="n">
        <v>0</v>
      </c>
      <c r="N460" t="n">
        <v>0</v>
      </c>
      <c r="O460" t="n">
        <v>0</v>
      </c>
      <c r="P460" t="n">
        <v>0</v>
      </c>
      <c r="Q460" t="n">
        <v>0</v>
      </c>
      <c r="R460" s="2" t="inlineStr"/>
    </row>
    <row r="461" ht="15" customHeight="1">
      <c r="A461" t="inlineStr">
        <is>
          <t>A 18284-2025</t>
        </is>
      </c>
      <c r="B461" s="1" t="n">
        <v>45762.39876157408</v>
      </c>
      <c r="C461" s="1" t="n">
        <v>46090</v>
      </c>
      <c r="D461" t="inlineStr">
        <is>
          <t>JÄMTLANDS LÄN</t>
        </is>
      </c>
      <c r="E461" t="inlineStr">
        <is>
          <t>RAGUNDA</t>
        </is>
      </c>
      <c r="G461" t="n">
        <v>0.2</v>
      </c>
      <c r="H461" t="n">
        <v>0</v>
      </c>
      <c r="I461" t="n">
        <v>0</v>
      </c>
      <c r="J461" t="n">
        <v>0</v>
      </c>
      <c r="K461" t="n">
        <v>0</v>
      </c>
      <c r="L461" t="n">
        <v>0</v>
      </c>
      <c r="M461" t="n">
        <v>0</v>
      </c>
      <c r="N461" t="n">
        <v>0</v>
      </c>
      <c r="O461" t="n">
        <v>0</v>
      </c>
      <c r="P461" t="n">
        <v>0</v>
      </c>
      <c r="Q461" t="n">
        <v>0</v>
      </c>
      <c r="R461" s="2" t="inlineStr"/>
      <c r="U461">
        <f>HYPERLINK("https://klasma.github.io/Logging_2303/knärot/A 18284-2025 karta knärot.png", "A 18284-2025")</f>
        <v/>
      </c>
      <c r="V461">
        <f>HYPERLINK("https://klasma.github.io/Logging_2303/klagomål/A 18284-2025 FSC-klagomål.docx", "A 18284-2025")</f>
        <v/>
      </c>
      <c r="W461">
        <f>HYPERLINK("https://klasma.github.io/Logging_2303/klagomålsmail/A 18284-2025 FSC-klagomål mail.docx", "A 18284-2025")</f>
        <v/>
      </c>
      <c r="X461">
        <f>HYPERLINK("https://klasma.github.io/Logging_2303/tillsyn/A 18284-2025 tillsynsbegäran.docx", "A 18284-2025")</f>
        <v/>
      </c>
      <c r="Y461">
        <f>HYPERLINK("https://klasma.github.io/Logging_2303/tillsynsmail/A 18284-2025 tillsynsbegäran mail.docx", "A 18284-2025")</f>
        <v/>
      </c>
    </row>
    <row r="462" ht="15" customHeight="1">
      <c r="A462" t="inlineStr">
        <is>
          <t>A 55547-2025</t>
        </is>
      </c>
      <c r="B462" s="1" t="n">
        <v>45971</v>
      </c>
      <c r="C462" s="1" t="n">
        <v>46090</v>
      </c>
      <c r="D462" t="inlineStr">
        <is>
          <t>JÄMTLANDS LÄN</t>
        </is>
      </c>
      <c r="E462" t="inlineStr">
        <is>
          <t>RAGUNDA</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27291-2022</t>
        </is>
      </c>
      <c r="B463" s="1" t="n">
        <v>44741.94070601852</v>
      </c>
      <c r="C463" s="1" t="n">
        <v>46090</v>
      </c>
      <c r="D463" t="inlineStr">
        <is>
          <t>JÄMTLANDS LÄN</t>
        </is>
      </c>
      <c r="E463" t="inlineStr">
        <is>
          <t>RAGUNDA</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19263-2025</t>
        </is>
      </c>
      <c r="B464" s="1" t="n">
        <v>45769.51075231482</v>
      </c>
      <c r="C464" s="1" t="n">
        <v>46090</v>
      </c>
      <c r="D464" t="inlineStr">
        <is>
          <t>JÄMTLANDS LÄN</t>
        </is>
      </c>
      <c r="E464" t="inlineStr">
        <is>
          <t>RAGUNDA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8776-2025</t>
        </is>
      </c>
      <c r="B465" s="1" t="n">
        <v>45712.61510416667</v>
      </c>
      <c r="C465" s="1" t="n">
        <v>46090</v>
      </c>
      <c r="D465" t="inlineStr">
        <is>
          <t>JÄMTLANDS LÄN</t>
        </is>
      </c>
      <c r="E465" t="inlineStr">
        <is>
          <t>RAGUNDA</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24158-2025</t>
        </is>
      </c>
      <c r="B466" s="1" t="n">
        <v>45796</v>
      </c>
      <c r="C466" s="1" t="n">
        <v>46090</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c r="U466">
        <f>HYPERLINK("https://klasma.github.io/Logging_2303/knärot/A 24158-2025 karta knärot.png", "A 24158-2025")</f>
        <v/>
      </c>
      <c r="V466">
        <f>HYPERLINK("https://klasma.github.io/Logging_2303/klagomål/A 24158-2025 FSC-klagomål.docx", "A 24158-2025")</f>
        <v/>
      </c>
      <c r="W466">
        <f>HYPERLINK("https://klasma.github.io/Logging_2303/klagomålsmail/A 24158-2025 FSC-klagomål mail.docx", "A 24158-2025")</f>
        <v/>
      </c>
      <c r="X466">
        <f>HYPERLINK("https://klasma.github.io/Logging_2303/tillsyn/A 24158-2025 tillsynsbegäran.docx", "A 24158-2025")</f>
        <v/>
      </c>
      <c r="Y466">
        <f>HYPERLINK("https://klasma.github.io/Logging_2303/tillsynsmail/A 24158-2025 tillsynsbegäran mail.docx", "A 24158-2025")</f>
        <v/>
      </c>
    </row>
    <row r="467" ht="15" customHeight="1">
      <c r="A467" t="inlineStr">
        <is>
          <t>A 24161-2025</t>
        </is>
      </c>
      <c r="B467" s="1" t="n">
        <v>45796</v>
      </c>
      <c r="C467" s="1" t="n">
        <v>46090</v>
      </c>
      <c r="D467" t="inlineStr">
        <is>
          <t>JÄMTLANDS LÄN</t>
        </is>
      </c>
      <c r="E467" t="inlineStr">
        <is>
          <t>RAGUNDA</t>
        </is>
      </c>
      <c r="G467" t="n">
        <v>2.4</v>
      </c>
      <c r="H467" t="n">
        <v>0</v>
      </c>
      <c r="I467" t="n">
        <v>0</v>
      </c>
      <c r="J467" t="n">
        <v>0</v>
      </c>
      <c r="K467" t="n">
        <v>0</v>
      </c>
      <c r="L467" t="n">
        <v>0</v>
      </c>
      <c r="M467" t="n">
        <v>0</v>
      </c>
      <c r="N467" t="n">
        <v>0</v>
      </c>
      <c r="O467" t="n">
        <v>0</v>
      </c>
      <c r="P467" t="n">
        <v>0</v>
      </c>
      <c r="Q467" t="n">
        <v>0</v>
      </c>
      <c r="R467" s="2" t="inlineStr"/>
    </row>
    <row r="468" ht="15" customHeight="1">
      <c r="A468" t="inlineStr">
        <is>
          <t>A 14821-2025</t>
        </is>
      </c>
      <c r="B468" s="1" t="n">
        <v>45743.36</v>
      </c>
      <c r="C468" s="1" t="n">
        <v>46090</v>
      </c>
      <c r="D468" t="inlineStr">
        <is>
          <t>JÄMTLANDS LÄN</t>
        </is>
      </c>
      <c r="E468" t="inlineStr">
        <is>
          <t>RAGUNDA</t>
        </is>
      </c>
      <c r="F468" t="inlineStr">
        <is>
          <t>Kyrkan</t>
        </is>
      </c>
      <c r="G468" t="n">
        <v>6.4</v>
      </c>
      <c r="H468" t="n">
        <v>0</v>
      </c>
      <c r="I468" t="n">
        <v>0</v>
      </c>
      <c r="J468" t="n">
        <v>0</v>
      </c>
      <c r="K468" t="n">
        <v>0</v>
      </c>
      <c r="L468" t="n">
        <v>0</v>
      </c>
      <c r="M468" t="n">
        <v>0</v>
      </c>
      <c r="N468" t="n">
        <v>0</v>
      </c>
      <c r="O468" t="n">
        <v>0</v>
      </c>
      <c r="P468" t="n">
        <v>0</v>
      </c>
      <c r="Q468" t="n">
        <v>0</v>
      </c>
      <c r="R468" s="2" t="inlineStr"/>
    </row>
    <row r="469" ht="15" customHeight="1">
      <c r="A469" t="inlineStr">
        <is>
          <t>A 55633-2025</t>
        </is>
      </c>
      <c r="B469" s="1" t="n">
        <v>45972</v>
      </c>
      <c r="C469" s="1" t="n">
        <v>46090</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55671-2025</t>
        </is>
      </c>
      <c r="B470" s="1" t="n">
        <v>45972</v>
      </c>
      <c r="C470" s="1" t="n">
        <v>46090</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24159-2025</t>
        </is>
      </c>
      <c r="B471" s="1" t="n">
        <v>45796</v>
      </c>
      <c r="C471" s="1" t="n">
        <v>46090</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55797-2025</t>
        </is>
      </c>
      <c r="B472" s="1" t="n">
        <v>45972.65693287037</v>
      </c>
      <c r="C472" s="1" t="n">
        <v>46090</v>
      </c>
      <c r="D472" t="inlineStr">
        <is>
          <t>JÄMTLANDS LÄN</t>
        </is>
      </c>
      <c r="E472" t="inlineStr">
        <is>
          <t>RAGUNDA</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24391-2025</t>
        </is>
      </c>
      <c r="B473" s="1" t="n">
        <v>45797.63627314815</v>
      </c>
      <c r="C473" s="1" t="n">
        <v>46090</v>
      </c>
      <c r="D473" t="inlineStr">
        <is>
          <t>JÄMTLANDS LÄN</t>
        </is>
      </c>
      <c r="E473" t="inlineStr">
        <is>
          <t>RAGUNDA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36375-2022</t>
        </is>
      </c>
      <c r="B474" s="1" t="n">
        <v>44803.94351851852</v>
      </c>
      <c r="C474" s="1" t="n">
        <v>46090</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53727-2025</t>
        </is>
      </c>
      <c r="B475" s="1" t="n">
        <v>45960.63630787037</v>
      </c>
      <c r="C475" s="1" t="n">
        <v>46090</v>
      </c>
      <c r="D475" t="inlineStr">
        <is>
          <t>JÄMTLANDS LÄN</t>
        </is>
      </c>
      <c r="E475" t="inlineStr">
        <is>
          <t>RAGUNDA</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8679-2023</t>
        </is>
      </c>
      <c r="B476" s="1" t="n">
        <v>44977.98670138889</v>
      </c>
      <c r="C476" s="1" t="n">
        <v>46090</v>
      </c>
      <c r="D476" t="inlineStr">
        <is>
          <t>JÄMTLANDS LÄN</t>
        </is>
      </c>
      <c r="E476" t="inlineStr">
        <is>
          <t>RAGUNDA</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33650-2025</t>
        </is>
      </c>
      <c r="B477" s="1" t="n">
        <v>45841</v>
      </c>
      <c r="C477" s="1" t="n">
        <v>46090</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9325-2024</t>
        </is>
      </c>
      <c r="B478" s="1" t="n">
        <v>45358.95813657407</v>
      </c>
      <c r="C478" s="1" t="n">
        <v>46090</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5930-2025</t>
        </is>
      </c>
      <c r="B479" s="1" t="n">
        <v>45695.44724537037</v>
      </c>
      <c r="C479" s="1" t="n">
        <v>46090</v>
      </c>
      <c r="D479" t="inlineStr">
        <is>
          <t>JÄMTLANDS LÄN</t>
        </is>
      </c>
      <c r="E479" t="inlineStr">
        <is>
          <t>RAGUNDA</t>
        </is>
      </c>
      <c r="G479" t="n">
        <v>0.7</v>
      </c>
      <c r="H479" t="n">
        <v>0</v>
      </c>
      <c r="I479" t="n">
        <v>0</v>
      </c>
      <c r="J479" t="n">
        <v>0</v>
      </c>
      <c r="K479" t="n">
        <v>0</v>
      </c>
      <c r="L479" t="n">
        <v>0</v>
      </c>
      <c r="M479" t="n">
        <v>0</v>
      </c>
      <c r="N479" t="n">
        <v>0</v>
      </c>
      <c r="O479" t="n">
        <v>0</v>
      </c>
      <c r="P479" t="n">
        <v>0</v>
      </c>
      <c r="Q479" t="n">
        <v>0</v>
      </c>
      <c r="R479" s="2" t="inlineStr"/>
    </row>
    <row r="480" ht="15" customHeight="1">
      <c r="A480" t="inlineStr">
        <is>
          <t>A 62407-2023</t>
        </is>
      </c>
      <c r="B480" s="1" t="n">
        <v>45266</v>
      </c>
      <c r="C480" s="1" t="n">
        <v>46090</v>
      </c>
      <c r="D480" t="inlineStr">
        <is>
          <t>JÄMTLANDS LÄN</t>
        </is>
      </c>
      <c r="E480" t="inlineStr">
        <is>
          <t>RAGUNDA</t>
        </is>
      </c>
      <c r="G480" t="n">
        <v>1.6</v>
      </c>
      <c r="H480" t="n">
        <v>0</v>
      </c>
      <c r="I480" t="n">
        <v>0</v>
      </c>
      <c r="J480" t="n">
        <v>0</v>
      </c>
      <c r="K480" t="n">
        <v>0</v>
      </c>
      <c r="L480" t="n">
        <v>0</v>
      </c>
      <c r="M480" t="n">
        <v>0</v>
      </c>
      <c r="N480" t="n">
        <v>0</v>
      </c>
      <c r="O480" t="n">
        <v>0</v>
      </c>
      <c r="P480" t="n">
        <v>0</v>
      </c>
      <c r="Q480" t="n">
        <v>0</v>
      </c>
      <c r="R480" s="2" t="inlineStr"/>
    </row>
    <row r="481" ht="15" customHeight="1">
      <c r="A481" t="inlineStr">
        <is>
          <t>A 57170-2024</t>
        </is>
      </c>
      <c r="B481" s="1" t="n">
        <v>45629.42759259259</v>
      </c>
      <c r="C481" s="1" t="n">
        <v>46090</v>
      </c>
      <c r="D481" t="inlineStr">
        <is>
          <t>JÄMTLANDS LÄN</t>
        </is>
      </c>
      <c r="E481" t="inlineStr">
        <is>
          <t>RAGUNDA</t>
        </is>
      </c>
      <c r="F481" t="inlineStr">
        <is>
          <t>SCA</t>
        </is>
      </c>
      <c r="G481" t="n">
        <v>4.4</v>
      </c>
      <c r="H481" t="n">
        <v>0</v>
      </c>
      <c r="I481" t="n">
        <v>0</v>
      </c>
      <c r="J481" t="n">
        <v>0</v>
      </c>
      <c r="K481" t="n">
        <v>0</v>
      </c>
      <c r="L481" t="n">
        <v>0</v>
      </c>
      <c r="M481" t="n">
        <v>0</v>
      </c>
      <c r="N481" t="n">
        <v>0</v>
      </c>
      <c r="O481" t="n">
        <v>0</v>
      </c>
      <c r="P481" t="n">
        <v>0</v>
      </c>
      <c r="Q481" t="n">
        <v>0</v>
      </c>
      <c r="R481" s="2" t="inlineStr"/>
    </row>
    <row r="482" ht="15" customHeight="1">
      <c r="A482" t="inlineStr">
        <is>
          <t>A 63828-2025</t>
        </is>
      </c>
      <c r="B482" s="1" t="n">
        <v>46020.37814814815</v>
      </c>
      <c r="C482" s="1" t="n">
        <v>46090</v>
      </c>
      <c r="D482" t="inlineStr">
        <is>
          <t>JÄMTLANDS LÄN</t>
        </is>
      </c>
      <c r="E482" t="inlineStr">
        <is>
          <t>RAGUNDA</t>
        </is>
      </c>
      <c r="G482" t="n">
        <v>4.7</v>
      </c>
      <c r="H482" t="n">
        <v>0</v>
      </c>
      <c r="I482" t="n">
        <v>0</v>
      </c>
      <c r="J482" t="n">
        <v>0</v>
      </c>
      <c r="K482" t="n">
        <v>0</v>
      </c>
      <c r="L482" t="n">
        <v>0</v>
      </c>
      <c r="M482" t="n">
        <v>0</v>
      </c>
      <c r="N482" t="n">
        <v>0</v>
      </c>
      <c r="O482" t="n">
        <v>0</v>
      </c>
      <c r="P482" t="n">
        <v>0</v>
      </c>
      <c r="Q482" t="n">
        <v>0</v>
      </c>
      <c r="R482" s="2" t="inlineStr"/>
    </row>
    <row r="483" ht="15" customHeight="1">
      <c r="A483" t="inlineStr">
        <is>
          <t>A 21524-2024</t>
        </is>
      </c>
      <c r="B483" s="1" t="n">
        <v>45441</v>
      </c>
      <c r="C483" s="1" t="n">
        <v>46090</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38191-2024</t>
        </is>
      </c>
      <c r="B484" s="1" t="n">
        <v>45545.49078703704</v>
      </c>
      <c r="C484" s="1" t="n">
        <v>46090</v>
      </c>
      <c r="D484" t="inlineStr">
        <is>
          <t>JÄMTLANDS LÄN</t>
        </is>
      </c>
      <c r="E484" t="inlineStr">
        <is>
          <t>RAGUNDA</t>
        </is>
      </c>
      <c r="G484" t="n">
        <v>1.6</v>
      </c>
      <c r="H484" t="n">
        <v>0</v>
      </c>
      <c r="I484" t="n">
        <v>0</v>
      </c>
      <c r="J484" t="n">
        <v>0</v>
      </c>
      <c r="K484" t="n">
        <v>0</v>
      </c>
      <c r="L484" t="n">
        <v>0</v>
      </c>
      <c r="M484" t="n">
        <v>0</v>
      </c>
      <c r="N484" t="n">
        <v>0</v>
      </c>
      <c r="O484" t="n">
        <v>0</v>
      </c>
      <c r="P484" t="n">
        <v>0</v>
      </c>
      <c r="Q484" t="n">
        <v>0</v>
      </c>
      <c r="R484" s="2" t="inlineStr"/>
    </row>
    <row r="485" ht="15" customHeight="1">
      <c r="A485" t="inlineStr">
        <is>
          <t>A 8795-2022</t>
        </is>
      </c>
      <c r="B485" s="1" t="n">
        <v>44614</v>
      </c>
      <c r="C485" s="1" t="n">
        <v>46090</v>
      </c>
      <c r="D485" t="inlineStr">
        <is>
          <t>JÄMTLANDS LÄN</t>
        </is>
      </c>
      <c r="E485" t="inlineStr">
        <is>
          <t>RAGUNDA</t>
        </is>
      </c>
      <c r="G485" t="n">
        <v>3.9</v>
      </c>
      <c r="H485" t="n">
        <v>0</v>
      </c>
      <c r="I485" t="n">
        <v>0</v>
      </c>
      <c r="J485" t="n">
        <v>0</v>
      </c>
      <c r="K485" t="n">
        <v>0</v>
      </c>
      <c r="L485" t="n">
        <v>0</v>
      </c>
      <c r="M485" t="n">
        <v>0</v>
      </c>
      <c r="N485" t="n">
        <v>0</v>
      </c>
      <c r="O485" t="n">
        <v>0</v>
      </c>
      <c r="P485" t="n">
        <v>0</v>
      </c>
      <c r="Q485" t="n">
        <v>0</v>
      </c>
      <c r="R485" s="2" t="inlineStr"/>
    </row>
    <row r="486" ht="15" customHeight="1">
      <c r="A486" t="inlineStr">
        <is>
          <t>A 39192-2025</t>
        </is>
      </c>
      <c r="B486" s="1" t="n">
        <v>45888.6775</v>
      </c>
      <c r="C486" s="1" t="n">
        <v>46090</v>
      </c>
      <c r="D486" t="inlineStr">
        <is>
          <t>JÄMTLANDS LÄN</t>
        </is>
      </c>
      <c r="E486" t="inlineStr">
        <is>
          <t>RAGUNDA</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35265-2023</t>
        </is>
      </c>
      <c r="B487" s="1" t="n">
        <v>45145.95326388889</v>
      </c>
      <c r="C487" s="1" t="n">
        <v>46090</v>
      </c>
      <c r="D487" t="inlineStr">
        <is>
          <t>JÄMTLANDS LÄN</t>
        </is>
      </c>
      <c r="E487" t="inlineStr">
        <is>
          <t>RAGUNDA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5148-2023</t>
        </is>
      </c>
      <c r="B488" s="1" t="n">
        <v>44958</v>
      </c>
      <c r="C488" s="1" t="n">
        <v>46090</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25631-2025</t>
        </is>
      </c>
      <c r="B489" s="1" t="n">
        <v>45803.5946875</v>
      </c>
      <c r="C489" s="1" t="n">
        <v>46090</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557-2026</t>
        </is>
      </c>
      <c r="B490" s="1" t="n">
        <v>46021</v>
      </c>
      <c r="C490" s="1" t="n">
        <v>46090</v>
      </c>
      <c r="D490" t="inlineStr">
        <is>
          <t>JÄMTLANDS LÄN</t>
        </is>
      </c>
      <c r="E490" t="inlineStr">
        <is>
          <t>RAGUNDA</t>
        </is>
      </c>
      <c r="G490" t="n">
        <v>1.5</v>
      </c>
      <c r="H490" t="n">
        <v>0</v>
      </c>
      <c r="I490" t="n">
        <v>0</v>
      </c>
      <c r="J490" t="n">
        <v>0</v>
      </c>
      <c r="K490" t="n">
        <v>0</v>
      </c>
      <c r="L490" t="n">
        <v>0</v>
      </c>
      <c r="M490" t="n">
        <v>0</v>
      </c>
      <c r="N490" t="n">
        <v>0</v>
      </c>
      <c r="O490" t="n">
        <v>0</v>
      </c>
      <c r="P490" t="n">
        <v>0</v>
      </c>
      <c r="Q490" t="n">
        <v>0</v>
      </c>
      <c r="R490" s="2" t="inlineStr"/>
    </row>
    <row r="491" ht="15" customHeight="1">
      <c r="A491" t="inlineStr">
        <is>
          <t>A 39384-2025</t>
        </is>
      </c>
      <c r="B491" s="1" t="n">
        <v>45889.61517361111</v>
      </c>
      <c r="C491" s="1" t="n">
        <v>46090</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66471-2021</t>
        </is>
      </c>
      <c r="B492" s="1" t="n">
        <v>44518</v>
      </c>
      <c r="C492" s="1" t="n">
        <v>46090</v>
      </c>
      <c r="D492" t="inlineStr">
        <is>
          <t>JÄMTLANDS LÄN</t>
        </is>
      </c>
      <c r="E492" t="inlineStr">
        <is>
          <t>RAGUNDA</t>
        </is>
      </c>
      <c r="G492" t="n">
        <v>13.4</v>
      </c>
      <c r="H492" t="n">
        <v>0</v>
      </c>
      <c r="I492" t="n">
        <v>0</v>
      </c>
      <c r="J492" t="n">
        <v>0</v>
      </c>
      <c r="K492" t="n">
        <v>0</v>
      </c>
      <c r="L492" t="n">
        <v>0</v>
      </c>
      <c r="M492" t="n">
        <v>0</v>
      </c>
      <c r="N492" t="n">
        <v>0</v>
      </c>
      <c r="O492" t="n">
        <v>0</v>
      </c>
      <c r="P492" t="n">
        <v>0</v>
      </c>
      <c r="Q492" t="n">
        <v>0</v>
      </c>
      <c r="R492" s="2" t="inlineStr"/>
    </row>
    <row r="493" ht="15" customHeight="1">
      <c r="A493" t="inlineStr">
        <is>
          <t>A 18778-2024</t>
        </is>
      </c>
      <c r="B493" s="1" t="n">
        <v>45426</v>
      </c>
      <c r="C493" s="1" t="n">
        <v>46090</v>
      </c>
      <c r="D493" t="inlineStr">
        <is>
          <t>JÄMTLANDS LÄN</t>
        </is>
      </c>
      <c r="E493" t="inlineStr">
        <is>
          <t>RAGUNDA</t>
        </is>
      </c>
      <c r="G493" t="n">
        <v>0.9</v>
      </c>
      <c r="H493" t="n">
        <v>0</v>
      </c>
      <c r="I493" t="n">
        <v>0</v>
      </c>
      <c r="J493" t="n">
        <v>0</v>
      </c>
      <c r="K493" t="n">
        <v>0</v>
      </c>
      <c r="L493" t="n">
        <v>0</v>
      </c>
      <c r="M493" t="n">
        <v>0</v>
      </c>
      <c r="N493" t="n">
        <v>0</v>
      </c>
      <c r="O493" t="n">
        <v>0</v>
      </c>
      <c r="P493" t="n">
        <v>0</v>
      </c>
      <c r="Q493" t="n">
        <v>0</v>
      </c>
      <c r="R493" s="2" t="inlineStr"/>
    </row>
    <row r="494" ht="15" customHeight="1">
      <c r="A494" t="inlineStr">
        <is>
          <t>A 59556-2024</t>
        </is>
      </c>
      <c r="B494" s="1" t="n">
        <v>45638.63600694444</v>
      </c>
      <c r="C494" s="1" t="n">
        <v>46090</v>
      </c>
      <c r="D494" t="inlineStr">
        <is>
          <t>JÄMTLANDS LÄN</t>
        </is>
      </c>
      <c r="E494" t="inlineStr">
        <is>
          <t>RAGUNDA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28216-2025</t>
        </is>
      </c>
      <c r="B495" s="1" t="n">
        <v>45818.46898148148</v>
      </c>
      <c r="C495" s="1" t="n">
        <v>46090</v>
      </c>
      <c r="D495" t="inlineStr">
        <is>
          <t>JÄMTLANDS LÄN</t>
        </is>
      </c>
      <c r="E495" t="inlineStr">
        <is>
          <t>RAGUNDA</t>
        </is>
      </c>
      <c r="G495" t="n">
        <v>6.6</v>
      </c>
      <c r="H495" t="n">
        <v>0</v>
      </c>
      <c r="I495" t="n">
        <v>0</v>
      </c>
      <c r="J495" t="n">
        <v>0</v>
      </c>
      <c r="K495" t="n">
        <v>0</v>
      </c>
      <c r="L495" t="n">
        <v>0</v>
      </c>
      <c r="M495" t="n">
        <v>0</v>
      </c>
      <c r="N495" t="n">
        <v>0</v>
      </c>
      <c r="O495" t="n">
        <v>0</v>
      </c>
      <c r="P495" t="n">
        <v>0</v>
      </c>
      <c r="Q495" t="n">
        <v>0</v>
      </c>
      <c r="R495" s="2" t="inlineStr"/>
    </row>
    <row r="496" ht="15" customHeight="1">
      <c r="A496" t="inlineStr">
        <is>
          <t>A 7777-2026</t>
        </is>
      </c>
      <c r="B496" s="1" t="n">
        <v>46062.57324074074</v>
      </c>
      <c r="C496" s="1" t="n">
        <v>46090</v>
      </c>
      <c r="D496" t="inlineStr">
        <is>
          <t>JÄMTLANDS LÄN</t>
        </is>
      </c>
      <c r="E496" t="inlineStr">
        <is>
          <t>RAGUNDA</t>
        </is>
      </c>
      <c r="G496" t="n">
        <v>6.4</v>
      </c>
      <c r="H496" t="n">
        <v>0</v>
      </c>
      <c r="I496" t="n">
        <v>0</v>
      </c>
      <c r="J496" t="n">
        <v>0</v>
      </c>
      <c r="K496" t="n">
        <v>0</v>
      </c>
      <c r="L496" t="n">
        <v>0</v>
      </c>
      <c r="M496" t="n">
        <v>0</v>
      </c>
      <c r="N496" t="n">
        <v>0</v>
      </c>
      <c r="O496" t="n">
        <v>0</v>
      </c>
      <c r="P496" t="n">
        <v>0</v>
      </c>
      <c r="Q496" t="n">
        <v>0</v>
      </c>
      <c r="R496" s="2" t="inlineStr"/>
    </row>
    <row r="497" ht="15" customHeight="1">
      <c r="A497" t="inlineStr">
        <is>
          <t>A 25376-2025</t>
        </is>
      </c>
      <c r="B497" s="1" t="n">
        <v>45800.63619212963</v>
      </c>
      <c r="C497" s="1" t="n">
        <v>46090</v>
      </c>
      <c r="D497" t="inlineStr">
        <is>
          <t>JÄMTLANDS LÄN</t>
        </is>
      </c>
      <c r="E497" t="inlineStr">
        <is>
          <t>RAGUNDA</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16529-2022</t>
        </is>
      </c>
      <c r="B498" s="1" t="n">
        <v>44671</v>
      </c>
      <c r="C498" s="1" t="n">
        <v>46090</v>
      </c>
      <c r="D498" t="inlineStr">
        <is>
          <t>JÄMTLANDS LÄN</t>
        </is>
      </c>
      <c r="E498" t="inlineStr">
        <is>
          <t>RAGUNDA</t>
        </is>
      </c>
      <c r="G498" t="n">
        <v>1.5</v>
      </c>
      <c r="H498" t="n">
        <v>0</v>
      </c>
      <c r="I498" t="n">
        <v>0</v>
      </c>
      <c r="J498" t="n">
        <v>0</v>
      </c>
      <c r="K498" t="n">
        <v>0</v>
      </c>
      <c r="L498" t="n">
        <v>0</v>
      </c>
      <c r="M498" t="n">
        <v>0</v>
      </c>
      <c r="N498" t="n">
        <v>0</v>
      </c>
      <c r="O498" t="n">
        <v>0</v>
      </c>
      <c r="P498" t="n">
        <v>0</v>
      </c>
      <c r="Q498" t="n">
        <v>0</v>
      </c>
      <c r="R498" s="2" t="inlineStr"/>
    </row>
    <row r="499" ht="15" customHeight="1">
      <c r="A499" t="inlineStr">
        <is>
          <t>A 25175-2025</t>
        </is>
      </c>
      <c r="B499" s="1" t="n">
        <v>45800.44822916666</v>
      </c>
      <c r="C499" s="1" t="n">
        <v>46090</v>
      </c>
      <c r="D499" t="inlineStr">
        <is>
          <t>JÄMTLANDS LÄN</t>
        </is>
      </c>
      <c r="E499" t="inlineStr">
        <is>
          <t>RAGUNDA</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25177-2025</t>
        </is>
      </c>
      <c r="B500" s="1" t="n">
        <v>45800.44862268519</v>
      </c>
      <c r="C500" s="1" t="n">
        <v>46090</v>
      </c>
      <c r="D500" t="inlineStr">
        <is>
          <t>JÄMTLANDS LÄN</t>
        </is>
      </c>
      <c r="E500" t="inlineStr">
        <is>
          <t>RAGUNDA</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25659-2025</t>
        </is>
      </c>
      <c r="B501" s="1" t="n">
        <v>45803.61552083334</v>
      </c>
      <c r="C501" s="1" t="n">
        <v>46090</v>
      </c>
      <c r="D501" t="inlineStr">
        <is>
          <t>JÄMTLANDS LÄN</t>
        </is>
      </c>
      <c r="E501" t="inlineStr">
        <is>
          <t>RAGUNDA</t>
        </is>
      </c>
      <c r="G501" t="n">
        <v>1.5</v>
      </c>
      <c r="H501" t="n">
        <v>0</v>
      </c>
      <c r="I501" t="n">
        <v>0</v>
      </c>
      <c r="J501" t="n">
        <v>0</v>
      </c>
      <c r="K501" t="n">
        <v>0</v>
      </c>
      <c r="L501" t="n">
        <v>0</v>
      </c>
      <c r="M501" t="n">
        <v>0</v>
      </c>
      <c r="N501" t="n">
        <v>0</v>
      </c>
      <c r="O501" t="n">
        <v>0</v>
      </c>
      <c r="P501" t="n">
        <v>0</v>
      </c>
      <c r="Q501" t="n">
        <v>0</v>
      </c>
      <c r="R501" s="2" t="inlineStr"/>
    </row>
    <row r="502" ht="15" customHeight="1">
      <c r="A502" t="inlineStr">
        <is>
          <t>A 25661-2025</t>
        </is>
      </c>
      <c r="B502" s="1" t="n">
        <v>45803.61557870371</v>
      </c>
      <c r="C502" s="1" t="n">
        <v>46090</v>
      </c>
      <c r="D502" t="inlineStr">
        <is>
          <t>JÄMTLANDS LÄN</t>
        </is>
      </c>
      <c r="E502" t="inlineStr">
        <is>
          <t>RAGUNDA</t>
        </is>
      </c>
      <c r="G502" t="n">
        <v>1.4</v>
      </c>
      <c r="H502" t="n">
        <v>0</v>
      </c>
      <c r="I502" t="n">
        <v>0</v>
      </c>
      <c r="J502" t="n">
        <v>0</v>
      </c>
      <c r="K502" t="n">
        <v>0</v>
      </c>
      <c r="L502" t="n">
        <v>0</v>
      </c>
      <c r="M502" t="n">
        <v>0</v>
      </c>
      <c r="N502" t="n">
        <v>0</v>
      </c>
      <c r="O502" t="n">
        <v>0</v>
      </c>
      <c r="P502" t="n">
        <v>0</v>
      </c>
      <c r="Q502" t="n">
        <v>0</v>
      </c>
      <c r="R502" s="2" t="inlineStr"/>
    </row>
    <row r="503" ht="15" customHeight="1">
      <c r="A503" t="inlineStr">
        <is>
          <t>A 61934-2022</t>
        </is>
      </c>
      <c r="B503" s="1" t="n">
        <v>44917</v>
      </c>
      <c r="C503" s="1" t="n">
        <v>46090</v>
      </c>
      <c r="D503" t="inlineStr">
        <is>
          <t>JÄMTLANDS LÄN</t>
        </is>
      </c>
      <c r="E503" t="inlineStr">
        <is>
          <t>RAGUNDA</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25350-2025</t>
        </is>
      </c>
      <c r="B504" s="1" t="n">
        <v>45800</v>
      </c>
      <c r="C504" s="1" t="n">
        <v>46090</v>
      </c>
      <c r="D504" t="inlineStr">
        <is>
          <t>JÄMTLANDS LÄN</t>
        </is>
      </c>
      <c r="E504" t="inlineStr">
        <is>
          <t>RAGUNDA</t>
        </is>
      </c>
      <c r="G504" t="n">
        <v>2.4</v>
      </c>
      <c r="H504" t="n">
        <v>0</v>
      </c>
      <c r="I504" t="n">
        <v>0</v>
      </c>
      <c r="J504" t="n">
        <v>0</v>
      </c>
      <c r="K504" t="n">
        <v>0</v>
      </c>
      <c r="L504" t="n">
        <v>0</v>
      </c>
      <c r="M504" t="n">
        <v>0</v>
      </c>
      <c r="N504" t="n">
        <v>0</v>
      </c>
      <c r="O504" t="n">
        <v>0</v>
      </c>
      <c r="P504" t="n">
        <v>0</v>
      </c>
      <c r="Q504" t="n">
        <v>0</v>
      </c>
      <c r="R504" s="2" t="inlineStr"/>
    </row>
    <row r="505" ht="15" customHeight="1">
      <c r="A505" t="inlineStr">
        <is>
          <t>A 8678-2023</t>
        </is>
      </c>
      <c r="B505" s="1" t="n">
        <v>44977.98660879629</v>
      </c>
      <c r="C505" s="1" t="n">
        <v>46090</v>
      </c>
      <c r="D505" t="inlineStr">
        <is>
          <t>JÄMTLANDS LÄN</t>
        </is>
      </c>
      <c r="E505" t="inlineStr">
        <is>
          <t>RAGUNDA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25152-2025</t>
        </is>
      </c>
      <c r="B506" s="1" t="n">
        <v>45800.42743055556</v>
      </c>
      <c r="C506" s="1" t="n">
        <v>46090</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8067-2026</t>
        </is>
      </c>
      <c r="B507" s="1" t="n">
        <v>46063.6358912037</v>
      </c>
      <c r="C507" s="1" t="n">
        <v>46090</v>
      </c>
      <c r="D507" t="inlineStr">
        <is>
          <t>JÄMTLANDS LÄN</t>
        </is>
      </c>
      <c r="E507" t="inlineStr">
        <is>
          <t>RAGUNDA</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19613-2023</t>
        </is>
      </c>
      <c r="B508" s="1" t="n">
        <v>45050.94020833333</v>
      </c>
      <c r="C508" s="1" t="n">
        <v>46090</v>
      </c>
      <c r="D508" t="inlineStr">
        <is>
          <t>JÄMTLANDS LÄN</t>
        </is>
      </c>
      <c r="E508" t="inlineStr">
        <is>
          <t>RAGUNDA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25814-2025</t>
        </is>
      </c>
      <c r="B509" s="1" t="n">
        <v>45804.42642361111</v>
      </c>
      <c r="C509" s="1" t="n">
        <v>46090</v>
      </c>
      <c r="D509" t="inlineStr">
        <is>
          <t>JÄMTLANDS LÄN</t>
        </is>
      </c>
      <c r="E509" t="inlineStr">
        <is>
          <t>RAGUNDA</t>
        </is>
      </c>
      <c r="G509" t="n">
        <v>0.8</v>
      </c>
      <c r="H509" t="n">
        <v>0</v>
      </c>
      <c r="I509" t="n">
        <v>0</v>
      </c>
      <c r="J509" t="n">
        <v>0</v>
      </c>
      <c r="K509" t="n">
        <v>0</v>
      </c>
      <c r="L509" t="n">
        <v>0</v>
      </c>
      <c r="M509" t="n">
        <v>0</v>
      </c>
      <c r="N509" t="n">
        <v>0</v>
      </c>
      <c r="O509" t="n">
        <v>0</v>
      </c>
      <c r="P509" t="n">
        <v>0</v>
      </c>
      <c r="Q509" t="n">
        <v>0</v>
      </c>
      <c r="R509" s="2" t="inlineStr"/>
    </row>
    <row r="510" ht="15" customHeight="1">
      <c r="A510" t="inlineStr">
        <is>
          <t>A 39947-2025</t>
        </is>
      </c>
      <c r="B510" s="1" t="n">
        <v>45892.34438657408</v>
      </c>
      <c r="C510" s="1" t="n">
        <v>46090</v>
      </c>
      <c r="D510" t="inlineStr">
        <is>
          <t>JÄMTLANDS LÄN</t>
        </is>
      </c>
      <c r="E510" t="inlineStr">
        <is>
          <t>RAGUNDA</t>
        </is>
      </c>
      <c r="G510" t="n">
        <v>6.6</v>
      </c>
      <c r="H510" t="n">
        <v>0</v>
      </c>
      <c r="I510" t="n">
        <v>0</v>
      </c>
      <c r="J510" t="n">
        <v>0</v>
      </c>
      <c r="K510" t="n">
        <v>0</v>
      </c>
      <c r="L510" t="n">
        <v>0</v>
      </c>
      <c r="M510" t="n">
        <v>0</v>
      </c>
      <c r="N510" t="n">
        <v>0</v>
      </c>
      <c r="O510" t="n">
        <v>0</v>
      </c>
      <c r="P510" t="n">
        <v>0</v>
      </c>
      <c r="Q510" t="n">
        <v>0</v>
      </c>
      <c r="R510" s="2" t="inlineStr"/>
    </row>
    <row r="511" ht="15" customHeight="1">
      <c r="A511" t="inlineStr">
        <is>
          <t>A 39951-2025</t>
        </is>
      </c>
      <c r="B511" s="1" t="n">
        <v>45892.38657407407</v>
      </c>
      <c r="C511" s="1" t="n">
        <v>46090</v>
      </c>
      <c r="D511" t="inlineStr">
        <is>
          <t>JÄMTLANDS LÄN</t>
        </is>
      </c>
      <c r="E511" t="inlineStr">
        <is>
          <t>RAGUNDA</t>
        </is>
      </c>
      <c r="G511" t="n">
        <v>2.3</v>
      </c>
      <c r="H511" t="n">
        <v>0</v>
      </c>
      <c r="I511" t="n">
        <v>0</v>
      </c>
      <c r="J511" t="n">
        <v>0</v>
      </c>
      <c r="K511" t="n">
        <v>0</v>
      </c>
      <c r="L511" t="n">
        <v>0</v>
      </c>
      <c r="M511" t="n">
        <v>0</v>
      </c>
      <c r="N511" t="n">
        <v>0</v>
      </c>
      <c r="O511" t="n">
        <v>0</v>
      </c>
      <c r="P511" t="n">
        <v>0</v>
      </c>
      <c r="Q511" t="n">
        <v>0</v>
      </c>
      <c r="R511" s="2" t="inlineStr"/>
    </row>
    <row r="512" ht="15" customHeight="1">
      <c r="A512" t="inlineStr">
        <is>
          <t>A 39948-2025</t>
        </is>
      </c>
      <c r="B512" s="1" t="n">
        <v>45892.38591435185</v>
      </c>
      <c r="C512" s="1" t="n">
        <v>46090</v>
      </c>
      <c r="D512" t="inlineStr">
        <is>
          <t>JÄMTLANDS LÄN</t>
        </is>
      </c>
      <c r="E512" t="inlineStr">
        <is>
          <t>RAGUNDA</t>
        </is>
      </c>
      <c r="G512" t="n">
        <v>5</v>
      </c>
      <c r="H512" t="n">
        <v>0</v>
      </c>
      <c r="I512" t="n">
        <v>0</v>
      </c>
      <c r="J512" t="n">
        <v>0</v>
      </c>
      <c r="K512" t="n">
        <v>0</v>
      </c>
      <c r="L512" t="n">
        <v>0</v>
      </c>
      <c r="M512" t="n">
        <v>0</v>
      </c>
      <c r="N512" t="n">
        <v>0</v>
      </c>
      <c r="O512" t="n">
        <v>0</v>
      </c>
      <c r="P512" t="n">
        <v>0</v>
      </c>
      <c r="Q512" t="n">
        <v>0</v>
      </c>
      <c r="R512" s="2" t="inlineStr"/>
    </row>
    <row r="513" ht="15" customHeight="1">
      <c r="A513" t="inlineStr">
        <is>
          <t>A 39946-2025</t>
        </is>
      </c>
      <c r="B513" s="1" t="n">
        <v>45892.34423611111</v>
      </c>
      <c r="C513" s="1" t="n">
        <v>46090</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39950-2025</t>
        </is>
      </c>
      <c r="B514" s="1" t="n">
        <v>45892.38641203703</v>
      </c>
      <c r="C514" s="1" t="n">
        <v>46090</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39955-2025</t>
        </is>
      </c>
      <c r="B515" s="1" t="n">
        <v>45892.44824074074</v>
      </c>
      <c r="C515" s="1" t="n">
        <v>46090</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39956-2025</t>
        </is>
      </c>
      <c r="B516" s="1" t="n">
        <v>45892.44840277778</v>
      </c>
      <c r="C516" s="1" t="n">
        <v>46090</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25944-2025</t>
        </is>
      </c>
      <c r="B517" s="1" t="n">
        <v>45804.59487268519</v>
      </c>
      <c r="C517" s="1" t="n">
        <v>46090</v>
      </c>
      <c r="D517" t="inlineStr">
        <is>
          <t>JÄMTLANDS LÄN</t>
        </is>
      </c>
      <c r="E517" t="inlineStr">
        <is>
          <t>RAGUNDA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28742-2023</t>
        </is>
      </c>
      <c r="B518" s="1" t="n">
        <v>45103</v>
      </c>
      <c r="C518" s="1" t="n">
        <v>46090</v>
      </c>
      <c r="D518" t="inlineStr">
        <is>
          <t>JÄMTLANDS LÄN</t>
        </is>
      </c>
      <c r="E518" t="inlineStr">
        <is>
          <t>RAGUNDA</t>
        </is>
      </c>
      <c r="G518" t="n">
        <v>1.8</v>
      </c>
      <c r="H518" t="n">
        <v>0</v>
      </c>
      <c r="I518" t="n">
        <v>0</v>
      </c>
      <c r="J518" t="n">
        <v>0</v>
      </c>
      <c r="K518" t="n">
        <v>0</v>
      </c>
      <c r="L518" t="n">
        <v>0</v>
      </c>
      <c r="M518" t="n">
        <v>0</v>
      </c>
      <c r="N518" t="n">
        <v>0</v>
      </c>
      <c r="O518" t="n">
        <v>0</v>
      </c>
      <c r="P518" t="n">
        <v>0</v>
      </c>
      <c r="Q518" t="n">
        <v>0</v>
      </c>
      <c r="R518" s="2" t="inlineStr"/>
    </row>
    <row r="519" ht="15" customHeight="1">
      <c r="A519" t="inlineStr">
        <is>
          <t>A 26283-2025</t>
        </is>
      </c>
      <c r="B519" s="1" t="n">
        <v>45805.61495370371</v>
      </c>
      <c r="C519" s="1" t="n">
        <v>46090</v>
      </c>
      <c r="D519" t="inlineStr">
        <is>
          <t>JÄMTLANDS LÄN</t>
        </is>
      </c>
      <c r="E519" t="inlineStr">
        <is>
          <t>RAGUNDA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39949-2025</t>
        </is>
      </c>
      <c r="B520" s="1" t="n">
        <v>45892.38619212963</v>
      </c>
      <c r="C520" s="1" t="n">
        <v>46090</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17323-2025</t>
        </is>
      </c>
      <c r="B521" s="1" t="n">
        <v>45756.63601851852</v>
      </c>
      <c r="C521" s="1" t="n">
        <v>46090</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10788-2025</t>
        </is>
      </c>
      <c r="B522" s="1" t="n">
        <v>45722.48982638889</v>
      </c>
      <c r="C522" s="1" t="n">
        <v>46090</v>
      </c>
      <c r="D522" t="inlineStr">
        <is>
          <t>JÄMTLANDS LÄN</t>
        </is>
      </c>
      <c r="E522" t="inlineStr">
        <is>
          <t>RAGUNDA</t>
        </is>
      </c>
      <c r="G522" t="n">
        <v>3.5</v>
      </c>
      <c r="H522" t="n">
        <v>0</v>
      </c>
      <c r="I522" t="n">
        <v>0</v>
      </c>
      <c r="J522" t="n">
        <v>0</v>
      </c>
      <c r="K522" t="n">
        <v>0</v>
      </c>
      <c r="L522" t="n">
        <v>0</v>
      </c>
      <c r="M522" t="n">
        <v>0</v>
      </c>
      <c r="N522" t="n">
        <v>0</v>
      </c>
      <c r="O522" t="n">
        <v>0</v>
      </c>
      <c r="P522" t="n">
        <v>0</v>
      </c>
      <c r="Q522" t="n">
        <v>0</v>
      </c>
      <c r="R522" s="2" t="inlineStr"/>
    </row>
    <row r="523" ht="15" customHeight="1">
      <c r="A523" t="inlineStr">
        <is>
          <t>A 24258-2025</t>
        </is>
      </c>
      <c r="B523" s="1" t="n">
        <v>45797.40800925926</v>
      </c>
      <c r="C523" s="1" t="n">
        <v>46090</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25994-2025</t>
        </is>
      </c>
      <c r="B524" s="1" t="n">
        <v>45804.65672453704</v>
      </c>
      <c r="C524" s="1" t="n">
        <v>46090</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16364-2023</t>
        </is>
      </c>
      <c r="B525" s="1" t="n">
        <v>45028</v>
      </c>
      <c r="C525" s="1" t="n">
        <v>46090</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59136-2023</t>
        </is>
      </c>
      <c r="B526" s="1" t="n">
        <v>45251</v>
      </c>
      <c r="C526" s="1" t="n">
        <v>46090</v>
      </c>
      <c r="D526" t="inlineStr">
        <is>
          <t>JÄMTLANDS LÄN</t>
        </is>
      </c>
      <c r="E526" t="inlineStr">
        <is>
          <t>RAGUNDA</t>
        </is>
      </c>
      <c r="G526" t="n">
        <v>1.7</v>
      </c>
      <c r="H526" t="n">
        <v>0</v>
      </c>
      <c r="I526" t="n">
        <v>0</v>
      </c>
      <c r="J526" t="n">
        <v>0</v>
      </c>
      <c r="K526" t="n">
        <v>0</v>
      </c>
      <c r="L526" t="n">
        <v>0</v>
      </c>
      <c r="M526" t="n">
        <v>0</v>
      </c>
      <c r="N526" t="n">
        <v>0</v>
      </c>
      <c r="O526" t="n">
        <v>0</v>
      </c>
      <c r="P526" t="n">
        <v>0</v>
      </c>
      <c r="Q526" t="n">
        <v>0</v>
      </c>
      <c r="R526" s="2" t="inlineStr"/>
    </row>
    <row r="527" ht="15" customHeight="1">
      <c r="A527" t="inlineStr">
        <is>
          <t>A 26172-2025</t>
        </is>
      </c>
      <c r="B527" s="1" t="n">
        <v>45805.46613425926</v>
      </c>
      <c r="C527" s="1" t="n">
        <v>46090</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40586-2025</t>
        </is>
      </c>
      <c r="B528" s="1" t="n">
        <v>45896.52478009259</v>
      </c>
      <c r="C528" s="1" t="n">
        <v>46090</v>
      </c>
      <c r="D528" t="inlineStr">
        <is>
          <t>JÄMTLANDS LÄN</t>
        </is>
      </c>
      <c r="E528" t="inlineStr">
        <is>
          <t>RAGUNDA</t>
        </is>
      </c>
      <c r="G528" t="n">
        <v>1.2</v>
      </c>
      <c r="H528" t="n">
        <v>0</v>
      </c>
      <c r="I528" t="n">
        <v>0</v>
      </c>
      <c r="J528" t="n">
        <v>0</v>
      </c>
      <c r="K528" t="n">
        <v>0</v>
      </c>
      <c r="L528" t="n">
        <v>0</v>
      </c>
      <c r="M528" t="n">
        <v>0</v>
      </c>
      <c r="N528" t="n">
        <v>0</v>
      </c>
      <c r="O528" t="n">
        <v>0</v>
      </c>
      <c r="P528" t="n">
        <v>0</v>
      </c>
      <c r="Q528" t="n">
        <v>0</v>
      </c>
      <c r="R528" s="2" t="inlineStr"/>
    </row>
    <row r="529" ht="15" customHeight="1">
      <c r="A529" t="inlineStr">
        <is>
          <t>A 26246-2025</t>
        </is>
      </c>
      <c r="B529" s="1" t="n">
        <v>45805.57390046296</v>
      </c>
      <c r="C529" s="1" t="n">
        <v>46090</v>
      </c>
      <c r="D529" t="inlineStr">
        <is>
          <t>JÄMTLANDS LÄN</t>
        </is>
      </c>
      <c r="E529" t="inlineStr">
        <is>
          <t>RAGUNDA</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49659-2023</t>
        </is>
      </c>
      <c r="B530" s="1" t="n">
        <v>45211.95134259259</v>
      </c>
      <c r="C530" s="1" t="n">
        <v>46090</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73278-2021</t>
        </is>
      </c>
      <c r="B531" s="1" t="n">
        <v>44550.92168981482</v>
      </c>
      <c r="C531" s="1" t="n">
        <v>46090</v>
      </c>
      <c r="D531" t="inlineStr">
        <is>
          <t>JÄMTLANDS LÄN</t>
        </is>
      </c>
      <c r="E531" t="inlineStr">
        <is>
          <t>RAGUNDA</t>
        </is>
      </c>
      <c r="G531" t="n">
        <v>4.4</v>
      </c>
      <c r="H531" t="n">
        <v>0</v>
      </c>
      <c r="I531" t="n">
        <v>0</v>
      </c>
      <c r="J531" t="n">
        <v>0</v>
      </c>
      <c r="K531" t="n">
        <v>0</v>
      </c>
      <c r="L531" t="n">
        <v>0</v>
      </c>
      <c r="M531" t="n">
        <v>0</v>
      </c>
      <c r="N531" t="n">
        <v>0</v>
      </c>
      <c r="O531" t="n">
        <v>0</v>
      </c>
      <c r="P531" t="n">
        <v>0</v>
      </c>
      <c r="Q531" t="n">
        <v>0</v>
      </c>
      <c r="R531" s="2" t="inlineStr"/>
    </row>
    <row r="532" ht="15" customHeight="1">
      <c r="A532" t="inlineStr">
        <is>
          <t>A 50521-2024</t>
        </is>
      </c>
      <c r="B532" s="1" t="n">
        <v>45601.55331018518</v>
      </c>
      <c r="C532" s="1" t="n">
        <v>46090</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41161-2025</t>
        </is>
      </c>
      <c r="B533" s="1" t="n">
        <v>45898.53193287037</v>
      </c>
      <c r="C533" s="1" t="n">
        <v>46090</v>
      </c>
      <c r="D533" t="inlineStr">
        <is>
          <t>JÄMTLANDS LÄN</t>
        </is>
      </c>
      <c r="E533" t="inlineStr">
        <is>
          <t>RAGUNDA</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4916-2025</t>
        </is>
      </c>
      <c r="B534" s="1" t="n">
        <v>45688.68196759259</v>
      </c>
      <c r="C534" s="1" t="n">
        <v>46090</v>
      </c>
      <c r="D534" t="inlineStr">
        <is>
          <t>JÄMTLANDS LÄN</t>
        </is>
      </c>
      <c r="E534" t="inlineStr">
        <is>
          <t>RAGUNDA</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51396-2024</t>
        </is>
      </c>
      <c r="B535" s="1" t="n">
        <v>45604.4190625</v>
      </c>
      <c r="C535" s="1" t="n">
        <v>46090</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41233-2025</t>
        </is>
      </c>
      <c r="B536" s="1" t="n">
        <v>45898.59295138889</v>
      </c>
      <c r="C536" s="1" t="n">
        <v>46090</v>
      </c>
      <c r="D536" t="inlineStr">
        <is>
          <t>JÄMTLANDS LÄN</t>
        </is>
      </c>
      <c r="E536" t="inlineStr">
        <is>
          <t>RAGUNDA</t>
        </is>
      </c>
      <c r="G536" t="n">
        <v>1.7</v>
      </c>
      <c r="H536" t="n">
        <v>0</v>
      </c>
      <c r="I536" t="n">
        <v>0</v>
      </c>
      <c r="J536" t="n">
        <v>0</v>
      </c>
      <c r="K536" t="n">
        <v>0</v>
      </c>
      <c r="L536" t="n">
        <v>0</v>
      </c>
      <c r="M536" t="n">
        <v>0</v>
      </c>
      <c r="N536" t="n">
        <v>0</v>
      </c>
      <c r="O536" t="n">
        <v>0</v>
      </c>
      <c r="P536" t="n">
        <v>0</v>
      </c>
      <c r="Q536" t="n">
        <v>0</v>
      </c>
      <c r="R536" s="2" t="inlineStr"/>
    </row>
    <row r="537" ht="15" customHeight="1">
      <c r="A537" t="inlineStr">
        <is>
          <t>A 59557-2023</t>
        </is>
      </c>
      <c r="B537" s="1" t="n">
        <v>45253</v>
      </c>
      <c r="C537" s="1" t="n">
        <v>46090</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26640-2025</t>
        </is>
      </c>
      <c r="B538" s="1" t="n">
        <v>45810.36495370371</v>
      </c>
      <c r="C538" s="1" t="n">
        <v>46090</v>
      </c>
      <c r="D538" t="inlineStr">
        <is>
          <t>JÄMTLANDS LÄN</t>
        </is>
      </c>
      <c r="E538" t="inlineStr">
        <is>
          <t>RAGUNDA</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57112-2024</t>
        </is>
      </c>
      <c r="B539" s="1" t="n">
        <v>45629.36486111111</v>
      </c>
      <c r="C539" s="1" t="n">
        <v>46090</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53136-2024</t>
        </is>
      </c>
      <c r="B540" s="1" t="n">
        <v>45611.5953125</v>
      </c>
      <c r="C540" s="1" t="n">
        <v>46090</v>
      </c>
      <c r="D540" t="inlineStr">
        <is>
          <t>JÄMTLANDS LÄN</t>
        </is>
      </c>
      <c r="E540" t="inlineStr">
        <is>
          <t>RAGUNDA</t>
        </is>
      </c>
      <c r="G540" t="n">
        <v>3.8</v>
      </c>
      <c r="H540" t="n">
        <v>0</v>
      </c>
      <c r="I540" t="n">
        <v>0</v>
      </c>
      <c r="J540" t="n">
        <v>0</v>
      </c>
      <c r="K540" t="n">
        <v>0</v>
      </c>
      <c r="L540" t="n">
        <v>0</v>
      </c>
      <c r="M540" t="n">
        <v>0</v>
      </c>
      <c r="N540" t="n">
        <v>0</v>
      </c>
      <c r="O540" t="n">
        <v>0</v>
      </c>
      <c r="P540" t="n">
        <v>0</v>
      </c>
      <c r="Q540" t="n">
        <v>0</v>
      </c>
      <c r="R540" s="2" t="inlineStr"/>
    </row>
    <row r="541" ht="15" customHeight="1">
      <c r="A541" t="inlineStr">
        <is>
          <t>A 41262-2025</t>
        </is>
      </c>
      <c r="B541" s="1" t="n">
        <v>45898.61502314815</v>
      </c>
      <c r="C541" s="1" t="n">
        <v>46090</v>
      </c>
      <c r="D541" t="inlineStr">
        <is>
          <t>JÄMTLANDS LÄN</t>
        </is>
      </c>
      <c r="E541" t="inlineStr">
        <is>
          <t>RAGUNDA</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33621-2023</t>
        </is>
      </c>
      <c r="B542" s="1" t="n">
        <v>45119</v>
      </c>
      <c r="C542" s="1" t="n">
        <v>46090</v>
      </c>
      <c r="D542" t="inlineStr">
        <is>
          <t>JÄMTLANDS LÄN</t>
        </is>
      </c>
      <c r="E542" t="inlineStr">
        <is>
          <t>RAGUNDA</t>
        </is>
      </c>
      <c r="G542" t="n">
        <v>0.5</v>
      </c>
      <c r="H542" t="n">
        <v>0</v>
      </c>
      <c r="I542" t="n">
        <v>0</v>
      </c>
      <c r="J542" t="n">
        <v>0</v>
      </c>
      <c r="K542" t="n">
        <v>0</v>
      </c>
      <c r="L542" t="n">
        <v>0</v>
      </c>
      <c r="M542" t="n">
        <v>0</v>
      </c>
      <c r="N542" t="n">
        <v>0</v>
      </c>
      <c r="O542" t="n">
        <v>0</v>
      </c>
      <c r="P542" t="n">
        <v>0</v>
      </c>
      <c r="Q542" t="n">
        <v>0</v>
      </c>
      <c r="R542" s="2" t="inlineStr"/>
    </row>
    <row r="543" ht="15" customHeight="1">
      <c r="A543" t="inlineStr">
        <is>
          <t>A 6694-2024</t>
        </is>
      </c>
      <c r="B543" s="1" t="n">
        <v>45341.95381944445</v>
      </c>
      <c r="C543" s="1" t="n">
        <v>46090</v>
      </c>
      <c r="D543" t="inlineStr">
        <is>
          <t>JÄMTLANDS LÄN</t>
        </is>
      </c>
      <c r="E543" t="inlineStr">
        <is>
          <t>RAGUNDA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41423-2025</t>
        </is>
      </c>
      <c r="B544" s="1" t="n">
        <v>45901.38578703703</v>
      </c>
      <c r="C544" s="1" t="n">
        <v>46090</v>
      </c>
      <c r="D544" t="inlineStr">
        <is>
          <t>JÄMTLANDS LÄN</t>
        </is>
      </c>
      <c r="E544" t="inlineStr">
        <is>
          <t>RAGUNDA</t>
        </is>
      </c>
      <c r="G544" t="n">
        <v>0.7</v>
      </c>
      <c r="H544" t="n">
        <v>0</v>
      </c>
      <c r="I544" t="n">
        <v>0</v>
      </c>
      <c r="J544" t="n">
        <v>0</v>
      </c>
      <c r="K544" t="n">
        <v>0</v>
      </c>
      <c r="L544" t="n">
        <v>0</v>
      </c>
      <c r="M544" t="n">
        <v>0</v>
      </c>
      <c r="N544" t="n">
        <v>0</v>
      </c>
      <c r="O544" t="n">
        <v>0</v>
      </c>
      <c r="P544" t="n">
        <v>0</v>
      </c>
      <c r="Q544" t="n">
        <v>0</v>
      </c>
      <c r="R544" s="2" t="inlineStr"/>
    </row>
    <row r="545" ht="15" customHeight="1">
      <c r="A545" t="inlineStr">
        <is>
          <t>A 1537-2024</t>
        </is>
      </c>
      <c r="B545" s="1" t="n">
        <v>45306</v>
      </c>
      <c r="C545" s="1" t="n">
        <v>46090</v>
      </c>
      <c r="D545" t="inlineStr">
        <is>
          <t>JÄMTLANDS LÄN</t>
        </is>
      </c>
      <c r="E545" t="inlineStr">
        <is>
          <t>RAGUNDA</t>
        </is>
      </c>
      <c r="G545" t="n">
        <v>0.2</v>
      </c>
      <c r="H545" t="n">
        <v>0</v>
      </c>
      <c r="I545" t="n">
        <v>0</v>
      </c>
      <c r="J545" t="n">
        <v>0</v>
      </c>
      <c r="K545" t="n">
        <v>0</v>
      </c>
      <c r="L545" t="n">
        <v>0</v>
      </c>
      <c r="M545" t="n">
        <v>0</v>
      </c>
      <c r="N545" t="n">
        <v>0</v>
      </c>
      <c r="O545" t="n">
        <v>0</v>
      </c>
      <c r="P545" t="n">
        <v>0</v>
      </c>
      <c r="Q545" t="n">
        <v>0</v>
      </c>
      <c r="R545" s="2" t="inlineStr"/>
    </row>
    <row r="546" ht="15" customHeight="1">
      <c r="A546" t="inlineStr">
        <is>
          <t>A 2001-2025</t>
        </is>
      </c>
      <c r="B546" s="1" t="n">
        <v>45672.44898148148</v>
      </c>
      <c r="C546" s="1" t="n">
        <v>46090</v>
      </c>
      <c r="D546" t="inlineStr">
        <is>
          <t>JÄMTLANDS LÄN</t>
        </is>
      </c>
      <c r="E546" t="inlineStr">
        <is>
          <t>RAGUNDA</t>
        </is>
      </c>
      <c r="F546" t="inlineStr">
        <is>
          <t>SCA</t>
        </is>
      </c>
      <c r="G546" t="n">
        <v>16.2</v>
      </c>
      <c r="H546" t="n">
        <v>0</v>
      </c>
      <c r="I546" t="n">
        <v>0</v>
      </c>
      <c r="J546" t="n">
        <v>0</v>
      </c>
      <c r="K546" t="n">
        <v>0</v>
      </c>
      <c r="L546" t="n">
        <v>0</v>
      </c>
      <c r="M546" t="n">
        <v>0</v>
      </c>
      <c r="N546" t="n">
        <v>0</v>
      </c>
      <c r="O546" t="n">
        <v>0</v>
      </c>
      <c r="P546" t="n">
        <v>0</v>
      </c>
      <c r="Q546" t="n">
        <v>0</v>
      </c>
      <c r="R546" s="2" t="inlineStr"/>
    </row>
    <row r="547" ht="15" customHeight="1">
      <c r="A547" t="inlineStr">
        <is>
          <t>A 53762-2023</t>
        </is>
      </c>
      <c r="B547" s="1" t="n">
        <v>45230.96376157407</v>
      </c>
      <c r="C547" s="1" t="n">
        <v>46090</v>
      </c>
      <c r="D547" t="inlineStr">
        <is>
          <t>JÄMTLANDS LÄN</t>
        </is>
      </c>
      <c r="E547" t="inlineStr">
        <is>
          <t>RAGUNDA</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60935-2024</t>
        </is>
      </c>
      <c r="B548" s="1" t="n">
        <v>45645.36740740741</v>
      </c>
      <c r="C548" s="1" t="n">
        <v>46090</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41424-2025</t>
        </is>
      </c>
      <c r="B549" s="1" t="n">
        <v>45901.38584490741</v>
      </c>
      <c r="C549" s="1" t="n">
        <v>46090</v>
      </c>
      <c r="D549" t="inlineStr">
        <is>
          <t>JÄMTLANDS LÄN</t>
        </is>
      </c>
      <c r="E549" t="inlineStr">
        <is>
          <t>RAGUNDA</t>
        </is>
      </c>
      <c r="G549" t="n">
        <v>3</v>
      </c>
      <c r="H549" t="n">
        <v>0</v>
      </c>
      <c r="I549" t="n">
        <v>0</v>
      </c>
      <c r="J549" t="n">
        <v>0</v>
      </c>
      <c r="K549" t="n">
        <v>0</v>
      </c>
      <c r="L549" t="n">
        <v>0</v>
      </c>
      <c r="M549" t="n">
        <v>0</v>
      </c>
      <c r="N549" t="n">
        <v>0</v>
      </c>
      <c r="O549" t="n">
        <v>0</v>
      </c>
      <c r="P549" t="n">
        <v>0</v>
      </c>
      <c r="Q549" t="n">
        <v>0</v>
      </c>
      <c r="R549" s="2" t="inlineStr"/>
    </row>
    <row r="550" ht="15" customHeight="1">
      <c r="A550" t="inlineStr">
        <is>
          <t>A 41140-2025</t>
        </is>
      </c>
      <c r="B550" s="1" t="n">
        <v>45898.49012731481</v>
      </c>
      <c r="C550" s="1" t="n">
        <v>46090</v>
      </c>
      <c r="D550" t="inlineStr">
        <is>
          <t>JÄMTLANDS LÄN</t>
        </is>
      </c>
      <c r="E550" t="inlineStr">
        <is>
          <t>RAGUNDA</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41422-2025</t>
        </is>
      </c>
      <c r="B551" s="1" t="n">
        <v>45901.38572916666</v>
      </c>
      <c r="C551" s="1" t="n">
        <v>46090</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41876-2025</t>
        </is>
      </c>
      <c r="B552" s="1" t="n">
        <v>45903.34555555556</v>
      </c>
      <c r="C552" s="1" t="n">
        <v>46090</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19089-2024</t>
        </is>
      </c>
      <c r="B553" s="1" t="n">
        <v>45428.00471064815</v>
      </c>
      <c r="C553" s="1" t="n">
        <v>46090</v>
      </c>
      <c r="D553" t="inlineStr">
        <is>
          <t>JÄMTLANDS LÄN</t>
        </is>
      </c>
      <c r="E553" t="inlineStr">
        <is>
          <t>RAGUNDA</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6257-2025</t>
        </is>
      </c>
      <c r="B554" s="1" t="n">
        <v>45698.59409722222</v>
      </c>
      <c r="C554" s="1" t="n">
        <v>46090</v>
      </c>
      <c r="D554" t="inlineStr">
        <is>
          <t>JÄMTLANDS LÄN</t>
        </is>
      </c>
      <c r="E554" t="inlineStr">
        <is>
          <t>RAGUNDA</t>
        </is>
      </c>
      <c r="F554" t="inlineStr">
        <is>
          <t>SCA</t>
        </is>
      </c>
      <c r="G554" t="n">
        <v>7</v>
      </c>
      <c r="H554" t="n">
        <v>0</v>
      </c>
      <c r="I554" t="n">
        <v>0</v>
      </c>
      <c r="J554" t="n">
        <v>0</v>
      </c>
      <c r="K554" t="n">
        <v>0</v>
      </c>
      <c r="L554" t="n">
        <v>0</v>
      </c>
      <c r="M554" t="n">
        <v>0</v>
      </c>
      <c r="N554" t="n">
        <v>0</v>
      </c>
      <c r="O554" t="n">
        <v>0</v>
      </c>
      <c r="P554" t="n">
        <v>0</v>
      </c>
      <c r="Q554" t="n">
        <v>0</v>
      </c>
      <c r="R554" s="2" t="inlineStr"/>
    </row>
    <row r="555" ht="15" customHeight="1">
      <c r="A555" t="inlineStr">
        <is>
          <t>A 14074-2023</t>
        </is>
      </c>
      <c r="B555" s="1" t="n">
        <v>45009.089375</v>
      </c>
      <c r="C555" s="1" t="n">
        <v>46090</v>
      </c>
      <c r="D555" t="inlineStr">
        <is>
          <t>JÄMTLANDS LÄN</t>
        </is>
      </c>
      <c r="E555" t="inlineStr">
        <is>
          <t>RAGUNDA</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37265-2024</t>
        </is>
      </c>
      <c r="B556" s="1" t="n">
        <v>45540.38564814815</v>
      </c>
      <c r="C556" s="1" t="n">
        <v>46090</v>
      </c>
      <c r="D556" t="inlineStr">
        <is>
          <t>JÄMTLANDS LÄN</t>
        </is>
      </c>
      <c r="E556" t="inlineStr">
        <is>
          <t>RAGUNDA</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41656-2025</t>
        </is>
      </c>
      <c r="B557" s="1" t="n">
        <v>45902.34423611111</v>
      </c>
      <c r="C557" s="1" t="n">
        <v>46090</v>
      </c>
      <c r="D557" t="inlineStr">
        <is>
          <t>JÄMTLANDS LÄN</t>
        </is>
      </c>
      <c r="E557" t="inlineStr">
        <is>
          <t>RAGUNDA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27510-2025</t>
        </is>
      </c>
      <c r="B558" s="1" t="n">
        <v>45813.42790509259</v>
      </c>
      <c r="C558" s="1" t="n">
        <v>46090</v>
      </c>
      <c r="D558" t="inlineStr">
        <is>
          <t>JÄMTLANDS LÄN</t>
        </is>
      </c>
      <c r="E558" t="inlineStr">
        <is>
          <t>RAGUNDA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18777-2024</t>
        </is>
      </c>
      <c r="B559" s="1" t="n">
        <v>45426</v>
      </c>
      <c r="C559" s="1" t="n">
        <v>46090</v>
      </c>
      <c r="D559" t="inlineStr">
        <is>
          <t>JÄMTLANDS LÄN</t>
        </is>
      </c>
      <c r="E559" t="inlineStr">
        <is>
          <t>RAGUNDA</t>
        </is>
      </c>
      <c r="G559" t="n">
        <v>1.9</v>
      </c>
      <c r="H559" t="n">
        <v>0</v>
      </c>
      <c r="I559" t="n">
        <v>0</v>
      </c>
      <c r="J559" t="n">
        <v>0</v>
      </c>
      <c r="K559" t="n">
        <v>0</v>
      </c>
      <c r="L559" t="n">
        <v>0</v>
      </c>
      <c r="M559" t="n">
        <v>0</v>
      </c>
      <c r="N559" t="n">
        <v>0</v>
      </c>
      <c r="O559" t="n">
        <v>0</v>
      </c>
      <c r="P559" t="n">
        <v>0</v>
      </c>
      <c r="Q559" t="n">
        <v>0</v>
      </c>
      <c r="R559" s="2" t="inlineStr"/>
    </row>
    <row r="560" ht="15" customHeight="1">
      <c r="A560" t="inlineStr">
        <is>
          <t>A 19404-2025</t>
        </is>
      </c>
      <c r="B560" s="1" t="n">
        <v>45769.67802083334</v>
      </c>
      <c r="C560" s="1" t="n">
        <v>46090</v>
      </c>
      <c r="D560" t="inlineStr">
        <is>
          <t>JÄMTLANDS LÄN</t>
        </is>
      </c>
      <c r="E560" t="inlineStr">
        <is>
          <t>RAGUNDA</t>
        </is>
      </c>
      <c r="F560" t="inlineStr">
        <is>
          <t>SCA</t>
        </is>
      </c>
      <c r="G560" t="n">
        <v>3</v>
      </c>
      <c r="H560" t="n">
        <v>0</v>
      </c>
      <c r="I560" t="n">
        <v>0</v>
      </c>
      <c r="J560" t="n">
        <v>0</v>
      </c>
      <c r="K560" t="n">
        <v>0</v>
      </c>
      <c r="L560" t="n">
        <v>0</v>
      </c>
      <c r="M560" t="n">
        <v>0</v>
      </c>
      <c r="N560" t="n">
        <v>0</v>
      </c>
      <c r="O560" t="n">
        <v>0</v>
      </c>
      <c r="P560" t="n">
        <v>0</v>
      </c>
      <c r="Q560" t="n">
        <v>0</v>
      </c>
      <c r="R560" s="2" t="inlineStr"/>
      <c r="U560">
        <f>HYPERLINK("https://klasma.github.io/Logging_2303/knärot/A 19404-2025 karta knärot.png", "A 19404-2025")</f>
        <v/>
      </c>
      <c r="V560">
        <f>HYPERLINK("https://klasma.github.io/Logging_2303/klagomål/A 19404-2025 FSC-klagomål.docx", "A 19404-2025")</f>
        <v/>
      </c>
      <c r="W560">
        <f>HYPERLINK("https://klasma.github.io/Logging_2303/klagomålsmail/A 19404-2025 FSC-klagomål mail.docx", "A 19404-2025")</f>
        <v/>
      </c>
      <c r="X560">
        <f>HYPERLINK("https://klasma.github.io/Logging_2303/tillsyn/A 19404-2025 tillsynsbegäran.docx", "A 19404-2025")</f>
        <v/>
      </c>
      <c r="Y560">
        <f>HYPERLINK("https://klasma.github.io/Logging_2303/tillsynsmail/A 19404-2025 tillsynsbegäran mail.docx", "A 19404-2025")</f>
        <v/>
      </c>
    </row>
    <row r="561" ht="15" customHeight="1">
      <c r="A561" t="inlineStr">
        <is>
          <t>A 58564-2024</t>
        </is>
      </c>
      <c r="B561" s="1" t="n">
        <v>45635.47243055556</v>
      </c>
      <c r="C561" s="1" t="n">
        <v>46090</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8243-2024</t>
        </is>
      </c>
      <c r="B562" s="1" t="n">
        <v>45351.98532407408</v>
      </c>
      <c r="C562" s="1" t="n">
        <v>46090</v>
      </c>
      <c r="D562" t="inlineStr">
        <is>
          <t>JÄMTLANDS LÄN</t>
        </is>
      </c>
      <c r="E562" t="inlineStr">
        <is>
          <t>RAGUNDA</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1325-2025</t>
        </is>
      </c>
      <c r="B563" s="1" t="n">
        <v>45667.57342592593</v>
      </c>
      <c r="C563" s="1" t="n">
        <v>46090</v>
      </c>
      <c r="D563" t="inlineStr">
        <is>
          <t>JÄMTLANDS LÄN</t>
        </is>
      </c>
      <c r="E563" t="inlineStr">
        <is>
          <t>RAGUNDA</t>
        </is>
      </c>
      <c r="F563" t="inlineStr">
        <is>
          <t>SCA</t>
        </is>
      </c>
      <c r="G563" t="n">
        <v>20.2</v>
      </c>
      <c r="H563" t="n">
        <v>0</v>
      </c>
      <c r="I563" t="n">
        <v>0</v>
      </c>
      <c r="J563" t="n">
        <v>0</v>
      </c>
      <c r="K563" t="n">
        <v>0</v>
      </c>
      <c r="L563" t="n">
        <v>0</v>
      </c>
      <c r="M563" t="n">
        <v>0</v>
      </c>
      <c r="N563" t="n">
        <v>0</v>
      </c>
      <c r="O563" t="n">
        <v>0</v>
      </c>
      <c r="P563" t="n">
        <v>0</v>
      </c>
      <c r="Q563" t="n">
        <v>0</v>
      </c>
      <c r="R563" s="2" t="inlineStr"/>
    </row>
    <row r="564" ht="15" customHeight="1">
      <c r="A564" t="inlineStr">
        <is>
          <t>A 18159-2023</t>
        </is>
      </c>
      <c r="B564" s="1" t="n">
        <v>45040.94277777777</v>
      </c>
      <c r="C564" s="1" t="n">
        <v>46090</v>
      </c>
      <c r="D564" t="inlineStr">
        <is>
          <t>JÄMTLANDS LÄN</t>
        </is>
      </c>
      <c r="E564" t="inlineStr">
        <is>
          <t>RAGUNDA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18989-2025</t>
        </is>
      </c>
      <c r="B565" s="1" t="n">
        <v>45764</v>
      </c>
      <c r="C565" s="1" t="n">
        <v>46090</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42269-2025</t>
        </is>
      </c>
      <c r="B566" s="1" t="n">
        <v>45904.60431712963</v>
      </c>
      <c r="C566" s="1" t="n">
        <v>46090</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19486-2024</t>
        </is>
      </c>
      <c r="B567" s="1" t="n">
        <v>45429</v>
      </c>
      <c r="C567" s="1" t="n">
        <v>46090</v>
      </c>
      <c r="D567" t="inlineStr">
        <is>
          <t>JÄMTLANDS LÄN</t>
        </is>
      </c>
      <c r="E567" t="inlineStr">
        <is>
          <t>RAGUNDA</t>
        </is>
      </c>
      <c r="G567" t="n">
        <v>2.3</v>
      </c>
      <c r="H567" t="n">
        <v>0</v>
      </c>
      <c r="I567" t="n">
        <v>0</v>
      </c>
      <c r="J567" t="n">
        <v>0</v>
      </c>
      <c r="K567" t="n">
        <v>0</v>
      </c>
      <c r="L567" t="n">
        <v>0</v>
      </c>
      <c r="M567" t="n">
        <v>0</v>
      </c>
      <c r="N567" t="n">
        <v>0</v>
      </c>
      <c r="O567" t="n">
        <v>0</v>
      </c>
      <c r="P567" t="n">
        <v>0</v>
      </c>
      <c r="Q567" t="n">
        <v>0</v>
      </c>
      <c r="R567" s="2" t="inlineStr"/>
    </row>
    <row r="568" ht="15" customHeight="1">
      <c r="A568" t="inlineStr">
        <is>
          <t>A 1326-2025</t>
        </is>
      </c>
      <c r="B568" s="1" t="n">
        <v>45667.57347222222</v>
      </c>
      <c r="C568" s="1" t="n">
        <v>46090</v>
      </c>
      <c r="D568" t="inlineStr">
        <is>
          <t>JÄMTLANDS LÄN</t>
        </is>
      </c>
      <c r="E568" t="inlineStr">
        <is>
          <t>RAGUNDA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30642-2024</t>
        </is>
      </c>
      <c r="B569" s="1" t="n">
        <v>45495.57677083334</v>
      </c>
      <c r="C569" s="1" t="n">
        <v>46090</v>
      </c>
      <c r="D569" t="inlineStr">
        <is>
          <t>JÄMTLANDS LÄN</t>
        </is>
      </c>
      <c r="E569" t="inlineStr">
        <is>
          <t>RAGUNDA</t>
        </is>
      </c>
      <c r="G569" t="n">
        <v>2.7</v>
      </c>
      <c r="H569" t="n">
        <v>0</v>
      </c>
      <c r="I569" t="n">
        <v>0</v>
      </c>
      <c r="J569" t="n">
        <v>0</v>
      </c>
      <c r="K569" t="n">
        <v>0</v>
      </c>
      <c r="L569" t="n">
        <v>0</v>
      </c>
      <c r="M569" t="n">
        <v>0</v>
      </c>
      <c r="N569" t="n">
        <v>0</v>
      </c>
      <c r="O569" t="n">
        <v>0</v>
      </c>
      <c r="P569" t="n">
        <v>0</v>
      </c>
      <c r="Q569" t="n">
        <v>0</v>
      </c>
      <c r="R569" s="2" t="inlineStr"/>
    </row>
    <row r="570" ht="15" customHeight="1">
      <c r="A570" t="inlineStr">
        <is>
          <t>A 993-2025</t>
        </is>
      </c>
      <c r="B570" s="1" t="n">
        <v>45666.44943287037</v>
      </c>
      <c r="C570" s="1" t="n">
        <v>46090</v>
      </c>
      <c r="D570" t="inlineStr">
        <is>
          <t>JÄMTLANDS LÄN</t>
        </is>
      </c>
      <c r="E570" t="inlineStr">
        <is>
          <t>RAGUNDA</t>
        </is>
      </c>
      <c r="G570" t="n">
        <v>11.3</v>
      </c>
      <c r="H570" t="n">
        <v>0</v>
      </c>
      <c r="I570" t="n">
        <v>0</v>
      </c>
      <c r="J570" t="n">
        <v>0</v>
      </c>
      <c r="K570" t="n">
        <v>0</v>
      </c>
      <c r="L570" t="n">
        <v>0</v>
      </c>
      <c r="M570" t="n">
        <v>0</v>
      </c>
      <c r="N570" t="n">
        <v>0</v>
      </c>
      <c r="O570" t="n">
        <v>0</v>
      </c>
      <c r="P570" t="n">
        <v>0</v>
      </c>
      <c r="Q570" t="n">
        <v>0</v>
      </c>
      <c r="R570" s="2" t="inlineStr"/>
    </row>
    <row r="571" ht="15" customHeight="1">
      <c r="A571" t="inlineStr">
        <is>
          <t>A 58193-2022</t>
        </is>
      </c>
      <c r="B571" s="1" t="n">
        <v>44900.95700231481</v>
      </c>
      <c r="C571" s="1" t="n">
        <v>46090</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28081-2022</t>
        </is>
      </c>
      <c r="B572" s="1" t="n">
        <v>44746</v>
      </c>
      <c r="C572" s="1" t="n">
        <v>46090</v>
      </c>
      <c r="D572" t="inlineStr">
        <is>
          <t>JÄMTLANDS LÄN</t>
        </is>
      </c>
      <c r="E572" t="inlineStr">
        <is>
          <t>RAGUNDA</t>
        </is>
      </c>
      <c r="G572" t="n">
        <v>7.2</v>
      </c>
      <c r="H572" t="n">
        <v>0</v>
      </c>
      <c r="I572" t="n">
        <v>0</v>
      </c>
      <c r="J572" t="n">
        <v>0</v>
      </c>
      <c r="K572" t="n">
        <v>0</v>
      </c>
      <c r="L572" t="n">
        <v>0</v>
      </c>
      <c r="M572" t="n">
        <v>0</v>
      </c>
      <c r="N572" t="n">
        <v>0</v>
      </c>
      <c r="O572" t="n">
        <v>0</v>
      </c>
      <c r="P572" t="n">
        <v>0</v>
      </c>
      <c r="Q572" t="n">
        <v>0</v>
      </c>
      <c r="R572" s="2" t="inlineStr"/>
    </row>
    <row r="573" ht="15" customHeight="1">
      <c r="A573" t="inlineStr">
        <is>
          <t>A 33763-2025</t>
        </is>
      </c>
      <c r="B573" s="1" t="n">
        <v>45842.38579861111</v>
      </c>
      <c r="C573" s="1" t="n">
        <v>46090</v>
      </c>
      <c r="D573" t="inlineStr">
        <is>
          <t>JÄMTLANDS LÄN</t>
        </is>
      </c>
      <c r="E573" t="inlineStr">
        <is>
          <t>RAGUNDA</t>
        </is>
      </c>
      <c r="F573" t="inlineStr">
        <is>
          <t>SCA</t>
        </is>
      </c>
      <c r="G573" t="n">
        <v>13.4</v>
      </c>
      <c r="H573" t="n">
        <v>0</v>
      </c>
      <c r="I573" t="n">
        <v>0</v>
      </c>
      <c r="J573" t="n">
        <v>0</v>
      </c>
      <c r="K573" t="n">
        <v>0</v>
      </c>
      <c r="L573" t="n">
        <v>0</v>
      </c>
      <c r="M573" t="n">
        <v>0</v>
      </c>
      <c r="N573" t="n">
        <v>0</v>
      </c>
      <c r="O573" t="n">
        <v>0</v>
      </c>
      <c r="P573" t="n">
        <v>0</v>
      </c>
      <c r="Q573" t="n">
        <v>0</v>
      </c>
      <c r="R573" s="2" t="inlineStr"/>
    </row>
    <row r="574" ht="15" customHeight="1">
      <c r="A574" t="inlineStr">
        <is>
          <t>A 51049-2024</t>
        </is>
      </c>
      <c r="B574" s="1" t="n">
        <v>45603.44644675926</v>
      </c>
      <c r="C574" s="1" t="n">
        <v>46090</v>
      </c>
      <c r="D574" t="inlineStr">
        <is>
          <t>JÄMTLANDS LÄN</t>
        </is>
      </c>
      <c r="E574" t="inlineStr">
        <is>
          <t>RAGUNDA</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43177-2025</t>
        </is>
      </c>
      <c r="B575" s="1" t="n">
        <v>45910.40667824074</v>
      </c>
      <c r="C575" s="1" t="n">
        <v>46090</v>
      </c>
      <c r="D575" t="inlineStr">
        <is>
          <t>JÄMTLANDS LÄN</t>
        </is>
      </c>
      <c r="E575" t="inlineStr">
        <is>
          <t>RAGUNDA</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44759-2024</t>
        </is>
      </c>
      <c r="B576" s="1" t="n">
        <v>45574.61634259259</v>
      </c>
      <c r="C576" s="1" t="n">
        <v>46090</v>
      </c>
      <c r="D576" t="inlineStr">
        <is>
          <t>JÄMTLANDS LÄN</t>
        </is>
      </c>
      <c r="E576" t="inlineStr">
        <is>
          <t>RAGUNDA</t>
        </is>
      </c>
      <c r="G576" t="n">
        <v>1.9</v>
      </c>
      <c r="H576" t="n">
        <v>0</v>
      </c>
      <c r="I576" t="n">
        <v>0</v>
      </c>
      <c r="J576" t="n">
        <v>0</v>
      </c>
      <c r="K576" t="n">
        <v>0</v>
      </c>
      <c r="L576" t="n">
        <v>0</v>
      </c>
      <c r="M576" t="n">
        <v>0</v>
      </c>
      <c r="N576" t="n">
        <v>0</v>
      </c>
      <c r="O576" t="n">
        <v>0</v>
      </c>
      <c r="P576" t="n">
        <v>0</v>
      </c>
      <c r="Q576" t="n">
        <v>0</v>
      </c>
      <c r="R576" s="2" t="inlineStr"/>
    </row>
    <row r="577" ht="15" customHeight="1">
      <c r="A577" t="inlineStr">
        <is>
          <t>A 37324-2022</t>
        </is>
      </c>
      <c r="B577" s="1" t="n">
        <v>44806</v>
      </c>
      <c r="C577" s="1" t="n">
        <v>46090</v>
      </c>
      <c r="D577" t="inlineStr">
        <is>
          <t>JÄMTLANDS LÄN</t>
        </is>
      </c>
      <c r="E577" t="inlineStr">
        <is>
          <t>RAGUNDA</t>
        </is>
      </c>
      <c r="G577" t="n">
        <v>2.3</v>
      </c>
      <c r="H577" t="n">
        <v>0</v>
      </c>
      <c r="I577" t="n">
        <v>0</v>
      </c>
      <c r="J577" t="n">
        <v>0</v>
      </c>
      <c r="K577" t="n">
        <v>0</v>
      </c>
      <c r="L577" t="n">
        <v>0</v>
      </c>
      <c r="M577" t="n">
        <v>0</v>
      </c>
      <c r="N577" t="n">
        <v>0</v>
      </c>
      <c r="O577" t="n">
        <v>0</v>
      </c>
      <c r="P577" t="n">
        <v>0</v>
      </c>
      <c r="Q577" t="n">
        <v>0</v>
      </c>
      <c r="R577" s="2" t="inlineStr"/>
    </row>
    <row r="578" ht="15" customHeight="1">
      <c r="A578" t="inlineStr">
        <is>
          <t>A 43181-2025</t>
        </is>
      </c>
      <c r="B578" s="1" t="n">
        <v>45910.40721064815</v>
      </c>
      <c r="C578" s="1" t="n">
        <v>46090</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28637-2025</t>
        </is>
      </c>
      <c r="B579" s="1" t="n">
        <v>45819.6359375</v>
      </c>
      <c r="C579" s="1" t="n">
        <v>46090</v>
      </c>
      <c r="D579" t="inlineStr">
        <is>
          <t>JÄMTLANDS LÄN</t>
        </is>
      </c>
      <c r="E579" t="inlineStr">
        <is>
          <t>RAGUNDA</t>
        </is>
      </c>
      <c r="F579" t="inlineStr">
        <is>
          <t>SCA</t>
        </is>
      </c>
      <c r="G579" t="n">
        <v>6.6</v>
      </c>
      <c r="H579" t="n">
        <v>0</v>
      </c>
      <c r="I579" t="n">
        <v>0</v>
      </c>
      <c r="J579" t="n">
        <v>0</v>
      </c>
      <c r="K579" t="n">
        <v>0</v>
      </c>
      <c r="L579" t="n">
        <v>0</v>
      </c>
      <c r="M579" t="n">
        <v>0</v>
      </c>
      <c r="N579" t="n">
        <v>0</v>
      </c>
      <c r="O579" t="n">
        <v>0</v>
      </c>
      <c r="P579" t="n">
        <v>0</v>
      </c>
      <c r="Q579" t="n">
        <v>0</v>
      </c>
      <c r="R579" s="2" t="inlineStr"/>
    </row>
    <row r="580" ht="15" customHeight="1">
      <c r="A580" t="inlineStr">
        <is>
          <t>A 41343-2024</t>
        </is>
      </c>
      <c r="B580" s="1" t="n">
        <v>45559.67745370371</v>
      </c>
      <c r="C580" s="1" t="n">
        <v>46090</v>
      </c>
      <c r="D580" t="inlineStr">
        <is>
          <t>JÄMTLANDS LÄN</t>
        </is>
      </c>
      <c r="E580" t="inlineStr">
        <is>
          <t>RAGUNDA</t>
        </is>
      </c>
      <c r="F580" t="inlineStr">
        <is>
          <t>SCA</t>
        </is>
      </c>
      <c r="G580" t="n">
        <v>25.1</v>
      </c>
      <c r="H580" t="n">
        <v>0</v>
      </c>
      <c r="I580" t="n">
        <v>0</v>
      </c>
      <c r="J580" t="n">
        <v>0</v>
      </c>
      <c r="K580" t="n">
        <v>0</v>
      </c>
      <c r="L580" t="n">
        <v>0</v>
      </c>
      <c r="M580" t="n">
        <v>0</v>
      </c>
      <c r="N580" t="n">
        <v>0</v>
      </c>
      <c r="O580" t="n">
        <v>0</v>
      </c>
      <c r="P580" t="n">
        <v>0</v>
      </c>
      <c r="Q580" t="n">
        <v>0</v>
      </c>
      <c r="R580" s="2" t="inlineStr"/>
    </row>
    <row r="581" ht="15" customHeight="1">
      <c r="A581" t="inlineStr">
        <is>
          <t>A 45953-2023</t>
        </is>
      </c>
      <c r="B581" s="1" t="n">
        <v>45195.94672453704</v>
      </c>
      <c r="C581" s="1" t="n">
        <v>46090</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16982-2024</t>
        </is>
      </c>
      <c r="B582" s="1" t="n">
        <v>45412.02506944445</v>
      </c>
      <c r="C582" s="1" t="n">
        <v>46090</v>
      </c>
      <c r="D582" t="inlineStr">
        <is>
          <t>JÄMTLANDS LÄN</t>
        </is>
      </c>
      <c r="E582" t="inlineStr">
        <is>
          <t>RAGUNDA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28973-2025</t>
        </is>
      </c>
      <c r="B583" s="1" t="n">
        <v>45821.34513888889</v>
      </c>
      <c r="C583" s="1" t="n">
        <v>46090</v>
      </c>
      <c r="D583" t="inlineStr">
        <is>
          <t>JÄMTLANDS LÄN</t>
        </is>
      </c>
      <c r="E583" t="inlineStr">
        <is>
          <t>RAGUNDA</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43330-2025</t>
        </is>
      </c>
      <c r="B584" s="1" t="n">
        <v>45910.67766203704</v>
      </c>
      <c r="C584" s="1" t="n">
        <v>46090</v>
      </c>
      <c r="D584" t="inlineStr">
        <is>
          <t>JÄMTLANDS LÄN</t>
        </is>
      </c>
      <c r="E584" t="inlineStr">
        <is>
          <t>RAGUNDA</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49650-2024</t>
        </is>
      </c>
      <c r="B585" s="1" t="n">
        <v>45596.61569444444</v>
      </c>
      <c r="C585" s="1" t="n">
        <v>46090</v>
      </c>
      <c r="D585" t="inlineStr">
        <is>
          <t>JÄMTLANDS LÄN</t>
        </is>
      </c>
      <c r="E585" t="inlineStr">
        <is>
          <t>RAGUNDA</t>
        </is>
      </c>
      <c r="F585" t="inlineStr">
        <is>
          <t>Naturvårdsverket</t>
        </is>
      </c>
      <c r="G585" t="n">
        <v>3</v>
      </c>
      <c r="H585" t="n">
        <v>0</v>
      </c>
      <c r="I585" t="n">
        <v>0</v>
      </c>
      <c r="J585" t="n">
        <v>0</v>
      </c>
      <c r="K585" t="n">
        <v>0</v>
      </c>
      <c r="L585" t="n">
        <v>0</v>
      </c>
      <c r="M585" t="n">
        <v>0</v>
      </c>
      <c r="N585" t="n">
        <v>0</v>
      </c>
      <c r="O585" t="n">
        <v>0</v>
      </c>
      <c r="P585" t="n">
        <v>0</v>
      </c>
      <c r="Q585" t="n">
        <v>0</v>
      </c>
      <c r="R585" s="2" t="inlineStr"/>
    </row>
    <row r="586" ht="15" customHeight="1">
      <c r="A586" t="inlineStr">
        <is>
          <t>A 49651-2024</t>
        </is>
      </c>
      <c r="B586" s="1" t="n">
        <v>45596.61582175926</v>
      </c>
      <c r="C586" s="1" t="n">
        <v>46090</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29731-2025</t>
        </is>
      </c>
      <c r="B587" s="1" t="n">
        <v>45825.58252314815</v>
      </c>
      <c r="C587" s="1" t="n">
        <v>46090</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64264-2023</t>
        </is>
      </c>
      <c r="B588" s="1" t="n">
        <v>45279.94564814815</v>
      </c>
      <c r="C588" s="1" t="n">
        <v>46090</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29723-2025</t>
        </is>
      </c>
      <c r="B589" s="1" t="n">
        <v>45825.57675925926</v>
      </c>
      <c r="C589" s="1" t="n">
        <v>46090</v>
      </c>
      <c r="D589" t="inlineStr">
        <is>
          <t>JÄMTLANDS LÄN</t>
        </is>
      </c>
      <c r="E589" t="inlineStr">
        <is>
          <t>RAGUNDA</t>
        </is>
      </c>
      <c r="G589" t="n">
        <v>3.1</v>
      </c>
      <c r="H589" t="n">
        <v>0</v>
      </c>
      <c r="I589" t="n">
        <v>0</v>
      </c>
      <c r="J589" t="n">
        <v>0</v>
      </c>
      <c r="K589" t="n">
        <v>0</v>
      </c>
      <c r="L589" t="n">
        <v>0</v>
      </c>
      <c r="M589" t="n">
        <v>0</v>
      </c>
      <c r="N589" t="n">
        <v>0</v>
      </c>
      <c r="O589" t="n">
        <v>0</v>
      </c>
      <c r="P589" t="n">
        <v>0</v>
      </c>
      <c r="Q589" t="n">
        <v>0</v>
      </c>
      <c r="R589" s="2" t="inlineStr"/>
    </row>
    <row r="590" ht="15" customHeight="1">
      <c r="A590" t="inlineStr">
        <is>
          <t>A 43776-2025</t>
        </is>
      </c>
      <c r="B590" s="1" t="n">
        <v>45912.51086805556</v>
      </c>
      <c r="C590" s="1" t="n">
        <v>46090</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222-2026</t>
        </is>
      </c>
      <c r="B591" s="1" t="n">
        <v>46026.84054398148</v>
      </c>
      <c r="C591" s="1" t="n">
        <v>46090</v>
      </c>
      <c r="D591" t="inlineStr">
        <is>
          <t>JÄMTLANDS LÄN</t>
        </is>
      </c>
      <c r="E591" t="inlineStr">
        <is>
          <t>RAGUNDA</t>
        </is>
      </c>
      <c r="G591" t="n">
        <v>10.6</v>
      </c>
      <c r="H591" t="n">
        <v>0</v>
      </c>
      <c r="I591" t="n">
        <v>0</v>
      </c>
      <c r="J591" t="n">
        <v>0</v>
      </c>
      <c r="K591" t="n">
        <v>0</v>
      </c>
      <c r="L591" t="n">
        <v>0</v>
      </c>
      <c r="M591" t="n">
        <v>0</v>
      </c>
      <c r="N591" t="n">
        <v>0</v>
      </c>
      <c r="O591" t="n">
        <v>0</v>
      </c>
      <c r="P591" t="n">
        <v>0</v>
      </c>
      <c r="Q591" t="n">
        <v>0</v>
      </c>
      <c r="R591" s="2" t="inlineStr"/>
    </row>
    <row r="592" ht="15" customHeight="1">
      <c r="A592" t="inlineStr">
        <is>
          <t>A 43971-2025</t>
        </is>
      </c>
      <c r="B592" s="1" t="n">
        <v>45915.40694444445</v>
      </c>
      <c r="C592" s="1" t="n">
        <v>46090</v>
      </c>
      <c r="D592" t="inlineStr">
        <is>
          <t>JÄMTLANDS LÄN</t>
        </is>
      </c>
      <c r="E592" t="inlineStr">
        <is>
          <t>RAGUNDA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43804-2025</t>
        </is>
      </c>
      <c r="B593" s="1" t="n">
        <v>45912.57373842593</v>
      </c>
      <c r="C593" s="1" t="n">
        <v>46090</v>
      </c>
      <c r="D593" t="inlineStr">
        <is>
          <t>JÄMTLANDS LÄN</t>
        </is>
      </c>
      <c r="E593" t="inlineStr">
        <is>
          <t>RAGUNDA</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265-2026</t>
        </is>
      </c>
      <c r="B594" s="1" t="n">
        <v>46027.44956018519</v>
      </c>
      <c r="C594" s="1" t="n">
        <v>46090</v>
      </c>
      <c r="D594" t="inlineStr">
        <is>
          <t>JÄMTLANDS LÄN</t>
        </is>
      </c>
      <c r="E594" t="inlineStr">
        <is>
          <t>RAGUNDA</t>
        </is>
      </c>
      <c r="G594" t="n">
        <v>3.8</v>
      </c>
      <c r="H594" t="n">
        <v>0</v>
      </c>
      <c r="I594" t="n">
        <v>0</v>
      </c>
      <c r="J594" t="n">
        <v>0</v>
      </c>
      <c r="K594" t="n">
        <v>0</v>
      </c>
      <c r="L594" t="n">
        <v>0</v>
      </c>
      <c r="M594" t="n">
        <v>0</v>
      </c>
      <c r="N594" t="n">
        <v>0</v>
      </c>
      <c r="O594" t="n">
        <v>0</v>
      </c>
      <c r="P594" t="n">
        <v>0</v>
      </c>
      <c r="Q594" t="n">
        <v>0</v>
      </c>
      <c r="R594" s="2" t="inlineStr"/>
    </row>
    <row r="595" ht="15" customHeight="1">
      <c r="A595" t="inlineStr">
        <is>
          <t>A 42893-2022</t>
        </is>
      </c>
      <c r="B595" s="1" t="n">
        <v>44832</v>
      </c>
      <c r="C595" s="1" t="n">
        <v>46090</v>
      </c>
      <c r="D595" t="inlineStr">
        <is>
          <t>JÄMTLANDS LÄN</t>
        </is>
      </c>
      <c r="E595" t="inlineStr">
        <is>
          <t>RAGUNDA</t>
        </is>
      </c>
      <c r="F595" t="inlineStr">
        <is>
          <t>SCA</t>
        </is>
      </c>
      <c r="G595" t="n">
        <v>28.4</v>
      </c>
      <c r="H595" t="n">
        <v>0</v>
      </c>
      <c r="I595" t="n">
        <v>0</v>
      </c>
      <c r="J595" t="n">
        <v>0</v>
      </c>
      <c r="K595" t="n">
        <v>0</v>
      </c>
      <c r="L595" t="n">
        <v>0</v>
      </c>
      <c r="M595" t="n">
        <v>0</v>
      </c>
      <c r="N595" t="n">
        <v>0</v>
      </c>
      <c r="O595" t="n">
        <v>0</v>
      </c>
      <c r="P595" t="n">
        <v>0</v>
      </c>
      <c r="Q595" t="n">
        <v>0</v>
      </c>
      <c r="R595" s="2" t="inlineStr"/>
    </row>
    <row r="596" ht="15" customHeight="1">
      <c r="A596" t="inlineStr">
        <is>
          <t>A 122-2026</t>
        </is>
      </c>
      <c r="B596" s="1" t="n">
        <v>46024.57335648148</v>
      </c>
      <c r="C596" s="1" t="n">
        <v>46090</v>
      </c>
      <c r="D596" t="inlineStr">
        <is>
          <t>JÄMTLANDS LÄN</t>
        </is>
      </c>
      <c r="E596" t="inlineStr">
        <is>
          <t>RAGUNDA</t>
        </is>
      </c>
      <c r="F596" t="inlineStr">
        <is>
          <t>SCA</t>
        </is>
      </c>
      <c r="G596" t="n">
        <v>15.3</v>
      </c>
      <c r="H596" t="n">
        <v>0</v>
      </c>
      <c r="I596" t="n">
        <v>0</v>
      </c>
      <c r="J596" t="n">
        <v>0</v>
      </c>
      <c r="K596" t="n">
        <v>0</v>
      </c>
      <c r="L596" t="n">
        <v>0</v>
      </c>
      <c r="M596" t="n">
        <v>0</v>
      </c>
      <c r="N596" t="n">
        <v>0</v>
      </c>
      <c r="O596" t="n">
        <v>0</v>
      </c>
      <c r="P596" t="n">
        <v>0</v>
      </c>
      <c r="Q596" t="n">
        <v>0</v>
      </c>
      <c r="R596" s="2" t="inlineStr"/>
    </row>
    <row r="597" ht="15" customHeight="1">
      <c r="A597" t="inlineStr">
        <is>
          <t>A 9042-2026</t>
        </is>
      </c>
      <c r="B597" s="1" t="n">
        <v>46069.54721064815</v>
      </c>
      <c r="C597" s="1" t="n">
        <v>46090</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30088-2025</t>
        </is>
      </c>
      <c r="B598" s="1" t="n">
        <v>45826.65759259259</v>
      </c>
      <c r="C598" s="1" t="n">
        <v>46090</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30348-2025</t>
        </is>
      </c>
      <c r="B599" s="1" t="n">
        <v>45827.53178240741</v>
      </c>
      <c r="C599" s="1" t="n">
        <v>46090</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29940-2023</t>
        </is>
      </c>
      <c r="B600" s="1" t="n">
        <v>45107</v>
      </c>
      <c r="C600" s="1" t="n">
        <v>46090</v>
      </c>
      <c r="D600" t="inlineStr">
        <is>
          <t>JÄMTLANDS LÄN</t>
        </is>
      </c>
      <c r="E600" t="inlineStr">
        <is>
          <t>RAGUNDA</t>
        </is>
      </c>
      <c r="G600" t="n">
        <v>13.5</v>
      </c>
      <c r="H600" t="n">
        <v>0</v>
      </c>
      <c r="I600" t="n">
        <v>0</v>
      </c>
      <c r="J600" t="n">
        <v>0</v>
      </c>
      <c r="K600" t="n">
        <v>0</v>
      </c>
      <c r="L600" t="n">
        <v>0</v>
      </c>
      <c r="M600" t="n">
        <v>0</v>
      </c>
      <c r="N600" t="n">
        <v>0</v>
      </c>
      <c r="O600" t="n">
        <v>0</v>
      </c>
      <c r="P600" t="n">
        <v>0</v>
      </c>
      <c r="Q600" t="n">
        <v>0</v>
      </c>
      <c r="R600" s="2" t="inlineStr"/>
    </row>
    <row r="601" ht="15" customHeight="1">
      <c r="A601" t="inlineStr">
        <is>
          <t>A 30434-2025</t>
        </is>
      </c>
      <c r="B601" s="1" t="n">
        <v>45827.63582175926</v>
      </c>
      <c r="C601" s="1" t="n">
        <v>46090</v>
      </c>
      <c r="D601" t="inlineStr">
        <is>
          <t>JÄMTLANDS LÄN</t>
        </is>
      </c>
      <c r="E601" t="inlineStr">
        <is>
          <t>RAGUNDA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45279-2025</t>
        </is>
      </c>
      <c r="B602" s="1" t="n">
        <v>45919.71912037037</v>
      </c>
      <c r="C602" s="1" t="n">
        <v>46090</v>
      </c>
      <c r="D602" t="inlineStr">
        <is>
          <t>JÄMTLANDS LÄN</t>
        </is>
      </c>
      <c r="E602" t="inlineStr">
        <is>
          <t>RAGUNDA</t>
        </is>
      </c>
      <c r="F602" t="inlineStr">
        <is>
          <t>SCA</t>
        </is>
      </c>
      <c r="G602" t="n">
        <v>11.5</v>
      </c>
      <c r="H602" t="n">
        <v>0</v>
      </c>
      <c r="I602" t="n">
        <v>0</v>
      </c>
      <c r="J602" t="n">
        <v>0</v>
      </c>
      <c r="K602" t="n">
        <v>0</v>
      </c>
      <c r="L602" t="n">
        <v>0</v>
      </c>
      <c r="M602" t="n">
        <v>0</v>
      </c>
      <c r="N602" t="n">
        <v>0</v>
      </c>
      <c r="O602" t="n">
        <v>0</v>
      </c>
      <c r="P602" t="n">
        <v>0</v>
      </c>
      <c r="Q602" t="n">
        <v>0</v>
      </c>
      <c r="R602" s="2" t="inlineStr"/>
    </row>
    <row r="603" ht="15" customHeight="1">
      <c r="A603" t="inlineStr">
        <is>
          <t>A 23303-2024</t>
        </is>
      </c>
      <c r="B603" s="1" t="n">
        <v>45453.4444212963</v>
      </c>
      <c r="C603" s="1" t="n">
        <v>46090</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179-2025</t>
        </is>
      </c>
      <c r="B604" s="1" t="n">
        <v>45659.69822916666</v>
      </c>
      <c r="C604" s="1" t="n">
        <v>46090</v>
      </c>
      <c r="D604" t="inlineStr">
        <is>
          <t>JÄMTLANDS LÄN</t>
        </is>
      </c>
      <c r="E604" t="inlineStr">
        <is>
          <t>RAGUNDA</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31463-2024</t>
        </is>
      </c>
      <c r="B605" s="1" t="n">
        <v>45505</v>
      </c>
      <c r="C605" s="1" t="n">
        <v>46090</v>
      </c>
      <c r="D605" t="inlineStr">
        <is>
          <t>JÄMTLANDS LÄN</t>
        </is>
      </c>
      <c r="E605" t="inlineStr">
        <is>
          <t>RAGUNDA</t>
        </is>
      </c>
      <c r="F605" t="inlineStr">
        <is>
          <t>SCA</t>
        </is>
      </c>
      <c r="G605" t="n">
        <v>20.3</v>
      </c>
      <c r="H605" t="n">
        <v>0</v>
      </c>
      <c r="I605" t="n">
        <v>0</v>
      </c>
      <c r="J605" t="n">
        <v>0</v>
      </c>
      <c r="K605" t="n">
        <v>0</v>
      </c>
      <c r="L605" t="n">
        <v>0</v>
      </c>
      <c r="M605" t="n">
        <v>0</v>
      </c>
      <c r="N605" t="n">
        <v>0</v>
      </c>
      <c r="O605" t="n">
        <v>0</v>
      </c>
      <c r="P605" t="n">
        <v>0</v>
      </c>
      <c r="Q605" t="n">
        <v>0</v>
      </c>
      <c r="R605" s="2" t="inlineStr"/>
    </row>
    <row r="606" ht="15" customHeight="1">
      <c r="A606" t="inlineStr">
        <is>
          <t>A 44954-2025</t>
        </is>
      </c>
      <c r="B606" s="1" t="n">
        <v>45918.61203703703</v>
      </c>
      <c r="C606" s="1" t="n">
        <v>46090</v>
      </c>
      <c r="D606" t="inlineStr">
        <is>
          <t>JÄMTLANDS LÄN</t>
        </is>
      </c>
      <c r="E606" t="inlineStr">
        <is>
          <t>RAGUNDA</t>
        </is>
      </c>
      <c r="G606" t="n">
        <v>3</v>
      </c>
      <c r="H606" t="n">
        <v>0</v>
      </c>
      <c r="I606" t="n">
        <v>0</v>
      </c>
      <c r="J606" t="n">
        <v>0</v>
      </c>
      <c r="K606" t="n">
        <v>0</v>
      </c>
      <c r="L606" t="n">
        <v>0</v>
      </c>
      <c r="M606" t="n">
        <v>0</v>
      </c>
      <c r="N606" t="n">
        <v>0</v>
      </c>
      <c r="O606" t="n">
        <v>0</v>
      </c>
      <c r="P606" t="n">
        <v>0</v>
      </c>
      <c r="Q606" t="n">
        <v>0</v>
      </c>
      <c r="R606" s="2" t="inlineStr"/>
    </row>
    <row r="607" ht="15" customHeight="1">
      <c r="A607" t="inlineStr">
        <is>
          <t>A 22412-2024</t>
        </is>
      </c>
      <c r="B607" s="1" t="n">
        <v>45446.68947916666</v>
      </c>
      <c r="C607" s="1" t="n">
        <v>46090</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13334-2024</t>
        </is>
      </c>
      <c r="B608" s="1" t="n">
        <v>45386</v>
      </c>
      <c r="C608" s="1" t="n">
        <v>46090</v>
      </c>
      <c r="D608" t="inlineStr">
        <is>
          <t>JÄMTLANDS LÄN</t>
        </is>
      </c>
      <c r="E608" t="inlineStr">
        <is>
          <t>RAGUNDA</t>
        </is>
      </c>
      <c r="G608" t="n">
        <v>8.6</v>
      </c>
      <c r="H608" t="n">
        <v>0</v>
      </c>
      <c r="I608" t="n">
        <v>0</v>
      </c>
      <c r="J608" t="n">
        <v>0</v>
      </c>
      <c r="K608" t="n">
        <v>0</v>
      </c>
      <c r="L608" t="n">
        <v>0</v>
      </c>
      <c r="M608" t="n">
        <v>0</v>
      </c>
      <c r="N608" t="n">
        <v>0</v>
      </c>
      <c r="O608" t="n">
        <v>0</v>
      </c>
      <c r="P608" t="n">
        <v>0</v>
      </c>
      <c r="Q608" t="n">
        <v>0</v>
      </c>
      <c r="R608" s="2" t="inlineStr"/>
    </row>
    <row r="609" ht="15" customHeight="1">
      <c r="A609" t="inlineStr">
        <is>
          <t>A 60443-2023</t>
        </is>
      </c>
      <c r="B609" s="1" t="n">
        <v>45258</v>
      </c>
      <c r="C609" s="1" t="n">
        <v>46090</v>
      </c>
      <c r="D609" t="inlineStr">
        <is>
          <t>JÄMTLANDS LÄN</t>
        </is>
      </c>
      <c r="E609" t="inlineStr">
        <is>
          <t>RAGUNDA</t>
        </is>
      </c>
      <c r="G609" t="n">
        <v>2.9</v>
      </c>
      <c r="H609" t="n">
        <v>0</v>
      </c>
      <c r="I609" t="n">
        <v>0</v>
      </c>
      <c r="J609" t="n">
        <v>0</v>
      </c>
      <c r="K609" t="n">
        <v>0</v>
      </c>
      <c r="L609" t="n">
        <v>0</v>
      </c>
      <c r="M609" t="n">
        <v>0</v>
      </c>
      <c r="N609" t="n">
        <v>0</v>
      </c>
      <c r="O609" t="n">
        <v>0</v>
      </c>
      <c r="P609" t="n">
        <v>0</v>
      </c>
      <c r="Q609" t="n">
        <v>0</v>
      </c>
      <c r="R609" s="2" t="inlineStr"/>
    </row>
    <row r="610" ht="15" customHeight="1">
      <c r="A610" t="inlineStr">
        <is>
          <t>A 30887-2025</t>
        </is>
      </c>
      <c r="B610" s="1" t="n">
        <v>45832.3459375</v>
      </c>
      <c r="C610" s="1" t="n">
        <v>46090</v>
      </c>
      <c r="D610" t="inlineStr">
        <is>
          <t>JÄMTLANDS LÄN</t>
        </is>
      </c>
      <c r="E610" t="inlineStr">
        <is>
          <t>RAGUNDA</t>
        </is>
      </c>
      <c r="F610" t="inlineStr">
        <is>
          <t>SCA</t>
        </is>
      </c>
      <c r="G610" t="n">
        <v>10.1</v>
      </c>
      <c r="H610" t="n">
        <v>0</v>
      </c>
      <c r="I610" t="n">
        <v>0</v>
      </c>
      <c r="J610" t="n">
        <v>0</v>
      </c>
      <c r="K610" t="n">
        <v>0</v>
      </c>
      <c r="L610" t="n">
        <v>0</v>
      </c>
      <c r="M610" t="n">
        <v>0</v>
      </c>
      <c r="N610" t="n">
        <v>0</v>
      </c>
      <c r="O610" t="n">
        <v>0</v>
      </c>
      <c r="P610" t="n">
        <v>0</v>
      </c>
      <c r="Q610" t="n">
        <v>0</v>
      </c>
      <c r="R610" s="2" t="inlineStr"/>
    </row>
    <row r="611" ht="15" customHeight="1">
      <c r="A611" t="inlineStr">
        <is>
          <t>A 9097-2026</t>
        </is>
      </c>
      <c r="B611" s="1" t="n">
        <v>46069.63592592593</v>
      </c>
      <c r="C611" s="1" t="n">
        <v>46090</v>
      </c>
      <c r="D611" t="inlineStr">
        <is>
          <t>JÄMTLANDS LÄN</t>
        </is>
      </c>
      <c r="E611" t="inlineStr">
        <is>
          <t>RAGUNDA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30883-2025</t>
        </is>
      </c>
      <c r="B612" s="1" t="n">
        <v>45832.34552083333</v>
      </c>
      <c r="C612" s="1" t="n">
        <v>46090</v>
      </c>
      <c r="D612" t="inlineStr">
        <is>
          <t>JÄMTLANDS LÄN</t>
        </is>
      </c>
      <c r="E612" t="inlineStr">
        <is>
          <t>RAGUNDA</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21726-2023</t>
        </is>
      </c>
      <c r="B613" s="1" t="n">
        <v>45065.42894675926</v>
      </c>
      <c r="C613" s="1" t="n">
        <v>46090</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45952-2023</t>
        </is>
      </c>
      <c r="B614" s="1" t="n">
        <v>45195</v>
      </c>
      <c r="C614" s="1" t="n">
        <v>46090</v>
      </c>
      <c r="D614" t="inlineStr">
        <is>
          <t>JÄMTLANDS LÄN</t>
        </is>
      </c>
      <c r="E614" t="inlineStr">
        <is>
          <t>RAGUNDA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45954-2023</t>
        </is>
      </c>
      <c r="B615" s="1" t="n">
        <v>45195.94679398148</v>
      </c>
      <c r="C615" s="1" t="n">
        <v>46090</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45955-2023</t>
        </is>
      </c>
      <c r="B616" s="1" t="n">
        <v>45195.94685185186</v>
      </c>
      <c r="C616" s="1" t="n">
        <v>46090</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60456-2023</t>
        </is>
      </c>
      <c r="B617" s="1" t="n">
        <v>45258</v>
      </c>
      <c r="C617" s="1" t="n">
        <v>46090</v>
      </c>
      <c r="D617" t="inlineStr">
        <is>
          <t>JÄMTLANDS LÄN</t>
        </is>
      </c>
      <c r="E617" t="inlineStr">
        <is>
          <t>RAGUNDA</t>
        </is>
      </c>
      <c r="G617" t="n">
        <v>1.8</v>
      </c>
      <c r="H617" t="n">
        <v>0</v>
      </c>
      <c r="I617" t="n">
        <v>0</v>
      </c>
      <c r="J617" t="n">
        <v>0</v>
      </c>
      <c r="K617" t="n">
        <v>0</v>
      </c>
      <c r="L617" t="n">
        <v>0</v>
      </c>
      <c r="M617" t="n">
        <v>0</v>
      </c>
      <c r="N617" t="n">
        <v>0</v>
      </c>
      <c r="O617" t="n">
        <v>0</v>
      </c>
      <c r="P617" t="n">
        <v>0</v>
      </c>
      <c r="Q617" t="n">
        <v>0</v>
      </c>
      <c r="R617" s="2" t="inlineStr"/>
    </row>
    <row r="618" ht="15" customHeight="1">
      <c r="A618" t="inlineStr">
        <is>
          <t>A 16334-2025</t>
        </is>
      </c>
      <c r="B618" s="1" t="n">
        <v>45751.36490740741</v>
      </c>
      <c r="C618" s="1" t="n">
        <v>46090</v>
      </c>
      <c r="D618" t="inlineStr">
        <is>
          <t>JÄMTLANDS LÄN</t>
        </is>
      </c>
      <c r="E618" t="inlineStr">
        <is>
          <t>RAGUNDA</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58438-2022</t>
        </is>
      </c>
      <c r="B619" s="1" t="n">
        <v>44901</v>
      </c>
      <c r="C619" s="1" t="n">
        <v>46090</v>
      </c>
      <c r="D619" t="inlineStr">
        <is>
          <t>JÄMTLANDS LÄN</t>
        </is>
      </c>
      <c r="E619" t="inlineStr">
        <is>
          <t>RAGUNDA</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58442-2022</t>
        </is>
      </c>
      <c r="B620" s="1" t="n">
        <v>44901</v>
      </c>
      <c r="C620" s="1" t="n">
        <v>46090</v>
      </c>
      <c r="D620" t="inlineStr">
        <is>
          <t>JÄMTLANDS LÄN</t>
        </is>
      </c>
      <c r="E620" t="inlineStr">
        <is>
          <t>RAGUNDA</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5806-2025</t>
        </is>
      </c>
      <c r="B621" s="1" t="n">
        <v>45694.69826388889</v>
      </c>
      <c r="C621" s="1" t="n">
        <v>46090</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30880-2025</t>
        </is>
      </c>
      <c r="B622" s="1" t="n">
        <v>45832.34524305556</v>
      </c>
      <c r="C622" s="1" t="n">
        <v>46090</v>
      </c>
      <c r="D622" t="inlineStr">
        <is>
          <t>JÄMTLANDS LÄN</t>
        </is>
      </c>
      <c r="E622" t="inlineStr">
        <is>
          <t>RAGUNDA</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45894-2025</t>
        </is>
      </c>
      <c r="B623" s="1" t="n">
        <v>45923.67765046296</v>
      </c>
      <c r="C623" s="1" t="n">
        <v>46090</v>
      </c>
      <c r="D623" t="inlineStr">
        <is>
          <t>JÄMTLANDS LÄN</t>
        </is>
      </c>
      <c r="E623" t="inlineStr">
        <is>
          <t>RAGUNDA</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41179-2022</t>
        </is>
      </c>
      <c r="B624" s="1" t="n">
        <v>44825</v>
      </c>
      <c r="C624" s="1" t="n">
        <v>46090</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46192-2025</t>
        </is>
      </c>
      <c r="B625" s="1" t="n">
        <v>45924.67789351852</v>
      </c>
      <c r="C625" s="1" t="n">
        <v>46090</v>
      </c>
      <c r="D625" t="inlineStr">
        <is>
          <t>JÄMTLANDS LÄN</t>
        </is>
      </c>
      <c r="E625" t="inlineStr">
        <is>
          <t>RAGUNDA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32096-2025</t>
        </is>
      </c>
      <c r="B626" s="1" t="n">
        <v>45835.46334490741</v>
      </c>
      <c r="C626" s="1" t="n">
        <v>46090</v>
      </c>
      <c r="D626" t="inlineStr">
        <is>
          <t>JÄMTLANDS LÄN</t>
        </is>
      </c>
      <c r="E626" t="inlineStr">
        <is>
          <t>RAGUNDA</t>
        </is>
      </c>
      <c r="G626" t="n">
        <v>0.9</v>
      </c>
      <c r="H626" t="n">
        <v>0</v>
      </c>
      <c r="I626" t="n">
        <v>0</v>
      </c>
      <c r="J626" t="n">
        <v>0</v>
      </c>
      <c r="K626" t="n">
        <v>0</v>
      </c>
      <c r="L626" t="n">
        <v>0</v>
      </c>
      <c r="M626" t="n">
        <v>0</v>
      </c>
      <c r="N626" t="n">
        <v>0</v>
      </c>
      <c r="O626" t="n">
        <v>0</v>
      </c>
      <c r="P626" t="n">
        <v>0</v>
      </c>
      <c r="Q626" t="n">
        <v>0</v>
      </c>
      <c r="R626" s="2" t="inlineStr"/>
    </row>
    <row r="627" ht="15" customHeight="1">
      <c r="A627" t="inlineStr">
        <is>
          <t>A 32151-2025</t>
        </is>
      </c>
      <c r="B627" s="1" t="n">
        <v>45835.53166666667</v>
      </c>
      <c r="C627" s="1" t="n">
        <v>46090</v>
      </c>
      <c r="D627" t="inlineStr">
        <is>
          <t>JÄMTLANDS LÄN</t>
        </is>
      </c>
      <c r="E627" t="inlineStr">
        <is>
          <t>RAGUNDA</t>
        </is>
      </c>
      <c r="F627" t="inlineStr">
        <is>
          <t>SCA</t>
        </is>
      </c>
      <c r="G627" t="n">
        <v>12.3</v>
      </c>
      <c r="H627" t="n">
        <v>0</v>
      </c>
      <c r="I627" t="n">
        <v>0</v>
      </c>
      <c r="J627" t="n">
        <v>0</v>
      </c>
      <c r="K627" t="n">
        <v>0</v>
      </c>
      <c r="L627" t="n">
        <v>0</v>
      </c>
      <c r="M627" t="n">
        <v>0</v>
      </c>
      <c r="N627" t="n">
        <v>0</v>
      </c>
      <c r="O627" t="n">
        <v>0</v>
      </c>
      <c r="P627" t="n">
        <v>0</v>
      </c>
      <c r="Q627" t="n">
        <v>0</v>
      </c>
      <c r="R627" s="2" t="inlineStr"/>
    </row>
    <row r="628" ht="15" customHeight="1">
      <c r="A628" t="inlineStr">
        <is>
          <t>A 32306-2025</t>
        </is>
      </c>
      <c r="B628" s="1" t="n">
        <v>45835.72046296296</v>
      </c>
      <c r="C628" s="1" t="n">
        <v>46090</v>
      </c>
      <c r="D628" t="inlineStr">
        <is>
          <t>JÄMTLANDS LÄN</t>
        </is>
      </c>
      <c r="E628" t="inlineStr">
        <is>
          <t>RAGUNDA</t>
        </is>
      </c>
      <c r="G628" t="n">
        <v>10.2</v>
      </c>
      <c r="H628" t="n">
        <v>0</v>
      </c>
      <c r="I628" t="n">
        <v>0</v>
      </c>
      <c r="J628" t="n">
        <v>0</v>
      </c>
      <c r="K628" t="n">
        <v>0</v>
      </c>
      <c r="L628" t="n">
        <v>0</v>
      </c>
      <c r="M628" t="n">
        <v>0</v>
      </c>
      <c r="N628" t="n">
        <v>0</v>
      </c>
      <c r="O628" t="n">
        <v>0</v>
      </c>
      <c r="P628" t="n">
        <v>0</v>
      </c>
      <c r="Q628" t="n">
        <v>0</v>
      </c>
      <c r="R628" s="2" t="inlineStr"/>
    </row>
    <row r="629" ht="15" customHeight="1">
      <c r="A629" t="inlineStr">
        <is>
          <t>A 61598-2024</t>
        </is>
      </c>
      <c r="B629" s="1" t="n">
        <v>45646.63605324074</v>
      </c>
      <c r="C629" s="1" t="n">
        <v>46090</v>
      </c>
      <c r="D629" t="inlineStr">
        <is>
          <t>JÄMTLANDS LÄN</t>
        </is>
      </c>
      <c r="E629" t="inlineStr">
        <is>
          <t>RAGUNDA</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17667-2025</t>
        </is>
      </c>
      <c r="B630" s="1" t="n">
        <v>45758.36487268518</v>
      </c>
      <c r="C630" s="1" t="n">
        <v>46090</v>
      </c>
      <c r="D630" t="inlineStr">
        <is>
          <t>JÄMTLANDS LÄN</t>
        </is>
      </c>
      <c r="E630" t="inlineStr">
        <is>
          <t>RAGUNDA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32021-2025</t>
        </is>
      </c>
      <c r="B631" s="1" t="n">
        <v>45835.40668981482</v>
      </c>
      <c r="C631" s="1" t="n">
        <v>46090</v>
      </c>
      <c r="D631" t="inlineStr">
        <is>
          <t>JÄMTLANDS LÄN</t>
        </is>
      </c>
      <c r="E631" t="inlineStr">
        <is>
          <t>RAGUNDA</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31882-2025</t>
        </is>
      </c>
      <c r="B632" s="1" t="n">
        <v>45834.65662037037</v>
      </c>
      <c r="C632" s="1" t="n">
        <v>46090</v>
      </c>
      <c r="D632" t="inlineStr">
        <is>
          <t>JÄMTLANDS LÄN</t>
        </is>
      </c>
      <c r="E632" t="inlineStr">
        <is>
          <t>RAGUNDA</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46275-2025</t>
        </is>
      </c>
      <c r="B633" s="1" t="n">
        <v>45925.3711574074</v>
      </c>
      <c r="C633" s="1" t="n">
        <v>46090</v>
      </c>
      <c r="D633" t="inlineStr">
        <is>
          <t>JÄMTLANDS LÄN</t>
        </is>
      </c>
      <c r="E633" t="inlineStr">
        <is>
          <t>RAGUNDA</t>
        </is>
      </c>
      <c r="G633" t="n">
        <v>2.7</v>
      </c>
      <c r="H633" t="n">
        <v>0</v>
      </c>
      <c r="I633" t="n">
        <v>0</v>
      </c>
      <c r="J633" t="n">
        <v>0</v>
      </c>
      <c r="K633" t="n">
        <v>0</v>
      </c>
      <c r="L633" t="n">
        <v>0</v>
      </c>
      <c r="M633" t="n">
        <v>0</v>
      </c>
      <c r="N633" t="n">
        <v>0</v>
      </c>
      <c r="O633" t="n">
        <v>0</v>
      </c>
      <c r="P633" t="n">
        <v>0</v>
      </c>
      <c r="Q633" t="n">
        <v>0</v>
      </c>
      <c r="R633" s="2" t="inlineStr"/>
    </row>
    <row r="634" ht="15" customHeight="1">
      <c r="A634" t="inlineStr">
        <is>
          <t>A 12405-2025</t>
        </is>
      </c>
      <c r="B634" s="1" t="n">
        <v>45730.42738425926</v>
      </c>
      <c r="C634" s="1" t="n">
        <v>46090</v>
      </c>
      <c r="D634" t="inlineStr">
        <is>
          <t>JÄMTLANDS LÄN</t>
        </is>
      </c>
      <c r="E634" t="inlineStr">
        <is>
          <t>RAGUNDA</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32796-2025</t>
        </is>
      </c>
      <c r="B635" s="1" t="n">
        <v>45839.49082175926</v>
      </c>
      <c r="C635" s="1" t="n">
        <v>46090</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36986-2023</t>
        </is>
      </c>
      <c r="B636" s="1" t="n">
        <v>45154.95525462963</v>
      </c>
      <c r="C636" s="1" t="n">
        <v>46090</v>
      </c>
      <c r="D636" t="inlineStr">
        <is>
          <t>JÄMTLANDS LÄN</t>
        </is>
      </c>
      <c r="E636" t="inlineStr">
        <is>
          <t>RAGUNDA</t>
        </is>
      </c>
      <c r="F636" t="inlineStr">
        <is>
          <t>SCA</t>
        </is>
      </c>
      <c r="G636" t="n">
        <v>0.2</v>
      </c>
      <c r="H636" t="n">
        <v>0</v>
      </c>
      <c r="I636" t="n">
        <v>0</v>
      </c>
      <c r="J636" t="n">
        <v>0</v>
      </c>
      <c r="K636" t="n">
        <v>0</v>
      </c>
      <c r="L636" t="n">
        <v>0</v>
      </c>
      <c r="M636" t="n">
        <v>0</v>
      </c>
      <c r="N636" t="n">
        <v>0</v>
      </c>
      <c r="O636" t="n">
        <v>0</v>
      </c>
      <c r="P636" t="n">
        <v>0</v>
      </c>
      <c r="Q636" t="n">
        <v>0</v>
      </c>
      <c r="R636" s="2" t="inlineStr"/>
    </row>
    <row r="637" ht="15" customHeight="1">
      <c r="A637" t="inlineStr">
        <is>
          <t>A 32655-2025</t>
        </is>
      </c>
      <c r="B637" s="1" t="n">
        <v>45838.67800925926</v>
      </c>
      <c r="C637" s="1" t="n">
        <v>46090</v>
      </c>
      <c r="D637" t="inlineStr">
        <is>
          <t>JÄMTLANDS LÄN</t>
        </is>
      </c>
      <c r="E637" t="inlineStr">
        <is>
          <t>RAGUNDA</t>
        </is>
      </c>
      <c r="G637" t="n">
        <v>2.8</v>
      </c>
      <c r="H637" t="n">
        <v>0</v>
      </c>
      <c r="I637" t="n">
        <v>0</v>
      </c>
      <c r="J637" t="n">
        <v>0</v>
      </c>
      <c r="K637" t="n">
        <v>0</v>
      </c>
      <c r="L637" t="n">
        <v>0</v>
      </c>
      <c r="M637" t="n">
        <v>0</v>
      </c>
      <c r="N637" t="n">
        <v>0</v>
      </c>
      <c r="O637" t="n">
        <v>0</v>
      </c>
      <c r="P637" t="n">
        <v>0</v>
      </c>
      <c r="Q637" t="n">
        <v>0</v>
      </c>
      <c r="R637" s="2" t="inlineStr"/>
    </row>
    <row r="638" ht="15" customHeight="1">
      <c r="A638" t="inlineStr">
        <is>
          <t>A 32751-2025</t>
        </is>
      </c>
      <c r="B638" s="1" t="n">
        <v>45839.42864583333</v>
      </c>
      <c r="C638" s="1" t="n">
        <v>46090</v>
      </c>
      <c r="D638" t="inlineStr">
        <is>
          <t>JÄMTLANDS LÄN</t>
        </is>
      </c>
      <c r="E638" t="inlineStr">
        <is>
          <t>RAGUNDA</t>
        </is>
      </c>
      <c r="F638" t="inlineStr">
        <is>
          <t>SCA</t>
        </is>
      </c>
      <c r="G638" t="n">
        <v>10</v>
      </c>
      <c r="H638" t="n">
        <v>0</v>
      </c>
      <c r="I638" t="n">
        <v>0</v>
      </c>
      <c r="J638" t="n">
        <v>0</v>
      </c>
      <c r="K638" t="n">
        <v>0</v>
      </c>
      <c r="L638" t="n">
        <v>0</v>
      </c>
      <c r="M638" t="n">
        <v>0</v>
      </c>
      <c r="N638" t="n">
        <v>0</v>
      </c>
      <c r="O638" t="n">
        <v>0</v>
      </c>
      <c r="P638" t="n">
        <v>0</v>
      </c>
      <c r="Q638" t="n">
        <v>0</v>
      </c>
      <c r="R638" s="2" t="inlineStr"/>
    </row>
    <row r="639" ht="15" customHeight="1">
      <c r="A639" t="inlineStr">
        <is>
          <t>A 46825-2025</t>
        </is>
      </c>
      <c r="B639" s="1" t="n">
        <v>45926.92506944444</v>
      </c>
      <c r="C639" s="1" t="n">
        <v>46090</v>
      </c>
      <c r="D639" t="inlineStr">
        <is>
          <t>JÄMTLANDS LÄN</t>
        </is>
      </c>
      <c r="E639" t="inlineStr">
        <is>
          <t>RAGUNDA</t>
        </is>
      </c>
      <c r="G639" t="n">
        <v>1.4</v>
      </c>
      <c r="H639" t="n">
        <v>0</v>
      </c>
      <c r="I639" t="n">
        <v>0</v>
      </c>
      <c r="J639" t="n">
        <v>0</v>
      </c>
      <c r="K639" t="n">
        <v>0</v>
      </c>
      <c r="L639" t="n">
        <v>0</v>
      </c>
      <c r="M639" t="n">
        <v>0</v>
      </c>
      <c r="N639" t="n">
        <v>0</v>
      </c>
      <c r="O639" t="n">
        <v>0</v>
      </c>
      <c r="P639" t="n">
        <v>0</v>
      </c>
      <c r="Q639" t="n">
        <v>0</v>
      </c>
      <c r="R639" s="2" t="inlineStr"/>
    </row>
    <row r="640" ht="15" customHeight="1">
      <c r="A640" t="inlineStr">
        <is>
          <t>A 46710-2025</t>
        </is>
      </c>
      <c r="B640" s="1" t="n">
        <v>45926.57337962963</v>
      </c>
      <c r="C640" s="1" t="n">
        <v>46090</v>
      </c>
      <c r="D640" t="inlineStr">
        <is>
          <t>JÄMTLANDS LÄN</t>
        </is>
      </c>
      <c r="E640" t="inlineStr">
        <is>
          <t>RAGUNDA</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32777-2025</t>
        </is>
      </c>
      <c r="B641" s="1" t="n">
        <v>45839.46915509259</v>
      </c>
      <c r="C641" s="1" t="n">
        <v>46090</v>
      </c>
      <c r="D641" t="inlineStr">
        <is>
          <t>JÄMTLANDS LÄN</t>
        </is>
      </c>
      <c r="E641" t="inlineStr">
        <is>
          <t>RAGUNDA</t>
        </is>
      </c>
      <c r="F641" t="inlineStr">
        <is>
          <t>SCA</t>
        </is>
      </c>
      <c r="G641" t="n">
        <v>21.7</v>
      </c>
      <c r="H641" t="n">
        <v>0</v>
      </c>
      <c r="I641" t="n">
        <v>0</v>
      </c>
      <c r="J641" t="n">
        <v>0</v>
      </c>
      <c r="K641" t="n">
        <v>0</v>
      </c>
      <c r="L641" t="n">
        <v>0</v>
      </c>
      <c r="M641" t="n">
        <v>0</v>
      </c>
      <c r="N641" t="n">
        <v>0</v>
      </c>
      <c r="O641" t="n">
        <v>0</v>
      </c>
      <c r="P641" t="n">
        <v>0</v>
      </c>
      <c r="Q641" t="n">
        <v>0</v>
      </c>
      <c r="R641" s="2" t="inlineStr"/>
    </row>
    <row r="642" ht="15" customHeight="1">
      <c r="A642" t="inlineStr">
        <is>
          <t>A 47075-2025</t>
        </is>
      </c>
      <c r="B642" s="1" t="n">
        <v>45929.63728009259</v>
      </c>
      <c r="C642" s="1" t="n">
        <v>46090</v>
      </c>
      <c r="D642" t="inlineStr">
        <is>
          <t>JÄMTLANDS LÄN</t>
        </is>
      </c>
      <c r="E642" t="inlineStr">
        <is>
          <t>RAGUNDA</t>
        </is>
      </c>
      <c r="F642" t="inlineStr">
        <is>
          <t>SCA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32430-2025</t>
        </is>
      </c>
      <c r="B643" s="1" t="n">
        <v>45838.36532407408</v>
      </c>
      <c r="C643" s="1" t="n">
        <v>46090</v>
      </c>
      <c r="D643" t="inlineStr">
        <is>
          <t>JÄMTLANDS LÄN</t>
        </is>
      </c>
      <c r="E643" t="inlineStr">
        <is>
          <t>RAGUNDA</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47119-2025</t>
        </is>
      </c>
      <c r="B644" s="1" t="n">
        <v>45929.67795138889</v>
      </c>
      <c r="C644" s="1" t="n">
        <v>46090</v>
      </c>
      <c r="D644" t="inlineStr">
        <is>
          <t>JÄMTLANDS LÄN</t>
        </is>
      </c>
      <c r="E644" t="inlineStr">
        <is>
          <t>RAGUNDA</t>
        </is>
      </c>
      <c r="F644" t="inlineStr">
        <is>
          <t>SCA</t>
        </is>
      </c>
      <c r="G644" t="n">
        <v>22.7</v>
      </c>
      <c r="H644" t="n">
        <v>0</v>
      </c>
      <c r="I644" t="n">
        <v>0</v>
      </c>
      <c r="J644" t="n">
        <v>0</v>
      </c>
      <c r="K644" t="n">
        <v>0</v>
      </c>
      <c r="L644" t="n">
        <v>0</v>
      </c>
      <c r="M644" t="n">
        <v>0</v>
      </c>
      <c r="N644" t="n">
        <v>0</v>
      </c>
      <c r="O644" t="n">
        <v>0</v>
      </c>
      <c r="P644" t="n">
        <v>0</v>
      </c>
      <c r="Q644" t="n">
        <v>0</v>
      </c>
      <c r="R644" s="2" t="inlineStr"/>
    </row>
    <row r="645" ht="15" customHeight="1">
      <c r="A645" t="inlineStr">
        <is>
          <t>A 46689-2025</t>
        </is>
      </c>
      <c r="B645" s="1" t="n">
        <v>45926.55307870371</v>
      </c>
      <c r="C645" s="1" t="n">
        <v>46090</v>
      </c>
      <c r="D645" t="inlineStr">
        <is>
          <t>JÄMTLANDS LÄN</t>
        </is>
      </c>
      <c r="E645" t="inlineStr">
        <is>
          <t>RAGUNDA</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46909-2025</t>
        </is>
      </c>
      <c r="B646" s="1" t="n">
        <v>45929.40673611111</v>
      </c>
      <c r="C646" s="1" t="n">
        <v>46090</v>
      </c>
      <c r="D646" t="inlineStr">
        <is>
          <t>JÄMTLANDS LÄN</t>
        </is>
      </c>
      <c r="E646" t="inlineStr">
        <is>
          <t>RAGUNDA</t>
        </is>
      </c>
      <c r="G646" t="n">
        <v>5.7</v>
      </c>
      <c r="H646" t="n">
        <v>0</v>
      </c>
      <c r="I646" t="n">
        <v>0</v>
      </c>
      <c r="J646" t="n">
        <v>0</v>
      </c>
      <c r="K646" t="n">
        <v>0</v>
      </c>
      <c r="L646" t="n">
        <v>0</v>
      </c>
      <c r="M646" t="n">
        <v>0</v>
      </c>
      <c r="N646" t="n">
        <v>0</v>
      </c>
      <c r="O646" t="n">
        <v>0</v>
      </c>
      <c r="P646" t="n">
        <v>0</v>
      </c>
      <c r="Q646" t="n">
        <v>0</v>
      </c>
      <c r="R646" s="2" t="inlineStr"/>
    </row>
    <row r="647" ht="15" customHeight="1">
      <c r="A647" t="inlineStr">
        <is>
          <t>A 32747-2025</t>
        </is>
      </c>
      <c r="B647" s="1" t="n">
        <v>45839.42810185185</v>
      </c>
      <c r="C647" s="1" t="n">
        <v>46090</v>
      </c>
      <c r="D647" t="inlineStr">
        <is>
          <t>JÄMTLANDS LÄN</t>
        </is>
      </c>
      <c r="E647" t="inlineStr">
        <is>
          <t>RAGUNDA</t>
        </is>
      </c>
      <c r="F647" t="inlineStr">
        <is>
          <t>SCA</t>
        </is>
      </c>
      <c r="G647" t="n">
        <v>4.5</v>
      </c>
      <c r="H647" t="n">
        <v>0</v>
      </c>
      <c r="I647" t="n">
        <v>0</v>
      </c>
      <c r="J647" t="n">
        <v>0</v>
      </c>
      <c r="K647" t="n">
        <v>0</v>
      </c>
      <c r="L647" t="n">
        <v>0</v>
      </c>
      <c r="M647" t="n">
        <v>0</v>
      </c>
      <c r="N647" t="n">
        <v>0</v>
      </c>
      <c r="O647" t="n">
        <v>0</v>
      </c>
      <c r="P647" t="n">
        <v>0</v>
      </c>
      <c r="Q647" t="n">
        <v>0</v>
      </c>
      <c r="R647" s="2" t="inlineStr"/>
    </row>
    <row r="648" ht="15" customHeight="1">
      <c r="A648" t="inlineStr">
        <is>
          <t>A 32757-2025</t>
        </is>
      </c>
      <c r="B648" s="1" t="n">
        <v>45838</v>
      </c>
      <c r="C648" s="1" t="n">
        <v>46090</v>
      </c>
      <c r="D648" t="inlineStr">
        <is>
          <t>JÄMTLANDS LÄN</t>
        </is>
      </c>
      <c r="E648" t="inlineStr">
        <is>
          <t>RAGUNDA</t>
        </is>
      </c>
      <c r="G648" t="n">
        <v>4.5</v>
      </c>
      <c r="H648" t="n">
        <v>0</v>
      </c>
      <c r="I648" t="n">
        <v>0</v>
      </c>
      <c r="J648" t="n">
        <v>0</v>
      </c>
      <c r="K648" t="n">
        <v>0</v>
      </c>
      <c r="L648" t="n">
        <v>0</v>
      </c>
      <c r="M648" t="n">
        <v>0</v>
      </c>
      <c r="N648" t="n">
        <v>0</v>
      </c>
      <c r="O648" t="n">
        <v>0</v>
      </c>
      <c r="P648" t="n">
        <v>0</v>
      </c>
      <c r="Q648" t="n">
        <v>0</v>
      </c>
      <c r="R648" s="2" t="inlineStr"/>
    </row>
    <row r="649" ht="15" customHeight="1">
      <c r="A649" t="inlineStr">
        <is>
          <t>A 47122-2025</t>
        </is>
      </c>
      <c r="B649" s="1" t="n">
        <v>45929.67878472222</v>
      </c>
      <c r="C649" s="1" t="n">
        <v>46090</v>
      </c>
      <c r="D649" t="inlineStr">
        <is>
          <t>JÄMTLANDS LÄN</t>
        </is>
      </c>
      <c r="E649" t="inlineStr">
        <is>
          <t>RAGUNDA</t>
        </is>
      </c>
      <c r="F649" t="inlineStr">
        <is>
          <t>SCA</t>
        </is>
      </c>
      <c r="G649" t="n">
        <v>31.1</v>
      </c>
      <c r="H649" t="n">
        <v>0</v>
      </c>
      <c r="I649" t="n">
        <v>0</v>
      </c>
      <c r="J649" t="n">
        <v>0</v>
      </c>
      <c r="K649" t="n">
        <v>0</v>
      </c>
      <c r="L649" t="n">
        <v>0</v>
      </c>
      <c r="M649" t="n">
        <v>0</v>
      </c>
      <c r="N649" t="n">
        <v>0</v>
      </c>
      <c r="O649" t="n">
        <v>0</v>
      </c>
      <c r="P649" t="n">
        <v>0</v>
      </c>
      <c r="Q649" t="n">
        <v>0</v>
      </c>
      <c r="R649" s="2" t="inlineStr"/>
    </row>
    <row r="650" ht="15" customHeight="1">
      <c r="A650" t="inlineStr">
        <is>
          <t>A 46974-2025</t>
        </is>
      </c>
      <c r="B650" s="1" t="n">
        <v>45929.51104166666</v>
      </c>
      <c r="C650" s="1" t="n">
        <v>46090</v>
      </c>
      <c r="D650" t="inlineStr">
        <is>
          <t>JÄMTLANDS LÄN</t>
        </is>
      </c>
      <c r="E650" t="inlineStr">
        <is>
          <t>RAGUNDA</t>
        </is>
      </c>
      <c r="F650" t="inlineStr">
        <is>
          <t>SCA</t>
        </is>
      </c>
      <c r="G650" t="n">
        <v>12.1</v>
      </c>
      <c r="H650" t="n">
        <v>0</v>
      </c>
      <c r="I650" t="n">
        <v>0</v>
      </c>
      <c r="J650" t="n">
        <v>0</v>
      </c>
      <c r="K650" t="n">
        <v>0</v>
      </c>
      <c r="L650" t="n">
        <v>0</v>
      </c>
      <c r="M650" t="n">
        <v>0</v>
      </c>
      <c r="N650" t="n">
        <v>0</v>
      </c>
      <c r="O650" t="n">
        <v>0</v>
      </c>
      <c r="P650" t="n">
        <v>0</v>
      </c>
      <c r="Q650" t="n">
        <v>0</v>
      </c>
      <c r="R650" s="2" t="inlineStr"/>
    </row>
    <row r="651" ht="15" customHeight="1">
      <c r="A651" t="inlineStr">
        <is>
          <t>A 32846-2025</t>
        </is>
      </c>
      <c r="B651" s="1" t="n">
        <v>45839.57331018519</v>
      </c>
      <c r="C651" s="1" t="n">
        <v>46090</v>
      </c>
      <c r="D651" t="inlineStr">
        <is>
          <t>JÄMTLANDS LÄN</t>
        </is>
      </c>
      <c r="E651" t="inlineStr">
        <is>
          <t>RAGUNDA</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32748-2025</t>
        </is>
      </c>
      <c r="B652" s="1" t="n">
        <v>45839.42822916667</v>
      </c>
      <c r="C652" s="1" t="n">
        <v>46090</v>
      </c>
      <c r="D652" t="inlineStr">
        <is>
          <t>JÄMTLANDS LÄN</t>
        </is>
      </c>
      <c r="E652" t="inlineStr">
        <is>
          <t>RAGUNDA</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32762-2025</t>
        </is>
      </c>
      <c r="B653" s="1" t="n">
        <v>45838</v>
      </c>
      <c r="C653" s="1" t="n">
        <v>46090</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46751-2025</t>
        </is>
      </c>
      <c r="B654" s="1" t="n">
        <v>45926.6153125</v>
      </c>
      <c r="C654" s="1" t="n">
        <v>46090</v>
      </c>
      <c r="D654" t="inlineStr">
        <is>
          <t>JÄMTLANDS LÄN</t>
        </is>
      </c>
      <c r="E654" t="inlineStr">
        <is>
          <t>RAGUNDA</t>
        </is>
      </c>
      <c r="F654" t="inlineStr">
        <is>
          <t>SCA</t>
        </is>
      </c>
      <c r="G654" t="n">
        <v>7.8</v>
      </c>
      <c r="H654" t="n">
        <v>0</v>
      </c>
      <c r="I654" t="n">
        <v>0</v>
      </c>
      <c r="J654" t="n">
        <v>0</v>
      </c>
      <c r="K654" t="n">
        <v>0</v>
      </c>
      <c r="L654" t="n">
        <v>0</v>
      </c>
      <c r="M654" t="n">
        <v>0</v>
      </c>
      <c r="N654" t="n">
        <v>0</v>
      </c>
      <c r="O654" t="n">
        <v>0</v>
      </c>
      <c r="P654" t="n">
        <v>0</v>
      </c>
      <c r="Q654" t="n">
        <v>0</v>
      </c>
      <c r="R654" s="2" t="inlineStr"/>
    </row>
    <row r="655" ht="15" customHeight="1">
      <c r="A655" t="inlineStr">
        <is>
          <t>A 46753-2025</t>
        </is>
      </c>
      <c r="B655" s="1" t="n">
        <v>45926.61552083334</v>
      </c>
      <c r="C655" s="1" t="n">
        <v>46090</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32660-2025</t>
        </is>
      </c>
      <c r="B656" s="1" t="n">
        <v>45838.67887731481</v>
      </c>
      <c r="C656" s="1" t="n">
        <v>46090</v>
      </c>
      <c r="D656" t="inlineStr">
        <is>
          <t>JÄMTLANDS LÄN</t>
        </is>
      </c>
      <c r="E656" t="inlineStr">
        <is>
          <t>RAGUNDA</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47037-2025</t>
        </is>
      </c>
      <c r="B657" s="1" t="n">
        <v>45929.59456018519</v>
      </c>
      <c r="C657" s="1" t="n">
        <v>46090</v>
      </c>
      <c r="D657" t="inlineStr">
        <is>
          <t>JÄMTLANDS LÄN</t>
        </is>
      </c>
      <c r="E657" t="inlineStr">
        <is>
          <t>RAGUNDA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32527-2025</t>
        </is>
      </c>
      <c r="B658" s="1" t="n">
        <v>45838.48996527777</v>
      </c>
      <c r="C658" s="1" t="n">
        <v>46090</v>
      </c>
      <c r="D658" t="inlineStr">
        <is>
          <t>JÄMTLANDS LÄN</t>
        </is>
      </c>
      <c r="E658" t="inlineStr">
        <is>
          <t>RAGUNDA</t>
        </is>
      </c>
      <c r="G658" t="n">
        <v>5</v>
      </c>
      <c r="H658" t="n">
        <v>0</v>
      </c>
      <c r="I658" t="n">
        <v>0</v>
      </c>
      <c r="J658" t="n">
        <v>0</v>
      </c>
      <c r="K658" t="n">
        <v>0</v>
      </c>
      <c r="L658" t="n">
        <v>0</v>
      </c>
      <c r="M658" t="n">
        <v>0</v>
      </c>
      <c r="N658" t="n">
        <v>0</v>
      </c>
      <c r="O658" t="n">
        <v>0</v>
      </c>
      <c r="P658" t="n">
        <v>0</v>
      </c>
      <c r="Q658" t="n">
        <v>0</v>
      </c>
      <c r="R658" s="2" t="inlineStr"/>
    </row>
    <row r="659" ht="15" customHeight="1">
      <c r="A659" t="inlineStr">
        <is>
          <t>A 2224-2024</t>
        </is>
      </c>
      <c r="B659" s="1" t="n">
        <v>45309.92524305556</v>
      </c>
      <c r="C659" s="1" t="n">
        <v>46090</v>
      </c>
      <c r="D659" t="inlineStr">
        <is>
          <t>JÄMTLANDS LÄN</t>
        </is>
      </c>
      <c r="E659" t="inlineStr">
        <is>
          <t>RAGUNDA</t>
        </is>
      </c>
      <c r="G659" t="n">
        <v>0.9</v>
      </c>
      <c r="H659" t="n">
        <v>0</v>
      </c>
      <c r="I659" t="n">
        <v>0</v>
      </c>
      <c r="J659" t="n">
        <v>0</v>
      </c>
      <c r="K659" t="n">
        <v>0</v>
      </c>
      <c r="L659" t="n">
        <v>0</v>
      </c>
      <c r="M659" t="n">
        <v>0</v>
      </c>
      <c r="N659" t="n">
        <v>0</v>
      </c>
      <c r="O659" t="n">
        <v>0</v>
      </c>
      <c r="P659" t="n">
        <v>0</v>
      </c>
      <c r="Q659" t="n">
        <v>0</v>
      </c>
      <c r="R659" s="2" t="inlineStr"/>
    </row>
    <row r="660" ht="15" customHeight="1">
      <c r="A660" t="inlineStr">
        <is>
          <t>A 1523-2024</t>
        </is>
      </c>
      <c r="B660" s="1" t="n">
        <v>45306</v>
      </c>
      <c r="C660" s="1" t="n">
        <v>46090</v>
      </c>
      <c r="D660" t="inlineStr">
        <is>
          <t>JÄMTLANDS LÄN</t>
        </is>
      </c>
      <c r="E660" t="inlineStr">
        <is>
          <t>RAGUNDA</t>
        </is>
      </c>
      <c r="G660" t="n">
        <v>4.1</v>
      </c>
      <c r="H660" t="n">
        <v>0</v>
      </c>
      <c r="I660" t="n">
        <v>0</v>
      </c>
      <c r="J660" t="n">
        <v>0</v>
      </c>
      <c r="K660" t="n">
        <v>0</v>
      </c>
      <c r="L660" t="n">
        <v>0</v>
      </c>
      <c r="M660" t="n">
        <v>0</v>
      </c>
      <c r="N660" t="n">
        <v>0</v>
      </c>
      <c r="O660" t="n">
        <v>0</v>
      </c>
      <c r="P660" t="n">
        <v>0</v>
      </c>
      <c r="Q660" t="n">
        <v>0</v>
      </c>
      <c r="R660" s="2" t="inlineStr"/>
    </row>
    <row r="661" ht="15" customHeight="1">
      <c r="A661" t="inlineStr">
        <is>
          <t>A 33140-2025</t>
        </is>
      </c>
      <c r="B661" s="1" t="n">
        <v>45840.52225694444</v>
      </c>
      <c r="C661" s="1" t="n">
        <v>46090</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19438-2023</t>
        </is>
      </c>
      <c r="B662" s="1" t="n">
        <v>45049</v>
      </c>
      <c r="C662" s="1" t="n">
        <v>46090</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47749-2025</t>
        </is>
      </c>
      <c r="B663" s="1" t="n">
        <v>45931.65711805555</v>
      </c>
      <c r="C663" s="1" t="n">
        <v>46090</v>
      </c>
      <c r="D663" t="inlineStr">
        <is>
          <t>JÄMTLANDS LÄN</t>
        </is>
      </c>
      <c r="E663" t="inlineStr">
        <is>
          <t>RAGUNDA</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33556-2025</t>
        </is>
      </c>
      <c r="B664" s="1" t="n">
        <v>45841.57427083333</v>
      </c>
      <c r="C664" s="1" t="n">
        <v>46090</v>
      </c>
      <c r="D664" t="inlineStr">
        <is>
          <t>JÄMTLANDS LÄN</t>
        </is>
      </c>
      <c r="E664" t="inlineStr">
        <is>
          <t>RAGUNDA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58630-2024</t>
        </is>
      </c>
      <c r="B665" s="1" t="n">
        <v>45635.57331018519</v>
      </c>
      <c r="C665" s="1" t="n">
        <v>46090</v>
      </c>
      <c r="D665" t="inlineStr">
        <is>
          <t>JÄMTLANDS LÄN</t>
        </is>
      </c>
      <c r="E665" t="inlineStr">
        <is>
          <t>RAGUNDA</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47228-2025</t>
        </is>
      </c>
      <c r="B666" s="1" t="n">
        <v>45930.3990162037</v>
      </c>
      <c r="C666" s="1" t="n">
        <v>46090</v>
      </c>
      <c r="D666" t="inlineStr">
        <is>
          <t>JÄMTLANDS LÄN</t>
        </is>
      </c>
      <c r="E666" t="inlineStr">
        <is>
          <t>RAGUNDA</t>
        </is>
      </c>
      <c r="G666" t="n">
        <v>2.6</v>
      </c>
      <c r="H666" t="n">
        <v>0</v>
      </c>
      <c r="I666" t="n">
        <v>0</v>
      </c>
      <c r="J666" t="n">
        <v>0</v>
      </c>
      <c r="K666" t="n">
        <v>0</v>
      </c>
      <c r="L666" t="n">
        <v>0</v>
      </c>
      <c r="M666" t="n">
        <v>0</v>
      </c>
      <c r="N666" t="n">
        <v>0</v>
      </c>
      <c r="O666" t="n">
        <v>0</v>
      </c>
      <c r="P666" t="n">
        <v>0</v>
      </c>
      <c r="Q666" t="n">
        <v>0</v>
      </c>
      <c r="R666" s="2" t="inlineStr"/>
    </row>
    <row r="667" ht="15" customHeight="1">
      <c r="A667" t="inlineStr">
        <is>
          <t>A 46549-2023</t>
        </is>
      </c>
      <c r="B667" s="1" t="n">
        <v>45197.94171296297</v>
      </c>
      <c r="C667" s="1" t="n">
        <v>46090</v>
      </c>
      <c r="D667" t="inlineStr">
        <is>
          <t>JÄMTLANDS LÄN</t>
        </is>
      </c>
      <c r="E667" t="inlineStr">
        <is>
          <t>RAGUNDA</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47229-2025</t>
        </is>
      </c>
      <c r="B668" s="1" t="n">
        <v>45930.40166666666</v>
      </c>
      <c r="C668" s="1" t="n">
        <v>46090</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32258-2024</t>
        </is>
      </c>
      <c r="B669" s="1" t="n">
        <v>45511</v>
      </c>
      <c r="C669" s="1" t="n">
        <v>46090</v>
      </c>
      <c r="D669" t="inlineStr">
        <is>
          <t>JÄMTLANDS LÄN</t>
        </is>
      </c>
      <c r="E669" t="inlineStr">
        <is>
          <t>RAGUNDA</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38270-2021</t>
        </is>
      </c>
      <c r="B670" s="1" t="n">
        <v>44405.92065972222</v>
      </c>
      <c r="C670" s="1" t="n">
        <v>46090</v>
      </c>
      <c r="D670" t="inlineStr">
        <is>
          <t>JÄMTLANDS LÄN</t>
        </is>
      </c>
      <c r="E670" t="inlineStr">
        <is>
          <t>RAGUNDA</t>
        </is>
      </c>
      <c r="G670" t="n">
        <v>1.3</v>
      </c>
      <c r="H670" t="n">
        <v>0</v>
      </c>
      <c r="I670" t="n">
        <v>0</v>
      </c>
      <c r="J670" t="n">
        <v>0</v>
      </c>
      <c r="K670" t="n">
        <v>0</v>
      </c>
      <c r="L670" t="n">
        <v>0</v>
      </c>
      <c r="M670" t="n">
        <v>0</v>
      </c>
      <c r="N670" t="n">
        <v>0</v>
      </c>
      <c r="O670" t="n">
        <v>0</v>
      </c>
      <c r="P670" t="n">
        <v>0</v>
      </c>
      <c r="Q670" t="n">
        <v>0</v>
      </c>
      <c r="R670" s="2" t="inlineStr"/>
    </row>
    <row r="671" ht="15" customHeight="1">
      <c r="A671" t="inlineStr">
        <is>
          <t>A 47748-2025</t>
        </is>
      </c>
      <c r="B671" s="1" t="n">
        <v>45931.65693287037</v>
      </c>
      <c r="C671" s="1" t="n">
        <v>46090</v>
      </c>
      <c r="D671" t="inlineStr">
        <is>
          <t>JÄMTLANDS LÄN</t>
        </is>
      </c>
      <c r="E671" t="inlineStr">
        <is>
          <t>RAGUNDA</t>
        </is>
      </c>
      <c r="F671" t="inlineStr">
        <is>
          <t>SCA</t>
        </is>
      </c>
      <c r="G671" t="n">
        <v>8.6</v>
      </c>
      <c r="H671" t="n">
        <v>0</v>
      </c>
      <c r="I671" t="n">
        <v>0</v>
      </c>
      <c r="J671" t="n">
        <v>0</v>
      </c>
      <c r="K671" t="n">
        <v>0</v>
      </c>
      <c r="L671" t="n">
        <v>0</v>
      </c>
      <c r="M671" t="n">
        <v>0</v>
      </c>
      <c r="N671" t="n">
        <v>0</v>
      </c>
      <c r="O671" t="n">
        <v>0</v>
      </c>
      <c r="P671" t="n">
        <v>0</v>
      </c>
      <c r="Q671" t="n">
        <v>0</v>
      </c>
      <c r="R671" s="2" t="inlineStr"/>
    </row>
    <row r="672" ht="15" customHeight="1">
      <c r="A672" t="inlineStr">
        <is>
          <t>A 21332-2025</t>
        </is>
      </c>
      <c r="B672" s="1" t="n">
        <v>45782.36506944444</v>
      </c>
      <c r="C672" s="1" t="n">
        <v>46090</v>
      </c>
      <c r="D672" t="inlineStr">
        <is>
          <t>JÄMTLANDS LÄN</t>
        </is>
      </c>
      <c r="E672" t="inlineStr">
        <is>
          <t>RAGUNDA</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29257-2024</t>
        </is>
      </c>
      <c r="B673" s="1" t="n">
        <v>45482.94815972223</v>
      </c>
      <c r="C673" s="1" t="n">
        <v>46090</v>
      </c>
      <c r="D673" t="inlineStr">
        <is>
          <t>JÄMTLANDS LÄN</t>
        </is>
      </c>
      <c r="E673" t="inlineStr">
        <is>
          <t>RAGUNDA</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27373-2023</t>
        </is>
      </c>
      <c r="B674" s="1" t="n">
        <v>45096.93866898148</v>
      </c>
      <c r="C674" s="1" t="n">
        <v>46090</v>
      </c>
      <c r="D674" t="inlineStr">
        <is>
          <t>JÄMTLANDS LÄN</t>
        </is>
      </c>
      <c r="E674" t="inlineStr">
        <is>
          <t>RAGUNDA</t>
        </is>
      </c>
      <c r="F674" t="inlineStr">
        <is>
          <t>SCA</t>
        </is>
      </c>
      <c r="G674" t="n">
        <v>6.9</v>
      </c>
      <c r="H674" t="n">
        <v>0</v>
      </c>
      <c r="I674" t="n">
        <v>0</v>
      </c>
      <c r="J674" t="n">
        <v>0</v>
      </c>
      <c r="K674" t="n">
        <v>0</v>
      </c>
      <c r="L674" t="n">
        <v>0</v>
      </c>
      <c r="M674" t="n">
        <v>0</v>
      </c>
      <c r="N674" t="n">
        <v>0</v>
      </c>
      <c r="O674" t="n">
        <v>0</v>
      </c>
      <c r="P674" t="n">
        <v>0</v>
      </c>
      <c r="Q674" t="n">
        <v>0</v>
      </c>
      <c r="R674" s="2" t="inlineStr"/>
    </row>
    <row r="675" ht="15" customHeight="1">
      <c r="A675" t="inlineStr">
        <is>
          <t>A 62115-2024</t>
        </is>
      </c>
      <c r="B675" s="1" t="n">
        <v>45656</v>
      </c>
      <c r="C675" s="1" t="n">
        <v>46090</v>
      </c>
      <c r="D675" t="inlineStr">
        <is>
          <t>JÄMTLANDS LÄN</t>
        </is>
      </c>
      <c r="E675" t="inlineStr">
        <is>
          <t>RAGUNDA</t>
        </is>
      </c>
      <c r="G675" t="n">
        <v>3.3</v>
      </c>
      <c r="H675" t="n">
        <v>0</v>
      </c>
      <c r="I675" t="n">
        <v>0</v>
      </c>
      <c r="J675" t="n">
        <v>0</v>
      </c>
      <c r="K675" t="n">
        <v>0</v>
      </c>
      <c r="L675" t="n">
        <v>0</v>
      </c>
      <c r="M675" t="n">
        <v>0</v>
      </c>
      <c r="N675" t="n">
        <v>0</v>
      </c>
      <c r="O675" t="n">
        <v>0</v>
      </c>
      <c r="P675" t="n">
        <v>0</v>
      </c>
      <c r="Q675" t="n">
        <v>0</v>
      </c>
      <c r="R675" s="2" t="inlineStr"/>
    </row>
    <row r="676" ht="15" customHeight="1">
      <c r="A676" t="inlineStr">
        <is>
          <t>A 12653-2024</t>
        </is>
      </c>
      <c r="B676" s="1" t="n">
        <v>45384</v>
      </c>
      <c r="C676" s="1" t="n">
        <v>46090</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50211-2023</t>
        </is>
      </c>
      <c r="B677" s="1" t="n">
        <v>45215.94657407407</v>
      </c>
      <c r="C677" s="1" t="n">
        <v>46090</v>
      </c>
      <c r="D677" t="inlineStr">
        <is>
          <t>JÄMTLANDS LÄN</t>
        </is>
      </c>
      <c r="E677" t="inlineStr">
        <is>
          <t>RAGUNDA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9232-2025</t>
        </is>
      </c>
      <c r="B678" s="1" t="n">
        <v>45714.55064814815</v>
      </c>
      <c r="C678" s="1" t="n">
        <v>46090</v>
      </c>
      <c r="D678" t="inlineStr">
        <is>
          <t>JÄMTLANDS LÄN</t>
        </is>
      </c>
      <c r="E678" t="inlineStr">
        <is>
          <t>RAGUNDA</t>
        </is>
      </c>
      <c r="G678" t="n">
        <v>1.9</v>
      </c>
      <c r="H678" t="n">
        <v>0</v>
      </c>
      <c r="I678" t="n">
        <v>0</v>
      </c>
      <c r="J678" t="n">
        <v>0</v>
      </c>
      <c r="K678" t="n">
        <v>0</v>
      </c>
      <c r="L678" t="n">
        <v>0</v>
      </c>
      <c r="M678" t="n">
        <v>0</v>
      </c>
      <c r="N678" t="n">
        <v>0</v>
      </c>
      <c r="O678" t="n">
        <v>0</v>
      </c>
      <c r="P678" t="n">
        <v>0</v>
      </c>
      <c r="Q678" t="n">
        <v>0</v>
      </c>
      <c r="R678" s="2" t="inlineStr"/>
    </row>
    <row r="679" ht="15" customHeight="1">
      <c r="A679" t="inlineStr">
        <is>
          <t>A 29775-2023</t>
        </is>
      </c>
      <c r="B679" s="1" t="n">
        <v>45098</v>
      </c>
      <c r="C679" s="1" t="n">
        <v>46090</v>
      </c>
      <c r="D679" t="inlineStr">
        <is>
          <t>JÄMTLANDS LÄN</t>
        </is>
      </c>
      <c r="E679" t="inlineStr">
        <is>
          <t>RAGUNDA</t>
        </is>
      </c>
      <c r="G679" t="n">
        <v>3.6</v>
      </c>
      <c r="H679" t="n">
        <v>0</v>
      </c>
      <c r="I679" t="n">
        <v>0</v>
      </c>
      <c r="J679" t="n">
        <v>0</v>
      </c>
      <c r="K679" t="n">
        <v>0</v>
      </c>
      <c r="L679" t="n">
        <v>0</v>
      </c>
      <c r="M679" t="n">
        <v>0</v>
      </c>
      <c r="N679" t="n">
        <v>0</v>
      </c>
      <c r="O679" t="n">
        <v>0</v>
      </c>
      <c r="P679" t="n">
        <v>0</v>
      </c>
      <c r="Q679" t="n">
        <v>0</v>
      </c>
      <c r="R679" s="2" t="inlineStr"/>
    </row>
    <row r="680" ht="15" customHeight="1">
      <c r="A680" t="inlineStr">
        <is>
          <t>A 33790-2025</t>
        </is>
      </c>
      <c r="B680" s="1" t="n">
        <v>45842.42608796297</v>
      </c>
      <c r="C680" s="1" t="n">
        <v>46090</v>
      </c>
      <c r="D680" t="inlineStr">
        <is>
          <t>JÄMTLANDS LÄN</t>
        </is>
      </c>
      <c r="E680" t="inlineStr">
        <is>
          <t>RAGUNDA</t>
        </is>
      </c>
      <c r="G680" t="n">
        <v>0.3</v>
      </c>
      <c r="H680" t="n">
        <v>0</v>
      </c>
      <c r="I680" t="n">
        <v>0</v>
      </c>
      <c r="J680" t="n">
        <v>0</v>
      </c>
      <c r="K680" t="n">
        <v>0</v>
      </c>
      <c r="L680" t="n">
        <v>0</v>
      </c>
      <c r="M680" t="n">
        <v>0</v>
      </c>
      <c r="N680" t="n">
        <v>0</v>
      </c>
      <c r="O680" t="n">
        <v>0</v>
      </c>
      <c r="P680" t="n">
        <v>0</v>
      </c>
      <c r="Q680" t="n">
        <v>0</v>
      </c>
      <c r="R680" s="2" t="inlineStr"/>
    </row>
    <row r="681" ht="15" customHeight="1">
      <c r="A681" t="inlineStr">
        <is>
          <t>A 44494-2024</t>
        </is>
      </c>
      <c r="B681" s="1" t="n">
        <v>45574.39081018518</v>
      </c>
      <c r="C681" s="1" t="n">
        <v>46090</v>
      </c>
      <c r="D681" t="inlineStr">
        <is>
          <t>JÄMTLANDS LÄN</t>
        </is>
      </c>
      <c r="E681" t="inlineStr">
        <is>
          <t>RAGUNDA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34607-2025</t>
        </is>
      </c>
      <c r="B682" s="1" t="n">
        <v>45847.65703703704</v>
      </c>
      <c r="C682" s="1" t="n">
        <v>46090</v>
      </c>
      <c r="D682" t="inlineStr">
        <is>
          <t>JÄMTLANDS LÄN</t>
        </is>
      </c>
      <c r="E682" t="inlineStr">
        <is>
          <t>RAGUNDA</t>
        </is>
      </c>
      <c r="F682" t="inlineStr">
        <is>
          <t>SCA</t>
        </is>
      </c>
      <c r="G682" t="n">
        <v>31.4</v>
      </c>
      <c r="H682" t="n">
        <v>0</v>
      </c>
      <c r="I682" t="n">
        <v>0</v>
      </c>
      <c r="J682" t="n">
        <v>0</v>
      </c>
      <c r="K682" t="n">
        <v>0</v>
      </c>
      <c r="L682" t="n">
        <v>0</v>
      </c>
      <c r="M682" t="n">
        <v>0</v>
      </c>
      <c r="N682" t="n">
        <v>0</v>
      </c>
      <c r="O682" t="n">
        <v>0</v>
      </c>
      <c r="P682" t="n">
        <v>0</v>
      </c>
      <c r="Q682" t="n">
        <v>0</v>
      </c>
      <c r="R682" s="2" t="inlineStr"/>
    </row>
    <row r="683" ht="15" customHeight="1">
      <c r="A683" t="inlineStr">
        <is>
          <t>A 34461-2025</t>
        </is>
      </c>
      <c r="B683" s="1" t="n">
        <v>45847.34474537037</v>
      </c>
      <c r="C683" s="1" t="n">
        <v>46090</v>
      </c>
      <c r="D683" t="inlineStr">
        <is>
          <t>JÄMTLANDS LÄN</t>
        </is>
      </c>
      <c r="E683" t="inlineStr">
        <is>
          <t>RAGUNDA</t>
        </is>
      </c>
      <c r="F683" t="inlineStr">
        <is>
          <t>SCA</t>
        </is>
      </c>
      <c r="G683" t="n">
        <v>44.8</v>
      </c>
      <c r="H683" t="n">
        <v>0</v>
      </c>
      <c r="I683" t="n">
        <v>0</v>
      </c>
      <c r="J683" t="n">
        <v>0</v>
      </c>
      <c r="K683" t="n">
        <v>0</v>
      </c>
      <c r="L683" t="n">
        <v>0</v>
      </c>
      <c r="M683" t="n">
        <v>0</v>
      </c>
      <c r="N683" t="n">
        <v>0</v>
      </c>
      <c r="O683" t="n">
        <v>0</v>
      </c>
      <c r="P683" t="n">
        <v>0</v>
      </c>
      <c r="Q683" t="n">
        <v>0</v>
      </c>
      <c r="R683" s="2" t="inlineStr"/>
    </row>
    <row r="684" ht="15" customHeight="1">
      <c r="A684" t="inlineStr">
        <is>
          <t>A 34464-2025</t>
        </is>
      </c>
      <c r="B684" s="1" t="n">
        <v>45847.34528935186</v>
      </c>
      <c r="C684" s="1" t="n">
        <v>46090</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34468-2025</t>
        </is>
      </c>
      <c r="B685" s="1" t="n">
        <v>45847.34597222223</v>
      </c>
      <c r="C685" s="1" t="n">
        <v>46090</v>
      </c>
      <c r="D685" t="inlineStr">
        <is>
          <t>JÄMTLANDS LÄN</t>
        </is>
      </c>
      <c r="E685" t="inlineStr">
        <is>
          <t>RAGUNDA</t>
        </is>
      </c>
      <c r="F685" t="inlineStr">
        <is>
          <t>SCA</t>
        </is>
      </c>
      <c r="G685" t="n">
        <v>10</v>
      </c>
      <c r="H685" t="n">
        <v>0</v>
      </c>
      <c r="I685" t="n">
        <v>0</v>
      </c>
      <c r="J685" t="n">
        <v>0</v>
      </c>
      <c r="K685" t="n">
        <v>0</v>
      </c>
      <c r="L685" t="n">
        <v>0</v>
      </c>
      <c r="M685" t="n">
        <v>0</v>
      </c>
      <c r="N685" t="n">
        <v>0</v>
      </c>
      <c r="O685" t="n">
        <v>0</v>
      </c>
      <c r="P685" t="n">
        <v>0</v>
      </c>
      <c r="Q685" t="n">
        <v>0</v>
      </c>
      <c r="R685" s="2" t="inlineStr"/>
    </row>
    <row r="686" ht="15" customHeight="1">
      <c r="A686" t="inlineStr">
        <is>
          <t>A 34466-2025</t>
        </is>
      </c>
      <c r="B686" s="1" t="n">
        <v>45847.34565972222</v>
      </c>
      <c r="C686" s="1" t="n">
        <v>46090</v>
      </c>
      <c r="D686" t="inlineStr">
        <is>
          <t>JÄMTLANDS LÄN</t>
        </is>
      </c>
      <c r="E686" t="inlineStr">
        <is>
          <t>RAGUNDA</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13898-2023</t>
        </is>
      </c>
      <c r="B687" s="1" t="n">
        <v>45008.01408564814</v>
      </c>
      <c r="C687" s="1" t="n">
        <v>46090</v>
      </c>
      <c r="D687" t="inlineStr">
        <is>
          <t>JÄMTLANDS LÄN</t>
        </is>
      </c>
      <c r="E687" t="inlineStr">
        <is>
          <t>RAGUNDA</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34463-2025</t>
        </is>
      </c>
      <c r="B688" s="1" t="n">
        <v>45847.34515046296</v>
      </c>
      <c r="C688" s="1" t="n">
        <v>46090</v>
      </c>
      <c r="D688" t="inlineStr">
        <is>
          <t>JÄMTLANDS LÄN</t>
        </is>
      </c>
      <c r="E688" t="inlineStr">
        <is>
          <t>RAGUNDA</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48748-2025</t>
        </is>
      </c>
      <c r="B689" s="1" t="n">
        <v>45936.67912037037</v>
      </c>
      <c r="C689" s="1" t="n">
        <v>46090</v>
      </c>
      <c r="D689" t="inlineStr">
        <is>
          <t>JÄMTLANDS LÄN</t>
        </is>
      </c>
      <c r="E689" t="inlineStr">
        <is>
          <t>RAGUNDA</t>
        </is>
      </c>
      <c r="F689" t="inlineStr">
        <is>
          <t>SCA</t>
        </is>
      </c>
      <c r="G689" t="n">
        <v>11.1</v>
      </c>
      <c r="H689" t="n">
        <v>0</v>
      </c>
      <c r="I689" t="n">
        <v>0</v>
      </c>
      <c r="J689" t="n">
        <v>0</v>
      </c>
      <c r="K689" t="n">
        <v>0</v>
      </c>
      <c r="L689" t="n">
        <v>0</v>
      </c>
      <c r="M689" t="n">
        <v>0</v>
      </c>
      <c r="N689" t="n">
        <v>0</v>
      </c>
      <c r="O689" t="n">
        <v>0</v>
      </c>
      <c r="P689" t="n">
        <v>0</v>
      </c>
      <c r="Q689" t="n">
        <v>0</v>
      </c>
      <c r="R689" s="2" t="inlineStr"/>
    </row>
    <row r="690" ht="15" customHeight="1">
      <c r="A690" t="inlineStr">
        <is>
          <t>A 48528-2025</t>
        </is>
      </c>
      <c r="B690" s="1" t="n">
        <v>45936.40758101852</v>
      </c>
      <c r="C690" s="1" t="n">
        <v>46090</v>
      </c>
      <c r="D690" t="inlineStr">
        <is>
          <t>JÄMTLANDS LÄN</t>
        </is>
      </c>
      <c r="E690" t="inlineStr">
        <is>
          <t>RAGUNDA</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48742-2025</t>
        </is>
      </c>
      <c r="B691" s="1" t="n">
        <v>45936.67810185185</v>
      </c>
      <c r="C691" s="1" t="n">
        <v>46090</v>
      </c>
      <c r="D691" t="inlineStr">
        <is>
          <t>JÄMTLANDS LÄN</t>
        </is>
      </c>
      <c r="E691" t="inlineStr">
        <is>
          <t>RAGUNDA</t>
        </is>
      </c>
      <c r="F691" t="inlineStr">
        <is>
          <t>SCA</t>
        </is>
      </c>
      <c r="G691" t="n">
        <v>8.9</v>
      </c>
      <c r="H691" t="n">
        <v>0</v>
      </c>
      <c r="I691" t="n">
        <v>0</v>
      </c>
      <c r="J691" t="n">
        <v>0</v>
      </c>
      <c r="K691" t="n">
        <v>0</v>
      </c>
      <c r="L691" t="n">
        <v>0</v>
      </c>
      <c r="M691" t="n">
        <v>0</v>
      </c>
      <c r="N691" t="n">
        <v>0</v>
      </c>
      <c r="O691" t="n">
        <v>0</v>
      </c>
      <c r="P691" t="n">
        <v>0</v>
      </c>
      <c r="Q691" t="n">
        <v>0</v>
      </c>
      <c r="R691" s="2" t="inlineStr"/>
    </row>
    <row r="692" ht="15" customHeight="1">
      <c r="A692" t="inlineStr">
        <is>
          <t>A 34586-2025</t>
        </is>
      </c>
      <c r="B692" s="1" t="n">
        <v>45847.61513888889</v>
      </c>
      <c r="C692" s="1" t="n">
        <v>46090</v>
      </c>
      <c r="D692" t="inlineStr">
        <is>
          <t>JÄMTLANDS LÄN</t>
        </is>
      </c>
      <c r="E692" t="inlineStr">
        <is>
          <t>RAGUNDA</t>
        </is>
      </c>
      <c r="G692" t="n">
        <v>1.6</v>
      </c>
      <c r="H692" t="n">
        <v>0</v>
      </c>
      <c r="I692" t="n">
        <v>0</v>
      </c>
      <c r="J692" t="n">
        <v>0</v>
      </c>
      <c r="K692" t="n">
        <v>0</v>
      </c>
      <c r="L692" t="n">
        <v>0</v>
      </c>
      <c r="M692" t="n">
        <v>0</v>
      </c>
      <c r="N692" t="n">
        <v>0</v>
      </c>
      <c r="O692" t="n">
        <v>0</v>
      </c>
      <c r="P692" t="n">
        <v>0</v>
      </c>
      <c r="Q692" t="n">
        <v>0</v>
      </c>
      <c r="R692" s="2" t="inlineStr"/>
    </row>
    <row r="693" ht="15" customHeight="1">
      <c r="A693" t="inlineStr">
        <is>
          <t>A 34588-2025</t>
        </is>
      </c>
      <c r="B693" s="1" t="n">
        <v>45847.61548611111</v>
      </c>
      <c r="C693" s="1" t="n">
        <v>46090</v>
      </c>
      <c r="D693" t="inlineStr">
        <is>
          <t>JÄMTLANDS LÄN</t>
        </is>
      </c>
      <c r="E693" t="inlineStr">
        <is>
          <t>RAGUNDA</t>
        </is>
      </c>
      <c r="G693" t="n">
        <v>32.3</v>
      </c>
      <c r="H693" t="n">
        <v>0</v>
      </c>
      <c r="I693" t="n">
        <v>0</v>
      </c>
      <c r="J693" t="n">
        <v>0</v>
      </c>
      <c r="K693" t="n">
        <v>0</v>
      </c>
      <c r="L693" t="n">
        <v>0</v>
      </c>
      <c r="M693" t="n">
        <v>0</v>
      </c>
      <c r="N693" t="n">
        <v>0</v>
      </c>
      <c r="O693" t="n">
        <v>0</v>
      </c>
      <c r="P693" t="n">
        <v>0</v>
      </c>
      <c r="Q693" t="n">
        <v>0</v>
      </c>
      <c r="R693" s="2" t="inlineStr"/>
    </row>
    <row r="694" ht="15" customHeight="1">
      <c r="A694" t="inlineStr">
        <is>
          <t>A 34296-2025</t>
        </is>
      </c>
      <c r="B694" s="1" t="n">
        <v>45846.34454861111</v>
      </c>
      <c r="C694" s="1" t="n">
        <v>46090</v>
      </c>
      <c r="D694" t="inlineStr">
        <is>
          <t>JÄMTLANDS LÄN</t>
        </is>
      </c>
      <c r="E694" t="inlineStr">
        <is>
          <t>RAGUNDA</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48746-2025</t>
        </is>
      </c>
      <c r="B695" s="1" t="n">
        <v>45936.67878472222</v>
      </c>
      <c r="C695" s="1" t="n">
        <v>46090</v>
      </c>
      <c r="D695" t="inlineStr">
        <is>
          <t>JÄMTLANDS LÄN</t>
        </is>
      </c>
      <c r="E695" t="inlineStr">
        <is>
          <t>RAGUNDA</t>
        </is>
      </c>
      <c r="F695" t="inlineStr">
        <is>
          <t>SCA</t>
        </is>
      </c>
      <c r="G695" t="n">
        <v>6.5</v>
      </c>
      <c r="H695" t="n">
        <v>0</v>
      </c>
      <c r="I695" t="n">
        <v>0</v>
      </c>
      <c r="J695" t="n">
        <v>0</v>
      </c>
      <c r="K695" t="n">
        <v>0</v>
      </c>
      <c r="L695" t="n">
        <v>0</v>
      </c>
      <c r="M695" t="n">
        <v>0</v>
      </c>
      <c r="N695" t="n">
        <v>0</v>
      </c>
      <c r="O695" t="n">
        <v>0</v>
      </c>
      <c r="P695" t="n">
        <v>0</v>
      </c>
      <c r="Q695" t="n">
        <v>0</v>
      </c>
      <c r="R695" s="2" t="inlineStr"/>
    </row>
    <row r="696" ht="15" customHeight="1">
      <c r="A696" t="inlineStr">
        <is>
          <t>A 34709-2025</t>
        </is>
      </c>
      <c r="B696" s="1" t="n">
        <v>45848.49761574074</v>
      </c>
      <c r="C696" s="1" t="n">
        <v>46090</v>
      </c>
      <c r="D696" t="inlineStr">
        <is>
          <t>JÄMTLANDS LÄN</t>
        </is>
      </c>
      <c r="E696" t="inlineStr">
        <is>
          <t>RAGUNDA</t>
        </is>
      </c>
      <c r="G696" t="n">
        <v>3.1</v>
      </c>
      <c r="H696" t="n">
        <v>0</v>
      </c>
      <c r="I696" t="n">
        <v>0</v>
      </c>
      <c r="J696" t="n">
        <v>0</v>
      </c>
      <c r="K696" t="n">
        <v>0</v>
      </c>
      <c r="L696" t="n">
        <v>0</v>
      </c>
      <c r="M696" t="n">
        <v>0</v>
      </c>
      <c r="N696" t="n">
        <v>0</v>
      </c>
      <c r="O696" t="n">
        <v>0</v>
      </c>
      <c r="P696" t="n">
        <v>0</v>
      </c>
      <c r="Q696" t="n">
        <v>0</v>
      </c>
      <c r="R696" s="2" t="inlineStr"/>
    </row>
    <row r="697" ht="15" customHeight="1">
      <c r="A697" t="inlineStr">
        <is>
          <t>A 34772-2025</t>
        </is>
      </c>
      <c r="B697" s="1" t="n">
        <v>45848.65658564815</v>
      </c>
      <c r="C697" s="1" t="n">
        <v>46090</v>
      </c>
      <c r="D697" t="inlineStr">
        <is>
          <t>JÄMTLANDS LÄN</t>
        </is>
      </c>
      <c r="E697" t="inlineStr">
        <is>
          <t>RAGUNDA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26026-2024</t>
        </is>
      </c>
      <c r="B698" s="1" t="n">
        <v>45467.96207175926</v>
      </c>
      <c r="C698" s="1" t="n">
        <v>46090</v>
      </c>
      <c r="D698" t="inlineStr">
        <is>
          <t>JÄMTLANDS LÄN</t>
        </is>
      </c>
      <c r="E698" t="inlineStr">
        <is>
          <t>RAGUNDA</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8312-2026</t>
        </is>
      </c>
      <c r="B699" s="1" t="n">
        <v>46064</v>
      </c>
      <c r="C699" s="1" t="n">
        <v>46090</v>
      </c>
      <c r="D699" t="inlineStr">
        <is>
          <t>JÄMTLANDS LÄN</t>
        </is>
      </c>
      <c r="E699" t="inlineStr">
        <is>
          <t>RAGUNDA</t>
        </is>
      </c>
      <c r="G699" t="n">
        <v>4.8</v>
      </c>
      <c r="H699" t="n">
        <v>0</v>
      </c>
      <c r="I699" t="n">
        <v>0</v>
      </c>
      <c r="J699" t="n">
        <v>0</v>
      </c>
      <c r="K699" t="n">
        <v>0</v>
      </c>
      <c r="L699" t="n">
        <v>0</v>
      </c>
      <c r="M699" t="n">
        <v>0</v>
      </c>
      <c r="N699" t="n">
        <v>0</v>
      </c>
      <c r="O699" t="n">
        <v>0</v>
      </c>
      <c r="P699" t="n">
        <v>0</v>
      </c>
      <c r="Q699" t="n">
        <v>0</v>
      </c>
      <c r="R699" s="2" t="inlineStr"/>
    </row>
    <row r="700" ht="15" customHeight="1">
      <c r="A700" t="inlineStr">
        <is>
          <t>A 34710-2025</t>
        </is>
      </c>
      <c r="B700" s="1" t="n">
        <v>45848.49774305556</v>
      </c>
      <c r="C700" s="1" t="n">
        <v>46090</v>
      </c>
      <c r="D700" t="inlineStr">
        <is>
          <t>JÄMTLANDS LÄN</t>
        </is>
      </c>
      <c r="E700" t="inlineStr">
        <is>
          <t>RAGUNDA</t>
        </is>
      </c>
      <c r="G700" t="n">
        <v>4.1</v>
      </c>
      <c r="H700" t="n">
        <v>0</v>
      </c>
      <c r="I700" t="n">
        <v>0</v>
      </c>
      <c r="J700" t="n">
        <v>0</v>
      </c>
      <c r="K700" t="n">
        <v>0</v>
      </c>
      <c r="L700" t="n">
        <v>0</v>
      </c>
      <c r="M700" t="n">
        <v>0</v>
      </c>
      <c r="N700" t="n">
        <v>0</v>
      </c>
      <c r="O700" t="n">
        <v>0</v>
      </c>
      <c r="P700" t="n">
        <v>0</v>
      </c>
      <c r="Q700" t="n">
        <v>0</v>
      </c>
      <c r="R700" s="2" t="inlineStr"/>
    </row>
    <row r="701" ht="15" customHeight="1">
      <c r="A701" t="inlineStr">
        <is>
          <t>A 5429-2024</t>
        </is>
      </c>
      <c r="B701" s="1" t="n">
        <v>45331.92746527777</v>
      </c>
      <c r="C701" s="1" t="n">
        <v>46090</v>
      </c>
      <c r="D701" t="inlineStr">
        <is>
          <t>JÄMTLANDS LÄN</t>
        </is>
      </c>
      <c r="E701" t="inlineStr">
        <is>
          <t>RAGUNDA</t>
        </is>
      </c>
      <c r="G701" t="n">
        <v>1.1</v>
      </c>
      <c r="H701" t="n">
        <v>0</v>
      </c>
      <c r="I701" t="n">
        <v>0</v>
      </c>
      <c r="J701" t="n">
        <v>0</v>
      </c>
      <c r="K701" t="n">
        <v>0</v>
      </c>
      <c r="L701" t="n">
        <v>0</v>
      </c>
      <c r="M701" t="n">
        <v>0</v>
      </c>
      <c r="N701" t="n">
        <v>0</v>
      </c>
      <c r="O701" t="n">
        <v>0</v>
      </c>
      <c r="P701" t="n">
        <v>0</v>
      </c>
      <c r="Q701" t="n">
        <v>0</v>
      </c>
      <c r="R701" s="2" t="inlineStr"/>
    </row>
    <row r="702" ht="15" customHeight="1">
      <c r="A702" t="inlineStr">
        <is>
          <t>A 34968-2025</t>
        </is>
      </c>
      <c r="B702" s="1" t="n">
        <v>45849.65663194445</v>
      </c>
      <c r="C702" s="1" t="n">
        <v>46090</v>
      </c>
      <c r="D702" t="inlineStr">
        <is>
          <t>JÄMTLANDS LÄN</t>
        </is>
      </c>
      <c r="E702" t="inlineStr">
        <is>
          <t>RAGUNDA</t>
        </is>
      </c>
      <c r="F702" t="inlineStr">
        <is>
          <t>SCA</t>
        </is>
      </c>
      <c r="G702" t="n">
        <v>20.2</v>
      </c>
      <c r="H702" t="n">
        <v>0</v>
      </c>
      <c r="I702" t="n">
        <v>0</v>
      </c>
      <c r="J702" t="n">
        <v>0</v>
      </c>
      <c r="K702" t="n">
        <v>0</v>
      </c>
      <c r="L702" t="n">
        <v>0</v>
      </c>
      <c r="M702" t="n">
        <v>0</v>
      </c>
      <c r="N702" t="n">
        <v>0</v>
      </c>
      <c r="O702" t="n">
        <v>0</v>
      </c>
      <c r="P702" t="n">
        <v>0</v>
      </c>
      <c r="Q702" t="n">
        <v>0</v>
      </c>
      <c r="R702" s="2" t="inlineStr"/>
    </row>
    <row r="703" ht="15" customHeight="1">
      <c r="A703" t="inlineStr">
        <is>
          <t>A 34998-2025</t>
        </is>
      </c>
      <c r="B703" s="1" t="n">
        <v>45850.34434027778</v>
      </c>
      <c r="C703" s="1" t="n">
        <v>46090</v>
      </c>
      <c r="D703" t="inlineStr">
        <is>
          <t>JÄMTLANDS LÄN</t>
        </is>
      </c>
      <c r="E703" t="inlineStr">
        <is>
          <t>RAGUNDA</t>
        </is>
      </c>
      <c r="G703" t="n">
        <v>1.4</v>
      </c>
      <c r="H703" t="n">
        <v>0</v>
      </c>
      <c r="I703" t="n">
        <v>0</v>
      </c>
      <c r="J703" t="n">
        <v>0</v>
      </c>
      <c r="K703" t="n">
        <v>0</v>
      </c>
      <c r="L703" t="n">
        <v>0</v>
      </c>
      <c r="M703" t="n">
        <v>0</v>
      </c>
      <c r="N703" t="n">
        <v>0</v>
      </c>
      <c r="O703" t="n">
        <v>0</v>
      </c>
      <c r="P703" t="n">
        <v>0</v>
      </c>
      <c r="Q703" t="n">
        <v>0</v>
      </c>
      <c r="R703" s="2" t="inlineStr"/>
    </row>
    <row r="704" ht="15" customHeight="1">
      <c r="A704" t="inlineStr">
        <is>
          <t>A 34999-2025</t>
        </is>
      </c>
      <c r="B704" s="1" t="n">
        <v>45850.34450231482</v>
      </c>
      <c r="C704" s="1" t="n">
        <v>46090</v>
      </c>
      <c r="D704" t="inlineStr">
        <is>
          <t>JÄMTLANDS LÄN</t>
        </is>
      </c>
      <c r="E704" t="inlineStr">
        <is>
          <t>RAGUNDA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49639-2025</t>
        </is>
      </c>
      <c r="B705" s="1" t="n">
        <v>45939.61253472222</v>
      </c>
      <c r="C705" s="1" t="n">
        <v>46090</v>
      </c>
      <c r="D705" t="inlineStr">
        <is>
          <t>JÄMTLANDS LÄN</t>
        </is>
      </c>
      <c r="E705" t="inlineStr">
        <is>
          <t>RAGUNDA</t>
        </is>
      </c>
      <c r="F705" t="inlineStr">
        <is>
          <t>Kommuner</t>
        </is>
      </c>
      <c r="G705" t="n">
        <v>13.6</v>
      </c>
      <c r="H705" t="n">
        <v>0</v>
      </c>
      <c r="I705" t="n">
        <v>0</v>
      </c>
      <c r="J705" t="n">
        <v>0</v>
      </c>
      <c r="K705" t="n">
        <v>0</v>
      </c>
      <c r="L705" t="n">
        <v>0</v>
      </c>
      <c r="M705" t="n">
        <v>0</v>
      </c>
      <c r="N705" t="n">
        <v>0</v>
      </c>
      <c r="O705" t="n">
        <v>0</v>
      </c>
      <c r="P705" t="n">
        <v>0</v>
      </c>
      <c r="Q705" t="n">
        <v>0</v>
      </c>
      <c r="R705" s="2" t="inlineStr"/>
    </row>
    <row r="706" ht="15" customHeight="1">
      <c r="A706" t="inlineStr">
        <is>
          <t>A 35092-2025</t>
        </is>
      </c>
      <c r="B706" s="1" t="n">
        <v>45852.53185185185</v>
      </c>
      <c r="C706" s="1" t="n">
        <v>46090</v>
      </c>
      <c r="D706" t="inlineStr">
        <is>
          <t>JÄMTLANDS LÄN</t>
        </is>
      </c>
      <c r="E706" t="inlineStr">
        <is>
          <t>RAGUNDA</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3720-2025</t>
        </is>
      </c>
      <c r="B707" s="1" t="n">
        <v>45681.5315625</v>
      </c>
      <c r="C707" s="1" t="n">
        <v>46090</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3770-2025</t>
        </is>
      </c>
      <c r="B708" s="1" t="n">
        <v>45681.6050925926</v>
      </c>
      <c r="C708" s="1" t="n">
        <v>46090</v>
      </c>
      <c r="D708" t="inlineStr">
        <is>
          <t>JÄMTLANDS LÄN</t>
        </is>
      </c>
      <c r="E708" t="inlineStr">
        <is>
          <t>RAGUNDA</t>
        </is>
      </c>
      <c r="G708" t="n">
        <v>2.7</v>
      </c>
      <c r="H708" t="n">
        <v>0</v>
      </c>
      <c r="I708" t="n">
        <v>0</v>
      </c>
      <c r="J708" t="n">
        <v>0</v>
      </c>
      <c r="K708" t="n">
        <v>0</v>
      </c>
      <c r="L708" t="n">
        <v>0</v>
      </c>
      <c r="M708" t="n">
        <v>0</v>
      </c>
      <c r="N708" t="n">
        <v>0</v>
      </c>
      <c r="O708" t="n">
        <v>0</v>
      </c>
      <c r="P708" t="n">
        <v>0</v>
      </c>
      <c r="Q708" t="n">
        <v>0</v>
      </c>
      <c r="R708" s="2" t="inlineStr"/>
    </row>
    <row r="709" ht="15" customHeight="1">
      <c r="A709" t="inlineStr">
        <is>
          <t>A 49059-2025</t>
        </is>
      </c>
      <c r="B709" s="1" t="n">
        <v>45937.64123842592</v>
      </c>
      <c r="C709" s="1" t="n">
        <v>46090</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49193-2025</t>
        </is>
      </c>
      <c r="B710" s="1" t="n">
        <v>45938.40831018519</v>
      </c>
      <c r="C710" s="1" t="n">
        <v>46090</v>
      </c>
      <c r="D710" t="inlineStr">
        <is>
          <t>JÄMTLANDS LÄN</t>
        </is>
      </c>
      <c r="E710" t="inlineStr">
        <is>
          <t>RAGUNDA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35091-2025</t>
        </is>
      </c>
      <c r="B711" s="1" t="n">
        <v>45852.53168981482</v>
      </c>
      <c r="C711" s="1" t="n">
        <v>46090</v>
      </c>
      <c r="D711" t="inlineStr">
        <is>
          <t>JÄMTLANDS LÄN</t>
        </is>
      </c>
      <c r="E711" t="inlineStr">
        <is>
          <t>RAGUNDA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51579-2024</t>
        </is>
      </c>
      <c r="B712" s="1" t="n">
        <v>45604.63575231482</v>
      </c>
      <c r="C712" s="1" t="n">
        <v>46090</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8775-2025</t>
        </is>
      </c>
      <c r="B713" s="1" t="n">
        <v>45712.61502314815</v>
      </c>
      <c r="C713" s="1" t="n">
        <v>46090</v>
      </c>
      <c r="D713" t="inlineStr">
        <is>
          <t>JÄMTLANDS LÄN</t>
        </is>
      </c>
      <c r="E713" t="inlineStr">
        <is>
          <t>RAGUNDA</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35462-2025</t>
        </is>
      </c>
      <c r="B714" s="1" t="n">
        <v>45855.61523148148</v>
      </c>
      <c r="C714" s="1" t="n">
        <v>46090</v>
      </c>
      <c r="D714" t="inlineStr">
        <is>
          <t>JÄMTLANDS LÄN</t>
        </is>
      </c>
      <c r="E714" t="inlineStr">
        <is>
          <t>RAGUNDA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35355-2025</t>
        </is>
      </c>
      <c r="B715" s="1" t="n">
        <v>45854.65663194445</v>
      </c>
      <c r="C715" s="1" t="n">
        <v>46090</v>
      </c>
      <c r="D715" t="inlineStr">
        <is>
          <t>JÄMTLANDS LÄN</t>
        </is>
      </c>
      <c r="E715" t="inlineStr">
        <is>
          <t>RAGUNDA</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35477-2025</t>
        </is>
      </c>
      <c r="B716" s="1" t="n">
        <v>45855.67899305555</v>
      </c>
      <c r="C716" s="1" t="n">
        <v>46090</v>
      </c>
      <c r="D716" t="inlineStr">
        <is>
          <t>JÄMTLANDS LÄN</t>
        </is>
      </c>
      <c r="E716" t="inlineStr">
        <is>
          <t>RAGUNDA</t>
        </is>
      </c>
      <c r="G716" t="n">
        <v>3.6</v>
      </c>
      <c r="H716" t="n">
        <v>0</v>
      </c>
      <c r="I716" t="n">
        <v>0</v>
      </c>
      <c r="J716" t="n">
        <v>0</v>
      </c>
      <c r="K716" t="n">
        <v>0</v>
      </c>
      <c r="L716" t="n">
        <v>0</v>
      </c>
      <c r="M716" t="n">
        <v>0</v>
      </c>
      <c r="N716" t="n">
        <v>0</v>
      </c>
      <c r="O716" t="n">
        <v>0</v>
      </c>
      <c r="P716" t="n">
        <v>0</v>
      </c>
      <c r="Q716" t="n">
        <v>0</v>
      </c>
      <c r="R716" s="2" t="inlineStr"/>
    </row>
    <row r="717" ht="15" customHeight="1">
      <c r="A717" t="inlineStr">
        <is>
          <t>A 49238-2025</t>
        </is>
      </c>
      <c r="B717" s="1" t="n">
        <v>45938.48231481481</v>
      </c>
      <c r="C717" s="1" t="n">
        <v>46090</v>
      </c>
      <c r="D717" t="inlineStr">
        <is>
          <t>JÄMTLANDS LÄN</t>
        </is>
      </c>
      <c r="E717" t="inlineStr">
        <is>
          <t>RAGUNDA</t>
        </is>
      </c>
      <c r="G717" t="n">
        <v>4.7</v>
      </c>
      <c r="H717" t="n">
        <v>0</v>
      </c>
      <c r="I717" t="n">
        <v>0</v>
      </c>
      <c r="J717" t="n">
        <v>0</v>
      </c>
      <c r="K717" t="n">
        <v>0</v>
      </c>
      <c r="L717" t="n">
        <v>0</v>
      </c>
      <c r="M717" t="n">
        <v>0</v>
      </c>
      <c r="N717" t="n">
        <v>0</v>
      </c>
      <c r="O717" t="n">
        <v>0</v>
      </c>
      <c r="P717" t="n">
        <v>0</v>
      </c>
      <c r="Q717" t="n">
        <v>0</v>
      </c>
      <c r="R717" s="2" t="inlineStr"/>
    </row>
    <row r="718" ht="15" customHeight="1">
      <c r="A718" t="inlineStr">
        <is>
          <t>A 49290-2025</t>
        </is>
      </c>
      <c r="B718" s="1" t="n">
        <v>45938.53168981482</v>
      </c>
      <c r="C718" s="1" t="n">
        <v>46090</v>
      </c>
      <c r="D718" t="inlineStr">
        <is>
          <t>JÄMTLANDS LÄN</t>
        </is>
      </c>
      <c r="E718" t="inlineStr">
        <is>
          <t>RAGUNDA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2339-2025</t>
        </is>
      </c>
      <c r="B719" s="1" t="n">
        <v>45673.66358796296</v>
      </c>
      <c r="C719" s="1" t="n">
        <v>46090</v>
      </c>
      <c r="D719" t="inlineStr">
        <is>
          <t>JÄMTLANDS LÄN</t>
        </is>
      </c>
      <c r="E719" t="inlineStr">
        <is>
          <t>RAGUNDA</t>
        </is>
      </c>
      <c r="G719" t="n">
        <v>5</v>
      </c>
      <c r="H719" t="n">
        <v>0</v>
      </c>
      <c r="I719" t="n">
        <v>0</v>
      </c>
      <c r="J719" t="n">
        <v>0</v>
      </c>
      <c r="K719" t="n">
        <v>0</v>
      </c>
      <c r="L719" t="n">
        <v>0</v>
      </c>
      <c r="M719" t="n">
        <v>0</v>
      </c>
      <c r="N719" t="n">
        <v>0</v>
      </c>
      <c r="O719" t="n">
        <v>0</v>
      </c>
      <c r="P719" t="n">
        <v>0</v>
      </c>
      <c r="Q719" t="n">
        <v>0</v>
      </c>
      <c r="R719" s="2" t="inlineStr"/>
    </row>
    <row r="720" ht="15" customHeight="1">
      <c r="A720" t="inlineStr">
        <is>
          <t>A 49092-2025</t>
        </is>
      </c>
      <c r="B720" s="1" t="n">
        <v>45937.67792824074</v>
      </c>
      <c r="C720" s="1" t="n">
        <v>46090</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35541-2025</t>
        </is>
      </c>
      <c r="B721" s="1" t="n">
        <v>45856.46931712963</v>
      </c>
      <c r="C721" s="1" t="n">
        <v>46090</v>
      </c>
      <c r="D721" t="inlineStr">
        <is>
          <t>JÄMTLANDS LÄN</t>
        </is>
      </c>
      <c r="E721" t="inlineStr">
        <is>
          <t>RAGUNDA</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9566-2026</t>
        </is>
      </c>
      <c r="B722" s="1" t="n">
        <v>46071.65679398148</v>
      </c>
      <c r="C722" s="1" t="n">
        <v>46090</v>
      </c>
      <c r="D722" t="inlineStr">
        <is>
          <t>JÄMTLANDS LÄN</t>
        </is>
      </c>
      <c r="E722" t="inlineStr">
        <is>
          <t>RAGUNDA</t>
        </is>
      </c>
      <c r="F722" t="inlineStr">
        <is>
          <t>SCA</t>
        </is>
      </c>
      <c r="G722" t="n">
        <v>18.9</v>
      </c>
      <c r="H722" t="n">
        <v>0</v>
      </c>
      <c r="I722" t="n">
        <v>0</v>
      </c>
      <c r="J722" t="n">
        <v>0</v>
      </c>
      <c r="K722" t="n">
        <v>0</v>
      </c>
      <c r="L722" t="n">
        <v>0</v>
      </c>
      <c r="M722" t="n">
        <v>0</v>
      </c>
      <c r="N722" t="n">
        <v>0</v>
      </c>
      <c r="O722" t="n">
        <v>0</v>
      </c>
      <c r="P722" t="n">
        <v>0</v>
      </c>
      <c r="Q722" t="n">
        <v>0</v>
      </c>
      <c r="R722" s="2" t="inlineStr"/>
    </row>
    <row r="723" ht="15" customHeight="1">
      <c r="A723" t="inlineStr">
        <is>
          <t>A 34088-2025</t>
        </is>
      </c>
      <c r="B723" s="1" t="n">
        <v>45845</v>
      </c>
      <c r="C723" s="1" t="n">
        <v>46090</v>
      </c>
      <c r="D723" t="inlineStr">
        <is>
          <t>JÄMTLANDS LÄN</t>
        </is>
      </c>
      <c r="E723" t="inlineStr">
        <is>
          <t>RAGUNDA</t>
        </is>
      </c>
      <c r="G723" t="n">
        <v>1.4</v>
      </c>
      <c r="H723" t="n">
        <v>0</v>
      </c>
      <c r="I723" t="n">
        <v>0</v>
      </c>
      <c r="J723" t="n">
        <v>0</v>
      </c>
      <c r="K723" t="n">
        <v>0</v>
      </c>
      <c r="L723" t="n">
        <v>0</v>
      </c>
      <c r="M723" t="n">
        <v>0</v>
      </c>
      <c r="N723" t="n">
        <v>0</v>
      </c>
      <c r="O723" t="n">
        <v>0</v>
      </c>
      <c r="P723" t="n">
        <v>0</v>
      </c>
      <c r="Q723" t="n">
        <v>0</v>
      </c>
      <c r="R723" s="2" t="inlineStr"/>
    </row>
    <row r="724" ht="15" customHeight="1">
      <c r="A724" t="inlineStr">
        <is>
          <t>A 27499-2024</t>
        </is>
      </c>
      <c r="B724" s="1" t="n">
        <v>45474.50608796296</v>
      </c>
      <c r="C724" s="1" t="n">
        <v>46090</v>
      </c>
      <c r="D724" t="inlineStr">
        <is>
          <t>JÄMTLANDS LÄN</t>
        </is>
      </c>
      <c r="E724" t="inlineStr">
        <is>
          <t>RAGUNDA</t>
        </is>
      </c>
      <c r="G724" t="n">
        <v>1.3</v>
      </c>
      <c r="H724" t="n">
        <v>0</v>
      </c>
      <c r="I724" t="n">
        <v>0</v>
      </c>
      <c r="J724" t="n">
        <v>0</v>
      </c>
      <c r="K724" t="n">
        <v>0</v>
      </c>
      <c r="L724" t="n">
        <v>0</v>
      </c>
      <c r="M724" t="n">
        <v>0</v>
      </c>
      <c r="N724" t="n">
        <v>0</v>
      </c>
      <c r="O724" t="n">
        <v>0</v>
      </c>
      <c r="P724" t="n">
        <v>0</v>
      </c>
      <c r="Q724" t="n">
        <v>0</v>
      </c>
      <c r="R724" s="2" t="inlineStr"/>
    </row>
    <row r="725" ht="15" customHeight="1">
      <c r="A725" t="inlineStr">
        <is>
          <t>A 50215-2025</t>
        </is>
      </c>
      <c r="B725" s="1" t="n">
        <v>45943.67842592593</v>
      </c>
      <c r="C725" s="1" t="n">
        <v>46090</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9538-2026</t>
        </is>
      </c>
      <c r="B726" s="1" t="n">
        <v>46071.61511574074</v>
      </c>
      <c r="C726" s="1" t="n">
        <v>46090</v>
      </c>
      <c r="D726" t="inlineStr">
        <is>
          <t>JÄMTLANDS LÄN</t>
        </is>
      </c>
      <c r="E726" t="inlineStr">
        <is>
          <t>RAGUNDA</t>
        </is>
      </c>
      <c r="G726" t="n">
        <v>1.7</v>
      </c>
      <c r="H726" t="n">
        <v>0</v>
      </c>
      <c r="I726" t="n">
        <v>0</v>
      </c>
      <c r="J726" t="n">
        <v>0</v>
      </c>
      <c r="K726" t="n">
        <v>0</v>
      </c>
      <c r="L726" t="n">
        <v>0</v>
      </c>
      <c r="M726" t="n">
        <v>0</v>
      </c>
      <c r="N726" t="n">
        <v>0</v>
      </c>
      <c r="O726" t="n">
        <v>0</v>
      </c>
      <c r="P726" t="n">
        <v>0</v>
      </c>
      <c r="Q726" t="n">
        <v>0</v>
      </c>
      <c r="R726" s="2" t="inlineStr"/>
    </row>
    <row r="727" ht="15" customHeight="1">
      <c r="A727" t="inlineStr">
        <is>
          <t>A 57078-2023</t>
        </is>
      </c>
      <c r="B727" s="1" t="n">
        <v>45244.96774305555</v>
      </c>
      <c r="C727" s="1" t="n">
        <v>46090</v>
      </c>
      <c r="D727" t="inlineStr">
        <is>
          <t>JÄMTLANDS LÄN</t>
        </is>
      </c>
      <c r="E727" t="inlineStr">
        <is>
          <t>RAGUNDA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35658-2025</t>
        </is>
      </c>
      <c r="B728" s="1" t="n">
        <v>45859.594375</v>
      </c>
      <c r="C728" s="1" t="n">
        <v>46090</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59368-2022</t>
        </is>
      </c>
      <c r="B729" s="1" t="n">
        <v>44904.94824074074</v>
      </c>
      <c r="C729" s="1" t="n">
        <v>46090</v>
      </c>
      <c r="D729" t="inlineStr">
        <is>
          <t>JÄMTLANDS LÄN</t>
        </is>
      </c>
      <c r="E729" t="inlineStr">
        <is>
          <t>RAGUNDA</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49991-2025</t>
        </is>
      </c>
      <c r="B730" s="1" t="n">
        <v>45942.91568287037</v>
      </c>
      <c r="C730" s="1" t="n">
        <v>46090</v>
      </c>
      <c r="D730" t="inlineStr">
        <is>
          <t>JÄMTLANDS LÄN</t>
        </is>
      </c>
      <c r="E730" t="inlineStr">
        <is>
          <t>RAGUNDA</t>
        </is>
      </c>
      <c r="G730" t="n">
        <v>9</v>
      </c>
      <c r="H730" t="n">
        <v>0</v>
      </c>
      <c r="I730" t="n">
        <v>0</v>
      </c>
      <c r="J730" t="n">
        <v>0</v>
      </c>
      <c r="K730" t="n">
        <v>0</v>
      </c>
      <c r="L730" t="n">
        <v>0</v>
      </c>
      <c r="M730" t="n">
        <v>0</v>
      </c>
      <c r="N730" t="n">
        <v>0</v>
      </c>
      <c r="O730" t="n">
        <v>0</v>
      </c>
      <c r="P730" t="n">
        <v>0</v>
      </c>
      <c r="Q730" t="n">
        <v>0</v>
      </c>
      <c r="R730" s="2" t="inlineStr"/>
    </row>
    <row r="731" ht="15" customHeight="1">
      <c r="A731" t="inlineStr">
        <is>
          <t>A 49993-2025</t>
        </is>
      </c>
      <c r="B731" s="1" t="n">
        <v>45942.94371527778</v>
      </c>
      <c r="C731" s="1" t="n">
        <v>46090</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49994-2025</t>
        </is>
      </c>
      <c r="B732" s="1" t="n">
        <v>45942.96922453704</v>
      </c>
      <c r="C732" s="1" t="n">
        <v>46090</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49995-2025</t>
        </is>
      </c>
      <c r="B733" s="1" t="n">
        <v>45943.00986111111</v>
      </c>
      <c r="C733" s="1" t="n">
        <v>46090</v>
      </c>
      <c r="D733" t="inlineStr">
        <is>
          <t>JÄMTLANDS LÄN</t>
        </is>
      </c>
      <c r="E733" t="inlineStr">
        <is>
          <t>RAGUNDA</t>
        </is>
      </c>
      <c r="G733" t="n">
        <v>2.5</v>
      </c>
      <c r="H733" t="n">
        <v>0</v>
      </c>
      <c r="I733" t="n">
        <v>0</v>
      </c>
      <c r="J733" t="n">
        <v>0</v>
      </c>
      <c r="K733" t="n">
        <v>0</v>
      </c>
      <c r="L733" t="n">
        <v>0</v>
      </c>
      <c r="M733" t="n">
        <v>0</v>
      </c>
      <c r="N733" t="n">
        <v>0</v>
      </c>
      <c r="O733" t="n">
        <v>0</v>
      </c>
      <c r="P733" t="n">
        <v>0</v>
      </c>
      <c r="Q733" t="n">
        <v>0</v>
      </c>
      <c r="R733" s="2" t="inlineStr"/>
    </row>
    <row r="734" ht="15" customHeight="1">
      <c r="A734" t="inlineStr">
        <is>
          <t>A 6801-2023</t>
        </is>
      </c>
      <c r="B734" s="1" t="n">
        <v>44966.95328703704</v>
      </c>
      <c r="C734" s="1" t="n">
        <v>46090</v>
      </c>
      <c r="D734" t="inlineStr">
        <is>
          <t>JÄMTLANDS LÄN</t>
        </is>
      </c>
      <c r="E734" t="inlineStr">
        <is>
          <t>RAGUNDA</t>
        </is>
      </c>
      <c r="F734" t="inlineStr">
        <is>
          <t>SCA</t>
        </is>
      </c>
      <c r="G734" t="n">
        <v>10.6</v>
      </c>
      <c r="H734" t="n">
        <v>0</v>
      </c>
      <c r="I734" t="n">
        <v>0</v>
      </c>
      <c r="J734" t="n">
        <v>0</v>
      </c>
      <c r="K734" t="n">
        <v>0</v>
      </c>
      <c r="L734" t="n">
        <v>0</v>
      </c>
      <c r="M734" t="n">
        <v>0</v>
      </c>
      <c r="N734" t="n">
        <v>0</v>
      </c>
      <c r="O734" t="n">
        <v>0</v>
      </c>
      <c r="P734" t="n">
        <v>0</v>
      </c>
      <c r="Q734" t="n">
        <v>0</v>
      </c>
      <c r="R734" s="2" t="inlineStr"/>
    </row>
    <row r="735" ht="15" customHeight="1">
      <c r="A735" t="inlineStr">
        <is>
          <t>A 647-2026</t>
        </is>
      </c>
      <c r="B735" s="1" t="n">
        <v>46029.57357638889</v>
      </c>
      <c r="C735" s="1" t="n">
        <v>46090</v>
      </c>
      <c r="D735" t="inlineStr">
        <is>
          <t>JÄMTLANDS LÄN</t>
        </is>
      </c>
      <c r="E735" t="inlineStr">
        <is>
          <t>RAGUNDA</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35689-2025</t>
        </is>
      </c>
      <c r="B736" s="1" t="n">
        <v>45860.30229166667</v>
      </c>
      <c r="C736" s="1" t="n">
        <v>46090</v>
      </c>
      <c r="D736" t="inlineStr">
        <is>
          <t>JÄMTLANDS LÄN</t>
        </is>
      </c>
      <c r="E736" t="inlineStr">
        <is>
          <t>RAGUNDA</t>
        </is>
      </c>
      <c r="G736" t="n">
        <v>1.9</v>
      </c>
      <c r="H736" t="n">
        <v>0</v>
      </c>
      <c r="I736" t="n">
        <v>0</v>
      </c>
      <c r="J736" t="n">
        <v>0</v>
      </c>
      <c r="K736" t="n">
        <v>0</v>
      </c>
      <c r="L736" t="n">
        <v>0</v>
      </c>
      <c r="M736" t="n">
        <v>0</v>
      </c>
      <c r="N736" t="n">
        <v>0</v>
      </c>
      <c r="O736" t="n">
        <v>0</v>
      </c>
      <c r="P736" t="n">
        <v>0</v>
      </c>
      <c r="Q736" t="n">
        <v>0</v>
      </c>
      <c r="R736" s="2" t="inlineStr"/>
    </row>
    <row r="737" ht="15" customHeight="1">
      <c r="A737" t="inlineStr">
        <is>
          <t>A 50126-2025</t>
        </is>
      </c>
      <c r="B737" s="1" t="n">
        <v>45943.55271990741</v>
      </c>
      <c r="C737" s="1" t="n">
        <v>46090</v>
      </c>
      <c r="D737" t="inlineStr">
        <is>
          <t>JÄMTLANDS LÄN</t>
        </is>
      </c>
      <c r="E737" t="inlineStr">
        <is>
          <t>RAGUNDA</t>
        </is>
      </c>
      <c r="G737" t="n">
        <v>1</v>
      </c>
      <c r="H737" t="n">
        <v>0</v>
      </c>
      <c r="I737" t="n">
        <v>0</v>
      </c>
      <c r="J737" t="n">
        <v>0</v>
      </c>
      <c r="K737" t="n">
        <v>0</v>
      </c>
      <c r="L737" t="n">
        <v>0</v>
      </c>
      <c r="M737" t="n">
        <v>0</v>
      </c>
      <c r="N737" t="n">
        <v>0</v>
      </c>
      <c r="O737" t="n">
        <v>0</v>
      </c>
      <c r="P737" t="n">
        <v>0</v>
      </c>
      <c r="Q737" t="n">
        <v>0</v>
      </c>
      <c r="R737" s="2" t="inlineStr"/>
    </row>
    <row r="738" ht="15" customHeight="1">
      <c r="A738" t="inlineStr">
        <is>
          <t>A 50098-2025</t>
        </is>
      </c>
      <c r="B738" s="1" t="n">
        <v>45943.51086805556</v>
      </c>
      <c r="C738" s="1" t="n">
        <v>46090</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41656-2023</t>
        </is>
      </c>
      <c r="B739" s="1" t="n">
        <v>45175</v>
      </c>
      <c r="C739" s="1" t="n">
        <v>46090</v>
      </c>
      <c r="D739" t="inlineStr">
        <is>
          <t>JÄMTLANDS LÄN</t>
        </is>
      </c>
      <c r="E739" t="inlineStr">
        <is>
          <t>RAGUNDA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50125-2025</t>
        </is>
      </c>
      <c r="B740" s="1" t="n">
        <v>45943.55262731481</v>
      </c>
      <c r="C740" s="1" t="n">
        <v>46090</v>
      </c>
      <c r="D740" t="inlineStr">
        <is>
          <t>JÄMTLANDS LÄN</t>
        </is>
      </c>
      <c r="E740" t="inlineStr">
        <is>
          <t>RAGUNDA</t>
        </is>
      </c>
      <c r="F740" t="inlineStr">
        <is>
          <t>Sveaskog</t>
        </is>
      </c>
      <c r="G740" t="n">
        <v>23.2</v>
      </c>
      <c r="H740" t="n">
        <v>0</v>
      </c>
      <c r="I740" t="n">
        <v>0</v>
      </c>
      <c r="J740" t="n">
        <v>0</v>
      </c>
      <c r="K740" t="n">
        <v>0</v>
      </c>
      <c r="L740" t="n">
        <v>0</v>
      </c>
      <c r="M740" t="n">
        <v>0</v>
      </c>
      <c r="N740" t="n">
        <v>0</v>
      </c>
      <c r="O740" t="n">
        <v>0</v>
      </c>
      <c r="P740" t="n">
        <v>0</v>
      </c>
      <c r="Q740" t="n">
        <v>0</v>
      </c>
      <c r="R740" s="2" t="inlineStr"/>
    </row>
    <row r="741" ht="15" customHeight="1">
      <c r="A741" t="inlineStr">
        <is>
          <t>A 50081-2025</t>
        </is>
      </c>
      <c r="B741" s="1" t="n">
        <v>45943.46954861111</v>
      </c>
      <c r="C741" s="1" t="n">
        <v>46090</v>
      </c>
      <c r="D741" t="inlineStr">
        <is>
          <t>JÄMTLANDS LÄN</t>
        </is>
      </c>
      <c r="E741" t="inlineStr">
        <is>
          <t>RAGUNDA</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50080-2025</t>
        </is>
      </c>
      <c r="B742" s="1" t="n">
        <v>45943.469375</v>
      </c>
      <c r="C742" s="1" t="n">
        <v>46090</v>
      </c>
      <c r="D742" t="inlineStr">
        <is>
          <t>JÄMTLANDS LÄN</t>
        </is>
      </c>
      <c r="E742" t="inlineStr">
        <is>
          <t>RAGUNDA</t>
        </is>
      </c>
      <c r="F742" t="inlineStr">
        <is>
          <t>Naturvårdsverket</t>
        </is>
      </c>
      <c r="G742" t="n">
        <v>6.1</v>
      </c>
      <c r="H742" t="n">
        <v>0</v>
      </c>
      <c r="I742" t="n">
        <v>0</v>
      </c>
      <c r="J742" t="n">
        <v>0</v>
      </c>
      <c r="K742" t="n">
        <v>0</v>
      </c>
      <c r="L742" t="n">
        <v>0</v>
      </c>
      <c r="M742" t="n">
        <v>0</v>
      </c>
      <c r="N742" t="n">
        <v>0</v>
      </c>
      <c r="O742" t="n">
        <v>0</v>
      </c>
      <c r="P742" t="n">
        <v>0</v>
      </c>
      <c r="Q742" t="n">
        <v>0</v>
      </c>
      <c r="R742" s="2" t="inlineStr"/>
    </row>
    <row r="743" ht="15" customHeight="1">
      <c r="A743" t="inlineStr">
        <is>
          <t>A 51646-2023</t>
        </is>
      </c>
      <c r="B743" s="1" t="n">
        <v>45215</v>
      </c>
      <c r="C743" s="1" t="n">
        <v>46090</v>
      </c>
      <c r="D743" t="inlineStr">
        <is>
          <t>JÄMTLANDS LÄN</t>
        </is>
      </c>
      <c r="E743" t="inlineStr">
        <is>
          <t>RAGUNDA</t>
        </is>
      </c>
      <c r="G743" t="n">
        <v>0.7</v>
      </c>
      <c r="H743" t="n">
        <v>0</v>
      </c>
      <c r="I743" t="n">
        <v>0</v>
      </c>
      <c r="J743" t="n">
        <v>0</v>
      </c>
      <c r="K743" t="n">
        <v>0</v>
      </c>
      <c r="L743" t="n">
        <v>0</v>
      </c>
      <c r="M743" t="n">
        <v>0</v>
      </c>
      <c r="N743" t="n">
        <v>0</v>
      </c>
      <c r="O743" t="n">
        <v>0</v>
      </c>
      <c r="P743" t="n">
        <v>0</v>
      </c>
      <c r="Q743" t="n">
        <v>0</v>
      </c>
      <c r="R743" s="2" t="inlineStr"/>
    </row>
    <row r="744" ht="15" customHeight="1">
      <c r="A744" t="inlineStr">
        <is>
          <t>A 37268-2024</t>
        </is>
      </c>
      <c r="B744" s="1" t="n">
        <v>45540.38586805556</v>
      </c>
      <c r="C744" s="1" t="n">
        <v>46090</v>
      </c>
      <c r="D744" t="inlineStr">
        <is>
          <t>JÄMTLANDS LÄN</t>
        </is>
      </c>
      <c r="E744" t="inlineStr">
        <is>
          <t>RAGUNDA</t>
        </is>
      </c>
      <c r="F744" t="inlineStr">
        <is>
          <t>SCA</t>
        </is>
      </c>
      <c r="G744" t="n">
        <v>6.3</v>
      </c>
      <c r="H744" t="n">
        <v>0</v>
      </c>
      <c r="I744" t="n">
        <v>0</v>
      </c>
      <c r="J744" t="n">
        <v>0</v>
      </c>
      <c r="K744" t="n">
        <v>0</v>
      </c>
      <c r="L744" t="n">
        <v>0</v>
      </c>
      <c r="M744" t="n">
        <v>0</v>
      </c>
      <c r="N744" t="n">
        <v>0</v>
      </c>
      <c r="O744" t="n">
        <v>0</v>
      </c>
      <c r="P744" t="n">
        <v>0</v>
      </c>
      <c r="Q744" t="n">
        <v>0</v>
      </c>
      <c r="R744" s="2" t="inlineStr"/>
    </row>
    <row r="745" ht="15" customHeight="1">
      <c r="A745" t="inlineStr">
        <is>
          <t>A 50260-2025</t>
        </is>
      </c>
      <c r="B745" s="1" t="n">
        <v>45944.34515046296</v>
      </c>
      <c r="C745" s="1" t="n">
        <v>46090</v>
      </c>
      <c r="D745" t="inlineStr">
        <is>
          <t>JÄMTLANDS LÄN</t>
        </is>
      </c>
      <c r="E745" t="inlineStr">
        <is>
          <t>RAGUNDA</t>
        </is>
      </c>
      <c r="F745" t="inlineStr">
        <is>
          <t>SCA</t>
        </is>
      </c>
      <c r="G745" t="n">
        <v>7.9</v>
      </c>
      <c r="H745" t="n">
        <v>0</v>
      </c>
      <c r="I745" t="n">
        <v>0</v>
      </c>
      <c r="J745" t="n">
        <v>0</v>
      </c>
      <c r="K745" t="n">
        <v>0</v>
      </c>
      <c r="L745" t="n">
        <v>0</v>
      </c>
      <c r="M745" t="n">
        <v>0</v>
      </c>
      <c r="N745" t="n">
        <v>0</v>
      </c>
      <c r="O745" t="n">
        <v>0</v>
      </c>
      <c r="P745" t="n">
        <v>0</v>
      </c>
      <c r="Q745" t="n">
        <v>0</v>
      </c>
      <c r="R745" s="2" t="inlineStr"/>
    </row>
    <row r="746" ht="15" customHeight="1">
      <c r="A746" t="inlineStr">
        <is>
          <t>A 14512-2025</t>
        </is>
      </c>
      <c r="B746" s="1" t="n">
        <v>45741.63659722222</v>
      </c>
      <c r="C746" s="1" t="n">
        <v>46090</v>
      </c>
      <c r="D746" t="inlineStr">
        <is>
          <t>JÄMTLANDS LÄN</t>
        </is>
      </c>
      <c r="E746" t="inlineStr">
        <is>
          <t>RAGUNDA</t>
        </is>
      </c>
      <c r="F746" t="inlineStr">
        <is>
          <t>SCA</t>
        </is>
      </c>
      <c r="G746" t="n">
        <v>8.9</v>
      </c>
      <c r="H746" t="n">
        <v>0</v>
      </c>
      <c r="I746" t="n">
        <v>0</v>
      </c>
      <c r="J746" t="n">
        <v>0</v>
      </c>
      <c r="K746" t="n">
        <v>0</v>
      </c>
      <c r="L746" t="n">
        <v>0</v>
      </c>
      <c r="M746" t="n">
        <v>0</v>
      </c>
      <c r="N746" t="n">
        <v>0</v>
      </c>
      <c r="O746" t="n">
        <v>0</v>
      </c>
      <c r="P746" t="n">
        <v>0</v>
      </c>
      <c r="Q746" t="n">
        <v>0</v>
      </c>
      <c r="R746" s="2" t="inlineStr"/>
    </row>
    <row r="747" ht="15" customHeight="1">
      <c r="A747" t="inlineStr">
        <is>
          <t>A 50473-2025</t>
        </is>
      </c>
      <c r="B747" s="1" t="n">
        <v>45945.36520833334</v>
      </c>
      <c r="C747" s="1" t="n">
        <v>46090</v>
      </c>
      <c r="D747" t="inlineStr">
        <is>
          <t>JÄMTLANDS LÄN</t>
        </is>
      </c>
      <c r="E747" t="inlineStr">
        <is>
          <t>RAGUNDA</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54092-2024</t>
        </is>
      </c>
      <c r="B748" s="1" t="n">
        <v>45616.5108912037</v>
      </c>
      <c r="C748" s="1" t="n">
        <v>46090</v>
      </c>
      <c r="D748" t="inlineStr">
        <is>
          <t>JÄMTLANDS LÄN</t>
        </is>
      </c>
      <c r="E748" t="inlineStr">
        <is>
          <t>RAGUNDA</t>
        </is>
      </c>
      <c r="F748" t="inlineStr">
        <is>
          <t>Naturvårdsverket</t>
        </is>
      </c>
      <c r="G748" t="n">
        <v>1.3</v>
      </c>
      <c r="H748" t="n">
        <v>0</v>
      </c>
      <c r="I748" t="n">
        <v>0</v>
      </c>
      <c r="J748" t="n">
        <v>0</v>
      </c>
      <c r="K748" t="n">
        <v>0</v>
      </c>
      <c r="L748" t="n">
        <v>0</v>
      </c>
      <c r="M748" t="n">
        <v>0</v>
      </c>
      <c r="N748" t="n">
        <v>0</v>
      </c>
      <c r="O748" t="n">
        <v>0</v>
      </c>
      <c r="P748" t="n">
        <v>0</v>
      </c>
      <c r="Q748" t="n">
        <v>0</v>
      </c>
      <c r="R748" s="2" t="inlineStr"/>
    </row>
    <row r="749" ht="15" customHeight="1">
      <c r="A749" t="inlineStr">
        <is>
          <t>A 9316-2026</t>
        </is>
      </c>
      <c r="B749" s="1" t="n">
        <v>46070.62200231481</v>
      </c>
      <c r="C749" s="1" t="n">
        <v>46090</v>
      </c>
      <c r="D749" t="inlineStr">
        <is>
          <t>JÄMTLANDS LÄN</t>
        </is>
      </c>
      <c r="E749" t="inlineStr">
        <is>
          <t>RAGUNDA</t>
        </is>
      </c>
      <c r="G749" t="n">
        <v>3</v>
      </c>
      <c r="H749" t="n">
        <v>0</v>
      </c>
      <c r="I749" t="n">
        <v>0</v>
      </c>
      <c r="J749" t="n">
        <v>0</v>
      </c>
      <c r="K749" t="n">
        <v>0</v>
      </c>
      <c r="L749" t="n">
        <v>0</v>
      </c>
      <c r="M749" t="n">
        <v>0</v>
      </c>
      <c r="N749" t="n">
        <v>0</v>
      </c>
      <c r="O749" t="n">
        <v>0</v>
      </c>
      <c r="P749" t="n">
        <v>0</v>
      </c>
      <c r="Q749" t="n">
        <v>0</v>
      </c>
      <c r="R749" s="2" t="inlineStr"/>
    </row>
    <row r="750" ht="15" customHeight="1">
      <c r="A750" t="inlineStr">
        <is>
          <t>A 50649-2022</t>
        </is>
      </c>
      <c r="B750" s="1" t="n">
        <v>44866</v>
      </c>
      <c r="C750" s="1" t="n">
        <v>46090</v>
      </c>
      <c r="D750" t="inlineStr">
        <is>
          <t>JÄMTLANDS LÄN</t>
        </is>
      </c>
      <c r="E750" t="inlineStr">
        <is>
          <t>RAGUNDA</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50504-2025</t>
        </is>
      </c>
      <c r="B751" s="1" t="n">
        <v>45945.4284837963</v>
      </c>
      <c r="C751" s="1" t="n">
        <v>46090</v>
      </c>
      <c r="D751" t="inlineStr">
        <is>
          <t>JÄMTLANDS LÄN</t>
        </is>
      </c>
      <c r="E751" t="inlineStr">
        <is>
          <t>RAGUNDA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59759-2024</t>
        </is>
      </c>
      <c r="B752" s="1" t="n">
        <v>45639.55240740741</v>
      </c>
      <c r="C752" s="1" t="n">
        <v>46090</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35537-2021</t>
        </is>
      </c>
      <c r="B753" s="1" t="n">
        <v>44384</v>
      </c>
      <c r="C753" s="1" t="n">
        <v>46090</v>
      </c>
      <c r="D753" t="inlineStr">
        <is>
          <t>JÄMTLANDS LÄN</t>
        </is>
      </c>
      <c r="E753" t="inlineStr">
        <is>
          <t>RAGUNDA</t>
        </is>
      </c>
      <c r="G753" t="n">
        <v>3.1</v>
      </c>
      <c r="H753" t="n">
        <v>0</v>
      </c>
      <c r="I753" t="n">
        <v>0</v>
      </c>
      <c r="J753" t="n">
        <v>0</v>
      </c>
      <c r="K753" t="n">
        <v>0</v>
      </c>
      <c r="L753" t="n">
        <v>0</v>
      </c>
      <c r="M753" t="n">
        <v>0</v>
      </c>
      <c r="N753" t="n">
        <v>0</v>
      </c>
      <c r="O753" t="n">
        <v>0</v>
      </c>
      <c r="P753" t="n">
        <v>0</v>
      </c>
      <c r="Q753" t="n">
        <v>0</v>
      </c>
      <c r="R753" s="2" t="inlineStr"/>
    </row>
    <row r="754" ht="15" customHeight="1">
      <c r="A754" t="inlineStr">
        <is>
          <t>A 2819-2023</t>
        </is>
      </c>
      <c r="B754" s="1" t="n">
        <v>44944</v>
      </c>
      <c r="C754" s="1" t="n">
        <v>46090</v>
      </c>
      <c r="D754" t="inlineStr">
        <is>
          <t>JÄMTLANDS LÄN</t>
        </is>
      </c>
      <c r="E754" t="inlineStr">
        <is>
          <t>RAGUNDA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50503-2025</t>
        </is>
      </c>
      <c r="B755" s="1" t="n">
        <v>45945.42746527777</v>
      </c>
      <c r="C755" s="1" t="n">
        <v>46090</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44536-2022</t>
        </is>
      </c>
      <c r="B756" s="1" t="n">
        <v>44839</v>
      </c>
      <c r="C756" s="1" t="n">
        <v>46090</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36541-2025</t>
        </is>
      </c>
      <c r="B757" s="1" t="n">
        <v>45869.65666666667</v>
      </c>
      <c r="C757" s="1" t="n">
        <v>46090</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36544-2025</t>
        </is>
      </c>
      <c r="B758" s="1" t="n">
        <v>45869.67744212963</v>
      </c>
      <c r="C758" s="1" t="n">
        <v>46090</v>
      </c>
      <c r="D758" t="inlineStr">
        <is>
          <t>JÄMTLANDS LÄN</t>
        </is>
      </c>
      <c r="E758" t="inlineStr">
        <is>
          <t>RAGUNDA</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50711-2025</t>
        </is>
      </c>
      <c r="B759" s="1" t="n">
        <v>45946.34431712963</v>
      </c>
      <c r="C759" s="1" t="n">
        <v>46090</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50716-2025</t>
        </is>
      </c>
      <c r="B760" s="1" t="n">
        <v>45946.34572916666</v>
      </c>
      <c r="C760" s="1" t="n">
        <v>46090</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50719-2025</t>
        </is>
      </c>
      <c r="B761" s="1" t="n">
        <v>45946.34642361111</v>
      </c>
      <c r="C761" s="1" t="n">
        <v>46090</v>
      </c>
      <c r="D761" t="inlineStr">
        <is>
          <t>JÄMTLANDS LÄN</t>
        </is>
      </c>
      <c r="E761" t="inlineStr">
        <is>
          <t>RAGUNDA</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36553-2025</t>
        </is>
      </c>
      <c r="B762" s="1" t="n">
        <v>45870.34439814815</v>
      </c>
      <c r="C762" s="1" t="n">
        <v>46090</v>
      </c>
      <c r="D762" t="inlineStr">
        <is>
          <t>JÄMTLANDS LÄN</t>
        </is>
      </c>
      <c r="E762" t="inlineStr">
        <is>
          <t>RAGUNDA</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30459-2021</t>
        </is>
      </c>
      <c r="B763" s="1" t="n">
        <v>44362</v>
      </c>
      <c r="C763" s="1" t="n">
        <v>46090</v>
      </c>
      <c r="D763" t="inlineStr">
        <is>
          <t>JÄMTLANDS LÄN</t>
        </is>
      </c>
      <c r="E763" t="inlineStr">
        <is>
          <t>RAGUNDA</t>
        </is>
      </c>
      <c r="G763" t="n">
        <v>1</v>
      </c>
      <c r="H763" t="n">
        <v>0</v>
      </c>
      <c r="I763" t="n">
        <v>0</v>
      </c>
      <c r="J763" t="n">
        <v>0</v>
      </c>
      <c r="K763" t="n">
        <v>0</v>
      </c>
      <c r="L763" t="n">
        <v>0</v>
      </c>
      <c r="M763" t="n">
        <v>0</v>
      </c>
      <c r="N763" t="n">
        <v>0</v>
      </c>
      <c r="O763" t="n">
        <v>0</v>
      </c>
      <c r="P763" t="n">
        <v>0</v>
      </c>
      <c r="Q763" t="n">
        <v>0</v>
      </c>
      <c r="R763" s="2" t="inlineStr"/>
    </row>
    <row r="764" ht="15" customHeight="1">
      <c r="A764" t="inlineStr">
        <is>
          <t>A 51019-2025</t>
        </is>
      </c>
      <c r="B764" s="1" t="n">
        <v>45947.38623842593</v>
      </c>
      <c r="C764" s="1" t="n">
        <v>46090</v>
      </c>
      <c r="D764" t="inlineStr">
        <is>
          <t>JÄMTLANDS LÄN</t>
        </is>
      </c>
      <c r="E764" t="inlineStr">
        <is>
          <t>RAGUNDA</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50985-2025</t>
        </is>
      </c>
      <c r="B765" s="1" t="n">
        <v>45947.34506944445</v>
      </c>
      <c r="C765" s="1" t="n">
        <v>46090</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51034-2025</t>
        </is>
      </c>
      <c r="B766" s="1" t="n">
        <v>45947.40670138889</v>
      </c>
      <c r="C766" s="1" t="n">
        <v>46090</v>
      </c>
      <c r="D766" t="inlineStr">
        <is>
          <t>JÄMTLANDS LÄN</t>
        </is>
      </c>
      <c r="E766" t="inlineStr">
        <is>
          <t>RAGUNDA</t>
        </is>
      </c>
      <c r="F766" t="inlineStr">
        <is>
          <t>SCA</t>
        </is>
      </c>
      <c r="G766" t="n">
        <v>44.1</v>
      </c>
      <c r="H766" t="n">
        <v>0</v>
      </c>
      <c r="I766" t="n">
        <v>0</v>
      </c>
      <c r="J766" t="n">
        <v>0</v>
      </c>
      <c r="K766" t="n">
        <v>0</v>
      </c>
      <c r="L766" t="n">
        <v>0</v>
      </c>
      <c r="M766" t="n">
        <v>0</v>
      </c>
      <c r="N766" t="n">
        <v>0</v>
      </c>
      <c r="O766" t="n">
        <v>0</v>
      </c>
      <c r="P766" t="n">
        <v>0</v>
      </c>
      <c r="Q766" t="n">
        <v>0</v>
      </c>
      <c r="R766" s="2" t="inlineStr"/>
    </row>
    <row r="767" ht="15" customHeight="1">
      <c r="A767" t="inlineStr">
        <is>
          <t>A 51592-2025</t>
        </is>
      </c>
      <c r="B767" s="1" t="n">
        <v>45951.36541666667</v>
      </c>
      <c r="C767" s="1" t="n">
        <v>46090</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51395-2025</t>
        </is>
      </c>
      <c r="B768" s="1" t="n">
        <v>45950.46989583333</v>
      </c>
      <c r="C768" s="1" t="n">
        <v>46090</v>
      </c>
      <c r="D768" t="inlineStr">
        <is>
          <t>JÄMTLANDS LÄN</t>
        </is>
      </c>
      <c r="E768" t="inlineStr">
        <is>
          <t>RAGUNDA</t>
        </is>
      </c>
      <c r="F768" t="inlineStr">
        <is>
          <t>SCA</t>
        </is>
      </c>
      <c r="G768" t="n">
        <v>30.7</v>
      </c>
      <c r="H768" t="n">
        <v>0</v>
      </c>
      <c r="I768" t="n">
        <v>0</v>
      </c>
      <c r="J768" t="n">
        <v>0</v>
      </c>
      <c r="K768" t="n">
        <v>0</v>
      </c>
      <c r="L768" t="n">
        <v>0</v>
      </c>
      <c r="M768" t="n">
        <v>0</v>
      </c>
      <c r="N768" t="n">
        <v>0</v>
      </c>
      <c r="O768" t="n">
        <v>0</v>
      </c>
      <c r="P768" t="n">
        <v>0</v>
      </c>
      <c r="Q768" t="n">
        <v>0</v>
      </c>
      <c r="R768" s="2" t="inlineStr"/>
    </row>
    <row r="769" ht="15" customHeight="1">
      <c r="A769" t="inlineStr">
        <is>
          <t>A 51678-2025</t>
        </is>
      </c>
      <c r="B769" s="1" t="n">
        <v>45951.51106481482</v>
      </c>
      <c r="C769" s="1" t="n">
        <v>46090</v>
      </c>
      <c r="D769" t="inlineStr">
        <is>
          <t>JÄMTLANDS LÄN</t>
        </is>
      </c>
      <c r="E769" t="inlineStr">
        <is>
          <t>RAGUNDA</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37543-2023</t>
        </is>
      </c>
      <c r="B770" s="1" t="n">
        <v>45158.94231481481</v>
      </c>
      <c r="C770" s="1" t="n">
        <v>46090</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32075-2025</t>
        </is>
      </c>
      <c r="B771" s="1" t="n">
        <v>45835.4506712963</v>
      </c>
      <c r="C771" s="1" t="n">
        <v>46090</v>
      </c>
      <c r="D771" t="inlineStr">
        <is>
          <t>JÄMTLANDS LÄN</t>
        </is>
      </c>
      <c r="E771" t="inlineStr">
        <is>
          <t>RAGUNDA</t>
        </is>
      </c>
      <c r="G771" t="n">
        <v>1.1</v>
      </c>
      <c r="H771" t="n">
        <v>0</v>
      </c>
      <c r="I771" t="n">
        <v>0</v>
      </c>
      <c r="J771" t="n">
        <v>0</v>
      </c>
      <c r="K771" t="n">
        <v>0</v>
      </c>
      <c r="L771" t="n">
        <v>0</v>
      </c>
      <c r="M771" t="n">
        <v>0</v>
      </c>
      <c r="N771" t="n">
        <v>0</v>
      </c>
      <c r="O771" t="n">
        <v>0</v>
      </c>
      <c r="P771" t="n">
        <v>0</v>
      </c>
      <c r="Q771" t="n">
        <v>0</v>
      </c>
      <c r="R771" s="2" t="inlineStr"/>
    </row>
    <row r="772" ht="15" customHeight="1">
      <c r="A772" t="inlineStr">
        <is>
          <t>A 51593-2025</t>
        </is>
      </c>
      <c r="B772" s="1" t="n">
        <v>45951.36548611111</v>
      </c>
      <c r="C772" s="1" t="n">
        <v>46090</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51484-2025</t>
        </is>
      </c>
      <c r="B773" s="1" t="n">
        <v>45950.62196759259</v>
      </c>
      <c r="C773" s="1" t="n">
        <v>46090</v>
      </c>
      <c r="D773" t="inlineStr">
        <is>
          <t>JÄMTLANDS LÄN</t>
        </is>
      </c>
      <c r="E773" t="inlineStr">
        <is>
          <t>RAGUNDA</t>
        </is>
      </c>
      <c r="F773" t="inlineStr">
        <is>
          <t>SCA</t>
        </is>
      </c>
      <c r="G773" t="n">
        <v>23.1</v>
      </c>
      <c r="H773" t="n">
        <v>0</v>
      </c>
      <c r="I773" t="n">
        <v>0</v>
      </c>
      <c r="J773" t="n">
        <v>0</v>
      </c>
      <c r="K773" t="n">
        <v>0</v>
      </c>
      <c r="L773" t="n">
        <v>0</v>
      </c>
      <c r="M773" t="n">
        <v>0</v>
      </c>
      <c r="N773" t="n">
        <v>0</v>
      </c>
      <c r="O773" t="n">
        <v>0</v>
      </c>
      <c r="P773" t="n">
        <v>0</v>
      </c>
      <c r="Q773" t="n">
        <v>0</v>
      </c>
      <c r="R773" s="2" t="inlineStr"/>
    </row>
    <row r="774" ht="15" customHeight="1">
      <c r="A774" t="inlineStr">
        <is>
          <t>A 51491-2025</t>
        </is>
      </c>
      <c r="B774" s="1" t="n">
        <v>45950.63362268519</v>
      </c>
      <c r="C774" s="1" t="n">
        <v>46090</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7668-2025</t>
        </is>
      </c>
      <c r="B775" s="1" t="n">
        <v>45706.34450231482</v>
      </c>
      <c r="C775" s="1" t="n">
        <v>46090</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36046-2023</t>
        </is>
      </c>
      <c r="B776" s="1" t="n">
        <v>45148</v>
      </c>
      <c r="C776" s="1" t="n">
        <v>46090</v>
      </c>
      <c r="D776" t="inlineStr">
        <is>
          <t>JÄMTLANDS LÄN</t>
        </is>
      </c>
      <c r="E776" t="inlineStr">
        <is>
          <t>RAGUNDA</t>
        </is>
      </c>
      <c r="G776" t="n">
        <v>1.9</v>
      </c>
      <c r="H776" t="n">
        <v>0</v>
      </c>
      <c r="I776" t="n">
        <v>0</v>
      </c>
      <c r="J776" t="n">
        <v>0</v>
      </c>
      <c r="K776" t="n">
        <v>0</v>
      </c>
      <c r="L776" t="n">
        <v>0</v>
      </c>
      <c r="M776" t="n">
        <v>0</v>
      </c>
      <c r="N776" t="n">
        <v>0</v>
      </c>
      <c r="O776" t="n">
        <v>0</v>
      </c>
      <c r="P776" t="n">
        <v>0</v>
      </c>
      <c r="Q776" t="n">
        <v>0</v>
      </c>
      <c r="R776" s="2" t="inlineStr"/>
    </row>
    <row r="777" ht="15" customHeight="1">
      <c r="A777" t="inlineStr">
        <is>
          <t>A 32874-2025</t>
        </is>
      </c>
      <c r="B777" s="1" t="n">
        <v>45839</v>
      </c>
      <c r="C777" s="1" t="n">
        <v>46090</v>
      </c>
      <c r="D777" t="inlineStr">
        <is>
          <t>JÄMTLANDS LÄN</t>
        </is>
      </c>
      <c r="E777" t="inlineStr">
        <is>
          <t>RAGUNDA</t>
        </is>
      </c>
      <c r="G777" t="n">
        <v>2.3</v>
      </c>
      <c r="H777" t="n">
        <v>0</v>
      </c>
      <c r="I777" t="n">
        <v>0</v>
      </c>
      <c r="J777" t="n">
        <v>0</v>
      </c>
      <c r="K777" t="n">
        <v>0</v>
      </c>
      <c r="L777" t="n">
        <v>0</v>
      </c>
      <c r="M777" t="n">
        <v>0</v>
      </c>
      <c r="N777" t="n">
        <v>0</v>
      </c>
      <c r="O777" t="n">
        <v>0</v>
      </c>
      <c r="P777" t="n">
        <v>0</v>
      </c>
      <c r="Q777" t="n">
        <v>0</v>
      </c>
      <c r="R777" s="2" t="inlineStr"/>
    </row>
    <row r="778" ht="15" customHeight="1">
      <c r="A778" t="inlineStr">
        <is>
          <t>A 36994-2025</t>
        </is>
      </c>
      <c r="B778" s="1" t="n">
        <v>45874.67746527777</v>
      </c>
      <c r="C778" s="1" t="n">
        <v>46090</v>
      </c>
      <c r="D778" t="inlineStr">
        <is>
          <t>JÄMTLANDS LÄN</t>
        </is>
      </c>
      <c r="E778" t="inlineStr">
        <is>
          <t>RAGUNDA</t>
        </is>
      </c>
      <c r="F778" t="inlineStr">
        <is>
          <t>SCA</t>
        </is>
      </c>
      <c r="G778" t="n">
        <v>7.2</v>
      </c>
      <c r="H778" t="n">
        <v>0</v>
      </c>
      <c r="I778" t="n">
        <v>0</v>
      </c>
      <c r="J778" t="n">
        <v>0</v>
      </c>
      <c r="K778" t="n">
        <v>0</v>
      </c>
      <c r="L778" t="n">
        <v>0</v>
      </c>
      <c r="M778" t="n">
        <v>0</v>
      </c>
      <c r="N778" t="n">
        <v>0</v>
      </c>
      <c r="O778" t="n">
        <v>0</v>
      </c>
      <c r="P778" t="n">
        <v>0</v>
      </c>
      <c r="Q778" t="n">
        <v>0</v>
      </c>
      <c r="R778" s="2" t="inlineStr"/>
    </row>
    <row r="779" ht="15" customHeight="1">
      <c r="A779" t="inlineStr">
        <is>
          <t>A 51791-2025</t>
        </is>
      </c>
      <c r="B779" s="1" t="n">
        <v>45951.69833333333</v>
      </c>
      <c r="C779" s="1" t="n">
        <v>46090</v>
      </c>
      <c r="D779" t="inlineStr">
        <is>
          <t>JÄMTLANDS LÄN</t>
        </is>
      </c>
      <c r="E779" t="inlineStr">
        <is>
          <t>RAGUNDA</t>
        </is>
      </c>
      <c r="F779" t="inlineStr">
        <is>
          <t>SCA</t>
        </is>
      </c>
      <c r="G779" t="n">
        <v>43.3</v>
      </c>
      <c r="H779" t="n">
        <v>0</v>
      </c>
      <c r="I779" t="n">
        <v>0</v>
      </c>
      <c r="J779" t="n">
        <v>0</v>
      </c>
      <c r="K779" t="n">
        <v>0</v>
      </c>
      <c r="L779" t="n">
        <v>0</v>
      </c>
      <c r="M779" t="n">
        <v>0</v>
      </c>
      <c r="N779" t="n">
        <v>0</v>
      </c>
      <c r="O779" t="n">
        <v>0</v>
      </c>
      <c r="P779" t="n">
        <v>0</v>
      </c>
      <c r="Q779" t="n">
        <v>0</v>
      </c>
      <c r="R779" s="2" t="inlineStr"/>
    </row>
    <row r="780" ht="15" customHeight="1">
      <c r="A780" t="inlineStr">
        <is>
          <t>A 51702-2025</t>
        </is>
      </c>
      <c r="B780" s="1" t="n">
        <v>45951.55305555555</v>
      </c>
      <c r="C780" s="1" t="n">
        <v>46090</v>
      </c>
      <c r="D780" t="inlineStr">
        <is>
          <t>JÄMTLANDS LÄN</t>
        </is>
      </c>
      <c r="E780" t="inlineStr">
        <is>
          <t>RAGUNDA</t>
        </is>
      </c>
      <c r="G780" t="n">
        <v>11.4</v>
      </c>
      <c r="H780" t="n">
        <v>0</v>
      </c>
      <c r="I780" t="n">
        <v>0</v>
      </c>
      <c r="J780" t="n">
        <v>0</v>
      </c>
      <c r="K780" t="n">
        <v>0</v>
      </c>
      <c r="L780" t="n">
        <v>0</v>
      </c>
      <c r="M780" t="n">
        <v>0</v>
      </c>
      <c r="N780" t="n">
        <v>0</v>
      </c>
      <c r="O780" t="n">
        <v>0</v>
      </c>
      <c r="P780" t="n">
        <v>0</v>
      </c>
      <c r="Q780" t="n">
        <v>0</v>
      </c>
      <c r="R780" s="2" t="inlineStr"/>
    </row>
    <row r="781" ht="15" customHeight="1">
      <c r="A781" t="inlineStr">
        <is>
          <t>A 51394-2025</t>
        </is>
      </c>
      <c r="B781" s="1" t="n">
        <v>45950.46972222222</v>
      </c>
      <c r="C781" s="1" t="n">
        <v>46090</v>
      </c>
      <c r="D781" t="inlineStr">
        <is>
          <t>JÄMTLANDS LÄN</t>
        </is>
      </c>
      <c r="E781" t="inlineStr">
        <is>
          <t>RAGUNDA</t>
        </is>
      </c>
      <c r="F781" t="inlineStr">
        <is>
          <t>SCA</t>
        </is>
      </c>
      <c r="G781" t="n">
        <v>36.5</v>
      </c>
      <c r="H781" t="n">
        <v>0</v>
      </c>
      <c r="I781" t="n">
        <v>0</v>
      </c>
      <c r="J781" t="n">
        <v>0</v>
      </c>
      <c r="K781" t="n">
        <v>0</v>
      </c>
      <c r="L781" t="n">
        <v>0</v>
      </c>
      <c r="M781" t="n">
        <v>0</v>
      </c>
      <c r="N781" t="n">
        <v>0</v>
      </c>
      <c r="O781" t="n">
        <v>0</v>
      </c>
      <c r="P781" t="n">
        <v>0</v>
      </c>
      <c r="Q781" t="n">
        <v>0</v>
      </c>
      <c r="R781" s="2" t="inlineStr"/>
    </row>
    <row r="782" ht="15" customHeight="1">
      <c r="A782" t="inlineStr">
        <is>
          <t>A 52317-2025</t>
        </is>
      </c>
      <c r="B782" s="1" t="n">
        <v>45953.65675925926</v>
      </c>
      <c r="C782" s="1" t="n">
        <v>46090</v>
      </c>
      <c r="D782" t="inlineStr">
        <is>
          <t>JÄMTLANDS LÄN</t>
        </is>
      </c>
      <c r="E782" t="inlineStr">
        <is>
          <t>RAGUNDA</t>
        </is>
      </c>
      <c r="F782" t="inlineStr">
        <is>
          <t>SCA</t>
        </is>
      </c>
      <c r="G782" t="n">
        <v>27.2</v>
      </c>
      <c r="H782" t="n">
        <v>0</v>
      </c>
      <c r="I782" t="n">
        <v>0</v>
      </c>
      <c r="J782" t="n">
        <v>0</v>
      </c>
      <c r="K782" t="n">
        <v>0</v>
      </c>
      <c r="L782" t="n">
        <v>0</v>
      </c>
      <c r="M782" t="n">
        <v>0</v>
      </c>
      <c r="N782" t="n">
        <v>0</v>
      </c>
      <c r="O782" t="n">
        <v>0</v>
      </c>
      <c r="P782" t="n">
        <v>0</v>
      </c>
      <c r="Q782" t="n">
        <v>0</v>
      </c>
      <c r="R782" s="2" t="inlineStr"/>
    </row>
    <row r="783" ht="15" customHeight="1">
      <c r="A783" t="inlineStr">
        <is>
          <t>A 52122-2025</t>
        </is>
      </c>
      <c r="B783" s="1" t="n">
        <v>45952.71946759259</v>
      </c>
      <c r="C783" s="1" t="n">
        <v>46090</v>
      </c>
      <c r="D783" t="inlineStr">
        <is>
          <t>JÄMTLANDS LÄN</t>
        </is>
      </c>
      <c r="E783" t="inlineStr">
        <is>
          <t>RAGUNDA</t>
        </is>
      </c>
      <c r="F783" t="inlineStr">
        <is>
          <t>SCA</t>
        </is>
      </c>
      <c r="G783" t="n">
        <v>8</v>
      </c>
      <c r="H783" t="n">
        <v>0</v>
      </c>
      <c r="I783" t="n">
        <v>0</v>
      </c>
      <c r="J783" t="n">
        <v>0</v>
      </c>
      <c r="K783" t="n">
        <v>0</v>
      </c>
      <c r="L783" t="n">
        <v>0</v>
      </c>
      <c r="M783" t="n">
        <v>0</v>
      </c>
      <c r="N783" t="n">
        <v>0</v>
      </c>
      <c r="O783" t="n">
        <v>0</v>
      </c>
      <c r="P783" t="n">
        <v>0</v>
      </c>
      <c r="Q783" t="n">
        <v>0</v>
      </c>
      <c r="R783" s="2" t="inlineStr"/>
    </row>
    <row r="784" ht="15" customHeight="1">
      <c r="A784" t="inlineStr">
        <is>
          <t>A 37008-2025</t>
        </is>
      </c>
      <c r="B784" s="1" t="n">
        <v>45874.69844907407</v>
      </c>
      <c r="C784" s="1" t="n">
        <v>46090</v>
      </c>
      <c r="D784" t="inlineStr">
        <is>
          <t>JÄMTLANDS LÄN</t>
        </is>
      </c>
      <c r="E784" t="inlineStr">
        <is>
          <t>RAGUNDA</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36947-2025</t>
        </is>
      </c>
      <c r="B785" s="1" t="n">
        <v>45874.59496527778</v>
      </c>
      <c r="C785" s="1" t="n">
        <v>46090</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52330-2025</t>
        </is>
      </c>
      <c r="B786" s="1" t="n">
        <v>45953.67752314815</v>
      </c>
      <c r="C786" s="1" t="n">
        <v>46090</v>
      </c>
      <c r="D786" t="inlineStr">
        <is>
          <t>JÄMTLANDS LÄN</t>
        </is>
      </c>
      <c r="E786" t="inlineStr">
        <is>
          <t>RAGUNDA</t>
        </is>
      </c>
      <c r="F786" t="inlineStr">
        <is>
          <t>SCA</t>
        </is>
      </c>
      <c r="G786" t="n">
        <v>10.1</v>
      </c>
      <c r="H786" t="n">
        <v>0</v>
      </c>
      <c r="I786" t="n">
        <v>0</v>
      </c>
      <c r="J786" t="n">
        <v>0</v>
      </c>
      <c r="K786" t="n">
        <v>0</v>
      </c>
      <c r="L786" t="n">
        <v>0</v>
      </c>
      <c r="M786" t="n">
        <v>0</v>
      </c>
      <c r="N786" t="n">
        <v>0</v>
      </c>
      <c r="O786" t="n">
        <v>0</v>
      </c>
      <c r="P786" t="n">
        <v>0</v>
      </c>
      <c r="Q786" t="n">
        <v>0</v>
      </c>
      <c r="R786" s="2" t="inlineStr"/>
    </row>
    <row r="787" ht="15" customHeight="1">
      <c r="A787" t="inlineStr">
        <is>
          <t>A 52093-2025</t>
        </is>
      </c>
      <c r="B787" s="1" t="n">
        <v>45952.67865740741</v>
      </c>
      <c r="C787" s="1" t="n">
        <v>46090</v>
      </c>
      <c r="D787" t="inlineStr">
        <is>
          <t>JÄMTLANDS LÄN</t>
        </is>
      </c>
      <c r="E787" t="inlineStr">
        <is>
          <t>RAGUNDA</t>
        </is>
      </c>
      <c r="F787" t="inlineStr">
        <is>
          <t>SCA</t>
        </is>
      </c>
      <c r="G787" t="n">
        <v>22.7</v>
      </c>
      <c r="H787" t="n">
        <v>0</v>
      </c>
      <c r="I787" t="n">
        <v>0</v>
      </c>
      <c r="J787" t="n">
        <v>0</v>
      </c>
      <c r="K787" t="n">
        <v>0</v>
      </c>
      <c r="L787" t="n">
        <v>0</v>
      </c>
      <c r="M787" t="n">
        <v>0</v>
      </c>
      <c r="N787" t="n">
        <v>0</v>
      </c>
      <c r="O787" t="n">
        <v>0</v>
      </c>
      <c r="P787" t="n">
        <v>0</v>
      </c>
      <c r="Q787" t="n">
        <v>0</v>
      </c>
      <c r="R787" s="2" t="inlineStr"/>
    </row>
    <row r="788" ht="15" customHeight="1">
      <c r="A788" t="inlineStr">
        <is>
          <t>A 37292-2025</t>
        </is>
      </c>
      <c r="B788" s="1" t="n">
        <v>45876.53188657408</v>
      </c>
      <c r="C788" s="1" t="n">
        <v>46090</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51882-2025</t>
        </is>
      </c>
      <c r="B789" s="1" t="n">
        <v>45952.40685185185</v>
      </c>
      <c r="C789" s="1" t="n">
        <v>46090</v>
      </c>
      <c r="D789" t="inlineStr">
        <is>
          <t>JÄMTLANDS LÄN</t>
        </is>
      </c>
      <c r="E789" t="inlineStr">
        <is>
          <t>RAGUNDA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51903-2025</t>
        </is>
      </c>
      <c r="B790" s="1" t="n">
        <v>45952.44857638889</v>
      </c>
      <c r="C790" s="1" t="n">
        <v>46090</v>
      </c>
      <c r="D790" t="inlineStr">
        <is>
          <t>JÄMTLANDS LÄN</t>
        </is>
      </c>
      <c r="E790" t="inlineStr">
        <is>
          <t>RAGUNDA</t>
        </is>
      </c>
      <c r="F790" t="inlineStr">
        <is>
          <t>SCA</t>
        </is>
      </c>
      <c r="G790" t="n">
        <v>20.8</v>
      </c>
      <c r="H790" t="n">
        <v>0</v>
      </c>
      <c r="I790" t="n">
        <v>0</v>
      </c>
      <c r="J790" t="n">
        <v>0</v>
      </c>
      <c r="K790" t="n">
        <v>0</v>
      </c>
      <c r="L790" t="n">
        <v>0</v>
      </c>
      <c r="M790" t="n">
        <v>0</v>
      </c>
      <c r="N790" t="n">
        <v>0</v>
      </c>
      <c r="O790" t="n">
        <v>0</v>
      </c>
      <c r="P790" t="n">
        <v>0</v>
      </c>
      <c r="Q790" t="n">
        <v>0</v>
      </c>
      <c r="R790" s="2" t="inlineStr"/>
    </row>
    <row r="791" ht="15" customHeight="1">
      <c r="A791" t="inlineStr">
        <is>
          <t>A 51932-2025</t>
        </is>
      </c>
      <c r="B791" s="1" t="n">
        <v>45952.51094907407</v>
      </c>
      <c r="C791" s="1" t="n">
        <v>46090</v>
      </c>
      <c r="D791" t="inlineStr">
        <is>
          <t>JÄMTLANDS LÄN</t>
        </is>
      </c>
      <c r="E791" t="inlineStr">
        <is>
          <t>RAGUNDA</t>
        </is>
      </c>
      <c r="F791" t="inlineStr">
        <is>
          <t>SCA</t>
        </is>
      </c>
      <c r="G791" t="n">
        <v>39.2</v>
      </c>
      <c r="H791" t="n">
        <v>0</v>
      </c>
      <c r="I791" t="n">
        <v>0</v>
      </c>
      <c r="J791" t="n">
        <v>0</v>
      </c>
      <c r="K791" t="n">
        <v>0</v>
      </c>
      <c r="L791" t="n">
        <v>0</v>
      </c>
      <c r="M791" t="n">
        <v>0</v>
      </c>
      <c r="N791" t="n">
        <v>0</v>
      </c>
      <c r="O791" t="n">
        <v>0</v>
      </c>
      <c r="P791" t="n">
        <v>0</v>
      </c>
      <c r="Q791" t="n">
        <v>0</v>
      </c>
      <c r="R791" s="2" t="inlineStr"/>
    </row>
    <row r="792" ht="15" customHeight="1">
      <c r="A792" t="inlineStr">
        <is>
          <t>A 8654-2024</t>
        </is>
      </c>
      <c r="B792" s="1" t="n">
        <v>45356.03784722222</v>
      </c>
      <c r="C792" s="1" t="n">
        <v>46090</v>
      </c>
      <c r="D792" t="inlineStr">
        <is>
          <t>JÄMTLANDS LÄN</t>
        </is>
      </c>
      <c r="E792" t="inlineStr">
        <is>
          <t>RAGUNDA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6902-2024</t>
        </is>
      </c>
      <c r="B793" s="1" t="n">
        <v>45342</v>
      </c>
      <c r="C793" s="1" t="n">
        <v>46090</v>
      </c>
      <c r="D793" t="inlineStr">
        <is>
          <t>JÄMTLANDS LÄN</t>
        </is>
      </c>
      <c r="E793" t="inlineStr">
        <is>
          <t>RAGUNDA</t>
        </is>
      </c>
      <c r="F793" t="inlineStr">
        <is>
          <t>SCA</t>
        </is>
      </c>
      <c r="G793" t="n">
        <v>18.7</v>
      </c>
      <c r="H793" t="n">
        <v>0</v>
      </c>
      <c r="I793" t="n">
        <v>0</v>
      </c>
      <c r="J793" t="n">
        <v>0</v>
      </c>
      <c r="K793" t="n">
        <v>0</v>
      </c>
      <c r="L793" t="n">
        <v>0</v>
      </c>
      <c r="M793" t="n">
        <v>0</v>
      </c>
      <c r="N793" t="n">
        <v>0</v>
      </c>
      <c r="O793" t="n">
        <v>0</v>
      </c>
      <c r="P793" t="n">
        <v>0</v>
      </c>
      <c r="Q793" t="n">
        <v>0</v>
      </c>
      <c r="R793" s="2" t="inlineStr"/>
    </row>
    <row r="794" ht="15" customHeight="1">
      <c r="A794" t="inlineStr">
        <is>
          <t>A 6905-2024</t>
        </is>
      </c>
      <c r="B794" s="1" t="n">
        <v>45342.9462037037</v>
      </c>
      <c r="C794" s="1" t="n">
        <v>46090</v>
      </c>
      <c r="D794" t="inlineStr">
        <is>
          <t>JÄMTLANDS LÄN</t>
        </is>
      </c>
      <c r="E794" t="inlineStr">
        <is>
          <t>RAGUNDA</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51906-2025</t>
        </is>
      </c>
      <c r="B795" s="1" t="n">
        <v>45952.4615162037</v>
      </c>
      <c r="C795" s="1" t="n">
        <v>46090</v>
      </c>
      <c r="D795" t="inlineStr">
        <is>
          <t>JÄMTLANDS LÄN</t>
        </is>
      </c>
      <c r="E795" t="inlineStr">
        <is>
          <t>RAGUNDA</t>
        </is>
      </c>
      <c r="G795" t="n">
        <v>4.5</v>
      </c>
      <c r="H795" t="n">
        <v>0</v>
      </c>
      <c r="I795" t="n">
        <v>0</v>
      </c>
      <c r="J795" t="n">
        <v>0</v>
      </c>
      <c r="K795" t="n">
        <v>0</v>
      </c>
      <c r="L795" t="n">
        <v>0</v>
      </c>
      <c r="M795" t="n">
        <v>0</v>
      </c>
      <c r="N795" t="n">
        <v>0</v>
      </c>
      <c r="O795" t="n">
        <v>0</v>
      </c>
      <c r="P795" t="n">
        <v>0</v>
      </c>
      <c r="Q795" t="n">
        <v>0</v>
      </c>
      <c r="R795" s="2" t="inlineStr"/>
    </row>
    <row r="796" ht="15" customHeight="1">
      <c r="A796" t="inlineStr">
        <is>
          <t>A 22731-2023</t>
        </is>
      </c>
      <c r="B796" s="1" t="n">
        <v>45071</v>
      </c>
      <c r="C796" s="1" t="n">
        <v>46090</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52972-2025</t>
        </is>
      </c>
      <c r="B797" s="1" t="n">
        <v>45957.67783564814</v>
      </c>
      <c r="C797" s="1" t="n">
        <v>46090</v>
      </c>
      <c r="D797" t="inlineStr">
        <is>
          <t>JÄMTLANDS LÄN</t>
        </is>
      </c>
      <c r="E797" t="inlineStr">
        <is>
          <t>RAGUNDA</t>
        </is>
      </c>
      <c r="F797" t="inlineStr">
        <is>
          <t>SCA</t>
        </is>
      </c>
      <c r="G797" t="n">
        <v>53.4</v>
      </c>
      <c r="H797" t="n">
        <v>0</v>
      </c>
      <c r="I797" t="n">
        <v>0</v>
      </c>
      <c r="J797" t="n">
        <v>0</v>
      </c>
      <c r="K797" t="n">
        <v>0</v>
      </c>
      <c r="L797" t="n">
        <v>0</v>
      </c>
      <c r="M797" t="n">
        <v>0</v>
      </c>
      <c r="N797" t="n">
        <v>0</v>
      </c>
      <c r="O797" t="n">
        <v>0</v>
      </c>
      <c r="P797" t="n">
        <v>0</v>
      </c>
      <c r="Q797" t="n">
        <v>0</v>
      </c>
      <c r="R797" s="2" t="inlineStr"/>
    </row>
    <row r="798" ht="15" customHeight="1">
      <c r="A798" t="inlineStr">
        <is>
          <t>A 11245-2025</t>
        </is>
      </c>
      <c r="B798" s="1" t="n">
        <v>45726.38575231482</v>
      </c>
      <c r="C798" s="1" t="n">
        <v>46090</v>
      </c>
      <c r="D798" t="inlineStr">
        <is>
          <t>JÄMTLANDS LÄN</t>
        </is>
      </c>
      <c r="E798" t="inlineStr">
        <is>
          <t>RAGUNDA</t>
        </is>
      </c>
      <c r="G798" t="n">
        <v>2.3</v>
      </c>
      <c r="H798" t="n">
        <v>0</v>
      </c>
      <c r="I798" t="n">
        <v>0</v>
      </c>
      <c r="J798" t="n">
        <v>0</v>
      </c>
      <c r="K798" t="n">
        <v>0</v>
      </c>
      <c r="L798" t="n">
        <v>0</v>
      </c>
      <c r="M798" t="n">
        <v>0</v>
      </c>
      <c r="N798" t="n">
        <v>0</v>
      </c>
      <c r="O798" t="n">
        <v>0</v>
      </c>
      <c r="P798" t="n">
        <v>0</v>
      </c>
      <c r="Q798" t="n">
        <v>0</v>
      </c>
      <c r="R798" s="2" t="inlineStr"/>
    </row>
    <row r="799" ht="15" customHeight="1">
      <c r="A799" t="inlineStr">
        <is>
          <t>A 61923-2024</t>
        </is>
      </c>
      <c r="B799" s="1" t="n">
        <v>45653.44836805556</v>
      </c>
      <c r="C799" s="1" t="n">
        <v>46090</v>
      </c>
      <c r="D799" t="inlineStr">
        <is>
          <t>JÄMTLANDS LÄN</t>
        </is>
      </c>
      <c r="E799" t="inlineStr">
        <is>
          <t>RAGUNDA</t>
        </is>
      </c>
      <c r="F799" t="inlineStr">
        <is>
          <t>SCA</t>
        </is>
      </c>
      <c r="G799" t="n">
        <v>11.1</v>
      </c>
      <c r="H799" t="n">
        <v>0</v>
      </c>
      <c r="I799" t="n">
        <v>0</v>
      </c>
      <c r="J799" t="n">
        <v>0</v>
      </c>
      <c r="K799" t="n">
        <v>0</v>
      </c>
      <c r="L799" t="n">
        <v>0</v>
      </c>
      <c r="M799" t="n">
        <v>0</v>
      </c>
      <c r="N799" t="n">
        <v>0</v>
      </c>
      <c r="O799" t="n">
        <v>0</v>
      </c>
      <c r="P799" t="n">
        <v>0</v>
      </c>
      <c r="Q799" t="n">
        <v>0</v>
      </c>
      <c r="R799" s="2" t="inlineStr"/>
    </row>
    <row r="800" ht="15" customHeight="1">
      <c r="A800" t="inlineStr">
        <is>
          <t>A 23567-2024</t>
        </is>
      </c>
      <c r="B800" s="1" t="n">
        <v>45453.95538194444</v>
      </c>
      <c r="C800" s="1" t="n">
        <v>46090</v>
      </c>
      <c r="D800" t="inlineStr">
        <is>
          <t>JÄMTLANDS LÄN</t>
        </is>
      </c>
      <c r="E800" t="inlineStr">
        <is>
          <t>RAGUNDA</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19246-2023</t>
        </is>
      </c>
      <c r="B801" s="1" t="n">
        <v>45048.94340277778</v>
      </c>
      <c r="C801" s="1" t="n">
        <v>46090</v>
      </c>
      <c r="D801" t="inlineStr">
        <is>
          <t>JÄMTLANDS LÄN</t>
        </is>
      </c>
      <c r="E801" t="inlineStr">
        <is>
          <t>RAGUNDA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61109-2024</t>
        </is>
      </c>
      <c r="B802" s="1" t="n">
        <v>45645.55672453704</v>
      </c>
      <c r="C802" s="1" t="n">
        <v>46090</v>
      </c>
      <c r="D802" t="inlineStr">
        <is>
          <t>JÄMTLANDS LÄN</t>
        </is>
      </c>
      <c r="E802" t="inlineStr">
        <is>
          <t>RAGUNDA</t>
        </is>
      </c>
      <c r="G802" t="n">
        <v>4</v>
      </c>
      <c r="H802" t="n">
        <v>0</v>
      </c>
      <c r="I802" t="n">
        <v>0</v>
      </c>
      <c r="J802" t="n">
        <v>0</v>
      </c>
      <c r="K802" t="n">
        <v>0</v>
      </c>
      <c r="L802" t="n">
        <v>0</v>
      </c>
      <c r="M802" t="n">
        <v>0</v>
      </c>
      <c r="N802" t="n">
        <v>0</v>
      </c>
      <c r="O802" t="n">
        <v>0</v>
      </c>
      <c r="P802" t="n">
        <v>0</v>
      </c>
      <c r="Q802" t="n">
        <v>0</v>
      </c>
      <c r="R802" s="2" t="inlineStr"/>
    </row>
    <row r="803" ht="15" customHeight="1">
      <c r="A803" t="inlineStr">
        <is>
          <t>A 52430-2025</t>
        </is>
      </c>
      <c r="B803" s="1" t="n">
        <v>45954.38592592593</v>
      </c>
      <c r="C803" s="1" t="n">
        <v>46090</v>
      </c>
      <c r="D803" t="inlineStr">
        <is>
          <t>JÄMTLANDS LÄN</t>
        </is>
      </c>
      <c r="E803" t="inlineStr">
        <is>
          <t>RAGUNDA</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58955-2024</t>
        </is>
      </c>
      <c r="B804" s="1" t="n">
        <v>45636.57329861111</v>
      </c>
      <c r="C804" s="1" t="n">
        <v>46090</v>
      </c>
      <c r="D804" t="inlineStr">
        <is>
          <t>JÄMTLANDS LÄN</t>
        </is>
      </c>
      <c r="E804" t="inlineStr">
        <is>
          <t>RAGUNDA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52875-2025</t>
        </is>
      </c>
      <c r="B805" s="1" t="n">
        <v>45957.53211805555</v>
      </c>
      <c r="C805" s="1" t="n">
        <v>46090</v>
      </c>
      <c r="D805" t="inlineStr">
        <is>
          <t>JÄMTLANDS LÄN</t>
        </is>
      </c>
      <c r="E805" t="inlineStr">
        <is>
          <t>RAGUNDA</t>
        </is>
      </c>
      <c r="F805" t="inlineStr">
        <is>
          <t>SCA</t>
        </is>
      </c>
      <c r="G805" t="n">
        <v>34.3</v>
      </c>
      <c r="H805" t="n">
        <v>0</v>
      </c>
      <c r="I805" t="n">
        <v>0</v>
      </c>
      <c r="J805" t="n">
        <v>0</v>
      </c>
      <c r="K805" t="n">
        <v>0</v>
      </c>
      <c r="L805" t="n">
        <v>0</v>
      </c>
      <c r="M805" t="n">
        <v>0</v>
      </c>
      <c r="N805" t="n">
        <v>0</v>
      </c>
      <c r="O805" t="n">
        <v>0</v>
      </c>
      <c r="P805" t="n">
        <v>0</v>
      </c>
      <c r="Q805" t="n">
        <v>0</v>
      </c>
      <c r="R805" s="2" t="inlineStr"/>
    </row>
    <row r="806" ht="15" customHeight="1">
      <c r="A806" t="inlineStr">
        <is>
          <t>A 9513-2026</t>
        </is>
      </c>
      <c r="B806" s="1" t="n">
        <v>46071.59444444445</v>
      </c>
      <c r="C806" s="1" t="n">
        <v>46090</v>
      </c>
      <c r="D806" t="inlineStr">
        <is>
          <t>JÄMTLANDS LÄN</t>
        </is>
      </c>
      <c r="E806" t="inlineStr">
        <is>
          <t>RAGUNDA</t>
        </is>
      </c>
      <c r="F806" t="inlineStr">
        <is>
          <t>SCA</t>
        </is>
      </c>
      <c r="G806" t="n">
        <v>26.1</v>
      </c>
      <c r="H806" t="n">
        <v>0</v>
      </c>
      <c r="I806" t="n">
        <v>0</v>
      </c>
      <c r="J806" t="n">
        <v>0</v>
      </c>
      <c r="K806" t="n">
        <v>0</v>
      </c>
      <c r="L806" t="n">
        <v>0</v>
      </c>
      <c r="M806" t="n">
        <v>0</v>
      </c>
      <c r="N806" t="n">
        <v>0</v>
      </c>
      <c r="O806" t="n">
        <v>0</v>
      </c>
      <c r="P806" t="n">
        <v>0</v>
      </c>
      <c r="Q806" t="n">
        <v>0</v>
      </c>
      <c r="R806" s="2" t="inlineStr"/>
    </row>
    <row r="807" ht="15" customHeight="1">
      <c r="A807" t="inlineStr">
        <is>
          <t>A 33877-2023</t>
        </is>
      </c>
      <c r="B807" s="1" t="n">
        <v>45133</v>
      </c>
      <c r="C807" s="1" t="n">
        <v>46090</v>
      </c>
      <c r="D807" t="inlineStr">
        <is>
          <t>JÄMTLANDS LÄN</t>
        </is>
      </c>
      <c r="E807" t="inlineStr">
        <is>
          <t>RAGUNDA</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62541-2022</t>
        </is>
      </c>
      <c r="B808" s="1" t="n">
        <v>44917</v>
      </c>
      <c r="C808" s="1" t="n">
        <v>46090</v>
      </c>
      <c r="D808" t="inlineStr">
        <is>
          <t>JÄMTLANDS LÄN</t>
        </is>
      </c>
      <c r="E808" t="inlineStr">
        <is>
          <t>RAGUNDA</t>
        </is>
      </c>
      <c r="G808" t="n">
        <v>2.6</v>
      </c>
      <c r="H808" t="n">
        <v>0</v>
      </c>
      <c r="I808" t="n">
        <v>0</v>
      </c>
      <c r="J808" t="n">
        <v>0</v>
      </c>
      <c r="K808" t="n">
        <v>0</v>
      </c>
      <c r="L808" t="n">
        <v>0</v>
      </c>
      <c r="M808" t="n">
        <v>0</v>
      </c>
      <c r="N808" t="n">
        <v>0</v>
      </c>
      <c r="O808" t="n">
        <v>0</v>
      </c>
      <c r="P808" t="n">
        <v>0</v>
      </c>
      <c r="Q808" t="n">
        <v>0</v>
      </c>
      <c r="R808" s="2" t="inlineStr"/>
    </row>
    <row r="809" ht="15" customHeight="1">
      <c r="A809" t="inlineStr">
        <is>
          <t>A 52394-2025</t>
        </is>
      </c>
      <c r="B809" s="1" t="n">
        <v>45954.34466435185</v>
      </c>
      <c r="C809" s="1" t="n">
        <v>46090</v>
      </c>
      <c r="D809" t="inlineStr">
        <is>
          <t>JÄMTLANDS LÄN</t>
        </is>
      </c>
      <c r="E809" t="inlineStr">
        <is>
          <t>RAGUNDA</t>
        </is>
      </c>
      <c r="F809" t="inlineStr">
        <is>
          <t>SCA</t>
        </is>
      </c>
      <c r="G809" t="n">
        <v>53.8</v>
      </c>
      <c r="H809" t="n">
        <v>0</v>
      </c>
      <c r="I809" t="n">
        <v>0</v>
      </c>
      <c r="J809" t="n">
        <v>0</v>
      </c>
      <c r="K809" t="n">
        <v>0</v>
      </c>
      <c r="L809" t="n">
        <v>0</v>
      </c>
      <c r="M809" t="n">
        <v>0</v>
      </c>
      <c r="N809" t="n">
        <v>0</v>
      </c>
      <c r="O809" t="n">
        <v>0</v>
      </c>
      <c r="P809" t="n">
        <v>0</v>
      </c>
      <c r="Q809" t="n">
        <v>0</v>
      </c>
      <c r="R809" s="2" t="inlineStr"/>
    </row>
    <row r="810" ht="15" customHeight="1">
      <c r="A810" t="inlineStr">
        <is>
          <t>A 52395-2025</t>
        </is>
      </c>
      <c r="B810" s="1" t="n">
        <v>45954.34487268519</v>
      </c>
      <c r="C810" s="1" t="n">
        <v>46090</v>
      </c>
      <c r="D810" t="inlineStr">
        <is>
          <t>JÄMTLANDS LÄN</t>
        </is>
      </c>
      <c r="E810" t="inlineStr">
        <is>
          <t>RAGUNDA</t>
        </is>
      </c>
      <c r="F810" t="inlineStr">
        <is>
          <t>SCA</t>
        </is>
      </c>
      <c r="G810" t="n">
        <v>14.2</v>
      </c>
      <c r="H810" t="n">
        <v>0</v>
      </c>
      <c r="I810" t="n">
        <v>0</v>
      </c>
      <c r="J810" t="n">
        <v>0</v>
      </c>
      <c r="K810" t="n">
        <v>0</v>
      </c>
      <c r="L810" t="n">
        <v>0</v>
      </c>
      <c r="M810" t="n">
        <v>0</v>
      </c>
      <c r="N810" t="n">
        <v>0</v>
      </c>
      <c r="O810" t="n">
        <v>0</v>
      </c>
      <c r="P810" t="n">
        <v>0</v>
      </c>
      <c r="Q810" t="n">
        <v>0</v>
      </c>
      <c r="R810" s="2" t="inlineStr"/>
    </row>
    <row r="811" ht="15" customHeight="1">
      <c r="A811" t="inlineStr">
        <is>
          <t>A 9567-2025</t>
        </is>
      </c>
      <c r="B811" s="1" t="n">
        <v>45715.61523148148</v>
      </c>
      <c r="C811" s="1" t="n">
        <v>46090</v>
      </c>
      <c r="D811" t="inlineStr">
        <is>
          <t>JÄMTLANDS LÄN</t>
        </is>
      </c>
      <c r="E811" t="inlineStr">
        <is>
          <t>RAGUNDA</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53211-2025</t>
        </is>
      </c>
      <c r="B812" s="1" t="n">
        <v>45958.59490740741</v>
      </c>
      <c r="C812" s="1" t="n">
        <v>46090</v>
      </c>
      <c r="D812" t="inlineStr">
        <is>
          <t>JÄMTLANDS LÄN</t>
        </is>
      </c>
      <c r="E812" t="inlineStr">
        <is>
          <t>RAGUNDA</t>
        </is>
      </c>
      <c r="F812" t="inlineStr">
        <is>
          <t>SCA</t>
        </is>
      </c>
      <c r="G812" t="n">
        <v>7.4</v>
      </c>
      <c r="H812" t="n">
        <v>0</v>
      </c>
      <c r="I812" t="n">
        <v>0</v>
      </c>
      <c r="J812" t="n">
        <v>0</v>
      </c>
      <c r="K812" t="n">
        <v>0</v>
      </c>
      <c r="L812" t="n">
        <v>0</v>
      </c>
      <c r="M812" t="n">
        <v>0</v>
      </c>
      <c r="N812" t="n">
        <v>0</v>
      </c>
      <c r="O812" t="n">
        <v>0</v>
      </c>
      <c r="P812" t="n">
        <v>0</v>
      </c>
      <c r="Q812" t="n">
        <v>0</v>
      </c>
      <c r="R812" s="2" t="inlineStr"/>
    </row>
    <row r="813" ht="15" customHeight="1">
      <c r="A813" t="inlineStr">
        <is>
          <t>A 21661-2023</t>
        </is>
      </c>
      <c r="B813" s="1" t="n">
        <v>45063</v>
      </c>
      <c r="C813" s="1" t="n">
        <v>46090</v>
      </c>
      <c r="D813" t="inlineStr">
        <is>
          <t>JÄMTLANDS LÄN</t>
        </is>
      </c>
      <c r="E813" t="inlineStr">
        <is>
          <t>RAGUNDA</t>
        </is>
      </c>
      <c r="G813" t="n">
        <v>1.5</v>
      </c>
      <c r="H813" t="n">
        <v>0</v>
      </c>
      <c r="I813" t="n">
        <v>0</v>
      </c>
      <c r="J813" t="n">
        <v>0</v>
      </c>
      <c r="K813" t="n">
        <v>0</v>
      </c>
      <c r="L813" t="n">
        <v>0</v>
      </c>
      <c r="M813" t="n">
        <v>0</v>
      </c>
      <c r="N813" t="n">
        <v>0</v>
      </c>
      <c r="O813" t="n">
        <v>0</v>
      </c>
      <c r="P813" t="n">
        <v>0</v>
      </c>
      <c r="Q813" t="n">
        <v>0</v>
      </c>
      <c r="R813" s="2" t="inlineStr"/>
    </row>
    <row r="814" ht="15" customHeight="1">
      <c r="A814" t="inlineStr">
        <is>
          <t>A 53032-2025</t>
        </is>
      </c>
      <c r="B814" s="1" t="n">
        <v>45958.34462962963</v>
      </c>
      <c r="C814" s="1" t="n">
        <v>46090</v>
      </c>
      <c r="D814" t="inlineStr">
        <is>
          <t>JÄMTLANDS LÄN</t>
        </is>
      </c>
      <c r="E814" t="inlineStr">
        <is>
          <t>RAGUNDA</t>
        </is>
      </c>
      <c r="G814" t="n">
        <v>2.6</v>
      </c>
      <c r="H814" t="n">
        <v>0</v>
      </c>
      <c r="I814" t="n">
        <v>0</v>
      </c>
      <c r="J814" t="n">
        <v>0</v>
      </c>
      <c r="K814" t="n">
        <v>0</v>
      </c>
      <c r="L814" t="n">
        <v>0</v>
      </c>
      <c r="M814" t="n">
        <v>0</v>
      </c>
      <c r="N814" t="n">
        <v>0</v>
      </c>
      <c r="O814" t="n">
        <v>0</v>
      </c>
      <c r="P814" t="n">
        <v>0</v>
      </c>
      <c r="Q814" t="n">
        <v>0</v>
      </c>
      <c r="R814" s="2" t="inlineStr"/>
    </row>
    <row r="815" ht="15" customHeight="1">
      <c r="A815" t="inlineStr">
        <is>
          <t>A 53075-2025</t>
        </is>
      </c>
      <c r="B815" s="1" t="n">
        <v>45958.38584490741</v>
      </c>
      <c r="C815" s="1" t="n">
        <v>46090</v>
      </c>
      <c r="D815" t="inlineStr">
        <is>
          <t>JÄMTLANDS LÄN</t>
        </is>
      </c>
      <c r="E815" t="inlineStr">
        <is>
          <t>RAGUNDA</t>
        </is>
      </c>
      <c r="F815" t="inlineStr">
        <is>
          <t>SCA</t>
        </is>
      </c>
      <c r="G815" t="n">
        <v>28.9</v>
      </c>
      <c r="H815" t="n">
        <v>0</v>
      </c>
      <c r="I815" t="n">
        <v>0</v>
      </c>
      <c r="J815" t="n">
        <v>0</v>
      </c>
      <c r="K815" t="n">
        <v>0</v>
      </c>
      <c r="L815" t="n">
        <v>0</v>
      </c>
      <c r="M815" t="n">
        <v>0</v>
      </c>
      <c r="N815" t="n">
        <v>0</v>
      </c>
      <c r="O815" t="n">
        <v>0</v>
      </c>
      <c r="P815" t="n">
        <v>0</v>
      </c>
      <c r="Q815" t="n">
        <v>0</v>
      </c>
      <c r="R815" s="2" t="inlineStr"/>
    </row>
    <row r="816" ht="15" customHeight="1">
      <c r="A816" t="inlineStr">
        <is>
          <t>A 9504-2025</t>
        </is>
      </c>
      <c r="B816" s="1" t="n">
        <v>45714</v>
      </c>
      <c r="C816" s="1" t="n">
        <v>46090</v>
      </c>
      <c r="D816" t="inlineStr">
        <is>
          <t>JÄMTLANDS LÄN</t>
        </is>
      </c>
      <c r="E816" t="inlineStr">
        <is>
          <t>RAGUNDA</t>
        </is>
      </c>
      <c r="G816" t="n">
        <v>6</v>
      </c>
      <c r="H816" t="n">
        <v>0</v>
      </c>
      <c r="I816" t="n">
        <v>0</v>
      </c>
      <c r="J816" t="n">
        <v>0</v>
      </c>
      <c r="K816" t="n">
        <v>0</v>
      </c>
      <c r="L816" t="n">
        <v>0</v>
      </c>
      <c r="M816" t="n">
        <v>0</v>
      </c>
      <c r="N816" t="n">
        <v>0</v>
      </c>
      <c r="O816" t="n">
        <v>0</v>
      </c>
      <c r="P816" t="n">
        <v>0</v>
      </c>
      <c r="Q816" t="n">
        <v>0</v>
      </c>
      <c r="R816" s="2" t="inlineStr"/>
    </row>
    <row r="817" ht="15" customHeight="1">
      <c r="A817" t="inlineStr">
        <is>
          <t>A 52578-2025</t>
        </is>
      </c>
      <c r="B817" s="1" t="n">
        <v>45954.61508101852</v>
      </c>
      <c r="C817" s="1" t="n">
        <v>46090</v>
      </c>
      <c r="D817" t="inlineStr">
        <is>
          <t>JÄMTLANDS LÄN</t>
        </is>
      </c>
      <c r="E817" t="inlineStr">
        <is>
          <t>RAGUNDA</t>
        </is>
      </c>
      <c r="F817" t="inlineStr">
        <is>
          <t>SCA</t>
        </is>
      </c>
      <c r="G817" t="n">
        <v>25.2</v>
      </c>
      <c r="H817" t="n">
        <v>0</v>
      </c>
      <c r="I817" t="n">
        <v>0</v>
      </c>
      <c r="J817" t="n">
        <v>0</v>
      </c>
      <c r="K817" t="n">
        <v>0</v>
      </c>
      <c r="L817" t="n">
        <v>0</v>
      </c>
      <c r="M817" t="n">
        <v>0</v>
      </c>
      <c r="N817" t="n">
        <v>0</v>
      </c>
      <c r="O817" t="n">
        <v>0</v>
      </c>
      <c r="P817" t="n">
        <v>0</v>
      </c>
      <c r="Q817" t="n">
        <v>0</v>
      </c>
      <c r="R817" s="2" t="inlineStr"/>
    </row>
    <row r="818" ht="15" customHeight="1">
      <c r="A818" t="inlineStr">
        <is>
          <t>A 9537-2026</t>
        </is>
      </c>
      <c r="B818" s="1" t="n">
        <v>46071.61503472222</v>
      </c>
      <c r="C818" s="1" t="n">
        <v>46090</v>
      </c>
      <c r="D818" t="inlineStr">
        <is>
          <t>JÄMTLANDS LÄN</t>
        </is>
      </c>
      <c r="E818" t="inlineStr">
        <is>
          <t>RAGUNDA</t>
        </is>
      </c>
      <c r="G818" t="n">
        <v>0.7</v>
      </c>
      <c r="H818" t="n">
        <v>0</v>
      </c>
      <c r="I818" t="n">
        <v>0</v>
      </c>
      <c r="J818" t="n">
        <v>0</v>
      </c>
      <c r="K818" t="n">
        <v>0</v>
      </c>
      <c r="L818" t="n">
        <v>0</v>
      </c>
      <c r="M818" t="n">
        <v>0</v>
      </c>
      <c r="N818" t="n">
        <v>0</v>
      </c>
      <c r="O818" t="n">
        <v>0</v>
      </c>
      <c r="P818" t="n">
        <v>0</v>
      </c>
      <c r="Q818" t="n">
        <v>0</v>
      </c>
      <c r="R818" s="2" t="inlineStr"/>
    </row>
    <row r="819" ht="15" customHeight="1">
      <c r="A819" t="inlineStr">
        <is>
          <t>A 53076-2025</t>
        </is>
      </c>
      <c r="B819" s="1" t="n">
        <v>45958.38604166666</v>
      </c>
      <c r="C819" s="1" t="n">
        <v>46090</v>
      </c>
      <c r="D819" t="inlineStr">
        <is>
          <t>JÄMTLANDS LÄN</t>
        </is>
      </c>
      <c r="E819" t="inlineStr">
        <is>
          <t>RAGUNDA</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25304-2023</t>
        </is>
      </c>
      <c r="B820" s="1" t="n">
        <v>45086</v>
      </c>
      <c r="C820" s="1" t="n">
        <v>46090</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53986-2025</t>
        </is>
      </c>
      <c r="B821" s="1" t="n">
        <v>45961.57381944444</v>
      </c>
      <c r="C821" s="1" t="n">
        <v>46090</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53973-2025</t>
        </is>
      </c>
      <c r="B822" s="1" t="n">
        <v>45961.55246527777</v>
      </c>
      <c r="C822" s="1" t="n">
        <v>46090</v>
      </c>
      <c r="D822" t="inlineStr">
        <is>
          <t>JÄMTLANDS LÄN</t>
        </is>
      </c>
      <c r="E822" t="inlineStr">
        <is>
          <t>RAGUNDA</t>
        </is>
      </c>
      <c r="G822" t="n">
        <v>2.4</v>
      </c>
      <c r="H822" t="n">
        <v>0</v>
      </c>
      <c r="I822" t="n">
        <v>0</v>
      </c>
      <c r="J822" t="n">
        <v>0</v>
      </c>
      <c r="K822" t="n">
        <v>0</v>
      </c>
      <c r="L822" t="n">
        <v>0</v>
      </c>
      <c r="M822" t="n">
        <v>0</v>
      </c>
      <c r="N822" t="n">
        <v>0</v>
      </c>
      <c r="O822" t="n">
        <v>0</v>
      </c>
      <c r="P822" t="n">
        <v>0</v>
      </c>
      <c r="Q822" t="n">
        <v>0</v>
      </c>
      <c r="R822" s="2" t="inlineStr"/>
    </row>
    <row r="823" ht="15" customHeight="1">
      <c r="A823" t="inlineStr">
        <is>
          <t>A 53549-2025</t>
        </is>
      </c>
      <c r="B823" s="1" t="n">
        <v>45960.38576388889</v>
      </c>
      <c r="C823" s="1" t="n">
        <v>46090</v>
      </c>
      <c r="D823" t="inlineStr">
        <is>
          <t>JÄMTLANDS LÄN</t>
        </is>
      </c>
      <c r="E823" t="inlineStr">
        <is>
          <t>RAGUNDA</t>
        </is>
      </c>
      <c r="G823" t="n">
        <v>5.4</v>
      </c>
      <c r="H823" t="n">
        <v>0</v>
      </c>
      <c r="I823" t="n">
        <v>0</v>
      </c>
      <c r="J823" t="n">
        <v>0</v>
      </c>
      <c r="K823" t="n">
        <v>0</v>
      </c>
      <c r="L823" t="n">
        <v>0</v>
      </c>
      <c r="M823" t="n">
        <v>0</v>
      </c>
      <c r="N823" t="n">
        <v>0</v>
      </c>
      <c r="O823" t="n">
        <v>0</v>
      </c>
      <c r="P823" t="n">
        <v>0</v>
      </c>
      <c r="Q823" t="n">
        <v>0</v>
      </c>
      <c r="R823" s="2" t="inlineStr"/>
    </row>
    <row r="824" ht="15" customHeight="1">
      <c r="A824" t="inlineStr">
        <is>
          <t>A 53975-2025</t>
        </is>
      </c>
      <c r="B824" s="1" t="n">
        <v>45961.55277777778</v>
      </c>
      <c r="C824" s="1" t="n">
        <v>46090</v>
      </c>
      <c r="D824" t="inlineStr">
        <is>
          <t>JÄMTLANDS LÄN</t>
        </is>
      </c>
      <c r="E824" t="inlineStr">
        <is>
          <t>RAGUNDA</t>
        </is>
      </c>
      <c r="F824" t="inlineStr">
        <is>
          <t>SCA</t>
        </is>
      </c>
      <c r="G824" t="n">
        <v>21.9</v>
      </c>
      <c r="H824" t="n">
        <v>0</v>
      </c>
      <c r="I824" t="n">
        <v>0</v>
      </c>
      <c r="J824" t="n">
        <v>0</v>
      </c>
      <c r="K824" t="n">
        <v>0</v>
      </c>
      <c r="L824" t="n">
        <v>0</v>
      </c>
      <c r="M824" t="n">
        <v>0</v>
      </c>
      <c r="N824" t="n">
        <v>0</v>
      </c>
      <c r="O824" t="n">
        <v>0</v>
      </c>
      <c r="P824" t="n">
        <v>0</v>
      </c>
      <c r="Q824" t="n">
        <v>0</v>
      </c>
      <c r="R824" s="2" t="inlineStr"/>
    </row>
    <row r="825" ht="15" customHeight="1">
      <c r="A825" t="inlineStr">
        <is>
          <t>A 53726-2025</t>
        </is>
      </c>
      <c r="B825" s="1" t="n">
        <v>45960.63597222222</v>
      </c>
      <c r="C825" s="1" t="n">
        <v>46090</v>
      </c>
      <c r="D825" t="inlineStr">
        <is>
          <t>JÄMTLANDS LÄN</t>
        </is>
      </c>
      <c r="E825" t="inlineStr">
        <is>
          <t>RAGUNDA</t>
        </is>
      </c>
      <c r="F825" t="inlineStr">
        <is>
          <t>SCA</t>
        </is>
      </c>
      <c r="G825" t="n">
        <v>10.9</v>
      </c>
      <c r="H825" t="n">
        <v>0</v>
      </c>
      <c r="I825" t="n">
        <v>0</v>
      </c>
      <c r="J825" t="n">
        <v>0</v>
      </c>
      <c r="K825" t="n">
        <v>0</v>
      </c>
      <c r="L825" t="n">
        <v>0</v>
      </c>
      <c r="M825" t="n">
        <v>0</v>
      </c>
      <c r="N825" t="n">
        <v>0</v>
      </c>
      <c r="O825" t="n">
        <v>0</v>
      </c>
      <c r="P825" t="n">
        <v>0</v>
      </c>
      <c r="Q825" t="n">
        <v>0</v>
      </c>
      <c r="R825" s="2" t="inlineStr"/>
    </row>
    <row r="826" ht="15" customHeight="1">
      <c r="A826" t="inlineStr">
        <is>
          <t>A 53748-2025</t>
        </is>
      </c>
      <c r="B826" s="1" t="n">
        <v>45960.65673611111</v>
      </c>
      <c r="C826" s="1" t="n">
        <v>46090</v>
      </c>
      <c r="D826" t="inlineStr">
        <is>
          <t>JÄMTLANDS LÄN</t>
        </is>
      </c>
      <c r="E826" t="inlineStr">
        <is>
          <t>RAGUNDA</t>
        </is>
      </c>
      <c r="F826" t="inlineStr">
        <is>
          <t>SCA</t>
        </is>
      </c>
      <c r="G826" t="n">
        <v>14.9</v>
      </c>
      <c r="H826" t="n">
        <v>0</v>
      </c>
      <c r="I826" t="n">
        <v>0</v>
      </c>
      <c r="J826" t="n">
        <v>0</v>
      </c>
      <c r="K826" t="n">
        <v>0</v>
      </c>
      <c r="L826" t="n">
        <v>0</v>
      </c>
      <c r="M826" t="n">
        <v>0</v>
      </c>
      <c r="N826" t="n">
        <v>0</v>
      </c>
      <c r="O826" t="n">
        <v>0</v>
      </c>
      <c r="P826" t="n">
        <v>0</v>
      </c>
      <c r="Q826" t="n">
        <v>0</v>
      </c>
      <c r="R826" s="2" t="inlineStr"/>
    </row>
    <row r="827" ht="15" customHeight="1">
      <c r="A827" t="inlineStr">
        <is>
          <t>A 10090-2026</t>
        </is>
      </c>
      <c r="B827" s="1" t="n">
        <v>46073.69875</v>
      </c>
      <c r="C827" s="1" t="n">
        <v>46090</v>
      </c>
      <c r="D827" t="inlineStr">
        <is>
          <t>JÄMTLANDS LÄN</t>
        </is>
      </c>
      <c r="E827" t="inlineStr">
        <is>
          <t>RAGUNDA</t>
        </is>
      </c>
      <c r="G827" t="n">
        <v>0.8</v>
      </c>
      <c r="H827" t="n">
        <v>0</v>
      </c>
      <c r="I827" t="n">
        <v>0</v>
      </c>
      <c r="J827" t="n">
        <v>0</v>
      </c>
      <c r="K827" t="n">
        <v>0</v>
      </c>
      <c r="L827" t="n">
        <v>0</v>
      </c>
      <c r="M827" t="n">
        <v>0</v>
      </c>
      <c r="N827" t="n">
        <v>0</v>
      </c>
      <c r="O827" t="n">
        <v>0</v>
      </c>
      <c r="P827" t="n">
        <v>0</v>
      </c>
      <c r="Q827" t="n">
        <v>0</v>
      </c>
      <c r="R827" s="2" t="inlineStr"/>
    </row>
    <row r="828" ht="15" customHeight="1">
      <c r="A828" t="inlineStr">
        <is>
          <t>A 69153-2021</t>
        </is>
      </c>
      <c r="B828" s="1" t="n">
        <v>44530.94694444445</v>
      </c>
      <c r="C828" s="1" t="n">
        <v>46090</v>
      </c>
      <c r="D828" t="inlineStr">
        <is>
          <t>JÄMTLANDS LÄN</t>
        </is>
      </c>
      <c r="E828" t="inlineStr">
        <is>
          <t>RAGUNDA</t>
        </is>
      </c>
      <c r="F828" t="inlineStr">
        <is>
          <t>SCA</t>
        </is>
      </c>
      <c r="G828" t="n">
        <v>5</v>
      </c>
      <c r="H828" t="n">
        <v>0</v>
      </c>
      <c r="I828" t="n">
        <v>0</v>
      </c>
      <c r="J828" t="n">
        <v>0</v>
      </c>
      <c r="K828" t="n">
        <v>0</v>
      </c>
      <c r="L828" t="n">
        <v>0</v>
      </c>
      <c r="M828" t="n">
        <v>0</v>
      </c>
      <c r="N828" t="n">
        <v>0</v>
      </c>
      <c r="O828" t="n">
        <v>0</v>
      </c>
      <c r="P828" t="n">
        <v>0</v>
      </c>
      <c r="Q828" t="n">
        <v>0</v>
      </c>
      <c r="R828" s="2" t="inlineStr"/>
    </row>
    <row r="829" ht="15" customHeight="1">
      <c r="A829" t="inlineStr">
        <is>
          <t>A 53765-2025</t>
        </is>
      </c>
      <c r="B829" s="1" t="n">
        <v>45960.67753472222</v>
      </c>
      <c r="C829" s="1" t="n">
        <v>46090</v>
      </c>
      <c r="D829" t="inlineStr">
        <is>
          <t>JÄMTLANDS LÄN</t>
        </is>
      </c>
      <c r="E829" t="inlineStr">
        <is>
          <t>RAGUNDA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53951-2025</t>
        </is>
      </c>
      <c r="B830" s="1" t="n">
        <v>45961.50200231482</v>
      </c>
      <c r="C830" s="1" t="n">
        <v>46090</v>
      </c>
      <c r="D830" t="inlineStr">
        <is>
          <t>JÄMTLANDS LÄN</t>
        </is>
      </c>
      <c r="E830" t="inlineStr">
        <is>
          <t>RAGUNDA</t>
        </is>
      </c>
      <c r="G830" t="n">
        <v>1.8</v>
      </c>
      <c r="H830" t="n">
        <v>0</v>
      </c>
      <c r="I830" t="n">
        <v>0</v>
      </c>
      <c r="J830" t="n">
        <v>0</v>
      </c>
      <c r="K830" t="n">
        <v>0</v>
      </c>
      <c r="L830" t="n">
        <v>0</v>
      </c>
      <c r="M830" t="n">
        <v>0</v>
      </c>
      <c r="N830" t="n">
        <v>0</v>
      </c>
      <c r="O830" t="n">
        <v>0</v>
      </c>
      <c r="P830" t="n">
        <v>0</v>
      </c>
      <c r="Q830" t="n">
        <v>0</v>
      </c>
      <c r="R830" s="2" t="inlineStr"/>
    </row>
    <row r="831" ht="15" customHeight="1">
      <c r="A831" t="inlineStr">
        <is>
          <t>A 53948-2025</t>
        </is>
      </c>
      <c r="B831" s="1" t="n">
        <v>45961.50033564815</v>
      </c>
      <c r="C831" s="1" t="n">
        <v>46090</v>
      </c>
      <c r="D831" t="inlineStr">
        <is>
          <t>JÄMTLANDS LÄN</t>
        </is>
      </c>
      <c r="E831" t="inlineStr">
        <is>
          <t>RAGUNDA</t>
        </is>
      </c>
      <c r="G831" t="n">
        <v>7.9</v>
      </c>
      <c r="H831" t="n">
        <v>0</v>
      </c>
      <c r="I831" t="n">
        <v>0</v>
      </c>
      <c r="J831" t="n">
        <v>0</v>
      </c>
      <c r="K831" t="n">
        <v>0</v>
      </c>
      <c r="L831" t="n">
        <v>0</v>
      </c>
      <c r="M831" t="n">
        <v>0</v>
      </c>
      <c r="N831" t="n">
        <v>0</v>
      </c>
      <c r="O831" t="n">
        <v>0</v>
      </c>
      <c r="P831" t="n">
        <v>0</v>
      </c>
      <c r="Q831" t="n">
        <v>0</v>
      </c>
      <c r="R831" s="2" t="inlineStr"/>
    </row>
    <row r="832" ht="15" customHeight="1">
      <c r="A832" t="inlineStr">
        <is>
          <t>A 12585-2024</t>
        </is>
      </c>
      <c r="B832" s="1" t="n">
        <v>45379.93637731481</v>
      </c>
      <c r="C832" s="1" t="n">
        <v>46090</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55489-2024</t>
        </is>
      </c>
      <c r="B833" s="1" t="n">
        <v>45622.44774305556</v>
      </c>
      <c r="C833" s="1" t="n">
        <v>46090</v>
      </c>
      <c r="D833" t="inlineStr">
        <is>
          <t>JÄMTLANDS LÄN</t>
        </is>
      </c>
      <c r="E833" t="inlineStr">
        <is>
          <t>RAGUNDA</t>
        </is>
      </c>
      <c r="G833" t="n">
        <v>1.6</v>
      </c>
      <c r="H833" t="n">
        <v>0</v>
      </c>
      <c r="I833" t="n">
        <v>0</v>
      </c>
      <c r="J833" t="n">
        <v>0</v>
      </c>
      <c r="K833" t="n">
        <v>0</v>
      </c>
      <c r="L833" t="n">
        <v>0</v>
      </c>
      <c r="M833" t="n">
        <v>0</v>
      </c>
      <c r="N833" t="n">
        <v>0</v>
      </c>
      <c r="O833" t="n">
        <v>0</v>
      </c>
      <c r="P833" t="n">
        <v>0</v>
      </c>
      <c r="Q833" t="n">
        <v>0</v>
      </c>
      <c r="R833" s="2" t="inlineStr"/>
    </row>
    <row r="834" ht="15" customHeight="1">
      <c r="A834" t="inlineStr">
        <is>
          <t>A 18631-2024</t>
        </is>
      </c>
      <c r="B834" s="1" t="n">
        <v>45425.96494212963</v>
      </c>
      <c r="C834" s="1" t="n">
        <v>46090</v>
      </c>
      <c r="D834" t="inlineStr">
        <is>
          <t>JÄMTLANDS LÄN</t>
        </is>
      </c>
      <c r="E834" t="inlineStr">
        <is>
          <t>RAGUNDA</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54195-2025</t>
        </is>
      </c>
      <c r="B835" s="1" t="n">
        <v>45964.57413194444</v>
      </c>
      <c r="C835" s="1" t="n">
        <v>46090</v>
      </c>
      <c r="D835" t="inlineStr">
        <is>
          <t>JÄMTLANDS LÄN</t>
        </is>
      </c>
      <c r="E835" t="inlineStr">
        <is>
          <t>RAGUNDA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26646-2023</t>
        </is>
      </c>
      <c r="B836" s="1" t="n">
        <v>45092</v>
      </c>
      <c r="C836" s="1" t="n">
        <v>46090</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43405-2023</t>
        </is>
      </c>
      <c r="B837" s="1" t="n">
        <v>45183.95563657407</v>
      </c>
      <c r="C837" s="1" t="n">
        <v>46090</v>
      </c>
      <c r="D837" t="inlineStr">
        <is>
          <t>JÄMTLANDS LÄN</t>
        </is>
      </c>
      <c r="E837" t="inlineStr">
        <is>
          <t>RAGUNDA</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59496-2024</t>
        </is>
      </c>
      <c r="B838" s="1" t="n">
        <v>45638</v>
      </c>
      <c r="C838" s="1" t="n">
        <v>46090</v>
      </c>
      <c r="D838" t="inlineStr">
        <is>
          <t>JÄMTLANDS LÄN</t>
        </is>
      </c>
      <c r="E838" t="inlineStr">
        <is>
          <t>RAGUNDA</t>
        </is>
      </c>
      <c r="G838" t="n">
        <v>13.1</v>
      </c>
      <c r="H838" t="n">
        <v>0</v>
      </c>
      <c r="I838" t="n">
        <v>0</v>
      </c>
      <c r="J838" t="n">
        <v>0</v>
      </c>
      <c r="K838" t="n">
        <v>0</v>
      </c>
      <c r="L838" t="n">
        <v>0</v>
      </c>
      <c r="M838" t="n">
        <v>0</v>
      </c>
      <c r="N838" t="n">
        <v>0</v>
      </c>
      <c r="O838" t="n">
        <v>0</v>
      </c>
      <c r="P838" t="n">
        <v>0</v>
      </c>
      <c r="Q838" t="n">
        <v>0</v>
      </c>
      <c r="R838" s="2" t="inlineStr"/>
    </row>
    <row r="839" ht="15" customHeight="1">
      <c r="A839" t="inlineStr">
        <is>
          <t>A 54396-2025</t>
        </is>
      </c>
      <c r="B839" s="1" t="n">
        <v>45965.44849537037</v>
      </c>
      <c r="C839" s="1" t="n">
        <v>46090</v>
      </c>
      <c r="D839" t="inlineStr">
        <is>
          <t>JÄMTLANDS LÄN</t>
        </is>
      </c>
      <c r="E839" t="inlineStr">
        <is>
          <t>RAGUNDA</t>
        </is>
      </c>
      <c r="F839" t="inlineStr">
        <is>
          <t>SCA</t>
        </is>
      </c>
      <c r="G839" t="n">
        <v>35.2</v>
      </c>
      <c r="H839" t="n">
        <v>0</v>
      </c>
      <c r="I839" t="n">
        <v>0</v>
      </c>
      <c r="J839" t="n">
        <v>0</v>
      </c>
      <c r="K839" t="n">
        <v>0</v>
      </c>
      <c r="L839" t="n">
        <v>0</v>
      </c>
      <c r="M839" t="n">
        <v>0</v>
      </c>
      <c r="N839" t="n">
        <v>0</v>
      </c>
      <c r="O839" t="n">
        <v>0</v>
      </c>
      <c r="P839" t="n">
        <v>0</v>
      </c>
      <c r="Q839" t="n">
        <v>0</v>
      </c>
      <c r="R839" s="2" t="inlineStr"/>
    </row>
    <row r="840" ht="15" customHeight="1">
      <c r="A840" t="inlineStr">
        <is>
          <t>A 62106-2023</t>
        </is>
      </c>
      <c r="B840" s="1" t="n">
        <v>45266.95082175926</v>
      </c>
      <c r="C840" s="1" t="n">
        <v>46090</v>
      </c>
      <c r="D840" t="inlineStr">
        <is>
          <t>JÄMTLANDS LÄN</t>
        </is>
      </c>
      <c r="E840" t="inlineStr">
        <is>
          <t>RAGUNDA</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18781-2024</t>
        </is>
      </c>
      <c r="B841" s="1" t="n">
        <v>45426</v>
      </c>
      <c r="C841" s="1" t="n">
        <v>46090</v>
      </c>
      <c r="D841" t="inlineStr">
        <is>
          <t>JÄMTLANDS LÄN</t>
        </is>
      </c>
      <c r="E841" t="inlineStr">
        <is>
          <t>RAGUNDA</t>
        </is>
      </c>
      <c r="G841" t="n">
        <v>0.9</v>
      </c>
      <c r="H841" t="n">
        <v>0</v>
      </c>
      <c r="I841" t="n">
        <v>0</v>
      </c>
      <c r="J841" t="n">
        <v>0</v>
      </c>
      <c r="K841" t="n">
        <v>0</v>
      </c>
      <c r="L841" t="n">
        <v>0</v>
      </c>
      <c r="M841" t="n">
        <v>0</v>
      </c>
      <c r="N841" t="n">
        <v>0</v>
      </c>
      <c r="O841" t="n">
        <v>0</v>
      </c>
      <c r="P841" t="n">
        <v>0</v>
      </c>
      <c r="Q841" t="n">
        <v>0</v>
      </c>
      <c r="R841" s="2" t="inlineStr"/>
    </row>
    <row r="842" ht="15" customHeight="1">
      <c r="A842" t="inlineStr">
        <is>
          <t>A 62081-2022</t>
        </is>
      </c>
      <c r="B842" s="1" t="n">
        <v>44918</v>
      </c>
      <c r="C842" s="1" t="n">
        <v>46090</v>
      </c>
      <c r="D842" t="inlineStr">
        <is>
          <t>JÄMTLANDS LÄN</t>
        </is>
      </c>
      <c r="E842" t="inlineStr">
        <is>
          <t>RAGUNDA</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54794-2025</t>
        </is>
      </c>
      <c r="B843" s="1" t="n">
        <v>45966.63592592593</v>
      </c>
      <c r="C843" s="1" t="n">
        <v>46090</v>
      </c>
      <c r="D843" t="inlineStr">
        <is>
          <t>JÄMTLANDS LÄN</t>
        </is>
      </c>
      <c r="E843" t="inlineStr">
        <is>
          <t>RAGUNDA</t>
        </is>
      </c>
      <c r="G843" t="n">
        <v>4</v>
      </c>
      <c r="H843" t="n">
        <v>0</v>
      </c>
      <c r="I843" t="n">
        <v>0</v>
      </c>
      <c r="J843" t="n">
        <v>0</v>
      </c>
      <c r="K843" t="n">
        <v>0</v>
      </c>
      <c r="L843" t="n">
        <v>0</v>
      </c>
      <c r="M843" t="n">
        <v>0</v>
      </c>
      <c r="N843" t="n">
        <v>0</v>
      </c>
      <c r="O843" t="n">
        <v>0</v>
      </c>
      <c r="P843" t="n">
        <v>0</v>
      </c>
      <c r="Q843" t="n">
        <v>0</v>
      </c>
      <c r="R843" s="2" t="inlineStr"/>
    </row>
    <row r="844" ht="15" customHeight="1">
      <c r="A844" t="inlineStr">
        <is>
          <t>A 30826-2023</t>
        </is>
      </c>
      <c r="B844" s="1" t="n">
        <v>45112</v>
      </c>
      <c r="C844" s="1" t="n">
        <v>46090</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53263-2024</t>
        </is>
      </c>
      <c r="B845" s="1" t="n">
        <v>45614.34541666666</v>
      </c>
      <c r="C845" s="1" t="n">
        <v>46090</v>
      </c>
      <c r="D845" t="inlineStr">
        <is>
          <t>JÄMTLANDS LÄN</t>
        </is>
      </c>
      <c r="E845" t="inlineStr">
        <is>
          <t>RAGUNDA</t>
        </is>
      </c>
      <c r="G845" t="n">
        <v>1.9</v>
      </c>
      <c r="H845" t="n">
        <v>0</v>
      </c>
      <c r="I845" t="n">
        <v>0</v>
      </c>
      <c r="J845" t="n">
        <v>0</v>
      </c>
      <c r="K845" t="n">
        <v>0</v>
      </c>
      <c r="L845" t="n">
        <v>0</v>
      </c>
      <c r="M845" t="n">
        <v>0</v>
      </c>
      <c r="N845" t="n">
        <v>0</v>
      </c>
      <c r="O845" t="n">
        <v>0</v>
      </c>
      <c r="P845" t="n">
        <v>0</v>
      </c>
      <c r="Q845" t="n">
        <v>0</v>
      </c>
      <c r="R845" s="2" t="inlineStr"/>
    </row>
    <row r="846" ht="15" customHeight="1">
      <c r="A846" t="inlineStr">
        <is>
          <t>A 26645-2024</t>
        </is>
      </c>
      <c r="B846" s="1" t="n">
        <v>45469.94667824074</v>
      </c>
      <c r="C846" s="1" t="n">
        <v>46090</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54820-2025</t>
        </is>
      </c>
      <c r="B847" s="1" t="n">
        <v>45966.65728009259</v>
      </c>
      <c r="C847" s="1" t="n">
        <v>46090</v>
      </c>
      <c r="D847" t="inlineStr">
        <is>
          <t>JÄMTLANDS LÄN</t>
        </is>
      </c>
      <c r="E847" t="inlineStr">
        <is>
          <t>RAGUNDA</t>
        </is>
      </c>
      <c r="G847" t="n">
        <v>15.3</v>
      </c>
      <c r="H847" t="n">
        <v>0</v>
      </c>
      <c r="I847" t="n">
        <v>0</v>
      </c>
      <c r="J847" t="n">
        <v>0</v>
      </c>
      <c r="K847" t="n">
        <v>0</v>
      </c>
      <c r="L847" t="n">
        <v>0</v>
      </c>
      <c r="M847" t="n">
        <v>0</v>
      </c>
      <c r="N847" t="n">
        <v>0</v>
      </c>
      <c r="O847" t="n">
        <v>0</v>
      </c>
      <c r="P847" t="n">
        <v>0</v>
      </c>
      <c r="Q847" t="n">
        <v>0</v>
      </c>
      <c r="R847" s="2" t="inlineStr"/>
    </row>
    <row r="848" ht="15" customHeight="1">
      <c r="A848" t="inlineStr">
        <is>
          <t>A 9736-2026</t>
        </is>
      </c>
      <c r="B848" s="1" t="n">
        <v>46072.49005787037</v>
      </c>
      <c r="C848" s="1" t="n">
        <v>46090</v>
      </c>
      <c r="D848" t="inlineStr">
        <is>
          <t>JÄMTLANDS LÄN</t>
        </is>
      </c>
      <c r="E848" t="inlineStr">
        <is>
          <t>RAGUNDA</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893-2025</t>
        </is>
      </c>
      <c r="B849" s="1" t="n">
        <v>45665.65684027778</v>
      </c>
      <c r="C849" s="1" t="n">
        <v>46090</v>
      </c>
      <c r="D849" t="inlineStr">
        <is>
          <t>JÄMTLANDS LÄN</t>
        </is>
      </c>
      <c r="E849" t="inlineStr">
        <is>
          <t>RAGUNDA</t>
        </is>
      </c>
      <c r="F849" t="inlineStr">
        <is>
          <t>SCA</t>
        </is>
      </c>
      <c r="G849" t="n">
        <v>45.1</v>
      </c>
      <c r="H849" t="n">
        <v>0</v>
      </c>
      <c r="I849" t="n">
        <v>0</v>
      </c>
      <c r="J849" t="n">
        <v>0</v>
      </c>
      <c r="K849" t="n">
        <v>0</v>
      </c>
      <c r="L849" t="n">
        <v>0</v>
      </c>
      <c r="M849" t="n">
        <v>0</v>
      </c>
      <c r="N849" t="n">
        <v>0</v>
      </c>
      <c r="O849" t="n">
        <v>0</v>
      </c>
      <c r="P849" t="n">
        <v>0</v>
      </c>
      <c r="Q849" t="n">
        <v>0</v>
      </c>
      <c r="R849" s="2" t="inlineStr"/>
    </row>
    <row r="850" ht="15" customHeight="1">
      <c r="A850" t="inlineStr">
        <is>
          <t>A 58909-2025</t>
        </is>
      </c>
      <c r="B850" s="1" t="n">
        <v>45987</v>
      </c>
      <c r="C850" s="1" t="n">
        <v>46090</v>
      </c>
      <c r="D850" t="inlineStr">
        <is>
          <t>JÄMTLANDS LÄN</t>
        </is>
      </c>
      <c r="E850" t="inlineStr">
        <is>
          <t>RAGUNDA</t>
        </is>
      </c>
      <c r="G850" t="n">
        <v>9.5</v>
      </c>
      <c r="H850" t="n">
        <v>0</v>
      </c>
      <c r="I850" t="n">
        <v>0</v>
      </c>
      <c r="J850" t="n">
        <v>0</v>
      </c>
      <c r="K850" t="n">
        <v>0</v>
      </c>
      <c r="L850" t="n">
        <v>0</v>
      </c>
      <c r="M850" t="n">
        <v>0</v>
      </c>
      <c r="N850" t="n">
        <v>0</v>
      </c>
      <c r="O850" t="n">
        <v>0</v>
      </c>
      <c r="P850" t="n">
        <v>0</v>
      </c>
      <c r="Q850" t="n">
        <v>0</v>
      </c>
      <c r="R850" s="2" t="inlineStr"/>
    </row>
    <row r="851" ht="15" customHeight="1">
      <c r="A851" t="inlineStr">
        <is>
          <t>A 31135-2023</t>
        </is>
      </c>
      <c r="B851" s="1" t="n">
        <v>45103</v>
      </c>
      <c r="C851" s="1" t="n">
        <v>46090</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1333-2026</t>
        </is>
      </c>
      <c r="B852" s="1" t="n">
        <v>46031.57340277778</v>
      </c>
      <c r="C852" s="1" t="n">
        <v>46090</v>
      </c>
      <c r="D852" t="inlineStr">
        <is>
          <t>JÄMTLANDS LÄN</t>
        </is>
      </c>
      <c r="E852" t="inlineStr">
        <is>
          <t>RAGUNDA</t>
        </is>
      </c>
      <c r="F852" t="inlineStr">
        <is>
          <t>SCA</t>
        </is>
      </c>
      <c r="G852" t="n">
        <v>6.2</v>
      </c>
      <c r="H852" t="n">
        <v>0</v>
      </c>
      <c r="I852" t="n">
        <v>0</v>
      </c>
      <c r="J852" t="n">
        <v>0</v>
      </c>
      <c r="K852" t="n">
        <v>0</v>
      </c>
      <c r="L852" t="n">
        <v>0</v>
      </c>
      <c r="M852" t="n">
        <v>0</v>
      </c>
      <c r="N852" t="n">
        <v>0</v>
      </c>
      <c r="O852" t="n">
        <v>0</v>
      </c>
      <c r="P852" t="n">
        <v>0</v>
      </c>
      <c r="Q852" t="n">
        <v>0</v>
      </c>
      <c r="R852" s="2" t="inlineStr"/>
    </row>
    <row r="853" ht="15" customHeight="1">
      <c r="A853" t="inlineStr">
        <is>
          <t>A 10344-2026</t>
        </is>
      </c>
      <c r="B853" s="1" t="n">
        <v>46076.68523148148</v>
      </c>
      <c r="C853" s="1" t="n">
        <v>46090</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50160-2023</t>
        </is>
      </c>
      <c r="B854" s="1" t="n">
        <v>45208</v>
      </c>
      <c r="C854" s="1" t="n">
        <v>46090</v>
      </c>
      <c r="D854" t="inlineStr">
        <is>
          <t>JÄMTLANDS LÄN</t>
        </is>
      </c>
      <c r="E854" t="inlineStr">
        <is>
          <t>RAGUNDA</t>
        </is>
      </c>
      <c r="G854" t="n">
        <v>4.6</v>
      </c>
      <c r="H854" t="n">
        <v>0</v>
      </c>
      <c r="I854" t="n">
        <v>0</v>
      </c>
      <c r="J854" t="n">
        <v>0</v>
      </c>
      <c r="K854" t="n">
        <v>0</v>
      </c>
      <c r="L854" t="n">
        <v>0</v>
      </c>
      <c r="M854" t="n">
        <v>0</v>
      </c>
      <c r="N854" t="n">
        <v>0</v>
      </c>
      <c r="O854" t="n">
        <v>0</v>
      </c>
      <c r="P854" t="n">
        <v>0</v>
      </c>
      <c r="Q854" t="n">
        <v>0</v>
      </c>
      <c r="R854" s="2" t="inlineStr"/>
    </row>
    <row r="855" ht="15" customHeight="1">
      <c r="A855" t="inlineStr">
        <is>
          <t>A 43132-2023</t>
        </is>
      </c>
      <c r="B855" s="1" t="n">
        <v>45182</v>
      </c>
      <c r="C855" s="1" t="n">
        <v>46090</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50157-2023</t>
        </is>
      </c>
      <c r="B856" s="1" t="n">
        <v>45208</v>
      </c>
      <c r="C856" s="1" t="n">
        <v>46090</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56284-2023</t>
        </is>
      </c>
      <c r="B857" s="1" t="n">
        <v>45241.95724537037</v>
      </c>
      <c r="C857" s="1" t="n">
        <v>46090</v>
      </c>
      <c r="D857" t="inlineStr">
        <is>
          <t>JÄMTLANDS LÄN</t>
        </is>
      </c>
      <c r="E857" t="inlineStr">
        <is>
          <t>RAGUNDA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55897-2025</t>
        </is>
      </c>
      <c r="B858" s="1" t="n">
        <v>45973.38600694444</v>
      </c>
      <c r="C858" s="1" t="n">
        <v>46090</v>
      </c>
      <c r="D858" t="inlineStr">
        <is>
          <t>JÄMTLANDS LÄN</t>
        </is>
      </c>
      <c r="E858" t="inlineStr">
        <is>
          <t>RAGUNDA</t>
        </is>
      </c>
      <c r="F858" t="inlineStr">
        <is>
          <t>SCA</t>
        </is>
      </c>
      <c r="G858" t="n">
        <v>14.1</v>
      </c>
      <c r="H858" t="n">
        <v>0</v>
      </c>
      <c r="I858" t="n">
        <v>0</v>
      </c>
      <c r="J858" t="n">
        <v>0</v>
      </c>
      <c r="K858" t="n">
        <v>0</v>
      </c>
      <c r="L858" t="n">
        <v>0</v>
      </c>
      <c r="M858" t="n">
        <v>0</v>
      </c>
      <c r="N858" t="n">
        <v>0</v>
      </c>
      <c r="O858" t="n">
        <v>0</v>
      </c>
      <c r="P858" t="n">
        <v>0</v>
      </c>
      <c r="Q858" t="n">
        <v>0</v>
      </c>
      <c r="R858" s="2" t="inlineStr"/>
    </row>
    <row r="859" ht="15" customHeight="1">
      <c r="A859" t="inlineStr">
        <is>
          <t>A 10410-2026</t>
        </is>
      </c>
      <c r="B859" s="1" t="n">
        <v>46077.34527777778</v>
      </c>
      <c r="C859" s="1" t="n">
        <v>46090</v>
      </c>
      <c r="D859" t="inlineStr">
        <is>
          <t>JÄMTLANDS LÄN</t>
        </is>
      </c>
      <c r="E859" t="inlineStr">
        <is>
          <t>RAGUNDA</t>
        </is>
      </c>
      <c r="F859" t="inlineStr">
        <is>
          <t>SCA</t>
        </is>
      </c>
      <c r="G859" t="n">
        <v>46.5</v>
      </c>
      <c r="H859" t="n">
        <v>0</v>
      </c>
      <c r="I859" t="n">
        <v>0</v>
      </c>
      <c r="J859" t="n">
        <v>0</v>
      </c>
      <c r="K859" t="n">
        <v>0</v>
      </c>
      <c r="L859" t="n">
        <v>0</v>
      </c>
      <c r="M859" t="n">
        <v>0</v>
      </c>
      <c r="N859" t="n">
        <v>0</v>
      </c>
      <c r="O859" t="n">
        <v>0</v>
      </c>
      <c r="P859" t="n">
        <v>0</v>
      </c>
      <c r="Q859" t="n">
        <v>0</v>
      </c>
      <c r="R859" s="2" t="inlineStr"/>
    </row>
    <row r="860" ht="15" customHeight="1">
      <c r="A860" t="inlineStr">
        <is>
          <t>A 10570-2026</t>
        </is>
      </c>
      <c r="B860" s="1" t="n">
        <v>46077.6568287037</v>
      </c>
      <c r="C860" s="1" t="n">
        <v>46090</v>
      </c>
      <c r="D860" t="inlineStr">
        <is>
          <t>JÄMTLANDS LÄN</t>
        </is>
      </c>
      <c r="E860" t="inlineStr">
        <is>
          <t>RAGUNDA</t>
        </is>
      </c>
      <c r="F860" t="inlineStr">
        <is>
          <t>SCA</t>
        </is>
      </c>
      <c r="G860" t="n">
        <v>22.9</v>
      </c>
      <c r="H860" t="n">
        <v>0</v>
      </c>
      <c r="I860" t="n">
        <v>0</v>
      </c>
      <c r="J860" t="n">
        <v>0</v>
      </c>
      <c r="K860" t="n">
        <v>0</v>
      </c>
      <c r="L860" t="n">
        <v>0</v>
      </c>
      <c r="M860" t="n">
        <v>0</v>
      </c>
      <c r="N860" t="n">
        <v>0</v>
      </c>
      <c r="O860" t="n">
        <v>0</v>
      </c>
      <c r="P860" t="n">
        <v>0</v>
      </c>
      <c r="Q860" t="n">
        <v>0</v>
      </c>
      <c r="R860" s="2" t="inlineStr"/>
    </row>
    <row r="861" ht="15" customHeight="1">
      <c r="A861" t="inlineStr">
        <is>
          <t>A 61045-2022</t>
        </is>
      </c>
      <c r="B861" s="1" t="n">
        <v>44914</v>
      </c>
      <c r="C861" s="1" t="n">
        <v>46090</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56435-2025</t>
        </is>
      </c>
      <c r="B862" s="1" t="n">
        <v>45975.34679398148</v>
      </c>
      <c r="C862" s="1" t="n">
        <v>46090</v>
      </c>
      <c r="D862" t="inlineStr">
        <is>
          <t>JÄMTLANDS LÄN</t>
        </is>
      </c>
      <c r="E862" t="inlineStr">
        <is>
          <t>RAGUNDA</t>
        </is>
      </c>
      <c r="F862" t="inlineStr">
        <is>
          <t>SCA</t>
        </is>
      </c>
      <c r="G862" t="n">
        <v>9.199999999999999</v>
      </c>
      <c r="H862" t="n">
        <v>0</v>
      </c>
      <c r="I862" t="n">
        <v>0</v>
      </c>
      <c r="J862" t="n">
        <v>0</v>
      </c>
      <c r="K862" t="n">
        <v>0</v>
      </c>
      <c r="L862" t="n">
        <v>0</v>
      </c>
      <c r="M862" t="n">
        <v>0</v>
      </c>
      <c r="N862" t="n">
        <v>0</v>
      </c>
      <c r="O862" t="n">
        <v>0</v>
      </c>
      <c r="P862" t="n">
        <v>0</v>
      </c>
      <c r="Q862" t="n">
        <v>0</v>
      </c>
      <c r="R862" s="2" t="inlineStr"/>
      <c r="U862">
        <f>HYPERLINK("https://klasma.github.io/Logging_2303/knärot/A 56435-2025 karta knärot.png", "A 56435-2025")</f>
        <v/>
      </c>
      <c r="V862">
        <f>HYPERLINK("https://klasma.github.io/Logging_2303/klagomål/A 56435-2025 FSC-klagomål.docx", "A 56435-2025")</f>
        <v/>
      </c>
      <c r="W862">
        <f>HYPERLINK("https://klasma.github.io/Logging_2303/klagomålsmail/A 56435-2025 FSC-klagomål mail.docx", "A 56435-2025")</f>
        <v/>
      </c>
      <c r="X862">
        <f>HYPERLINK("https://klasma.github.io/Logging_2303/tillsyn/A 56435-2025 tillsynsbegäran.docx", "A 56435-2025")</f>
        <v/>
      </c>
      <c r="Y862">
        <f>HYPERLINK("https://klasma.github.io/Logging_2303/tillsynsmail/A 56435-2025 tillsynsbegäran mail.docx", "A 56435-2025")</f>
        <v/>
      </c>
    </row>
    <row r="863" ht="15" customHeight="1">
      <c r="A863" t="inlineStr">
        <is>
          <t>A 61197-2023</t>
        </is>
      </c>
      <c r="B863" s="1" t="n">
        <v>45260</v>
      </c>
      <c r="C863" s="1" t="n">
        <v>46090</v>
      </c>
      <c r="D863" t="inlineStr">
        <is>
          <t>JÄMTLANDS LÄN</t>
        </is>
      </c>
      <c r="E863" t="inlineStr">
        <is>
          <t>RAGUNDA</t>
        </is>
      </c>
      <c r="G863" t="n">
        <v>2.5</v>
      </c>
      <c r="H863" t="n">
        <v>0</v>
      </c>
      <c r="I863" t="n">
        <v>0</v>
      </c>
      <c r="J863" t="n">
        <v>0</v>
      </c>
      <c r="K863" t="n">
        <v>0</v>
      </c>
      <c r="L863" t="n">
        <v>0</v>
      </c>
      <c r="M863" t="n">
        <v>0</v>
      </c>
      <c r="N863" t="n">
        <v>0</v>
      </c>
      <c r="O863" t="n">
        <v>0</v>
      </c>
      <c r="P863" t="n">
        <v>0</v>
      </c>
      <c r="Q863" t="n">
        <v>0</v>
      </c>
      <c r="R863" s="2" t="inlineStr"/>
    </row>
    <row r="864" ht="15" customHeight="1">
      <c r="A864" t="inlineStr">
        <is>
          <t>A 13263-2025</t>
        </is>
      </c>
      <c r="B864" s="1" t="n">
        <v>45735.53177083333</v>
      </c>
      <c r="C864" s="1" t="n">
        <v>46090</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48066-2022</t>
        </is>
      </c>
      <c r="B865" s="1" t="n">
        <v>44855</v>
      </c>
      <c r="C865" s="1" t="n">
        <v>46090</v>
      </c>
      <c r="D865" t="inlineStr">
        <is>
          <t>JÄMTLANDS LÄN</t>
        </is>
      </c>
      <c r="E865" t="inlineStr">
        <is>
          <t>RAGUNDA</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56170-2025</t>
        </is>
      </c>
      <c r="B866" s="1" t="n">
        <v>45974.39398148148</v>
      </c>
      <c r="C866" s="1" t="n">
        <v>46090</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64415-2023</t>
        </is>
      </c>
      <c r="B867" s="1" t="n">
        <v>45280</v>
      </c>
      <c r="C867" s="1" t="n">
        <v>46090</v>
      </c>
      <c r="D867" t="inlineStr">
        <is>
          <t>JÄMTLANDS LÄN</t>
        </is>
      </c>
      <c r="E867" t="inlineStr">
        <is>
          <t>RAGUNDA</t>
        </is>
      </c>
      <c r="G867" t="n">
        <v>5.1</v>
      </c>
      <c r="H867" t="n">
        <v>0</v>
      </c>
      <c r="I867" t="n">
        <v>0</v>
      </c>
      <c r="J867" t="n">
        <v>0</v>
      </c>
      <c r="K867" t="n">
        <v>0</v>
      </c>
      <c r="L867" t="n">
        <v>0</v>
      </c>
      <c r="M867" t="n">
        <v>0</v>
      </c>
      <c r="N867" t="n">
        <v>0</v>
      </c>
      <c r="O867" t="n">
        <v>0</v>
      </c>
      <c r="P867" t="n">
        <v>0</v>
      </c>
      <c r="Q867" t="n">
        <v>0</v>
      </c>
      <c r="R867" s="2" t="inlineStr"/>
    </row>
    <row r="868" ht="15" customHeight="1">
      <c r="A868" t="inlineStr">
        <is>
          <t>A 60225-2022</t>
        </is>
      </c>
      <c r="B868" s="1" t="n">
        <v>44903</v>
      </c>
      <c r="C868" s="1" t="n">
        <v>46090</v>
      </c>
      <c r="D868" t="inlineStr">
        <is>
          <t>JÄMTLANDS LÄN</t>
        </is>
      </c>
      <c r="E868" t="inlineStr">
        <is>
          <t>RAGUNDA</t>
        </is>
      </c>
      <c r="G868" t="n">
        <v>1</v>
      </c>
      <c r="H868" t="n">
        <v>0</v>
      </c>
      <c r="I868" t="n">
        <v>0</v>
      </c>
      <c r="J868" t="n">
        <v>0</v>
      </c>
      <c r="K868" t="n">
        <v>0</v>
      </c>
      <c r="L868" t="n">
        <v>0</v>
      </c>
      <c r="M868" t="n">
        <v>0</v>
      </c>
      <c r="N868" t="n">
        <v>0</v>
      </c>
      <c r="O868" t="n">
        <v>0</v>
      </c>
      <c r="P868" t="n">
        <v>0</v>
      </c>
      <c r="Q868" t="n">
        <v>0</v>
      </c>
      <c r="R868" s="2" t="inlineStr"/>
    </row>
    <row r="869" ht="15" customHeight="1">
      <c r="A869" t="inlineStr">
        <is>
          <t>A 15864-2024</t>
        </is>
      </c>
      <c r="B869" s="1" t="n">
        <v>45404.99792824074</v>
      </c>
      <c r="C869" s="1" t="n">
        <v>46090</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c r="U869">
        <f>HYPERLINK("https://klasma.github.io/Logging_2303/knärot/A 15864-2024 karta knärot.png", "A 15864-2024")</f>
        <v/>
      </c>
      <c r="V869">
        <f>HYPERLINK("https://klasma.github.io/Logging_2303/klagomål/A 15864-2024 FSC-klagomål.docx", "A 15864-2024")</f>
        <v/>
      </c>
      <c r="W869">
        <f>HYPERLINK("https://klasma.github.io/Logging_2303/klagomålsmail/A 15864-2024 FSC-klagomål mail.docx", "A 15864-2024")</f>
        <v/>
      </c>
      <c r="X869">
        <f>HYPERLINK("https://klasma.github.io/Logging_2303/tillsyn/A 15864-2024 tillsynsbegäran.docx", "A 15864-2024")</f>
        <v/>
      </c>
      <c r="Y869">
        <f>HYPERLINK("https://klasma.github.io/Logging_2303/tillsynsmail/A 15864-2024 tillsynsbegäran mail.docx", "A 15864-2024")</f>
        <v/>
      </c>
    </row>
    <row r="870" ht="15" customHeight="1">
      <c r="A870" t="inlineStr">
        <is>
          <t>A 57749-2024</t>
        </is>
      </c>
      <c r="B870" s="1" t="n">
        <v>45630.7862037037</v>
      </c>
      <c r="C870" s="1" t="n">
        <v>46090</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24280-2021</t>
        </is>
      </c>
      <c r="B871" s="1" t="n">
        <v>44336</v>
      </c>
      <c r="C871" s="1" t="n">
        <v>46090</v>
      </c>
      <c r="D871" t="inlineStr">
        <is>
          <t>JÄMTLANDS LÄN</t>
        </is>
      </c>
      <c r="E871" t="inlineStr">
        <is>
          <t>RAGUNDA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8886-2024</t>
        </is>
      </c>
      <c r="B872" s="1" t="n">
        <v>45357.05300925926</v>
      </c>
      <c r="C872" s="1" t="n">
        <v>46090</v>
      </c>
      <c r="D872" t="inlineStr">
        <is>
          <t>JÄMTLANDS LÄN</t>
        </is>
      </c>
      <c r="E872" t="inlineStr">
        <is>
          <t>RAGUNDA</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28596-2021</t>
        </is>
      </c>
      <c r="B873" s="1" t="n">
        <v>44356</v>
      </c>
      <c r="C873" s="1" t="n">
        <v>46090</v>
      </c>
      <c r="D873" t="inlineStr">
        <is>
          <t>JÄMTLANDS LÄN</t>
        </is>
      </c>
      <c r="E873" t="inlineStr">
        <is>
          <t>RAGUNDA</t>
        </is>
      </c>
      <c r="G873" t="n">
        <v>5.4</v>
      </c>
      <c r="H873" t="n">
        <v>0</v>
      </c>
      <c r="I873" t="n">
        <v>0</v>
      </c>
      <c r="J873" t="n">
        <v>0</v>
      </c>
      <c r="K873" t="n">
        <v>0</v>
      </c>
      <c r="L873" t="n">
        <v>0</v>
      </c>
      <c r="M873" t="n">
        <v>0</v>
      </c>
      <c r="N873" t="n">
        <v>0</v>
      </c>
      <c r="O873" t="n">
        <v>0</v>
      </c>
      <c r="P873" t="n">
        <v>0</v>
      </c>
      <c r="Q873" t="n">
        <v>0</v>
      </c>
      <c r="R873" s="2" t="inlineStr"/>
    </row>
    <row r="874" ht="15" customHeight="1">
      <c r="A874" t="inlineStr">
        <is>
          <t>A 57111-2025</t>
        </is>
      </c>
      <c r="B874" s="1" t="n">
        <v>45978</v>
      </c>
      <c r="C874" s="1" t="n">
        <v>46090</v>
      </c>
      <c r="D874" t="inlineStr">
        <is>
          <t>JÄMTLANDS LÄN</t>
        </is>
      </c>
      <c r="E874" t="inlineStr">
        <is>
          <t>RAGUNDA</t>
        </is>
      </c>
      <c r="G874" t="n">
        <v>2.3</v>
      </c>
      <c r="H874" t="n">
        <v>0</v>
      </c>
      <c r="I874" t="n">
        <v>0</v>
      </c>
      <c r="J874" t="n">
        <v>0</v>
      </c>
      <c r="K874" t="n">
        <v>0</v>
      </c>
      <c r="L874" t="n">
        <v>0</v>
      </c>
      <c r="M874" t="n">
        <v>0</v>
      </c>
      <c r="N874" t="n">
        <v>0</v>
      </c>
      <c r="O874" t="n">
        <v>0</v>
      </c>
      <c r="P874" t="n">
        <v>0</v>
      </c>
      <c r="Q874" t="n">
        <v>0</v>
      </c>
      <c r="R874" s="2" t="inlineStr"/>
    </row>
    <row r="875" ht="15" customHeight="1">
      <c r="A875" t="inlineStr">
        <is>
          <t>A 57117-2025</t>
        </is>
      </c>
      <c r="B875" s="1" t="n">
        <v>45978</v>
      </c>
      <c r="C875" s="1" t="n">
        <v>46090</v>
      </c>
      <c r="D875" t="inlineStr">
        <is>
          <t>JÄMTLANDS LÄN</t>
        </is>
      </c>
      <c r="E875" t="inlineStr">
        <is>
          <t>RAGUNDA</t>
        </is>
      </c>
      <c r="G875" t="n">
        <v>4.2</v>
      </c>
      <c r="H875" t="n">
        <v>0</v>
      </c>
      <c r="I875" t="n">
        <v>0</v>
      </c>
      <c r="J875" t="n">
        <v>0</v>
      </c>
      <c r="K875" t="n">
        <v>0</v>
      </c>
      <c r="L875" t="n">
        <v>0</v>
      </c>
      <c r="M875" t="n">
        <v>0</v>
      </c>
      <c r="N875" t="n">
        <v>0</v>
      </c>
      <c r="O875" t="n">
        <v>0</v>
      </c>
      <c r="P875" t="n">
        <v>0</v>
      </c>
      <c r="Q875" t="n">
        <v>0</v>
      </c>
      <c r="R875" s="2" t="inlineStr"/>
    </row>
    <row r="876" ht="15" customHeight="1">
      <c r="A876" t="inlineStr">
        <is>
          <t>A 56751-2025</t>
        </is>
      </c>
      <c r="B876" s="1" t="n">
        <v>45978.36538194444</v>
      </c>
      <c r="C876" s="1" t="n">
        <v>46090</v>
      </c>
      <c r="D876" t="inlineStr">
        <is>
          <t>JÄMTLANDS LÄN</t>
        </is>
      </c>
      <c r="E876" t="inlineStr">
        <is>
          <t>RAGUNDA</t>
        </is>
      </c>
      <c r="F876" t="inlineStr">
        <is>
          <t>SCA</t>
        </is>
      </c>
      <c r="G876" t="n">
        <v>34.5</v>
      </c>
      <c r="H876" t="n">
        <v>0</v>
      </c>
      <c r="I876" t="n">
        <v>0</v>
      </c>
      <c r="J876" t="n">
        <v>0</v>
      </c>
      <c r="K876" t="n">
        <v>0</v>
      </c>
      <c r="L876" t="n">
        <v>0</v>
      </c>
      <c r="M876" t="n">
        <v>0</v>
      </c>
      <c r="N876" t="n">
        <v>0</v>
      </c>
      <c r="O876" t="n">
        <v>0</v>
      </c>
      <c r="P876" t="n">
        <v>0</v>
      </c>
      <c r="Q876" t="n">
        <v>0</v>
      </c>
      <c r="R876" s="2" t="inlineStr"/>
    </row>
    <row r="877" ht="15" customHeight="1">
      <c r="A877" t="inlineStr">
        <is>
          <t>A 56806-2025</t>
        </is>
      </c>
      <c r="B877" s="1" t="n">
        <v>45978.44842592593</v>
      </c>
      <c r="C877" s="1" t="n">
        <v>46090</v>
      </c>
      <c r="D877" t="inlineStr">
        <is>
          <t>JÄMTLANDS LÄN</t>
        </is>
      </c>
      <c r="E877" t="inlineStr">
        <is>
          <t>RAGUNDA</t>
        </is>
      </c>
      <c r="F877" t="inlineStr">
        <is>
          <t>SCA</t>
        </is>
      </c>
      <c r="G877" t="n">
        <v>7.5</v>
      </c>
      <c r="H877" t="n">
        <v>0</v>
      </c>
      <c r="I877" t="n">
        <v>0</v>
      </c>
      <c r="J877" t="n">
        <v>0</v>
      </c>
      <c r="K877" t="n">
        <v>0</v>
      </c>
      <c r="L877" t="n">
        <v>0</v>
      </c>
      <c r="M877" t="n">
        <v>0</v>
      </c>
      <c r="N877" t="n">
        <v>0</v>
      </c>
      <c r="O877" t="n">
        <v>0</v>
      </c>
      <c r="P877" t="n">
        <v>0</v>
      </c>
      <c r="Q877" t="n">
        <v>0</v>
      </c>
      <c r="R877" s="2" t="inlineStr"/>
    </row>
    <row r="878" ht="15" customHeight="1">
      <c r="A878" t="inlineStr">
        <is>
          <t>A 11058-2025</t>
        </is>
      </c>
      <c r="B878" s="1" t="n">
        <v>45723.51079861111</v>
      </c>
      <c r="C878" s="1" t="n">
        <v>46090</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38664-2022</t>
        </is>
      </c>
      <c r="B879" s="1" t="n">
        <v>44813</v>
      </c>
      <c r="C879" s="1" t="n">
        <v>46090</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57184-2025</t>
        </is>
      </c>
      <c r="B880" s="1" t="n">
        <v>45979.57361111111</v>
      </c>
      <c r="C880" s="1" t="n">
        <v>46090</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57561-2025</t>
        </is>
      </c>
      <c r="B881" s="1" t="n">
        <v>45980.69885416667</v>
      </c>
      <c r="C881" s="1" t="n">
        <v>46090</v>
      </c>
      <c r="D881" t="inlineStr">
        <is>
          <t>JÄMTLANDS LÄN</t>
        </is>
      </c>
      <c r="E881" t="inlineStr">
        <is>
          <t>RAGUNDA</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57332-2025</t>
        </is>
      </c>
      <c r="B882" s="1" t="n">
        <v>45980.34467592592</v>
      </c>
      <c r="C882" s="1" t="n">
        <v>46090</v>
      </c>
      <c r="D882" t="inlineStr">
        <is>
          <t>JÄMTLANDS LÄN</t>
        </is>
      </c>
      <c r="E882" t="inlineStr">
        <is>
          <t>RAGUNDA</t>
        </is>
      </c>
      <c r="F882" t="inlineStr">
        <is>
          <t>SCA</t>
        </is>
      </c>
      <c r="G882" t="n">
        <v>22.6</v>
      </c>
      <c r="H882" t="n">
        <v>0</v>
      </c>
      <c r="I882" t="n">
        <v>0</v>
      </c>
      <c r="J882" t="n">
        <v>0</v>
      </c>
      <c r="K882" t="n">
        <v>0</v>
      </c>
      <c r="L882" t="n">
        <v>0</v>
      </c>
      <c r="M882" t="n">
        <v>0</v>
      </c>
      <c r="N882" t="n">
        <v>0</v>
      </c>
      <c r="O882" t="n">
        <v>0</v>
      </c>
      <c r="P882" t="n">
        <v>0</v>
      </c>
      <c r="Q882" t="n">
        <v>0</v>
      </c>
      <c r="R882" s="2" t="inlineStr"/>
    </row>
    <row r="883" ht="15" customHeight="1">
      <c r="A883" t="inlineStr">
        <is>
          <t>A 57560-2025</t>
        </is>
      </c>
      <c r="B883" s="1" t="n">
        <v>45980.6987962963</v>
      </c>
      <c r="C883" s="1" t="n">
        <v>46090</v>
      </c>
      <c r="D883" t="inlineStr">
        <is>
          <t>JÄMTLANDS LÄN</t>
        </is>
      </c>
      <c r="E883" t="inlineStr">
        <is>
          <t>RAGUNDA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57916-2025</t>
        </is>
      </c>
      <c r="B884" s="1" t="n">
        <v>45981</v>
      </c>
      <c r="C884" s="1" t="n">
        <v>46090</v>
      </c>
      <c r="D884" t="inlineStr">
        <is>
          <t>JÄMTLANDS LÄN</t>
        </is>
      </c>
      <c r="E884" t="inlineStr">
        <is>
          <t>RAGUNDA</t>
        </is>
      </c>
      <c r="G884" t="n">
        <v>5.3</v>
      </c>
      <c r="H884" t="n">
        <v>0</v>
      </c>
      <c r="I884" t="n">
        <v>0</v>
      </c>
      <c r="J884" t="n">
        <v>0</v>
      </c>
      <c r="K884" t="n">
        <v>0</v>
      </c>
      <c r="L884" t="n">
        <v>0</v>
      </c>
      <c r="M884" t="n">
        <v>0</v>
      </c>
      <c r="N884" t="n">
        <v>0</v>
      </c>
      <c r="O884" t="n">
        <v>0</v>
      </c>
      <c r="P884" t="n">
        <v>0</v>
      </c>
      <c r="Q884" t="n">
        <v>0</v>
      </c>
      <c r="R884" s="2" t="inlineStr"/>
    </row>
    <row r="885" ht="15" customHeight="1">
      <c r="A885" t="inlineStr">
        <is>
          <t>A 57914-2025</t>
        </is>
      </c>
      <c r="B885" s="1" t="n">
        <v>45981</v>
      </c>
      <c r="C885" s="1" t="n">
        <v>46090</v>
      </c>
      <c r="D885" t="inlineStr">
        <is>
          <t>JÄMTLANDS LÄN</t>
        </is>
      </c>
      <c r="E885" t="inlineStr">
        <is>
          <t>RAGUNDA</t>
        </is>
      </c>
      <c r="G885" t="n">
        <v>3.2</v>
      </c>
      <c r="H885" t="n">
        <v>0</v>
      </c>
      <c r="I885" t="n">
        <v>0</v>
      </c>
      <c r="J885" t="n">
        <v>0</v>
      </c>
      <c r="K885" t="n">
        <v>0</v>
      </c>
      <c r="L885" t="n">
        <v>0</v>
      </c>
      <c r="M885" t="n">
        <v>0</v>
      </c>
      <c r="N885" t="n">
        <v>0</v>
      </c>
      <c r="O885" t="n">
        <v>0</v>
      </c>
      <c r="P885" t="n">
        <v>0</v>
      </c>
      <c r="Q885" t="n">
        <v>0</v>
      </c>
      <c r="R885" s="2" t="inlineStr"/>
    </row>
    <row r="886" ht="15" customHeight="1">
      <c r="A886" t="inlineStr">
        <is>
          <t>A 24441-2024</t>
        </is>
      </c>
      <c r="B886" s="1" t="n">
        <v>45457.96372685185</v>
      </c>
      <c r="C886" s="1" t="n">
        <v>46090</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40801-2023</t>
        </is>
      </c>
      <c r="B887" s="1" t="n">
        <v>45170</v>
      </c>
      <c r="C887" s="1" t="n">
        <v>46090</v>
      </c>
      <c r="D887" t="inlineStr">
        <is>
          <t>JÄMTLANDS LÄN</t>
        </is>
      </c>
      <c r="E887" t="inlineStr">
        <is>
          <t>RAGUNDA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57915-2025</t>
        </is>
      </c>
      <c r="B888" s="1" t="n">
        <v>45981</v>
      </c>
      <c r="C888" s="1" t="n">
        <v>46090</v>
      </c>
      <c r="D888" t="inlineStr">
        <is>
          <t>JÄMTLANDS LÄN</t>
        </is>
      </c>
      <c r="E888" t="inlineStr">
        <is>
          <t>RAGUNDA</t>
        </is>
      </c>
      <c r="G888" t="n">
        <v>6.4</v>
      </c>
      <c r="H888" t="n">
        <v>0</v>
      </c>
      <c r="I888" t="n">
        <v>0</v>
      </c>
      <c r="J888" t="n">
        <v>0</v>
      </c>
      <c r="K888" t="n">
        <v>0</v>
      </c>
      <c r="L888" t="n">
        <v>0</v>
      </c>
      <c r="M888" t="n">
        <v>0</v>
      </c>
      <c r="N888" t="n">
        <v>0</v>
      </c>
      <c r="O888" t="n">
        <v>0</v>
      </c>
      <c r="P888" t="n">
        <v>0</v>
      </c>
      <c r="Q888" t="n">
        <v>0</v>
      </c>
      <c r="R888" s="2" t="inlineStr"/>
    </row>
    <row r="889" ht="15" customHeight="1">
      <c r="A889" t="inlineStr">
        <is>
          <t>A 2123-2026</t>
        </is>
      </c>
      <c r="B889" s="1" t="n">
        <v>46036.38618055556</v>
      </c>
      <c r="C889" s="1" t="n">
        <v>46090</v>
      </c>
      <c r="D889" t="inlineStr">
        <is>
          <t>JÄMTLANDS LÄN</t>
        </is>
      </c>
      <c r="E889" t="inlineStr">
        <is>
          <t>RAGUNDA</t>
        </is>
      </c>
      <c r="F889" t="inlineStr">
        <is>
          <t>SCA</t>
        </is>
      </c>
      <c r="G889" t="n">
        <v>5.1</v>
      </c>
      <c r="H889" t="n">
        <v>0</v>
      </c>
      <c r="I889" t="n">
        <v>0</v>
      </c>
      <c r="J889" t="n">
        <v>0</v>
      </c>
      <c r="K889" t="n">
        <v>0</v>
      </c>
      <c r="L889" t="n">
        <v>0</v>
      </c>
      <c r="M889" t="n">
        <v>0</v>
      </c>
      <c r="N889" t="n">
        <v>0</v>
      </c>
      <c r="O889" t="n">
        <v>0</v>
      </c>
      <c r="P889" t="n">
        <v>0</v>
      </c>
      <c r="Q889" t="n">
        <v>0</v>
      </c>
      <c r="R889" s="2" t="inlineStr"/>
    </row>
    <row r="890" ht="15" customHeight="1">
      <c r="A890" t="inlineStr">
        <is>
          <t>A 57833-2025</t>
        </is>
      </c>
      <c r="B890" s="1" t="n">
        <v>45981.61541666667</v>
      </c>
      <c r="C890" s="1" t="n">
        <v>46090</v>
      </c>
      <c r="D890" t="inlineStr">
        <is>
          <t>JÄMTLANDS LÄN</t>
        </is>
      </c>
      <c r="E890" t="inlineStr">
        <is>
          <t>RAGUNDA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64108-2025</t>
        </is>
      </c>
      <c r="B891" s="1" t="n">
        <v>46013</v>
      </c>
      <c r="C891" s="1" t="n">
        <v>46090</v>
      </c>
      <c r="D891" t="inlineStr">
        <is>
          <t>JÄMTLANDS LÄN</t>
        </is>
      </c>
      <c r="E891" t="inlineStr">
        <is>
          <t>RAGUNDA</t>
        </is>
      </c>
      <c r="F891" t="inlineStr">
        <is>
          <t>Kyrkan</t>
        </is>
      </c>
      <c r="G891" t="n">
        <v>1.6</v>
      </c>
      <c r="H891" t="n">
        <v>0</v>
      </c>
      <c r="I891" t="n">
        <v>0</v>
      </c>
      <c r="J891" t="n">
        <v>0</v>
      </c>
      <c r="K891" t="n">
        <v>0</v>
      </c>
      <c r="L891" t="n">
        <v>0</v>
      </c>
      <c r="M891" t="n">
        <v>0</v>
      </c>
      <c r="N891" t="n">
        <v>0</v>
      </c>
      <c r="O891" t="n">
        <v>0</v>
      </c>
      <c r="P891" t="n">
        <v>0</v>
      </c>
      <c r="Q891" t="n">
        <v>0</v>
      </c>
      <c r="R891" s="2" t="inlineStr"/>
    </row>
    <row r="892" ht="15" customHeight="1">
      <c r="A892" t="inlineStr">
        <is>
          <t>A 57785-2025</t>
        </is>
      </c>
      <c r="B892" s="1" t="n">
        <v>45981.57393518519</v>
      </c>
      <c r="C892" s="1" t="n">
        <v>46090</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58093-2025</t>
        </is>
      </c>
      <c r="B893" s="1" t="n">
        <v>45982.5741087963</v>
      </c>
      <c r="C893" s="1" t="n">
        <v>46090</v>
      </c>
      <c r="D893" t="inlineStr">
        <is>
          <t>JÄMTLANDS LÄN</t>
        </is>
      </c>
      <c r="E893" t="inlineStr">
        <is>
          <t>RAGUNDA</t>
        </is>
      </c>
      <c r="G893" t="n">
        <v>22.2</v>
      </c>
      <c r="H893" t="n">
        <v>0</v>
      </c>
      <c r="I893" t="n">
        <v>0</v>
      </c>
      <c r="J893" t="n">
        <v>0</v>
      </c>
      <c r="K893" t="n">
        <v>0</v>
      </c>
      <c r="L893" t="n">
        <v>0</v>
      </c>
      <c r="M893" t="n">
        <v>0</v>
      </c>
      <c r="N893" t="n">
        <v>0</v>
      </c>
      <c r="O893" t="n">
        <v>0</v>
      </c>
      <c r="P893" t="n">
        <v>0</v>
      </c>
      <c r="Q893" t="n">
        <v>0</v>
      </c>
      <c r="R893" s="2" t="inlineStr"/>
    </row>
    <row r="894" ht="15" customHeight="1">
      <c r="A894" t="inlineStr">
        <is>
          <t>A 48065-2023</t>
        </is>
      </c>
      <c r="B894" s="1" t="n">
        <v>45204.94399305555</v>
      </c>
      <c r="C894" s="1" t="n">
        <v>46090</v>
      </c>
      <c r="D894" t="inlineStr">
        <is>
          <t>JÄMTLANDS LÄN</t>
        </is>
      </c>
      <c r="E894" t="inlineStr">
        <is>
          <t>RAGUNDA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2233-2026</t>
        </is>
      </c>
      <c r="B895" s="1" t="n">
        <v>46036.53207175926</v>
      </c>
      <c r="C895" s="1" t="n">
        <v>46090</v>
      </c>
      <c r="D895" t="inlineStr">
        <is>
          <t>JÄMTLANDS LÄN</t>
        </is>
      </c>
      <c r="E895" t="inlineStr">
        <is>
          <t>RAGUNDA</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57970-2025</t>
        </is>
      </c>
      <c r="B896" s="1" t="n">
        <v>45982.38582175926</v>
      </c>
      <c r="C896" s="1" t="n">
        <v>46090</v>
      </c>
      <c r="D896" t="inlineStr">
        <is>
          <t>JÄMTLANDS LÄN</t>
        </is>
      </c>
      <c r="E896" t="inlineStr">
        <is>
          <t>RAGUNDA</t>
        </is>
      </c>
      <c r="G896" t="n">
        <v>4.9</v>
      </c>
      <c r="H896" t="n">
        <v>0</v>
      </c>
      <c r="I896" t="n">
        <v>0</v>
      </c>
      <c r="J896" t="n">
        <v>0</v>
      </c>
      <c r="K896" t="n">
        <v>0</v>
      </c>
      <c r="L896" t="n">
        <v>0</v>
      </c>
      <c r="M896" t="n">
        <v>0</v>
      </c>
      <c r="N896" t="n">
        <v>0</v>
      </c>
      <c r="O896" t="n">
        <v>0</v>
      </c>
      <c r="P896" t="n">
        <v>0</v>
      </c>
      <c r="Q896" t="n">
        <v>0</v>
      </c>
      <c r="R896" s="2" t="inlineStr"/>
    </row>
    <row r="897" ht="15" customHeight="1">
      <c r="A897" t="inlineStr">
        <is>
          <t>A 4592-2024</t>
        </is>
      </c>
      <c r="B897" s="1" t="n">
        <v>45327.94443287037</v>
      </c>
      <c r="C897" s="1" t="n">
        <v>46090</v>
      </c>
      <c r="D897" t="inlineStr">
        <is>
          <t>JÄMTLANDS LÄN</t>
        </is>
      </c>
      <c r="E897" t="inlineStr">
        <is>
          <t>RAGUNDA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60195-2023</t>
        </is>
      </c>
      <c r="B898" s="1" t="n">
        <v>45257</v>
      </c>
      <c r="C898" s="1" t="n">
        <v>46090</v>
      </c>
      <c r="D898" t="inlineStr">
        <is>
          <t>JÄMTLANDS LÄN</t>
        </is>
      </c>
      <c r="E898" t="inlineStr">
        <is>
          <t>RAGUNDA</t>
        </is>
      </c>
      <c r="G898" t="n">
        <v>1.7</v>
      </c>
      <c r="H898" t="n">
        <v>0</v>
      </c>
      <c r="I898" t="n">
        <v>0</v>
      </c>
      <c r="J898" t="n">
        <v>0</v>
      </c>
      <c r="K898" t="n">
        <v>0</v>
      </c>
      <c r="L898" t="n">
        <v>0</v>
      </c>
      <c r="M898" t="n">
        <v>0</v>
      </c>
      <c r="N898" t="n">
        <v>0</v>
      </c>
      <c r="O898" t="n">
        <v>0</v>
      </c>
      <c r="P898" t="n">
        <v>0</v>
      </c>
      <c r="Q898" t="n">
        <v>0</v>
      </c>
      <c r="R898" s="2" t="inlineStr"/>
    </row>
    <row r="899" ht="15" customHeight="1">
      <c r="A899" t="inlineStr">
        <is>
          <t>A 58076-2025</t>
        </is>
      </c>
      <c r="B899" s="1" t="n">
        <v>45982.55273148148</v>
      </c>
      <c r="C899" s="1" t="n">
        <v>46090</v>
      </c>
      <c r="D899" t="inlineStr">
        <is>
          <t>JÄMTLANDS LÄN</t>
        </is>
      </c>
      <c r="E899" t="inlineStr">
        <is>
          <t>RAGUNDA</t>
        </is>
      </c>
      <c r="G899" t="n">
        <v>0.1</v>
      </c>
      <c r="H899" t="n">
        <v>0</v>
      </c>
      <c r="I899" t="n">
        <v>0</v>
      </c>
      <c r="J899" t="n">
        <v>0</v>
      </c>
      <c r="K899" t="n">
        <v>0</v>
      </c>
      <c r="L899" t="n">
        <v>0</v>
      </c>
      <c r="M899" t="n">
        <v>0</v>
      </c>
      <c r="N899" t="n">
        <v>0</v>
      </c>
      <c r="O899" t="n">
        <v>0</v>
      </c>
      <c r="P899" t="n">
        <v>0</v>
      </c>
      <c r="Q899" t="n">
        <v>0</v>
      </c>
      <c r="R899" s="2" t="inlineStr"/>
    </row>
    <row r="900" ht="15" customHeight="1">
      <c r="A900" t="inlineStr">
        <is>
          <t>A 57963-2025</t>
        </is>
      </c>
      <c r="B900" s="1" t="n">
        <v>45982.37800925926</v>
      </c>
      <c r="C900" s="1" t="n">
        <v>46090</v>
      </c>
      <c r="D900" t="inlineStr">
        <is>
          <t>JÄMTLANDS LÄN</t>
        </is>
      </c>
      <c r="E900" t="inlineStr">
        <is>
          <t>RAGUNDA</t>
        </is>
      </c>
      <c r="G900" t="n">
        <v>1.7</v>
      </c>
      <c r="H900" t="n">
        <v>0</v>
      </c>
      <c r="I900" t="n">
        <v>0</v>
      </c>
      <c r="J900" t="n">
        <v>0</v>
      </c>
      <c r="K900" t="n">
        <v>0</v>
      </c>
      <c r="L900" t="n">
        <v>0</v>
      </c>
      <c r="M900" t="n">
        <v>0</v>
      </c>
      <c r="N900" t="n">
        <v>0</v>
      </c>
      <c r="O900" t="n">
        <v>0</v>
      </c>
      <c r="P900" t="n">
        <v>0</v>
      </c>
      <c r="Q900" t="n">
        <v>0</v>
      </c>
      <c r="R900" s="2" t="inlineStr"/>
    </row>
    <row r="901" ht="15" customHeight="1">
      <c r="A901" t="inlineStr">
        <is>
          <t>A 22981-2023</t>
        </is>
      </c>
      <c r="B901" s="1" t="n">
        <v>45072.92737268518</v>
      </c>
      <c r="C901" s="1" t="n">
        <v>46090</v>
      </c>
      <c r="D901" t="inlineStr">
        <is>
          <t>JÄMTLANDS LÄN</t>
        </is>
      </c>
      <c r="E901" t="inlineStr">
        <is>
          <t>RAGUNDA</t>
        </is>
      </c>
      <c r="G901" t="n">
        <v>3.8</v>
      </c>
      <c r="H901" t="n">
        <v>0</v>
      </c>
      <c r="I901" t="n">
        <v>0</v>
      </c>
      <c r="J901" t="n">
        <v>0</v>
      </c>
      <c r="K901" t="n">
        <v>0</v>
      </c>
      <c r="L901" t="n">
        <v>0</v>
      </c>
      <c r="M901" t="n">
        <v>0</v>
      </c>
      <c r="N901" t="n">
        <v>0</v>
      </c>
      <c r="O901" t="n">
        <v>0</v>
      </c>
      <c r="P901" t="n">
        <v>0</v>
      </c>
      <c r="Q901" t="n">
        <v>0</v>
      </c>
      <c r="R901" s="2" t="inlineStr"/>
    </row>
    <row r="902" ht="15" customHeight="1">
      <c r="A902" t="inlineStr">
        <is>
          <t>A 2156-2026</t>
        </is>
      </c>
      <c r="B902" s="1" t="n">
        <v>46036.42771990741</v>
      </c>
      <c r="C902" s="1" t="n">
        <v>46090</v>
      </c>
      <c r="D902" t="inlineStr">
        <is>
          <t>JÄMTLANDS LÄN</t>
        </is>
      </c>
      <c r="E902" t="inlineStr">
        <is>
          <t>RAGUNDA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26942-2021</t>
        </is>
      </c>
      <c r="B903" s="1" t="n">
        <v>44349.91978009259</v>
      </c>
      <c r="C903" s="1" t="n">
        <v>46090</v>
      </c>
      <c r="D903" t="inlineStr">
        <is>
          <t>JÄMTLANDS LÄN</t>
        </is>
      </c>
      <c r="E903" t="inlineStr">
        <is>
          <t>RAGUNDA</t>
        </is>
      </c>
      <c r="G903" t="n">
        <v>6.2</v>
      </c>
      <c r="H903" t="n">
        <v>0</v>
      </c>
      <c r="I903" t="n">
        <v>0</v>
      </c>
      <c r="J903" t="n">
        <v>0</v>
      </c>
      <c r="K903" t="n">
        <v>0</v>
      </c>
      <c r="L903" t="n">
        <v>0</v>
      </c>
      <c r="M903" t="n">
        <v>0</v>
      </c>
      <c r="N903" t="n">
        <v>0</v>
      </c>
      <c r="O903" t="n">
        <v>0</v>
      </c>
      <c r="P903" t="n">
        <v>0</v>
      </c>
      <c r="Q903" t="n">
        <v>0</v>
      </c>
      <c r="R903" s="2" t="inlineStr"/>
    </row>
    <row r="904" ht="15" customHeight="1">
      <c r="A904" t="inlineStr">
        <is>
          <t>A 53109-2025</t>
        </is>
      </c>
      <c r="B904" s="1" t="n">
        <v>45958</v>
      </c>
      <c r="C904" s="1" t="n">
        <v>46090</v>
      </c>
      <c r="D904" t="inlineStr">
        <is>
          <t>JÄMTLANDS LÄN</t>
        </is>
      </c>
      <c r="E904" t="inlineStr">
        <is>
          <t>RAGUNDA</t>
        </is>
      </c>
      <c r="G904" t="n">
        <v>2.1</v>
      </c>
      <c r="H904" t="n">
        <v>0</v>
      </c>
      <c r="I904" t="n">
        <v>0</v>
      </c>
      <c r="J904" t="n">
        <v>0</v>
      </c>
      <c r="K904" t="n">
        <v>0</v>
      </c>
      <c r="L904" t="n">
        <v>0</v>
      </c>
      <c r="M904" t="n">
        <v>0</v>
      </c>
      <c r="N904" t="n">
        <v>0</v>
      </c>
      <c r="O904" t="n">
        <v>0</v>
      </c>
      <c r="P904" t="n">
        <v>0</v>
      </c>
      <c r="Q904" t="n">
        <v>0</v>
      </c>
      <c r="R904" s="2" t="inlineStr"/>
    </row>
    <row r="905" ht="15" customHeight="1">
      <c r="A905" t="inlineStr">
        <is>
          <t>A 58918-2025</t>
        </is>
      </c>
      <c r="B905" s="1" t="n">
        <v>45987.52952546296</v>
      </c>
      <c r="C905" s="1" t="n">
        <v>46090</v>
      </c>
      <c r="D905" t="inlineStr">
        <is>
          <t>JÄMTLANDS LÄN</t>
        </is>
      </c>
      <c r="E905" t="inlineStr">
        <is>
          <t>RAGUNDA</t>
        </is>
      </c>
      <c r="G905" t="n">
        <v>2</v>
      </c>
      <c r="H905" t="n">
        <v>0</v>
      </c>
      <c r="I905" t="n">
        <v>0</v>
      </c>
      <c r="J905" t="n">
        <v>0</v>
      </c>
      <c r="K905" t="n">
        <v>0</v>
      </c>
      <c r="L905" t="n">
        <v>0</v>
      </c>
      <c r="M905" t="n">
        <v>0</v>
      </c>
      <c r="N905" t="n">
        <v>0</v>
      </c>
      <c r="O905" t="n">
        <v>0</v>
      </c>
      <c r="P905" t="n">
        <v>0</v>
      </c>
      <c r="Q905" t="n">
        <v>0</v>
      </c>
      <c r="R905" s="2" t="inlineStr"/>
    </row>
    <row r="906" ht="15" customHeight="1">
      <c r="A906" t="inlineStr">
        <is>
          <t>A 46546-2023</t>
        </is>
      </c>
      <c r="B906" s="1" t="n">
        <v>45197.94152777778</v>
      </c>
      <c r="C906" s="1" t="n">
        <v>46090</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19865-2023</t>
        </is>
      </c>
      <c r="B907" s="1" t="n">
        <v>45053.94305555556</v>
      </c>
      <c r="C907" s="1" t="n">
        <v>46090</v>
      </c>
      <c r="D907" t="inlineStr">
        <is>
          <t>JÄMTLANDS LÄN</t>
        </is>
      </c>
      <c r="E907" t="inlineStr">
        <is>
          <t>RAGUNDA</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10649-2026</t>
        </is>
      </c>
      <c r="B908" s="1" t="n">
        <v>46078.34486111111</v>
      </c>
      <c r="C908" s="1" t="n">
        <v>46090</v>
      </c>
      <c r="D908" t="inlineStr">
        <is>
          <t>JÄMTLANDS LÄN</t>
        </is>
      </c>
      <c r="E908" t="inlineStr">
        <is>
          <t>RAGUNDA</t>
        </is>
      </c>
      <c r="F908" t="inlineStr">
        <is>
          <t>SCA</t>
        </is>
      </c>
      <c r="G908" t="n">
        <v>45.5</v>
      </c>
      <c r="H908" t="n">
        <v>0</v>
      </c>
      <c r="I908" t="n">
        <v>0</v>
      </c>
      <c r="J908" t="n">
        <v>0</v>
      </c>
      <c r="K908" t="n">
        <v>0</v>
      </c>
      <c r="L908" t="n">
        <v>0</v>
      </c>
      <c r="M908" t="n">
        <v>0</v>
      </c>
      <c r="N908" t="n">
        <v>0</v>
      </c>
      <c r="O908" t="n">
        <v>0</v>
      </c>
      <c r="P908" t="n">
        <v>0</v>
      </c>
      <c r="Q908" t="n">
        <v>0</v>
      </c>
      <c r="R908" s="2" t="inlineStr"/>
    </row>
    <row r="909" ht="15" customHeight="1">
      <c r="A909" t="inlineStr">
        <is>
          <t>A 58638-2025</t>
        </is>
      </c>
      <c r="B909" s="1" t="n">
        <v>45986.49016203704</v>
      </c>
      <c r="C909" s="1" t="n">
        <v>46090</v>
      </c>
      <c r="D909" t="inlineStr">
        <is>
          <t>JÄMTLANDS LÄN</t>
        </is>
      </c>
      <c r="E909" t="inlineStr">
        <is>
          <t>RAGUNDA</t>
        </is>
      </c>
      <c r="G909" t="n">
        <v>1.3</v>
      </c>
      <c r="H909" t="n">
        <v>0</v>
      </c>
      <c r="I909" t="n">
        <v>0</v>
      </c>
      <c r="J909" t="n">
        <v>0</v>
      </c>
      <c r="K909" t="n">
        <v>0</v>
      </c>
      <c r="L909" t="n">
        <v>0</v>
      </c>
      <c r="M909" t="n">
        <v>0</v>
      </c>
      <c r="N909" t="n">
        <v>0</v>
      </c>
      <c r="O909" t="n">
        <v>0</v>
      </c>
      <c r="P909" t="n">
        <v>0</v>
      </c>
      <c r="Q909" t="n">
        <v>0</v>
      </c>
      <c r="R909" s="2" t="inlineStr"/>
    </row>
    <row r="910" ht="15" customHeight="1">
      <c r="A910" t="inlineStr">
        <is>
          <t>A 58559-2025</t>
        </is>
      </c>
      <c r="B910" s="1" t="n">
        <v>45986.34475694445</v>
      </c>
      <c r="C910" s="1" t="n">
        <v>46090</v>
      </c>
      <c r="D910" t="inlineStr">
        <is>
          <t>JÄMTLANDS LÄN</t>
        </is>
      </c>
      <c r="E910" t="inlineStr">
        <is>
          <t>RAGUNDA</t>
        </is>
      </c>
      <c r="F910" t="inlineStr">
        <is>
          <t>SCA</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2271-2026</t>
        </is>
      </c>
      <c r="B911" s="1" t="n">
        <v>46036.57347222222</v>
      </c>
      <c r="C911" s="1" t="n">
        <v>46090</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59214-2025</t>
        </is>
      </c>
      <c r="B912" s="1" t="n">
        <v>45988.61623842592</v>
      </c>
      <c r="C912" s="1" t="n">
        <v>46090</v>
      </c>
      <c r="D912" t="inlineStr">
        <is>
          <t>JÄMTLANDS LÄN</t>
        </is>
      </c>
      <c r="E912" t="inlineStr">
        <is>
          <t>RAGUNDA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59499-2025</t>
        </is>
      </c>
      <c r="B913" s="1" t="n">
        <v>45989.61846064815</v>
      </c>
      <c r="C913" s="1" t="n">
        <v>46090</v>
      </c>
      <c r="D913" t="inlineStr">
        <is>
          <t>JÄMTLANDS LÄN</t>
        </is>
      </c>
      <c r="E913" t="inlineStr">
        <is>
          <t>RAGUNDA</t>
        </is>
      </c>
      <c r="G913" t="n">
        <v>2</v>
      </c>
      <c r="H913" t="n">
        <v>0</v>
      </c>
      <c r="I913" t="n">
        <v>0</v>
      </c>
      <c r="J913" t="n">
        <v>0</v>
      </c>
      <c r="K913" t="n">
        <v>0</v>
      </c>
      <c r="L913" t="n">
        <v>0</v>
      </c>
      <c r="M913" t="n">
        <v>0</v>
      </c>
      <c r="N913" t="n">
        <v>0</v>
      </c>
      <c r="O913" t="n">
        <v>0</v>
      </c>
      <c r="P913" t="n">
        <v>0</v>
      </c>
      <c r="Q913" t="n">
        <v>0</v>
      </c>
      <c r="R913" s="2" t="inlineStr"/>
    </row>
    <row r="914" ht="15" customHeight="1">
      <c r="A914" t="inlineStr">
        <is>
          <t>A 59491-2025</t>
        </is>
      </c>
      <c r="B914" s="1" t="n">
        <v>45989.60376157407</v>
      </c>
      <c r="C914" s="1" t="n">
        <v>46090</v>
      </c>
      <c r="D914" t="inlineStr">
        <is>
          <t>JÄMTLANDS LÄN</t>
        </is>
      </c>
      <c r="E914" t="inlineStr">
        <is>
          <t>RAGUNDA</t>
        </is>
      </c>
      <c r="G914" t="n">
        <v>0.9</v>
      </c>
      <c r="H914" t="n">
        <v>0</v>
      </c>
      <c r="I914" t="n">
        <v>0</v>
      </c>
      <c r="J914" t="n">
        <v>0</v>
      </c>
      <c r="K914" t="n">
        <v>0</v>
      </c>
      <c r="L914" t="n">
        <v>0</v>
      </c>
      <c r="M914" t="n">
        <v>0</v>
      </c>
      <c r="N914" t="n">
        <v>0</v>
      </c>
      <c r="O914" t="n">
        <v>0</v>
      </c>
      <c r="P914" t="n">
        <v>0</v>
      </c>
      <c r="Q914" t="n">
        <v>0</v>
      </c>
      <c r="R914" s="2" t="inlineStr"/>
    </row>
    <row r="915" ht="15" customHeight="1">
      <c r="A915" t="inlineStr">
        <is>
          <t>A 564-2025</t>
        </is>
      </c>
      <c r="B915" s="1" t="n">
        <v>45664.55241898148</v>
      </c>
      <c r="C915" s="1" t="n">
        <v>46090</v>
      </c>
      <c r="D915" t="inlineStr">
        <is>
          <t>JÄMTLANDS LÄN</t>
        </is>
      </c>
      <c r="E915" t="inlineStr">
        <is>
          <t>RAGUNDA</t>
        </is>
      </c>
      <c r="F915" t="inlineStr">
        <is>
          <t>SCA</t>
        </is>
      </c>
      <c r="G915" t="n">
        <v>7</v>
      </c>
      <c r="H915" t="n">
        <v>0</v>
      </c>
      <c r="I915" t="n">
        <v>0</v>
      </c>
      <c r="J915" t="n">
        <v>0</v>
      </c>
      <c r="K915" t="n">
        <v>0</v>
      </c>
      <c r="L915" t="n">
        <v>0</v>
      </c>
      <c r="M915" t="n">
        <v>0</v>
      </c>
      <c r="N915" t="n">
        <v>0</v>
      </c>
      <c r="O915" t="n">
        <v>0</v>
      </c>
      <c r="P915" t="n">
        <v>0</v>
      </c>
      <c r="Q915" t="n">
        <v>0</v>
      </c>
      <c r="R915" s="2" t="inlineStr"/>
    </row>
    <row r="916" ht="15" customHeight="1">
      <c r="A916" t="inlineStr">
        <is>
          <t>A 59503-2025</t>
        </is>
      </c>
      <c r="B916" s="1" t="n">
        <v>45989.62703703704</v>
      </c>
      <c r="C916" s="1" t="n">
        <v>46090</v>
      </c>
      <c r="D916" t="inlineStr">
        <is>
          <t>JÄMTLANDS LÄN</t>
        </is>
      </c>
      <c r="E916" t="inlineStr">
        <is>
          <t>RAGUNDA</t>
        </is>
      </c>
      <c r="G916" t="n">
        <v>0.6</v>
      </c>
      <c r="H916" t="n">
        <v>0</v>
      </c>
      <c r="I916" t="n">
        <v>0</v>
      </c>
      <c r="J916" t="n">
        <v>0</v>
      </c>
      <c r="K916" t="n">
        <v>0</v>
      </c>
      <c r="L916" t="n">
        <v>0</v>
      </c>
      <c r="M916" t="n">
        <v>0</v>
      </c>
      <c r="N916" t="n">
        <v>0</v>
      </c>
      <c r="O916" t="n">
        <v>0</v>
      </c>
      <c r="P916" t="n">
        <v>0</v>
      </c>
      <c r="Q916" t="n">
        <v>0</v>
      </c>
      <c r="R916" s="2" t="inlineStr"/>
    </row>
    <row r="917" ht="15" customHeight="1">
      <c r="A917" t="inlineStr">
        <is>
          <t>A 50555-2024</t>
        </is>
      </c>
      <c r="B917" s="1" t="n">
        <v>45601.59518518519</v>
      </c>
      <c r="C917" s="1" t="n">
        <v>46090</v>
      </c>
      <c r="D917" t="inlineStr">
        <is>
          <t>JÄMTLANDS LÄN</t>
        </is>
      </c>
      <c r="E917" t="inlineStr">
        <is>
          <t>RAGUNDA</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59692-2025</t>
        </is>
      </c>
      <c r="B918" s="1" t="n">
        <v>45992.49001157407</v>
      </c>
      <c r="C918" s="1" t="n">
        <v>46090</v>
      </c>
      <c r="D918" t="inlineStr">
        <is>
          <t>JÄMTLANDS LÄN</t>
        </is>
      </c>
      <c r="E918" t="inlineStr">
        <is>
          <t>RAGUNDA</t>
        </is>
      </c>
      <c r="G918" t="n">
        <v>2.7</v>
      </c>
      <c r="H918" t="n">
        <v>0</v>
      </c>
      <c r="I918" t="n">
        <v>0</v>
      </c>
      <c r="J918" t="n">
        <v>0</v>
      </c>
      <c r="K918" t="n">
        <v>0</v>
      </c>
      <c r="L918" t="n">
        <v>0</v>
      </c>
      <c r="M918" t="n">
        <v>0</v>
      </c>
      <c r="N918" t="n">
        <v>0</v>
      </c>
      <c r="O918" t="n">
        <v>0</v>
      </c>
      <c r="P918" t="n">
        <v>0</v>
      </c>
      <c r="Q918" t="n">
        <v>0</v>
      </c>
      <c r="R918" s="2" t="inlineStr"/>
    </row>
    <row r="919" ht="15" customHeight="1">
      <c r="A919" t="inlineStr">
        <is>
          <t>A 59738-2025</t>
        </is>
      </c>
      <c r="B919" s="1" t="n">
        <v>45992.57408564815</v>
      </c>
      <c r="C919" s="1" t="n">
        <v>46090</v>
      </c>
      <c r="D919" t="inlineStr">
        <is>
          <t>JÄMTLANDS LÄN</t>
        </is>
      </c>
      <c r="E919" t="inlineStr">
        <is>
          <t>RAGUNDA</t>
        </is>
      </c>
      <c r="F919" t="inlineStr">
        <is>
          <t>SCA</t>
        </is>
      </c>
      <c r="G919" t="n">
        <v>12.5</v>
      </c>
      <c r="H919" t="n">
        <v>0</v>
      </c>
      <c r="I919" t="n">
        <v>0</v>
      </c>
      <c r="J919" t="n">
        <v>0</v>
      </c>
      <c r="K919" t="n">
        <v>0</v>
      </c>
      <c r="L919" t="n">
        <v>0</v>
      </c>
      <c r="M919" t="n">
        <v>0</v>
      </c>
      <c r="N919" t="n">
        <v>0</v>
      </c>
      <c r="O919" t="n">
        <v>0</v>
      </c>
      <c r="P919" t="n">
        <v>0</v>
      </c>
      <c r="Q919" t="n">
        <v>0</v>
      </c>
      <c r="R919" s="2" t="inlineStr"/>
    </row>
    <row r="920" ht="15" customHeight="1">
      <c r="A920" t="inlineStr">
        <is>
          <t>A 59739-2025</t>
        </is>
      </c>
      <c r="B920" s="1" t="n">
        <v>45992.57417824074</v>
      </c>
      <c r="C920" s="1" t="n">
        <v>46090</v>
      </c>
      <c r="D920" t="inlineStr">
        <is>
          <t>JÄMTLANDS LÄN</t>
        </is>
      </c>
      <c r="E920" t="inlineStr">
        <is>
          <t>RAGUNDA</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59740-2025</t>
        </is>
      </c>
      <c r="B921" s="1" t="n">
        <v>45992.5743287037</v>
      </c>
      <c r="C921" s="1" t="n">
        <v>46090</v>
      </c>
      <c r="D921" t="inlineStr">
        <is>
          <t>JÄMTLANDS LÄN</t>
        </is>
      </c>
      <c r="E921" t="inlineStr">
        <is>
          <t>RAGUNDA</t>
        </is>
      </c>
      <c r="F921" t="inlineStr">
        <is>
          <t>SCA</t>
        </is>
      </c>
      <c r="G921" t="n">
        <v>14.1</v>
      </c>
      <c r="H921" t="n">
        <v>0</v>
      </c>
      <c r="I921" t="n">
        <v>0</v>
      </c>
      <c r="J921" t="n">
        <v>0</v>
      </c>
      <c r="K921" t="n">
        <v>0</v>
      </c>
      <c r="L921" t="n">
        <v>0</v>
      </c>
      <c r="M921" t="n">
        <v>0</v>
      </c>
      <c r="N921" t="n">
        <v>0</v>
      </c>
      <c r="O921" t="n">
        <v>0</v>
      </c>
      <c r="P921" t="n">
        <v>0</v>
      </c>
      <c r="Q921" t="n">
        <v>0</v>
      </c>
      <c r="R921" s="2" t="inlineStr"/>
    </row>
    <row r="922" ht="15" customHeight="1">
      <c r="A922" t="inlineStr">
        <is>
          <t>A 59658-2023</t>
        </is>
      </c>
      <c r="B922" s="1" t="n">
        <v>45254.96402777778</v>
      </c>
      <c r="C922" s="1" t="n">
        <v>46090</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59931-2025</t>
        </is>
      </c>
      <c r="B923" s="1" t="n">
        <v>45993.40177083333</v>
      </c>
      <c r="C923" s="1" t="n">
        <v>46090</v>
      </c>
      <c r="D923" t="inlineStr">
        <is>
          <t>JÄMTLANDS LÄN</t>
        </is>
      </c>
      <c r="E923" t="inlineStr">
        <is>
          <t>RAGUNDA</t>
        </is>
      </c>
      <c r="G923" t="n">
        <v>4</v>
      </c>
      <c r="H923" t="n">
        <v>0</v>
      </c>
      <c r="I923" t="n">
        <v>0</v>
      </c>
      <c r="J923" t="n">
        <v>0</v>
      </c>
      <c r="K923" t="n">
        <v>0</v>
      </c>
      <c r="L923" t="n">
        <v>0</v>
      </c>
      <c r="M923" t="n">
        <v>0</v>
      </c>
      <c r="N923" t="n">
        <v>0</v>
      </c>
      <c r="O923" t="n">
        <v>0</v>
      </c>
      <c r="P923" t="n">
        <v>0</v>
      </c>
      <c r="Q923" t="n">
        <v>0</v>
      </c>
      <c r="R923" s="2" t="inlineStr"/>
    </row>
    <row r="924" ht="15" customHeight="1">
      <c r="A924" t="inlineStr">
        <is>
          <t>A 2173-2026</t>
        </is>
      </c>
      <c r="B924" s="1" t="n">
        <v>46036.44984953704</v>
      </c>
      <c r="C924" s="1" t="n">
        <v>46090</v>
      </c>
      <c r="D924" t="inlineStr">
        <is>
          <t>JÄMTLANDS LÄN</t>
        </is>
      </c>
      <c r="E924" t="inlineStr">
        <is>
          <t>RAGUNDA</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10740-2026</t>
        </is>
      </c>
      <c r="B925" s="1" t="n">
        <v>46078.5109375</v>
      </c>
      <c r="C925" s="1" t="n">
        <v>46090</v>
      </c>
      <c r="D925" t="inlineStr">
        <is>
          <t>JÄMTLANDS LÄN</t>
        </is>
      </c>
      <c r="E925" t="inlineStr">
        <is>
          <t>RAGUNDA</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59693-2025</t>
        </is>
      </c>
      <c r="B926" s="1" t="n">
        <v>45992.49009259259</v>
      </c>
      <c r="C926" s="1" t="n">
        <v>46090</v>
      </c>
      <c r="D926" t="inlineStr">
        <is>
          <t>JÄMTLANDS LÄN</t>
        </is>
      </c>
      <c r="E926" t="inlineStr">
        <is>
          <t>RAGUNDA</t>
        </is>
      </c>
      <c r="G926" t="n">
        <v>0.7</v>
      </c>
      <c r="H926" t="n">
        <v>0</v>
      </c>
      <c r="I926" t="n">
        <v>0</v>
      </c>
      <c r="J926" t="n">
        <v>0</v>
      </c>
      <c r="K926" t="n">
        <v>0</v>
      </c>
      <c r="L926" t="n">
        <v>0</v>
      </c>
      <c r="M926" t="n">
        <v>0</v>
      </c>
      <c r="N926" t="n">
        <v>0</v>
      </c>
      <c r="O926" t="n">
        <v>0</v>
      </c>
      <c r="P926" t="n">
        <v>0</v>
      </c>
      <c r="Q926" t="n">
        <v>0</v>
      </c>
      <c r="R926" s="2" t="inlineStr"/>
    </row>
    <row r="927" ht="15" customHeight="1">
      <c r="A927" t="inlineStr">
        <is>
          <t>A 49649-2024</t>
        </is>
      </c>
      <c r="B927" s="1" t="n">
        <v>45596.61553240741</v>
      </c>
      <c r="C927" s="1" t="n">
        <v>46090</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60062-2025</t>
        </is>
      </c>
      <c r="B928" s="1" t="n">
        <v>45993.65694444445</v>
      </c>
      <c r="C928" s="1" t="n">
        <v>46090</v>
      </c>
      <c r="D928" t="inlineStr">
        <is>
          <t>JÄMTLANDS LÄN</t>
        </is>
      </c>
      <c r="E928" t="inlineStr">
        <is>
          <t>RAGUNDA</t>
        </is>
      </c>
      <c r="F928" t="inlineStr">
        <is>
          <t>SCA</t>
        </is>
      </c>
      <c r="G928" t="n">
        <v>5.8</v>
      </c>
      <c r="H928" t="n">
        <v>0</v>
      </c>
      <c r="I928" t="n">
        <v>0</v>
      </c>
      <c r="J928" t="n">
        <v>0</v>
      </c>
      <c r="K928" t="n">
        <v>0</v>
      </c>
      <c r="L928" t="n">
        <v>0</v>
      </c>
      <c r="M928" t="n">
        <v>0</v>
      </c>
      <c r="N928" t="n">
        <v>0</v>
      </c>
      <c r="O928" t="n">
        <v>0</v>
      </c>
      <c r="P928" t="n">
        <v>0</v>
      </c>
      <c r="Q928" t="n">
        <v>0</v>
      </c>
      <c r="R928" s="2" t="inlineStr"/>
    </row>
    <row r="929" ht="15" customHeight="1">
      <c r="A929" t="inlineStr">
        <is>
          <t>A 2831-2024</t>
        </is>
      </c>
      <c r="B929" s="1" t="n">
        <v>45314.92758101852</v>
      </c>
      <c r="C929" s="1" t="n">
        <v>46090</v>
      </c>
      <c r="D929" t="inlineStr">
        <is>
          <t>JÄMTLANDS LÄN</t>
        </is>
      </c>
      <c r="E929" t="inlineStr">
        <is>
          <t>RAGUNDA</t>
        </is>
      </c>
      <c r="G929" t="n">
        <v>0.6</v>
      </c>
      <c r="H929" t="n">
        <v>0</v>
      </c>
      <c r="I929" t="n">
        <v>0</v>
      </c>
      <c r="J929" t="n">
        <v>0</v>
      </c>
      <c r="K929" t="n">
        <v>0</v>
      </c>
      <c r="L929" t="n">
        <v>0</v>
      </c>
      <c r="M929" t="n">
        <v>0</v>
      </c>
      <c r="N929" t="n">
        <v>0</v>
      </c>
      <c r="O929" t="n">
        <v>0</v>
      </c>
      <c r="P929" t="n">
        <v>0</v>
      </c>
      <c r="Q929" t="n">
        <v>0</v>
      </c>
      <c r="R929" s="2" t="inlineStr"/>
    </row>
    <row r="930" ht="15" customHeight="1">
      <c r="A930" t="inlineStr">
        <is>
          <t>A 53740-2024</t>
        </is>
      </c>
      <c r="B930" s="1" t="n">
        <v>45615.47091435185</v>
      </c>
      <c r="C930" s="1" t="n">
        <v>46090</v>
      </c>
      <c r="D930" t="inlineStr">
        <is>
          <t>JÄMTLANDS LÄN</t>
        </is>
      </c>
      <c r="E930" t="inlineStr">
        <is>
          <t>RAGUNDA</t>
        </is>
      </c>
      <c r="G930" t="n">
        <v>2.7</v>
      </c>
      <c r="H930" t="n">
        <v>0</v>
      </c>
      <c r="I930" t="n">
        <v>0</v>
      </c>
      <c r="J930" t="n">
        <v>0</v>
      </c>
      <c r="K930" t="n">
        <v>0</v>
      </c>
      <c r="L930" t="n">
        <v>0</v>
      </c>
      <c r="M930" t="n">
        <v>0</v>
      </c>
      <c r="N930" t="n">
        <v>0</v>
      </c>
      <c r="O930" t="n">
        <v>0</v>
      </c>
      <c r="P930" t="n">
        <v>0</v>
      </c>
      <c r="Q930" t="n">
        <v>0</v>
      </c>
      <c r="R930" s="2" t="inlineStr"/>
    </row>
    <row r="931" ht="15" customHeight="1">
      <c r="A931" t="inlineStr">
        <is>
          <t>A 59372-2024</t>
        </is>
      </c>
      <c r="B931" s="1" t="n">
        <v>45638.34431712963</v>
      </c>
      <c r="C931" s="1" t="n">
        <v>46090</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60128-2025</t>
        </is>
      </c>
      <c r="B932" s="1" t="n">
        <v>45994.34456018519</v>
      </c>
      <c r="C932" s="1" t="n">
        <v>46090</v>
      </c>
      <c r="D932" t="inlineStr">
        <is>
          <t>JÄMTLANDS LÄN</t>
        </is>
      </c>
      <c r="E932" t="inlineStr">
        <is>
          <t>RAGUNDA</t>
        </is>
      </c>
      <c r="G932" t="n">
        <v>7.1</v>
      </c>
      <c r="H932" t="n">
        <v>0</v>
      </c>
      <c r="I932" t="n">
        <v>0</v>
      </c>
      <c r="J932" t="n">
        <v>0</v>
      </c>
      <c r="K932" t="n">
        <v>0</v>
      </c>
      <c r="L932" t="n">
        <v>0</v>
      </c>
      <c r="M932" t="n">
        <v>0</v>
      </c>
      <c r="N932" t="n">
        <v>0</v>
      </c>
      <c r="O932" t="n">
        <v>0</v>
      </c>
      <c r="P932" t="n">
        <v>0</v>
      </c>
      <c r="Q932" t="n">
        <v>0</v>
      </c>
      <c r="R932" s="2" t="inlineStr"/>
    </row>
    <row r="933" ht="15" customHeight="1">
      <c r="A933" t="inlineStr">
        <is>
          <t>A 60389-2025</t>
        </is>
      </c>
      <c r="B933" s="1" t="n">
        <v>45995.38628472222</v>
      </c>
      <c r="C933" s="1" t="n">
        <v>46090</v>
      </c>
      <c r="D933" t="inlineStr">
        <is>
          <t>JÄMTLANDS LÄN</t>
        </is>
      </c>
      <c r="E933" t="inlineStr">
        <is>
          <t>RAGUNDA</t>
        </is>
      </c>
      <c r="G933" t="n">
        <v>3.3</v>
      </c>
      <c r="H933" t="n">
        <v>0</v>
      </c>
      <c r="I933" t="n">
        <v>0</v>
      </c>
      <c r="J933" t="n">
        <v>0</v>
      </c>
      <c r="K933" t="n">
        <v>0</v>
      </c>
      <c r="L933" t="n">
        <v>0</v>
      </c>
      <c r="M933" t="n">
        <v>0</v>
      </c>
      <c r="N933" t="n">
        <v>0</v>
      </c>
      <c r="O933" t="n">
        <v>0</v>
      </c>
      <c r="P933" t="n">
        <v>0</v>
      </c>
      <c r="Q933" t="n">
        <v>0</v>
      </c>
      <c r="R933" s="2" t="inlineStr"/>
    </row>
    <row r="934" ht="15" customHeight="1">
      <c r="A934" t="inlineStr">
        <is>
          <t>A 11243-2026</t>
        </is>
      </c>
      <c r="B934" s="1" t="n">
        <v>46080.53181712963</v>
      </c>
      <c r="C934" s="1" t="n">
        <v>46090</v>
      </c>
      <c r="D934" t="inlineStr">
        <is>
          <t>JÄMTLANDS LÄN</t>
        </is>
      </c>
      <c r="E934" t="inlineStr">
        <is>
          <t>RAGUNDA</t>
        </is>
      </c>
      <c r="F934" t="inlineStr">
        <is>
          <t>SCA</t>
        </is>
      </c>
      <c r="G934" t="n">
        <v>52.9</v>
      </c>
      <c r="H934" t="n">
        <v>0</v>
      </c>
      <c r="I934" t="n">
        <v>0</v>
      </c>
      <c r="J934" t="n">
        <v>0</v>
      </c>
      <c r="K934" t="n">
        <v>0</v>
      </c>
      <c r="L934" t="n">
        <v>0</v>
      </c>
      <c r="M934" t="n">
        <v>0</v>
      </c>
      <c r="N934" t="n">
        <v>0</v>
      </c>
      <c r="O934" t="n">
        <v>0</v>
      </c>
      <c r="P934" t="n">
        <v>0</v>
      </c>
      <c r="Q934" t="n">
        <v>0</v>
      </c>
      <c r="R934" s="2" t="inlineStr"/>
    </row>
    <row r="935" ht="15" customHeight="1">
      <c r="A935" t="inlineStr">
        <is>
          <t>A 60387-2025</t>
        </is>
      </c>
      <c r="B935" s="1" t="n">
        <v>45995.38611111111</v>
      </c>
      <c r="C935" s="1" t="n">
        <v>46090</v>
      </c>
      <c r="D935" t="inlineStr">
        <is>
          <t>JÄMTLANDS LÄN</t>
        </is>
      </c>
      <c r="E935" t="inlineStr">
        <is>
          <t>RAGUNDA</t>
        </is>
      </c>
      <c r="G935" t="n">
        <v>8.5</v>
      </c>
      <c r="H935" t="n">
        <v>0</v>
      </c>
      <c r="I935" t="n">
        <v>0</v>
      </c>
      <c r="J935" t="n">
        <v>0</v>
      </c>
      <c r="K935" t="n">
        <v>0</v>
      </c>
      <c r="L935" t="n">
        <v>0</v>
      </c>
      <c r="M935" t="n">
        <v>0</v>
      </c>
      <c r="N935" t="n">
        <v>0</v>
      </c>
      <c r="O935" t="n">
        <v>0</v>
      </c>
      <c r="P935" t="n">
        <v>0</v>
      </c>
      <c r="Q935" t="n">
        <v>0</v>
      </c>
      <c r="R935" s="2" t="inlineStr"/>
    </row>
    <row r="936" ht="15" customHeight="1">
      <c r="A936" t="inlineStr">
        <is>
          <t>A 60307-2025</t>
        </is>
      </c>
      <c r="B936" s="1" t="n">
        <v>45994.6842824074</v>
      </c>
      <c r="C936" s="1" t="n">
        <v>46090</v>
      </c>
      <c r="D936" t="inlineStr">
        <is>
          <t>JÄMTLANDS LÄN</t>
        </is>
      </c>
      <c r="E936" t="inlineStr">
        <is>
          <t>RAGUNDA</t>
        </is>
      </c>
      <c r="G936" t="n">
        <v>4</v>
      </c>
      <c r="H936" t="n">
        <v>0</v>
      </c>
      <c r="I936" t="n">
        <v>0</v>
      </c>
      <c r="J936" t="n">
        <v>0</v>
      </c>
      <c r="K936" t="n">
        <v>0</v>
      </c>
      <c r="L936" t="n">
        <v>0</v>
      </c>
      <c r="M936" t="n">
        <v>0</v>
      </c>
      <c r="N936" t="n">
        <v>0</v>
      </c>
      <c r="O936" t="n">
        <v>0</v>
      </c>
      <c r="P936" t="n">
        <v>0</v>
      </c>
      <c r="Q936" t="n">
        <v>0</v>
      </c>
      <c r="R936" s="2" t="inlineStr"/>
    </row>
    <row r="937" ht="15" customHeight="1">
      <c r="A937" t="inlineStr">
        <is>
          <t>A 60130-2025</t>
        </is>
      </c>
      <c r="B937" s="1" t="n">
        <v>45994.34467592592</v>
      </c>
      <c r="C937" s="1" t="n">
        <v>46090</v>
      </c>
      <c r="D937" t="inlineStr">
        <is>
          <t>JÄMTLANDS LÄN</t>
        </is>
      </c>
      <c r="E937" t="inlineStr">
        <is>
          <t>RAGUNDA</t>
        </is>
      </c>
      <c r="G937" t="n">
        <v>4.9</v>
      </c>
      <c r="H937" t="n">
        <v>0</v>
      </c>
      <c r="I937" t="n">
        <v>0</v>
      </c>
      <c r="J937" t="n">
        <v>0</v>
      </c>
      <c r="K937" t="n">
        <v>0</v>
      </c>
      <c r="L937" t="n">
        <v>0</v>
      </c>
      <c r="M937" t="n">
        <v>0</v>
      </c>
      <c r="N937" t="n">
        <v>0</v>
      </c>
      <c r="O937" t="n">
        <v>0</v>
      </c>
      <c r="P937" t="n">
        <v>0</v>
      </c>
      <c r="Q937" t="n">
        <v>0</v>
      </c>
      <c r="R937" s="2" t="inlineStr"/>
    </row>
    <row r="938" ht="15" customHeight="1">
      <c r="A938" t="inlineStr">
        <is>
          <t>A 60775-2025</t>
        </is>
      </c>
      <c r="B938" s="1" t="n">
        <v>45999.3905787037</v>
      </c>
      <c r="C938" s="1" t="n">
        <v>46090</v>
      </c>
      <c r="D938" t="inlineStr">
        <is>
          <t>JÄMTLANDS LÄN</t>
        </is>
      </c>
      <c r="E938" t="inlineStr">
        <is>
          <t>RAGUNDA</t>
        </is>
      </c>
      <c r="G938" t="n">
        <v>15.7</v>
      </c>
      <c r="H938" t="n">
        <v>0</v>
      </c>
      <c r="I938" t="n">
        <v>0</v>
      </c>
      <c r="J938" t="n">
        <v>0</v>
      </c>
      <c r="K938" t="n">
        <v>0</v>
      </c>
      <c r="L938" t="n">
        <v>0</v>
      </c>
      <c r="M938" t="n">
        <v>0</v>
      </c>
      <c r="N938" t="n">
        <v>0</v>
      </c>
      <c r="O938" t="n">
        <v>0</v>
      </c>
      <c r="P938" t="n">
        <v>0</v>
      </c>
      <c r="Q938" t="n">
        <v>0</v>
      </c>
      <c r="R938" s="2" t="inlineStr"/>
    </row>
    <row r="939" ht="15" customHeight="1">
      <c r="A939" t="inlineStr">
        <is>
          <t>A 12522-2023</t>
        </is>
      </c>
      <c r="B939" s="1" t="n">
        <v>45000</v>
      </c>
      <c r="C939" s="1" t="n">
        <v>46090</v>
      </c>
      <c r="D939" t="inlineStr">
        <is>
          <t>JÄMTLANDS LÄN</t>
        </is>
      </c>
      <c r="E939" t="inlineStr">
        <is>
          <t>RAGUNDA</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12523-2023</t>
        </is>
      </c>
      <c r="B940" s="1" t="n">
        <v>45000</v>
      </c>
      <c r="C940" s="1" t="n">
        <v>46090</v>
      </c>
      <c r="D940" t="inlineStr">
        <is>
          <t>JÄMTLANDS LÄN</t>
        </is>
      </c>
      <c r="E940" t="inlineStr">
        <is>
          <t>RAGUNDA</t>
        </is>
      </c>
      <c r="F940" t="inlineStr">
        <is>
          <t>SCA</t>
        </is>
      </c>
      <c r="G940" t="n">
        <v>14.3</v>
      </c>
      <c r="H940" t="n">
        <v>0</v>
      </c>
      <c r="I940" t="n">
        <v>0</v>
      </c>
      <c r="J940" t="n">
        <v>0</v>
      </c>
      <c r="K940" t="n">
        <v>0</v>
      </c>
      <c r="L940" t="n">
        <v>0</v>
      </c>
      <c r="M940" t="n">
        <v>0</v>
      </c>
      <c r="N940" t="n">
        <v>0</v>
      </c>
      <c r="O940" t="n">
        <v>0</v>
      </c>
      <c r="P940" t="n">
        <v>0</v>
      </c>
      <c r="Q940" t="n">
        <v>0</v>
      </c>
      <c r="R940" s="2" t="inlineStr"/>
    </row>
    <row r="941" ht="15" customHeight="1">
      <c r="A941" t="inlineStr">
        <is>
          <t>A 24861-2023</t>
        </is>
      </c>
      <c r="B941" s="1" t="n">
        <v>45078</v>
      </c>
      <c r="C941" s="1" t="n">
        <v>46090</v>
      </c>
      <c r="D941" t="inlineStr">
        <is>
          <t>JÄMTLANDS LÄN</t>
        </is>
      </c>
      <c r="E941" t="inlineStr">
        <is>
          <t>RAGUNDA</t>
        </is>
      </c>
      <c r="G941" t="n">
        <v>1.3</v>
      </c>
      <c r="H941" t="n">
        <v>0</v>
      </c>
      <c r="I941" t="n">
        <v>0</v>
      </c>
      <c r="J941" t="n">
        <v>0</v>
      </c>
      <c r="K941" t="n">
        <v>0</v>
      </c>
      <c r="L941" t="n">
        <v>0</v>
      </c>
      <c r="M941" t="n">
        <v>0</v>
      </c>
      <c r="N941" t="n">
        <v>0</v>
      </c>
      <c r="O941" t="n">
        <v>0</v>
      </c>
      <c r="P941" t="n">
        <v>0</v>
      </c>
      <c r="Q941" t="n">
        <v>0</v>
      </c>
      <c r="R941" s="2" t="inlineStr"/>
    </row>
    <row r="942" ht="15" customHeight="1">
      <c r="A942" t="inlineStr">
        <is>
          <t>A 60760-2025</t>
        </is>
      </c>
      <c r="B942" s="1" t="n">
        <v>45999.38597222222</v>
      </c>
      <c r="C942" s="1" t="n">
        <v>46090</v>
      </c>
      <c r="D942" t="inlineStr">
        <is>
          <t>JÄMTLANDS LÄN</t>
        </is>
      </c>
      <c r="E942" t="inlineStr">
        <is>
          <t>RAGUNDA</t>
        </is>
      </c>
      <c r="F942" t="inlineStr">
        <is>
          <t>SCA</t>
        </is>
      </c>
      <c r="G942" t="n">
        <v>5.6</v>
      </c>
      <c r="H942" t="n">
        <v>0</v>
      </c>
      <c r="I942" t="n">
        <v>0</v>
      </c>
      <c r="J942" t="n">
        <v>0</v>
      </c>
      <c r="K942" t="n">
        <v>0</v>
      </c>
      <c r="L942" t="n">
        <v>0</v>
      </c>
      <c r="M942" t="n">
        <v>0</v>
      </c>
      <c r="N942" t="n">
        <v>0</v>
      </c>
      <c r="O942" t="n">
        <v>0</v>
      </c>
      <c r="P942" t="n">
        <v>0</v>
      </c>
      <c r="Q942" t="n">
        <v>0</v>
      </c>
      <c r="R942" s="2" t="inlineStr"/>
    </row>
    <row r="943" ht="15" customHeight="1">
      <c r="A943" t="inlineStr">
        <is>
          <t>A 13905-2025</t>
        </is>
      </c>
      <c r="B943" s="1" t="n">
        <v>45737.63574074074</v>
      </c>
      <c r="C943" s="1" t="n">
        <v>46090</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13941-2025</t>
        </is>
      </c>
      <c r="B944" s="1" t="n">
        <v>45737.69822916666</v>
      </c>
      <c r="C944" s="1" t="n">
        <v>46090</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60630-2025</t>
        </is>
      </c>
      <c r="B945" s="1" t="n">
        <v>45996.42120370371</v>
      </c>
      <c r="C945" s="1" t="n">
        <v>46090</v>
      </c>
      <c r="D945" t="inlineStr">
        <is>
          <t>JÄMTLANDS LÄN</t>
        </is>
      </c>
      <c r="E945" t="inlineStr">
        <is>
          <t>RAGUNDA</t>
        </is>
      </c>
      <c r="G945" t="n">
        <v>13.2</v>
      </c>
      <c r="H945" t="n">
        <v>0</v>
      </c>
      <c r="I945" t="n">
        <v>0</v>
      </c>
      <c r="J945" t="n">
        <v>0</v>
      </c>
      <c r="K945" t="n">
        <v>0</v>
      </c>
      <c r="L945" t="n">
        <v>0</v>
      </c>
      <c r="M945" t="n">
        <v>0</v>
      </c>
      <c r="N945" t="n">
        <v>0</v>
      </c>
      <c r="O945" t="n">
        <v>0</v>
      </c>
      <c r="P945" t="n">
        <v>0</v>
      </c>
      <c r="Q945" t="n">
        <v>0</v>
      </c>
      <c r="R945" s="2" t="inlineStr"/>
    </row>
    <row r="946" ht="15" customHeight="1">
      <c r="A946" t="inlineStr">
        <is>
          <t>A 61233-2025</t>
        </is>
      </c>
      <c r="B946" s="1" t="n">
        <v>46000.6359837963</v>
      </c>
      <c r="C946" s="1" t="n">
        <v>46090</v>
      </c>
      <c r="D946" t="inlineStr">
        <is>
          <t>JÄMTLANDS LÄN</t>
        </is>
      </c>
      <c r="E946" t="inlineStr">
        <is>
          <t>RAGUNDA</t>
        </is>
      </c>
      <c r="F946" t="inlineStr">
        <is>
          <t>SCA</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61509-2025</t>
        </is>
      </c>
      <c r="B947" s="1" t="n">
        <v>46001.68189814815</v>
      </c>
      <c r="C947" s="1" t="n">
        <v>46090</v>
      </c>
      <c r="D947" t="inlineStr">
        <is>
          <t>JÄMTLANDS LÄN</t>
        </is>
      </c>
      <c r="E947" t="inlineStr">
        <is>
          <t>RAGUNDA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3065-2026</t>
        </is>
      </c>
      <c r="B948" s="1" t="n">
        <v>46040.47866898148</v>
      </c>
      <c r="C948" s="1" t="n">
        <v>46090</v>
      </c>
      <c r="D948" t="inlineStr">
        <is>
          <t>JÄMTLANDS LÄN</t>
        </is>
      </c>
      <c r="E948" t="inlineStr">
        <is>
          <t>RAGUNDA</t>
        </is>
      </c>
      <c r="G948" t="n">
        <v>2</v>
      </c>
      <c r="H948" t="n">
        <v>0</v>
      </c>
      <c r="I948" t="n">
        <v>0</v>
      </c>
      <c r="J948" t="n">
        <v>0</v>
      </c>
      <c r="K948" t="n">
        <v>0</v>
      </c>
      <c r="L948" t="n">
        <v>0</v>
      </c>
      <c r="M948" t="n">
        <v>0</v>
      </c>
      <c r="N948" t="n">
        <v>0</v>
      </c>
      <c r="O948" t="n">
        <v>0</v>
      </c>
      <c r="P948" t="n">
        <v>0</v>
      </c>
      <c r="Q948" t="n">
        <v>0</v>
      </c>
      <c r="R948" s="2" t="inlineStr"/>
    </row>
    <row r="949" ht="15" customHeight="1">
      <c r="A949" t="inlineStr">
        <is>
          <t>A 61266-2025</t>
        </is>
      </c>
      <c r="B949" s="1" t="n">
        <v>46000.67784722222</v>
      </c>
      <c r="C949" s="1" t="n">
        <v>46090</v>
      </c>
      <c r="D949" t="inlineStr">
        <is>
          <t>JÄMTLANDS LÄN</t>
        </is>
      </c>
      <c r="E949" t="inlineStr">
        <is>
          <t>RAGUNDA</t>
        </is>
      </c>
      <c r="G949" t="n">
        <v>7.9</v>
      </c>
      <c r="H949" t="n">
        <v>0</v>
      </c>
      <c r="I949" t="n">
        <v>0</v>
      </c>
      <c r="J949" t="n">
        <v>0</v>
      </c>
      <c r="K949" t="n">
        <v>0</v>
      </c>
      <c r="L949" t="n">
        <v>0</v>
      </c>
      <c r="M949" t="n">
        <v>0</v>
      </c>
      <c r="N949" t="n">
        <v>0</v>
      </c>
      <c r="O949" t="n">
        <v>0</v>
      </c>
      <c r="P949" t="n">
        <v>0</v>
      </c>
      <c r="Q949" t="n">
        <v>0</v>
      </c>
      <c r="R949" s="2" t="inlineStr"/>
    </row>
    <row r="950" ht="15" customHeight="1">
      <c r="A950" t="inlineStr">
        <is>
          <t>A 51245-2024</t>
        </is>
      </c>
      <c r="B950" s="1" t="n">
        <v>45603.67850694444</v>
      </c>
      <c r="C950" s="1" t="n">
        <v>46090</v>
      </c>
      <c r="D950" t="inlineStr">
        <is>
          <t>JÄMTLANDS LÄN</t>
        </is>
      </c>
      <c r="E950" t="inlineStr">
        <is>
          <t>RAGUNDA</t>
        </is>
      </c>
      <c r="G950" t="n">
        <v>0.9</v>
      </c>
      <c r="H950" t="n">
        <v>0</v>
      </c>
      <c r="I950" t="n">
        <v>0</v>
      </c>
      <c r="J950" t="n">
        <v>0</v>
      </c>
      <c r="K950" t="n">
        <v>0</v>
      </c>
      <c r="L950" t="n">
        <v>0</v>
      </c>
      <c r="M950" t="n">
        <v>0</v>
      </c>
      <c r="N950" t="n">
        <v>0</v>
      </c>
      <c r="O950" t="n">
        <v>0</v>
      </c>
      <c r="P950" t="n">
        <v>0</v>
      </c>
      <c r="Q950" t="n">
        <v>0</v>
      </c>
      <c r="R950" s="2" t="inlineStr"/>
    </row>
    <row r="951" ht="15" customHeight="1">
      <c r="A951" t="inlineStr">
        <is>
          <t>A 53955-2022</t>
        </is>
      </c>
      <c r="B951" s="1" t="n">
        <v>44880.95741898148</v>
      </c>
      <c r="C951" s="1" t="n">
        <v>46090</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61755-2025</t>
        </is>
      </c>
      <c r="B952" s="1" t="n">
        <v>46002</v>
      </c>
      <c r="C952" s="1" t="n">
        <v>46090</v>
      </c>
      <c r="D952" t="inlineStr">
        <is>
          <t>JÄMTLANDS LÄN</t>
        </is>
      </c>
      <c r="E952" t="inlineStr">
        <is>
          <t>RAGUNDA</t>
        </is>
      </c>
      <c r="G952" t="n">
        <v>0.9</v>
      </c>
      <c r="H952" t="n">
        <v>0</v>
      </c>
      <c r="I952" t="n">
        <v>0</v>
      </c>
      <c r="J952" t="n">
        <v>0</v>
      </c>
      <c r="K952" t="n">
        <v>0</v>
      </c>
      <c r="L952" t="n">
        <v>0</v>
      </c>
      <c r="M952" t="n">
        <v>0</v>
      </c>
      <c r="N952" t="n">
        <v>0</v>
      </c>
      <c r="O952" t="n">
        <v>0</v>
      </c>
      <c r="P952" t="n">
        <v>0</v>
      </c>
      <c r="Q952" t="n">
        <v>0</v>
      </c>
      <c r="R952" s="2" t="inlineStr"/>
    </row>
    <row r="953" ht="15" customHeight="1">
      <c r="A953" t="inlineStr">
        <is>
          <t>A 11832-2026</t>
        </is>
      </c>
      <c r="B953" s="1" t="n">
        <v>46085.42788194444</v>
      </c>
      <c r="C953" s="1" t="n">
        <v>46090</v>
      </c>
      <c r="D953" t="inlineStr">
        <is>
          <t>JÄMTLANDS LÄN</t>
        </is>
      </c>
      <c r="E953" t="inlineStr">
        <is>
          <t>RAGUNDA</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41772-2024</t>
        </is>
      </c>
      <c r="B954" s="1" t="n">
        <v>45561.34663194444</v>
      </c>
      <c r="C954" s="1" t="n">
        <v>46090</v>
      </c>
      <c r="D954" t="inlineStr">
        <is>
          <t>JÄMTLANDS LÄN</t>
        </is>
      </c>
      <c r="E954" t="inlineStr">
        <is>
          <t>RAGUNDA</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10972-2022</t>
        </is>
      </c>
      <c r="B955" s="1" t="n">
        <v>44628</v>
      </c>
      <c r="C955" s="1" t="n">
        <v>46090</v>
      </c>
      <c r="D955" t="inlineStr">
        <is>
          <t>JÄMTLANDS LÄN</t>
        </is>
      </c>
      <c r="E955" t="inlineStr">
        <is>
          <t>RAGUNDA</t>
        </is>
      </c>
      <c r="G955" t="n">
        <v>9.5</v>
      </c>
      <c r="H955" t="n">
        <v>0</v>
      </c>
      <c r="I955" t="n">
        <v>0</v>
      </c>
      <c r="J955" t="n">
        <v>0</v>
      </c>
      <c r="K955" t="n">
        <v>0</v>
      </c>
      <c r="L955" t="n">
        <v>0</v>
      </c>
      <c r="M955" t="n">
        <v>0</v>
      </c>
      <c r="N955" t="n">
        <v>0</v>
      </c>
      <c r="O955" t="n">
        <v>0</v>
      </c>
      <c r="P955" t="n">
        <v>0</v>
      </c>
      <c r="Q955" t="n">
        <v>0</v>
      </c>
      <c r="R955" s="2" t="inlineStr"/>
    </row>
    <row r="956" ht="15" customHeight="1">
      <c r="A956" t="inlineStr">
        <is>
          <t>A 11834-2023</t>
        </is>
      </c>
      <c r="B956" s="1" t="n">
        <v>44994.94296296296</v>
      </c>
      <c r="C956" s="1" t="n">
        <v>46090</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3841-2026</t>
        </is>
      </c>
      <c r="B957" s="1" t="n">
        <v>46043</v>
      </c>
      <c r="C957" s="1" t="n">
        <v>46090</v>
      </c>
      <c r="D957" t="inlineStr">
        <is>
          <t>JÄMTLANDS LÄN</t>
        </is>
      </c>
      <c r="E957" t="inlineStr">
        <is>
          <t>RAGUNDA</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11882-2026</t>
        </is>
      </c>
      <c r="B958" s="1" t="n">
        <v>46085.504375</v>
      </c>
      <c r="C958" s="1" t="n">
        <v>46090</v>
      </c>
      <c r="D958" t="inlineStr">
        <is>
          <t>JÄMTLANDS LÄN</t>
        </is>
      </c>
      <c r="E958" t="inlineStr">
        <is>
          <t>RAGUNDA</t>
        </is>
      </c>
      <c r="G958" t="n">
        <v>7</v>
      </c>
      <c r="H958" t="n">
        <v>0</v>
      </c>
      <c r="I958" t="n">
        <v>0</v>
      </c>
      <c r="J958" t="n">
        <v>0</v>
      </c>
      <c r="K958" t="n">
        <v>0</v>
      </c>
      <c r="L958" t="n">
        <v>0</v>
      </c>
      <c r="M958" t="n">
        <v>0</v>
      </c>
      <c r="N958" t="n">
        <v>0</v>
      </c>
      <c r="O958" t="n">
        <v>0</v>
      </c>
      <c r="P958" t="n">
        <v>0</v>
      </c>
      <c r="Q958" t="n">
        <v>0</v>
      </c>
      <c r="R958" s="2" t="inlineStr"/>
    </row>
    <row r="959" ht="15" customHeight="1">
      <c r="A959" t="inlineStr">
        <is>
          <t>A 61697-2025</t>
        </is>
      </c>
      <c r="B959" s="1" t="n">
        <v>46002</v>
      </c>
      <c r="C959" s="1" t="n">
        <v>46090</v>
      </c>
      <c r="D959" t="inlineStr">
        <is>
          <t>JÄMTLANDS LÄN</t>
        </is>
      </c>
      <c r="E959" t="inlineStr">
        <is>
          <t>RAGUNDA</t>
        </is>
      </c>
      <c r="G959" t="n">
        <v>1.3</v>
      </c>
      <c r="H959" t="n">
        <v>0</v>
      </c>
      <c r="I959" t="n">
        <v>0</v>
      </c>
      <c r="J959" t="n">
        <v>0</v>
      </c>
      <c r="K959" t="n">
        <v>0</v>
      </c>
      <c r="L959" t="n">
        <v>0</v>
      </c>
      <c r="M959" t="n">
        <v>0</v>
      </c>
      <c r="N959" t="n">
        <v>0</v>
      </c>
      <c r="O959" t="n">
        <v>0</v>
      </c>
      <c r="P959" t="n">
        <v>0</v>
      </c>
      <c r="Q959" t="n">
        <v>0</v>
      </c>
      <c r="R959" s="2" t="inlineStr"/>
    </row>
    <row r="960" ht="15" customHeight="1">
      <c r="A960" t="inlineStr">
        <is>
          <t>A 17559-2023</t>
        </is>
      </c>
      <c r="B960" s="1" t="n">
        <v>45034</v>
      </c>
      <c r="C960" s="1" t="n">
        <v>46090</v>
      </c>
      <c r="D960" t="inlineStr">
        <is>
          <t>JÄMTLANDS LÄN</t>
        </is>
      </c>
      <c r="E960" t="inlineStr">
        <is>
          <t>RAGUNDA</t>
        </is>
      </c>
      <c r="G960" t="n">
        <v>7.5</v>
      </c>
      <c r="H960" t="n">
        <v>0</v>
      </c>
      <c r="I960" t="n">
        <v>0</v>
      </c>
      <c r="J960" t="n">
        <v>0</v>
      </c>
      <c r="K960" t="n">
        <v>0</v>
      </c>
      <c r="L960" t="n">
        <v>0</v>
      </c>
      <c r="M960" t="n">
        <v>0</v>
      </c>
      <c r="N960" t="n">
        <v>0</v>
      </c>
      <c r="O960" t="n">
        <v>0</v>
      </c>
      <c r="P960" t="n">
        <v>0</v>
      </c>
      <c r="Q960" t="n">
        <v>0</v>
      </c>
      <c r="R960" s="2" t="inlineStr"/>
    </row>
    <row r="961" ht="15" customHeight="1">
      <c r="A961" t="inlineStr">
        <is>
          <t>A 38312-2024</t>
        </is>
      </c>
      <c r="B961" s="1" t="n">
        <v>45545.64957175926</v>
      </c>
      <c r="C961" s="1" t="n">
        <v>46090</v>
      </c>
      <c r="D961" t="inlineStr">
        <is>
          <t>JÄMTLANDS LÄN</t>
        </is>
      </c>
      <c r="E961" t="inlineStr">
        <is>
          <t>RAGUNDA</t>
        </is>
      </c>
      <c r="G961" t="n">
        <v>1.2</v>
      </c>
      <c r="H961" t="n">
        <v>0</v>
      </c>
      <c r="I961" t="n">
        <v>0</v>
      </c>
      <c r="J961" t="n">
        <v>0</v>
      </c>
      <c r="K961" t="n">
        <v>0</v>
      </c>
      <c r="L961" t="n">
        <v>0</v>
      </c>
      <c r="M961" t="n">
        <v>0</v>
      </c>
      <c r="N961" t="n">
        <v>0</v>
      </c>
      <c r="O961" t="n">
        <v>0</v>
      </c>
      <c r="P961" t="n">
        <v>0</v>
      </c>
      <c r="Q961" t="n">
        <v>0</v>
      </c>
      <c r="R961" s="2" t="inlineStr"/>
    </row>
    <row r="962" ht="15" customHeight="1">
      <c r="A962" t="inlineStr">
        <is>
          <t>A 5073-2026</t>
        </is>
      </c>
      <c r="B962" s="1" t="n">
        <v>46049.51126157407</v>
      </c>
      <c r="C962" s="1" t="n">
        <v>46090</v>
      </c>
      <c r="D962" t="inlineStr">
        <is>
          <t>JÄMTLANDS LÄN</t>
        </is>
      </c>
      <c r="E962" t="inlineStr">
        <is>
          <t>RAGUNDA</t>
        </is>
      </c>
      <c r="G962" t="n">
        <v>5.9</v>
      </c>
      <c r="H962" t="n">
        <v>0</v>
      </c>
      <c r="I962" t="n">
        <v>0</v>
      </c>
      <c r="J962" t="n">
        <v>0</v>
      </c>
      <c r="K962" t="n">
        <v>0</v>
      </c>
      <c r="L962" t="n">
        <v>0</v>
      </c>
      <c r="M962" t="n">
        <v>0</v>
      </c>
      <c r="N962" t="n">
        <v>0</v>
      </c>
      <c r="O962" t="n">
        <v>0</v>
      </c>
      <c r="P962" t="n">
        <v>0</v>
      </c>
      <c r="Q962" t="n">
        <v>0</v>
      </c>
      <c r="R962" s="2" t="inlineStr"/>
    </row>
    <row r="963" ht="15" customHeight="1">
      <c r="A963" t="inlineStr">
        <is>
          <t>A 32832-2021</t>
        </is>
      </c>
      <c r="B963" s="1" t="n">
        <v>44375</v>
      </c>
      <c r="C963" s="1" t="n">
        <v>46090</v>
      </c>
      <c r="D963" t="inlineStr">
        <is>
          <t>JÄMTLANDS LÄN</t>
        </is>
      </c>
      <c r="E963" t="inlineStr">
        <is>
          <t>RAGUNDA</t>
        </is>
      </c>
      <c r="G963" t="n">
        <v>3</v>
      </c>
      <c r="H963" t="n">
        <v>0</v>
      </c>
      <c r="I963" t="n">
        <v>0</v>
      </c>
      <c r="J963" t="n">
        <v>0</v>
      </c>
      <c r="K963" t="n">
        <v>0</v>
      </c>
      <c r="L963" t="n">
        <v>0</v>
      </c>
      <c r="M963" t="n">
        <v>0</v>
      </c>
      <c r="N963" t="n">
        <v>0</v>
      </c>
      <c r="O963" t="n">
        <v>0</v>
      </c>
      <c r="P963" t="n">
        <v>0</v>
      </c>
      <c r="Q963" t="n">
        <v>0</v>
      </c>
      <c r="R963" s="2" t="inlineStr"/>
    </row>
    <row r="964" ht="15" customHeight="1">
      <c r="A964" t="inlineStr">
        <is>
          <t>A 5009-2026</t>
        </is>
      </c>
      <c r="B964" s="1" t="n">
        <v>46049.42839120371</v>
      </c>
      <c r="C964" s="1" t="n">
        <v>46090</v>
      </c>
      <c r="D964" t="inlineStr">
        <is>
          <t>JÄMTLANDS LÄN</t>
        </is>
      </c>
      <c r="E964" t="inlineStr">
        <is>
          <t>RAGUNDA</t>
        </is>
      </c>
      <c r="F964" t="inlineStr">
        <is>
          <t>SCA</t>
        </is>
      </c>
      <c r="G964" t="n">
        <v>37.4</v>
      </c>
      <c r="H964" t="n">
        <v>0</v>
      </c>
      <c r="I964" t="n">
        <v>0</v>
      </c>
      <c r="J964" t="n">
        <v>0</v>
      </c>
      <c r="K964" t="n">
        <v>0</v>
      </c>
      <c r="L964" t="n">
        <v>0</v>
      </c>
      <c r="M964" t="n">
        <v>0</v>
      </c>
      <c r="N964" t="n">
        <v>0</v>
      </c>
      <c r="O964" t="n">
        <v>0</v>
      </c>
      <c r="P964" t="n">
        <v>0</v>
      </c>
      <c r="Q964" t="n">
        <v>0</v>
      </c>
      <c r="R964" s="2" t="inlineStr"/>
    </row>
    <row r="965" ht="15" customHeight="1">
      <c r="A965" t="inlineStr">
        <is>
          <t>A 22011-2023</t>
        </is>
      </c>
      <c r="B965" s="1" t="n">
        <v>45068</v>
      </c>
      <c r="C965" s="1" t="n">
        <v>46090</v>
      </c>
      <c r="D965" t="inlineStr">
        <is>
          <t>JÄMTLANDS LÄN</t>
        </is>
      </c>
      <c r="E965" t="inlineStr">
        <is>
          <t>RAGUNDA</t>
        </is>
      </c>
      <c r="F965" t="inlineStr">
        <is>
          <t>SCA</t>
        </is>
      </c>
      <c r="G965" t="n">
        <v>12.2</v>
      </c>
      <c r="H965" t="n">
        <v>0</v>
      </c>
      <c r="I965" t="n">
        <v>0</v>
      </c>
      <c r="J965" t="n">
        <v>0</v>
      </c>
      <c r="K965" t="n">
        <v>0</v>
      </c>
      <c r="L965" t="n">
        <v>0</v>
      </c>
      <c r="M965" t="n">
        <v>0</v>
      </c>
      <c r="N965" t="n">
        <v>0</v>
      </c>
      <c r="O965" t="n">
        <v>0</v>
      </c>
      <c r="P965" t="n">
        <v>0</v>
      </c>
      <c r="Q965" t="n">
        <v>0</v>
      </c>
      <c r="R965" s="2" t="inlineStr"/>
    </row>
    <row r="966" ht="15" customHeight="1">
      <c r="A966" t="inlineStr">
        <is>
          <t>A 62490-2025</t>
        </is>
      </c>
      <c r="B966" s="1" t="n">
        <v>46007.5697337963</v>
      </c>
      <c r="C966" s="1" t="n">
        <v>46090</v>
      </c>
      <c r="D966" t="inlineStr">
        <is>
          <t>JÄMTLANDS LÄN</t>
        </is>
      </c>
      <c r="E966" t="inlineStr">
        <is>
          <t>RAGUNDA</t>
        </is>
      </c>
      <c r="F966" t="inlineStr">
        <is>
          <t>Kommuner</t>
        </is>
      </c>
      <c r="G966" t="n">
        <v>0.8</v>
      </c>
      <c r="H966" t="n">
        <v>0</v>
      </c>
      <c r="I966" t="n">
        <v>0</v>
      </c>
      <c r="J966" t="n">
        <v>0</v>
      </c>
      <c r="K966" t="n">
        <v>0</v>
      </c>
      <c r="L966" t="n">
        <v>0</v>
      </c>
      <c r="M966" t="n">
        <v>0</v>
      </c>
      <c r="N966" t="n">
        <v>0</v>
      </c>
      <c r="O966" t="n">
        <v>0</v>
      </c>
      <c r="P966" t="n">
        <v>0</v>
      </c>
      <c r="Q966" t="n">
        <v>0</v>
      </c>
      <c r="R966" s="2" t="inlineStr"/>
    </row>
    <row r="967" ht="15" customHeight="1">
      <c r="A967" t="inlineStr">
        <is>
          <t>A 11876-2026</t>
        </is>
      </c>
      <c r="B967" s="1" t="n">
        <v>46085.50024305555</v>
      </c>
      <c r="C967" s="1" t="n">
        <v>46090</v>
      </c>
      <c r="D967" t="inlineStr">
        <is>
          <t>JÄMTLANDS LÄN</t>
        </is>
      </c>
      <c r="E967" t="inlineStr">
        <is>
          <t>RAGUNDA</t>
        </is>
      </c>
      <c r="G967" t="n">
        <v>2.4</v>
      </c>
      <c r="H967" t="n">
        <v>0</v>
      </c>
      <c r="I967" t="n">
        <v>0</v>
      </c>
      <c r="J967" t="n">
        <v>0</v>
      </c>
      <c r="K967" t="n">
        <v>0</v>
      </c>
      <c r="L967" t="n">
        <v>0</v>
      </c>
      <c r="M967" t="n">
        <v>0</v>
      </c>
      <c r="N967" t="n">
        <v>0</v>
      </c>
      <c r="O967" t="n">
        <v>0</v>
      </c>
      <c r="P967" t="n">
        <v>0</v>
      </c>
      <c r="Q967" t="n">
        <v>0</v>
      </c>
      <c r="R967" s="2" t="inlineStr"/>
    </row>
    <row r="968" ht="15" customHeight="1">
      <c r="A968" t="inlineStr">
        <is>
          <t>A 14158-2024</t>
        </is>
      </c>
      <c r="B968" s="1" t="n">
        <v>45392</v>
      </c>
      <c r="C968" s="1" t="n">
        <v>46090</v>
      </c>
      <c r="D968" t="inlineStr">
        <is>
          <t>JÄMTLANDS LÄN</t>
        </is>
      </c>
      <c r="E968" t="inlineStr">
        <is>
          <t>RAGUNDA</t>
        </is>
      </c>
      <c r="G968" t="n">
        <v>0.7</v>
      </c>
      <c r="H968" t="n">
        <v>0</v>
      </c>
      <c r="I968" t="n">
        <v>0</v>
      </c>
      <c r="J968" t="n">
        <v>0</v>
      </c>
      <c r="K968" t="n">
        <v>0</v>
      </c>
      <c r="L968" t="n">
        <v>0</v>
      </c>
      <c r="M968" t="n">
        <v>0</v>
      </c>
      <c r="N968" t="n">
        <v>0</v>
      </c>
      <c r="O968" t="n">
        <v>0</v>
      </c>
      <c r="P968" t="n">
        <v>0</v>
      </c>
      <c r="Q968" t="n">
        <v>0</v>
      </c>
      <c r="R968" s="2" t="inlineStr"/>
    </row>
    <row r="969" ht="15" customHeight="1">
      <c r="A969" t="inlineStr">
        <is>
          <t>A 4616-2026</t>
        </is>
      </c>
      <c r="B969" s="1" t="n">
        <v>46048.37070601852</v>
      </c>
      <c r="C969" s="1" t="n">
        <v>46090</v>
      </c>
      <c r="D969" t="inlineStr">
        <is>
          <t>JÄMTLANDS LÄN</t>
        </is>
      </c>
      <c r="E969" t="inlineStr">
        <is>
          <t>RAGUNDA</t>
        </is>
      </c>
      <c r="G969" t="n">
        <v>2.4</v>
      </c>
      <c r="H969" t="n">
        <v>0</v>
      </c>
      <c r="I969" t="n">
        <v>0</v>
      </c>
      <c r="J969" t="n">
        <v>0</v>
      </c>
      <c r="K969" t="n">
        <v>0</v>
      </c>
      <c r="L969" t="n">
        <v>0</v>
      </c>
      <c r="M969" t="n">
        <v>0</v>
      </c>
      <c r="N969" t="n">
        <v>0</v>
      </c>
      <c r="O969" t="n">
        <v>0</v>
      </c>
      <c r="P969" t="n">
        <v>0</v>
      </c>
      <c r="Q969" t="n">
        <v>0</v>
      </c>
      <c r="R969" s="2" t="inlineStr"/>
    </row>
    <row r="970" ht="15" customHeight="1">
      <c r="A970" t="inlineStr">
        <is>
          <t>A 4628-2026</t>
        </is>
      </c>
      <c r="B970" s="1" t="n">
        <v>46048.3862037037</v>
      </c>
      <c r="C970" s="1" t="n">
        <v>46090</v>
      </c>
      <c r="D970" t="inlineStr">
        <is>
          <t>JÄMTLANDS LÄN</t>
        </is>
      </c>
      <c r="E970" t="inlineStr">
        <is>
          <t>RAGUNDA</t>
        </is>
      </c>
      <c r="G970" t="n">
        <v>0.3</v>
      </c>
      <c r="H970" t="n">
        <v>0</v>
      </c>
      <c r="I970" t="n">
        <v>0</v>
      </c>
      <c r="J970" t="n">
        <v>0</v>
      </c>
      <c r="K970" t="n">
        <v>0</v>
      </c>
      <c r="L970" t="n">
        <v>0</v>
      </c>
      <c r="M970" t="n">
        <v>0</v>
      </c>
      <c r="N970" t="n">
        <v>0</v>
      </c>
      <c r="O970" t="n">
        <v>0</v>
      </c>
      <c r="P970" t="n">
        <v>0</v>
      </c>
      <c r="Q970" t="n">
        <v>0</v>
      </c>
      <c r="R970" s="2" t="inlineStr"/>
    </row>
    <row r="971" ht="15" customHeight="1">
      <c r="A971" t="inlineStr">
        <is>
          <t>A 62436-2025</t>
        </is>
      </c>
      <c r="B971" s="1" t="n">
        <v>46007</v>
      </c>
      <c r="C971" s="1" t="n">
        <v>46090</v>
      </c>
      <c r="D971" t="inlineStr">
        <is>
          <t>JÄMTLANDS LÄN</t>
        </is>
      </c>
      <c r="E971" t="inlineStr">
        <is>
          <t>RAGUNDA</t>
        </is>
      </c>
      <c r="G971" t="n">
        <v>0.7</v>
      </c>
      <c r="H971" t="n">
        <v>0</v>
      </c>
      <c r="I971" t="n">
        <v>0</v>
      </c>
      <c r="J971" t="n">
        <v>0</v>
      </c>
      <c r="K971" t="n">
        <v>0</v>
      </c>
      <c r="L971" t="n">
        <v>0</v>
      </c>
      <c r="M971" t="n">
        <v>0</v>
      </c>
      <c r="N971" t="n">
        <v>0</v>
      </c>
      <c r="O971" t="n">
        <v>0</v>
      </c>
      <c r="P971" t="n">
        <v>0</v>
      </c>
      <c r="Q971" t="n">
        <v>0</v>
      </c>
      <c r="R971" s="2" t="inlineStr"/>
    </row>
    <row r="972" ht="15" customHeight="1">
      <c r="A972" t="inlineStr">
        <is>
          <t>A 4839-2026</t>
        </is>
      </c>
      <c r="B972" s="1" t="n">
        <v>46048.61520833334</v>
      </c>
      <c r="C972" s="1" t="n">
        <v>46090</v>
      </c>
      <c r="D972" t="inlineStr">
        <is>
          <t>JÄMTLANDS LÄN</t>
        </is>
      </c>
      <c r="E972" t="inlineStr">
        <is>
          <t>RAGUNDA</t>
        </is>
      </c>
      <c r="F972" t="inlineStr">
        <is>
          <t>SCA</t>
        </is>
      </c>
      <c r="G972" t="n">
        <v>51</v>
      </c>
      <c r="H972" t="n">
        <v>0</v>
      </c>
      <c r="I972" t="n">
        <v>0</v>
      </c>
      <c r="J972" t="n">
        <v>0</v>
      </c>
      <c r="K972" t="n">
        <v>0</v>
      </c>
      <c r="L972" t="n">
        <v>0</v>
      </c>
      <c r="M972" t="n">
        <v>0</v>
      </c>
      <c r="N972" t="n">
        <v>0</v>
      </c>
      <c r="O972" t="n">
        <v>0</v>
      </c>
      <c r="P972" t="n">
        <v>0</v>
      </c>
      <c r="Q972" t="n">
        <v>0</v>
      </c>
      <c r="R972" s="2" t="inlineStr"/>
    </row>
    <row r="973" ht="15" customHeight="1">
      <c r="A973" t="inlineStr">
        <is>
          <t>A 4841-2026</t>
        </is>
      </c>
      <c r="B973" s="1" t="n">
        <v>46048.61550925926</v>
      </c>
      <c r="C973" s="1" t="n">
        <v>46090</v>
      </c>
      <c r="D973" t="inlineStr">
        <is>
          <t>JÄMTLANDS LÄN</t>
        </is>
      </c>
      <c r="E973" t="inlineStr">
        <is>
          <t>RAGUNDA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3813-2026</t>
        </is>
      </c>
      <c r="B974" s="1" t="n">
        <v>46043.58447916667</v>
      </c>
      <c r="C974" s="1" t="n">
        <v>46090</v>
      </c>
      <c r="D974" t="inlineStr">
        <is>
          <t>JÄMTLANDS LÄN</t>
        </is>
      </c>
      <c r="E974" t="inlineStr">
        <is>
          <t>RAGUNDA</t>
        </is>
      </c>
      <c r="F974" t="inlineStr">
        <is>
          <t>SCA</t>
        </is>
      </c>
      <c r="G974" t="n">
        <v>23.2</v>
      </c>
      <c r="H974" t="n">
        <v>0</v>
      </c>
      <c r="I974" t="n">
        <v>0</v>
      </c>
      <c r="J974" t="n">
        <v>0</v>
      </c>
      <c r="K974" t="n">
        <v>0</v>
      </c>
      <c r="L974" t="n">
        <v>0</v>
      </c>
      <c r="M974" t="n">
        <v>0</v>
      </c>
      <c r="N974" t="n">
        <v>0</v>
      </c>
      <c r="O974" t="n">
        <v>0</v>
      </c>
      <c r="P974" t="n">
        <v>0</v>
      </c>
      <c r="Q974" t="n">
        <v>0</v>
      </c>
      <c r="R974" s="2" t="inlineStr"/>
    </row>
    <row r="975" ht="15" customHeight="1">
      <c r="A975" t="inlineStr">
        <is>
          <t>A 3561-2026</t>
        </is>
      </c>
      <c r="B975" s="1" t="n">
        <v>46042.67142361111</v>
      </c>
      <c r="C975" s="1" t="n">
        <v>46090</v>
      </c>
      <c r="D975" t="inlineStr">
        <is>
          <t>JÄMTLANDS LÄN</t>
        </is>
      </c>
      <c r="E975" t="inlineStr">
        <is>
          <t>RAGUNDA</t>
        </is>
      </c>
      <c r="G975" t="n">
        <v>3.8</v>
      </c>
      <c r="H975" t="n">
        <v>0</v>
      </c>
      <c r="I975" t="n">
        <v>0</v>
      </c>
      <c r="J975" t="n">
        <v>0</v>
      </c>
      <c r="K975" t="n">
        <v>0</v>
      </c>
      <c r="L975" t="n">
        <v>0</v>
      </c>
      <c r="M975" t="n">
        <v>0</v>
      </c>
      <c r="N975" t="n">
        <v>0</v>
      </c>
      <c r="O975" t="n">
        <v>0</v>
      </c>
      <c r="P975" t="n">
        <v>0</v>
      </c>
      <c r="Q975" t="n">
        <v>0</v>
      </c>
      <c r="R975" s="2" t="inlineStr"/>
    </row>
    <row r="976" ht="15" customHeight="1">
      <c r="A976" t="inlineStr">
        <is>
          <t>A 4629-2026</t>
        </is>
      </c>
      <c r="B976" s="1" t="n">
        <v>46048.38622685185</v>
      </c>
      <c r="C976" s="1" t="n">
        <v>46090</v>
      </c>
      <c r="D976" t="inlineStr">
        <is>
          <t>JÄMTLANDS LÄN</t>
        </is>
      </c>
      <c r="E976" t="inlineStr">
        <is>
          <t>RAGUNDA</t>
        </is>
      </c>
      <c r="G976" t="n">
        <v>1</v>
      </c>
      <c r="H976" t="n">
        <v>0</v>
      </c>
      <c r="I976" t="n">
        <v>0</v>
      </c>
      <c r="J976" t="n">
        <v>0</v>
      </c>
      <c r="K976" t="n">
        <v>0</v>
      </c>
      <c r="L976" t="n">
        <v>0</v>
      </c>
      <c r="M976" t="n">
        <v>0</v>
      </c>
      <c r="N976" t="n">
        <v>0</v>
      </c>
      <c r="O976" t="n">
        <v>0</v>
      </c>
      <c r="P976" t="n">
        <v>0</v>
      </c>
      <c r="Q976" t="n">
        <v>0</v>
      </c>
      <c r="R976" s="2" t="inlineStr"/>
    </row>
    <row r="977" ht="15" customHeight="1">
      <c r="A977" t="inlineStr">
        <is>
          <t>A 42508-2023</t>
        </is>
      </c>
      <c r="B977" s="1" t="n">
        <v>45180.95907407408</v>
      </c>
      <c r="C977" s="1" t="n">
        <v>46090</v>
      </c>
      <c r="D977" t="inlineStr">
        <is>
          <t>JÄMTLANDS LÄN</t>
        </is>
      </c>
      <c r="E977" t="inlineStr">
        <is>
          <t>RAGUNDA</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62432-2025</t>
        </is>
      </c>
      <c r="B978" s="1" t="n">
        <v>46007</v>
      </c>
      <c r="C978" s="1" t="n">
        <v>46090</v>
      </c>
      <c r="D978" t="inlineStr">
        <is>
          <t>JÄMTLANDS LÄN</t>
        </is>
      </c>
      <c r="E978" t="inlineStr">
        <is>
          <t>RAGUNDA</t>
        </is>
      </c>
      <c r="G978" t="n">
        <v>4.7</v>
      </c>
      <c r="H978" t="n">
        <v>0</v>
      </c>
      <c r="I978" t="n">
        <v>0</v>
      </c>
      <c r="J978" t="n">
        <v>0</v>
      </c>
      <c r="K978" t="n">
        <v>0</v>
      </c>
      <c r="L978" t="n">
        <v>0</v>
      </c>
      <c r="M978" t="n">
        <v>0</v>
      </c>
      <c r="N978" t="n">
        <v>0</v>
      </c>
      <c r="O978" t="n">
        <v>0</v>
      </c>
      <c r="P978" t="n">
        <v>0</v>
      </c>
      <c r="Q978" t="n">
        <v>0</v>
      </c>
      <c r="R978" s="2" t="inlineStr"/>
    </row>
    <row r="979" ht="15" customHeight="1">
      <c r="A979" t="inlineStr">
        <is>
          <t>A 35274-2023</t>
        </is>
      </c>
      <c r="B979" s="1" t="n">
        <v>45145</v>
      </c>
      <c r="C979" s="1" t="n">
        <v>46090</v>
      </c>
      <c r="D979" t="inlineStr">
        <is>
          <t>JÄMTLANDS LÄN</t>
        </is>
      </c>
      <c r="E979" t="inlineStr">
        <is>
          <t>RAGUNDA</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62467-2025</t>
        </is>
      </c>
      <c r="B980" s="1" t="n">
        <v>46007.5108912037</v>
      </c>
      <c r="C980" s="1" t="n">
        <v>46090</v>
      </c>
      <c r="D980" t="inlineStr">
        <is>
          <t>JÄMTLANDS LÄN</t>
        </is>
      </c>
      <c r="E980" t="inlineStr">
        <is>
          <t>RAGUNDA</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4627-2026</t>
        </is>
      </c>
      <c r="B981" s="1" t="n">
        <v>46048.3860300926</v>
      </c>
      <c r="C981" s="1" t="n">
        <v>46090</v>
      </c>
      <c r="D981" t="inlineStr">
        <is>
          <t>JÄMTLANDS LÄN</t>
        </is>
      </c>
      <c r="E981" t="inlineStr">
        <is>
          <t>RAGUNDA</t>
        </is>
      </c>
      <c r="G981" t="n">
        <v>0.5</v>
      </c>
      <c r="H981" t="n">
        <v>0</v>
      </c>
      <c r="I981" t="n">
        <v>0</v>
      </c>
      <c r="J981" t="n">
        <v>0</v>
      </c>
      <c r="K981" t="n">
        <v>0</v>
      </c>
      <c r="L981" t="n">
        <v>0</v>
      </c>
      <c r="M981" t="n">
        <v>0</v>
      </c>
      <c r="N981" t="n">
        <v>0</v>
      </c>
      <c r="O981" t="n">
        <v>0</v>
      </c>
      <c r="P981" t="n">
        <v>0</v>
      </c>
      <c r="Q981" t="n">
        <v>0</v>
      </c>
      <c r="R981" s="2" t="inlineStr"/>
    </row>
    <row r="982" ht="15" customHeight="1">
      <c r="A982" t="inlineStr">
        <is>
          <t>A 63057-2025</t>
        </is>
      </c>
      <c r="B982" s="1" t="n">
        <v>46009.63837962963</v>
      </c>
      <c r="C982" s="1" t="n">
        <v>46090</v>
      </c>
      <c r="D982" t="inlineStr">
        <is>
          <t>JÄMTLANDS LÄN</t>
        </is>
      </c>
      <c r="E982" t="inlineStr">
        <is>
          <t>RAGUNDA</t>
        </is>
      </c>
      <c r="G982" t="n">
        <v>13.7</v>
      </c>
      <c r="H982" t="n">
        <v>0</v>
      </c>
      <c r="I982" t="n">
        <v>0</v>
      </c>
      <c r="J982" t="n">
        <v>0</v>
      </c>
      <c r="K982" t="n">
        <v>0</v>
      </c>
      <c r="L982" t="n">
        <v>0</v>
      </c>
      <c r="M982" t="n">
        <v>0</v>
      </c>
      <c r="N982" t="n">
        <v>0</v>
      </c>
      <c r="O982" t="n">
        <v>0</v>
      </c>
      <c r="P982" t="n">
        <v>0</v>
      </c>
      <c r="Q982" t="n">
        <v>0</v>
      </c>
      <c r="R982" s="2" t="inlineStr"/>
    </row>
    <row r="983" ht="15" customHeight="1">
      <c r="A983" t="inlineStr">
        <is>
          <t>A 5359-2026</t>
        </is>
      </c>
      <c r="B983" s="1" t="n">
        <v>46050.4484837963</v>
      </c>
      <c r="C983" s="1" t="n">
        <v>46090</v>
      </c>
      <c r="D983" t="inlineStr">
        <is>
          <t>JÄMTLANDS LÄN</t>
        </is>
      </c>
      <c r="E983" t="inlineStr">
        <is>
          <t>RAGUNDA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12983-2025</t>
        </is>
      </c>
      <c r="B984" s="1" t="n">
        <v>45734.4633912037</v>
      </c>
      <c r="C984" s="1" t="n">
        <v>46090</v>
      </c>
      <c r="D984" t="inlineStr">
        <is>
          <t>JÄMTLANDS LÄN</t>
        </is>
      </c>
      <c r="E984" t="inlineStr">
        <is>
          <t>RAGUNDA</t>
        </is>
      </c>
      <c r="G984" t="n">
        <v>5.2</v>
      </c>
      <c r="H984" t="n">
        <v>0</v>
      </c>
      <c r="I984" t="n">
        <v>0</v>
      </c>
      <c r="J984" t="n">
        <v>0</v>
      </c>
      <c r="K984" t="n">
        <v>0</v>
      </c>
      <c r="L984" t="n">
        <v>0</v>
      </c>
      <c r="M984" t="n">
        <v>0</v>
      </c>
      <c r="N984" t="n">
        <v>0</v>
      </c>
      <c r="O984" t="n">
        <v>0</v>
      </c>
      <c r="P984" t="n">
        <v>0</v>
      </c>
      <c r="Q984" t="n">
        <v>0</v>
      </c>
      <c r="R984" s="2" t="inlineStr"/>
    </row>
    <row r="985" ht="15" customHeight="1">
      <c r="A985" t="inlineStr">
        <is>
          <t>A 17598-2021</t>
        </is>
      </c>
      <c r="B985" s="1" t="n">
        <v>44299</v>
      </c>
      <c r="C985" s="1" t="n">
        <v>46090</v>
      </c>
      <c r="D985" t="inlineStr">
        <is>
          <t>JÄMTLANDS LÄN</t>
        </is>
      </c>
      <c r="E985" t="inlineStr">
        <is>
          <t>RAGUNDA</t>
        </is>
      </c>
      <c r="G985" t="n">
        <v>4.6</v>
      </c>
      <c r="H985" t="n">
        <v>0</v>
      </c>
      <c r="I985" t="n">
        <v>0</v>
      </c>
      <c r="J985" t="n">
        <v>0</v>
      </c>
      <c r="K985" t="n">
        <v>0</v>
      </c>
      <c r="L985" t="n">
        <v>0</v>
      </c>
      <c r="M985" t="n">
        <v>0</v>
      </c>
      <c r="N985" t="n">
        <v>0</v>
      </c>
      <c r="O985" t="n">
        <v>0</v>
      </c>
      <c r="P985" t="n">
        <v>0</v>
      </c>
      <c r="Q985" t="n">
        <v>0</v>
      </c>
      <c r="R985" s="2" t="inlineStr"/>
    </row>
    <row r="986" ht="15" customHeight="1">
      <c r="A986" t="inlineStr">
        <is>
          <t>A 62691-2025</t>
        </is>
      </c>
      <c r="B986" s="1" t="n">
        <v>46008.4759837963</v>
      </c>
      <c r="C986" s="1" t="n">
        <v>46090</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62927-2025</t>
        </is>
      </c>
      <c r="B987" s="1" t="n">
        <v>46009.38609953703</v>
      </c>
      <c r="C987" s="1" t="n">
        <v>46090</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c r="U987">
        <f>HYPERLINK("https://klasma.github.io/Logging_2303/knärot/A 62927-2025 karta knärot.png", "A 62927-2025")</f>
        <v/>
      </c>
      <c r="V987">
        <f>HYPERLINK("https://klasma.github.io/Logging_2303/klagomål/A 62927-2025 FSC-klagomål.docx", "A 62927-2025")</f>
        <v/>
      </c>
      <c r="W987">
        <f>HYPERLINK("https://klasma.github.io/Logging_2303/klagomålsmail/A 62927-2025 FSC-klagomål mail.docx", "A 62927-2025")</f>
        <v/>
      </c>
      <c r="X987">
        <f>HYPERLINK("https://klasma.github.io/Logging_2303/tillsyn/A 62927-2025 tillsynsbegäran.docx", "A 62927-2025")</f>
        <v/>
      </c>
      <c r="Y987">
        <f>HYPERLINK("https://klasma.github.io/Logging_2303/tillsynsmail/A 62927-2025 tillsynsbegäran mail.docx", "A 62927-2025")</f>
        <v/>
      </c>
    </row>
    <row r="988" ht="15" customHeight="1">
      <c r="A988" t="inlineStr">
        <is>
          <t>A 62638-2025</t>
        </is>
      </c>
      <c r="B988" s="1" t="n">
        <v>46008.36564814814</v>
      </c>
      <c r="C988" s="1" t="n">
        <v>46090</v>
      </c>
      <c r="D988" t="inlineStr">
        <is>
          <t>JÄMTLANDS LÄN</t>
        </is>
      </c>
      <c r="E988" t="inlineStr">
        <is>
          <t>RAGUNDA</t>
        </is>
      </c>
      <c r="G988" t="n">
        <v>0.9</v>
      </c>
      <c r="H988" t="n">
        <v>0</v>
      </c>
      <c r="I988" t="n">
        <v>0</v>
      </c>
      <c r="J988" t="n">
        <v>0</v>
      </c>
      <c r="K988" t="n">
        <v>0</v>
      </c>
      <c r="L988" t="n">
        <v>0</v>
      </c>
      <c r="M988" t="n">
        <v>0</v>
      </c>
      <c r="N988" t="n">
        <v>0</v>
      </c>
      <c r="O988" t="n">
        <v>0</v>
      </c>
      <c r="P988" t="n">
        <v>0</v>
      </c>
      <c r="Q988" t="n">
        <v>0</v>
      </c>
      <c r="R988" s="2" t="inlineStr"/>
    </row>
    <row r="989" ht="15" customHeight="1">
      <c r="A989" t="inlineStr">
        <is>
          <t>A 3938-2024</t>
        </is>
      </c>
      <c r="B989" s="1" t="n">
        <v>45322</v>
      </c>
      <c r="C989" s="1" t="n">
        <v>46090</v>
      </c>
      <c r="D989" t="inlineStr">
        <is>
          <t>JÄMTLANDS LÄN</t>
        </is>
      </c>
      <c r="E989" t="inlineStr">
        <is>
          <t>RAGUNDA</t>
        </is>
      </c>
      <c r="G989" t="n">
        <v>3.2</v>
      </c>
      <c r="H989" t="n">
        <v>0</v>
      </c>
      <c r="I989" t="n">
        <v>0</v>
      </c>
      <c r="J989" t="n">
        <v>0</v>
      </c>
      <c r="K989" t="n">
        <v>0</v>
      </c>
      <c r="L989" t="n">
        <v>0</v>
      </c>
      <c r="M989" t="n">
        <v>0</v>
      </c>
      <c r="N989" t="n">
        <v>0</v>
      </c>
      <c r="O989" t="n">
        <v>0</v>
      </c>
      <c r="P989" t="n">
        <v>0</v>
      </c>
      <c r="Q989" t="n">
        <v>0</v>
      </c>
      <c r="R989" s="2" t="inlineStr"/>
    </row>
    <row r="990" ht="15" customHeight="1">
      <c r="A990" t="inlineStr">
        <is>
          <t>A 63060-2025</t>
        </is>
      </c>
      <c r="B990" s="1" t="n">
        <v>46009.64414351852</v>
      </c>
      <c r="C990" s="1" t="n">
        <v>46090</v>
      </c>
      <c r="D990" t="inlineStr">
        <is>
          <t>JÄMTLANDS LÄN</t>
        </is>
      </c>
      <c r="E990" t="inlineStr">
        <is>
          <t>RAGUNDA</t>
        </is>
      </c>
      <c r="G990" t="n">
        <v>6.5</v>
      </c>
      <c r="H990" t="n">
        <v>0</v>
      </c>
      <c r="I990" t="n">
        <v>0</v>
      </c>
      <c r="J990" t="n">
        <v>0</v>
      </c>
      <c r="K990" t="n">
        <v>0</v>
      </c>
      <c r="L990" t="n">
        <v>0</v>
      </c>
      <c r="M990" t="n">
        <v>0</v>
      </c>
      <c r="N990" t="n">
        <v>0</v>
      </c>
      <c r="O990" t="n">
        <v>0</v>
      </c>
      <c r="P990" t="n">
        <v>0</v>
      </c>
      <c r="Q990" t="n">
        <v>0</v>
      </c>
      <c r="R990" s="2" t="inlineStr"/>
    </row>
    <row r="991" ht="15" customHeight="1">
      <c r="A991" t="inlineStr">
        <is>
          <t>A 62819-2025</t>
        </is>
      </c>
      <c r="B991" s="1" t="n">
        <v>46008</v>
      </c>
      <c r="C991" s="1" t="n">
        <v>46090</v>
      </c>
      <c r="D991" t="inlineStr">
        <is>
          <t>JÄMTLANDS LÄN</t>
        </is>
      </c>
      <c r="E991" t="inlineStr">
        <is>
          <t>RAGUNDA</t>
        </is>
      </c>
      <c r="G991" t="n">
        <v>3.5</v>
      </c>
      <c r="H991" t="n">
        <v>0</v>
      </c>
      <c r="I991" t="n">
        <v>0</v>
      </c>
      <c r="J991" t="n">
        <v>0</v>
      </c>
      <c r="K991" t="n">
        <v>0</v>
      </c>
      <c r="L991" t="n">
        <v>0</v>
      </c>
      <c r="M991" t="n">
        <v>0</v>
      </c>
      <c r="N991" t="n">
        <v>0</v>
      </c>
      <c r="O991" t="n">
        <v>0</v>
      </c>
      <c r="P991" t="n">
        <v>0</v>
      </c>
      <c r="Q991" t="n">
        <v>0</v>
      </c>
      <c r="R991" s="2" t="inlineStr"/>
    </row>
    <row r="992" ht="15" customHeight="1">
      <c r="A992" t="inlineStr">
        <is>
          <t>A 11878-2026</t>
        </is>
      </c>
      <c r="B992" s="1" t="n">
        <v>46085.50053240741</v>
      </c>
      <c r="C992" s="1" t="n">
        <v>46090</v>
      </c>
      <c r="D992" t="inlineStr">
        <is>
          <t>JÄMTLANDS LÄN</t>
        </is>
      </c>
      <c r="E992" t="inlineStr">
        <is>
          <t>RAGUNDA</t>
        </is>
      </c>
      <c r="G992" t="n">
        <v>13</v>
      </c>
      <c r="H992" t="n">
        <v>0</v>
      </c>
      <c r="I992" t="n">
        <v>0</v>
      </c>
      <c r="J992" t="n">
        <v>0</v>
      </c>
      <c r="K992" t="n">
        <v>0</v>
      </c>
      <c r="L992" t="n">
        <v>0</v>
      </c>
      <c r="M992" t="n">
        <v>0</v>
      </c>
      <c r="N992" t="n">
        <v>0</v>
      </c>
      <c r="O992" t="n">
        <v>0</v>
      </c>
      <c r="P992" t="n">
        <v>0</v>
      </c>
      <c r="Q992" t="n">
        <v>0</v>
      </c>
      <c r="R992" s="2" t="inlineStr"/>
    </row>
    <row r="993" ht="15" customHeight="1">
      <c r="A993" t="inlineStr">
        <is>
          <t>A 11880-2026</t>
        </is>
      </c>
      <c r="B993" s="1" t="n">
        <v>46085.50150462963</v>
      </c>
      <c r="C993" s="1" t="n">
        <v>46090</v>
      </c>
      <c r="D993" t="inlineStr">
        <is>
          <t>JÄMTLANDS LÄN</t>
        </is>
      </c>
      <c r="E993" t="inlineStr">
        <is>
          <t>RAGUNDA</t>
        </is>
      </c>
      <c r="G993" t="n">
        <v>4</v>
      </c>
      <c r="H993" t="n">
        <v>0</v>
      </c>
      <c r="I993" t="n">
        <v>0</v>
      </c>
      <c r="J993" t="n">
        <v>0</v>
      </c>
      <c r="K993" t="n">
        <v>0</v>
      </c>
      <c r="L993" t="n">
        <v>0</v>
      </c>
      <c r="M993" t="n">
        <v>0</v>
      </c>
      <c r="N993" t="n">
        <v>0</v>
      </c>
      <c r="O993" t="n">
        <v>0</v>
      </c>
      <c r="P993" t="n">
        <v>0</v>
      </c>
      <c r="Q993" t="n">
        <v>0</v>
      </c>
      <c r="R993" s="2" t="inlineStr"/>
    </row>
    <row r="994" ht="15" customHeight="1">
      <c r="A994" t="inlineStr">
        <is>
          <t>A 53144-2024</t>
        </is>
      </c>
      <c r="B994" s="1" t="n">
        <v>45611</v>
      </c>
      <c r="C994" s="1" t="n">
        <v>46090</v>
      </c>
      <c r="D994" t="inlineStr">
        <is>
          <t>JÄMTLANDS LÄN</t>
        </is>
      </c>
      <c r="E994" t="inlineStr">
        <is>
          <t>RAGUNDA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4237-2026</t>
        </is>
      </c>
      <c r="B995" s="1" t="n">
        <v>46044.92743055556</v>
      </c>
      <c r="C995" s="1" t="n">
        <v>46090</v>
      </c>
      <c r="D995" t="inlineStr">
        <is>
          <t>JÄMTLANDS LÄN</t>
        </is>
      </c>
      <c r="E995" t="inlineStr">
        <is>
          <t>RAGUNDA</t>
        </is>
      </c>
      <c r="G995" t="n">
        <v>1.3</v>
      </c>
      <c r="H995" t="n">
        <v>0</v>
      </c>
      <c r="I995" t="n">
        <v>0</v>
      </c>
      <c r="J995" t="n">
        <v>0</v>
      </c>
      <c r="K995" t="n">
        <v>0</v>
      </c>
      <c r="L995" t="n">
        <v>0</v>
      </c>
      <c r="M995" t="n">
        <v>0</v>
      </c>
      <c r="N995" t="n">
        <v>0</v>
      </c>
      <c r="O995" t="n">
        <v>0</v>
      </c>
      <c r="P995" t="n">
        <v>0</v>
      </c>
      <c r="Q995" t="n">
        <v>0</v>
      </c>
      <c r="R995" s="2" t="inlineStr"/>
    </row>
    <row r="996" ht="15" customHeight="1">
      <c r="A996" t="inlineStr">
        <is>
          <t>A 4142-2026</t>
        </is>
      </c>
      <c r="B996" s="1" t="n">
        <v>46044.63607638889</v>
      </c>
      <c r="C996" s="1" t="n">
        <v>46090</v>
      </c>
      <c r="D996" t="inlineStr">
        <is>
          <t>JÄMTLANDS LÄN</t>
        </is>
      </c>
      <c r="E996" t="inlineStr">
        <is>
          <t>RAGUNDA</t>
        </is>
      </c>
      <c r="F996" t="inlineStr">
        <is>
          <t>SCA</t>
        </is>
      </c>
      <c r="G996" t="n">
        <v>19.3</v>
      </c>
      <c r="H996" t="n">
        <v>0</v>
      </c>
      <c r="I996" t="n">
        <v>0</v>
      </c>
      <c r="J996" t="n">
        <v>0</v>
      </c>
      <c r="K996" t="n">
        <v>0</v>
      </c>
      <c r="L996" t="n">
        <v>0</v>
      </c>
      <c r="M996" t="n">
        <v>0</v>
      </c>
      <c r="N996" t="n">
        <v>0</v>
      </c>
      <c r="O996" t="n">
        <v>0</v>
      </c>
      <c r="P996" t="n">
        <v>0</v>
      </c>
      <c r="Q996" t="n">
        <v>0</v>
      </c>
      <c r="R996" s="2" t="inlineStr"/>
    </row>
    <row r="997" ht="15" customHeight="1">
      <c r="A997" t="inlineStr">
        <is>
          <t>A 63578-2025</t>
        </is>
      </c>
      <c r="B997" s="1" t="n">
        <v>46013.67690972222</v>
      </c>
      <c r="C997" s="1" t="n">
        <v>46090</v>
      </c>
      <c r="D997" t="inlineStr">
        <is>
          <t>JÄMTLANDS LÄN</t>
        </is>
      </c>
      <c r="E997" t="inlineStr">
        <is>
          <t>RAGUNDA</t>
        </is>
      </c>
      <c r="G997" t="n">
        <v>2.7</v>
      </c>
      <c r="H997" t="n">
        <v>0</v>
      </c>
      <c r="I997" t="n">
        <v>0</v>
      </c>
      <c r="J997" t="n">
        <v>0</v>
      </c>
      <c r="K997" t="n">
        <v>0</v>
      </c>
      <c r="L997" t="n">
        <v>0</v>
      </c>
      <c r="M997" t="n">
        <v>0</v>
      </c>
      <c r="N997" t="n">
        <v>0</v>
      </c>
      <c r="O997" t="n">
        <v>0</v>
      </c>
      <c r="P997" t="n">
        <v>0</v>
      </c>
      <c r="Q997" t="n">
        <v>0</v>
      </c>
      <c r="R997" s="2" t="inlineStr"/>
    </row>
    <row r="998" ht="15" customHeight="1">
      <c r="A998" t="inlineStr">
        <is>
          <t>A 22311-2024</t>
        </is>
      </c>
      <c r="B998" s="1" t="n">
        <v>45446.57052083333</v>
      </c>
      <c r="C998" s="1" t="n">
        <v>46090</v>
      </c>
      <c r="D998" t="inlineStr">
        <is>
          <t>JÄMTLANDS LÄN</t>
        </is>
      </c>
      <c r="E998" t="inlineStr">
        <is>
          <t>RAGUNDA</t>
        </is>
      </c>
      <c r="G998" t="n">
        <v>1.3</v>
      </c>
      <c r="H998" t="n">
        <v>0</v>
      </c>
      <c r="I998" t="n">
        <v>0</v>
      </c>
      <c r="J998" t="n">
        <v>0</v>
      </c>
      <c r="K998" t="n">
        <v>0</v>
      </c>
      <c r="L998" t="n">
        <v>0</v>
      </c>
      <c r="M998" t="n">
        <v>0</v>
      </c>
      <c r="N998" t="n">
        <v>0</v>
      </c>
      <c r="O998" t="n">
        <v>0</v>
      </c>
      <c r="P998" t="n">
        <v>0</v>
      </c>
      <c r="Q998" t="n">
        <v>0</v>
      </c>
      <c r="R998" s="2" t="inlineStr"/>
    </row>
    <row r="999" ht="15" customHeight="1">
      <c r="A999" t="inlineStr">
        <is>
          <t>A 12344-2026</t>
        </is>
      </c>
      <c r="B999" s="1" t="n">
        <v>46087.67763888889</v>
      </c>
      <c r="C999" s="1" t="n">
        <v>46090</v>
      </c>
      <c r="D999" t="inlineStr">
        <is>
          <t>JÄMTLANDS LÄN</t>
        </is>
      </c>
      <c r="E999" t="inlineStr">
        <is>
          <t>RAGUNDA</t>
        </is>
      </c>
      <c r="F999" t="inlineStr">
        <is>
          <t>SCA</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63141-2025</t>
        </is>
      </c>
      <c r="B1000" s="1" t="n">
        <v>46010.34440972222</v>
      </c>
      <c r="C1000" s="1" t="n">
        <v>46090</v>
      </c>
      <c r="D1000" t="inlineStr">
        <is>
          <t>JÄMTLANDS LÄN</t>
        </is>
      </c>
      <c r="E1000" t="inlineStr">
        <is>
          <t>RAGUNDA</t>
        </is>
      </c>
      <c r="F1000" t="inlineStr">
        <is>
          <t>SCA</t>
        </is>
      </c>
      <c r="G1000" t="n">
        <v>24.4</v>
      </c>
      <c r="H1000" t="n">
        <v>0</v>
      </c>
      <c r="I1000" t="n">
        <v>0</v>
      </c>
      <c r="J1000" t="n">
        <v>0</v>
      </c>
      <c r="K1000" t="n">
        <v>0</v>
      </c>
      <c r="L1000" t="n">
        <v>0</v>
      </c>
      <c r="M1000" t="n">
        <v>0</v>
      </c>
      <c r="N1000" t="n">
        <v>0</v>
      </c>
      <c r="O1000" t="n">
        <v>0</v>
      </c>
      <c r="P1000" t="n">
        <v>0</v>
      </c>
      <c r="Q1000" t="n">
        <v>0</v>
      </c>
      <c r="R1000" s="2" t="inlineStr"/>
    </row>
    <row r="1001" ht="15" customHeight="1">
      <c r="A1001" t="inlineStr">
        <is>
          <t>A 12179-2026</t>
        </is>
      </c>
      <c r="B1001" s="1" t="n">
        <v>46086.69835648148</v>
      </c>
      <c r="C1001" s="1" t="n">
        <v>46090</v>
      </c>
      <c r="D1001" t="inlineStr">
        <is>
          <t>JÄMTLANDS LÄN</t>
        </is>
      </c>
      <c r="E1001" t="inlineStr">
        <is>
          <t>RAGUNDA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19403-2025</t>
        </is>
      </c>
      <c r="B1002" s="1" t="n">
        <v>45769.67790509259</v>
      </c>
      <c r="C1002" s="1" t="n">
        <v>46090</v>
      </c>
      <c r="D1002" t="inlineStr">
        <is>
          <t>JÄMTLANDS LÄN</t>
        </is>
      </c>
      <c r="E1002" t="inlineStr">
        <is>
          <t>RAGUNDA</t>
        </is>
      </c>
      <c r="F1002" t="inlineStr">
        <is>
          <t>SCA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6174-2026</t>
        </is>
      </c>
      <c r="B1003" s="1" t="n">
        <v>46055.34457175926</v>
      </c>
      <c r="C1003" s="1" t="n">
        <v>46090</v>
      </c>
      <c r="D1003" t="inlineStr">
        <is>
          <t>JÄMTLANDS LÄN</t>
        </is>
      </c>
      <c r="E1003" t="inlineStr">
        <is>
          <t>RAGUNDA</t>
        </is>
      </c>
      <c r="F1003" t="inlineStr">
        <is>
          <t>SCA</t>
        </is>
      </c>
      <c r="G1003" t="n">
        <v>24.3</v>
      </c>
      <c r="H1003" t="n">
        <v>0</v>
      </c>
      <c r="I1003" t="n">
        <v>0</v>
      </c>
      <c r="J1003" t="n">
        <v>0</v>
      </c>
      <c r="K1003" t="n">
        <v>0</v>
      </c>
      <c r="L1003" t="n">
        <v>0</v>
      </c>
      <c r="M1003" t="n">
        <v>0</v>
      </c>
      <c r="N1003" t="n">
        <v>0</v>
      </c>
      <c r="O1003" t="n">
        <v>0</v>
      </c>
      <c r="P1003" t="n">
        <v>0</v>
      </c>
      <c r="Q1003" t="n">
        <v>0</v>
      </c>
      <c r="R1003" s="2" t="inlineStr"/>
    </row>
    <row r="1004" ht="15" customHeight="1">
      <c r="A1004" t="inlineStr">
        <is>
          <t>A 12346-2026</t>
        </is>
      </c>
      <c r="B1004" s="1" t="n">
        <v>46087.6778587963</v>
      </c>
      <c r="C1004" s="1" t="n">
        <v>46090</v>
      </c>
      <c r="D1004" t="inlineStr">
        <is>
          <t>JÄMTLANDS LÄN</t>
        </is>
      </c>
      <c r="E1004" t="inlineStr">
        <is>
          <t>RAGUNDA</t>
        </is>
      </c>
      <c r="F1004" t="inlineStr">
        <is>
          <t>SCA</t>
        </is>
      </c>
      <c r="G1004" t="n">
        <v>38.3</v>
      </c>
      <c r="H1004" t="n">
        <v>0</v>
      </c>
      <c r="I1004" t="n">
        <v>0</v>
      </c>
      <c r="J1004" t="n">
        <v>0</v>
      </c>
      <c r="K1004" t="n">
        <v>0</v>
      </c>
      <c r="L1004" t="n">
        <v>0</v>
      </c>
      <c r="M1004" t="n">
        <v>0</v>
      </c>
      <c r="N1004" t="n">
        <v>0</v>
      </c>
      <c r="O1004" t="n">
        <v>0</v>
      </c>
      <c r="P1004" t="n">
        <v>0</v>
      </c>
      <c r="Q1004" t="n">
        <v>0</v>
      </c>
      <c r="R1004" s="2" t="inlineStr"/>
    </row>
    <row r="1005" ht="15" customHeight="1">
      <c r="A1005" t="inlineStr">
        <is>
          <t>A 4046-2026</t>
        </is>
      </c>
      <c r="B1005" s="1" t="n">
        <v>46044.46921296296</v>
      </c>
      <c r="C1005" s="1" t="n">
        <v>46090</v>
      </c>
      <c r="D1005" t="inlineStr">
        <is>
          <t>JÄMTLANDS LÄN</t>
        </is>
      </c>
      <c r="E1005" t="inlineStr">
        <is>
          <t>RAGUNDA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4073-2026</t>
        </is>
      </c>
      <c r="B1006" s="1" t="n">
        <v>46044.53168981482</v>
      </c>
      <c r="C1006" s="1" t="n">
        <v>46090</v>
      </c>
      <c r="D1006" t="inlineStr">
        <is>
          <t>JÄMTLANDS LÄN</t>
        </is>
      </c>
      <c r="E1006" t="inlineStr">
        <is>
          <t>RAGUNDA</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12347-2026</t>
        </is>
      </c>
      <c r="B1007" s="1" t="n">
        <v>46087.67805555555</v>
      </c>
      <c r="C1007" s="1" t="n">
        <v>46090</v>
      </c>
      <c r="D1007" t="inlineStr">
        <is>
          <t>JÄMTLANDS LÄN</t>
        </is>
      </c>
      <c r="E1007" t="inlineStr">
        <is>
          <t>RAGUNDA</t>
        </is>
      </c>
      <c r="F1007" t="inlineStr">
        <is>
          <t>SCA</t>
        </is>
      </c>
      <c r="G1007" t="n">
        <v>33.1</v>
      </c>
      <c r="H1007" t="n">
        <v>0</v>
      </c>
      <c r="I1007" t="n">
        <v>0</v>
      </c>
      <c r="J1007" t="n">
        <v>0</v>
      </c>
      <c r="K1007" t="n">
        <v>0</v>
      </c>
      <c r="L1007" t="n">
        <v>0</v>
      </c>
      <c r="M1007" t="n">
        <v>0</v>
      </c>
      <c r="N1007" t="n">
        <v>0</v>
      </c>
      <c r="O1007" t="n">
        <v>0</v>
      </c>
      <c r="P1007" t="n">
        <v>0</v>
      </c>
      <c r="Q1007" t="n">
        <v>0</v>
      </c>
      <c r="R1007" s="2" t="inlineStr"/>
    </row>
    <row r="1008" ht="15" customHeight="1">
      <c r="A1008" t="inlineStr">
        <is>
          <t>A 6693-2026</t>
        </is>
      </c>
      <c r="B1008" s="1" t="n">
        <v>46056.63649305556</v>
      </c>
      <c r="C1008" s="1" t="n">
        <v>46090</v>
      </c>
      <c r="D1008" t="inlineStr">
        <is>
          <t>JÄMTLANDS LÄN</t>
        </is>
      </c>
      <c r="E1008" t="inlineStr">
        <is>
          <t>RAGUNDA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11147-2025</t>
        </is>
      </c>
      <c r="B1009" s="1" t="n">
        <v>45723.67777777778</v>
      </c>
      <c r="C1009" s="1" t="n">
        <v>46090</v>
      </c>
      <c r="D1009" t="inlineStr">
        <is>
          <t>JÄMTLANDS LÄN</t>
        </is>
      </c>
      <c r="E1009" t="inlineStr">
        <is>
          <t>RAGUNDA</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4047-2026</t>
        </is>
      </c>
      <c r="B1010" s="1" t="n">
        <v>46044.46944444445</v>
      </c>
      <c r="C1010" s="1" t="n">
        <v>46090</v>
      </c>
      <c r="D1010" t="inlineStr">
        <is>
          <t>JÄMTLANDS LÄN</t>
        </is>
      </c>
      <c r="E1010" t="inlineStr">
        <is>
          <t>RAGUNDA</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9847-2025</t>
        </is>
      </c>
      <c r="B1011" s="1" t="n">
        <v>45716.61487268518</v>
      </c>
      <c r="C1011" s="1" t="n">
        <v>46090</v>
      </c>
      <c r="D1011" t="inlineStr">
        <is>
          <t>JÄMTLANDS LÄN</t>
        </is>
      </c>
      <c r="E1011" t="inlineStr">
        <is>
          <t>RAGUNDA</t>
        </is>
      </c>
      <c r="F1011" t="inlineStr">
        <is>
          <t>SCA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4099-2026</t>
        </is>
      </c>
      <c r="B1012" s="1" t="n">
        <v>46044.57357638889</v>
      </c>
      <c r="C1012" s="1" t="n">
        <v>46090</v>
      </c>
      <c r="D1012" t="inlineStr">
        <is>
          <t>JÄMTLANDS LÄN</t>
        </is>
      </c>
      <c r="E1012" t="inlineStr">
        <is>
          <t>RAGUNDA</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63672-2025</t>
        </is>
      </c>
      <c r="B1013" s="1" t="n">
        <v>46014.47575231481</v>
      </c>
      <c r="C1013" s="1" t="n">
        <v>46090</v>
      </c>
      <c r="D1013" t="inlineStr">
        <is>
          <t>JÄMTLANDS LÄN</t>
        </is>
      </c>
      <c r="E1013" t="inlineStr">
        <is>
          <t>RAGUNDA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63714-2025</t>
        </is>
      </c>
      <c r="B1014" s="1" t="n">
        <v>46014</v>
      </c>
      <c r="C1014" s="1" t="n">
        <v>46090</v>
      </c>
      <c r="D1014" t="inlineStr">
        <is>
          <t>JÄMTLANDS LÄN</t>
        </is>
      </c>
      <c r="E1014" t="inlineStr">
        <is>
          <t>RAGUNDA</t>
        </is>
      </c>
      <c r="F1014" t="inlineStr">
        <is>
          <t>Sveaskog</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63671-2025</t>
        </is>
      </c>
      <c r="B1015" s="1" t="n">
        <v>46014.46555555556</v>
      </c>
      <c r="C1015" s="1" t="n">
        <v>46090</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28173-2024</t>
        </is>
      </c>
      <c r="B1016" s="1" t="n">
        <v>45476.94533564815</v>
      </c>
      <c r="C1016" s="1" t="n">
        <v>46090</v>
      </c>
      <c r="D1016" t="inlineStr">
        <is>
          <t>JÄMTLANDS LÄN</t>
        </is>
      </c>
      <c r="E1016" t="inlineStr">
        <is>
          <t>RAGUNDA</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23734-2024</t>
        </is>
      </c>
      <c r="B1017" s="1" t="n">
        <v>45454.95960648148</v>
      </c>
      <c r="C1017" s="1" t="n">
        <v>46090</v>
      </c>
      <c r="D1017" t="inlineStr">
        <is>
          <t>JÄMTLANDS LÄN</t>
        </is>
      </c>
      <c r="E1017" t="inlineStr">
        <is>
          <t>RAGUNDA</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38425-2022</t>
        </is>
      </c>
      <c r="B1018" s="1" t="n">
        <v>44812.94709490741</v>
      </c>
      <c r="C1018" s="1" t="n">
        <v>46090</v>
      </c>
      <c r="D1018" t="inlineStr">
        <is>
          <t>JÄMTLANDS LÄN</t>
        </is>
      </c>
      <c r="E1018" t="inlineStr">
        <is>
          <t>RAGUNDA</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12995-2023</t>
        </is>
      </c>
      <c r="B1019" s="1" t="n">
        <v>45002.0328125</v>
      </c>
      <c r="C1019" s="1" t="n">
        <v>46090</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44755-2024</t>
        </is>
      </c>
      <c r="B1020" s="1" t="n">
        <v>45574.61184027778</v>
      </c>
      <c r="C1020" s="1" t="n">
        <v>46090</v>
      </c>
      <c r="D1020" t="inlineStr">
        <is>
          <t>JÄMTLANDS LÄN</t>
        </is>
      </c>
      <c r="E1020" t="inlineStr">
        <is>
          <t>RAGUNDA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44766-2024</t>
        </is>
      </c>
      <c r="B1021" s="1" t="n">
        <v>45574.62297453704</v>
      </c>
      <c r="C1021" s="1" t="n">
        <v>46090</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16676-2022</t>
        </is>
      </c>
      <c r="B1022" s="1" t="n">
        <v>44672.94018518519</v>
      </c>
      <c r="C1022" s="1" t="n">
        <v>46090</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55536-2024</t>
        </is>
      </c>
      <c r="B1023" s="1" t="n">
        <v>45622</v>
      </c>
      <c r="C1023" s="1" t="n">
        <v>46090</v>
      </c>
      <c r="D1023" t="inlineStr">
        <is>
          <t>JÄMTLANDS LÄN</t>
        </is>
      </c>
      <c r="E1023" t="inlineStr">
        <is>
          <t>RAGUNDA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44597-2024</t>
        </is>
      </c>
      <c r="B1024" s="1" t="n">
        <v>45574.51087962963</v>
      </c>
      <c r="C1024" s="1" t="n">
        <v>46090</v>
      </c>
      <c r="D1024" t="inlineStr">
        <is>
          <t>JÄMTLANDS LÄN</t>
        </is>
      </c>
      <c r="E1024" t="inlineStr">
        <is>
          <t>RAGUNDA</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44598-2024</t>
        </is>
      </c>
      <c r="B1025" s="1" t="n">
        <v>45574.51090277778</v>
      </c>
      <c r="C1025" s="1" t="n">
        <v>46090</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18610-2024</t>
        </is>
      </c>
      <c r="B1026" s="1" t="n">
        <v>45425.96230324074</v>
      </c>
      <c r="C1026" s="1" t="n">
        <v>46090</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57116-2024</t>
        </is>
      </c>
      <c r="B1027" s="1" t="n">
        <v>45629.36513888889</v>
      </c>
      <c r="C1027" s="1" t="n">
        <v>46090</v>
      </c>
      <c r="D1027" t="inlineStr">
        <is>
          <t>JÄMTLANDS LÄN</t>
        </is>
      </c>
      <c r="E1027" t="inlineStr">
        <is>
          <t>RAGUNDA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3104-2025</t>
        </is>
      </c>
      <c r="B1028" s="1" t="n">
        <v>45678.67761574074</v>
      </c>
      <c r="C1028" s="1" t="n">
        <v>46090</v>
      </c>
      <c r="D1028" t="inlineStr">
        <is>
          <t>JÄMTLANDS LÄN</t>
        </is>
      </c>
      <c r="E1028" t="inlineStr">
        <is>
          <t>RAGUNDA</t>
        </is>
      </c>
      <c r="F1028" t="inlineStr">
        <is>
          <t>SCA</t>
        </is>
      </c>
      <c r="G1028" t="n">
        <v>46.2</v>
      </c>
      <c r="H1028" t="n">
        <v>0</v>
      </c>
      <c r="I1028" t="n">
        <v>0</v>
      </c>
      <c r="J1028" t="n">
        <v>0</v>
      </c>
      <c r="K1028" t="n">
        <v>0</v>
      </c>
      <c r="L1028" t="n">
        <v>0</v>
      </c>
      <c r="M1028" t="n">
        <v>0</v>
      </c>
      <c r="N1028" t="n">
        <v>0</v>
      </c>
      <c r="O1028" t="n">
        <v>0</v>
      </c>
      <c r="P1028" t="n">
        <v>0</v>
      </c>
      <c r="Q1028" t="n">
        <v>0</v>
      </c>
      <c r="R1028" s="2" t="inlineStr"/>
    </row>
    <row r="1029" ht="15" customHeight="1">
      <c r="A1029" t="inlineStr">
        <is>
          <t>A 40246-2024</t>
        </is>
      </c>
      <c r="B1029" s="1" t="n">
        <v>45554.61583333334</v>
      </c>
      <c r="C1029" s="1" t="n">
        <v>46090</v>
      </c>
      <c r="D1029" t="inlineStr">
        <is>
          <t>JÄMTLANDS LÄN</t>
        </is>
      </c>
      <c r="E1029" t="inlineStr">
        <is>
          <t>RAGUNDA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4878-2022</t>
        </is>
      </c>
      <c r="B1030" s="1" t="n">
        <v>44593</v>
      </c>
      <c r="C1030" s="1" t="n">
        <v>46090</v>
      </c>
      <c r="D1030" t="inlineStr">
        <is>
          <t>JÄMTLANDS LÄN</t>
        </is>
      </c>
      <c r="E1030" t="inlineStr">
        <is>
          <t>RAGUNDA</t>
        </is>
      </c>
      <c r="G1030" t="n">
        <v>21.7</v>
      </c>
      <c r="H1030" t="n">
        <v>0</v>
      </c>
      <c r="I1030" t="n">
        <v>0</v>
      </c>
      <c r="J1030" t="n">
        <v>0</v>
      </c>
      <c r="K1030" t="n">
        <v>0</v>
      </c>
      <c r="L1030" t="n">
        <v>0</v>
      </c>
      <c r="M1030" t="n">
        <v>0</v>
      </c>
      <c r="N1030" t="n">
        <v>0</v>
      </c>
      <c r="O1030" t="n">
        <v>0</v>
      </c>
      <c r="P1030" t="n">
        <v>0</v>
      </c>
      <c r="Q1030" t="n">
        <v>0</v>
      </c>
      <c r="R1030" s="2" t="inlineStr"/>
    </row>
    <row r="1031" ht="15" customHeight="1">
      <c r="A1031" t="inlineStr">
        <is>
          <t>A 57237-2022</t>
        </is>
      </c>
      <c r="B1031" s="1" t="n">
        <v>44889</v>
      </c>
      <c r="C1031" s="1" t="n">
        <v>46090</v>
      </c>
      <c r="D1031" t="inlineStr">
        <is>
          <t>JÄMTLANDS LÄN</t>
        </is>
      </c>
      <c r="E1031" t="inlineStr">
        <is>
          <t>RAGUNDA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2133-2023</t>
        </is>
      </c>
      <c r="B1032" s="1" t="n">
        <v>44939</v>
      </c>
      <c r="C1032" s="1" t="n">
        <v>46090</v>
      </c>
      <c r="D1032" t="inlineStr">
        <is>
          <t>JÄMTLANDS LÄN</t>
        </is>
      </c>
      <c r="E1032" t="inlineStr">
        <is>
          <t>RAGUNDA</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19419-2024</t>
        </is>
      </c>
      <c r="B1033" s="1" t="n">
        <v>45429</v>
      </c>
      <c r="C1033" s="1" t="n">
        <v>46090</v>
      </c>
      <c r="D1033" t="inlineStr">
        <is>
          <t>JÄMTLANDS LÄN</t>
        </is>
      </c>
      <c r="E1033" t="inlineStr">
        <is>
          <t>RAGUNDA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19383-2025</t>
        </is>
      </c>
      <c r="B1034" s="1" t="n">
        <v>45769.65688657408</v>
      </c>
      <c r="C1034" s="1" t="n">
        <v>46090</v>
      </c>
      <c r="D1034" t="inlineStr">
        <is>
          <t>JÄMTLANDS LÄN</t>
        </is>
      </c>
      <c r="E1034" t="inlineStr">
        <is>
          <t>RAGUNDA</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49229-2024</t>
        </is>
      </c>
      <c r="B1035" s="1" t="n">
        <v>45595.42738425926</v>
      </c>
      <c r="C1035" s="1" t="n">
        <v>46090</v>
      </c>
      <c r="D1035" t="inlineStr">
        <is>
          <t>JÄMTLANDS LÄN</t>
        </is>
      </c>
      <c r="E1035" t="inlineStr">
        <is>
          <t>RAGUNDA</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13700-2023</t>
        </is>
      </c>
      <c r="B1036" s="1" t="n">
        <v>45006</v>
      </c>
      <c r="C1036" s="1" t="n">
        <v>46090</v>
      </c>
      <c r="D1036" t="inlineStr">
        <is>
          <t>JÄMTLANDS LÄN</t>
        </is>
      </c>
      <c r="E1036" t="inlineStr">
        <is>
          <t>RAGUNDA</t>
        </is>
      </c>
      <c r="F1036" t="inlineStr">
        <is>
          <t>SCA</t>
        </is>
      </c>
      <c r="G1036" t="n">
        <v>50.3</v>
      </c>
      <c r="H1036" t="n">
        <v>0</v>
      </c>
      <c r="I1036" t="n">
        <v>0</v>
      </c>
      <c r="J1036" t="n">
        <v>0</v>
      </c>
      <c r="K1036" t="n">
        <v>0</v>
      </c>
      <c r="L1036" t="n">
        <v>0</v>
      </c>
      <c r="M1036" t="n">
        <v>0</v>
      </c>
      <c r="N1036" t="n">
        <v>0</v>
      </c>
      <c r="O1036" t="n">
        <v>0</v>
      </c>
      <c r="P1036" t="n">
        <v>0</v>
      </c>
      <c r="Q1036" t="n">
        <v>0</v>
      </c>
      <c r="R1036" s="2" t="inlineStr"/>
    </row>
    <row r="1037" ht="15" customHeight="1">
      <c r="A1037" t="inlineStr">
        <is>
          <t>A 51389-2024</t>
        </is>
      </c>
      <c r="B1037" s="1" t="n">
        <v>45604.40540509259</v>
      </c>
      <c r="C1037" s="1" t="n">
        <v>46090</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51393-2024</t>
        </is>
      </c>
      <c r="B1038" s="1" t="n">
        <v>45604.41625</v>
      </c>
      <c r="C1038" s="1" t="n">
        <v>46090</v>
      </c>
      <c r="D1038" t="inlineStr">
        <is>
          <t>JÄMTLANDS LÄN</t>
        </is>
      </c>
      <c r="E1038" t="inlineStr">
        <is>
          <t>RAGUNDA</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46090</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46090</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55669-2023</t>
        </is>
      </c>
      <c r="B1041" s="1" t="n">
        <v>45238.96797453704</v>
      </c>
      <c r="C1041" s="1" t="n">
        <v>46090</v>
      </c>
      <c r="D1041" t="inlineStr">
        <is>
          <t>JÄMTLANDS LÄN</t>
        </is>
      </c>
      <c r="E1041" t="inlineStr">
        <is>
          <t>RAGUNDA</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32063-2024</t>
        </is>
      </c>
      <c r="B1042" s="1" t="n">
        <v>45510</v>
      </c>
      <c r="C1042" s="1" t="n">
        <v>46090</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10641-2024</t>
        </is>
      </c>
      <c r="B1043" s="1" t="n">
        <v>45367.69850694444</v>
      </c>
      <c r="C1043" s="1" t="n">
        <v>46090</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10644-2024</t>
        </is>
      </c>
      <c r="B1044" s="1" t="n">
        <v>45367.71348379629</v>
      </c>
      <c r="C1044" s="1" t="n">
        <v>46090</v>
      </c>
      <c r="D1044" t="inlineStr">
        <is>
          <t>JÄMTLANDS LÄN</t>
        </is>
      </c>
      <c r="E1044" t="inlineStr">
        <is>
          <t>RAGUNDA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20426-2024</t>
        </is>
      </c>
      <c r="B1045" s="1" t="n">
        <v>45435</v>
      </c>
      <c r="C1045" s="1" t="n">
        <v>46090</v>
      </c>
      <c r="D1045" t="inlineStr">
        <is>
          <t>JÄMTLANDS LÄN</t>
        </is>
      </c>
      <c r="E1045" t="inlineStr">
        <is>
          <t>RAGUNDA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17742-2022</t>
        </is>
      </c>
      <c r="B1046" s="1" t="n">
        <v>44680.95246527778</v>
      </c>
      <c r="C1046" s="1" t="n">
        <v>46090</v>
      </c>
      <c r="D1046" t="inlineStr">
        <is>
          <t>JÄMTLANDS LÄN</t>
        </is>
      </c>
      <c r="E1046" t="inlineStr">
        <is>
          <t>RAGUNDA</t>
        </is>
      </c>
      <c r="F1046" t="inlineStr">
        <is>
          <t>SCA</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30825-2023</t>
        </is>
      </c>
      <c r="B1047" s="1" t="n">
        <v>45112.94310185185</v>
      </c>
      <c r="C1047" s="1" t="n">
        <v>46090</v>
      </c>
      <c r="D1047" t="inlineStr">
        <is>
          <t>JÄMTLANDS LÄN</t>
        </is>
      </c>
      <c r="E1047" t="inlineStr">
        <is>
          <t>RAGUNDA</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9084-2023</t>
        </is>
      </c>
      <c r="B1048" s="1" t="n">
        <v>44979</v>
      </c>
      <c r="C1048" s="1" t="n">
        <v>46090</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9326-2024</t>
        </is>
      </c>
      <c r="B1049" s="1" t="n">
        <v>45358.95818287037</v>
      </c>
      <c r="C1049" s="1" t="n">
        <v>46090</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7520-2023</t>
        </is>
      </c>
      <c r="B1050" s="1" t="n">
        <v>44971</v>
      </c>
      <c r="C1050" s="1" t="n">
        <v>46090</v>
      </c>
      <c r="D1050" t="inlineStr">
        <is>
          <t>JÄMTLANDS LÄN</t>
        </is>
      </c>
      <c r="E1050" t="inlineStr">
        <is>
          <t>RAGUNDA</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21662-2023</t>
        </is>
      </c>
      <c r="B1051" s="1" t="n">
        <v>45063</v>
      </c>
      <c r="C1051" s="1" t="n">
        <v>46090</v>
      </c>
      <c r="D1051" t="inlineStr">
        <is>
          <t>JÄMTLANDS LÄN</t>
        </is>
      </c>
      <c r="E1051" t="inlineStr">
        <is>
          <t>RAGUNDA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44727-2024</t>
        </is>
      </c>
      <c r="B1052" s="1" t="n">
        <v>45574.57967592592</v>
      </c>
      <c r="C1052" s="1" t="n">
        <v>46090</v>
      </c>
      <c r="D1052" t="inlineStr">
        <is>
          <t>JÄMTLANDS LÄN</t>
        </is>
      </c>
      <c r="E1052" t="inlineStr">
        <is>
          <t>RAGUNDA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21083-2024</t>
        </is>
      </c>
      <c r="B1053" s="1" t="n">
        <v>45439.92752314815</v>
      </c>
      <c r="C1053" s="1" t="n">
        <v>46090</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462-2023</t>
        </is>
      </c>
      <c r="B1054" s="1" t="n">
        <v>44929</v>
      </c>
      <c r="C1054" s="1" t="n">
        <v>46090</v>
      </c>
      <c r="D1054" t="inlineStr">
        <is>
          <t>JÄMTLANDS LÄN</t>
        </is>
      </c>
      <c r="E1054" t="inlineStr">
        <is>
          <t>RAGUNDA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12050-2023</t>
        </is>
      </c>
      <c r="B1055" s="1" t="n">
        <v>44995.98644675926</v>
      </c>
      <c r="C1055" s="1" t="n">
        <v>46090</v>
      </c>
      <c r="D1055" t="inlineStr">
        <is>
          <t>JÄMTLANDS LÄN</t>
        </is>
      </c>
      <c r="E1055" t="inlineStr">
        <is>
          <t>RAGUNDA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62358-2023</t>
        </is>
      </c>
      <c r="B1056" s="1" t="n">
        <v>45267</v>
      </c>
      <c r="C1056" s="1" t="n">
        <v>46090</v>
      </c>
      <c r="D1056" t="inlineStr">
        <is>
          <t>JÄMTLANDS LÄN</t>
        </is>
      </c>
      <c r="E1056" t="inlineStr">
        <is>
          <t>RAGUNDA</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18820-2023</t>
        </is>
      </c>
      <c r="B1057" s="1" t="n">
        <v>45042</v>
      </c>
      <c r="C1057" s="1" t="n">
        <v>46090</v>
      </c>
      <c r="D1057" t="inlineStr">
        <is>
          <t>JÄMTLANDS LÄN</t>
        </is>
      </c>
      <c r="E1057" t="inlineStr">
        <is>
          <t>RAGUNDA</t>
        </is>
      </c>
      <c r="G1057" t="n">
        <v>18.8</v>
      </c>
      <c r="H1057" t="n">
        <v>0</v>
      </c>
      <c r="I1057" t="n">
        <v>0</v>
      </c>
      <c r="J1057" t="n">
        <v>0</v>
      </c>
      <c r="K1057" t="n">
        <v>0</v>
      </c>
      <c r="L1057" t="n">
        <v>0</v>
      </c>
      <c r="M1057" t="n">
        <v>0</v>
      </c>
      <c r="N1057" t="n">
        <v>0</v>
      </c>
      <c r="O1057" t="n">
        <v>0</v>
      </c>
      <c r="P1057" t="n">
        <v>0</v>
      </c>
      <c r="Q1057" t="n">
        <v>0</v>
      </c>
      <c r="R1057" s="2" t="inlineStr"/>
    </row>
    <row r="1058" ht="15" customHeight="1">
      <c r="A1058" t="inlineStr">
        <is>
          <t>A 49648-2023</t>
        </is>
      </c>
      <c r="B1058" s="1" t="n">
        <v>45211.95061342593</v>
      </c>
      <c r="C1058" s="1" t="n">
        <v>46090</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51537-2022</t>
        </is>
      </c>
      <c r="B1059" s="1" t="n">
        <v>44869</v>
      </c>
      <c r="C1059" s="1" t="n">
        <v>46090</v>
      </c>
      <c r="D1059" t="inlineStr">
        <is>
          <t>JÄMTLANDS LÄN</t>
        </is>
      </c>
      <c r="E1059" t="inlineStr">
        <is>
          <t>RAGUNDA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59044-2022</t>
        </is>
      </c>
      <c r="B1060" s="1" t="n">
        <v>44903</v>
      </c>
      <c r="C1060" s="1" t="n">
        <v>46090</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5958-2023</t>
        </is>
      </c>
      <c r="B1061" s="1" t="n">
        <v>44963</v>
      </c>
      <c r="C1061" s="1" t="n">
        <v>46090</v>
      </c>
      <c r="D1061" t="inlineStr">
        <is>
          <t>JÄMTLANDS LÄN</t>
        </is>
      </c>
      <c r="E1061" t="inlineStr">
        <is>
          <t>RAGUNDA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8779-2025</t>
        </is>
      </c>
      <c r="B1062" s="1" t="n">
        <v>45712.61552083334</v>
      </c>
      <c r="C1062" s="1" t="n">
        <v>46090</v>
      </c>
      <c r="D1062" t="inlineStr">
        <is>
          <t>JÄMTLANDS LÄN</t>
        </is>
      </c>
      <c r="E1062" t="inlineStr">
        <is>
          <t>RAGUNDA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61400-2022</t>
        </is>
      </c>
      <c r="B1063" s="1" t="n">
        <v>44915</v>
      </c>
      <c r="C1063" s="1" t="n">
        <v>46090</v>
      </c>
      <c r="D1063" t="inlineStr">
        <is>
          <t>JÄMTLANDS LÄN</t>
        </is>
      </c>
      <c r="E1063" t="inlineStr">
        <is>
          <t>RAGUNDA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4348-2023</t>
        </is>
      </c>
      <c r="B1064" s="1" t="n">
        <v>44953</v>
      </c>
      <c r="C1064" s="1" t="n">
        <v>46090</v>
      </c>
      <c r="D1064" t="inlineStr">
        <is>
          <t>JÄMTLANDS LÄN</t>
        </is>
      </c>
      <c r="E1064" t="inlineStr">
        <is>
          <t>RAGUNDA</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56286-2023</t>
        </is>
      </c>
      <c r="B1065" s="1" t="n">
        <v>45241.95741898148</v>
      </c>
      <c r="C1065" s="1" t="n">
        <v>46090</v>
      </c>
      <c r="D1065" t="inlineStr">
        <is>
          <t>JÄMTLANDS LÄN</t>
        </is>
      </c>
      <c r="E1065" t="inlineStr">
        <is>
          <t>RAGUNDA</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56287-2023</t>
        </is>
      </c>
      <c r="B1066" s="1" t="n">
        <v>45241</v>
      </c>
      <c r="C1066" s="1" t="n">
        <v>46090</v>
      </c>
      <c r="D1066" t="inlineStr">
        <is>
          <t>JÄMTLANDS LÄN</t>
        </is>
      </c>
      <c r="E1066" t="inlineStr">
        <is>
          <t>RAGUNDA</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62135-2024</t>
        </is>
      </c>
      <c r="B1067" s="1" t="n">
        <v>45656.64223379629</v>
      </c>
      <c r="C1067" s="1" t="n">
        <v>46090</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18248-2023</t>
        </is>
      </c>
      <c r="B1068" s="1" t="n">
        <v>45040</v>
      </c>
      <c r="C1068" s="1" t="n">
        <v>46090</v>
      </c>
      <c r="D1068" t="inlineStr">
        <is>
          <t>JÄMTLANDS LÄN</t>
        </is>
      </c>
      <c r="E1068" t="inlineStr">
        <is>
          <t>RAGUNDA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8802-2022</t>
        </is>
      </c>
      <c r="B1069" s="1" t="n">
        <v>44614</v>
      </c>
      <c r="C1069" s="1" t="n">
        <v>46090</v>
      </c>
      <c r="D1069" t="inlineStr">
        <is>
          <t>JÄMTLANDS LÄN</t>
        </is>
      </c>
      <c r="E1069" t="inlineStr">
        <is>
          <t>RAGUNDA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39489-2023</t>
        </is>
      </c>
      <c r="B1070" s="1" t="n">
        <v>45166</v>
      </c>
      <c r="C1070" s="1" t="n">
        <v>46090</v>
      </c>
      <c r="D1070" t="inlineStr">
        <is>
          <t>JÄMTLANDS LÄN</t>
        </is>
      </c>
      <c r="E1070" t="inlineStr">
        <is>
          <t>RAGUNDA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55214-2022</t>
        </is>
      </c>
      <c r="B1071" s="1" t="n">
        <v>44886</v>
      </c>
      <c r="C1071" s="1" t="n">
        <v>46090</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7722-2023</t>
        </is>
      </c>
      <c r="B1072" s="1" t="n">
        <v>44972.94140046297</v>
      </c>
      <c r="C1072" s="1" t="n">
        <v>46090</v>
      </c>
      <c r="D1072" t="inlineStr">
        <is>
          <t>JÄMTLANDS LÄN</t>
        </is>
      </c>
      <c r="E1072" t="inlineStr">
        <is>
          <t>RAGUNDA</t>
        </is>
      </c>
      <c r="F1072" t="inlineStr">
        <is>
          <t>SCA</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12204-2025</t>
        </is>
      </c>
      <c r="B1073" s="1" t="n">
        <v>45729.51074074074</v>
      </c>
      <c r="C1073" s="1" t="n">
        <v>46090</v>
      </c>
      <c r="D1073" t="inlineStr">
        <is>
          <t>JÄMTLANDS LÄN</t>
        </is>
      </c>
      <c r="E1073" t="inlineStr">
        <is>
          <t>RAGUNDA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13299-2024</t>
        </is>
      </c>
      <c r="B1074" s="1" t="n">
        <v>45386.68003472222</v>
      </c>
      <c r="C1074" s="1" t="n">
        <v>46090</v>
      </c>
      <c r="D1074" t="inlineStr">
        <is>
          <t>JÄMTLANDS LÄN</t>
        </is>
      </c>
      <c r="E1074" t="inlineStr">
        <is>
          <t>RAGUNDA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15024-2022</t>
        </is>
      </c>
      <c r="B1075" s="1" t="n">
        <v>44657</v>
      </c>
      <c r="C1075" s="1" t="n">
        <v>46090</v>
      </c>
      <c r="D1075" t="inlineStr">
        <is>
          <t>JÄMTLANDS LÄN</t>
        </is>
      </c>
      <c r="E1075" t="inlineStr">
        <is>
          <t>RAGUNDA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891-2022</t>
        </is>
      </c>
      <c r="B1076" s="1" t="n">
        <v>44571</v>
      </c>
      <c r="C1076" s="1" t="n">
        <v>46090</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36371-2023</t>
        </is>
      </c>
      <c r="B1077" s="1" t="n">
        <v>45149</v>
      </c>
      <c r="C1077" s="1" t="n">
        <v>46090</v>
      </c>
      <c r="D1077" t="inlineStr">
        <is>
          <t>JÄMTLANDS LÄN</t>
        </is>
      </c>
      <c r="E1077" t="inlineStr">
        <is>
          <t>RAGUNDA</t>
        </is>
      </c>
      <c r="G1077" t="n">
        <v>25.7</v>
      </c>
      <c r="H1077" t="n">
        <v>0</v>
      </c>
      <c r="I1077" t="n">
        <v>0</v>
      </c>
      <c r="J1077" t="n">
        <v>0</v>
      </c>
      <c r="K1077" t="n">
        <v>0</v>
      </c>
      <c r="L1077" t="n">
        <v>0</v>
      </c>
      <c r="M1077" t="n">
        <v>0</v>
      </c>
      <c r="N1077" t="n">
        <v>0</v>
      </c>
      <c r="O1077" t="n">
        <v>0</v>
      </c>
      <c r="P1077" t="n">
        <v>0</v>
      </c>
      <c r="Q1077" t="n">
        <v>0</v>
      </c>
      <c r="R1077" s="2" t="inlineStr"/>
    </row>
    <row r="1078" ht="15" customHeight="1">
      <c r="A1078" t="inlineStr">
        <is>
          <t>A 56702-2023</t>
        </is>
      </c>
      <c r="B1078" s="1" t="n">
        <v>45243</v>
      </c>
      <c r="C1078" s="1" t="n">
        <v>46090</v>
      </c>
      <c r="D1078" t="inlineStr">
        <is>
          <t>JÄMTLANDS LÄN</t>
        </is>
      </c>
      <c r="E1078" t="inlineStr">
        <is>
          <t>RAGUNDA</t>
        </is>
      </c>
      <c r="F1078" t="inlineStr">
        <is>
          <t>SCA</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32259-2024</t>
        </is>
      </c>
      <c r="B1079" s="1" t="n">
        <v>45511</v>
      </c>
      <c r="C1079" s="1" t="n">
        <v>46090</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5313-2025</t>
        </is>
      </c>
      <c r="B1080" s="1" t="n">
        <v>45692.51069444444</v>
      </c>
      <c r="C1080" s="1" t="n">
        <v>46090</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5357-2025</t>
        </is>
      </c>
      <c r="B1081" s="1" t="n">
        <v>45692.57326388889</v>
      </c>
      <c r="C1081" s="1" t="n">
        <v>46090</v>
      </c>
      <c r="D1081" t="inlineStr">
        <is>
          <t>JÄMTLANDS LÄN</t>
        </is>
      </c>
      <c r="E1081" t="inlineStr">
        <is>
          <t>RAGUNDA</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3018-2024</t>
        </is>
      </c>
      <c r="B1082" s="1" t="n">
        <v>45315.9492824074</v>
      </c>
      <c r="C1082" s="1" t="n">
        <v>46090</v>
      </c>
      <c r="D1082" t="inlineStr">
        <is>
          <t>JÄMTLANDS LÄN</t>
        </is>
      </c>
      <c r="E1082" t="inlineStr">
        <is>
          <t>RAGUNDA</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44605-2024</t>
        </is>
      </c>
      <c r="B1083" s="1" t="n">
        <v>45574.51185185185</v>
      </c>
      <c r="C1083" s="1" t="n">
        <v>46090</v>
      </c>
      <c r="D1083" t="inlineStr">
        <is>
          <t>JÄMTLANDS LÄN</t>
        </is>
      </c>
      <c r="E1083" t="inlineStr">
        <is>
          <t>RAGUNDA</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20773-2024</t>
        </is>
      </c>
      <c r="B1084" s="1" t="n">
        <v>45436.94636574074</v>
      </c>
      <c r="C1084" s="1" t="n">
        <v>46090</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34323-2023</t>
        </is>
      </c>
      <c r="B1085" s="1" t="n">
        <v>45138.94925925926</v>
      </c>
      <c r="C1085" s="1" t="n">
        <v>46090</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50486-2023</t>
        </is>
      </c>
      <c r="B1086" s="1" t="n">
        <v>45216.92424768519</v>
      </c>
      <c r="C1086" s="1" t="n">
        <v>46090</v>
      </c>
      <c r="D1086" t="inlineStr">
        <is>
          <t>JÄMTLANDS LÄN</t>
        </is>
      </c>
      <c r="E1086" t="inlineStr">
        <is>
          <t>RAGUNDA</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51538-2022</t>
        </is>
      </c>
      <c r="B1087" s="1" t="n">
        <v>44869</v>
      </c>
      <c r="C1087" s="1" t="n">
        <v>46090</v>
      </c>
      <c r="D1087" t="inlineStr">
        <is>
          <t>JÄMTLANDS LÄN</t>
        </is>
      </c>
      <c r="E1087" t="inlineStr">
        <is>
          <t>RAGUNDA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19854-2025</t>
        </is>
      </c>
      <c r="B1088" s="1" t="n">
        <v>45771.51074074074</v>
      </c>
      <c r="C1088" s="1" t="n">
        <v>46090</v>
      </c>
      <c r="D1088" t="inlineStr">
        <is>
          <t>JÄMTLANDS LÄN</t>
        </is>
      </c>
      <c r="E1088" t="inlineStr">
        <is>
          <t>RAGUNDA</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50503-2024</t>
        </is>
      </c>
      <c r="B1089" s="1" t="n">
        <v>45601.5315625</v>
      </c>
      <c r="C1089" s="1" t="n">
        <v>46090</v>
      </c>
      <c r="D1089" t="inlineStr">
        <is>
          <t>JÄMTLANDS LÄN</t>
        </is>
      </c>
      <c r="E1089" t="inlineStr">
        <is>
          <t>RAGUNDA</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10610-2024</t>
        </is>
      </c>
      <c r="B1090" s="1" t="n">
        <v>45367.04693287037</v>
      </c>
      <c r="C1090" s="1" t="n">
        <v>46090</v>
      </c>
      <c r="D1090" t="inlineStr">
        <is>
          <t>JÄMTLANDS LÄN</t>
        </is>
      </c>
      <c r="E1090" t="inlineStr">
        <is>
          <t>RAGUNDA</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10706-2023</t>
        </is>
      </c>
      <c r="B1091" s="1" t="n">
        <v>44984</v>
      </c>
      <c r="C1091" s="1" t="n">
        <v>46090</v>
      </c>
      <c r="D1091" t="inlineStr">
        <is>
          <t>JÄMTLANDS LÄN</t>
        </is>
      </c>
      <c r="E1091" t="inlineStr">
        <is>
          <t>RAGUNDA</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63708-2023</t>
        </is>
      </c>
      <c r="B1092" s="1" t="n">
        <v>45275.95060185185</v>
      </c>
      <c r="C1092" s="1" t="n">
        <v>46090</v>
      </c>
      <c r="D1092" t="inlineStr">
        <is>
          <t>JÄMTLANDS LÄN</t>
        </is>
      </c>
      <c r="E1092" t="inlineStr">
        <is>
          <t>RAGUNDA</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16250-2022</t>
        </is>
      </c>
      <c r="B1093" s="1" t="n">
        <v>44670</v>
      </c>
      <c r="C1093" s="1" t="n">
        <v>46090</v>
      </c>
      <c r="D1093" t="inlineStr">
        <is>
          <t>JÄMTLANDS LÄN</t>
        </is>
      </c>
      <c r="E1093" t="inlineStr">
        <is>
          <t>RAGUNDA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60663-2022</t>
        </is>
      </c>
      <c r="B1094" s="1" t="n">
        <v>44911.93846064815</v>
      </c>
      <c r="C1094" s="1" t="n">
        <v>46090</v>
      </c>
      <c r="D1094" t="inlineStr">
        <is>
          <t>JÄMTLANDS LÄN</t>
        </is>
      </c>
      <c r="E1094" t="inlineStr">
        <is>
          <t>RAGUNDA</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58847-2024</t>
        </is>
      </c>
      <c r="B1095" s="1" t="n">
        <v>45636.3864699074</v>
      </c>
      <c r="C1095" s="1" t="n">
        <v>46090</v>
      </c>
      <c r="D1095" t="inlineStr">
        <is>
          <t>JÄMTLANDS LÄN</t>
        </is>
      </c>
      <c r="E1095" t="inlineStr">
        <is>
          <t>RAGUNDA</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27777-2022</t>
        </is>
      </c>
      <c r="B1096" s="1" t="n">
        <v>44743</v>
      </c>
      <c r="C1096" s="1" t="n">
        <v>46090</v>
      </c>
      <c r="D1096" t="inlineStr">
        <is>
          <t>JÄMTLANDS LÄN</t>
        </is>
      </c>
      <c r="E1096" t="inlineStr">
        <is>
          <t>RAGUNDA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42875-2024</t>
        </is>
      </c>
      <c r="B1097" s="1" t="n">
        <v>45566.68125</v>
      </c>
      <c r="C1097" s="1" t="n">
        <v>46090</v>
      </c>
      <c r="D1097" t="inlineStr">
        <is>
          <t>JÄMTLANDS LÄN</t>
        </is>
      </c>
      <c r="E1097" t="inlineStr">
        <is>
          <t>RAGUNDA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53935-2022</t>
        </is>
      </c>
      <c r="B1098" s="1" t="n">
        <v>44880</v>
      </c>
      <c r="C1098" s="1" t="n">
        <v>46090</v>
      </c>
      <c r="D1098" t="inlineStr">
        <is>
          <t>JÄMTLANDS LÄN</t>
        </is>
      </c>
      <c r="E1098" t="inlineStr">
        <is>
          <t>RAGUNDA</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41262-2021</t>
        </is>
      </c>
      <c r="B1099" s="1" t="n">
        <v>44424</v>
      </c>
      <c r="C1099" s="1" t="n">
        <v>46090</v>
      </c>
      <c r="D1099" t="inlineStr">
        <is>
          <t>JÄMTLANDS LÄN</t>
        </is>
      </c>
      <c r="E1099" t="inlineStr">
        <is>
          <t>RAGUNDA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20221-2025</t>
        </is>
      </c>
      <c r="B1100" s="1" t="n">
        <v>45772.6565625</v>
      </c>
      <c r="C1100" s="1" t="n">
        <v>46090</v>
      </c>
      <c r="D1100" t="inlineStr">
        <is>
          <t>JÄMTLANDS LÄN</t>
        </is>
      </c>
      <c r="E1100" t="inlineStr">
        <is>
          <t>RAGUNDA</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4015-2022</t>
        </is>
      </c>
      <c r="B1101" s="1" t="n">
        <v>44587.92149305555</v>
      </c>
      <c r="C1101" s="1" t="n">
        <v>46090</v>
      </c>
      <c r="D1101" t="inlineStr">
        <is>
          <t>JÄMTLANDS LÄN</t>
        </is>
      </c>
      <c r="E1101" t="inlineStr">
        <is>
          <t>RAGUNDA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8416-2023</t>
        </is>
      </c>
      <c r="B1102" s="1" t="n">
        <v>44977.44373842593</v>
      </c>
      <c r="C1102" s="1" t="n">
        <v>46090</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45253-2023</t>
        </is>
      </c>
      <c r="B1103" s="1" t="n">
        <v>45187</v>
      </c>
      <c r="C1103" s="1" t="n">
        <v>46090</v>
      </c>
      <c r="D1103" t="inlineStr">
        <is>
          <t>JÄMTLANDS LÄN</t>
        </is>
      </c>
      <c r="E1103" t="inlineStr">
        <is>
          <t>RAGUNDA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14369-2024</t>
        </is>
      </c>
      <c r="B1104" s="1" t="n">
        <v>45393.94459490741</v>
      </c>
      <c r="C1104" s="1" t="n">
        <v>46090</v>
      </c>
      <c r="D1104" t="inlineStr">
        <is>
          <t>JÄMTLANDS LÄN</t>
        </is>
      </c>
      <c r="E1104" t="inlineStr">
        <is>
          <t>RAGUNDA</t>
        </is>
      </c>
      <c r="F1104" t="inlineStr">
        <is>
          <t>Naturvårdsverket</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182-2023</t>
        </is>
      </c>
      <c r="B1105" s="1" t="n">
        <v>44922</v>
      </c>
      <c r="C1105" s="1" t="n">
        <v>46090</v>
      </c>
      <c r="D1105" t="inlineStr">
        <is>
          <t>JÄMTLANDS LÄN</t>
        </is>
      </c>
      <c r="E1105" t="inlineStr">
        <is>
          <t>RAGUNDA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6490-2022</t>
        </is>
      </c>
      <c r="B1106" s="1" t="n">
        <v>44601</v>
      </c>
      <c r="C1106" s="1" t="n">
        <v>46090</v>
      </c>
      <c r="D1106" t="inlineStr">
        <is>
          <t>JÄMTLANDS LÄN</t>
        </is>
      </c>
      <c r="E1106" t="inlineStr">
        <is>
          <t>RAGUNDA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6477-2024</t>
        </is>
      </c>
      <c r="B1107" s="1" t="n">
        <v>45338.95405092592</v>
      </c>
      <c r="C1107" s="1" t="n">
        <v>46090</v>
      </c>
      <c r="D1107" t="inlineStr">
        <is>
          <t>JÄMTLANDS LÄN</t>
        </is>
      </c>
      <c r="E1107" t="inlineStr">
        <is>
          <t>RAGUNDA</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18193-2022</t>
        </is>
      </c>
      <c r="B1108" s="1" t="n">
        <v>44684.94032407407</v>
      </c>
      <c r="C1108" s="1" t="n">
        <v>46090</v>
      </c>
      <c r="D1108" t="inlineStr">
        <is>
          <t>JÄMTLANDS LÄN</t>
        </is>
      </c>
      <c r="E1108" t="inlineStr">
        <is>
          <t>RAGUNDA</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11551-2024</t>
        </is>
      </c>
      <c r="B1109" s="1" t="n">
        <v>45372.95762731481</v>
      </c>
      <c r="C1109" s="1" t="n">
        <v>46090</v>
      </c>
      <c r="D1109" t="inlineStr">
        <is>
          <t>JÄMTLANDS LÄN</t>
        </is>
      </c>
      <c r="E1109" t="inlineStr">
        <is>
          <t>RAGUNDA</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49647-2024</t>
        </is>
      </c>
      <c r="B1110" s="1" t="n">
        <v>45596.61533564814</v>
      </c>
      <c r="C1110" s="1" t="n">
        <v>46090</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53264-2024</t>
        </is>
      </c>
      <c r="B1111" s="1" t="n">
        <v>45614.34545138889</v>
      </c>
      <c r="C1111" s="1" t="n">
        <v>46090</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13389-2025</t>
        </is>
      </c>
      <c r="B1112" s="1" t="n">
        <v>45735.69842592593</v>
      </c>
      <c r="C1112" s="1" t="n">
        <v>46090</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45631-2024</t>
        </is>
      </c>
      <c r="B1113" s="1" t="n">
        <v>45579.47052083333</v>
      </c>
      <c r="C1113" s="1" t="n">
        <v>46090</v>
      </c>
      <c r="D1113" t="inlineStr">
        <is>
          <t>JÄMTLANDS LÄN</t>
        </is>
      </c>
      <c r="E1113" t="inlineStr">
        <is>
          <t>RAGUNDA</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55701-2021</t>
        </is>
      </c>
      <c r="B1114" s="1" t="n">
        <v>44475</v>
      </c>
      <c r="C1114" s="1" t="n">
        <v>46090</v>
      </c>
      <c r="D1114" t="inlineStr">
        <is>
          <t>JÄMTLANDS LÄN</t>
        </is>
      </c>
      <c r="E1114" t="inlineStr">
        <is>
          <t>RAGUNDA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30484-2024</t>
        </is>
      </c>
      <c r="B1115" s="1" t="n">
        <v>45491</v>
      </c>
      <c r="C1115" s="1" t="n">
        <v>46090</v>
      </c>
      <c r="D1115" t="inlineStr">
        <is>
          <t>JÄMTLANDS LÄN</t>
        </is>
      </c>
      <c r="E1115" t="inlineStr">
        <is>
          <t>RAGUNDA</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14513-2025</t>
        </is>
      </c>
      <c r="B1116" s="1" t="n">
        <v>45741.63675925926</v>
      </c>
      <c r="C1116" s="1" t="n">
        <v>46090</v>
      </c>
      <c r="D1116" t="inlineStr">
        <is>
          <t>JÄMTLANDS LÄN</t>
        </is>
      </c>
      <c r="E1116" t="inlineStr">
        <is>
          <t>RAGUNDA</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55904-2022</t>
        </is>
      </c>
      <c r="B1117" s="1" t="n">
        <v>44888</v>
      </c>
      <c r="C1117" s="1" t="n">
        <v>46090</v>
      </c>
      <c r="D1117" t="inlineStr">
        <is>
          <t>JÄMTLANDS LÄN</t>
        </is>
      </c>
      <c r="E1117" t="inlineStr">
        <is>
          <t>RAGUNDA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7281-2025</t>
        </is>
      </c>
      <c r="B1118" s="1" t="n">
        <v>45702.63572916666</v>
      </c>
      <c r="C1118" s="1" t="n">
        <v>46090</v>
      </c>
      <c r="D1118" t="inlineStr">
        <is>
          <t>JÄMTLANDS LÄN</t>
        </is>
      </c>
      <c r="E1118" t="inlineStr">
        <is>
          <t>RAGUNDA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48192-2024</t>
        </is>
      </c>
      <c r="B1119" s="1" t="n">
        <v>45590</v>
      </c>
      <c r="C1119" s="1" t="n">
        <v>46090</v>
      </c>
      <c r="D1119" t="inlineStr">
        <is>
          <t>JÄMTLANDS LÄN</t>
        </is>
      </c>
      <c r="E1119" t="inlineStr">
        <is>
          <t>RAGUNDA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2599-2023</t>
        </is>
      </c>
      <c r="B1120" s="1" t="n">
        <v>44943.94802083333</v>
      </c>
      <c r="C1120" s="1" t="n">
        <v>46090</v>
      </c>
      <c r="D1120" t="inlineStr">
        <is>
          <t>JÄMTLANDS LÄN</t>
        </is>
      </c>
      <c r="E1120" t="inlineStr">
        <is>
          <t>RAGUNDA</t>
        </is>
      </c>
      <c r="F1120" t="inlineStr">
        <is>
          <t>SCA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48249-2024</t>
        </is>
      </c>
      <c r="B1121" s="1" t="n">
        <v>45590.40675925926</v>
      </c>
      <c r="C1121" s="1" t="n">
        <v>46090</v>
      </c>
      <c r="D1121" t="inlineStr">
        <is>
          <t>JÄMTLANDS LÄN</t>
        </is>
      </c>
      <c r="E1121" t="inlineStr">
        <is>
          <t>RAGUNDA</t>
        </is>
      </c>
      <c r="F1121" t="inlineStr">
        <is>
          <t>SCA</t>
        </is>
      </c>
      <c r="G1121" t="n">
        <v>14.4</v>
      </c>
      <c r="H1121" t="n">
        <v>0</v>
      </c>
      <c r="I1121" t="n">
        <v>0</v>
      </c>
      <c r="J1121" t="n">
        <v>0</v>
      </c>
      <c r="K1121" t="n">
        <v>0</v>
      </c>
      <c r="L1121" t="n">
        <v>0</v>
      </c>
      <c r="M1121" t="n">
        <v>0</v>
      </c>
      <c r="N1121" t="n">
        <v>0</v>
      </c>
      <c r="O1121" t="n">
        <v>0</v>
      </c>
      <c r="P1121" t="n">
        <v>0</v>
      </c>
      <c r="Q1121" t="n">
        <v>0</v>
      </c>
      <c r="R1121" s="2" t="inlineStr"/>
    </row>
    <row r="1122" ht="15" customHeight="1">
      <c r="A1122" t="inlineStr">
        <is>
          <t>A 64265-2023</t>
        </is>
      </c>
      <c r="B1122" s="1" t="n">
        <v>45279.94572916667</v>
      </c>
      <c r="C1122" s="1" t="n">
        <v>46090</v>
      </c>
      <c r="D1122" t="inlineStr">
        <is>
          <t>JÄMTLANDS LÄN</t>
        </is>
      </c>
      <c r="E1122" t="inlineStr">
        <is>
          <t>RAGUNDA</t>
        </is>
      </c>
      <c r="F1122" t="inlineStr">
        <is>
          <t>SCA</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66706-2021</t>
        </is>
      </c>
      <c r="B1123" s="1" t="n">
        <v>44519.94440972222</v>
      </c>
      <c r="C1123" s="1" t="n">
        <v>46090</v>
      </c>
      <c r="D1123" t="inlineStr">
        <is>
          <t>JÄMTLANDS LÄN</t>
        </is>
      </c>
      <c r="E1123" t="inlineStr">
        <is>
          <t>RAGUNDA</t>
        </is>
      </c>
      <c r="F1123" t="inlineStr">
        <is>
          <t>SCA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55222-2024</t>
        </is>
      </c>
      <c r="B1124" s="1" t="n">
        <v>45621.57395833333</v>
      </c>
      <c r="C1124" s="1" t="n">
        <v>46090</v>
      </c>
      <c r="D1124" t="inlineStr">
        <is>
          <t>JÄMTLANDS LÄN</t>
        </is>
      </c>
      <c r="E1124" t="inlineStr">
        <is>
          <t>RAGUNDA</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46211-2024</t>
        </is>
      </c>
      <c r="B1125" s="1" t="n">
        <v>45581.55260416667</v>
      </c>
      <c r="C1125" s="1" t="n">
        <v>46090</v>
      </c>
      <c r="D1125" t="inlineStr">
        <is>
          <t>JÄMTLANDS LÄN</t>
        </is>
      </c>
      <c r="E1125" t="inlineStr">
        <is>
          <t>RAGUNDA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31435-2022</t>
        </is>
      </c>
      <c r="B1126" s="1" t="n">
        <v>44774</v>
      </c>
      <c r="C1126" s="1" t="n">
        <v>46090</v>
      </c>
      <c r="D1126" t="inlineStr">
        <is>
          <t>JÄMTLANDS LÄN</t>
        </is>
      </c>
      <c r="E1126" t="inlineStr">
        <is>
          <t>RAGUNDA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39608-2024</t>
        </is>
      </c>
      <c r="B1127" s="1" t="n">
        <v>45552.39113425926</v>
      </c>
      <c r="C1127" s="1" t="n">
        <v>46090</v>
      </c>
      <c r="D1127" t="inlineStr">
        <is>
          <t>JÄMTLANDS LÄN</t>
        </is>
      </c>
      <c r="E1127" t="inlineStr">
        <is>
          <t>RAGUNDA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39626-2024</t>
        </is>
      </c>
      <c r="B1128" s="1" t="n">
        <v>45552.44096064815</v>
      </c>
      <c r="C1128" s="1" t="n">
        <v>46090</v>
      </c>
      <c r="D1128" t="inlineStr">
        <is>
          <t>JÄMTLANDS LÄN</t>
        </is>
      </c>
      <c r="E1128" t="inlineStr">
        <is>
          <t>RAGUNDA</t>
        </is>
      </c>
      <c r="G1128" t="n">
        <v>23.5</v>
      </c>
      <c r="H1128" t="n">
        <v>0</v>
      </c>
      <c r="I1128" t="n">
        <v>0</v>
      </c>
      <c r="J1128" t="n">
        <v>0</v>
      </c>
      <c r="K1128" t="n">
        <v>0</v>
      </c>
      <c r="L1128" t="n">
        <v>0</v>
      </c>
      <c r="M1128" t="n">
        <v>0</v>
      </c>
      <c r="N1128" t="n">
        <v>0</v>
      </c>
      <c r="O1128" t="n">
        <v>0</v>
      </c>
      <c r="P1128" t="n">
        <v>0</v>
      </c>
      <c r="Q1128" t="n">
        <v>0</v>
      </c>
      <c r="R1128" s="2" t="inlineStr"/>
    </row>
    <row r="1129" ht="15" customHeight="1">
      <c r="A1129" t="inlineStr">
        <is>
          <t>A 56984-2022</t>
        </is>
      </c>
      <c r="B1129" s="1" t="n">
        <v>44894.79018518519</v>
      </c>
      <c r="C1129" s="1" t="n">
        <v>46090</v>
      </c>
      <c r="D1129" t="inlineStr">
        <is>
          <t>JÄMTLANDS LÄN</t>
        </is>
      </c>
      <c r="E1129" t="inlineStr">
        <is>
          <t>RAGUNDA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13264-2025</t>
        </is>
      </c>
      <c r="B1130" s="1" t="n">
        <v>45735</v>
      </c>
      <c r="C1130" s="1" t="n">
        <v>46090</v>
      </c>
      <c r="D1130" t="inlineStr">
        <is>
          <t>JÄMTLANDS LÄN</t>
        </is>
      </c>
      <c r="E1130" t="inlineStr">
        <is>
          <t>RAGUNDA</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5307-2025</t>
        </is>
      </c>
      <c r="B1131" s="1" t="n">
        <v>45692.48993055556</v>
      </c>
      <c r="C1131" s="1" t="n">
        <v>46090</v>
      </c>
      <c r="D1131" t="inlineStr">
        <is>
          <t>JÄMTLANDS LÄN</t>
        </is>
      </c>
      <c r="E1131" t="inlineStr">
        <is>
          <t>RAGUNDA</t>
        </is>
      </c>
      <c r="F1131" t="inlineStr">
        <is>
          <t>SCA</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38548-2024</t>
        </is>
      </c>
      <c r="B1132" s="1" t="n">
        <v>45546</v>
      </c>
      <c r="C1132" s="1" t="n">
        <v>46090</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2411-2023</t>
        </is>
      </c>
      <c r="B1133" s="1" t="n">
        <v>44942</v>
      </c>
      <c r="C1133" s="1" t="n">
        <v>46090</v>
      </c>
      <c r="D1133" t="inlineStr">
        <is>
          <t>JÄMTLANDS LÄN</t>
        </is>
      </c>
      <c r="E1133" t="inlineStr">
        <is>
          <t>RAGUNDA</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13935-2024</t>
        </is>
      </c>
      <c r="B1134" s="1" t="n">
        <v>45391.95329861111</v>
      </c>
      <c r="C1134" s="1" t="n">
        <v>46090</v>
      </c>
      <c r="D1134" t="inlineStr">
        <is>
          <t>JÄMTLANDS LÄN</t>
        </is>
      </c>
      <c r="E1134" t="inlineStr">
        <is>
          <t>RAGUNDA</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5308-2025</t>
        </is>
      </c>
      <c r="B1135" s="1" t="n">
        <v>45692.49008101852</v>
      </c>
      <c r="C1135" s="1" t="n">
        <v>46090</v>
      </c>
      <c r="D1135" t="inlineStr">
        <is>
          <t>JÄMTLANDS LÄN</t>
        </is>
      </c>
      <c r="E1135" t="inlineStr">
        <is>
          <t>RAGUNDA</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58194-2022</t>
        </is>
      </c>
      <c r="B1136" s="1" t="n">
        <v>44900</v>
      </c>
      <c r="C1136" s="1" t="n">
        <v>46090</v>
      </c>
      <c r="D1136" t="inlineStr">
        <is>
          <t>JÄMTLANDS LÄN</t>
        </is>
      </c>
      <c r="E1136" t="inlineStr">
        <is>
          <t>RAGUNDA</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24171-2021</t>
        </is>
      </c>
      <c r="B1137" s="1" t="n">
        <v>44336</v>
      </c>
      <c r="C1137" s="1" t="n">
        <v>46090</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58843-2024</t>
        </is>
      </c>
      <c r="B1138" s="1" t="n">
        <v>45636.38599537037</v>
      </c>
      <c r="C1138" s="1" t="n">
        <v>46090</v>
      </c>
      <c r="D1138" t="inlineStr">
        <is>
          <t>JÄMTLANDS LÄN</t>
        </is>
      </c>
      <c r="E1138" t="inlineStr">
        <is>
          <t>RAGUNDA</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53287-2022</t>
        </is>
      </c>
      <c r="B1139" s="1" t="n">
        <v>44876</v>
      </c>
      <c r="C1139" s="1" t="n">
        <v>46090</v>
      </c>
      <c r="D1139" t="inlineStr">
        <is>
          <t>JÄMTLANDS LÄN</t>
        </is>
      </c>
      <c r="E1139" t="inlineStr">
        <is>
          <t>RAGUNDA</t>
        </is>
      </c>
      <c r="F1139" t="inlineStr">
        <is>
          <t>SCA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16320-2025</t>
        </is>
      </c>
      <c r="B1140" s="1" t="n">
        <v>45751.34859953704</v>
      </c>
      <c r="C1140" s="1" t="n">
        <v>46090</v>
      </c>
      <c r="D1140" t="inlineStr">
        <is>
          <t>JÄMTLANDS LÄN</t>
        </is>
      </c>
      <c r="E1140" t="inlineStr">
        <is>
          <t>RAGUNDA</t>
        </is>
      </c>
      <c r="F1140" t="inlineStr">
        <is>
          <t>SCA</t>
        </is>
      </c>
      <c r="G1140" t="n">
        <v>16.2</v>
      </c>
      <c r="H1140" t="n">
        <v>0</v>
      </c>
      <c r="I1140" t="n">
        <v>0</v>
      </c>
      <c r="J1140" t="n">
        <v>0</v>
      </c>
      <c r="K1140" t="n">
        <v>0</v>
      </c>
      <c r="L1140" t="n">
        <v>0</v>
      </c>
      <c r="M1140" t="n">
        <v>0</v>
      </c>
      <c r="N1140" t="n">
        <v>0</v>
      </c>
      <c r="O1140" t="n">
        <v>0</v>
      </c>
      <c r="P1140" t="n">
        <v>0</v>
      </c>
      <c r="Q1140" t="n">
        <v>0</v>
      </c>
      <c r="R1140" s="2" t="inlineStr"/>
    </row>
    <row r="1141" ht="15" customHeight="1">
      <c r="A1141" t="inlineStr">
        <is>
          <t>A 16321-2025</t>
        </is>
      </c>
      <c r="B1141" s="1" t="n">
        <v>45751.34873842593</v>
      </c>
      <c r="C1141" s="1" t="n">
        <v>46090</v>
      </c>
      <c r="D1141" t="inlineStr">
        <is>
          <t>JÄMTLANDS LÄN</t>
        </is>
      </c>
      <c r="E1141" t="inlineStr">
        <is>
          <t>RAGUNDA</t>
        </is>
      </c>
      <c r="F1141" t="inlineStr">
        <is>
          <t>SCA</t>
        </is>
      </c>
      <c r="G1141" t="n">
        <v>63.3</v>
      </c>
      <c r="H1141" t="n">
        <v>0</v>
      </c>
      <c r="I1141" t="n">
        <v>0</v>
      </c>
      <c r="J1141" t="n">
        <v>0</v>
      </c>
      <c r="K1141" t="n">
        <v>0</v>
      </c>
      <c r="L1141" t="n">
        <v>0</v>
      </c>
      <c r="M1141" t="n">
        <v>0</v>
      </c>
      <c r="N1141" t="n">
        <v>0</v>
      </c>
      <c r="O1141" t="n">
        <v>0</v>
      </c>
      <c r="P1141" t="n">
        <v>0</v>
      </c>
      <c r="Q1141" t="n">
        <v>0</v>
      </c>
      <c r="R1141" s="2" t="inlineStr"/>
    </row>
    <row r="1142" ht="15" customHeight="1">
      <c r="A1142" t="inlineStr">
        <is>
          <t>A 14696-2022</t>
        </is>
      </c>
      <c r="B1142" s="1" t="n">
        <v>44655</v>
      </c>
      <c r="C1142" s="1" t="n">
        <v>46090</v>
      </c>
      <c r="D1142" t="inlineStr">
        <is>
          <t>JÄMTLANDS LÄN</t>
        </is>
      </c>
      <c r="E1142" t="inlineStr">
        <is>
          <t>RAGUNDA</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55514-2024</t>
        </is>
      </c>
      <c r="B1143" s="1" t="n">
        <v>45622.46910879629</v>
      </c>
      <c r="C1143" s="1" t="n">
        <v>46090</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18375-2022</t>
        </is>
      </c>
      <c r="B1144" s="1" t="n">
        <v>44685</v>
      </c>
      <c r="C1144" s="1" t="n">
        <v>46090</v>
      </c>
      <c r="D1144" t="inlineStr">
        <is>
          <t>JÄMTLANDS LÄN</t>
        </is>
      </c>
      <c r="E1144" t="inlineStr">
        <is>
          <t>RAGUNDA</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17248-2023</t>
        </is>
      </c>
      <c r="B1145" s="1" t="n">
        <v>45033</v>
      </c>
      <c r="C1145" s="1" t="n">
        <v>46090</v>
      </c>
      <c r="D1145" t="inlineStr">
        <is>
          <t>JÄMTLANDS LÄN</t>
        </is>
      </c>
      <c r="E1145" t="inlineStr">
        <is>
          <t>RAGUNDA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62011-2022</t>
        </is>
      </c>
      <c r="B1146" s="1" t="n">
        <v>44914</v>
      </c>
      <c r="C1146" s="1" t="n">
        <v>46090</v>
      </c>
      <c r="D1146" t="inlineStr">
        <is>
          <t>JÄMTLANDS LÄN</t>
        </is>
      </c>
      <c r="E1146" t="inlineStr">
        <is>
          <t>RAGUNDA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11557-2023</t>
        </is>
      </c>
      <c r="B1147" s="1" t="n">
        <v>44993.94950231481</v>
      </c>
      <c r="C1147" s="1" t="n">
        <v>46090</v>
      </c>
      <c r="D1147" t="inlineStr">
        <is>
          <t>JÄMTLANDS LÄN</t>
        </is>
      </c>
      <c r="E1147" t="inlineStr">
        <is>
          <t>RAGUNDA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11562-2023</t>
        </is>
      </c>
      <c r="B1148" s="1" t="n">
        <v>44993</v>
      </c>
      <c r="C1148" s="1" t="n">
        <v>46090</v>
      </c>
      <c r="D1148" t="inlineStr">
        <is>
          <t>JÄMTLANDS LÄN</t>
        </is>
      </c>
      <c r="E1148" t="inlineStr">
        <is>
          <t>RAGUNDA</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22131-2021</t>
        </is>
      </c>
      <c r="B1149" s="1" t="n">
        <v>44323</v>
      </c>
      <c r="C1149" s="1" t="n">
        <v>46090</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5971-2025</t>
        </is>
      </c>
      <c r="B1150" s="1" t="n">
        <v>45695.51070601852</v>
      </c>
      <c r="C1150" s="1" t="n">
        <v>46090</v>
      </c>
      <c r="D1150" t="inlineStr">
        <is>
          <t>JÄMTLANDS LÄN</t>
        </is>
      </c>
      <c r="E1150" t="inlineStr">
        <is>
          <t>RAGUNDA</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30563-2023</t>
        </is>
      </c>
      <c r="B1151" s="1" t="n">
        <v>45111.92793981481</v>
      </c>
      <c r="C1151" s="1" t="n">
        <v>46090</v>
      </c>
      <c r="D1151" t="inlineStr">
        <is>
          <t>JÄMTLANDS LÄN</t>
        </is>
      </c>
      <c r="E1151" t="inlineStr">
        <is>
          <t>RAGUNDA</t>
        </is>
      </c>
      <c r="F1151" t="inlineStr">
        <is>
          <t>Övriga Aktiebolag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36212-2023</t>
        </is>
      </c>
      <c r="B1152" s="1" t="n">
        <v>45149.95241898148</v>
      </c>
      <c r="C1152" s="1" t="n">
        <v>46090</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12768-2022</t>
        </is>
      </c>
      <c r="B1153" s="1" t="n">
        <v>44641</v>
      </c>
      <c r="C1153" s="1" t="n">
        <v>46090</v>
      </c>
      <c r="D1153" t="inlineStr">
        <is>
          <t>JÄMTLANDS LÄN</t>
        </is>
      </c>
      <c r="E1153" t="inlineStr">
        <is>
          <t>RAGUNDA</t>
        </is>
      </c>
      <c r="F1153" t="inlineStr">
        <is>
          <t>SCA</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12773-2022</t>
        </is>
      </c>
      <c r="B1154" s="1" t="n">
        <v>44641</v>
      </c>
      <c r="C1154" s="1" t="n">
        <v>46090</v>
      </c>
      <c r="D1154" t="inlineStr">
        <is>
          <t>JÄMTLANDS LÄN</t>
        </is>
      </c>
      <c r="E1154" t="inlineStr">
        <is>
          <t>RAGUNDA</t>
        </is>
      </c>
      <c r="F1154" t="inlineStr">
        <is>
          <t>SCA</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5067-2024</t>
        </is>
      </c>
      <c r="B1155" s="1" t="n">
        <v>45329.95806712963</v>
      </c>
      <c r="C1155" s="1" t="n">
        <v>46090</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14905-2022</t>
        </is>
      </c>
      <c r="B1156" s="1" t="n">
        <v>44656.94708333333</v>
      </c>
      <c r="C1156" s="1" t="n">
        <v>46090</v>
      </c>
      <c r="D1156" t="inlineStr">
        <is>
          <t>JÄMTLANDS LÄN</t>
        </is>
      </c>
      <c r="E1156" t="inlineStr">
        <is>
          <t>RAGUNDA</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29766-2023</t>
        </is>
      </c>
      <c r="B1157" s="1" t="n">
        <v>45098</v>
      </c>
      <c r="C1157" s="1" t="n">
        <v>46090</v>
      </c>
      <c r="D1157" t="inlineStr">
        <is>
          <t>JÄMTLANDS LÄN</t>
        </is>
      </c>
      <c r="E1157" t="inlineStr">
        <is>
          <t>RAGUNDA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61107-2024</t>
        </is>
      </c>
      <c r="B1158" s="1" t="n">
        <v>45645.55665509259</v>
      </c>
      <c r="C1158" s="1" t="n">
        <v>46090</v>
      </c>
      <c r="D1158" t="inlineStr">
        <is>
          <t>JÄMTLANDS LÄN</t>
        </is>
      </c>
      <c r="E1158" t="inlineStr">
        <is>
          <t>RAGUNDA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23287-2024</t>
        </is>
      </c>
      <c r="B1159" s="1" t="n">
        <v>45453.42041666667</v>
      </c>
      <c r="C1159" s="1" t="n">
        <v>46090</v>
      </c>
      <c r="D1159" t="inlineStr">
        <is>
          <t>JÄMTLANDS LÄN</t>
        </is>
      </c>
      <c r="E1159" t="inlineStr">
        <is>
          <t>RAGUNDA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36922-2022</t>
        </is>
      </c>
      <c r="B1160" s="1" t="n">
        <v>44805.94592592592</v>
      </c>
      <c r="C1160" s="1" t="n">
        <v>46090</v>
      </c>
      <c r="D1160" t="inlineStr">
        <is>
          <t>JÄMTLANDS LÄN</t>
        </is>
      </c>
      <c r="E1160" t="inlineStr">
        <is>
          <t>RAGUNDA</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26347-2023</t>
        </is>
      </c>
      <c r="B1161" s="1" t="n">
        <v>45091</v>
      </c>
      <c r="C1161" s="1" t="n">
        <v>46090</v>
      </c>
      <c r="D1161" t="inlineStr">
        <is>
          <t>JÄMTLANDS LÄN</t>
        </is>
      </c>
      <c r="E1161" t="inlineStr">
        <is>
          <t>RAGUNDA</t>
        </is>
      </c>
      <c r="F1161" t="inlineStr">
        <is>
          <t>SCA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34483-2023</t>
        </is>
      </c>
      <c r="B1162" s="1" t="n">
        <v>45139.94681712963</v>
      </c>
      <c r="C1162" s="1" t="n">
        <v>46090</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22948-2024</t>
        </is>
      </c>
      <c r="B1163" s="1" t="n">
        <v>45448.94600694445</v>
      </c>
      <c r="C1163" s="1" t="n">
        <v>46090</v>
      </c>
      <c r="D1163" t="inlineStr">
        <is>
          <t>JÄMTLANDS LÄN</t>
        </is>
      </c>
      <c r="E1163" t="inlineStr">
        <is>
          <t>RAGUNDA</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23304-2023</t>
        </is>
      </c>
      <c r="B1164" s="1" t="n">
        <v>45075.945</v>
      </c>
      <c r="C1164" s="1" t="n">
        <v>46090</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36226-2023</t>
        </is>
      </c>
      <c r="B1165" s="1" t="n">
        <v>45149.95372685185</v>
      </c>
      <c r="C1165" s="1" t="n">
        <v>46090</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18615-2024</t>
        </is>
      </c>
      <c r="B1166" s="1" t="n">
        <v>45425.96275462963</v>
      </c>
      <c r="C1166" s="1" t="n">
        <v>46090</v>
      </c>
      <c r="D1166" t="inlineStr">
        <is>
          <t>JÄMTLANDS LÄN</t>
        </is>
      </c>
      <c r="E1166" t="inlineStr">
        <is>
          <t>RAGUNDA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40269-2022</t>
        </is>
      </c>
      <c r="B1167" s="1" t="n">
        <v>44820</v>
      </c>
      <c r="C1167" s="1" t="n">
        <v>46090</v>
      </c>
      <c r="D1167" t="inlineStr">
        <is>
          <t>JÄMTLANDS LÄN</t>
        </is>
      </c>
      <c r="E1167" t="inlineStr">
        <is>
          <t>RAGUNDA</t>
        </is>
      </c>
      <c r="F1167" t="inlineStr">
        <is>
          <t>SCA</t>
        </is>
      </c>
      <c r="G1167" t="n">
        <v>77.8</v>
      </c>
      <c r="H1167" t="n">
        <v>0</v>
      </c>
      <c r="I1167" t="n">
        <v>0</v>
      </c>
      <c r="J1167" t="n">
        <v>0</v>
      </c>
      <c r="K1167" t="n">
        <v>0</v>
      </c>
      <c r="L1167" t="n">
        <v>0</v>
      </c>
      <c r="M1167" t="n">
        <v>0</v>
      </c>
      <c r="N1167" t="n">
        <v>0</v>
      </c>
      <c r="O1167" t="n">
        <v>0</v>
      </c>
      <c r="P1167" t="n">
        <v>0</v>
      </c>
      <c r="Q1167" t="n">
        <v>0</v>
      </c>
      <c r="R1167" s="2" t="inlineStr"/>
    </row>
    <row r="1168" ht="15" customHeight="1">
      <c r="A1168" t="inlineStr">
        <is>
          <t>A 37242-2024</t>
        </is>
      </c>
      <c r="B1168" s="1" t="n">
        <v>45540.34428240741</v>
      </c>
      <c r="C1168" s="1" t="n">
        <v>46090</v>
      </c>
      <c r="D1168" t="inlineStr">
        <is>
          <t>JÄMTLANDS LÄN</t>
        </is>
      </c>
      <c r="E1168" t="inlineStr">
        <is>
          <t>RAGUNDA</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45438-2022</t>
        </is>
      </c>
      <c r="B1169" s="1" t="n">
        <v>44844.95368055555</v>
      </c>
      <c r="C1169" s="1" t="n">
        <v>46090</v>
      </c>
      <c r="D1169" t="inlineStr">
        <is>
          <t>JÄMTLANDS LÄN</t>
        </is>
      </c>
      <c r="E1169" t="inlineStr">
        <is>
          <t>RAGUNDA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56191-2022</t>
        </is>
      </c>
      <c r="B1170" s="1" t="n">
        <v>44889.95015046297</v>
      </c>
      <c r="C1170" s="1" t="n">
        <v>46090</v>
      </c>
      <c r="D1170" t="inlineStr">
        <is>
          <t>JÄMTLANDS LÄN</t>
        </is>
      </c>
      <c r="E1170" t="inlineStr">
        <is>
          <t>RAGUNDA</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46090</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43339-2024</t>
        </is>
      </c>
      <c r="B1172" s="1" t="n">
        <v>45568.51075231482</v>
      </c>
      <c r="C1172" s="1" t="n">
        <v>46090</v>
      </c>
      <c r="D1172" t="inlineStr">
        <is>
          <t>JÄMTLANDS LÄN</t>
        </is>
      </c>
      <c r="E1172" t="inlineStr">
        <is>
          <t>RAGUNDA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43102-2023</t>
        </is>
      </c>
      <c r="B1173" s="1" t="n">
        <v>45182</v>
      </c>
      <c r="C1173" s="1" t="n">
        <v>46090</v>
      </c>
      <c r="D1173" t="inlineStr">
        <is>
          <t>JÄMTLANDS LÄN</t>
        </is>
      </c>
      <c r="E1173" t="inlineStr">
        <is>
          <t>RAGUNDA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9823-2025</t>
        </is>
      </c>
      <c r="B1174" s="1" t="n">
        <v>45716</v>
      </c>
      <c r="C1174" s="1" t="n">
        <v>46090</v>
      </c>
      <c r="D1174" t="inlineStr">
        <is>
          <t>JÄMTLANDS LÄN</t>
        </is>
      </c>
      <c r="E1174" t="inlineStr">
        <is>
          <t>RAGUNDA</t>
        </is>
      </c>
      <c r="F1174" t="inlineStr">
        <is>
          <t>SCA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13917-2023</t>
        </is>
      </c>
      <c r="B1175" s="1" t="n">
        <v>45007</v>
      </c>
      <c r="C1175" s="1" t="n">
        <v>46090</v>
      </c>
      <c r="D1175" t="inlineStr">
        <is>
          <t>JÄMTLANDS LÄN</t>
        </is>
      </c>
      <c r="E1175" t="inlineStr">
        <is>
          <t>RAGUNDA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53019-2023</t>
        </is>
      </c>
      <c r="B1176" s="1" t="n">
        <v>45222</v>
      </c>
      <c r="C1176" s="1" t="n">
        <v>46090</v>
      </c>
      <c r="D1176" t="inlineStr">
        <is>
          <t>JÄMTLANDS LÄN</t>
        </is>
      </c>
      <c r="E1176" t="inlineStr">
        <is>
          <t>RAGUNDA</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14212-2023</t>
        </is>
      </c>
      <c r="B1177" s="1" t="n">
        <v>45009</v>
      </c>
      <c r="C1177" s="1" t="n">
        <v>46090</v>
      </c>
      <c r="D1177" t="inlineStr">
        <is>
          <t>JÄMTLANDS LÄN</t>
        </is>
      </c>
      <c r="E1177" t="inlineStr">
        <is>
          <t>RAGUNDA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59996-2023</t>
        </is>
      </c>
      <c r="B1178" s="1" t="n">
        <v>45257.92826388889</v>
      </c>
      <c r="C1178" s="1" t="n">
        <v>46090</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44980-2023</t>
        </is>
      </c>
      <c r="B1179" s="1" t="n">
        <v>45190</v>
      </c>
      <c r="C1179" s="1" t="n">
        <v>46090</v>
      </c>
      <c r="D1179" t="inlineStr">
        <is>
          <t>JÄMTLANDS LÄN</t>
        </is>
      </c>
      <c r="E1179" t="inlineStr">
        <is>
          <t>RAGUNDA</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14076-2023</t>
        </is>
      </c>
      <c r="B1180" s="1" t="n">
        <v>45009.0897337963</v>
      </c>
      <c r="C1180" s="1" t="n">
        <v>46090</v>
      </c>
      <c r="D1180" t="inlineStr">
        <is>
          <t>JÄMTLANDS LÄN</t>
        </is>
      </c>
      <c r="E1180" t="inlineStr">
        <is>
          <t>RAGUNDA</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12805-2025</t>
        </is>
      </c>
      <c r="B1181" s="1" t="n">
        <v>45733.61497685185</v>
      </c>
      <c r="C1181" s="1" t="n">
        <v>46090</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12808-2025</t>
        </is>
      </c>
      <c r="B1182" s="1" t="n">
        <v>45733.61554398148</v>
      </c>
      <c r="C1182" s="1" t="n">
        <v>46090</v>
      </c>
      <c r="D1182" t="inlineStr">
        <is>
          <t>JÄMTLANDS LÄN</t>
        </is>
      </c>
      <c r="E1182" t="inlineStr">
        <is>
          <t>RAGUNDA</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4615-2023</t>
        </is>
      </c>
      <c r="B1183" s="1" t="n">
        <v>44956.93924768519</v>
      </c>
      <c r="C1183" s="1" t="n">
        <v>46090</v>
      </c>
      <c r="D1183" t="inlineStr">
        <is>
          <t>JÄMTLANDS LÄN</t>
        </is>
      </c>
      <c r="E1183" t="inlineStr">
        <is>
          <t>RAGUNDA</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5938-2025</t>
        </is>
      </c>
      <c r="B1184" s="1" t="n">
        <v>45695.45868055556</v>
      </c>
      <c r="C1184" s="1" t="n">
        <v>46090</v>
      </c>
      <c r="D1184" t="inlineStr">
        <is>
          <t>JÄMTLANDS LÄN</t>
        </is>
      </c>
      <c r="E1184" t="inlineStr">
        <is>
          <t>RAGUNDA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4125-2024</t>
        </is>
      </c>
      <c r="B1185" s="1" t="n">
        <v>45323</v>
      </c>
      <c r="C1185" s="1" t="n">
        <v>46090</v>
      </c>
      <c r="D1185" t="inlineStr">
        <is>
          <t>JÄMTLANDS LÄN</t>
        </is>
      </c>
      <c r="E1185" t="inlineStr">
        <is>
          <t>RAGUNDA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53549-2024</t>
        </is>
      </c>
      <c r="B1186" s="1" t="n">
        <v>45614.63869212963</v>
      </c>
      <c r="C1186" s="1" t="n">
        <v>46090</v>
      </c>
      <c r="D1186" t="inlineStr">
        <is>
          <t>JÄMTLANDS LÄN</t>
        </is>
      </c>
      <c r="E1186" t="inlineStr">
        <is>
          <t>RAGUNDA</t>
        </is>
      </c>
      <c r="F1186" t="inlineStr">
        <is>
          <t>Kyrkan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7284-2025</t>
        </is>
      </c>
      <c r="B1187" s="1" t="n">
        <v>45702.63604166666</v>
      </c>
      <c r="C1187" s="1" t="n">
        <v>46090</v>
      </c>
      <c r="D1187" t="inlineStr">
        <is>
          <t>JÄMTLANDS LÄN</t>
        </is>
      </c>
      <c r="E1187" t="inlineStr">
        <is>
          <t>RAGUNDA</t>
        </is>
      </c>
      <c r="F1187" t="inlineStr">
        <is>
          <t>SCA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31506-2024</t>
        </is>
      </c>
      <c r="B1188" s="1" t="n">
        <v>45505</v>
      </c>
      <c r="C1188" s="1" t="n">
        <v>46090</v>
      </c>
      <c r="D1188" t="inlineStr">
        <is>
          <t>JÄMTLANDS LÄN</t>
        </is>
      </c>
      <c r="E1188" t="inlineStr">
        <is>
          <t>RAGUNDA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19382-2025</t>
        </is>
      </c>
      <c r="B1189" s="1" t="n">
        <v>45769.65659722222</v>
      </c>
      <c r="C1189" s="1" t="n">
        <v>46090</v>
      </c>
      <c r="D1189" t="inlineStr">
        <is>
          <t>JÄMTLANDS LÄN</t>
        </is>
      </c>
      <c r="E1189" t="inlineStr">
        <is>
          <t>RAGUNDA</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37479-2023</t>
        </is>
      </c>
      <c r="B1190" s="1" t="n">
        <v>45156</v>
      </c>
      <c r="C1190" s="1" t="n">
        <v>46090</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4866-2025</t>
        </is>
      </c>
      <c r="B1191" s="1" t="n">
        <v>45688.67542824074</v>
      </c>
      <c r="C1191" s="1" t="n">
        <v>46090</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11780-2024</t>
        </is>
      </c>
      <c r="B1192" s="1" t="n">
        <v>45374</v>
      </c>
      <c r="C1192" s="1" t="n">
        <v>46090</v>
      </c>
      <c r="D1192" t="inlineStr">
        <is>
          <t>JÄMTLANDS LÄN</t>
        </is>
      </c>
      <c r="E1192" t="inlineStr">
        <is>
          <t>RAGUNDA</t>
        </is>
      </c>
      <c r="G1192" t="n">
        <v>14.6</v>
      </c>
      <c r="H1192" t="n">
        <v>0</v>
      </c>
      <c r="I1192" t="n">
        <v>0</v>
      </c>
      <c r="J1192" t="n">
        <v>0</v>
      </c>
      <c r="K1192" t="n">
        <v>0</v>
      </c>
      <c r="L1192" t="n">
        <v>0</v>
      </c>
      <c r="M1192" t="n">
        <v>0</v>
      </c>
      <c r="N1192" t="n">
        <v>0</v>
      </c>
      <c r="O1192" t="n">
        <v>0</v>
      </c>
      <c r="P1192" t="n">
        <v>0</v>
      </c>
      <c r="Q1192" t="n">
        <v>0</v>
      </c>
      <c r="R1192" s="2" t="inlineStr"/>
    </row>
    <row r="1193" ht="15" customHeight="1">
      <c r="A1193" t="inlineStr">
        <is>
          <t>A 11288-2022</t>
        </is>
      </c>
      <c r="B1193" s="1" t="n">
        <v>44629</v>
      </c>
      <c r="C1193" s="1" t="n">
        <v>46090</v>
      </c>
      <c r="D1193" t="inlineStr">
        <is>
          <t>JÄMTLANDS LÄN</t>
        </is>
      </c>
      <c r="E1193" t="inlineStr">
        <is>
          <t>RAGUNDA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18984-2023</t>
        </is>
      </c>
      <c r="B1194" s="1" t="n">
        <v>45044</v>
      </c>
      <c r="C1194" s="1" t="n">
        <v>46090</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66011-2021</t>
        </is>
      </c>
      <c r="B1195" s="1" t="n">
        <v>44517.58137731482</v>
      </c>
      <c r="C1195" s="1" t="n">
        <v>46090</v>
      </c>
      <c r="D1195" t="inlineStr">
        <is>
          <t>JÄMTLANDS LÄN</t>
        </is>
      </c>
      <c r="E1195" t="inlineStr">
        <is>
          <t>RAGUNDA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46090</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33615-2023</t>
        </is>
      </c>
      <c r="B1197" s="1" t="n">
        <v>45119</v>
      </c>
      <c r="C1197" s="1" t="n">
        <v>46090</v>
      </c>
      <c r="D1197" t="inlineStr">
        <is>
          <t>JÄMTLANDS LÄN</t>
        </is>
      </c>
      <c r="E1197" t="inlineStr">
        <is>
          <t>RAGUNDA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42510-2023</t>
        </is>
      </c>
      <c r="B1198" s="1" t="n">
        <v>45180.95927083334</v>
      </c>
      <c r="C1198" s="1" t="n">
        <v>46090</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53860-2023</t>
        </is>
      </c>
      <c r="B1199" s="1" t="n">
        <v>45224</v>
      </c>
      <c r="C1199" s="1" t="n">
        <v>46090</v>
      </c>
      <c r="D1199" t="inlineStr">
        <is>
          <t>JÄMTLANDS LÄN</t>
        </is>
      </c>
      <c r="E1199" t="inlineStr">
        <is>
          <t>RAGUNDA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12039-2023</t>
        </is>
      </c>
      <c r="B1200" s="1" t="n">
        <v>44995.98341435185</v>
      </c>
      <c r="C1200" s="1" t="n">
        <v>46090</v>
      </c>
      <c r="D1200" t="inlineStr">
        <is>
          <t>JÄMTLANDS LÄN</t>
        </is>
      </c>
      <c r="E1200" t="inlineStr">
        <is>
          <t>RAGUNDA</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26991-2023</t>
        </is>
      </c>
      <c r="B1201" s="1" t="n">
        <v>45093.92207175926</v>
      </c>
      <c r="C1201" s="1" t="n">
        <v>46090</v>
      </c>
      <c r="D1201" t="inlineStr">
        <is>
          <t>JÄMTLANDS LÄN</t>
        </is>
      </c>
      <c r="E1201" t="inlineStr">
        <is>
          <t>RAGUNDA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13302-2022</t>
        </is>
      </c>
      <c r="B1202" s="1" t="n">
        <v>44644</v>
      </c>
      <c r="C1202" s="1" t="n">
        <v>46090</v>
      </c>
      <c r="D1202" t="inlineStr">
        <is>
          <t>JÄMTLANDS LÄN</t>
        </is>
      </c>
      <c r="E1202" t="inlineStr">
        <is>
          <t>RAGUNDA</t>
        </is>
      </c>
      <c r="F1202" t="inlineStr">
        <is>
          <t>SCA</t>
        </is>
      </c>
      <c r="G1202" t="n">
        <v>35.6</v>
      </c>
      <c r="H1202" t="n">
        <v>0</v>
      </c>
      <c r="I1202" t="n">
        <v>0</v>
      </c>
      <c r="J1202" t="n">
        <v>0</v>
      </c>
      <c r="K1202" t="n">
        <v>0</v>
      </c>
      <c r="L1202" t="n">
        <v>0</v>
      </c>
      <c r="M1202" t="n">
        <v>0</v>
      </c>
      <c r="N1202" t="n">
        <v>0</v>
      </c>
      <c r="O1202" t="n">
        <v>0</v>
      </c>
      <c r="P1202" t="n">
        <v>0</v>
      </c>
      <c r="Q1202" t="n">
        <v>0</v>
      </c>
      <c r="R1202" s="2" t="inlineStr"/>
    </row>
    <row r="1203" ht="15" customHeight="1">
      <c r="A1203" t="inlineStr">
        <is>
          <t>A 26651-2024</t>
        </is>
      </c>
      <c r="B1203" s="1" t="n">
        <v>45469.94876157407</v>
      </c>
      <c r="C1203" s="1" t="n">
        <v>46090</v>
      </c>
      <c r="D1203" t="inlineStr">
        <is>
          <t>JÄMTLANDS LÄN</t>
        </is>
      </c>
      <c r="E1203" t="inlineStr">
        <is>
          <t>RAGUNDA</t>
        </is>
      </c>
      <c r="F1203" t="inlineStr">
        <is>
          <t>SCA</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40919-2024</t>
        </is>
      </c>
      <c r="B1204" s="1" t="n">
        <v>45558.63575231482</v>
      </c>
      <c r="C1204" s="1" t="n">
        <v>46090</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3186-2025</t>
        </is>
      </c>
      <c r="B1205" s="1" t="n">
        <v>45679.40362268518</v>
      </c>
      <c r="C1205" s="1" t="n">
        <v>46090</v>
      </c>
      <c r="D1205" t="inlineStr">
        <is>
          <t>JÄMTLANDS LÄN</t>
        </is>
      </c>
      <c r="E1205" t="inlineStr">
        <is>
          <t>RAGUNDA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465-2023</t>
        </is>
      </c>
      <c r="B1206" s="1" t="n">
        <v>44929</v>
      </c>
      <c r="C1206" s="1" t="n">
        <v>46090</v>
      </c>
      <c r="D1206" t="inlineStr">
        <is>
          <t>JÄMTLANDS LÄN</t>
        </is>
      </c>
      <c r="E1206" t="inlineStr">
        <is>
          <t>RAGUNDA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26455-2023</t>
        </is>
      </c>
      <c r="B1207" s="1" t="n">
        <v>45092</v>
      </c>
      <c r="C1207" s="1" t="n">
        <v>46090</v>
      </c>
      <c r="D1207" t="inlineStr">
        <is>
          <t>JÄMTLANDS LÄN</t>
        </is>
      </c>
      <c r="E1207" t="inlineStr">
        <is>
          <t>RAGUNDA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10639-2024</t>
        </is>
      </c>
      <c r="B1208" s="1" t="n">
        <v>45367.67256944445</v>
      </c>
      <c r="C1208" s="1" t="n">
        <v>46090</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2751-2024</t>
        </is>
      </c>
      <c r="B1209" s="1" t="n">
        <v>45314</v>
      </c>
      <c r="C1209" s="1" t="n">
        <v>46090</v>
      </c>
      <c r="D1209" t="inlineStr">
        <is>
          <t>JÄMTLANDS LÄN</t>
        </is>
      </c>
      <c r="E1209" t="inlineStr">
        <is>
          <t>RAGUNDA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36317-2024</t>
        </is>
      </c>
      <c r="B1210" s="1" t="n">
        <v>45534.63537037037</v>
      </c>
      <c r="C1210" s="1" t="n">
        <v>46090</v>
      </c>
      <c r="D1210" t="inlineStr">
        <is>
          <t>JÄMTLANDS LÄN</t>
        </is>
      </c>
      <c r="E1210" t="inlineStr">
        <is>
          <t>RAGUNDA</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18614-2024</t>
        </is>
      </c>
      <c r="B1211" s="1" t="n">
        <v>45425.96263888889</v>
      </c>
      <c r="C1211" s="1" t="n">
        <v>46090</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8787-2022</t>
        </is>
      </c>
      <c r="B1212" s="1" t="n">
        <v>44614</v>
      </c>
      <c r="C1212" s="1" t="n">
        <v>46090</v>
      </c>
      <c r="D1212" t="inlineStr">
        <is>
          <t>JÄMTLANDS LÄN</t>
        </is>
      </c>
      <c r="E1212" t="inlineStr">
        <is>
          <t>RAGUNDA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50431-2024</t>
        </is>
      </c>
      <c r="B1213" s="1" t="n">
        <v>45601.40686342592</v>
      </c>
      <c r="C1213" s="1" t="n">
        <v>46090</v>
      </c>
      <c r="D1213" t="inlineStr">
        <is>
          <t>JÄMTLANDS LÄN</t>
        </is>
      </c>
      <c r="E1213" t="inlineStr">
        <is>
          <t>RAGUNDA</t>
        </is>
      </c>
      <c r="F1213" t="inlineStr">
        <is>
          <t>SCA</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60936-2024</t>
        </is>
      </c>
      <c r="B1214" s="1" t="n">
        <v>45645.36743055555</v>
      </c>
      <c r="C1214" s="1" t="n">
        <v>46090</v>
      </c>
      <c r="D1214" t="inlineStr">
        <is>
          <t>JÄMTLANDS LÄN</t>
        </is>
      </c>
      <c r="E1214" t="inlineStr">
        <is>
          <t>RAGUNDA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4212-2024</t>
        </is>
      </c>
      <c r="B1215" s="1" t="n">
        <v>45324</v>
      </c>
      <c r="C1215" s="1" t="n">
        <v>46090</v>
      </c>
      <c r="D1215" t="inlineStr">
        <is>
          <t>JÄMTLANDS LÄN</t>
        </is>
      </c>
      <c r="E1215" t="inlineStr">
        <is>
          <t>RAGUNDA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9262-2025</t>
        </is>
      </c>
      <c r="B1216" s="1" t="n">
        <v>45714.60649305556</v>
      </c>
      <c r="C1216" s="1" t="n">
        <v>46090</v>
      </c>
      <c r="D1216" t="inlineStr">
        <is>
          <t>JÄMTLANDS LÄN</t>
        </is>
      </c>
      <c r="E1216" t="inlineStr">
        <is>
          <t>RAGUNDA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60012-2023</t>
        </is>
      </c>
      <c r="B1217" s="1" t="n">
        <v>45257</v>
      </c>
      <c r="C1217" s="1" t="n">
        <v>46090</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53676-2022</t>
        </is>
      </c>
      <c r="B1218" s="1" t="n">
        <v>44879</v>
      </c>
      <c r="C1218" s="1" t="n">
        <v>46090</v>
      </c>
      <c r="D1218" t="inlineStr">
        <is>
          <t>JÄMTLANDS LÄN</t>
        </is>
      </c>
      <c r="E1218" t="inlineStr">
        <is>
          <t>RAGUNDA</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56504-2024</t>
        </is>
      </c>
      <c r="B1219" s="1" t="n">
        <v>45625.51068287037</v>
      </c>
      <c r="C1219" s="1" t="n">
        <v>46090</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934-2023</t>
        </is>
      </c>
      <c r="B1220" s="1" t="n">
        <v>44932.93927083333</v>
      </c>
      <c r="C1220" s="1" t="n">
        <v>46090</v>
      </c>
      <c r="D1220" t="inlineStr">
        <is>
          <t>JÄMTLANDS LÄN</t>
        </is>
      </c>
      <c r="E1220" t="inlineStr">
        <is>
          <t>RAGUNDA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36106-2022</t>
        </is>
      </c>
      <c r="B1221" s="1" t="n">
        <v>44802.94811342593</v>
      </c>
      <c r="C1221" s="1" t="n">
        <v>46090</v>
      </c>
      <c r="D1221" t="inlineStr">
        <is>
          <t>JÄMTLANDS LÄN</t>
        </is>
      </c>
      <c r="E1221" t="inlineStr">
        <is>
          <t>RAGUNDA</t>
        </is>
      </c>
      <c r="F1221" t="inlineStr">
        <is>
          <t>SCA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57839-2022</t>
        </is>
      </c>
      <c r="B1222" s="1" t="n">
        <v>44897</v>
      </c>
      <c r="C1222" s="1" t="n">
        <v>46090</v>
      </c>
      <c r="D1222" t="inlineStr">
        <is>
          <t>JÄMTLANDS LÄN</t>
        </is>
      </c>
      <c r="E1222" t="inlineStr">
        <is>
          <t>RAGUNDA</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41693-2023</t>
        </is>
      </c>
      <c r="B1223" s="1" t="n">
        <v>45176</v>
      </c>
      <c r="C1223" s="1" t="n">
        <v>46090</v>
      </c>
      <c r="D1223" t="inlineStr">
        <is>
          <t>JÄMTLANDS LÄN</t>
        </is>
      </c>
      <c r="E1223" t="inlineStr">
        <is>
          <t>RAGUNDA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53678-2022</t>
        </is>
      </c>
      <c r="B1224" s="1" t="n">
        <v>44879.95768518518</v>
      </c>
      <c r="C1224" s="1" t="n">
        <v>46090</v>
      </c>
      <c r="D1224" t="inlineStr">
        <is>
          <t>JÄMTLANDS LÄN</t>
        </is>
      </c>
      <c r="E1224" t="inlineStr">
        <is>
          <t>RAGUNDA</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23305-2023</t>
        </is>
      </c>
      <c r="B1225" s="1" t="n">
        <v>45075.94506944445</v>
      </c>
      <c r="C1225" s="1" t="n">
        <v>46090</v>
      </c>
      <c r="D1225" t="inlineStr">
        <is>
          <t>JÄMTLANDS LÄN</t>
        </is>
      </c>
      <c r="E1225" t="inlineStr">
        <is>
          <t>RAGUNDA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18194-2025</t>
        </is>
      </c>
      <c r="B1226" s="1" t="n">
        <v>45761.67744212963</v>
      </c>
      <c r="C1226" s="1" t="n">
        <v>46090</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18225-2024</t>
        </is>
      </c>
      <c r="B1227" s="1" t="n">
        <v>45420</v>
      </c>
      <c r="C1227" s="1" t="n">
        <v>46090</v>
      </c>
      <c r="D1227" t="inlineStr">
        <is>
          <t>JÄMTLANDS LÄN</t>
        </is>
      </c>
      <c r="E1227" t="inlineStr">
        <is>
          <t>RAGUNDA</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54764-2024</t>
        </is>
      </c>
      <c r="B1228" s="1" t="n">
        <v>45618.46921296296</v>
      </c>
      <c r="C1228" s="1" t="n">
        <v>46090</v>
      </c>
      <c r="D1228" t="inlineStr">
        <is>
          <t>JÄMTLANDS LÄN</t>
        </is>
      </c>
      <c r="E1228" t="inlineStr">
        <is>
          <t>RAGUNDA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32904-2024</t>
        </is>
      </c>
      <c r="B1229" s="1" t="n">
        <v>45516.94732638889</v>
      </c>
      <c r="C1229" s="1" t="n">
        <v>46090</v>
      </c>
      <c r="D1229" t="inlineStr">
        <is>
          <t>JÄMTLANDS LÄN</t>
        </is>
      </c>
      <c r="E1229" t="inlineStr">
        <is>
          <t>RAGUNDA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12976-2025</t>
        </is>
      </c>
      <c r="B1230" s="1" t="n">
        <v>45734.45268518518</v>
      </c>
      <c r="C1230" s="1" t="n">
        <v>46090</v>
      </c>
      <c r="D1230" t="inlineStr">
        <is>
          <t>JÄMTLANDS LÄN</t>
        </is>
      </c>
      <c r="E1230" t="inlineStr">
        <is>
          <t>RAGUNDA</t>
        </is>
      </c>
      <c r="G1230" t="n">
        <v>24.2</v>
      </c>
      <c r="H1230" t="n">
        <v>0</v>
      </c>
      <c r="I1230" t="n">
        <v>0</v>
      </c>
      <c r="J1230" t="n">
        <v>0</v>
      </c>
      <c r="K1230" t="n">
        <v>0</v>
      </c>
      <c r="L1230" t="n">
        <v>0</v>
      </c>
      <c r="M1230" t="n">
        <v>0</v>
      </c>
      <c r="N1230" t="n">
        <v>0</v>
      </c>
      <c r="O1230" t="n">
        <v>0</v>
      </c>
      <c r="P1230" t="n">
        <v>0</v>
      </c>
      <c r="Q1230" t="n">
        <v>0</v>
      </c>
      <c r="R1230" s="2" t="inlineStr"/>
    </row>
    <row r="1231" ht="15" customHeight="1">
      <c r="A1231" t="inlineStr">
        <is>
          <t>A 59286-2023</t>
        </is>
      </c>
      <c r="B1231" s="1" t="n">
        <v>45253</v>
      </c>
      <c r="C1231" s="1" t="n">
        <v>46090</v>
      </c>
      <c r="D1231" t="inlineStr">
        <is>
          <t>JÄMTLANDS LÄN</t>
        </is>
      </c>
      <c r="E1231" t="inlineStr">
        <is>
          <t>RAGUNDA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15672-2021</t>
        </is>
      </c>
      <c r="B1232" s="1" t="n">
        <v>44286</v>
      </c>
      <c r="C1232" s="1" t="n">
        <v>46090</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6688-2024</t>
        </is>
      </c>
      <c r="B1233" s="1" t="n">
        <v>45341</v>
      </c>
      <c r="C1233" s="1" t="n">
        <v>46090</v>
      </c>
      <c r="D1233" t="inlineStr">
        <is>
          <t>JÄMTLANDS LÄN</t>
        </is>
      </c>
      <c r="E1233" t="inlineStr">
        <is>
          <t>RAGUNDA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50650-2023</t>
        </is>
      </c>
      <c r="B1234" s="1" t="n">
        <v>45210</v>
      </c>
      <c r="C1234" s="1" t="n">
        <v>46090</v>
      </c>
      <c r="D1234" t="inlineStr">
        <is>
          <t>JÄMTLANDS LÄN</t>
        </is>
      </c>
      <c r="E1234" t="inlineStr">
        <is>
          <t>RAGUNDA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41344-2024</t>
        </is>
      </c>
      <c r="B1235" s="1" t="n">
        <v>45559.67759259259</v>
      </c>
      <c r="C1235" s="1" t="n">
        <v>46090</v>
      </c>
      <c r="D1235" t="inlineStr">
        <is>
          <t>JÄMTLANDS LÄN</t>
        </is>
      </c>
      <c r="E1235" t="inlineStr">
        <is>
          <t>RAGUNDA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59670-2023</t>
        </is>
      </c>
      <c r="B1236" s="1" t="n">
        <v>45254.96516203704</v>
      </c>
      <c r="C1236" s="1" t="n">
        <v>46090</v>
      </c>
      <c r="D1236" t="inlineStr">
        <is>
          <t>JÄMTLANDS LÄN</t>
        </is>
      </c>
      <c r="E1236" t="inlineStr">
        <is>
          <t>RAGUNDA</t>
        </is>
      </c>
      <c r="F1236" t="inlineStr">
        <is>
          <t>SCA</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55508-2024</t>
        </is>
      </c>
      <c r="B1237" s="1" t="n">
        <v>45622.46200231482</v>
      </c>
      <c r="C1237" s="1" t="n">
        <v>46090</v>
      </c>
      <c r="D1237" t="inlineStr">
        <is>
          <t>JÄMTLANDS LÄN</t>
        </is>
      </c>
      <c r="E1237" t="inlineStr">
        <is>
          <t>RAGUNDA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59492-2024</t>
        </is>
      </c>
      <c r="B1238" s="1" t="n">
        <v>45638</v>
      </c>
      <c r="C1238" s="1" t="n">
        <v>46090</v>
      </c>
      <c r="D1238" t="inlineStr">
        <is>
          <t>JÄMTLANDS LÄN</t>
        </is>
      </c>
      <c r="E1238" t="inlineStr">
        <is>
          <t>RAGUNDA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20772-2024</t>
        </is>
      </c>
      <c r="B1239" s="1" t="n">
        <v>45436.94628472222</v>
      </c>
      <c r="C1239" s="1" t="n">
        <v>46090</v>
      </c>
      <c r="D1239" t="inlineStr">
        <is>
          <t>JÄMTLANDS LÄN</t>
        </is>
      </c>
      <c r="E1239" t="inlineStr">
        <is>
          <t>RAGUNDA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53757-2024</t>
        </is>
      </c>
      <c r="B1240" s="1" t="n">
        <v>45615.50034722222</v>
      </c>
      <c r="C1240" s="1" t="n">
        <v>46090</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6716-2025</t>
        </is>
      </c>
      <c r="B1241" s="1" t="n">
        <v>45700.57324074074</v>
      </c>
      <c r="C1241" s="1" t="n">
        <v>46090</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19866-2023</t>
        </is>
      </c>
      <c r="B1242" s="1" t="n">
        <v>45053.94313657407</v>
      </c>
      <c r="C1242" s="1" t="n">
        <v>46090</v>
      </c>
      <c r="D1242" t="inlineStr">
        <is>
          <t>JÄMTLANDS LÄN</t>
        </is>
      </c>
      <c r="E1242" t="inlineStr">
        <is>
          <t>RAGUNDA</t>
        </is>
      </c>
      <c r="F1242" t="inlineStr">
        <is>
          <t>SCA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21853-2024</t>
        </is>
      </c>
      <c r="B1243" s="1" t="n">
        <v>45442.96296296296</v>
      </c>
      <c r="C1243" s="1" t="n">
        <v>46090</v>
      </c>
      <c r="D1243" t="inlineStr">
        <is>
          <t>JÄMTLANDS LÄN</t>
        </is>
      </c>
      <c r="E1243" t="inlineStr">
        <is>
          <t>RAGUNDA</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8241-2024</t>
        </is>
      </c>
      <c r="B1244" s="1" t="n">
        <v>45351.98496527778</v>
      </c>
      <c r="C1244" s="1" t="n">
        <v>46090</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40365-2024</t>
        </is>
      </c>
      <c r="B1245" s="1" t="n">
        <v>45555.38509259259</v>
      </c>
      <c r="C1245" s="1" t="n">
        <v>46090</v>
      </c>
      <c r="D1245" t="inlineStr">
        <is>
          <t>JÄMTLANDS LÄN</t>
        </is>
      </c>
      <c r="E1245" t="inlineStr">
        <is>
          <t>RAGUNDA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20770-2024</t>
        </is>
      </c>
      <c r="B1246" s="1" t="n">
        <v>45436.94613425926</v>
      </c>
      <c r="C1246" s="1" t="n">
        <v>46090</v>
      </c>
      <c r="D1246" t="inlineStr">
        <is>
          <t>JÄMTLANDS LÄN</t>
        </is>
      </c>
      <c r="E1246" t="inlineStr">
        <is>
          <t>RAGUNDA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7281-2024</t>
        </is>
      </c>
      <c r="B1247" s="1" t="n">
        <v>45344</v>
      </c>
      <c r="C1247" s="1" t="n">
        <v>46090</v>
      </c>
      <c r="D1247" t="inlineStr">
        <is>
          <t>JÄMTLANDS LÄN</t>
        </is>
      </c>
      <c r="E1247" t="inlineStr">
        <is>
          <t>RAGUNDA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7284-2024</t>
        </is>
      </c>
      <c r="B1248" s="1" t="n">
        <v>45344.92865740741</v>
      </c>
      <c r="C1248" s="1" t="n">
        <v>46090</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7285-2024</t>
        </is>
      </c>
      <c r="B1249" s="1" t="n">
        <v>45344.92873842592</v>
      </c>
      <c r="C1249" s="1" t="n">
        <v>46090</v>
      </c>
      <c r="D1249" t="inlineStr">
        <is>
          <t>JÄMTLANDS LÄN</t>
        </is>
      </c>
      <c r="E1249" t="inlineStr">
        <is>
          <t>RAGUNDA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53347-2023</t>
        </is>
      </c>
      <c r="B1250" s="1" t="n">
        <v>45223</v>
      </c>
      <c r="C1250" s="1" t="n">
        <v>46090</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60838-2023</t>
        </is>
      </c>
      <c r="B1251" s="1" t="n">
        <v>45260.92561342593</v>
      </c>
      <c r="C1251" s="1" t="n">
        <v>46090</v>
      </c>
      <c r="D1251" t="inlineStr">
        <is>
          <t>JÄMTLANDS LÄN</t>
        </is>
      </c>
      <c r="E1251" t="inlineStr">
        <is>
          <t>RAGUNDA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9548-2025</t>
        </is>
      </c>
      <c r="B1252" s="1" t="n">
        <v>45715.59405092592</v>
      </c>
      <c r="C1252" s="1" t="n">
        <v>46090</v>
      </c>
      <c r="D1252" t="inlineStr">
        <is>
          <t>JÄMTLANDS LÄN</t>
        </is>
      </c>
      <c r="E1252" t="inlineStr">
        <is>
          <t>RAGUNDA</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53989-2024</t>
        </is>
      </c>
      <c r="B1253" s="1" t="n">
        <v>45616.34479166667</v>
      </c>
      <c r="C1253" s="1" t="n">
        <v>46090</v>
      </c>
      <c r="D1253" t="inlineStr">
        <is>
          <t>JÄMTLANDS LÄN</t>
        </is>
      </c>
      <c r="E1253" t="inlineStr">
        <is>
          <t>RAGUNDA</t>
        </is>
      </c>
      <c r="F1253" t="inlineStr">
        <is>
          <t>SCA</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15581-2024</t>
        </is>
      </c>
      <c r="B1254" s="1" t="n">
        <v>45401</v>
      </c>
      <c r="C1254" s="1" t="n">
        <v>46090</v>
      </c>
      <c r="D1254" t="inlineStr">
        <is>
          <t>JÄMTLANDS LÄN</t>
        </is>
      </c>
      <c r="E1254" t="inlineStr">
        <is>
          <t>RAGUNDA</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15611-2024</t>
        </is>
      </c>
      <c r="B1255" s="1" t="n">
        <v>45401</v>
      </c>
      <c r="C1255" s="1" t="n">
        <v>46090</v>
      </c>
      <c r="D1255" t="inlineStr">
        <is>
          <t>JÄMTLANDS LÄN</t>
        </is>
      </c>
      <c r="E1255" t="inlineStr">
        <is>
          <t>RAGUNDA</t>
        </is>
      </c>
      <c r="F1255" t="inlineStr">
        <is>
          <t>SCA</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23528-2024</t>
        </is>
      </c>
      <c r="B1256" s="1" t="n">
        <v>45453.95016203704</v>
      </c>
      <c r="C1256" s="1" t="n">
        <v>46090</v>
      </c>
      <c r="D1256" t="inlineStr">
        <is>
          <t>JÄMTLANDS LÄN</t>
        </is>
      </c>
      <c r="E1256" t="inlineStr">
        <is>
          <t>RAGUNDA</t>
        </is>
      </c>
      <c r="F1256" t="inlineStr">
        <is>
          <t>SCA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4594-2024</t>
        </is>
      </c>
      <c r="B1257" s="1" t="n">
        <v>45327.94459490741</v>
      </c>
      <c r="C1257" s="1" t="n">
        <v>46090</v>
      </c>
      <c r="D1257" t="inlineStr">
        <is>
          <t>JÄMTLANDS LÄN</t>
        </is>
      </c>
      <c r="E1257" t="inlineStr">
        <is>
          <t>RAGUNDA</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30824-2023</t>
        </is>
      </c>
      <c r="B1258" s="1" t="n">
        <v>45112.94303240741</v>
      </c>
      <c r="C1258" s="1" t="n">
        <v>46090</v>
      </c>
      <c r="D1258" t="inlineStr">
        <is>
          <t>JÄMTLANDS LÄN</t>
        </is>
      </c>
      <c r="E1258" t="inlineStr">
        <is>
          <t>RAGUNDA</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16635-2025</t>
        </is>
      </c>
      <c r="B1259" s="1" t="n">
        <v>45754</v>
      </c>
      <c r="C1259" s="1" t="n">
        <v>46090</v>
      </c>
      <c r="D1259" t="inlineStr">
        <is>
          <t>JÄMTLANDS LÄN</t>
        </is>
      </c>
      <c r="E1259" t="inlineStr">
        <is>
          <t>RAGUNDA</t>
        </is>
      </c>
      <c r="F1259" t="inlineStr">
        <is>
          <t>SCA</t>
        </is>
      </c>
      <c r="G1259" t="n">
        <v>55.4</v>
      </c>
      <c r="H1259" t="n">
        <v>0</v>
      </c>
      <c r="I1259" t="n">
        <v>0</v>
      </c>
      <c r="J1259" t="n">
        <v>0</v>
      </c>
      <c r="K1259" t="n">
        <v>0</v>
      </c>
      <c r="L1259" t="n">
        <v>0</v>
      </c>
      <c r="M1259" t="n">
        <v>0</v>
      </c>
      <c r="N1259" t="n">
        <v>0</v>
      </c>
      <c r="O1259" t="n">
        <v>0</v>
      </c>
      <c r="P1259" t="n">
        <v>0</v>
      </c>
      <c r="Q1259" t="n">
        <v>0</v>
      </c>
      <c r="R1259" s="2" t="inlineStr"/>
    </row>
    <row r="1260" ht="15" customHeight="1">
      <c r="A1260" t="inlineStr">
        <is>
          <t>A 4014-2022</t>
        </is>
      </c>
      <c r="B1260" s="1" t="n">
        <v>44587.92144675926</v>
      </c>
      <c r="C1260" s="1" t="n">
        <v>46090</v>
      </c>
      <c r="D1260" t="inlineStr">
        <is>
          <t>JÄMTLANDS LÄN</t>
        </is>
      </c>
      <c r="E1260" t="inlineStr">
        <is>
          <t>RAGUNDA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1554-2024</t>
        </is>
      </c>
      <c r="B1261" s="1" t="n">
        <v>45306</v>
      </c>
      <c r="C1261" s="1" t="n">
        <v>46090</v>
      </c>
      <c r="D1261" t="inlineStr">
        <is>
          <t>JÄMTLANDS LÄN</t>
        </is>
      </c>
      <c r="E1261" t="inlineStr">
        <is>
          <t>RAGUNDA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38782-2021</t>
        </is>
      </c>
      <c r="B1262" s="1" t="n">
        <v>44410</v>
      </c>
      <c r="C1262" s="1" t="n">
        <v>46090</v>
      </c>
      <c r="D1262" t="inlineStr">
        <is>
          <t>JÄMTLANDS LÄN</t>
        </is>
      </c>
      <c r="E1262" t="inlineStr">
        <is>
          <t>RAGUNDA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20728-2025</t>
        </is>
      </c>
      <c r="B1263" s="1" t="n">
        <v>45776.51130787037</v>
      </c>
      <c r="C1263" s="1" t="n">
        <v>46090</v>
      </c>
      <c r="D1263" t="inlineStr">
        <is>
          <t>JÄMTLANDS LÄN</t>
        </is>
      </c>
      <c r="E1263" t="inlineStr">
        <is>
          <t>RAGUNDA</t>
        </is>
      </c>
      <c r="F1263" t="inlineStr">
        <is>
          <t>Kommuner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20653-2025</t>
        </is>
      </c>
      <c r="B1264" s="1" t="n">
        <v>45776.40311342593</v>
      </c>
      <c r="C1264" s="1" t="n">
        <v>46090</v>
      </c>
      <c r="D1264" t="inlineStr">
        <is>
          <t>JÄMTLANDS LÄN</t>
        </is>
      </c>
      <c r="E1264" t="inlineStr">
        <is>
          <t>RAGUNDA</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20722-2025</t>
        </is>
      </c>
      <c r="B1265" s="1" t="n">
        <v>45776.50651620371</v>
      </c>
      <c r="C1265" s="1" t="n">
        <v>46090</v>
      </c>
      <c r="D1265" t="inlineStr">
        <is>
          <t>JÄMTLANDS LÄN</t>
        </is>
      </c>
      <c r="E1265" t="inlineStr">
        <is>
          <t>RAGUNDA</t>
        </is>
      </c>
      <c r="F1265" t="inlineStr">
        <is>
          <t>Kommuner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20777-2025</t>
        </is>
      </c>
      <c r="B1266" s="1" t="n">
        <v>45776.59422453704</v>
      </c>
      <c r="C1266" s="1" t="n">
        <v>46090</v>
      </c>
      <c r="D1266" t="inlineStr">
        <is>
          <t>JÄMTLANDS LÄN</t>
        </is>
      </c>
      <c r="E1266" t="inlineStr">
        <is>
          <t>RAGUNDA</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21150-2025</t>
        </is>
      </c>
      <c r="B1267" s="1" t="n">
        <v>45779.34417824074</v>
      </c>
      <c r="C1267" s="1" t="n">
        <v>46090</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21214-2025</t>
        </is>
      </c>
      <c r="B1268" s="1" t="n">
        <v>45779.49025462963</v>
      </c>
      <c r="C1268" s="1" t="n">
        <v>46090</v>
      </c>
      <c r="D1268" t="inlineStr">
        <is>
          <t>JÄMTLANDS LÄN</t>
        </is>
      </c>
      <c r="E1268" t="inlineStr">
        <is>
          <t>RAGUNDA</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22941-2024</t>
        </is>
      </c>
      <c r="B1269" s="1" t="n">
        <v>45448.94520833333</v>
      </c>
      <c r="C1269" s="1" t="n">
        <v>46090</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21430-2025</t>
        </is>
      </c>
      <c r="B1270" s="1" t="n">
        <v>45782.51099537037</v>
      </c>
      <c r="C1270" s="1" t="n">
        <v>46090</v>
      </c>
      <c r="D1270" t="inlineStr">
        <is>
          <t>JÄMTLANDS LÄN</t>
        </is>
      </c>
      <c r="E1270" t="inlineStr">
        <is>
          <t>RAGUNDA</t>
        </is>
      </c>
      <c r="F1270" t="inlineStr">
        <is>
          <t>SCA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44881-2023</t>
        </is>
      </c>
      <c r="B1271" s="1" t="n">
        <v>45187</v>
      </c>
      <c r="C1271" s="1" t="n">
        <v>46090</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21451-2025</t>
        </is>
      </c>
      <c r="B1272" s="1" t="n">
        <v>45782.55287037037</v>
      </c>
      <c r="C1272" s="1" t="n">
        <v>46090</v>
      </c>
      <c r="D1272" t="inlineStr">
        <is>
          <t>JÄMTLANDS LÄN</t>
        </is>
      </c>
      <c r="E1272" t="inlineStr">
        <is>
          <t>RAGUNDA</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21432-2025</t>
        </is>
      </c>
      <c r="B1273" s="1" t="n">
        <v>45782.51109953703</v>
      </c>
      <c r="C1273" s="1" t="n">
        <v>46090</v>
      </c>
      <c r="D1273" t="inlineStr">
        <is>
          <t>JÄMTLANDS LÄN</t>
        </is>
      </c>
      <c r="E1273" t="inlineStr">
        <is>
          <t>RAGUNDA</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21331-2025</t>
        </is>
      </c>
      <c r="B1274" s="1" t="n">
        <v>45782.36494212963</v>
      </c>
      <c r="C1274" s="1" t="n">
        <v>46090</v>
      </c>
      <c r="D1274" t="inlineStr">
        <is>
          <t>JÄMTLANDS LÄN</t>
        </is>
      </c>
      <c r="E1274" t="inlineStr">
        <is>
          <t>RAGUNDA</t>
        </is>
      </c>
      <c r="F1274" t="inlineStr">
        <is>
          <t>SCA</t>
        </is>
      </c>
      <c r="G1274" t="n">
        <v>23.1</v>
      </c>
      <c r="H1274" t="n">
        <v>0</v>
      </c>
      <c r="I1274" t="n">
        <v>0</v>
      </c>
      <c r="J1274" t="n">
        <v>0</v>
      </c>
      <c r="K1274" t="n">
        <v>0</v>
      </c>
      <c r="L1274" t="n">
        <v>0</v>
      </c>
      <c r="M1274" t="n">
        <v>0</v>
      </c>
      <c r="N1274" t="n">
        <v>0</v>
      </c>
      <c r="O1274" t="n">
        <v>0</v>
      </c>
      <c r="P1274" t="n">
        <v>0</v>
      </c>
      <c r="Q1274" t="n">
        <v>0</v>
      </c>
      <c r="R1274" s="2" t="inlineStr"/>
      <c r="U1274">
        <f>HYPERLINK("https://klasma.github.io/Logging_2303/knärot/A 21331-2025 karta knärot.png", "A 21331-2025")</f>
        <v/>
      </c>
      <c r="V1274">
        <f>HYPERLINK("https://klasma.github.io/Logging_2303/klagomål/A 21331-2025 FSC-klagomål.docx", "A 21331-2025")</f>
        <v/>
      </c>
      <c r="W1274">
        <f>HYPERLINK("https://klasma.github.io/Logging_2303/klagomålsmail/A 21331-2025 FSC-klagomål mail.docx", "A 21331-2025")</f>
        <v/>
      </c>
      <c r="X1274">
        <f>HYPERLINK("https://klasma.github.io/Logging_2303/tillsyn/A 21331-2025 tillsynsbegäran.docx", "A 21331-2025")</f>
        <v/>
      </c>
      <c r="Y1274">
        <f>HYPERLINK("https://klasma.github.io/Logging_2303/tillsynsmail/A 21331-2025 tillsynsbegäran mail.docx", "A 21331-2025")</f>
        <v/>
      </c>
    </row>
    <row r="1275" ht="15" customHeight="1">
      <c r="A1275" t="inlineStr">
        <is>
          <t>A 21550-2025</t>
        </is>
      </c>
      <c r="B1275" s="1" t="n">
        <v>45782.67758101852</v>
      </c>
      <c r="C1275" s="1" t="n">
        <v>46090</v>
      </c>
      <c r="D1275" t="inlineStr">
        <is>
          <t>JÄMTLANDS LÄN</t>
        </is>
      </c>
      <c r="E1275" t="inlineStr">
        <is>
          <t>RAGUNDA</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57889-2024</t>
        </is>
      </c>
      <c r="B1276" s="1" t="n">
        <v>45631.46665509259</v>
      </c>
      <c r="C1276" s="1" t="n">
        <v>46090</v>
      </c>
      <c r="D1276" t="inlineStr">
        <is>
          <t>JÄMTLANDS LÄN</t>
        </is>
      </c>
      <c r="E1276" t="inlineStr">
        <is>
          <t>RAGUNDA</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60629-2023</t>
        </is>
      </c>
      <c r="B1277" s="1" t="n">
        <v>45259</v>
      </c>
      <c r="C1277" s="1" t="n">
        <v>46090</v>
      </c>
      <c r="D1277" t="inlineStr">
        <is>
          <t>JÄMTLANDS LÄN</t>
        </is>
      </c>
      <c r="E1277" t="inlineStr">
        <is>
          <t>RAGUNDA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22388-2025</t>
        </is>
      </c>
      <c r="B1278" s="1" t="n">
        <v>45786.51077546296</v>
      </c>
      <c r="C1278" s="1" t="n">
        <v>46090</v>
      </c>
      <c r="D1278" t="inlineStr">
        <is>
          <t>JÄMTLANDS LÄN</t>
        </is>
      </c>
      <c r="E1278" t="inlineStr">
        <is>
          <t>RAGUNDA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22898-2025</t>
        </is>
      </c>
      <c r="B1279" s="1" t="n">
        <v>45790.40670138889</v>
      </c>
      <c r="C1279" s="1" t="n">
        <v>46090</v>
      </c>
      <c r="D1279" t="inlineStr">
        <is>
          <t>JÄMTLANDS LÄN</t>
        </is>
      </c>
      <c r="E1279" t="inlineStr">
        <is>
          <t>RAGUNDA</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23253-2025</t>
        </is>
      </c>
      <c r="B1280" s="1" t="n">
        <v>45791.53238425926</v>
      </c>
      <c r="C1280" s="1" t="n">
        <v>46090</v>
      </c>
      <c r="D1280" t="inlineStr">
        <is>
          <t>JÄMTLANDS LÄN</t>
        </is>
      </c>
      <c r="E1280" t="inlineStr">
        <is>
          <t>RAGUNDA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23413-2025</t>
        </is>
      </c>
      <c r="B1281" s="1" t="n">
        <v>45792.34606481482</v>
      </c>
      <c r="C1281" s="1" t="n">
        <v>46090</v>
      </c>
      <c r="D1281" t="inlineStr">
        <is>
          <t>JÄMTLANDS LÄN</t>
        </is>
      </c>
      <c r="E1281" t="inlineStr">
        <is>
          <t>RAGUNDA</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23586-2025</t>
        </is>
      </c>
      <c r="B1282" s="1" t="n">
        <v>45792.63584490741</v>
      </c>
      <c r="C1282" s="1" t="n">
        <v>46090</v>
      </c>
      <c r="D1282" t="inlineStr">
        <is>
          <t>JÄMTLANDS LÄN</t>
        </is>
      </c>
      <c r="E1282" t="inlineStr">
        <is>
          <t>RAGUNDA</t>
        </is>
      </c>
      <c r="F1282" t="inlineStr">
        <is>
          <t>SCA</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23841-2025</t>
        </is>
      </c>
      <c r="B1283" s="1" t="n">
        <v>45793.61523148148</v>
      </c>
      <c r="C1283" s="1" t="n">
        <v>46090</v>
      </c>
      <c r="D1283" t="inlineStr">
        <is>
          <t>JÄMTLANDS LÄN</t>
        </is>
      </c>
      <c r="E1283" t="inlineStr">
        <is>
          <t>RAGUNDA</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23507-2025</t>
        </is>
      </c>
      <c r="B1284" s="1" t="n">
        <v>45792.49023148148</v>
      </c>
      <c r="C1284" s="1" t="n">
        <v>46090</v>
      </c>
      <c r="D1284" t="inlineStr">
        <is>
          <t>JÄMTLANDS LÄN</t>
        </is>
      </c>
      <c r="E1284" t="inlineStr">
        <is>
          <t>RAGUNDA</t>
        </is>
      </c>
      <c r="F1284" t="inlineStr">
        <is>
          <t>SCA</t>
        </is>
      </c>
      <c r="G1284" t="n">
        <v>16.4</v>
      </c>
      <c r="H1284" t="n">
        <v>0</v>
      </c>
      <c r="I1284" t="n">
        <v>0</v>
      </c>
      <c r="J1284" t="n">
        <v>0</v>
      </c>
      <c r="K1284" t="n">
        <v>0</v>
      </c>
      <c r="L1284" t="n">
        <v>0</v>
      </c>
      <c r="M1284" t="n">
        <v>0</v>
      </c>
      <c r="N1284" t="n">
        <v>0</v>
      </c>
      <c r="O1284" t="n">
        <v>0</v>
      </c>
      <c r="P1284" t="n">
        <v>0</v>
      </c>
      <c r="Q1284" t="n">
        <v>0</v>
      </c>
      <c r="R1284" s="2" t="inlineStr"/>
    </row>
    <row r="1285" ht="15" customHeight="1">
      <c r="A1285" t="inlineStr">
        <is>
          <t>A 23840-2025</t>
        </is>
      </c>
      <c r="B1285" s="1" t="n">
        <v>45793</v>
      </c>
      <c r="C1285" s="1" t="n">
        <v>46090</v>
      </c>
      <c r="D1285" t="inlineStr">
        <is>
          <t>JÄMTLANDS LÄN</t>
        </is>
      </c>
      <c r="E1285" t="inlineStr">
        <is>
          <t>RAGUNDA</t>
        </is>
      </c>
      <c r="G1285" t="n">
        <v>0.8</v>
      </c>
      <c r="H1285" t="n">
        <v>0</v>
      </c>
      <c r="I1285" t="n">
        <v>0</v>
      </c>
      <c r="J1285" t="n">
        <v>0</v>
      </c>
      <c r="K1285" t="n">
        <v>0</v>
      </c>
      <c r="L1285" t="n">
        <v>0</v>
      </c>
      <c r="M1285" t="n">
        <v>0</v>
      </c>
      <c r="N1285" t="n">
        <v>0</v>
      </c>
      <c r="O1285" t="n">
        <v>0</v>
      </c>
      <c r="P1285" t="n">
        <v>0</v>
      </c>
      <c r="Q1285" t="n">
        <v>0</v>
      </c>
      <c r="R1285" s="2" t="inlineStr"/>
    </row>
    <row r="1286">
      <c r="A1286" t="inlineStr">
        <is>
          <t>A 23654-2025</t>
        </is>
      </c>
      <c r="B1286" s="1" t="n">
        <v>45792.71905092592</v>
      </c>
      <c r="C1286" s="1" t="n">
        <v>46090</v>
      </c>
      <c r="D1286" t="inlineStr">
        <is>
          <t>JÄMTLANDS LÄN</t>
        </is>
      </c>
      <c r="E1286" t="inlineStr">
        <is>
          <t>RAGUNDA</t>
        </is>
      </c>
      <c r="F1286" t="inlineStr">
        <is>
          <t>SCA</t>
        </is>
      </c>
      <c r="G1286" t="n">
        <v>1</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2026-03-09T11:16:40Z</dcterms:created>
  <dcterms:modified xmlns:dcterms="http://purl.org/dc/terms/" xmlns:xsi="http://www.w3.org/2001/XMLSchema-instance" xsi:type="dcterms:W3CDTF">2026-03-09T11:16:42Z</dcterms:modified>
</cp:coreProperties>
</file>